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7b85e20f1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sismos" sheetId="1" r:id="R8b82c88135ac4255"/>
    <x:sheet xmlns:r="http://schemas.openxmlformats.org/officeDocument/2006/relationships" name="Diccionario" sheetId="2" r:id="Rb8c69cac8acd4a85"/>
    <x:sheet xmlns:r="http://schemas.openxmlformats.org/officeDocument/2006/relationships" name="Resumen" sheetId="3" r:id="Ra8b185b8f4474115"/>
    <x:sheet xmlns:r="http://schemas.openxmlformats.org/officeDocument/2006/relationships" name="Guia_proyecto" sheetId="4" r:id="Rc96d961f85db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:ss"/>
    <x:numFmt numFmtId="201" formatCode="yyyy-mm-dd"/>
    <x:numFmt numFmtId="202" formatCode="hh:mm:ss"/>
    <x:numFmt numFmtId="203" formatCode="0"/>
    <x:numFmt numFmtId="204" formatCode="0.00"/>
    <x:numFmt numFmtId="205" formatCode="0.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4" fontId="0" fillId="0" borderId="0" xfId="0" applyNumberFormat="1" applyFont="1" applyFill="1" applyBorder="1" applyAlignment="1">
      <x:alignment wrapText="0"/>
    </x:xf>
    <x:xf numFmtId="205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204" fontId="0" fillId="0" borderId="1" xfId="0" applyNumberFormat="1" applyFont="1" applyFill="1" applyBorder="1" applyAlignment="1">
      <x:alignment wrapText="0"/>
    </x:xf>
    <x:xf numFmtId="205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4edba18bc4b43" /><Relationship Type="http://schemas.openxmlformats.org/officeDocument/2006/relationships/theme" Target="/xl/theme/theme1.xml" Id="Rc80094b289a64d17" /><Relationship Type="http://schemas.openxmlformats.org/officeDocument/2006/relationships/sharedStrings" Target="/xl/sharedStrings.xml" Id="R3d57f75ae2404ae6" /><Relationship Type="http://schemas.openxmlformats.org/officeDocument/2006/relationships/worksheet" Target="/xl/worksheets/sheet1.xml" Id="R8b82c88135ac4255" /><Relationship Type="http://schemas.openxmlformats.org/officeDocument/2006/relationships/worksheet" Target="/xl/worksheets/sheet2.xml" Id="Rb8c69cac8acd4a85" /><Relationship Type="http://schemas.openxmlformats.org/officeDocument/2006/relationships/worksheet" Target="/xl/worksheets/sheet3.xml" Id="Ra8b185b8f4474115" /><Relationship Type="http://schemas.openxmlformats.org/officeDocument/2006/relationships/worksheet" Target="/xl/worksheets/sheet4.xml" Id="Rc96d961f85db49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72cfc4be2740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Eventos sísmicos por año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'Resumen'!$A$13:$A$27</c:f>
              <c:strCache>
                <c:ptCount val="0"/>
              </c:strCache>
            </c:strRef>
          </c:cat>
          <c:val>
            <c:numRef>
              <c:f>'Resumen'!$B$13:$B$27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72cfc4be2740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Sismos" displayName="TablaSismos" ref="A1:O4425" headerRowCount="1">
  <x:tableColumns count="15">
    <x:tableColumn id="1" name="id_sismo"/>
    <x:tableColumn id="2" name="fecha_utc_original"/>
    <x:tableColumn id="3" name="fecha"/>
    <x:tableColumn id="4" name="hora_utc"/>
    <x:tableColumn id="5" name="anio"/>
    <x:tableColumn id="6" name="mes"/>
    <x:tableColumn id="7" name="latitud"/>
    <x:tableColumn id="8" name="longitud"/>
    <x:tableColumn id="9" name="profundidad_km"/>
    <x:tableColumn id="10" name="magnitud"/>
    <x:tableColumn id="11" name="categoria_magnitud"/>
    <x:tableColumn id="12" name="categoria_profundidad"/>
    <x:tableColumn id="13" name="sismo_m5_o_mas"/>
    <x:tableColumn id="14" name="sismo_m6_o_mas"/>
    <x:tableColumn id="15" name="region_asignada_s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175a0e432d44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c6b3662a98c4d25" /></Relationships>
</file>

<file path=xl/worksheets/sheet1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20" hidden="0" customWidth="1"/>
    <x:col min="3" max="3" width="12" hidden="0" customWidth="1"/>
    <x:col min="4" max="4" width="12" hidden="0" customWidth="1"/>
    <x:col min="5" max="5" width="3.9000000953674316" hidden="0" customWidth="1"/>
    <x:col min="6" max="6" width="3.359999895095825" hidden="0" customWidth="1"/>
    <x:col min="7" max="7" width="5.380000114440918" hidden="0" customWidth="1"/>
    <x:col min="8" max="8" width="6.730000019073486" hidden="0" customWidth="1"/>
    <x:col min="9" max="9" width="13.59000015258789" hidden="0" customWidth="1"/>
    <x:col min="10" max="10" width="7.809999942779541" hidden="0" customWidth="1"/>
    <x:col min="11" max="11" width="22" hidden="0" customWidth="1"/>
    <x:col min="12" max="12" width="24" hidden="0" customWidth="1"/>
    <x:col min="13" max="13" width="14.670000076293945" hidden="0" customWidth="1"/>
    <x:col min="14" max="14" width="14.670000076293945" hidden="0" customWidth="1"/>
    <x:col min="15" max="15" width="32" hidden="0" customWidth="1"/>
  </x:cols>
  <x:sheetData>
    <x:row r="1" ht="30" customHeight="1">
      <x:c r="A1" s="24" t="str">
        <x:v>id_sismo</x:v>
      </x:c>
      <x:c r="B1" s="24" t="str">
        <x:v>fecha_utc_original</x:v>
      </x:c>
      <x:c r="C1" s="24" t="str">
        <x:v>fecha</x:v>
      </x:c>
      <x:c r="D1" s="24" t="str">
        <x:v>hora_utc</x:v>
      </x:c>
      <x:c r="E1" s="24" t="str">
        <x:v>anio</x:v>
      </x:c>
      <x:c r="F1" s="24" t="str">
        <x:v>mes</x:v>
      </x:c>
      <x:c r="G1" s="24" t="str">
        <x:v>latitud</x:v>
      </x:c>
      <x:c r="H1" s="24" t="str">
        <x:v>longitud</x:v>
      </x:c>
      <x:c r="I1" s="24" t="str">
        <x:v>profundidad_km</x:v>
      </x:c>
      <x:c r="J1" s="24" t="str">
        <x:v>magnitud</x:v>
      </x:c>
      <x:c r="K1" s="24" t="str">
        <x:v>categoria_magnitud</x:v>
      </x:c>
      <x:c r="L1" s="24" t="str">
        <x:v>categoria_profundidad</x:v>
      </x:c>
      <x:c r="M1" s="24" t="str">
        <x:v>sismo_m5_o_mas</x:v>
      </x:c>
      <x:c r="N1" s="24" t="str">
        <x:v>sismo_m6_o_mas</x:v>
      </x:c>
      <x:c r="O1" s="24" t="str">
        <x:v>region_asignada_sf</x:v>
      </x:c>
    </x:row>
    <x:row r="2">
      <x:c r="A2" s="25" t="n">
        <x:v>1</x:v>
      </x:c>
      <x:c r="B2" s="26" t="n">
        <x:v>45444.45355324074</x:v>
      </x:c>
      <x:c r="C2" s="27" t="n">
        <x:f>INT(B2)</x:f>
        <x:v>45444</x:v>
      </x:c>
      <x:c r="D2" s="28" t="n">
        <x:f>MOD(B2,1)</x:f>
        <x:v>0.45355324073898373</x:v>
      </x:c>
      <x:c r="E2" s="29" t="n">
        <x:f>YEAR(B2)</x:f>
        <x:v>2024</x:v>
      </x:c>
      <x:c r="F2" s="29" t="n">
        <x:f>MONTH(B2)</x:f>
        <x:v>6</x:v>
      </x:c>
      <x:c r="G2" s="30" t="n">
        <x:v>-21.34</x:v>
      </x:c>
      <x:c r="H2" s="30" t="n">
        <x:v>-68.95</x:v>
      </x:c>
      <x:c r="I2" s="29" t="n">
        <x:v>117</x:v>
      </x:c>
      <x:c r="J2" s="31" t="n">
        <x:v>5.3</x:v>
      </x:c>
      <x:c r="K2" s="25" t="str">
        <x:f>IF(J2&gt;=7,"Muy fuerte (&gt;=7)",IF(J2&gt;=6,"Fuerte (6-6.9)",IF(J2&gt;=5,"Moderado alto (5-5.9)",IF(J2&gt;=4,"Moderado (4-4.9)","Menor a 4"))))</x:f>
        <x:v>Moderado alto (5-5.9)</x:v>
      </x:c>
      <x:c r="L2" s="25" t="str">
        <x:f>IF(I2&lt;70,"Superficial (&lt;70 km)",IF(I2&lt;=300,"Intermedio (70-300 km)","Profundo (&gt;300 km)"))</x:f>
        <x:v>Intermedio (70-300 km)</x:v>
      </x:c>
      <x:c r="M2" s="25" t="str">
        <x:f>IF(J2&gt;=5,"Sí","No")</x:f>
        <x:v>Sí</x:v>
      </x:c>
      <x:c r="N2" s="25" t="str">
        <x:f>IF(J2&gt;=6,"Sí","No")</x:f>
        <x:v>No</x:v>
      </x:c>
      <x:c r="O2" s="25" t="str">
        <x:v>Pendiente: asignar con R/sf</x:v>
      </x:c>
    </x:row>
    <x:row r="3">
      <x:c r="A3" s="25" t="n">
        <x:v>2</x:v>
      </x:c>
      <x:c r="B3" s="26" t="n">
        <x:v>45451.39083333333</x:v>
      </x:c>
      <x:c r="C3" s="27" t="n">
        <x:f>INT(B3)</x:f>
        <x:v>45451</x:v>
      </x:c>
      <x:c r="D3" s="28" t="n">
        <x:f>MOD(B3,1)</x:f>
        <x:v>0.39083333333110204</x:v>
      </x:c>
      <x:c r="E3" s="29" t="n">
        <x:f>YEAR(B3)</x:f>
        <x:v>2024</x:v>
      </x:c>
      <x:c r="F3" s="29" t="n">
        <x:f>MONTH(B3)</x:f>
        <x:v>6</x:v>
      </x:c>
      <x:c r="G3" s="30" t="n">
        <x:v>-19.49</x:v>
      </x:c>
      <x:c r="H3" s="30" t="n">
        <x:v>-69.44</x:v>
      </x:c>
      <x:c r="I3" s="29" t="n">
        <x:v>92</x:v>
      </x:c>
      <x:c r="J3" s="31" t="n">
        <x:v>5</x:v>
      </x:c>
      <x:c r="K3" s="25" t="str">
        <x:f>IF(J3&gt;=7,"Muy fuerte (&gt;=7)",IF(J3&gt;=6,"Fuerte (6-6.9)",IF(J3&gt;=5,"Moderado alto (5-5.9)",IF(J3&gt;=4,"Moderado (4-4.9)","Menor a 4"))))</x:f>
        <x:v>Moderado alto (5-5.9)</x:v>
      </x:c>
      <x:c r="L3" s="25" t="str">
        <x:f>IF(I3&lt;70,"Superficial (&lt;70 km)",IF(I3&lt;=300,"Intermedio (70-300 km)","Profundo (&gt;300 km)"))</x:f>
        <x:v>Intermedio (70-300 km)</x:v>
      </x:c>
      <x:c r="M3" s="25" t="str">
        <x:f>IF(J3&gt;=5,"Sí","No")</x:f>
        <x:v>Sí</x:v>
      </x:c>
      <x:c r="N3" s="25" t="str">
        <x:f>IF(J3&gt;=6,"Sí","No")</x:f>
        <x:v>No</x:v>
      </x:c>
      <x:c r="O3" s="25" t="str">
        <x:v>Pendiente: asignar con R/sf</x:v>
      </x:c>
    </x:row>
    <x:row r="4">
      <x:c r="A4" s="25" t="n">
        <x:v>3</x:v>
      </x:c>
      <x:c r="B4" s="26" t="n">
        <x:v>45469.55420138889</x:v>
      </x:c>
      <x:c r="C4" s="27" t="n">
        <x:f>INT(B4)</x:f>
        <x:v>45469</x:v>
      </x:c>
      <x:c r="D4" s="28" t="n">
        <x:f>MOD(B4,1)</x:f>
        <x:v>0.5542013888916699</x:v>
      </x:c>
      <x:c r="E4" s="29" t="n">
        <x:f>YEAR(B4)</x:f>
        <x:v>2024</x:v>
      </x:c>
      <x:c r="F4" s="29" t="n">
        <x:f>MONTH(B4)</x:f>
        <x:v>6</x:v>
      </x:c>
      <x:c r="G4" s="30" t="n">
        <x:v>-26.09</x:v>
      </x:c>
      <x:c r="H4" s="30" t="n">
        <x:v>-70.97</x:v>
      </x:c>
      <x:c r="I4" s="29" t="n">
        <x:v>46</x:v>
      </x:c>
      <x:c r="J4" s="31" t="n">
        <x:v>5</x:v>
      </x:c>
      <x:c r="K4" s="25" t="str">
        <x:f>IF(J4&gt;=7,"Muy fuerte (&gt;=7)",IF(J4&gt;=6,"Fuerte (6-6.9)",IF(J4&gt;=5,"Moderado alto (5-5.9)",IF(J4&gt;=4,"Moderado (4-4.9)","Menor a 4"))))</x:f>
        <x:v>Moderado alto (5-5.9)</x:v>
      </x:c>
      <x:c r="L4" s="25" t="str">
        <x:f>IF(I4&lt;70,"Superficial (&lt;70 km)",IF(I4&lt;=300,"Intermedio (70-300 km)","Profundo (&gt;300 km)"))</x:f>
        <x:v>Superficial (&lt;70 km)</x:v>
      </x:c>
      <x:c r="M4" s="25" t="str">
        <x:f>IF(J4&gt;=5,"Sí","No")</x:f>
        <x:v>Sí</x:v>
      </x:c>
      <x:c r="N4" s="25" t="str">
        <x:f>IF(J4&gt;=6,"Sí","No")</x:f>
        <x:v>No</x:v>
      </x:c>
      <x:c r="O4" s="25" t="str">
        <x:v>Pendiente: asignar con R/sf</x:v>
      </x:c>
    </x:row>
    <x:row r="5">
      <x:c r="A5" s="25" t="n">
        <x:v>4</x:v>
      </x:c>
      <x:c r="B5" s="26" t="n">
        <x:v>45472.18179398148</x:v>
      </x:c>
      <x:c r="C5" s="27" t="n">
        <x:f>INT(B5)</x:f>
        <x:v>45472</x:v>
      </x:c>
      <x:c r="D5" s="28" t="n">
        <x:f>MOD(B5,1)</x:f>
        <x:v>0.18179398147913162</x:v>
      </x:c>
      <x:c r="E5" s="29" t="n">
        <x:f>YEAR(B5)</x:f>
        <x:v>2024</x:v>
      </x:c>
      <x:c r="F5" s="29" t="n">
        <x:f>MONTH(B5)</x:f>
        <x:v>6</x:v>
      </x:c>
      <x:c r="G5" s="30" t="n">
        <x:v>-23.97</x:v>
      </x:c>
      <x:c r="H5" s="30" t="n">
        <x:v>-70.25</x:v>
      </x:c>
      <x:c r="I5" s="29" t="n">
        <x:v>44</x:v>
      </x:c>
      <x:c r="J5" s="31" t="n">
        <x:v>5</x:v>
      </x:c>
      <x:c r="K5" s="25" t="str">
        <x:f>IF(J5&gt;=7,"Muy fuerte (&gt;=7)",IF(J5&gt;=6,"Fuerte (6-6.9)",IF(J5&gt;=5,"Moderado alto (5-5.9)",IF(J5&gt;=4,"Moderado (4-4.9)","Menor a 4"))))</x:f>
        <x:v>Moderado alto (5-5.9)</x:v>
      </x:c>
      <x:c r="L5" s="25" t="str">
        <x:f>IF(I5&lt;70,"Superficial (&lt;70 km)",IF(I5&lt;=300,"Intermedio (70-300 km)","Profundo (&gt;300 km)"))</x:f>
        <x:v>Superficial (&lt;70 km)</x:v>
      </x:c>
      <x:c r="M5" s="25" t="str">
        <x:f>IF(J5&gt;=5,"Sí","No")</x:f>
        <x:v>Sí</x:v>
      </x:c>
      <x:c r="N5" s="25" t="str">
        <x:f>IF(J5&gt;=6,"Sí","No")</x:f>
        <x:v>No</x:v>
      </x:c>
      <x:c r="O5" s="25" t="str">
        <x:v>Pendiente: asignar con R/sf</x:v>
      </x:c>
    </x:row>
    <x:row r="6">
      <x:c r="A6" s="25" t="n">
        <x:v>5</x:v>
      </x:c>
      <x:c r="B6" s="26" t="n">
        <x:v>45151.88107638889</x:v>
      </x:c>
      <x:c r="C6" s="27" t="n">
        <x:f>INT(B6)</x:f>
        <x:v>45151</x:v>
      </x:c>
      <x:c r="D6" s="28" t="n">
        <x:f>MOD(B6,1)</x:f>
        <x:v>0.8810763888905058</x:v>
      </x:c>
      <x:c r="E6" s="29" t="n">
        <x:f>YEAR(B6)</x:f>
        <x:v>2023</x:v>
      </x:c>
      <x:c r="F6" s="29" t="n">
        <x:f>MONTH(B6)</x:f>
        <x:v>8</x:v>
      </x:c>
      <x:c r="G6" s="30" t="n">
        <x:v>-30.18</x:v>
      </x:c>
      <x:c r="H6" s="30" t="n">
        <x:v>-71.21</x:v>
      </x:c>
      <x:c r="I6" s="29" t="n">
        <x:v>63</x:v>
      </x:c>
      <x:c r="J6" s="31" t="n">
        <x:v>4</x:v>
      </x:c>
      <x:c r="K6" s="25" t="str">
        <x:f>IF(J6&gt;=7,"Muy fuerte (&gt;=7)",IF(J6&gt;=6,"Fuerte (6-6.9)",IF(J6&gt;=5,"Moderado alto (5-5.9)",IF(J6&gt;=4,"Moderado (4-4.9)","Menor a 4"))))</x:f>
        <x:v>Moderado (4-4.9)</x:v>
      </x:c>
      <x:c r="L6" s="25" t="str">
        <x:f>IF(I6&lt;70,"Superficial (&lt;70 km)",IF(I6&lt;=300,"Intermedio (70-300 km)","Profundo (&gt;300 km)"))</x:f>
        <x:v>Superficial (&lt;70 km)</x:v>
      </x:c>
      <x:c r="M6" s="25" t="str">
        <x:f>IF(J6&gt;=5,"Sí","No")</x:f>
        <x:v>No</x:v>
      </x:c>
      <x:c r="N6" s="25" t="str">
        <x:f>IF(J6&gt;=6,"Sí","No")</x:f>
        <x:v>No</x:v>
      </x:c>
      <x:c r="O6" s="25" t="str">
        <x:v>Pendiente: asignar con R/sf</x:v>
      </x:c>
    </x:row>
    <x:row r="7">
      <x:c r="A7" s="25" t="n">
        <x:v>6</x:v>
      </x:c>
      <x:c r="B7" s="26" t="n">
        <x:v>45219.67917824074</x:v>
      </x:c>
      <x:c r="C7" s="27" t="n">
        <x:f>INT(B7)</x:f>
        <x:v>45219</x:v>
      </x:c>
      <x:c r="D7" s="28" t="n">
        <x:f>MOD(B7,1)</x:f>
        <x:v>0.6791782407381106</x:v>
      </x:c>
      <x:c r="E7" s="29" t="n">
        <x:f>YEAR(B7)</x:f>
        <x:v>2023</x:v>
      </x:c>
      <x:c r="F7" s="29" t="n">
        <x:f>MONTH(B7)</x:f>
        <x:v>10</x:v>
      </x:c>
      <x:c r="G7" s="30" t="n">
        <x:v>-30.27</x:v>
      </x:c>
      <x:c r="H7" s="30" t="n">
        <x:v>-71.66</x:v>
      </x:c>
      <x:c r="I7" s="29" t="n">
        <x:v>62</x:v>
      </x:c>
      <x:c r="J7" s="31" t="n">
        <x:v>4.1</x:v>
      </x:c>
      <x:c r="K7" s="25" t="str">
        <x:f>IF(J7&gt;=7,"Muy fuerte (&gt;=7)",IF(J7&gt;=6,"Fuerte (6-6.9)",IF(J7&gt;=5,"Moderado alto (5-5.9)",IF(J7&gt;=4,"Moderado (4-4.9)","Menor a 4"))))</x:f>
        <x:v>Moderado (4-4.9)</x:v>
      </x:c>
      <x:c r="L7" s="25" t="str">
        <x:f>IF(I7&lt;70,"Superficial (&lt;70 km)",IF(I7&lt;=300,"Intermedio (70-300 km)","Profundo (&gt;300 km)"))</x:f>
        <x:v>Superficial (&lt;70 km)</x:v>
      </x:c>
      <x:c r="M7" s="25" t="str">
        <x:f>IF(J7&gt;=5,"Sí","No")</x:f>
        <x:v>No</x:v>
      </x:c>
      <x:c r="N7" s="25" t="str">
        <x:f>IF(J7&gt;=6,"Sí","No")</x:f>
        <x:v>No</x:v>
      </x:c>
      <x:c r="O7" s="25" t="str">
        <x:v>Pendiente: asignar con R/sf</x:v>
      </x:c>
    </x:row>
    <x:row r="8">
      <x:c r="A8" s="25" t="n">
        <x:v>7</x:v>
      </x:c>
      <x:c r="B8" s="26" t="n">
        <x:v>45233.31783564815</x:v>
      </x:c>
      <x:c r="C8" s="27" t="n">
        <x:f>INT(B8)</x:f>
        <x:v>45233</x:v>
      </x:c>
      <x:c r="D8" s="28" t="n">
        <x:f>MOD(B8,1)</x:f>
        <x:v>0.317835648151231</x:v>
      </x:c>
      <x:c r="E8" s="29" t="n">
        <x:f>YEAR(B8)</x:f>
        <x:v>2023</x:v>
      </x:c>
      <x:c r="F8" s="29" t="n">
        <x:f>MONTH(B8)</x:f>
        <x:v>11</x:v>
      </x:c>
      <x:c r="G8" s="30" t="n">
        <x:v>-30.08</x:v>
      </x:c>
      <x:c r="H8" s="30" t="n">
        <x:v>-71.84</x:v>
      </x:c>
      <x:c r="I8" s="29" t="n">
        <x:v>58</x:v>
      </x:c>
      <x:c r="J8" s="31" t="n">
        <x:v>4.6</x:v>
      </x:c>
      <x:c r="K8" s="25" t="str">
        <x:f>IF(J8&gt;=7,"Muy fuerte (&gt;=7)",IF(J8&gt;=6,"Fuerte (6-6.9)",IF(J8&gt;=5,"Moderado alto (5-5.9)",IF(J8&gt;=4,"Moderado (4-4.9)","Menor a 4"))))</x:f>
        <x:v>Moderado (4-4.9)</x:v>
      </x:c>
      <x:c r="L8" s="25" t="str">
        <x:f>IF(I8&lt;70,"Superficial (&lt;70 km)",IF(I8&lt;=300,"Intermedio (70-300 km)","Profundo (&gt;300 km)"))</x:f>
        <x:v>Superficial (&lt;70 km)</x:v>
      </x:c>
      <x:c r="M8" s="25" t="str">
        <x:f>IF(J8&gt;=5,"Sí","No")</x:f>
        <x:v>No</x:v>
      </x:c>
      <x:c r="N8" s="25" t="str">
        <x:f>IF(J8&gt;=6,"Sí","No")</x:f>
        <x:v>No</x:v>
      </x:c>
      <x:c r="O8" s="25" t="str">
        <x:v>Pendiente: asignar con R/sf</x:v>
      </x:c>
    </x:row>
    <x:row r="9">
      <x:c r="A9" s="25" t="n">
        <x:v>8</x:v>
      </x:c>
      <x:c r="B9" s="26" t="n">
        <x:v>45251.53314814815</x:v>
      </x:c>
      <x:c r="C9" s="27" t="n">
        <x:f>INT(B9)</x:f>
        <x:v>45251</x:v>
      </x:c>
      <x:c r="D9" s="28" t="n">
        <x:f>MOD(B9,1)</x:f>
        <x:v>0.5331481481480296</x:v>
      </x:c>
      <x:c r="E9" s="29" t="n">
        <x:f>YEAR(B9)</x:f>
        <x:v>2023</x:v>
      </x:c>
      <x:c r="F9" s="29" t="n">
        <x:f>MONTH(B9)</x:f>
        <x:v>11</x:v>
      </x:c>
      <x:c r="G9" s="30" t="n">
        <x:v>-30.22</x:v>
      </x:c>
      <x:c r="H9" s="30" t="n">
        <x:v>-71.22</x:v>
      </x:c>
      <x:c r="I9" s="29" t="n">
        <x:v>71</x:v>
      </x:c>
      <x:c r="J9" s="31" t="n">
        <x:v>4.4</x:v>
      </x:c>
      <x:c r="K9" s="25" t="str">
        <x:f>IF(J9&gt;=7,"Muy fuerte (&gt;=7)",IF(J9&gt;=6,"Fuerte (6-6.9)",IF(J9&gt;=5,"Moderado alto (5-5.9)",IF(J9&gt;=4,"Moderado (4-4.9)","Menor a 4"))))</x:f>
        <x:v>Moderado (4-4.9)</x:v>
      </x:c>
      <x:c r="L9" s="25" t="str">
        <x:f>IF(I9&lt;70,"Superficial (&lt;70 km)",IF(I9&lt;=300,"Intermedio (70-300 km)","Profundo (&gt;300 km)"))</x:f>
        <x:v>Intermedio (70-300 km)</x:v>
      </x:c>
      <x:c r="M9" s="25" t="str">
        <x:f>IF(J9&gt;=5,"Sí","No")</x:f>
        <x:v>No</x:v>
      </x:c>
      <x:c r="N9" s="25" t="str">
        <x:f>IF(J9&gt;=6,"Sí","No")</x:f>
        <x:v>No</x:v>
      </x:c>
      <x:c r="O9" s="25" t="str">
        <x:v>Pendiente: asignar con R/sf</x:v>
      </x:c>
    </x:row>
    <x:row r="10">
      <x:c r="A10" s="25" t="n">
        <x:v>9</x:v>
      </x:c>
      <x:c r="B10" s="26" t="n">
        <x:v>45355.384108796294</x:v>
      </x:c>
      <x:c r="C10" s="27" t="n">
        <x:f>INT(B10)</x:f>
        <x:v>45355</x:v>
      </x:c>
      <x:c r="D10" s="28" t="n">
        <x:f>MOD(B10,1)</x:f>
        <x:v>0.38410879629373085</x:v>
      </x:c>
      <x:c r="E10" s="29" t="n">
        <x:f>YEAR(B10)</x:f>
        <x:v>2024</x:v>
      </x:c>
      <x:c r="F10" s="29" t="n">
        <x:f>MONTH(B10)</x:f>
        <x:v>3</x:v>
      </x:c>
      <x:c r="G10" s="30" t="n">
        <x:v>-30.03</x:v>
      </x:c>
      <x:c r="H10" s="30" t="n">
        <x:v>-71.61</x:v>
      </x:c>
      <x:c r="I10" s="29" t="n">
        <x:v>40</x:v>
      </x:c>
      <x:c r="J10" s="31" t="n">
        <x:v>4.5</x:v>
      </x:c>
      <x:c r="K10" s="25" t="str">
        <x:f>IF(J10&gt;=7,"Muy fuerte (&gt;=7)",IF(J10&gt;=6,"Fuerte (6-6.9)",IF(J10&gt;=5,"Moderado alto (5-5.9)",IF(J10&gt;=4,"Moderado (4-4.9)","Menor a 4"))))</x:f>
        <x:v>Moderado (4-4.9)</x:v>
      </x:c>
      <x:c r="L10" s="25" t="str">
        <x:f>IF(I10&lt;70,"Superficial (&lt;70 km)",IF(I10&lt;=300,"Intermedio (70-300 km)","Profundo (&gt;300 km)"))</x:f>
        <x:v>Superficial (&lt;70 km)</x:v>
      </x:c>
      <x:c r="M10" s="25" t="str">
        <x:f>IF(J10&gt;=5,"Sí","No")</x:f>
        <x:v>No</x:v>
      </x:c>
      <x:c r="N10" s="25" t="str">
        <x:f>IF(J10&gt;=6,"Sí","No")</x:f>
        <x:v>No</x:v>
      </x:c>
      <x:c r="O10" s="25" t="str">
        <x:v>Pendiente: asignar con R/sf</x:v>
      </x:c>
    </x:row>
    <x:row r="11">
      <x:c r="A11" s="25" t="n">
        <x:v>10</x:v>
      </x:c>
      <x:c r="B11" s="26" t="n">
        <x:v>45372.88680555556</x:v>
      </x:c>
      <x:c r="C11" s="27" t="n">
        <x:f>INT(B11)</x:f>
        <x:v>45372</x:v>
      </x:c>
      <x:c r="D11" s="28" t="n">
        <x:f>MOD(B11,1)</x:f>
        <x:v>0.8868055555576575</x:v>
      </x:c>
      <x:c r="E11" s="29" t="n">
        <x:f>YEAR(B11)</x:f>
        <x:v>2024</x:v>
      </x:c>
      <x:c r="F11" s="29" t="n">
        <x:f>MONTH(B11)</x:f>
        <x:v>3</x:v>
      </x:c>
      <x:c r="G11" s="30" t="n">
        <x:v>-30.08</x:v>
      </x:c>
      <x:c r="H11" s="30" t="n">
        <x:v>-71.58</x:v>
      </x:c>
      <x:c r="I11" s="29" t="n">
        <x:v>42</x:v>
      </x:c>
      <x:c r="J11" s="31" t="n">
        <x:v>4.4</x:v>
      </x:c>
      <x:c r="K11" s="25" t="str">
        <x:f>IF(J11&gt;=7,"Muy fuerte (&gt;=7)",IF(J11&gt;=6,"Fuerte (6-6.9)",IF(J11&gt;=5,"Moderado alto (5-5.9)",IF(J11&gt;=4,"Moderado (4-4.9)","Menor a 4"))))</x:f>
        <x:v>Moderado (4-4.9)</x:v>
      </x:c>
      <x:c r="L11" s="25" t="str">
        <x:f>IF(I11&lt;70,"Superficial (&lt;70 km)",IF(I11&lt;=300,"Intermedio (70-300 km)","Profundo (&gt;300 km)"))</x:f>
        <x:v>Superficial (&lt;70 km)</x:v>
      </x:c>
      <x:c r="M11" s="25" t="str">
        <x:f>IF(J11&gt;=5,"Sí","No")</x:f>
        <x:v>No</x:v>
      </x:c>
      <x:c r="N11" s="25" t="str">
        <x:f>IF(J11&gt;=6,"Sí","No")</x:f>
        <x:v>No</x:v>
      </x:c>
      <x:c r="O11" s="25" t="str">
        <x:v>Pendiente: asignar con R/sf</x:v>
      </x:c>
    </x:row>
    <x:row r="12">
      <x:c r="A12" s="25" t="n">
        <x:v>11</x:v>
      </x:c>
      <x:c r="B12" s="26" t="n">
        <x:v>45375.55298611111</x:v>
      </x:c>
      <x:c r="C12" s="27" t="n">
        <x:f>INT(B12)</x:f>
        <x:v>45375</x:v>
      </x:c>
      <x:c r="D12" s="28" t="n">
        <x:f>MOD(B12,1)</x:f>
        <x:v>0.5529861111135688</x:v>
      </x:c>
      <x:c r="E12" s="29" t="n">
        <x:f>YEAR(B12)</x:f>
        <x:v>2024</x:v>
      </x:c>
      <x:c r="F12" s="29" t="n">
        <x:f>MONTH(B12)</x:f>
        <x:v>3</x:v>
      </x:c>
      <x:c r="G12" s="30" t="n">
        <x:v>-30.05</x:v>
      </x:c>
      <x:c r="H12" s="30" t="n">
        <x:v>-71.62</x:v>
      </x:c>
      <x:c r="I12" s="29" t="n">
        <x:v>43</x:v>
      </x:c>
      <x:c r="J12" s="31" t="n">
        <x:v>3.9</x:v>
      </x:c>
      <x:c r="K12" s="25" t="str">
        <x:f>IF(J12&gt;=7,"Muy fuerte (&gt;=7)",IF(J12&gt;=6,"Fuerte (6-6.9)",IF(J12&gt;=5,"Moderado alto (5-5.9)",IF(J12&gt;=4,"Moderado (4-4.9)","Menor a 4"))))</x:f>
        <x:v>Menor a 4</x:v>
      </x:c>
      <x:c r="L12" s="25" t="str">
        <x:f>IF(I12&lt;70,"Superficial (&lt;70 km)",IF(I12&lt;=300,"Intermedio (70-300 km)","Profundo (&gt;300 km)"))</x:f>
        <x:v>Superficial (&lt;70 km)</x:v>
      </x:c>
      <x:c r="M12" s="25" t="str">
        <x:f>IF(J12&gt;=5,"Sí","No")</x:f>
        <x:v>No</x:v>
      </x:c>
      <x:c r="N12" s="25" t="str">
        <x:f>IF(J12&gt;=6,"Sí","No")</x:f>
        <x:v>No</x:v>
      </x:c>
      <x:c r="O12" s="25" t="str">
        <x:v>Pendiente: asignar con R/sf</x:v>
      </x:c>
    </x:row>
    <x:row r="13">
      <x:c r="A13" s="25" t="n">
        <x:v>12</x:v>
      </x:c>
      <x:c r="B13" s="26" t="n">
        <x:v>44784.005011574074</x:v>
      </x:c>
      <x:c r="C13" s="27" t="n">
        <x:f>INT(B13)</x:f>
        <x:v>44784</x:v>
      </x:c>
      <x:c r="D13" s="28" t="n">
        <x:f>MOD(B13,1)</x:f>
        <x:v>0.005011574074160308</x:v>
      </x:c>
      <x:c r="E13" s="29" t="n">
        <x:f>YEAR(B13)</x:f>
        <x:v>2022</x:v>
      </x:c>
      <x:c r="F13" s="29" t="n">
        <x:f>MONTH(B13)</x:f>
        <x:v>8</x:v>
      </x:c>
      <x:c r="G13" s="30" t="n">
        <x:v>-25.77</x:v>
      </x:c>
      <x:c r="H13" s="30" t="n">
        <x:v>-70.64</x:v>
      </x:c>
      <x:c r="I13" s="29" t="n">
        <x:v>53</x:v>
      </x:c>
      <x:c r="J13" s="31" t="n">
        <x:v>4.6</x:v>
      </x:c>
      <x:c r="K13" s="25" t="str">
        <x:f>IF(J13&gt;=7,"Muy fuerte (&gt;=7)",IF(J13&gt;=6,"Fuerte (6-6.9)",IF(J13&gt;=5,"Moderado alto (5-5.9)",IF(J13&gt;=4,"Moderado (4-4.9)","Menor a 4"))))</x:f>
        <x:v>Moderado (4-4.9)</x:v>
      </x:c>
      <x:c r="L13" s="25" t="str">
        <x:f>IF(I13&lt;70,"Superficial (&lt;70 km)",IF(I13&lt;=300,"Intermedio (70-300 km)","Profundo (&gt;300 km)"))</x:f>
        <x:v>Superficial (&lt;70 km)</x:v>
      </x:c>
      <x:c r="M13" s="25" t="str">
        <x:f>IF(J13&gt;=5,"Sí","No")</x:f>
        <x:v>No</x:v>
      </x:c>
      <x:c r="N13" s="25" t="str">
        <x:f>IF(J13&gt;=6,"Sí","No")</x:f>
        <x:v>No</x:v>
      </x:c>
      <x:c r="O13" s="25" t="str">
        <x:v>Pendiente: asignar con R/sf</x:v>
      </x:c>
    </x:row>
    <x:row r="14">
      <x:c r="A14" s="25" t="n">
        <x:v>13</x:v>
      </x:c>
      <x:c r="B14" s="26" t="n">
        <x:v>45292.045439814814</x:v>
      </x:c>
      <x:c r="C14" s="27" t="n">
        <x:f>INT(B14)</x:f>
        <x:v>45292</x:v>
      </x:c>
      <x:c r="D14" s="28" t="n">
        <x:f>MOD(B14,1)</x:f>
        <x:v>0.045439814814017154</x:v>
      </x:c>
      <x:c r="E14" s="29" t="n">
        <x:f>YEAR(B14)</x:f>
        <x:v>2024</x:v>
      </x:c>
      <x:c r="F14" s="29" t="n">
        <x:f>MONTH(B14)</x:f>
        <x:v>1</x:v>
      </x:c>
      <x:c r="G14" s="30" t="n">
        <x:v>-25.3</x:v>
      </x:c>
      <x:c r="H14" s="30" t="n">
        <x:v>-70.5</x:v>
      </x:c>
      <x:c r="I14" s="29" t="n">
        <x:v>25</x:v>
      </x:c>
      <x:c r="J14" s="31" t="n">
        <x:v>4</x:v>
      </x:c>
      <x:c r="K14" s="25" t="str">
        <x:f>IF(J14&gt;=7,"Muy fuerte (&gt;=7)",IF(J14&gt;=6,"Fuerte (6-6.9)",IF(J14&gt;=5,"Moderado alto (5-5.9)",IF(J14&gt;=4,"Moderado (4-4.9)","Menor a 4"))))</x:f>
        <x:v>Moderado (4-4.9)</x:v>
      </x:c>
      <x:c r="L14" s="25" t="str">
        <x:f>IF(I14&lt;70,"Superficial (&lt;70 km)",IF(I14&lt;=300,"Intermedio (70-300 km)","Profundo (&gt;300 km)"))</x:f>
        <x:v>Superficial (&lt;70 km)</x:v>
      </x:c>
      <x:c r="M14" s="25" t="str">
        <x:f>IF(J14&gt;=5,"Sí","No")</x:f>
        <x:v>No</x:v>
      </x:c>
      <x:c r="N14" s="25" t="str">
        <x:f>IF(J14&gt;=6,"Sí","No")</x:f>
        <x:v>No</x:v>
      </x:c>
      <x:c r="O14" s="25" t="str">
        <x:v>Pendiente: asignar con R/sf</x:v>
      </x:c>
    </x:row>
    <x:row r="15">
      <x:c r="A15" s="25" t="n">
        <x:v>14</x:v>
      </x:c>
      <x:c r="B15" s="26" t="n">
        <x:v>44507.425358796296</x:v>
      </x:c>
      <x:c r="C15" s="27" t="n">
        <x:f>INT(B15)</x:f>
        <x:v>44507</x:v>
      </x:c>
      <x:c r="D15" s="28" t="n">
        <x:f>MOD(B15,1)</x:f>
        <x:v>0.4253587962957681</x:v>
      </x:c>
      <x:c r="E15" s="29" t="n">
        <x:f>YEAR(B15)</x:f>
        <x:v>2021</x:v>
      </x:c>
      <x:c r="F15" s="29" t="n">
        <x:f>MONTH(B15)</x:f>
        <x:v>11</x:v>
      </x:c>
      <x:c r="G15" s="30" t="n">
        <x:v>-25.47</x:v>
      </x:c>
      <x:c r="H15" s="30" t="n">
        <x:v>-69.72</x:v>
      </x:c>
      <x:c r="I15" s="29" t="n">
        <x:v>84</x:v>
      </x:c>
      <x:c r="J15" s="31" t="n">
        <x:v>4.2</x:v>
      </x:c>
      <x:c r="K15" s="25" t="str">
        <x:f>IF(J15&gt;=7,"Muy fuerte (&gt;=7)",IF(J15&gt;=6,"Fuerte (6-6.9)",IF(J15&gt;=5,"Moderado alto (5-5.9)",IF(J15&gt;=4,"Moderado (4-4.9)","Menor a 4"))))</x:f>
        <x:v>Moderado (4-4.9)</x:v>
      </x:c>
      <x:c r="L15" s="25" t="str">
        <x:f>IF(I15&lt;70,"Superficial (&lt;70 km)",IF(I15&lt;=300,"Intermedio (70-300 km)","Profundo (&gt;300 km)"))</x:f>
        <x:v>Intermedio (70-300 km)</x:v>
      </x:c>
      <x:c r="M15" s="25" t="str">
        <x:f>IF(J15&gt;=5,"Sí","No")</x:f>
        <x:v>No</x:v>
      </x:c>
      <x:c r="N15" s="25" t="str">
        <x:f>IF(J15&gt;=6,"Sí","No")</x:f>
        <x:v>No</x:v>
      </x:c>
      <x:c r="O15" s="25" t="str">
        <x:v>Pendiente: asignar con R/sf</x:v>
      </x:c>
    </x:row>
    <x:row r="16">
      <x:c r="A16" s="25" t="n">
        <x:v>15</x:v>
      </x:c>
      <x:c r="B16" s="26" t="n">
        <x:v>44659.096504629626</x:v>
      </x:c>
      <x:c r="C16" s="27" t="n">
        <x:f>INT(B16)</x:f>
        <x:v>44659</x:v>
      </x:c>
      <x:c r="D16" s="28" t="n">
        <x:f>MOD(B16,1)</x:f>
        <x:v>0.09650462962599704</x:v>
      </x:c>
      <x:c r="E16" s="29" t="n">
        <x:f>YEAR(B16)</x:f>
        <x:v>2022</x:v>
      </x:c>
      <x:c r="F16" s="29" t="n">
        <x:f>MONTH(B16)</x:f>
        <x:v>4</x:v>
      </x:c>
      <x:c r="G16" s="30" t="n">
        <x:v>-25.5</x:v>
      </x:c>
      <x:c r="H16" s="30" t="n">
        <x:v>-70.93</x:v>
      </x:c>
      <x:c r="I16" s="29" t="n">
        <x:v>37</x:v>
      </x:c>
      <x:c r="J16" s="31" t="n">
        <x:v>4.2</x:v>
      </x:c>
      <x:c r="K16" s="25" t="str">
        <x:f>IF(J16&gt;=7,"Muy fuerte (&gt;=7)",IF(J16&gt;=6,"Fuerte (6-6.9)",IF(J16&gt;=5,"Moderado alto (5-5.9)",IF(J16&gt;=4,"Moderado (4-4.9)","Menor a 4"))))</x:f>
        <x:v>Moderado (4-4.9)</x:v>
      </x:c>
      <x:c r="L16" s="25" t="str">
        <x:f>IF(I16&lt;70,"Superficial (&lt;70 km)",IF(I16&lt;=300,"Intermedio (70-300 km)","Profundo (&gt;300 km)"))</x:f>
        <x:v>Superficial (&lt;70 km)</x:v>
      </x:c>
      <x:c r="M16" s="25" t="str">
        <x:f>IF(J16&gt;=5,"Sí","No")</x:f>
        <x:v>No</x:v>
      </x:c>
      <x:c r="N16" s="25" t="str">
        <x:f>IF(J16&gt;=6,"Sí","No")</x:f>
        <x:v>No</x:v>
      </x:c>
      <x:c r="O16" s="25" t="str">
        <x:v>Pendiente: asignar con R/sf</x:v>
      </x:c>
    </x:row>
    <x:row r="17">
      <x:c r="A17" s="25" t="n">
        <x:v>16</x:v>
      </x:c>
      <x:c r="B17" s="26" t="n">
        <x:v>44670.538993055554</x:v>
      </x:c>
      <x:c r="C17" s="27" t="n">
        <x:f>INT(B17)</x:f>
        <x:v>44670</x:v>
      </x:c>
      <x:c r="D17" s="28" t="n">
        <x:f>MOD(B17,1)</x:f>
        <x:v>0.538993055553874</x:v>
      </x:c>
      <x:c r="E17" s="29" t="n">
        <x:f>YEAR(B17)</x:f>
        <x:v>2022</x:v>
      </x:c>
      <x:c r="F17" s="29" t="n">
        <x:f>MONTH(B17)</x:f>
        <x:v>4</x:v>
      </x:c>
      <x:c r="G17" s="30" t="n">
        <x:v>-24.67</x:v>
      </x:c>
      <x:c r="H17" s="30" t="n">
        <x:v>-67.24</x:v>
      </x:c>
      <x:c r="I17" s="29" t="n">
        <x:v>189</x:v>
      </x:c>
      <x:c r="J17" s="31" t="n">
        <x:v>4.6</x:v>
      </x:c>
      <x:c r="K17" s="25" t="str">
        <x:f>IF(J17&gt;=7,"Muy fuerte (&gt;=7)",IF(J17&gt;=6,"Fuerte (6-6.9)",IF(J17&gt;=5,"Moderado alto (5-5.9)",IF(J17&gt;=4,"Moderado (4-4.9)","Menor a 4"))))</x:f>
        <x:v>Moderado (4-4.9)</x:v>
      </x:c>
      <x:c r="L17" s="25" t="str">
        <x:f>IF(I17&lt;70,"Superficial (&lt;70 km)",IF(I17&lt;=300,"Intermedio (70-300 km)","Profundo (&gt;300 km)"))</x:f>
        <x:v>Intermedio (70-300 km)</x:v>
      </x:c>
      <x:c r="M17" s="25" t="str">
        <x:f>IF(J17&gt;=5,"Sí","No")</x:f>
        <x:v>No</x:v>
      </x:c>
      <x:c r="N17" s="25" t="str">
        <x:f>IF(J17&gt;=6,"Sí","No")</x:f>
        <x:v>No</x:v>
      </x:c>
      <x:c r="O17" s="25" t="str">
        <x:v>Pendiente: asignar con R/sf</x:v>
      </x:c>
    </x:row>
    <x:row r="18">
      <x:c r="A18" s="25" t="n">
        <x:v>17</x:v>
      </x:c>
      <x:c r="B18" s="26" t="n">
        <x:v>44696.08335648148</x:v>
      </x:c>
      <x:c r="C18" s="27" t="n">
        <x:f>INT(B18)</x:f>
        <x:v>44696</x:v>
      </x:c>
      <x:c r="D18" s="28" t="n">
        <x:f>MOD(B18,1)</x:f>
        <x:v>0.083356481482042</x:v>
      </x:c>
      <x:c r="E18" s="29" t="n">
        <x:f>YEAR(B18)</x:f>
        <x:v>2022</x:v>
      </x:c>
      <x:c r="F18" s="29" t="n">
        <x:f>MONTH(B18)</x:f>
        <x:v>5</x:v>
      </x:c>
      <x:c r="G18" s="30" t="n">
        <x:v>-25.89</x:v>
      </x:c>
      <x:c r="H18" s="30" t="n">
        <x:v>-70.34</x:v>
      </x:c>
      <x:c r="I18" s="29" t="n">
        <x:v>75</x:v>
      </x:c>
      <x:c r="J18" s="31" t="n">
        <x:v>4.1</x:v>
      </x:c>
      <x:c r="K18" s="25" t="str">
        <x:f>IF(J18&gt;=7,"Muy fuerte (&gt;=7)",IF(J18&gt;=6,"Fuerte (6-6.9)",IF(J18&gt;=5,"Moderado alto (5-5.9)",IF(J18&gt;=4,"Moderado (4-4.9)","Menor a 4"))))</x:f>
        <x:v>Moderado (4-4.9)</x:v>
      </x:c>
      <x:c r="L18" s="25" t="str">
        <x:f>IF(I18&lt;70,"Superficial (&lt;70 km)",IF(I18&lt;=300,"Intermedio (70-300 km)","Profundo (&gt;300 km)"))</x:f>
        <x:v>Intermedio (70-300 km)</x:v>
      </x:c>
      <x:c r="M18" s="25" t="str">
        <x:f>IF(J18&gt;=5,"Sí","No")</x:f>
        <x:v>No</x:v>
      </x:c>
      <x:c r="N18" s="25" t="str">
        <x:f>IF(J18&gt;=6,"Sí","No")</x:f>
        <x:v>No</x:v>
      </x:c>
      <x:c r="O18" s="25" t="str">
        <x:v>Pendiente: asignar con R/sf</x:v>
      </x:c>
    </x:row>
    <x:row r="19">
      <x:c r="A19" s="25" t="n">
        <x:v>18</x:v>
      </x:c>
      <x:c r="B19" s="26" t="n">
        <x:v>44832.491585648146</x:v>
      </x:c>
      <x:c r="C19" s="27" t="n">
        <x:f>INT(B19)</x:f>
        <x:v>44832</x:v>
      </x:c>
      <x:c r="D19" s="28" t="n">
        <x:f>MOD(B19,1)</x:f>
        <x:v>0.49158564814570127</x:v>
      </x:c>
      <x:c r="E19" s="29" t="n">
        <x:f>YEAR(B19)</x:f>
        <x:v>2022</x:v>
      </x:c>
      <x:c r="F19" s="29" t="n">
        <x:f>MONTH(B19)</x:f>
        <x:v>9</x:v>
      </x:c>
      <x:c r="G19" s="30" t="n">
        <x:v>-25.72</x:v>
      </x:c>
      <x:c r="H19" s="30" t="n">
        <x:v>-70.37</x:v>
      </x:c>
      <x:c r="I19" s="29" t="n">
        <x:v>79</x:v>
      </x:c>
      <x:c r="J19" s="31" t="n">
        <x:v>4.2</x:v>
      </x:c>
      <x:c r="K19" s="25" t="str">
        <x:f>IF(J19&gt;=7,"Muy fuerte (&gt;=7)",IF(J19&gt;=6,"Fuerte (6-6.9)",IF(J19&gt;=5,"Moderado alto (5-5.9)",IF(J19&gt;=4,"Moderado (4-4.9)","Menor a 4"))))</x:f>
        <x:v>Moderado (4-4.9)</x:v>
      </x:c>
      <x:c r="L19" s="25" t="str">
        <x:f>IF(I19&lt;70,"Superficial (&lt;70 km)",IF(I19&lt;=300,"Intermedio (70-300 km)","Profundo (&gt;300 km)"))</x:f>
        <x:v>Intermedio (70-300 km)</x:v>
      </x:c>
      <x:c r="M19" s="25" t="str">
        <x:f>IF(J19&gt;=5,"Sí","No")</x:f>
        <x:v>No</x:v>
      </x:c>
      <x:c r="N19" s="25" t="str">
        <x:f>IF(J19&gt;=6,"Sí","No")</x:f>
        <x:v>No</x:v>
      </x:c>
      <x:c r="O19" s="25" t="str">
        <x:v>Pendiente: asignar con R/sf</x:v>
      </x:c>
    </x:row>
    <x:row r="20">
      <x:c r="A20" s="25" t="n">
        <x:v>19</x:v>
      </x:c>
      <x:c r="B20" s="26" t="n">
        <x:v>44937.84738425926</x:v>
      </x:c>
      <x:c r="C20" s="27" t="n">
        <x:f>INT(B20)</x:f>
        <x:v>44937</x:v>
      </x:c>
      <x:c r="D20" s="28" t="n">
        <x:f>MOD(B20,1)</x:f>
        <x:v>0.8473842592575238</x:v>
      </x:c>
      <x:c r="E20" s="29" t="n">
        <x:f>YEAR(B20)</x:f>
        <x:v>2023</x:v>
      </x:c>
      <x:c r="F20" s="29" t="n">
        <x:f>MONTH(B20)</x:f>
        <x:v>1</x:v>
      </x:c>
      <x:c r="G20" s="30" t="n">
        <x:v>-25.61</x:v>
      </x:c>
      <x:c r="H20" s="30" t="n">
        <x:v>-70.81</x:v>
      </x:c>
      <x:c r="I20" s="29" t="n">
        <x:v>54</x:v>
      </x:c>
      <x:c r="J20" s="31" t="n">
        <x:v>4</x:v>
      </x:c>
      <x:c r="K20" s="25" t="str">
        <x:f>IF(J20&gt;=7,"Muy fuerte (&gt;=7)",IF(J20&gt;=6,"Fuerte (6-6.9)",IF(J20&gt;=5,"Moderado alto (5-5.9)",IF(J20&gt;=4,"Moderado (4-4.9)","Menor a 4"))))</x:f>
        <x:v>Moderado (4-4.9)</x:v>
      </x:c>
      <x:c r="L20" s="25" t="str">
        <x:f>IF(I20&lt;70,"Superficial (&lt;70 km)",IF(I20&lt;=300,"Intermedio (70-300 km)","Profundo (&gt;300 km)"))</x:f>
        <x:v>Superficial (&lt;70 km)</x:v>
      </x:c>
      <x:c r="M20" s="25" t="str">
        <x:f>IF(J20&gt;=5,"Sí","No")</x:f>
        <x:v>No</x:v>
      </x:c>
      <x:c r="N20" s="25" t="str">
        <x:f>IF(J20&gt;=6,"Sí","No")</x:f>
        <x:v>No</x:v>
      </x:c>
      <x:c r="O20" s="25" t="str">
        <x:v>Pendiente: asignar con R/sf</x:v>
      </x:c>
    </x:row>
    <x:row r="21">
      <x:c r="A21" s="25" t="n">
        <x:v>20</x:v>
      </x:c>
      <x:c r="B21" s="26" t="n">
        <x:v>45007.638090277775</x:v>
      </x:c>
      <x:c r="C21" s="27" t="n">
        <x:f>INT(B21)</x:f>
        <x:v>45007</x:v>
      </x:c>
      <x:c r="D21" s="28" t="n">
        <x:f>MOD(B21,1)</x:f>
        <x:v>0.6380902777746087</x:v>
      </x:c>
      <x:c r="E21" s="29" t="n">
        <x:f>YEAR(B21)</x:f>
        <x:v>2023</x:v>
      </x:c>
      <x:c r="F21" s="29" t="n">
        <x:f>MONTH(B21)</x:f>
        <x:v>3</x:v>
      </x:c>
      <x:c r="G21" s="30" t="n">
        <x:v>-23.51</x:v>
      </x:c>
      <x:c r="H21" s="30" t="n">
        <x:v>-66.72</x:v>
      </x:c>
      <x:c r="I21" s="29" t="n">
        <x:v>228</x:v>
      </x:c>
      <x:c r="J21" s="31" t="n">
        <x:v>5.3</x:v>
      </x:c>
      <x:c r="K21" s="25" t="str">
        <x:f>IF(J21&gt;=7,"Muy fuerte (&gt;=7)",IF(J21&gt;=6,"Fuerte (6-6.9)",IF(J21&gt;=5,"Moderado alto (5-5.9)",IF(J21&gt;=4,"Moderado (4-4.9)","Menor a 4"))))</x:f>
        <x:v>Moderado alto (5-5.9)</x:v>
      </x:c>
      <x:c r="L21" s="25" t="str">
        <x:f>IF(I21&lt;70,"Superficial (&lt;70 km)",IF(I21&lt;=300,"Intermedio (70-300 km)","Profundo (&gt;300 km)"))</x:f>
        <x:v>Intermedio (70-300 km)</x:v>
      </x:c>
      <x:c r="M21" s="25" t="str">
        <x:f>IF(J21&gt;=5,"Sí","No")</x:f>
        <x:v>Sí</x:v>
      </x:c>
      <x:c r="N21" s="25" t="str">
        <x:f>IF(J21&gt;=6,"Sí","No")</x:f>
        <x:v>No</x:v>
      </x:c>
      <x:c r="O21" s="25" t="str">
        <x:v>Pendiente: asignar con R/sf</x:v>
      </x:c>
    </x:row>
    <x:row r="22">
      <x:c r="A22" s="25" t="n">
        <x:v>21</x:v>
      </x:c>
      <x:c r="B22" s="26" t="n">
        <x:v>45115.02890046296</x:v>
      </x:c>
      <x:c r="C22" s="27" t="n">
        <x:f>INT(B22)</x:f>
        <x:v>45115</x:v>
      </x:c>
      <x:c r="D22" s="28" t="n">
        <x:f>MOD(B22,1)</x:f>
        <x:v>0.028900462959427387</x:v>
      </x:c>
      <x:c r="E22" s="29" t="n">
        <x:f>YEAR(B22)</x:f>
        <x:v>2023</x:v>
      </x:c>
      <x:c r="F22" s="29" t="n">
        <x:f>MONTH(B22)</x:f>
        <x:v>7</x:v>
      </x:c>
      <x:c r="G22" s="30" t="n">
        <x:v>-25.51</x:v>
      </x:c>
      <x:c r="H22" s="30" t="n">
        <x:v>-70.84</x:v>
      </x:c>
      <x:c r="I22" s="29" t="n">
        <x:v>31</x:v>
      </x:c>
      <x:c r="J22" s="31" t="n">
        <x:v>3.6</x:v>
      </x:c>
      <x:c r="K22" s="25" t="str">
        <x:f>IF(J22&gt;=7,"Muy fuerte (&gt;=7)",IF(J22&gt;=6,"Fuerte (6-6.9)",IF(J22&gt;=5,"Moderado alto (5-5.9)",IF(J22&gt;=4,"Moderado (4-4.9)","Menor a 4"))))</x:f>
        <x:v>Menor a 4</x:v>
      </x:c>
      <x:c r="L22" s="25" t="str">
        <x:f>IF(I22&lt;70,"Superficial (&lt;70 km)",IF(I22&lt;=300,"Intermedio (70-300 km)","Profundo (&gt;300 km)"))</x:f>
        <x:v>Superficial (&lt;70 km)</x:v>
      </x:c>
      <x:c r="M22" s="25" t="str">
        <x:f>IF(J22&gt;=5,"Sí","No")</x:f>
        <x:v>No</x:v>
      </x:c>
      <x:c r="N22" s="25" t="str">
        <x:f>IF(J22&gt;=6,"Sí","No")</x:f>
        <x:v>No</x:v>
      </x:c>
      <x:c r="O22" s="25" t="str">
        <x:v>Pendiente: asignar con R/sf</x:v>
      </x:c>
    </x:row>
    <x:row r="23">
      <x:c r="A23" s="25" t="n">
        <x:v>22</x:v>
      </x:c>
      <x:c r="B23" s="26" t="n">
        <x:v>45166.492164351854</x:v>
      </x:c>
      <x:c r="C23" s="27" t="n">
        <x:f>INT(B23)</x:f>
        <x:v>45166</x:v>
      </x:c>
      <x:c r="D23" s="28" t="n">
        <x:f>MOD(B23,1)</x:f>
        <x:v>0.49216435185371665</x:v>
      </x:c>
      <x:c r="E23" s="29" t="n">
        <x:f>YEAR(B23)</x:f>
        <x:v>2023</x:v>
      </x:c>
      <x:c r="F23" s="29" t="n">
        <x:f>MONTH(B23)</x:f>
        <x:v>8</x:v>
      </x:c>
      <x:c r="G23" s="30" t="n">
        <x:v>-25.92</x:v>
      </x:c>
      <x:c r="H23" s="30" t="n">
        <x:v>-70.76</x:v>
      </x:c>
      <x:c r="I23" s="29" t="n">
        <x:v>67</x:v>
      </x:c>
      <x:c r="J23" s="31" t="n">
        <x:v>4.2</x:v>
      </x:c>
      <x:c r="K23" s="25" t="str">
        <x:f>IF(J23&gt;=7,"Muy fuerte (&gt;=7)",IF(J23&gt;=6,"Fuerte (6-6.9)",IF(J23&gt;=5,"Moderado alto (5-5.9)",IF(J23&gt;=4,"Moderado (4-4.9)","Menor a 4"))))</x:f>
        <x:v>Moderado (4-4.9)</x:v>
      </x:c>
      <x:c r="L23" s="25" t="str">
        <x:f>IF(I23&lt;70,"Superficial (&lt;70 km)",IF(I23&lt;=300,"Intermedio (70-300 km)","Profundo (&gt;300 km)"))</x:f>
        <x:v>Superficial (&lt;70 km)</x:v>
      </x:c>
      <x:c r="M23" s="25" t="str">
        <x:f>IF(J23&gt;=5,"Sí","No")</x:f>
        <x:v>No</x:v>
      </x:c>
      <x:c r="N23" s="25" t="str">
        <x:f>IF(J23&gt;=6,"Sí","No")</x:f>
        <x:v>No</x:v>
      </x:c>
      <x:c r="O23" s="25" t="str">
        <x:v>Pendiente: asignar con R/sf</x:v>
      </x:c>
    </x:row>
    <x:row r="24">
      <x:c r="A24" s="25" t="n">
        <x:v>23</x:v>
      </x:c>
      <x:c r="B24" s="26" t="n">
        <x:v>45232.227268518516</x:v>
      </x:c>
      <x:c r="C24" s="27" t="n">
        <x:f>INT(B24)</x:f>
        <x:v>45232</x:v>
      </x:c>
      <x:c r="D24" s="28" t="n">
        <x:f>MOD(B24,1)</x:f>
        <x:v>0.22726851851621177</x:v>
      </x:c>
      <x:c r="E24" s="29" t="n">
        <x:f>YEAR(B24)</x:f>
        <x:v>2023</x:v>
      </x:c>
      <x:c r="F24" s="29" t="n">
        <x:f>MONTH(B24)</x:f>
        <x:v>11</x:v>
      </x:c>
      <x:c r="G24" s="30" t="n">
        <x:v>-24.95</x:v>
      </x:c>
      <x:c r="H24" s="30" t="n">
        <x:v>-70.97</x:v>
      </x:c>
      <x:c r="I24" s="29" t="n">
        <x:v>48</x:v>
      </x:c>
      <x:c r="J24" s="31" t="n">
        <x:v>4</x:v>
      </x:c>
      <x:c r="K24" s="25" t="str">
        <x:f>IF(J24&gt;=7,"Muy fuerte (&gt;=7)",IF(J24&gt;=6,"Fuerte (6-6.9)",IF(J24&gt;=5,"Moderado alto (5-5.9)",IF(J24&gt;=4,"Moderado (4-4.9)","Menor a 4"))))</x:f>
        <x:v>Moderado (4-4.9)</x:v>
      </x:c>
      <x:c r="L24" s="25" t="str">
        <x:f>IF(I24&lt;70,"Superficial (&lt;70 km)",IF(I24&lt;=300,"Intermedio (70-300 km)","Profundo (&gt;300 km)"))</x:f>
        <x:v>Superficial (&lt;70 km)</x:v>
      </x:c>
      <x:c r="M24" s="25" t="str">
        <x:f>IF(J24&gt;=5,"Sí","No")</x:f>
        <x:v>No</x:v>
      </x:c>
      <x:c r="N24" s="25" t="str">
        <x:f>IF(J24&gt;=6,"Sí","No")</x:f>
        <x:v>No</x:v>
      </x:c>
      <x:c r="O24" s="25" t="str">
        <x:v>Pendiente: asignar con R/sf</x:v>
      </x:c>
    </x:row>
    <x:row r="25">
      <x:c r="A25" s="25" t="n">
        <x:v>24</x:v>
      </x:c>
      <x:c r="B25" s="26" t="n">
        <x:v>45269.87111111111</x:v>
      </x:c>
      <x:c r="C25" s="27" t="n">
        <x:f>INT(B25)</x:f>
        <x:v>45269</x:v>
      </x:c>
      <x:c r="D25" s="28" t="n">
        <x:f>MOD(B25,1)</x:f>
        <x:v>0.8711111111115315</x:v>
      </x:c>
      <x:c r="E25" s="29" t="n">
        <x:f>YEAR(B25)</x:f>
        <x:v>2023</x:v>
      </x:c>
      <x:c r="F25" s="29" t="n">
        <x:f>MONTH(B25)</x:f>
        <x:v>12</x:v>
      </x:c>
      <x:c r="G25" s="30" t="n">
        <x:v>-25.52</x:v>
      </x:c>
      <x:c r="H25" s="30" t="n">
        <x:v>-70.77</x:v>
      </x:c>
      <x:c r="I25" s="29" t="n">
        <x:v>36</x:v>
      </x:c>
      <x:c r="J25" s="31" t="n">
        <x:v>3.8</x:v>
      </x:c>
      <x:c r="K25" s="25" t="str">
        <x:f>IF(J25&gt;=7,"Muy fuerte (&gt;=7)",IF(J25&gt;=6,"Fuerte (6-6.9)",IF(J25&gt;=5,"Moderado alto (5-5.9)",IF(J25&gt;=4,"Moderado (4-4.9)","Menor a 4"))))</x:f>
        <x:v>Menor a 4</x:v>
      </x:c>
      <x:c r="L25" s="25" t="str">
        <x:f>IF(I25&lt;70,"Superficial (&lt;70 km)",IF(I25&lt;=300,"Intermedio (70-300 km)","Profundo (&gt;300 km)"))</x:f>
        <x:v>Superficial (&lt;70 km)</x:v>
      </x:c>
      <x:c r="M25" s="25" t="str">
        <x:f>IF(J25&gt;=5,"Sí","No")</x:f>
        <x:v>No</x:v>
      </x:c>
      <x:c r="N25" s="25" t="str">
        <x:f>IF(J25&gt;=6,"Sí","No")</x:f>
        <x:v>No</x:v>
      </x:c>
      <x:c r="O25" s="25" t="str">
        <x:v>Pendiente: asignar con R/sf</x:v>
      </x:c>
    </x:row>
    <x:row r="26">
      <x:c r="A26" s="25" t="n">
        <x:v>25</x:v>
      </x:c>
      <x:c r="B26" s="26" t="n">
        <x:v>44548.846030092594</x:v>
      </x:c>
      <x:c r="C26" s="27" t="n">
        <x:f>INT(B26)</x:f>
        <x:v>44548</x:v>
      </x:c>
      <x:c r="D26" s="28" t="n">
        <x:f>MOD(B26,1)</x:f>
        <x:v>0.8460300925944466</x:v>
      </x:c>
      <x:c r="E26" s="29" t="n">
        <x:f>YEAR(B26)</x:f>
        <x:v>2021</x:v>
      </x:c>
      <x:c r="F26" s="29" t="n">
        <x:f>MONTH(B26)</x:f>
        <x:v>12</x:v>
      </x:c>
      <x:c r="G26" s="30" t="n">
        <x:v>-25.59</x:v>
      </x:c>
      <x:c r="H26" s="30" t="n">
        <x:v>-70.34</x:v>
      </x:c>
      <x:c r="I26" s="29" t="n">
        <x:v>28</x:v>
      </x:c>
      <x:c r="J26" s="31" t="n">
        <x:v>3</x:v>
      </x:c>
      <x:c r="K26" s="25" t="str">
        <x:f>IF(J26&gt;=7,"Muy fuerte (&gt;=7)",IF(J26&gt;=6,"Fuerte (6-6.9)",IF(J26&gt;=5,"Moderado alto (5-5.9)",IF(J26&gt;=4,"Moderado (4-4.9)","Menor a 4"))))</x:f>
        <x:v>Menor a 4</x:v>
      </x:c>
      <x:c r="L26" s="25" t="str">
        <x:f>IF(I26&lt;70,"Superficial (&lt;70 km)",IF(I26&lt;=300,"Intermedio (70-300 km)","Profundo (&gt;300 km)"))</x:f>
        <x:v>Superficial (&lt;70 km)</x:v>
      </x:c>
      <x:c r="M26" s="25" t="str">
        <x:f>IF(J26&gt;=5,"Sí","No")</x:f>
        <x:v>No</x:v>
      </x:c>
      <x:c r="N26" s="25" t="str">
        <x:f>IF(J26&gt;=6,"Sí","No")</x:f>
        <x:v>No</x:v>
      </x:c>
      <x:c r="O26" s="25" t="str">
        <x:v>Pendiente: asignar con R/sf</x:v>
      </x:c>
    </x:row>
    <x:row r="27">
      <x:c r="A27" s="25" t="n">
        <x:v>26</x:v>
      </x:c>
      <x:c r="B27" s="26" t="n">
        <x:v>45212.86387731481</x:v>
      </x:c>
      <x:c r="C27" s="27" t="n">
        <x:f>INT(B27)</x:f>
        <x:v>45212</x:v>
      </x:c>
      <x:c r="D27" s="28" t="n">
        <x:f>MOD(B27,1)</x:f>
        <x:v>0.8638773148122709</x:v>
      </x:c>
      <x:c r="E27" s="29" t="n">
        <x:f>YEAR(B27)</x:f>
        <x:v>2023</x:v>
      </x:c>
      <x:c r="F27" s="29" t="n">
        <x:f>MONTH(B27)</x:f>
        <x:v>10</x:v>
      </x:c>
      <x:c r="G27" s="30" t="n">
        <x:v>-25.18</x:v>
      </x:c>
      <x:c r="H27" s="30" t="n">
        <x:v>-70.82</x:v>
      </x:c>
      <x:c r="I27" s="29" t="n">
        <x:v>50</x:v>
      </x:c>
      <x:c r="J27" s="31" t="n">
        <x:v>3.4</x:v>
      </x:c>
      <x:c r="K27" s="25" t="str">
        <x:f>IF(J27&gt;=7,"Muy fuerte (&gt;=7)",IF(J27&gt;=6,"Fuerte (6-6.9)",IF(J27&gt;=5,"Moderado alto (5-5.9)",IF(J27&gt;=4,"Moderado (4-4.9)","Menor a 4"))))</x:f>
        <x:v>Menor a 4</x:v>
      </x:c>
      <x:c r="L27" s="25" t="str">
        <x:f>IF(I27&lt;70,"Superficial (&lt;70 km)",IF(I27&lt;=300,"Intermedio (70-300 km)","Profundo (&gt;300 km)"))</x:f>
        <x:v>Superficial (&lt;70 km)</x:v>
      </x:c>
      <x:c r="M27" s="25" t="str">
        <x:f>IF(J27&gt;=5,"Sí","No")</x:f>
        <x:v>No</x:v>
      </x:c>
      <x:c r="N27" s="25" t="str">
        <x:f>IF(J27&gt;=6,"Sí","No")</x:f>
        <x:v>No</x:v>
      </x:c>
      <x:c r="O27" s="25" t="str">
        <x:v>Pendiente: asignar con R/sf</x:v>
      </x:c>
    </x:row>
    <x:row r="28">
      <x:c r="A28" s="25" t="n">
        <x:v>27</x:v>
      </x:c>
      <x:c r="B28" s="26" t="n">
        <x:v>45320.368483796294</x:v>
      </x:c>
      <x:c r="C28" s="27" t="n">
        <x:f>INT(B28)</x:f>
        <x:v>45320</x:v>
      </x:c>
      <x:c r="D28" s="28" t="n">
        <x:f>MOD(B28,1)</x:f>
        <x:v>0.36848379629373085</x:v>
      </x:c>
      <x:c r="E28" s="29" t="n">
        <x:f>YEAR(B28)</x:f>
        <x:v>2024</x:v>
      </x:c>
      <x:c r="F28" s="29" t="n">
        <x:f>MONTH(B28)</x:f>
        <x:v>1</x:v>
      </x:c>
      <x:c r="G28" s="30" t="n">
        <x:v>-25.53</x:v>
      </x:c>
      <x:c r="H28" s="30" t="n">
        <x:v>-71.05</x:v>
      </x:c>
      <x:c r="I28" s="29" t="n">
        <x:v>26</x:v>
      </x:c>
      <x:c r="J28" s="31" t="n">
        <x:v>3.6</x:v>
      </x:c>
      <x:c r="K28" s="25" t="str">
        <x:f>IF(J28&gt;=7,"Muy fuerte (&gt;=7)",IF(J28&gt;=6,"Fuerte (6-6.9)",IF(J28&gt;=5,"Moderado alto (5-5.9)",IF(J28&gt;=4,"Moderado (4-4.9)","Menor a 4"))))</x:f>
        <x:v>Menor a 4</x:v>
      </x:c>
      <x:c r="L28" s="25" t="str">
        <x:f>IF(I28&lt;70,"Superficial (&lt;70 km)",IF(I28&lt;=300,"Intermedio (70-300 km)","Profundo (&gt;300 km)"))</x:f>
        <x:v>Superficial (&lt;70 km)</x:v>
      </x:c>
      <x:c r="M28" s="25" t="str">
        <x:f>IF(J28&gt;=5,"Sí","No")</x:f>
        <x:v>No</x:v>
      </x:c>
      <x:c r="N28" s="25" t="str">
        <x:f>IF(J28&gt;=6,"Sí","No")</x:f>
        <x:v>No</x:v>
      </x:c>
      <x:c r="O28" s="25" t="str">
        <x:v>Pendiente: asignar con R/sf</x:v>
      </x:c>
    </x:row>
    <x:row r="29">
      <x:c r="A29" s="25" t="n">
        <x:v>28</x:v>
      </x:c>
      <x:c r="B29" s="26" t="n">
        <x:v>45476.76428240741</x:v>
      </x:c>
      <x:c r="C29" s="27" t="n">
        <x:f>INT(B29)</x:f>
        <x:v>45476</x:v>
      </x:c>
      <x:c r="D29" s="28" t="n">
        <x:f>MOD(B29,1)</x:f>
        <x:v>0.7642824074064265</x:v>
      </x:c>
      <x:c r="E29" s="29" t="n">
        <x:f>YEAR(B29)</x:f>
        <x:v>2024</x:v>
      </x:c>
      <x:c r="F29" s="29" t="n">
        <x:f>MONTH(B29)</x:f>
        <x:v>7</x:v>
      </x:c>
      <x:c r="G29" s="30" t="n">
        <x:v>-23.05</x:v>
      </x:c>
      <x:c r="H29" s="30" t="n">
        <x:v>-68.97</x:v>
      </x:c>
      <x:c r="I29" s="29" t="n">
        <x:v>132</x:v>
      </x:c>
      <x:c r="J29" s="31" t="n">
        <x:v>5.5</x:v>
      </x:c>
      <x:c r="K29" s="25" t="str">
        <x:f>IF(J29&gt;=7,"Muy fuerte (&gt;=7)",IF(J29&gt;=6,"Fuerte (6-6.9)",IF(J29&gt;=5,"Moderado alto (5-5.9)",IF(J29&gt;=4,"Moderado (4-4.9)","Menor a 4"))))</x:f>
        <x:v>Moderado alto (5-5.9)</x:v>
      </x:c>
      <x:c r="L29" s="25" t="str">
        <x:f>IF(I29&lt;70,"Superficial (&lt;70 km)",IF(I29&lt;=300,"Intermedio (70-300 km)","Profundo (&gt;300 km)"))</x:f>
        <x:v>Intermedio (70-300 km)</x:v>
      </x:c>
      <x:c r="M29" s="25" t="str">
        <x:f>IF(J29&gt;=5,"Sí","No")</x:f>
        <x:v>Sí</x:v>
      </x:c>
      <x:c r="N29" s="25" t="str">
        <x:f>IF(J29&gt;=6,"Sí","No")</x:f>
        <x:v>No</x:v>
      </x:c>
      <x:c r="O29" s="25" t="str">
        <x:v>Pendiente: asignar con R/sf</x:v>
      </x:c>
    </x:row>
    <x:row r="30">
      <x:c r="A30" s="25" t="n">
        <x:v>29</x:v>
      </x:c>
      <x:c r="B30" s="26" t="n">
        <x:v>45492.07693287037</x:v>
      </x:c>
      <x:c r="C30" s="27" t="n">
        <x:f>INT(B30)</x:f>
        <x:v>45492</x:v>
      </x:c>
      <x:c r="D30" s="28" t="n">
        <x:f>MOD(B30,1)</x:f>
        <x:v>0.0769328703681822</x:v>
      </x:c>
      <x:c r="E30" s="29" t="n">
        <x:f>YEAR(B30)</x:f>
        <x:v>2024</x:v>
      </x:c>
      <x:c r="F30" s="29" t="n">
        <x:f>MONTH(B30)</x:f>
        <x:v>7</x:v>
      </x:c>
      <x:c r="G30" s="30" t="n">
        <x:v>-23.12</x:v>
      </x:c>
      <x:c r="H30" s="30" t="n">
        <x:v>-68.07</x:v>
      </x:c>
      <x:c r="I30" s="29" t="n">
        <x:v>145</x:v>
      </x:c>
      <x:c r="J30" s="31" t="n">
        <x:v>7.4</x:v>
      </x:c>
      <x:c r="K30" s="25" t="str">
        <x:f>IF(J30&gt;=7,"Muy fuerte (&gt;=7)",IF(J30&gt;=6,"Fuerte (6-6.9)",IF(J30&gt;=5,"Moderado alto (5-5.9)",IF(J30&gt;=4,"Moderado (4-4.9)","Menor a 4"))))</x:f>
        <x:v>Muy fuerte (&gt;=7)</x:v>
      </x:c>
      <x:c r="L30" s="25" t="str">
        <x:f>IF(I30&lt;70,"Superficial (&lt;70 km)",IF(I30&lt;=300,"Intermedio (70-300 km)","Profundo (&gt;300 km)"))</x:f>
        <x:v>Intermedio (70-300 km)</x:v>
      </x:c>
      <x:c r="M30" s="25" t="str">
        <x:f>IF(J30&gt;=5,"Sí","No")</x:f>
        <x:v>Sí</x:v>
      </x:c>
      <x:c r="N30" s="25" t="str">
        <x:f>IF(J30&gt;=6,"Sí","No")</x:f>
        <x:v>Sí</x:v>
      </x:c>
      <x:c r="O30" s="25" t="str">
        <x:v>Pendiente: asignar con R/sf</x:v>
      </x:c>
    </x:row>
    <x:row r="31">
      <x:c r="A31" s="25" t="n">
        <x:v>30</x:v>
      </x:c>
      <x:c r="B31" s="26" t="n">
        <x:v>45337.99972222222</x:v>
      </x:c>
      <x:c r="C31" s="27" t="n">
        <x:f>INT(B31)</x:f>
        <x:v>45337</x:v>
      </x:c>
      <x:c r="D31" s="28" t="n">
        <x:f>MOD(B31,1)</x:f>
        <x:v>0.999722222222772</x:v>
      </x:c>
      <x:c r="E31" s="29" t="n">
        <x:f>YEAR(B31)</x:f>
        <x:v>2024</x:v>
      </x:c>
      <x:c r="F31" s="29" t="n">
        <x:f>MONTH(B31)</x:f>
        <x:v>2</x:v>
      </x:c>
      <x:c r="G31" s="30" t="n">
        <x:v>-29.2</x:v>
      </x:c>
      <x:c r="H31" s="30" t="n">
        <x:v>-71.93</x:v>
      </x:c>
      <x:c r="I31" s="29" t="n">
        <x:v>38</x:v>
      </x:c>
      <x:c r="J31" s="31" t="n">
        <x:v>4.8</x:v>
      </x:c>
      <x:c r="K31" s="25" t="str">
        <x:f>IF(J31&gt;=7,"Muy fuerte (&gt;=7)",IF(J31&gt;=6,"Fuerte (6-6.9)",IF(J31&gt;=5,"Moderado alto (5-5.9)",IF(J31&gt;=4,"Moderado (4-4.9)","Menor a 4"))))</x:f>
        <x:v>Moderado (4-4.9)</x:v>
      </x:c>
      <x:c r="L31" s="25" t="str">
        <x:f>IF(I31&lt;70,"Superficial (&lt;70 km)",IF(I31&lt;=300,"Intermedio (70-300 km)","Profundo (&gt;300 km)"))</x:f>
        <x:v>Superficial (&lt;70 km)</x:v>
      </x:c>
      <x:c r="M31" s="25" t="str">
        <x:f>IF(J31&gt;=5,"Sí","No")</x:f>
        <x:v>No</x:v>
      </x:c>
      <x:c r="N31" s="25" t="str">
        <x:f>IF(J31&gt;=6,"Sí","No")</x:f>
        <x:v>No</x:v>
      </x:c>
      <x:c r="O31" s="25" t="str">
        <x:v>Pendiente: asignar con R/sf</x:v>
      </x:c>
    </x:row>
    <x:row r="32">
      <x:c r="A32" s="25" t="n">
        <x:v>31</x:v>
      </x:c>
      <x:c r="B32" s="26" t="n">
        <x:v>45359.31996527778</x:v>
      </x:c>
      <x:c r="C32" s="27" t="n">
        <x:f>INT(B32)</x:f>
        <x:v>45359</x:v>
      </x:c>
      <x:c r="D32" s="28" t="n">
        <x:f>MOD(B32,1)</x:f>
        <x:v>0.31996527777664596</x:v>
      </x:c>
      <x:c r="E32" s="29" t="n">
        <x:f>YEAR(B32)</x:f>
        <x:v>2024</x:v>
      </x:c>
      <x:c r="F32" s="29" t="n">
        <x:f>MONTH(B32)</x:f>
        <x:v>3</x:v>
      </x:c>
      <x:c r="G32" s="30" t="n">
        <x:v>-29.23</x:v>
      </x:c>
      <x:c r="H32" s="30" t="n">
        <x:v>-71.29</x:v>
      </x:c>
      <x:c r="I32" s="29" t="n">
        <x:v>55</x:v>
      </x:c>
      <x:c r="J32" s="31" t="n">
        <x:v>4.6</x:v>
      </x:c>
      <x:c r="K32" s="25" t="str">
        <x:f>IF(J32&gt;=7,"Muy fuerte (&gt;=7)",IF(J32&gt;=6,"Fuerte (6-6.9)",IF(J32&gt;=5,"Moderado alto (5-5.9)",IF(J32&gt;=4,"Moderado (4-4.9)","Menor a 4"))))</x:f>
        <x:v>Moderado (4-4.9)</x:v>
      </x:c>
      <x:c r="L32" s="25" t="str">
        <x:f>IF(I32&lt;70,"Superficial (&lt;70 km)",IF(I32&lt;=300,"Intermedio (70-300 km)","Profundo (&gt;300 km)"))</x:f>
        <x:v>Superficial (&lt;70 km)</x:v>
      </x:c>
      <x:c r="M32" s="25" t="str">
        <x:f>IF(J32&gt;=5,"Sí","No")</x:f>
        <x:v>No</x:v>
      </x:c>
      <x:c r="N32" s="25" t="str">
        <x:f>IF(J32&gt;=6,"Sí","No")</x:f>
        <x:v>No</x:v>
      </x:c>
      <x:c r="O32" s="25" t="str">
        <x:v>Pendiente: asignar con R/sf</x:v>
      </x:c>
    </x:row>
    <x:row r="33">
      <x:c r="A33" s="25" t="n">
        <x:v>32</x:v>
      </x:c>
      <x:c r="B33" s="26" t="n">
        <x:v>45426.13792824074</x:v>
      </x:c>
      <x:c r="C33" s="27" t="n">
        <x:f>INT(B33)</x:f>
        <x:v>45426</x:v>
      </x:c>
      <x:c r="D33" s="28" t="n">
        <x:f>MOD(B33,1)</x:f>
        <x:v>0.1379282407433493</x:v>
      </x:c>
      <x:c r="E33" s="29" t="n">
        <x:f>YEAR(B33)</x:f>
        <x:v>2024</x:v>
      </x:c>
      <x:c r="F33" s="29" t="n">
        <x:f>MONTH(B33)</x:f>
        <x:v>5</x:v>
      </x:c>
      <x:c r="G33" s="30" t="n">
        <x:v>-28.76</x:v>
      </x:c>
      <x:c r="H33" s="30" t="n">
        <x:v>-71.64</x:v>
      </x:c>
      <x:c r="I33" s="29" t="n">
        <x:v>25</x:v>
      </x:c>
      <x:c r="J33" s="31" t="n">
        <x:v>4.8</x:v>
      </x:c>
      <x:c r="K33" s="25" t="str">
        <x:f>IF(J33&gt;=7,"Muy fuerte (&gt;=7)",IF(J33&gt;=6,"Fuerte (6-6.9)",IF(J33&gt;=5,"Moderado alto (5-5.9)",IF(J33&gt;=4,"Moderado (4-4.9)","Menor a 4"))))</x:f>
        <x:v>Moderado (4-4.9)</x:v>
      </x:c>
      <x:c r="L33" s="25" t="str">
        <x:f>IF(I33&lt;70,"Superficial (&lt;70 km)",IF(I33&lt;=300,"Intermedio (70-300 km)","Profundo (&gt;300 km)"))</x:f>
        <x:v>Superficial (&lt;70 km)</x:v>
      </x:c>
      <x:c r="M33" s="25" t="str">
        <x:f>IF(J33&gt;=5,"Sí","No")</x:f>
        <x:v>No</x:v>
      </x:c>
      <x:c r="N33" s="25" t="str">
        <x:f>IF(J33&gt;=6,"Sí","No")</x:f>
        <x:v>No</x:v>
      </x:c>
      <x:c r="O33" s="25" t="str">
        <x:v>Pendiente: asignar con R/sf</x:v>
      </x:c>
    </x:row>
    <x:row r="34">
      <x:c r="A34" s="25" t="n">
        <x:v>33</x:v>
      </x:c>
      <x:c r="B34" s="26" t="n">
        <x:v>45116.91956018518</x:v>
      </x:c>
      <x:c r="C34" s="27" t="n">
        <x:f>INT(B34)</x:f>
        <x:v>45116</x:v>
      </x:c>
      <x:c r="D34" s="28" t="n">
        <x:f>MOD(B34,1)</x:f>
        <x:v>0.9195601851824904</x:v>
      </x:c>
      <x:c r="E34" s="29" t="n">
        <x:f>YEAR(B34)</x:f>
        <x:v>2023</x:v>
      </x:c>
      <x:c r="F34" s="29" t="n">
        <x:f>MONTH(B34)</x:f>
        <x:v>7</x:v>
      </x:c>
      <x:c r="G34" s="30" t="n">
        <x:v>-30.21</x:v>
      </x:c>
      <x:c r="H34" s="30" t="n">
        <x:v>-71.26</x:v>
      </x:c>
      <x:c r="I34" s="29" t="n">
        <x:v>58</x:v>
      </x:c>
      <x:c r="J34" s="31" t="n">
        <x:v>4.1</x:v>
      </x:c>
      <x:c r="K34" s="25" t="str">
        <x:f>IF(J34&gt;=7,"Muy fuerte (&gt;=7)",IF(J34&gt;=6,"Fuerte (6-6.9)",IF(J34&gt;=5,"Moderado alto (5-5.9)",IF(J34&gt;=4,"Moderado (4-4.9)","Menor a 4"))))</x:f>
        <x:v>Moderado (4-4.9)</x:v>
      </x:c>
      <x:c r="L34" s="25" t="str">
        <x:f>IF(I34&lt;70,"Superficial (&lt;70 km)",IF(I34&lt;=300,"Intermedio (70-300 km)","Profundo (&gt;300 km)"))</x:f>
        <x:v>Superficial (&lt;70 km)</x:v>
      </x:c>
      <x:c r="M34" s="25" t="str">
        <x:f>IF(J34&gt;=5,"Sí","No")</x:f>
        <x:v>No</x:v>
      </x:c>
      <x:c r="N34" s="25" t="str">
        <x:f>IF(J34&gt;=6,"Sí","No")</x:f>
        <x:v>No</x:v>
      </x:c>
      <x:c r="O34" s="25" t="str">
        <x:v>Pendiente: asignar con R/sf</x:v>
      </x:c>
    </x:row>
    <x:row r="35">
      <x:c r="A35" s="25" t="n">
        <x:v>34</x:v>
      </x:c>
      <x:c r="B35" s="26" t="n">
        <x:v>45165.866111111114</x:v>
      </x:c>
      <x:c r="C35" s="27" t="n">
        <x:f>INT(B35)</x:f>
        <x:v>45165</x:v>
      </x:c>
      <x:c r="D35" s="28" t="n">
        <x:f>MOD(B35,1)</x:f>
        <x:v>0.8661111111141508</x:v>
      </x:c>
      <x:c r="E35" s="29" t="n">
        <x:f>YEAR(B35)</x:f>
        <x:v>2023</x:v>
      </x:c>
      <x:c r="F35" s="29" t="n">
        <x:f>MONTH(B35)</x:f>
        <x:v>8</x:v>
      </x:c>
      <x:c r="G35" s="30" t="n">
        <x:v>-30.23</x:v>
      </x:c>
      <x:c r="H35" s="30" t="n">
        <x:v>-71.22</x:v>
      </x:c>
      <x:c r="I35" s="29" t="n">
        <x:v>57</x:v>
      </x:c>
      <x:c r="J35" s="31" t="n">
        <x:v>3.9</x:v>
      </x:c>
      <x:c r="K35" s="25" t="str">
        <x:f>IF(J35&gt;=7,"Muy fuerte (&gt;=7)",IF(J35&gt;=6,"Fuerte (6-6.9)",IF(J35&gt;=5,"Moderado alto (5-5.9)",IF(J35&gt;=4,"Moderado (4-4.9)","Menor a 4"))))</x:f>
        <x:v>Menor a 4</x:v>
      </x:c>
      <x:c r="L35" s="25" t="str">
        <x:f>IF(I35&lt;70,"Superficial (&lt;70 km)",IF(I35&lt;=300,"Intermedio (70-300 km)","Profundo (&gt;300 km)"))</x:f>
        <x:v>Superficial (&lt;70 km)</x:v>
      </x:c>
      <x:c r="M35" s="25" t="str">
        <x:f>IF(J35&gt;=5,"Sí","No")</x:f>
        <x:v>No</x:v>
      </x:c>
      <x:c r="N35" s="25" t="str">
        <x:f>IF(J35&gt;=6,"Sí","No")</x:f>
        <x:v>No</x:v>
      </x:c>
      <x:c r="O35" s="25" t="str">
        <x:v>Pendiente: asignar con R/sf</x:v>
      </x:c>
    </x:row>
    <x:row r="36">
      <x:c r="A36" s="25" t="n">
        <x:v>35</x:v>
      </x:c>
      <x:c r="B36" s="26" t="n">
        <x:v>45176.4480787037</x:v>
      </x:c>
      <x:c r="C36" s="27" t="n">
        <x:f>INT(B36)</x:f>
        <x:v>45176</x:v>
      </x:c>
      <x:c r="D36" s="28" t="n">
        <x:f>MOD(B36,1)</x:f>
        <x:v>0.4480787037027767</x:v>
      </x:c>
      <x:c r="E36" s="29" t="n">
        <x:f>YEAR(B36)</x:f>
        <x:v>2023</x:v>
      </x:c>
      <x:c r="F36" s="29" t="n">
        <x:f>MONTH(B36)</x:f>
        <x:v>9</x:v>
      </x:c>
      <x:c r="G36" s="30" t="n">
        <x:v>-30.35</x:v>
      </x:c>
      <x:c r="H36" s="30" t="n">
        <x:v>-71.41</x:v>
      </x:c>
      <x:c r="I36" s="29" t="n">
        <x:v>47</x:v>
      </x:c>
      <x:c r="J36" s="31" t="n">
        <x:v>4.3</x:v>
      </x:c>
      <x:c r="K36" s="25" t="str">
        <x:f>IF(J36&gt;=7,"Muy fuerte (&gt;=7)",IF(J36&gt;=6,"Fuerte (6-6.9)",IF(J36&gt;=5,"Moderado alto (5-5.9)",IF(J36&gt;=4,"Moderado (4-4.9)","Menor a 4"))))</x:f>
        <x:v>Moderado (4-4.9)</x:v>
      </x:c>
      <x:c r="L36" s="25" t="str">
        <x:f>IF(I36&lt;70,"Superficial (&lt;70 km)",IF(I36&lt;=300,"Intermedio (70-300 km)","Profundo (&gt;300 km)"))</x:f>
        <x:v>Superficial (&lt;70 km)</x:v>
      </x:c>
      <x:c r="M36" s="25" t="str">
        <x:f>IF(J36&gt;=5,"Sí","No")</x:f>
        <x:v>No</x:v>
      </x:c>
      <x:c r="N36" s="25" t="str">
        <x:f>IF(J36&gt;=6,"Sí","No")</x:f>
        <x:v>No</x:v>
      </x:c>
      <x:c r="O36" s="25" t="str">
        <x:v>Pendiente: asignar con R/sf</x:v>
      </x:c>
    </x:row>
    <x:row r="37">
      <x:c r="A37" s="25" t="n">
        <x:v>36</x:v>
      </x:c>
      <x:c r="B37" s="26" t="n">
        <x:v>45228.357083333336</x:v>
      </x:c>
      <x:c r="C37" s="27" t="n">
        <x:f>INT(B37)</x:f>
        <x:v>45228</x:v>
      </x:c>
      <x:c r="D37" s="28" t="n">
        <x:f>MOD(B37,1)</x:f>
        <x:v>0.3570833333360497</x:v>
      </x:c>
      <x:c r="E37" s="29" t="n">
        <x:f>YEAR(B37)</x:f>
        <x:v>2023</x:v>
      </x:c>
      <x:c r="F37" s="29" t="n">
        <x:f>MONTH(B37)</x:f>
        <x:v>10</x:v>
      </x:c>
      <x:c r="G37" s="30" t="n">
        <x:v>-30.01</x:v>
      </x:c>
      <x:c r="H37" s="30" t="n">
        <x:v>-71.27</x:v>
      </x:c>
      <x:c r="I37" s="29" t="n">
        <x:v>72</x:v>
      </x:c>
      <x:c r="J37" s="31" t="n">
        <x:v>4.3</x:v>
      </x:c>
      <x:c r="K37" s="25" t="str">
        <x:f>IF(J37&gt;=7,"Muy fuerte (&gt;=7)",IF(J37&gt;=6,"Fuerte (6-6.9)",IF(J37&gt;=5,"Moderado alto (5-5.9)",IF(J37&gt;=4,"Moderado (4-4.9)","Menor a 4"))))</x:f>
        <x:v>Moderado (4-4.9)</x:v>
      </x:c>
      <x:c r="L37" s="25" t="str">
        <x:f>IF(I37&lt;70,"Superficial (&lt;70 km)",IF(I37&lt;=300,"Intermedio (70-300 km)","Profundo (&gt;300 km)"))</x:f>
        <x:v>Intermedio (70-300 km)</x:v>
      </x:c>
      <x:c r="M37" s="25" t="str">
        <x:f>IF(J37&gt;=5,"Sí","No")</x:f>
        <x:v>No</x:v>
      </x:c>
      <x:c r="N37" s="25" t="str">
        <x:f>IF(J37&gt;=6,"Sí","No")</x:f>
        <x:v>No</x:v>
      </x:c>
      <x:c r="O37" s="25" t="str">
        <x:v>Pendiente: asignar con R/sf</x:v>
      </x:c>
    </x:row>
    <x:row r="38">
      <x:c r="A38" s="25" t="n">
        <x:v>37</x:v>
      </x:c>
      <x:c r="B38" s="26" t="n">
        <x:v>45240.64420138889</x:v>
      </x:c>
      <x:c r="C38" s="27" t="n">
        <x:f>INT(B38)</x:f>
        <x:v>45240</x:v>
      </x:c>
      <x:c r="D38" s="28" t="n">
        <x:f>MOD(B38,1)</x:f>
        <x:v>0.6442013888881775</x:v>
      </x:c>
      <x:c r="E38" s="29" t="n">
        <x:f>YEAR(B38)</x:f>
        <x:v>2023</x:v>
      </x:c>
      <x:c r="F38" s="29" t="n">
        <x:f>MONTH(B38)</x:f>
        <x:v>11</x:v>
      </x:c>
      <x:c r="G38" s="30" t="n">
        <x:v>-28.79</x:v>
      </x:c>
      <x:c r="H38" s="30" t="n">
        <x:v>-71.42</x:v>
      </x:c>
      <x:c r="I38" s="29" t="n">
        <x:v>51</x:v>
      </x:c>
      <x:c r="J38" s="31" t="n">
        <x:v>4.6</x:v>
      </x:c>
      <x:c r="K38" s="25" t="str">
        <x:f>IF(J38&gt;=7,"Muy fuerte (&gt;=7)",IF(J38&gt;=6,"Fuerte (6-6.9)",IF(J38&gt;=5,"Moderado alto (5-5.9)",IF(J38&gt;=4,"Moderado (4-4.9)","Menor a 4"))))</x:f>
        <x:v>Moderado (4-4.9)</x:v>
      </x:c>
      <x:c r="L38" s="25" t="str">
        <x:f>IF(I38&lt;70,"Superficial (&lt;70 km)",IF(I38&lt;=300,"Intermedio (70-300 km)","Profundo (&gt;300 km)"))</x:f>
        <x:v>Superficial (&lt;70 km)</x:v>
      </x:c>
      <x:c r="M38" s="25" t="str">
        <x:f>IF(J38&gt;=5,"Sí","No")</x:f>
        <x:v>No</x:v>
      </x:c>
      <x:c r="N38" s="25" t="str">
        <x:f>IF(J38&gt;=6,"Sí","No")</x:f>
        <x:v>No</x:v>
      </x:c>
      <x:c r="O38" s="25" t="str">
        <x:v>Pendiente: asignar con R/sf</x:v>
      </x:c>
    </x:row>
    <x:row r="39">
      <x:c r="A39" s="25" t="n">
        <x:v>38</x:v>
      </x:c>
      <x:c r="B39" s="26" t="n">
        <x:v>45263.668657407405</x:v>
      </x:c>
      <x:c r="C39" s="27" t="n">
        <x:f>INT(B39)</x:f>
        <x:v>45263</x:v>
      </x:c>
      <x:c r="D39" s="28" t="n">
        <x:f>MOD(B39,1)</x:f>
        <x:v>0.6686574074046803</x:v>
      </x:c>
      <x:c r="E39" s="29" t="n">
        <x:f>YEAR(B39)</x:f>
        <x:v>2023</x:v>
      </x:c>
      <x:c r="F39" s="29" t="n">
        <x:f>MONTH(B39)</x:f>
        <x:v>12</x:v>
      </x:c>
      <x:c r="G39" s="30" t="n">
        <x:v>-29.83</x:v>
      </x:c>
      <x:c r="H39" s="30" t="n">
        <x:v>-71.13</x:v>
      </x:c>
      <x:c r="I39" s="29" t="n">
        <x:v>49</x:v>
      </x:c>
      <x:c r="J39" s="31" t="n">
        <x:v>4</x:v>
      </x:c>
      <x:c r="K39" s="25" t="str">
        <x:f>IF(J39&gt;=7,"Muy fuerte (&gt;=7)",IF(J39&gt;=6,"Fuerte (6-6.9)",IF(J39&gt;=5,"Moderado alto (5-5.9)",IF(J39&gt;=4,"Moderado (4-4.9)","Menor a 4"))))</x:f>
        <x:v>Moderado (4-4.9)</x:v>
      </x:c>
      <x:c r="L39" s="25" t="str">
        <x:f>IF(I39&lt;70,"Superficial (&lt;70 km)",IF(I39&lt;=300,"Intermedio (70-300 km)","Profundo (&gt;300 km)"))</x:f>
        <x:v>Superficial (&lt;70 km)</x:v>
      </x:c>
      <x:c r="M39" s="25" t="str">
        <x:f>IF(J39&gt;=5,"Sí","No")</x:f>
        <x:v>No</x:v>
      </x:c>
      <x:c r="N39" s="25" t="str">
        <x:f>IF(J39&gt;=6,"Sí","No")</x:f>
        <x:v>No</x:v>
      </x:c>
      <x:c r="O39" s="25" t="str">
        <x:v>Pendiente: asignar con R/sf</x:v>
      </x:c>
    </x:row>
    <x:row r="40">
      <x:c r="A40" s="25" t="n">
        <x:v>39</x:v>
      </x:c>
      <x:c r="B40" s="26" t="n">
        <x:v>45345.155127314814</x:v>
      </x:c>
      <x:c r="C40" s="27" t="n">
        <x:f>INT(B40)</x:f>
        <x:v>45345</x:v>
      </x:c>
      <x:c r="D40" s="28" t="n">
        <x:f>MOD(B40,1)</x:f>
        <x:v>0.1551273148143082</x:v>
      </x:c>
      <x:c r="E40" s="29" t="n">
        <x:f>YEAR(B40)</x:f>
        <x:v>2024</x:v>
      </x:c>
      <x:c r="F40" s="29" t="n">
        <x:f>MONTH(B40)</x:f>
        <x:v>2</x:v>
      </x:c>
      <x:c r="G40" s="30" t="n">
        <x:v>-29.93</x:v>
      </x:c>
      <x:c r="H40" s="30" t="n">
        <x:v>-71.47</x:v>
      </x:c>
      <x:c r="I40" s="29" t="n">
        <x:v>42</x:v>
      </x:c>
      <x:c r="J40" s="31" t="n">
        <x:v>3.9</x:v>
      </x:c>
      <x:c r="K40" s="25" t="str">
        <x:f>IF(J40&gt;=7,"Muy fuerte (&gt;=7)",IF(J40&gt;=6,"Fuerte (6-6.9)",IF(J40&gt;=5,"Moderado alto (5-5.9)",IF(J40&gt;=4,"Moderado (4-4.9)","Menor a 4"))))</x:f>
        <x:v>Menor a 4</x:v>
      </x:c>
      <x:c r="L40" s="25" t="str">
        <x:f>IF(I40&lt;70,"Superficial (&lt;70 km)",IF(I40&lt;=300,"Intermedio (70-300 km)","Profundo (&gt;300 km)"))</x:f>
        <x:v>Superficial (&lt;70 km)</x:v>
      </x:c>
      <x:c r="M40" s="25" t="str">
        <x:f>IF(J40&gt;=5,"Sí","No")</x:f>
        <x:v>No</x:v>
      </x:c>
      <x:c r="N40" s="25" t="str">
        <x:f>IF(J40&gt;=6,"Sí","No")</x:f>
        <x:v>No</x:v>
      </x:c>
      <x:c r="O40" s="25" t="str">
        <x:v>Pendiente: asignar con R/sf</x:v>
      </x:c>
    </x:row>
    <x:row r="41">
      <x:c r="A41" s="25" t="n">
        <x:v>40</x:v>
      </x:c>
      <x:c r="B41" s="26" t="n">
        <x:v>44990.60459490741</x:v>
      </x:c>
      <x:c r="C41" s="27" t="n">
        <x:f>INT(B41)</x:f>
        <x:v>44990</x:v>
      </x:c>
      <x:c r="D41" s="28" t="n">
        <x:f>MOD(B41,1)</x:f>
        <x:v>0.604594907410501</x:v>
      </x:c>
      <x:c r="E41" s="29" t="n">
        <x:f>YEAR(B41)</x:f>
        <x:v>2023</x:v>
      </x:c>
      <x:c r="F41" s="29" t="n">
        <x:f>MONTH(B41)</x:f>
        <x:v>3</x:v>
      </x:c>
      <x:c r="G41" s="30" t="n">
        <x:v>-30.73</x:v>
      </x:c>
      <x:c r="H41" s="30" t="n">
        <x:v>-71.41</x:v>
      </x:c>
      <x:c r="I41" s="29" t="n">
        <x:v>40</x:v>
      </x:c>
      <x:c r="J41" s="31" t="n">
        <x:v>4</x:v>
      </x:c>
      <x:c r="K41" s="25" t="str">
        <x:f>IF(J41&gt;=7,"Muy fuerte (&gt;=7)",IF(J41&gt;=6,"Fuerte (6-6.9)",IF(J41&gt;=5,"Moderado alto (5-5.9)",IF(J41&gt;=4,"Moderado (4-4.9)","Menor a 4"))))</x:f>
        <x:v>Moderado (4-4.9)</x:v>
      </x:c>
      <x:c r="L41" s="25" t="str">
        <x:f>IF(I41&lt;70,"Superficial (&lt;70 km)",IF(I41&lt;=300,"Intermedio (70-300 km)","Profundo (&gt;300 km)"))</x:f>
        <x:v>Superficial (&lt;70 km)</x:v>
      </x:c>
      <x:c r="M41" s="25" t="str">
        <x:f>IF(J41&gt;=5,"Sí","No")</x:f>
        <x:v>No</x:v>
      </x:c>
      <x:c r="N41" s="25" t="str">
        <x:f>IF(J41&gt;=6,"Sí","No")</x:f>
        <x:v>No</x:v>
      </x:c>
      <x:c r="O41" s="25" t="str">
        <x:v>Pendiente: asignar con R/sf</x:v>
      </x:c>
    </x:row>
    <x:row r="42">
      <x:c r="A42" s="25" t="n">
        <x:v>41</x:v>
      </x:c>
      <x:c r="B42" s="26" t="n">
        <x:v>45281.79796296296</x:v>
      </x:c>
      <x:c r="C42" s="27" t="n">
        <x:f>INT(B42)</x:f>
        <x:v>45281</x:v>
      </x:c>
      <x:c r="D42" s="28" t="n">
        <x:f>MOD(B42,1)</x:f>
        <x:v>0.7979629629626288</x:v>
      </x:c>
      <x:c r="E42" s="29" t="n">
        <x:f>YEAR(B42)</x:f>
        <x:v>2023</x:v>
      </x:c>
      <x:c r="F42" s="29" t="n">
        <x:f>MONTH(B42)</x:f>
        <x:v>12</x:v>
      </x:c>
      <x:c r="G42" s="30" t="n">
        <x:v>-30.77</x:v>
      </x:c>
      <x:c r="H42" s="30" t="n">
        <x:v>-71.36</x:v>
      </x:c>
      <x:c r="I42" s="29" t="n">
        <x:v>49</x:v>
      </x:c>
      <x:c r="J42" s="31" t="n">
        <x:v>4.5</x:v>
      </x:c>
      <x:c r="K42" s="25" t="str">
        <x:f>IF(J42&gt;=7,"Muy fuerte (&gt;=7)",IF(J42&gt;=6,"Fuerte (6-6.9)",IF(J42&gt;=5,"Moderado alto (5-5.9)",IF(J42&gt;=4,"Moderado (4-4.9)","Menor a 4"))))</x:f>
        <x:v>Moderado (4-4.9)</x:v>
      </x:c>
      <x:c r="L42" s="25" t="str">
        <x:f>IF(I42&lt;70,"Superficial (&lt;70 km)",IF(I42&lt;=300,"Intermedio (70-300 km)","Profundo (&gt;300 km)"))</x:f>
        <x:v>Superficial (&lt;70 km)</x:v>
      </x:c>
      <x:c r="M42" s="25" t="str">
        <x:f>IF(J42&gt;=5,"Sí","No")</x:f>
        <x:v>No</x:v>
      </x:c>
      <x:c r="N42" s="25" t="str">
        <x:f>IF(J42&gt;=6,"Sí","No")</x:f>
        <x:v>No</x:v>
      </x:c>
      <x:c r="O42" s="25" t="str">
        <x:v>Pendiente: asignar con R/sf</x:v>
      </x:c>
    </x:row>
    <x:row r="43">
      <x:c r="A43" s="25" t="n">
        <x:v>42</x:v>
      </x:c>
      <x:c r="B43" s="26" t="n">
        <x:v>45418.082083333335</x:v>
      </x:c>
      <x:c r="C43" s="27" t="n">
        <x:f>INT(B43)</x:f>
        <x:v>45418</x:v>
      </x:c>
      <x:c r="D43" s="28" t="n">
        <x:f>MOD(B43,1)</x:f>
        <x:v>0.0820833333345945</x:v>
      </x:c>
      <x:c r="E43" s="29" t="n">
        <x:f>YEAR(B43)</x:f>
        <x:v>2024</x:v>
      </x:c>
      <x:c r="F43" s="29" t="n">
        <x:f>MONTH(B43)</x:f>
        <x:v>5</x:v>
      </x:c>
      <x:c r="G43" s="30" t="n">
        <x:v>-30.64</x:v>
      </x:c>
      <x:c r="H43" s="30" t="n">
        <x:v>-71.29</x:v>
      </x:c>
      <x:c r="I43" s="29" t="n">
        <x:v>60</x:v>
      </x:c>
      <x:c r="J43" s="31" t="n">
        <x:v>4.4</x:v>
      </x:c>
      <x:c r="K43" s="25" t="str">
        <x:f>IF(J43&gt;=7,"Muy fuerte (&gt;=7)",IF(J43&gt;=6,"Fuerte (6-6.9)",IF(J43&gt;=5,"Moderado alto (5-5.9)",IF(J43&gt;=4,"Moderado (4-4.9)","Menor a 4"))))</x:f>
        <x:v>Moderado (4-4.9)</x:v>
      </x:c>
      <x:c r="L43" s="25" t="str">
        <x:f>IF(I43&lt;70,"Superficial (&lt;70 km)",IF(I43&lt;=300,"Intermedio (70-300 km)","Profundo (&gt;300 km)"))</x:f>
        <x:v>Superficial (&lt;70 km)</x:v>
      </x:c>
      <x:c r="M43" s="25" t="str">
        <x:f>IF(J43&gt;=5,"Sí","No")</x:f>
        <x:v>No</x:v>
      </x:c>
      <x:c r="N43" s="25" t="str">
        <x:f>IF(J43&gt;=6,"Sí","No")</x:f>
        <x:v>No</x:v>
      </x:c>
      <x:c r="O43" s="25" t="str">
        <x:v>Pendiente: asignar con R/sf</x:v>
      </x:c>
    </x:row>
    <x:row r="44">
      <x:c r="A44" s="25" t="n">
        <x:v>43</x:v>
      </x:c>
      <x:c r="B44" s="26" t="n">
        <x:v>45223.93907407407</x:v>
      </x:c>
      <x:c r="C44" s="27" t="n">
        <x:f>INT(B44)</x:f>
        <x:v>45223</x:v>
      </x:c>
      <x:c r="D44" s="28" t="n">
        <x:f>MOD(B44,1)</x:f>
        <x:v>0.9390740740709589</x:v>
      </x:c>
      <x:c r="E44" s="29" t="n">
        <x:f>YEAR(B44)</x:f>
        <x:v>2023</x:v>
      </x:c>
      <x:c r="F44" s="29" t="n">
        <x:f>MONTH(B44)</x:f>
        <x:v>10</x:v>
      </x:c>
      <x:c r="G44" s="30" t="n">
        <x:v>-29.28</x:v>
      </x:c>
      <x:c r="H44" s="30" t="n">
        <x:v>-71.28</x:v>
      </x:c>
      <x:c r="I44" s="29" t="n">
        <x:v>65</x:v>
      </x:c>
      <x:c r="J44" s="31" t="n">
        <x:v>3.8</x:v>
      </x:c>
      <x:c r="K44" s="25" t="str">
        <x:f>IF(J44&gt;=7,"Muy fuerte (&gt;=7)",IF(J44&gt;=6,"Fuerte (6-6.9)",IF(J44&gt;=5,"Moderado alto (5-5.9)",IF(J44&gt;=4,"Moderado (4-4.9)","Menor a 4"))))</x:f>
        <x:v>Menor a 4</x:v>
      </x:c>
      <x:c r="L44" s="25" t="str">
        <x:f>IF(I44&lt;70,"Superficial (&lt;70 km)",IF(I44&lt;=300,"Intermedio (70-300 km)","Profundo (&gt;300 km)"))</x:f>
        <x:v>Superficial (&lt;70 km)</x:v>
      </x:c>
      <x:c r="M44" s="25" t="str">
        <x:f>IF(J44&gt;=5,"Sí","No")</x:f>
        <x:v>No</x:v>
      </x:c>
      <x:c r="N44" s="25" t="str">
        <x:f>IF(J44&gt;=6,"Sí","No")</x:f>
        <x:v>No</x:v>
      </x:c>
      <x:c r="O44" s="25" t="str">
        <x:v>Pendiente: asignar con R/sf</x:v>
      </x:c>
    </x:row>
    <x:row r="45">
      <x:c r="A45" s="25" t="n">
        <x:v>44</x:v>
      </x:c>
      <x:c r="B45" s="26" t="n">
        <x:v>45298.37469907408</x:v>
      </x:c>
      <x:c r="C45" s="27" t="n">
        <x:f>INT(B45)</x:f>
        <x:v>45298</x:v>
      </x:c>
      <x:c r="D45" s="28" t="n">
        <x:f>MOD(B45,1)</x:f>
        <x:v>0.3746990740764886</x:v>
      </x:c>
      <x:c r="E45" s="29" t="n">
        <x:f>YEAR(B45)</x:f>
        <x:v>2024</x:v>
      </x:c>
      <x:c r="F45" s="29" t="n">
        <x:f>MONTH(B45)</x:f>
        <x:v>1</x:v>
      </x:c>
      <x:c r="G45" s="30" t="n">
        <x:v>-29.14</x:v>
      </x:c>
      <x:c r="H45" s="30" t="n">
        <x:v>-71.55</x:v>
      </x:c>
      <x:c r="I45" s="29" t="n">
        <x:v>44</x:v>
      </x:c>
      <x:c r="J45" s="31" t="n">
        <x:v>3.8</x:v>
      </x:c>
      <x:c r="K45" s="25" t="str">
        <x:f>IF(J45&gt;=7,"Muy fuerte (&gt;=7)",IF(J45&gt;=6,"Fuerte (6-6.9)",IF(J45&gt;=5,"Moderado alto (5-5.9)",IF(J45&gt;=4,"Moderado (4-4.9)","Menor a 4"))))</x:f>
        <x:v>Menor a 4</x:v>
      </x:c>
      <x:c r="L45" s="25" t="str">
        <x:f>IF(I45&lt;70,"Superficial (&lt;70 km)",IF(I45&lt;=300,"Intermedio (70-300 km)","Profundo (&gt;300 km)"))</x:f>
        <x:v>Superficial (&lt;70 km)</x:v>
      </x:c>
      <x:c r="M45" s="25" t="str">
        <x:f>IF(J45&gt;=5,"Sí","No")</x:f>
        <x:v>No</x:v>
      </x:c>
      <x:c r="N45" s="25" t="str">
        <x:f>IF(J45&gt;=6,"Sí","No")</x:f>
        <x:v>No</x:v>
      </x:c>
      <x:c r="O45" s="25" t="str">
        <x:v>Pendiente: asignar con R/sf</x:v>
      </x:c>
    </x:row>
    <x:row r="46">
      <x:c r="A46" s="25" t="n">
        <x:v>45</x:v>
      </x:c>
      <x:c r="B46" s="26" t="n">
        <x:v>45242.730625</x:v>
      </x:c>
      <x:c r="C46" s="27" t="n">
        <x:f>INT(B46)</x:f>
        <x:v>45242</x:v>
      </x:c>
      <x:c r="D46" s="28" t="n">
        <x:f>MOD(B46,1)</x:f>
        <x:v>0.7306249999965075</x:v>
      </x:c>
      <x:c r="E46" s="29" t="n">
        <x:f>YEAR(B46)</x:f>
        <x:v>2023</x:v>
      </x:c>
      <x:c r="F46" s="29" t="n">
        <x:f>MONTH(B46)</x:f>
        <x:v>11</x:v>
      </x:c>
      <x:c r="G46" s="30" t="n">
        <x:v>-29.66</x:v>
      </x:c>
      <x:c r="H46" s="30" t="n">
        <x:v>-71.32</x:v>
      </x:c>
      <x:c r="I46" s="29" t="n">
        <x:v>53</x:v>
      </x:c>
      <x:c r="J46" s="31" t="n">
        <x:v>3.9</x:v>
      </x:c>
      <x:c r="K46" s="25" t="str">
        <x:f>IF(J46&gt;=7,"Muy fuerte (&gt;=7)",IF(J46&gt;=6,"Fuerte (6-6.9)",IF(J46&gt;=5,"Moderado alto (5-5.9)",IF(J46&gt;=4,"Moderado (4-4.9)","Menor a 4"))))</x:f>
        <x:v>Menor a 4</x:v>
      </x:c>
      <x:c r="L46" s="25" t="str">
        <x:f>IF(I46&lt;70,"Superficial (&lt;70 km)",IF(I46&lt;=300,"Intermedio (70-300 km)","Profundo (&gt;300 km)"))</x:f>
        <x:v>Superficial (&lt;70 km)</x:v>
      </x:c>
      <x:c r="M46" s="25" t="str">
        <x:f>IF(J46&gt;=5,"Sí","No")</x:f>
        <x:v>No</x:v>
      </x:c>
      <x:c r="N46" s="25" t="str">
        <x:f>IF(J46&gt;=6,"Sí","No")</x:f>
        <x:v>No</x:v>
      </x:c>
      <x:c r="O46" s="25" t="str">
        <x:v>Pendiente: asignar con R/sf</x:v>
      </x:c>
    </x:row>
    <x:row r="47">
      <x:c r="A47" s="25" t="n">
        <x:v>46</x:v>
      </x:c>
      <x:c r="B47" s="26" t="n">
        <x:v>45250.76164351852</x:v>
      </x:c>
      <x:c r="C47" s="27" t="n">
        <x:f>INT(B47)</x:f>
        <x:v>45250</x:v>
      </x:c>
      <x:c r="D47" s="28" t="n">
        <x:f>MOD(B47,1)</x:f>
        <x:v>0.7616435185191222</x:v>
      </x:c>
      <x:c r="E47" s="29" t="n">
        <x:f>YEAR(B47)</x:f>
        <x:v>2023</x:v>
      </x:c>
      <x:c r="F47" s="29" t="n">
        <x:f>MONTH(B47)</x:f>
        <x:v>11</x:v>
      </x:c>
      <x:c r="G47" s="30" t="n">
        <x:v>-32.23</x:v>
      </x:c>
      <x:c r="H47" s="30" t="n">
        <x:v>-70.28</x:v>
      </x:c>
      <x:c r="I47" s="29" t="n">
        <x:v>116</x:v>
      </x:c>
      <x:c r="J47" s="31" t="n">
        <x:v>4.5</x:v>
      </x:c>
      <x:c r="K47" s="25" t="str">
        <x:f>IF(J47&gt;=7,"Muy fuerte (&gt;=7)",IF(J47&gt;=6,"Fuerte (6-6.9)",IF(J47&gt;=5,"Moderado alto (5-5.9)",IF(J47&gt;=4,"Moderado (4-4.9)","Menor a 4"))))</x:f>
        <x:v>Moderado (4-4.9)</x:v>
      </x:c>
      <x:c r="L47" s="25" t="str">
        <x:f>IF(I47&lt;70,"Superficial (&lt;70 km)",IF(I47&lt;=300,"Intermedio (70-300 km)","Profundo (&gt;300 km)"))</x:f>
        <x:v>Intermedio (70-300 km)</x:v>
      </x:c>
      <x:c r="M47" s="25" t="str">
        <x:f>IF(J47&gt;=5,"Sí","No")</x:f>
        <x:v>No</x:v>
      </x:c>
      <x:c r="N47" s="25" t="str">
        <x:f>IF(J47&gt;=6,"Sí","No")</x:f>
        <x:v>No</x:v>
      </x:c>
      <x:c r="O47" s="25" t="str">
        <x:v>Pendiente: asignar con R/sf</x:v>
      </x:c>
    </x:row>
    <x:row r="48">
      <x:c r="A48" s="25" t="n">
        <x:v>47</x:v>
      </x:c>
      <x:c r="B48" s="26" t="n">
        <x:v>45272.60494212963</x:v>
      </x:c>
      <x:c r="C48" s="27" t="n">
        <x:f>INT(B48)</x:f>
        <x:v>45272</x:v>
      </x:c>
      <x:c r="D48" s="28" t="n">
        <x:f>MOD(B48,1)</x:f>
        <x:v>0.6049421296265791</x:v>
      </x:c>
      <x:c r="E48" s="29" t="n">
        <x:f>YEAR(B48)</x:f>
        <x:v>2023</x:v>
      </x:c>
      <x:c r="F48" s="29" t="n">
        <x:f>MONTH(B48)</x:f>
        <x:v>12</x:v>
      </x:c>
      <x:c r="G48" s="30" t="n">
        <x:v>-31.67</x:v>
      </x:c>
      <x:c r="H48" s="30" t="n">
        <x:v>-71.52</x:v>
      </x:c>
      <x:c r="I48" s="29" t="n">
        <x:v>26</x:v>
      </x:c>
      <x:c r="J48" s="31" t="n">
        <x:v>3.9</x:v>
      </x:c>
      <x:c r="K48" s="25" t="str">
        <x:f>IF(J48&gt;=7,"Muy fuerte (&gt;=7)",IF(J48&gt;=6,"Fuerte (6-6.9)",IF(J48&gt;=5,"Moderado alto (5-5.9)",IF(J48&gt;=4,"Moderado (4-4.9)","Menor a 4"))))</x:f>
        <x:v>Menor a 4</x:v>
      </x:c>
      <x:c r="L48" s="25" t="str">
        <x:f>IF(I48&lt;70,"Superficial (&lt;70 km)",IF(I48&lt;=300,"Intermedio (70-300 km)","Profundo (&gt;300 km)"))</x:f>
        <x:v>Superficial (&lt;70 km)</x:v>
      </x:c>
      <x:c r="M48" s="25" t="str">
        <x:f>IF(J48&gt;=5,"Sí","No")</x:f>
        <x:v>No</x:v>
      </x:c>
      <x:c r="N48" s="25" t="str">
        <x:f>IF(J48&gt;=6,"Sí","No")</x:f>
        <x:v>No</x:v>
      </x:c>
      <x:c r="O48" s="25" t="str">
        <x:v>Pendiente: asignar con R/sf</x:v>
      </x:c>
    </x:row>
    <x:row r="49">
      <x:c r="A49" s="25" t="n">
        <x:v>48</x:v>
      </x:c>
      <x:c r="B49" s="26" t="n">
        <x:v>45361.84212962963</x:v>
      </x:c>
      <x:c r="C49" s="27" t="n">
        <x:f>INT(B49)</x:f>
        <x:v>45361</x:v>
      </x:c>
      <x:c r="D49" s="28" t="n">
        <x:f>MOD(B49,1)</x:f>
        <x:v>0.8421296296291985</x:v>
      </x:c>
      <x:c r="E49" s="29" t="n">
        <x:f>YEAR(B49)</x:f>
        <x:v>2024</x:v>
      </x:c>
      <x:c r="F49" s="29" t="n">
        <x:f>MONTH(B49)</x:f>
        <x:v>3</x:v>
      </x:c>
      <x:c r="G49" s="30" t="n">
        <x:v>-31.54</x:v>
      </x:c>
      <x:c r="H49" s="30" t="n">
        <x:v>-71.52</x:v>
      </x:c>
      <x:c r="I49" s="29" t="n">
        <x:v>49</x:v>
      </x:c>
      <x:c r="J49" s="31" t="n">
        <x:v>4.2</x:v>
      </x:c>
      <x:c r="K49" s="25" t="str">
        <x:f>IF(J49&gt;=7,"Muy fuerte (&gt;=7)",IF(J49&gt;=6,"Fuerte (6-6.9)",IF(J49&gt;=5,"Moderado alto (5-5.9)",IF(J49&gt;=4,"Moderado (4-4.9)","Menor a 4"))))</x:f>
        <x:v>Moderado (4-4.9)</x:v>
      </x:c>
      <x:c r="L49" s="25" t="str">
        <x:f>IF(I49&lt;70,"Superficial (&lt;70 km)",IF(I49&lt;=300,"Intermedio (70-300 km)","Profundo (&gt;300 km)"))</x:f>
        <x:v>Superficial (&lt;70 km)</x:v>
      </x:c>
      <x:c r="M49" s="25" t="str">
        <x:f>IF(J49&gt;=5,"Sí","No")</x:f>
        <x:v>No</x:v>
      </x:c>
      <x:c r="N49" s="25" t="str">
        <x:f>IF(J49&gt;=6,"Sí","No")</x:f>
        <x:v>No</x:v>
      </x:c>
      <x:c r="O49" s="25" t="str">
        <x:v>Pendiente: asignar con R/sf</x:v>
      </x:c>
    </x:row>
    <x:row r="50">
      <x:c r="A50" s="25" t="n">
        <x:v>49</x:v>
      </x:c>
      <x:c r="B50" s="26" t="n">
        <x:v>45128.502974537034</x:v>
      </x:c>
      <x:c r="C50" s="27" t="n">
        <x:f>INT(B50)</x:f>
        <x:v>45128</x:v>
      </x:c>
      <x:c r="D50" s="28" t="n">
        <x:f>MOD(B50,1)</x:f>
        <x:v>0.5029745370338787</x:v>
      </x:c>
      <x:c r="E50" s="29" t="n">
        <x:f>YEAR(B50)</x:f>
        <x:v>2023</x:v>
      </x:c>
      <x:c r="F50" s="29" t="n">
        <x:f>MONTH(B50)</x:f>
        <x:v>7</x:v>
      </x:c>
      <x:c r="G50" s="30" t="n">
        <x:v>-32.44</x:v>
      </x:c>
      <x:c r="H50" s="30" t="n">
        <x:v>-70.78</x:v>
      </x:c>
      <x:c r="I50" s="29" t="n">
        <x:v>80</x:v>
      </x:c>
      <x:c r="J50" s="31" t="n">
        <x:v>4.2</x:v>
      </x:c>
      <x:c r="K50" s="25" t="str">
        <x:f>IF(J50&gt;=7,"Muy fuerte (&gt;=7)",IF(J50&gt;=6,"Fuerte (6-6.9)",IF(J50&gt;=5,"Moderado alto (5-5.9)",IF(J50&gt;=4,"Moderado (4-4.9)","Menor a 4"))))</x:f>
        <x:v>Moderado (4-4.9)</x:v>
      </x:c>
      <x:c r="L50" s="25" t="str">
        <x:f>IF(I50&lt;70,"Superficial (&lt;70 km)",IF(I50&lt;=300,"Intermedio (70-300 km)","Profundo (&gt;300 km)"))</x:f>
        <x:v>Intermedio (70-300 km)</x:v>
      </x:c>
      <x:c r="M50" s="25" t="str">
        <x:f>IF(J50&gt;=5,"Sí","No")</x:f>
        <x:v>No</x:v>
      </x:c>
      <x:c r="N50" s="25" t="str">
        <x:f>IF(J50&gt;=6,"Sí","No")</x:f>
        <x:v>No</x:v>
      </x:c>
      <x:c r="O50" s="25" t="str">
        <x:v>Pendiente: asignar con R/sf</x:v>
      </x:c>
    </x:row>
    <x:row r="51">
      <x:c r="A51" s="25" t="n">
        <x:v>50</x:v>
      </x:c>
      <x:c r="B51" s="26" t="n">
        <x:v>45338.66038194444</x:v>
      </x:c>
      <x:c r="C51" s="27" t="n">
        <x:f>INT(B51)</x:f>
        <x:v>45338</x:v>
      </x:c>
      <x:c r="D51" s="28" t="n">
        <x:f>MOD(B51,1)</x:f>
        <x:v>0.6603819444426335</x:v>
      </x:c>
      <x:c r="E51" s="29" t="n">
        <x:f>YEAR(B51)</x:f>
        <x:v>2024</x:v>
      </x:c>
      <x:c r="F51" s="29" t="n">
        <x:f>MONTH(B51)</x:f>
        <x:v>2</x:v>
      </x:c>
      <x:c r="G51" s="30" t="n">
        <x:v>-32.73</x:v>
      </x:c>
      <x:c r="H51" s="30" t="n">
        <x:v>-70.64</x:v>
      </x:c>
      <x:c r="I51" s="29" t="n">
        <x:v>91</x:v>
      </x:c>
      <x:c r="J51" s="31" t="n">
        <x:v>4.2</x:v>
      </x:c>
      <x:c r="K51" s="25" t="str">
        <x:f>IF(J51&gt;=7,"Muy fuerte (&gt;=7)",IF(J51&gt;=6,"Fuerte (6-6.9)",IF(J51&gt;=5,"Moderado alto (5-5.9)",IF(J51&gt;=4,"Moderado (4-4.9)","Menor a 4"))))</x:f>
        <x:v>Moderado (4-4.9)</x:v>
      </x:c>
      <x:c r="L51" s="25" t="str">
        <x:f>IF(I51&lt;70,"Superficial (&lt;70 km)",IF(I51&lt;=300,"Intermedio (70-300 km)","Profundo (&gt;300 km)"))</x:f>
        <x:v>Intermedio (70-300 km)</x:v>
      </x:c>
      <x:c r="M51" s="25" t="str">
        <x:f>IF(J51&gt;=5,"Sí","No")</x:f>
        <x:v>No</x:v>
      </x:c>
      <x:c r="N51" s="25" t="str">
        <x:f>IF(J51&gt;=6,"Sí","No")</x:f>
        <x:v>No</x:v>
      </x:c>
      <x:c r="O51" s="25" t="str">
        <x:v>Pendiente: asignar con R/sf</x:v>
      </x:c>
    </x:row>
    <x:row r="52">
      <x:c r="A52" s="25" t="n">
        <x:v>51</x:v>
      </x:c>
      <x:c r="B52" s="26" t="n">
        <x:v>45110.89844907408</x:v>
      </x:c>
      <x:c r="C52" s="27" t="n">
        <x:f>INT(B52)</x:f>
        <x:v>45110</x:v>
      </x:c>
      <x:c r="D52" s="28" t="n">
        <x:f>MOD(B52,1)</x:f>
        <x:v>0.8984490740767797</x:v>
      </x:c>
      <x:c r="E52" s="29" t="n">
        <x:f>YEAR(B52)</x:f>
        <x:v>2023</x:v>
      </x:c>
      <x:c r="F52" s="29" t="n">
        <x:f>MONTH(B52)</x:f>
        <x:v>7</x:v>
      </x:c>
      <x:c r="G52" s="30" t="n">
        <x:v>-30.63</x:v>
      </x:c>
      <x:c r="H52" s="30" t="n">
        <x:v>-71.64</x:v>
      </x:c>
      <x:c r="I52" s="29" t="n">
        <x:v>34</x:v>
      </x:c>
      <x:c r="J52" s="31" t="n">
        <x:v>4.2</x:v>
      </x:c>
      <x:c r="K52" s="25" t="str">
        <x:f>IF(J52&gt;=7,"Muy fuerte (&gt;=7)",IF(J52&gt;=6,"Fuerte (6-6.9)",IF(J52&gt;=5,"Moderado alto (5-5.9)",IF(J52&gt;=4,"Moderado (4-4.9)","Menor a 4"))))</x:f>
        <x:v>Moderado (4-4.9)</x:v>
      </x:c>
      <x:c r="L52" s="25" t="str">
        <x:f>IF(I52&lt;70,"Superficial (&lt;70 km)",IF(I52&lt;=300,"Intermedio (70-300 km)","Profundo (&gt;300 km)"))</x:f>
        <x:v>Superficial (&lt;70 km)</x:v>
      </x:c>
      <x:c r="M52" s="25" t="str">
        <x:f>IF(J52&gt;=5,"Sí","No")</x:f>
        <x:v>No</x:v>
      </x:c>
      <x:c r="N52" s="25" t="str">
        <x:f>IF(J52&gt;=6,"Sí","No")</x:f>
        <x:v>No</x:v>
      </x:c>
      <x:c r="O52" s="25" t="str">
        <x:v>Pendiente: asignar con R/sf</x:v>
      </x:c>
    </x:row>
    <x:row r="53">
      <x:c r="A53" s="25" t="n">
        <x:v>52</x:v>
      </x:c>
      <x:c r="B53" s="26" t="n">
        <x:v>45351.48027777778</x:v>
      </x:c>
      <x:c r="C53" s="27" t="n">
        <x:f>INT(B53)</x:f>
        <x:v>45351</x:v>
      </x:c>
      <x:c r="D53" s="28" t="n">
        <x:f>MOD(B53,1)</x:f>
        <x:v>0.48027777778042946</x:v>
      </x:c>
      <x:c r="E53" s="29" t="n">
        <x:f>YEAR(B53)</x:f>
        <x:v>2024</x:v>
      </x:c>
      <x:c r="F53" s="29" t="n">
        <x:f>MONTH(B53)</x:f>
        <x:v>2</x:v>
      </x:c>
      <x:c r="G53" s="30" t="n">
        <x:v>-30.39</x:v>
      </x:c>
      <x:c r="H53" s="30" t="n">
        <x:v>-71.46</x:v>
      </x:c>
      <x:c r="I53" s="29" t="n">
        <x:v>39</x:v>
      </x:c>
      <x:c r="J53" s="31" t="n">
        <x:v>4.4</x:v>
      </x:c>
      <x:c r="K53" s="25" t="str">
        <x:f>IF(J53&gt;=7,"Muy fuerte (&gt;=7)",IF(J53&gt;=6,"Fuerte (6-6.9)",IF(J53&gt;=5,"Moderado alto (5-5.9)",IF(J53&gt;=4,"Moderado (4-4.9)","Menor a 4"))))</x:f>
        <x:v>Moderado (4-4.9)</x:v>
      </x:c>
      <x:c r="L53" s="25" t="str">
        <x:f>IF(I53&lt;70,"Superficial (&lt;70 km)",IF(I53&lt;=300,"Intermedio (70-300 km)","Profundo (&gt;300 km)"))</x:f>
        <x:v>Superficial (&lt;70 km)</x:v>
      </x:c>
      <x:c r="M53" s="25" t="str">
        <x:f>IF(J53&gt;=5,"Sí","No")</x:f>
        <x:v>No</x:v>
      </x:c>
      <x:c r="N53" s="25" t="str">
        <x:f>IF(J53&gt;=6,"Sí","No")</x:f>
        <x:v>No</x:v>
      </x:c>
      <x:c r="O53" s="25" t="str">
        <x:v>Pendiente: asignar con R/sf</x:v>
      </x:c>
    </x:row>
    <x:row r="54">
      <x:c r="A54" s="25" t="n">
        <x:v>53</x:v>
      </x:c>
      <x:c r="B54" s="26" t="n">
        <x:v>45257.14435185185</x:v>
      </x:c>
      <x:c r="C54" s="27" t="n">
        <x:f>INT(B54)</x:f>
        <x:v>45257</x:v>
      </x:c>
      <x:c r="D54" s="28" t="n">
        <x:f>MOD(B54,1)</x:f>
        <x:v>0.14435185184993315</x:v>
      </x:c>
      <x:c r="E54" s="29" t="n">
        <x:f>YEAR(B54)</x:f>
        <x:v>2023</x:v>
      </x:c>
      <x:c r="F54" s="29" t="n">
        <x:f>MONTH(B54)</x:f>
        <x:v>11</x:v>
      </x:c>
      <x:c r="G54" s="30" t="n">
        <x:v>-30.94</x:v>
      </x:c>
      <x:c r="H54" s="30" t="n">
        <x:v>-71.51</x:v>
      </x:c>
      <x:c r="I54" s="29" t="n">
        <x:v>60</x:v>
      </x:c>
      <x:c r="J54" s="31" t="n">
        <x:v>3.9</x:v>
      </x:c>
      <x:c r="K54" s="25" t="str">
        <x:f>IF(J54&gt;=7,"Muy fuerte (&gt;=7)",IF(J54&gt;=6,"Fuerte (6-6.9)",IF(J54&gt;=5,"Moderado alto (5-5.9)",IF(J54&gt;=4,"Moderado (4-4.9)","Menor a 4"))))</x:f>
        <x:v>Menor a 4</x:v>
      </x:c>
      <x:c r="L54" s="25" t="str">
        <x:f>IF(I54&lt;70,"Superficial (&lt;70 km)",IF(I54&lt;=300,"Intermedio (70-300 km)","Profundo (&gt;300 km)"))</x:f>
        <x:v>Superficial (&lt;70 km)</x:v>
      </x:c>
      <x:c r="M54" s="25" t="str">
        <x:f>IF(J54&gt;=5,"Sí","No")</x:f>
        <x:v>No</x:v>
      </x:c>
      <x:c r="N54" s="25" t="str">
        <x:f>IF(J54&gt;=6,"Sí","No")</x:f>
        <x:v>No</x:v>
      </x:c>
      <x:c r="O54" s="25" t="str">
        <x:v>Pendiente: asignar con R/sf</x:v>
      </x:c>
    </x:row>
    <x:row r="55">
      <x:c r="A55" s="25" t="n">
        <x:v>54</x:v>
      </x:c>
      <x:c r="B55" s="26" t="n">
        <x:v>45347.418275462966</x:v>
      </x:c>
      <x:c r="C55" s="27" t="n">
        <x:f>INT(B55)</x:f>
        <x:v>45347</x:v>
      </x:c>
      <x:c r="D55" s="28" t="n">
        <x:f>MOD(B55,1)</x:f>
        <x:v>0.4182754629655392</x:v>
      </x:c>
      <x:c r="E55" s="29" t="n">
        <x:f>YEAR(B55)</x:f>
        <x:v>2024</x:v>
      </x:c>
      <x:c r="F55" s="29" t="n">
        <x:f>MONTH(B55)</x:f>
        <x:v>2</x:v>
      </x:c>
      <x:c r="G55" s="30" t="n">
        <x:v>-31.16</x:v>
      </x:c>
      <x:c r="H55" s="30" t="n">
        <x:v>-71.21</x:v>
      </x:c>
      <x:c r="I55" s="29" t="n">
        <x:v>59</x:v>
      </x:c>
      <x:c r="J55" s="31" t="n">
        <x:v>3.8</x:v>
      </x:c>
      <x:c r="K55" s="25" t="str">
        <x:f>IF(J55&gt;=7,"Muy fuerte (&gt;=7)",IF(J55&gt;=6,"Fuerte (6-6.9)",IF(J55&gt;=5,"Moderado alto (5-5.9)",IF(J55&gt;=4,"Moderado (4-4.9)","Menor a 4"))))</x:f>
        <x:v>Menor a 4</x:v>
      </x:c>
      <x:c r="L55" s="25" t="str">
        <x:f>IF(I55&lt;70,"Superficial (&lt;70 km)",IF(I55&lt;=300,"Intermedio (70-300 km)","Profundo (&gt;300 km)"))</x:f>
        <x:v>Superficial (&lt;70 km)</x:v>
      </x:c>
      <x:c r="M55" s="25" t="str">
        <x:f>IF(J55&gt;=5,"Sí","No")</x:f>
        <x:v>No</x:v>
      </x:c>
      <x:c r="N55" s="25" t="str">
        <x:f>IF(J55&gt;=6,"Sí","No")</x:f>
        <x:v>No</x:v>
      </x:c>
      <x:c r="O55" s="25" t="str">
        <x:v>Pendiente: asignar con R/sf</x:v>
      </x:c>
    </x:row>
    <x:row r="56">
      <x:c r="A56" s="25" t="n">
        <x:v>55</x:v>
      </x:c>
      <x:c r="B56" s="26" t="n">
        <x:v>45382.72074074074</x:v>
      </x:c>
      <x:c r="C56" s="27" t="n">
        <x:f>INT(B56)</x:f>
        <x:v>45382</x:v>
      </x:c>
      <x:c r="D56" s="28" t="n">
        <x:f>MOD(B56,1)</x:f>
        <x:v>0.7207407407404389</x:v>
      </x:c>
      <x:c r="E56" s="29" t="n">
        <x:f>YEAR(B56)</x:f>
        <x:v>2024</x:v>
      </x:c>
      <x:c r="F56" s="29" t="n">
        <x:f>MONTH(B56)</x:f>
        <x:v>3</x:v>
      </x:c>
      <x:c r="G56" s="30" t="n">
        <x:v>-31.05</x:v>
      </x:c>
      <x:c r="H56" s="30" t="n">
        <x:v>-71.34</x:v>
      </x:c>
      <x:c r="I56" s="29" t="n">
        <x:v>66</x:v>
      </x:c>
      <x:c r="J56" s="31" t="n">
        <x:v>4.5</x:v>
      </x:c>
      <x:c r="K56" s="25" t="str">
        <x:f>IF(J56&gt;=7,"Muy fuerte (&gt;=7)",IF(J56&gt;=6,"Fuerte (6-6.9)",IF(J56&gt;=5,"Moderado alto (5-5.9)",IF(J56&gt;=4,"Moderado (4-4.9)","Menor a 4"))))</x:f>
        <x:v>Moderado (4-4.9)</x:v>
      </x:c>
      <x:c r="L56" s="25" t="str">
        <x:f>IF(I56&lt;70,"Superficial (&lt;70 km)",IF(I56&lt;=300,"Intermedio (70-300 km)","Profundo (&gt;300 km)"))</x:f>
        <x:v>Superficial (&lt;70 km)</x:v>
      </x:c>
      <x:c r="M56" s="25" t="str">
        <x:f>IF(J56&gt;=5,"Sí","No")</x:f>
        <x:v>No</x:v>
      </x:c>
      <x:c r="N56" s="25" t="str">
        <x:f>IF(J56&gt;=6,"Sí","No")</x:f>
        <x:v>No</x:v>
      </x:c>
      <x:c r="O56" s="25" t="str">
        <x:v>Pendiente: asignar con R/sf</x:v>
      </x:c>
    </x:row>
    <x:row r="57">
      <x:c r="A57" s="25" t="n">
        <x:v>56</x:v>
      </x:c>
      <x:c r="B57" s="26" t="n">
        <x:v>45459.52217592593</x:v>
      </x:c>
      <x:c r="C57" s="27" t="n">
        <x:f>INT(B57)</x:f>
        <x:v>45459</x:v>
      </x:c>
      <x:c r="D57" s="28" t="n">
        <x:f>MOD(B57,1)</x:f>
        <x:v>0.5221759259293322</x:v>
      </x:c>
      <x:c r="E57" s="29" t="n">
        <x:f>YEAR(B57)</x:f>
        <x:v>2024</x:v>
      </x:c>
      <x:c r="F57" s="29" t="n">
        <x:f>MONTH(B57)</x:f>
        <x:v>6</x:v>
      </x:c>
      <x:c r="G57" s="30" t="n">
        <x:v>-31.55</x:v>
      </x:c>
      <x:c r="H57" s="30" t="n">
        <x:v>-71.52</x:v>
      </x:c>
      <x:c r="I57" s="29" t="n">
        <x:v>43</x:v>
      </x:c>
      <x:c r="J57" s="31" t="n">
        <x:v>3.8</x:v>
      </x:c>
      <x:c r="K57" s="25" t="str">
        <x:f>IF(J57&gt;=7,"Muy fuerte (&gt;=7)",IF(J57&gt;=6,"Fuerte (6-6.9)",IF(J57&gt;=5,"Moderado alto (5-5.9)",IF(J57&gt;=4,"Moderado (4-4.9)","Menor a 4"))))</x:f>
        <x:v>Menor a 4</x:v>
      </x:c>
      <x:c r="L57" s="25" t="str">
        <x:f>IF(I57&lt;70,"Superficial (&lt;70 km)",IF(I57&lt;=300,"Intermedio (70-300 km)","Profundo (&gt;300 km)"))</x:f>
        <x:v>Superficial (&lt;70 km)</x:v>
      </x:c>
      <x:c r="M57" s="25" t="str">
        <x:f>IF(J57&gt;=5,"Sí","No")</x:f>
        <x:v>No</x:v>
      </x:c>
      <x:c r="N57" s="25" t="str">
        <x:f>IF(J57&gt;=6,"Sí","No")</x:f>
        <x:v>No</x:v>
      </x:c>
      <x:c r="O57" s="25" t="str">
        <x:v>Pendiente: asignar con R/sf</x:v>
      </x:c>
    </x:row>
    <x:row r="58">
      <x:c r="A58" s="25" t="n">
        <x:v>57</x:v>
      </x:c>
      <x:c r="B58" s="26" t="n">
        <x:v>45395.959282407406</x:v>
      </x:c>
      <x:c r="C58" s="27" t="n">
        <x:f>INT(B58)</x:f>
        <x:v>45395</x:v>
      </x:c>
      <x:c r="D58" s="28" t="n">
        <x:f>MOD(B58,1)</x:f>
        <x:v>0.9592824074061355</x:v>
      </x:c>
      <x:c r="E58" s="29" t="n">
        <x:f>YEAR(B58)</x:f>
        <x:v>2024</x:v>
      </x:c>
      <x:c r="F58" s="29" t="n">
        <x:f>MONTH(B58)</x:f>
        <x:v>4</x:v>
      </x:c>
      <x:c r="G58" s="30" t="n">
        <x:v>-32.56</x:v>
      </x:c>
      <x:c r="H58" s="30" t="n">
        <x:v>-71.51</x:v>
      </x:c>
      <x:c r="I58" s="29" t="n">
        <x:v>61</x:v>
      </x:c>
      <x:c r="J58" s="31" t="n">
        <x:v>4.2</x:v>
      </x:c>
      <x:c r="K58" s="25" t="str">
        <x:f>IF(J58&gt;=7,"Muy fuerte (&gt;=7)",IF(J58&gt;=6,"Fuerte (6-6.9)",IF(J58&gt;=5,"Moderado alto (5-5.9)",IF(J58&gt;=4,"Moderado (4-4.9)","Menor a 4"))))</x:f>
        <x:v>Moderado (4-4.9)</x:v>
      </x:c>
      <x:c r="L58" s="25" t="str">
        <x:f>IF(I58&lt;70,"Superficial (&lt;70 km)",IF(I58&lt;=300,"Intermedio (70-300 km)","Profundo (&gt;300 km)"))</x:f>
        <x:v>Superficial (&lt;70 km)</x:v>
      </x:c>
      <x:c r="M58" s="25" t="str">
        <x:f>IF(J58&gt;=5,"Sí","No")</x:f>
        <x:v>No</x:v>
      </x:c>
      <x:c r="N58" s="25" t="str">
        <x:f>IF(J58&gt;=6,"Sí","No")</x:f>
        <x:v>No</x:v>
      </x:c>
      <x:c r="O58" s="25" t="str">
        <x:v>Pendiente: asignar con R/sf</x:v>
      </x:c>
    </x:row>
    <x:row r="59">
      <x:c r="A59" s="25" t="n">
        <x:v>58</x:v>
      </x:c>
      <x:c r="B59" s="26" t="n">
        <x:v>45061.14606481481</x:v>
      </x:c>
      <x:c r="C59" s="27" t="n">
        <x:f>INT(B59)</x:f>
        <x:v>45061</x:v>
      </x:c>
      <x:c r="D59" s="28" t="n">
        <x:f>MOD(B59,1)</x:f>
        <x:v>0.14606481481314404</x:v>
      </x:c>
      <x:c r="E59" s="29" t="n">
        <x:f>YEAR(B59)</x:f>
        <x:v>2023</x:v>
      </x:c>
      <x:c r="F59" s="29" t="n">
        <x:f>MONTH(B59)</x:f>
        <x:v>5</x:v>
      </x:c>
      <x:c r="G59" s="30" t="n">
        <x:v>-32.5</x:v>
      </x:c>
      <x:c r="H59" s="30" t="n">
        <x:v>-71.69</x:v>
      </x:c>
      <x:c r="I59" s="29" t="n">
        <x:v>43</x:v>
      </x:c>
      <x:c r="J59" s="31" t="n">
        <x:v>3.7</x:v>
      </x:c>
      <x:c r="K59" s="25" t="str">
        <x:f>IF(J59&gt;=7,"Muy fuerte (&gt;=7)",IF(J59&gt;=6,"Fuerte (6-6.9)",IF(J59&gt;=5,"Moderado alto (5-5.9)",IF(J59&gt;=4,"Moderado (4-4.9)","Menor a 4"))))</x:f>
        <x:v>Menor a 4</x:v>
      </x:c>
      <x:c r="L59" s="25" t="str">
        <x:f>IF(I59&lt;70,"Superficial (&lt;70 km)",IF(I59&lt;=300,"Intermedio (70-300 km)","Profundo (&gt;300 km)"))</x:f>
        <x:v>Superficial (&lt;70 km)</x:v>
      </x:c>
      <x:c r="M59" s="25" t="str">
        <x:f>IF(J59&gt;=5,"Sí","No")</x:f>
        <x:v>No</x:v>
      </x:c>
      <x:c r="N59" s="25" t="str">
        <x:f>IF(J59&gt;=6,"Sí","No")</x:f>
        <x:v>No</x:v>
      </x:c>
      <x:c r="O59" s="25" t="str">
        <x:v>Pendiente: asignar con R/sf</x:v>
      </x:c>
    </x:row>
    <x:row r="60">
      <x:c r="A60" s="25" t="n">
        <x:v>59</x:v>
      </x:c>
      <x:c r="B60" s="26" t="n">
        <x:v>45423.45699074074</x:v>
      </x:c>
      <x:c r="C60" s="27" t="n">
        <x:f>INT(B60)</x:f>
        <x:v>45423</x:v>
      </x:c>
      <x:c r="D60" s="28" t="n">
        <x:f>MOD(B60,1)</x:f>
        <x:v>0.45699074074218515</x:v>
      </x:c>
      <x:c r="E60" s="29" t="n">
        <x:f>YEAR(B60)</x:f>
        <x:v>2024</x:v>
      </x:c>
      <x:c r="F60" s="29" t="n">
        <x:f>MONTH(B60)</x:f>
        <x:v>5</x:v>
      </x:c>
      <x:c r="G60" s="30" t="n">
        <x:v>-32.66</x:v>
      </x:c>
      <x:c r="H60" s="30" t="n">
        <x:v>-71.81</x:v>
      </x:c>
      <x:c r="I60" s="29" t="n">
        <x:v>36</x:v>
      </x:c>
      <x:c r="J60" s="31" t="n">
        <x:v>4</x:v>
      </x:c>
      <x:c r="K60" s="25" t="str">
        <x:f>IF(J60&gt;=7,"Muy fuerte (&gt;=7)",IF(J60&gt;=6,"Fuerte (6-6.9)",IF(J60&gt;=5,"Moderado alto (5-5.9)",IF(J60&gt;=4,"Moderado (4-4.9)","Menor a 4"))))</x:f>
        <x:v>Moderado (4-4.9)</x:v>
      </x:c>
      <x:c r="L60" s="25" t="str">
        <x:f>IF(I60&lt;70,"Superficial (&lt;70 km)",IF(I60&lt;=300,"Intermedio (70-300 km)","Profundo (&gt;300 km)"))</x:f>
        <x:v>Superficial (&lt;70 km)</x:v>
      </x:c>
      <x:c r="M60" s="25" t="str">
        <x:f>IF(J60&gt;=5,"Sí","No")</x:f>
        <x:v>No</x:v>
      </x:c>
      <x:c r="N60" s="25" t="str">
        <x:f>IF(J60&gt;=6,"Sí","No")</x:f>
        <x:v>No</x:v>
      </x:c>
      <x:c r="O60" s="25" t="str">
        <x:v>Pendiente: asignar con R/sf</x:v>
      </x:c>
    </x:row>
    <x:row r="61">
      <x:c r="A61" s="25" t="n">
        <x:v>60</x:v>
      </x:c>
      <x:c r="B61" s="26" t="n">
        <x:v>45229.367893518516</x:v>
      </x:c>
      <x:c r="C61" s="27" t="n">
        <x:f>INT(B61)</x:f>
        <x:v>45229</x:v>
      </x:c>
      <x:c r="D61" s="28" t="n">
        <x:f>MOD(B61,1)</x:f>
        <x:v>0.36789351851621177</x:v>
      </x:c>
      <x:c r="E61" s="29" t="n">
        <x:f>YEAR(B61)</x:f>
        <x:v>2023</x:v>
      </x:c>
      <x:c r="F61" s="29" t="n">
        <x:f>MONTH(B61)</x:f>
        <x:v>10</x:v>
      </x:c>
      <x:c r="G61" s="30" t="n">
        <x:v>-32.82</x:v>
      </x:c>
      <x:c r="H61" s="30" t="n">
        <x:v>-70.25</x:v>
      </x:c>
      <x:c r="I61" s="29" t="n">
        <x:v>124</x:v>
      </x:c>
      <x:c r="J61" s="31" t="n">
        <x:v>4.4</x:v>
      </x:c>
      <x:c r="K61" s="25" t="str">
        <x:f>IF(J61&gt;=7,"Muy fuerte (&gt;=7)",IF(J61&gt;=6,"Fuerte (6-6.9)",IF(J61&gt;=5,"Moderado alto (5-5.9)",IF(J61&gt;=4,"Moderado (4-4.9)","Menor a 4"))))</x:f>
        <x:v>Moderado (4-4.9)</x:v>
      </x:c>
      <x:c r="L61" s="25" t="str">
        <x:f>IF(I61&lt;70,"Superficial (&lt;70 km)",IF(I61&lt;=300,"Intermedio (70-300 km)","Profundo (&gt;300 km)"))</x:f>
        <x:v>Intermedio (70-300 km)</x:v>
      </x:c>
      <x:c r="M61" s="25" t="str">
        <x:f>IF(J61&gt;=5,"Sí","No")</x:f>
        <x:v>No</x:v>
      </x:c>
      <x:c r="N61" s="25" t="str">
        <x:f>IF(J61&gt;=6,"Sí","No")</x:f>
        <x:v>No</x:v>
      </x:c>
      <x:c r="O61" s="25" t="str">
        <x:v>Pendiente: asignar con R/sf</x:v>
      </x:c>
    </x:row>
    <x:row r="62">
      <x:c r="A62" s="25" t="n">
        <x:v>61</x:v>
      </x:c>
      <x:c r="B62" s="26" t="n">
        <x:v>45430.39488425926</x:v>
      </x:c>
      <x:c r="C62" s="27" t="n">
        <x:f>INT(B62)</x:f>
        <x:v>45430</x:v>
      </x:c>
      <x:c r="D62" s="28" t="n">
        <x:f>MOD(B62,1)</x:f>
        <x:v>0.3948842592581059</x:v>
      </x:c>
      <x:c r="E62" s="29" t="n">
        <x:f>YEAR(B62)</x:f>
        <x:v>2024</x:v>
      </x:c>
      <x:c r="F62" s="29" t="n">
        <x:f>MONTH(B62)</x:f>
        <x:v>5</x:v>
      </x:c>
      <x:c r="G62" s="30" t="n">
        <x:v>-32.91</x:v>
      </x:c>
      <x:c r="H62" s="30" t="n">
        <x:v>-70.86</x:v>
      </x:c>
      <x:c r="I62" s="29" t="n">
        <x:v>80</x:v>
      </x:c>
      <x:c r="J62" s="31" t="n">
        <x:v>4.4</x:v>
      </x:c>
      <x:c r="K62" s="25" t="str">
        <x:f>IF(J62&gt;=7,"Muy fuerte (&gt;=7)",IF(J62&gt;=6,"Fuerte (6-6.9)",IF(J62&gt;=5,"Moderado alto (5-5.9)",IF(J62&gt;=4,"Moderado (4-4.9)","Menor a 4"))))</x:f>
        <x:v>Moderado (4-4.9)</x:v>
      </x:c>
      <x:c r="L62" s="25" t="str">
        <x:f>IF(I62&lt;70,"Superficial (&lt;70 km)",IF(I62&lt;=300,"Intermedio (70-300 km)","Profundo (&gt;300 km)"))</x:f>
        <x:v>Intermedio (70-300 km)</x:v>
      </x:c>
      <x:c r="M62" s="25" t="str">
        <x:f>IF(J62&gt;=5,"Sí","No")</x:f>
        <x:v>No</x:v>
      </x:c>
      <x:c r="N62" s="25" t="str">
        <x:f>IF(J62&gt;=6,"Sí","No")</x:f>
        <x:v>No</x:v>
      </x:c>
      <x:c r="O62" s="25" t="str">
        <x:v>Pendiente: asignar con R/sf</x:v>
      </x:c>
    </x:row>
    <x:row r="63">
      <x:c r="A63" s="25" t="n">
        <x:v>62</x:v>
      </x:c>
      <x:c r="B63" s="26" t="n">
        <x:v>44732.05403935185</x:v>
      </x:c>
      <x:c r="C63" s="27" t="n">
        <x:f>INT(B63)</x:f>
        <x:v>44732</x:v>
      </x:c>
      <x:c r="D63" s="28" t="n">
        <x:f>MOD(B63,1)</x:f>
        <x:v>0.054039351853134576</x:v>
      </x:c>
      <x:c r="E63" s="29" t="n">
        <x:f>YEAR(B63)</x:f>
        <x:v>2022</x:v>
      </x:c>
      <x:c r="F63" s="29" t="n">
        <x:f>MONTH(B63)</x:f>
        <x:v>6</x:v>
      </x:c>
      <x:c r="G63" s="30" t="n">
        <x:v>-20.29</x:v>
      </x:c>
      <x:c r="H63" s="30" t="n">
        <x:v>-68.75</x:v>
      </x:c>
      <x:c r="I63" s="29" t="n">
        <x:v>113</x:v>
      </x:c>
      <x:c r="J63" s="31" t="n">
        <x:v>4.6</x:v>
      </x:c>
      <x:c r="K63" s="25" t="str">
        <x:f>IF(J63&gt;=7,"Muy fuerte (&gt;=7)",IF(J63&gt;=6,"Fuerte (6-6.9)",IF(J63&gt;=5,"Moderado alto (5-5.9)",IF(J63&gt;=4,"Moderado (4-4.9)","Menor a 4"))))</x:f>
        <x:v>Moderado (4-4.9)</x:v>
      </x:c>
      <x:c r="L63" s="25" t="str">
        <x:f>IF(I63&lt;70,"Superficial (&lt;70 km)",IF(I63&lt;=300,"Intermedio (70-300 km)","Profundo (&gt;300 km)"))</x:f>
        <x:v>Intermedio (70-300 km)</x:v>
      </x:c>
      <x:c r="M63" s="25" t="str">
        <x:f>IF(J63&gt;=5,"Sí","No")</x:f>
        <x:v>No</x:v>
      </x:c>
      <x:c r="N63" s="25" t="str">
        <x:f>IF(J63&gt;=6,"Sí","No")</x:f>
        <x:v>No</x:v>
      </x:c>
      <x:c r="O63" s="25" t="str">
        <x:v>Pendiente: asignar con R/sf</x:v>
      </x:c>
    </x:row>
    <x:row r="64">
      <x:c r="A64" s="25" t="n">
        <x:v>63</x:v>
      </x:c>
      <x:c r="B64" s="26" t="n">
        <x:v>44767.44584490741</x:v>
      </x:c>
      <x:c r="C64" s="27" t="n">
        <x:f>INT(B64)</x:f>
        <x:v>44767</x:v>
      </x:c>
      <x:c r="D64" s="28" t="n">
        <x:f>MOD(B64,1)</x:f>
        <x:v>0.44584490740817273</x:v>
      </x:c>
      <x:c r="E64" s="29" t="n">
        <x:f>YEAR(B64)</x:f>
        <x:v>2022</x:v>
      </x:c>
      <x:c r="F64" s="29" t="n">
        <x:f>MONTH(B64)</x:f>
        <x:v>7</x:v>
      </x:c>
      <x:c r="G64" s="30" t="n">
        <x:v>-20.09</x:v>
      </x:c>
      <x:c r="H64" s="30" t="n">
        <x:v>-68.92</x:v>
      </x:c>
      <x:c r="I64" s="29" t="n">
        <x:v>115</x:v>
      </x:c>
      <x:c r="J64" s="31" t="n">
        <x:v>4.5</x:v>
      </x:c>
      <x:c r="K64" s="25" t="str">
        <x:f>IF(J64&gt;=7,"Muy fuerte (&gt;=7)",IF(J64&gt;=6,"Fuerte (6-6.9)",IF(J64&gt;=5,"Moderado alto (5-5.9)",IF(J64&gt;=4,"Moderado (4-4.9)","Menor a 4"))))</x:f>
        <x:v>Moderado (4-4.9)</x:v>
      </x:c>
      <x:c r="L64" s="25" t="str">
        <x:f>IF(I64&lt;70,"Superficial (&lt;70 km)",IF(I64&lt;=300,"Intermedio (70-300 km)","Profundo (&gt;300 km)"))</x:f>
        <x:v>Intermedio (70-300 km)</x:v>
      </x:c>
      <x:c r="M64" s="25" t="str">
        <x:f>IF(J64&gt;=5,"Sí","No")</x:f>
        <x:v>No</x:v>
      </x:c>
      <x:c r="N64" s="25" t="str">
        <x:f>IF(J64&gt;=6,"Sí","No")</x:f>
        <x:v>No</x:v>
      </x:c>
      <x:c r="O64" s="25" t="str">
        <x:v>Pendiente: asignar con R/sf</x:v>
      </x:c>
    </x:row>
    <x:row r="65">
      <x:c r="A65" s="25" t="n">
        <x:v>64</x:v>
      </x:c>
      <x:c r="B65" s="26" t="n">
        <x:v>44853.14381944444</x:v>
      </x:c>
      <x:c r="C65" s="27" t="n">
        <x:f>INT(B65)</x:f>
        <x:v>44853</x:v>
      </x:c>
      <x:c r="D65" s="28" t="n">
        <x:f>MOD(B65,1)</x:f>
        <x:v>0.14381944444176042</x:v>
      </x:c>
      <x:c r="E65" s="29" t="n">
        <x:f>YEAR(B65)</x:f>
        <x:v>2022</x:v>
      </x:c>
      <x:c r="F65" s="29" t="n">
        <x:f>MONTH(B65)</x:f>
        <x:v>10</x:v>
      </x:c>
      <x:c r="G65" s="30" t="n">
        <x:v>-20.63</x:v>
      </x:c>
      <x:c r="H65" s="30" t="n">
        <x:v>-69.25</x:v>
      </x:c>
      <x:c r="I65" s="29" t="n">
        <x:v>98</x:v>
      </x:c>
      <x:c r="J65" s="31" t="n">
        <x:v>4.5</x:v>
      </x:c>
      <x:c r="K65" s="25" t="str">
        <x:f>IF(J65&gt;=7,"Muy fuerte (&gt;=7)",IF(J65&gt;=6,"Fuerte (6-6.9)",IF(J65&gt;=5,"Moderado alto (5-5.9)",IF(J65&gt;=4,"Moderado (4-4.9)","Menor a 4"))))</x:f>
        <x:v>Moderado (4-4.9)</x:v>
      </x:c>
      <x:c r="L65" s="25" t="str">
        <x:f>IF(I65&lt;70,"Superficial (&lt;70 km)",IF(I65&lt;=300,"Intermedio (70-300 km)","Profundo (&gt;300 km)"))</x:f>
        <x:v>Intermedio (70-300 km)</x:v>
      </x:c>
      <x:c r="M65" s="25" t="str">
        <x:f>IF(J65&gt;=5,"Sí","No")</x:f>
        <x:v>No</x:v>
      </x:c>
      <x:c r="N65" s="25" t="str">
        <x:f>IF(J65&gt;=6,"Sí","No")</x:f>
        <x:v>No</x:v>
      </x:c>
      <x:c r="O65" s="25" t="str">
        <x:v>Pendiente: asignar con R/sf</x:v>
      </x:c>
    </x:row>
    <x:row r="66">
      <x:c r="A66" s="25" t="n">
        <x:v>65</x:v>
      </x:c>
      <x:c r="B66" s="26" t="n">
        <x:v>44897.56953703704</x:v>
      </x:c>
      <x:c r="C66" s="27" t="n">
        <x:f>INT(B66)</x:f>
        <x:v>44897</x:v>
      </x:c>
      <x:c r="D66" s="28" t="n">
        <x:f>MOD(B66,1)</x:f>
        <x:v>0.5695370370376622</x:v>
      </x:c>
      <x:c r="E66" s="29" t="n">
        <x:f>YEAR(B66)</x:f>
        <x:v>2022</x:v>
      </x:c>
      <x:c r="F66" s="29" t="n">
        <x:f>MONTH(B66)</x:f>
        <x:v>12</x:v>
      </x:c>
      <x:c r="G66" s="30" t="n">
        <x:v>-20.62</x:v>
      </x:c>
      <x:c r="H66" s="30" t="n">
        <x:v>-68.85</x:v>
      </x:c>
      <x:c r="I66" s="29" t="n">
        <x:v>110</x:v>
      </x:c>
      <x:c r="J66" s="31" t="n">
        <x:v>4.4</x:v>
      </x:c>
      <x:c r="K66" s="25" t="str">
        <x:f>IF(J66&gt;=7,"Muy fuerte (&gt;=7)",IF(J66&gt;=6,"Fuerte (6-6.9)",IF(J66&gt;=5,"Moderado alto (5-5.9)",IF(J66&gt;=4,"Moderado (4-4.9)","Menor a 4"))))</x:f>
        <x:v>Moderado (4-4.9)</x:v>
      </x:c>
      <x:c r="L66" s="25" t="str">
        <x:f>IF(I66&lt;70,"Superficial (&lt;70 km)",IF(I66&lt;=300,"Intermedio (70-300 km)","Profundo (&gt;300 km)"))</x:f>
        <x:v>Intermedio (70-300 km)</x:v>
      </x:c>
      <x:c r="M66" s="25" t="str">
        <x:f>IF(J66&gt;=5,"Sí","No")</x:f>
        <x:v>No</x:v>
      </x:c>
      <x:c r="N66" s="25" t="str">
        <x:f>IF(J66&gt;=6,"Sí","No")</x:f>
        <x:v>No</x:v>
      </x:c>
      <x:c r="O66" s="25" t="str">
        <x:v>Pendiente: asignar con R/sf</x:v>
      </x:c>
    </x:row>
    <x:row r="67">
      <x:c r="A67" s="25" t="n">
        <x:v>66</x:v>
      </x:c>
      <x:c r="B67" s="26" t="n">
        <x:v>44946.023506944446</x:v>
      </x:c>
      <x:c r="C67" s="27" t="n">
        <x:f>INT(B67)</x:f>
        <x:v>44946</x:v>
      </x:c>
      <x:c r="D67" s="28" t="n">
        <x:f>MOD(B67,1)</x:f>
        <x:v>0.023506944446126</x:v>
      </x:c>
      <x:c r="E67" s="29" t="n">
        <x:f>YEAR(B67)</x:f>
        <x:v>2023</x:v>
      </x:c>
      <x:c r="F67" s="29" t="n">
        <x:f>MONTH(B67)</x:f>
        <x:v>1</x:v>
      </x:c>
      <x:c r="G67" s="30" t="n">
        <x:v>-20.46</x:v>
      </x:c>
      <x:c r="H67" s="30" t="n">
        <x:v>-69.08</x:v>
      </x:c>
      <x:c r="I67" s="29" t="n">
        <x:v>104</x:v>
      </x:c>
      <x:c r="J67" s="31" t="n">
        <x:v>3.7</x:v>
      </x:c>
      <x:c r="K67" s="25" t="str">
        <x:f>IF(J67&gt;=7,"Muy fuerte (&gt;=7)",IF(J67&gt;=6,"Fuerte (6-6.9)",IF(J67&gt;=5,"Moderado alto (5-5.9)",IF(J67&gt;=4,"Moderado (4-4.9)","Menor a 4"))))</x:f>
        <x:v>Menor a 4</x:v>
      </x:c>
      <x:c r="L67" s="25" t="str">
        <x:f>IF(I67&lt;70,"Superficial (&lt;70 km)",IF(I67&lt;=300,"Intermedio (70-300 km)","Profundo (&gt;300 km)"))</x:f>
        <x:v>Intermedio (70-300 km)</x:v>
      </x:c>
      <x:c r="M67" s="25" t="str">
        <x:f>IF(J67&gt;=5,"Sí","No")</x:f>
        <x:v>No</x:v>
      </x:c>
      <x:c r="N67" s="25" t="str">
        <x:f>IF(J67&gt;=6,"Sí","No")</x:f>
        <x:v>No</x:v>
      </x:c>
      <x:c r="O67" s="25" t="str">
        <x:v>Pendiente: asignar con R/sf</x:v>
      </x:c>
    </x:row>
    <x:row r="68">
      <x:c r="A68" s="25" t="n">
        <x:v>67</x:v>
      </x:c>
      <x:c r="B68" s="26" t="n">
        <x:v>44988.02241898148</x:v>
      </x:c>
      <x:c r="C68" s="27" t="n">
        <x:f>INT(B68)</x:f>
        <x:v>44988</x:v>
      </x:c>
      <x:c r="D68" s="28" t="n">
        <x:f>MOD(B68,1)</x:f>
        <x:v>0.02241898148349719</x:v>
      </x:c>
      <x:c r="E68" s="29" t="n">
        <x:f>YEAR(B68)</x:f>
        <x:v>2023</x:v>
      </x:c>
      <x:c r="F68" s="29" t="n">
        <x:f>MONTH(B68)</x:f>
        <x:v>3</x:v>
      </x:c>
      <x:c r="G68" s="30" t="n">
        <x:v>-20.18</x:v>
      </x:c>
      <x:c r="H68" s="30" t="n">
        <x:v>-69.1</x:v>
      </x:c>
      <x:c r="I68" s="29" t="n">
        <x:v>103</x:v>
      </x:c>
      <x:c r="J68" s="31" t="n">
        <x:v>3.8</x:v>
      </x:c>
      <x:c r="K68" s="25" t="str">
        <x:f>IF(J68&gt;=7,"Muy fuerte (&gt;=7)",IF(J68&gt;=6,"Fuerte (6-6.9)",IF(J68&gt;=5,"Moderado alto (5-5.9)",IF(J68&gt;=4,"Moderado (4-4.9)","Menor a 4"))))</x:f>
        <x:v>Menor a 4</x:v>
      </x:c>
      <x:c r="L68" s="25" t="str">
        <x:f>IF(I68&lt;70,"Superficial (&lt;70 km)",IF(I68&lt;=300,"Intermedio (70-300 km)","Profundo (&gt;300 km)"))</x:f>
        <x:v>Intermedio (70-300 km)</x:v>
      </x:c>
      <x:c r="M68" s="25" t="str">
        <x:f>IF(J68&gt;=5,"Sí","No")</x:f>
        <x:v>No</x:v>
      </x:c>
      <x:c r="N68" s="25" t="str">
        <x:f>IF(J68&gt;=6,"Sí","No")</x:f>
        <x:v>No</x:v>
      </x:c>
      <x:c r="O68" s="25" t="str">
        <x:v>Pendiente: asignar con R/sf</x:v>
      </x:c>
    </x:row>
    <x:row r="69">
      <x:c r="A69" s="25" t="n">
        <x:v>68</x:v>
      </x:c>
      <x:c r="B69" s="26" t="n">
        <x:v>45065.16576388889</x:v>
      </x:c>
      <x:c r="C69" s="27" t="n">
        <x:f>INT(B69)</x:f>
        <x:v>45065</x:v>
      </x:c>
      <x:c r="D69" s="28" t="n">
        <x:f>MOD(B69,1)</x:f>
        <x:v>0.16576388888643123</x:v>
      </x:c>
      <x:c r="E69" s="29" t="n">
        <x:f>YEAR(B69)</x:f>
        <x:v>2023</x:v>
      </x:c>
      <x:c r="F69" s="29" t="n">
        <x:f>MONTH(B69)</x:f>
        <x:v>5</x:v>
      </x:c>
      <x:c r="G69" s="30" t="n">
        <x:v>-20.33</x:v>
      </x:c>
      <x:c r="H69" s="30" t="n">
        <x:v>-69.07</x:v>
      </x:c>
      <x:c r="I69" s="29" t="n">
        <x:v>99</x:v>
      </x:c>
      <x:c r="J69" s="31" t="n">
        <x:v>4.6</x:v>
      </x:c>
      <x:c r="K69" s="25" t="str">
        <x:f>IF(J69&gt;=7,"Muy fuerte (&gt;=7)",IF(J69&gt;=6,"Fuerte (6-6.9)",IF(J69&gt;=5,"Moderado alto (5-5.9)",IF(J69&gt;=4,"Moderado (4-4.9)","Menor a 4"))))</x:f>
        <x:v>Moderado (4-4.9)</x:v>
      </x:c>
      <x:c r="L69" s="25" t="str">
        <x:f>IF(I69&lt;70,"Superficial (&lt;70 km)",IF(I69&lt;=300,"Intermedio (70-300 km)","Profundo (&gt;300 km)"))</x:f>
        <x:v>Intermedio (70-300 km)</x:v>
      </x:c>
      <x:c r="M69" s="25" t="str">
        <x:f>IF(J69&gt;=5,"Sí","No")</x:f>
        <x:v>No</x:v>
      </x:c>
      <x:c r="N69" s="25" t="str">
        <x:f>IF(J69&gt;=6,"Sí","No")</x:f>
        <x:v>No</x:v>
      </x:c>
      <x:c r="O69" s="25" t="str">
        <x:v>Pendiente: asignar con R/sf</x:v>
      </x:c>
    </x:row>
    <x:row r="70">
      <x:c r="A70" s="25" t="n">
        <x:v>69</x:v>
      </x:c>
      <x:c r="B70" s="26" t="n">
        <x:v>45097.852858796294</x:v>
      </x:c>
      <x:c r="C70" s="27" t="n">
        <x:f>INT(B70)</x:f>
        <x:v>45097</x:v>
      </x:c>
      <x:c r="D70" s="28" t="n">
        <x:f>MOD(B70,1)</x:f>
        <x:v>0.8528587962937308</x:v>
      </x:c>
      <x:c r="E70" s="29" t="n">
        <x:f>YEAR(B70)</x:f>
        <x:v>2023</x:v>
      </x:c>
      <x:c r="F70" s="29" t="n">
        <x:f>MONTH(B70)</x:f>
        <x:v>6</x:v>
      </x:c>
      <x:c r="G70" s="30" t="n">
        <x:v>-20.4</x:v>
      </x:c>
      <x:c r="H70" s="30" t="n">
        <x:v>-69.05</x:v>
      </x:c>
      <x:c r="I70" s="29" t="n">
        <x:v>104</x:v>
      </x:c>
      <x:c r="J70" s="31" t="n">
        <x:v>4.3</x:v>
      </x:c>
      <x:c r="K70" s="25" t="str">
        <x:f>IF(J70&gt;=7,"Muy fuerte (&gt;=7)",IF(J70&gt;=6,"Fuerte (6-6.9)",IF(J70&gt;=5,"Moderado alto (5-5.9)",IF(J70&gt;=4,"Moderado (4-4.9)","Menor a 4"))))</x:f>
        <x:v>Moderado (4-4.9)</x:v>
      </x:c>
      <x:c r="L70" s="25" t="str">
        <x:f>IF(I70&lt;70,"Superficial (&lt;70 km)",IF(I70&lt;=300,"Intermedio (70-300 km)","Profundo (&gt;300 km)"))</x:f>
        <x:v>Intermedio (70-300 km)</x:v>
      </x:c>
      <x:c r="M70" s="25" t="str">
        <x:f>IF(J70&gt;=5,"Sí","No")</x:f>
        <x:v>No</x:v>
      </x:c>
      <x:c r="N70" s="25" t="str">
        <x:f>IF(J70&gt;=6,"Sí","No")</x:f>
        <x:v>No</x:v>
      </x:c>
      <x:c r="O70" s="25" t="str">
        <x:v>Pendiente: asignar con R/sf</x:v>
      </x:c>
    </x:row>
    <x:row r="71">
      <x:c r="A71" s="25" t="n">
        <x:v>70</x:v>
      </x:c>
      <x:c r="B71" s="26" t="n">
        <x:v>45166.02186342593</x:v>
      </x:c>
      <x:c r="C71" s="27" t="n">
        <x:f>INT(B71)</x:f>
        <x:v>45166</x:v>
      </x:c>
      <x:c r="D71" s="28" t="n">
        <x:f>MOD(B71,1)</x:f>
        <x:v>0.021863425929041114</x:v>
      </x:c>
      <x:c r="E71" s="29" t="n">
        <x:f>YEAR(B71)</x:f>
        <x:v>2023</x:v>
      </x:c>
      <x:c r="F71" s="29" t="n">
        <x:f>MONTH(B71)</x:f>
        <x:v>8</x:v>
      </x:c>
      <x:c r="G71" s="30" t="n">
        <x:v>-20.63</x:v>
      </x:c>
      <x:c r="H71" s="30" t="n">
        <x:v>-69.43</x:v>
      </x:c>
      <x:c r="I71" s="29" t="n">
        <x:v>98</x:v>
      </x:c>
      <x:c r="J71" s="31" t="n">
        <x:v>4.2</x:v>
      </x:c>
      <x:c r="K71" s="25" t="str">
        <x:f>IF(J71&gt;=7,"Muy fuerte (&gt;=7)",IF(J71&gt;=6,"Fuerte (6-6.9)",IF(J71&gt;=5,"Moderado alto (5-5.9)",IF(J71&gt;=4,"Moderado (4-4.9)","Menor a 4"))))</x:f>
        <x:v>Moderado (4-4.9)</x:v>
      </x:c>
      <x:c r="L71" s="25" t="str">
        <x:f>IF(I71&lt;70,"Superficial (&lt;70 km)",IF(I71&lt;=300,"Intermedio (70-300 km)","Profundo (&gt;300 km)"))</x:f>
        <x:v>Intermedio (70-300 km)</x:v>
      </x:c>
      <x:c r="M71" s="25" t="str">
        <x:f>IF(J71&gt;=5,"Sí","No")</x:f>
        <x:v>No</x:v>
      </x:c>
      <x:c r="N71" s="25" t="str">
        <x:f>IF(J71&gt;=6,"Sí","No")</x:f>
        <x:v>No</x:v>
      </x:c>
      <x:c r="O71" s="25" t="str">
        <x:v>Pendiente: asignar con R/sf</x:v>
      </x:c>
    </x:row>
    <x:row r="72">
      <x:c r="A72" s="25" t="n">
        <x:v>71</x:v>
      </x:c>
      <x:c r="B72" s="26" t="n">
        <x:v>45175.08980324074</x:v>
      </x:c>
      <x:c r="C72" s="27" t="n">
        <x:f>INT(B72)</x:f>
        <x:v>45175</x:v>
      </x:c>
      <x:c r="D72" s="28" t="n">
        <x:f>MOD(B72,1)</x:f>
        <x:v>0.08980324074218515</x:v>
      </x:c>
      <x:c r="E72" s="29" t="n">
        <x:f>YEAR(B72)</x:f>
        <x:v>2023</x:v>
      </x:c>
      <x:c r="F72" s="29" t="n">
        <x:f>MONTH(B72)</x:f>
        <x:v>9</x:v>
      </x:c>
      <x:c r="G72" s="30" t="n">
        <x:v>-20.31</x:v>
      </x:c>
      <x:c r="H72" s="30" t="n">
        <x:v>-69.16</x:v>
      </x:c>
      <x:c r="I72" s="29" t="n">
        <x:v>104</x:v>
      </x:c>
      <x:c r="J72" s="31" t="n">
        <x:v>4</x:v>
      </x:c>
      <x:c r="K72" s="25" t="str">
        <x:f>IF(J72&gt;=7,"Muy fuerte (&gt;=7)",IF(J72&gt;=6,"Fuerte (6-6.9)",IF(J72&gt;=5,"Moderado alto (5-5.9)",IF(J72&gt;=4,"Moderado (4-4.9)","Menor a 4"))))</x:f>
        <x:v>Moderado (4-4.9)</x:v>
      </x:c>
      <x:c r="L72" s="25" t="str">
        <x:f>IF(I72&lt;70,"Superficial (&lt;70 km)",IF(I72&lt;=300,"Intermedio (70-300 km)","Profundo (&gt;300 km)"))</x:f>
        <x:v>Intermedio (70-300 km)</x:v>
      </x:c>
      <x:c r="M72" s="25" t="str">
        <x:f>IF(J72&gt;=5,"Sí","No")</x:f>
        <x:v>No</x:v>
      </x:c>
      <x:c r="N72" s="25" t="str">
        <x:f>IF(J72&gt;=6,"Sí","No")</x:f>
        <x:v>No</x:v>
      </x:c>
      <x:c r="O72" s="25" t="str">
        <x:v>Pendiente: asignar con R/sf</x:v>
      </x:c>
    </x:row>
    <x:row r="73">
      <x:c r="A73" s="25" t="n">
        <x:v>72</x:v>
      </x:c>
      <x:c r="B73" s="26" t="n">
        <x:v>45184.131527777776</x:v>
      </x:c>
      <x:c r="C73" s="27" t="n">
        <x:f>INT(B73)</x:f>
        <x:v>45184</x:v>
      </x:c>
      <x:c r="D73" s="28" t="n">
        <x:f>MOD(B73,1)</x:f>
        <x:v>0.13152777777577285</x:v>
      </x:c>
      <x:c r="E73" s="29" t="n">
        <x:f>YEAR(B73)</x:f>
        <x:v>2023</x:v>
      </x:c>
      <x:c r="F73" s="29" t="n">
        <x:f>MONTH(B73)</x:f>
        <x:v>9</x:v>
      </x:c>
      <x:c r="G73" s="30" t="n">
        <x:v>-20.78</x:v>
      </x:c>
      <x:c r="H73" s="30" t="n">
        <x:v>-69.12</x:v>
      </x:c>
      <x:c r="I73" s="29" t="n">
        <x:v>110</x:v>
      </x:c>
      <x:c r="J73" s="31" t="n">
        <x:v>4.4</x:v>
      </x:c>
      <x:c r="K73" s="25" t="str">
        <x:f>IF(J73&gt;=7,"Muy fuerte (&gt;=7)",IF(J73&gt;=6,"Fuerte (6-6.9)",IF(J73&gt;=5,"Moderado alto (5-5.9)",IF(J73&gt;=4,"Moderado (4-4.9)","Menor a 4"))))</x:f>
        <x:v>Moderado (4-4.9)</x:v>
      </x:c>
      <x:c r="L73" s="25" t="str">
        <x:f>IF(I73&lt;70,"Superficial (&lt;70 km)",IF(I73&lt;=300,"Intermedio (70-300 km)","Profundo (&gt;300 km)"))</x:f>
        <x:v>Intermedio (70-300 km)</x:v>
      </x:c>
      <x:c r="M73" s="25" t="str">
        <x:f>IF(J73&gt;=5,"Sí","No")</x:f>
        <x:v>No</x:v>
      </x:c>
      <x:c r="N73" s="25" t="str">
        <x:f>IF(J73&gt;=6,"Sí","No")</x:f>
        <x:v>No</x:v>
      </x:c>
      <x:c r="O73" s="25" t="str">
        <x:v>Pendiente: asignar con R/sf</x:v>
      </x:c>
    </x:row>
    <x:row r="74">
      <x:c r="A74" s="25" t="n">
        <x:v>73</x:v>
      </x:c>
      <x:c r="B74" s="26" t="n">
        <x:v>45195.3828125</x:v>
      </x:c>
      <x:c r="C74" s="27" t="n">
        <x:f>INT(B74)</x:f>
        <x:v>45195</x:v>
      </x:c>
      <x:c r="D74" s="28" t="n">
        <x:f>MOD(B74,1)</x:f>
        <x:v>0.3828125</x:v>
      </x:c>
      <x:c r="E74" s="29" t="n">
        <x:f>YEAR(B74)</x:f>
        <x:v>2023</x:v>
      </x:c>
      <x:c r="F74" s="29" t="n">
        <x:f>MONTH(B74)</x:f>
        <x:v>9</x:v>
      </x:c>
      <x:c r="G74" s="30" t="n">
        <x:v>-20.2</x:v>
      </x:c>
      <x:c r="H74" s="30" t="n">
        <x:v>-69.23</x:v>
      </x:c>
      <x:c r="I74" s="29" t="n">
        <x:v>92</x:v>
      </x:c>
      <x:c r="J74" s="31" t="n">
        <x:v>4.7</x:v>
      </x:c>
      <x:c r="K74" s="25" t="str">
        <x:f>IF(J74&gt;=7,"Muy fuerte (&gt;=7)",IF(J74&gt;=6,"Fuerte (6-6.9)",IF(J74&gt;=5,"Moderado alto (5-5.9)",IF(J74&gt;=4,"Moderado (4-4.9)","Menor a 4"))))</x:f>
        <x:v>Moderado (4-4.9)</x:v>
      </x:c>
      <x:c r="L74" s="25" t="str">
        <x:f>IF(I74&lt;70,"Superficial (&lt;70 km)",IF(I74&lt;=300,"Intermedio (70-300 km)","Profundo (&gt;300 km)"))</x:f>
        <x:v>Intermedio (70-300 km)</x:v>
      </x:c>
      <x:c r="M74" s="25" t="str">
        <x:f>IF(J74&gt;=5,"Sí","No")</x:f>
        <x:v>No</x:v>
      </x:c>
      <x:c r="N74" s="25" t="str">
        <x:f>IF(J74&gt;=6,"Sí","No")</x:f>
        <x:v>No</x:v>
      </x:c>
      <x:c r="O74" s="25" t="str">
        <x:v>Pendiente: asignar con R/sf</x:v>
      </x:c>
    </x:row>
    <x:row r="75">
      <x:c r="A75" s="25" t="n">
        <x:v>74</x:v>
      </x:c>
      <x:c r="B75" s="26" t="n">
        <x:v>45213.478900462964</x:v>
      </x:c>
      <x:c r="C75" s="27" t="n">
        <x:f>INT(B75)</x:f>
        <x:v>45213</x:v>
      </x:c>
      <x:c r="D75" s="28" t="n">
        <x:f>MOD(B75,1)</x:f>
        <x:v>0.47890046296379296</x:v>
      </x:c>
      <x:c r="E75" s="29" t="n">
        <x:f>YEAR(B75)</x:f>
        <x:v>2023</x:v>
      </x:c>
      <x:c r="F75" s="29" t="n">
        <x:f>MONTH(B75)</x:f>
        <x:v>10</x:v>
      </x:c>
      <x:c r="G75" s="30" t="n">
        <x:v>-20.77</x:v>
      </x:c>
      <x:c r="H75" s="30" t="n">
        <x:v>-70.24</x:v>
      </x:c>
      <x:c r="I75" s="29" t="n">
        <x:v>66</x:v>
      </x:c>
      <x:c r="J75" s="31" t="n">
        <x:v>4.5</x:v>
      </x:c>
      <x:c r="K75" s="25" t="str">
        <x:f>IF(J75&gt;=7,"Muy fuerte (&gt;=7)",IF(J75&gt;=6,"Fuerte (6-6.9)",IF(J75&gt;=5,"Moderado alto (5-5.9)",IF(J75&gt;=4,"Moderado (4-4.9)","Menor a 4"))))</x:f>
        <x:v>Moderado (4-4.9)</x:v>
      </x:c>
      <x:c r="L75" s="25" t="str">
        <x:f>IF(I75&lt;70,"Superficial (&lt;70 km)",IF(I75&lt;=300,"Intermedio (70-300 km)","Profundo (&gt;300 km)"))</x:f>
        <x:v>Superficial (&lt;70 km)</x:v>
      </x:c>
      <x:c r="M75" s="25" t="str">
        <x:f>IF(J75&gt;=5,"Sí","No")</x:f>
        <x:v>No</x:v>
      </x:c>
      <x:c r="N75" s="25" t="str">
        <x:f>IF(J75&gt;=6,"Sí","No")</x:f>
        <x:v>No</x:v>
      </x:c>
      <x:c r="O75" s="25" t="str">
        <x:v>Pendiente: asignar con R/sf</x:v>
      </x:c>
    </x:row>
    <x:row r="76">
      <x:c r="A76" s="25" t="n">
        <x:v>75</x:v>
      </x:c>
      <x:c r="B76" s="26" t="n">
        <x:v>45219.085648148146</x:v>
      </x:c>
      <x:c r="C76" s="27" t="n">
        <x:f>INT(B76)</x:f>
        <x:v>45219</x:v>
      </x:c>
      <x:c r="D76" s="28" t="n">
        <x:f>MOD(B76,1)</x:f>
        <x:v>0.08564814814599231</x:v>
      </x:c>
      <x:c r="E76" s="29" t="n">
        <x:f>YEAR(B76)</x:f>
        <x:v>2023</x:v>
      </x:c>
      <x:c r="F76" s="29" t="n">
        <x:f>MONTH(B76)</x:f>
        <x:v>10</x:v>
      </x:c>
      <x:c r="G76" s="30" t="n">
        <x:v>-20.4</x:v>
      </x:c>
      <x:c r="H76" s="30" t="n">
        <x:v>-68.94</x:v>
      </x:c>
      <x:c r="I76" s="29" t="n">
        <x:v>112</x:v>
      </x:c>
      <x:c r="J76" s="31" t="n">
        <x:v>4.4</x:v>
      </x:c>
      <x:c r="K76" s="25" t="str">
        <x:f>IF(J76&gt;=7,"Muy fuerte (&gt;=7)",IF(J76&gt;=6,"Fuerte (6-6.9)",IF(J76&gt;=5,"Moderado alto (5-5.9)",IF(J76&gt;=4,"Moderado (4-4.9)","Menor a 4"))))</x:f>
        <x:v>Moderado (4-4.9)</x:v>
      </x:c>
      <x:c r="L76" s="25" t="str">
        <x:f>IF(I76&lt;70,"Superficial (&lt;70 km)",IF(I76&lt;=300,"Intermedio (70-300 km)","Profundo (&gt;300 km)"))</x:f>
        <x:v>Intermedio (70-300 km)</x:v>
      </x:c>
      <x:c r="M76" s="25" t="str">
        <x:f>IF(J76&gt;=5,"Sí","No")</x:f>
        <x:v>No</x:v>
      </x:c>
      <x:c r="N76" s="25" t="str">
        <x:f>IF(J76&gt;=6,"Sí","No")</x:f>
        <x:v>No</x:v>
      </x:c>
      <x:c r="O76" s="25" t="str">
        <x:v>Pendiente: asignar con R/sf</x:v>
      </x:c>
    </x:row>
    <x:row r="77">
      <x:c r="A77" s="25" t="n">
        <x:v>76</x:v>
      </x:c>
      <x:c r="B77" s="26" t="n">
        <x:v>45227.416238425925</x:v>
      </x:c>
      <x:c r="C77" s="27" t="n">
        <x:f>INT(B77)</x:f>
        <x:v>45227</x:v>
      </x:c>
      <x:c r="D77" s="28" t="n">
        <x:f>MOD(B77,1)</x:f>
        <x:v>0.4162384259252576</x:v>
      </x:c>
      <x:c r="E77" s="29" t="n">
        <x:f>YEAR(B77)</x:f>
        <x:v>2023</x:v>
      </x:c>
      <x:c r="F77" s="29" t="n">
        <x:f>MONTH(B77)</x:f>
        <x:v>10</x:v>
      </x:c>
      <x:c r="G77" s="30" t="n">
        <x:v>-20.08</x:v>
      </x:c>
      <x:c r="H77" s="30" t="n">
        <x:v>-68.95</x:v>
      </x:c>
      <x:c r="I77" s="29" t="n">
        <x:v>108</x:v>
      </x:c>
      <x:c r="J77" s="31" t="n">
        <x:v>4.3</x:v>
      </x:c>
      <x:c r="K77" s="25" t="str">
        <x:f>IF(J77&gt;=7,"Muy fuerte (&gt;=7)",IF(J77&gt;=6,"Fuerte (6-6.9)",IF(J77&gt;=5,"Moderado alto (5-5.9)",IF(J77&gt;=4,"Moderado (4-4.9)","Menor a 4"))))</x:f>
        <x:v>Moderado (4-4.9)</x:v>
      </x:c>
      <x:c r="L77" s="25" t="str">
        <x:f>IF(I77&lt;70,"Superficial (&lt;70 km)",IF(I77&lt;=300,"Intermedio (70-300 km)","Profundo (&gt;300 km)"))</x:f>
        <x:v>Intermedio (70-300 km)</x:v>
      </x:c>
      <x:c r="M77" s="25" t="str">
        <x:f>IF(J77&gt;=5,"Sí","No")</x:f>
        <x:v>No</x:v>
      </x:c>
      <x:c r="N77" s="25" t="str">
        <x:f>IF(J77&gt;=6,"Sí","No")</x:f>
        <x:v>No</x:v>
      </x:c>
      <x:c r="O77" s="25" t="str">
        <x:v>Pendiente: asignar con R/sf</x:v>
      </x:c>
    </x:row>
    <x:row r="78">
      <x:c r="A78" s="25" t="n">
        <x:v>77</x:v>
      </x:c>
      <x:c r="B78" s="26" t="n">
        <x:v>45250.0284837963</x:v>
      </x:c>
      <x:c r="C78" s="27" t="n">
        <x:f>INT(B78)</x:f>
        <x:v>45250</x:v>
      </x:c>
      <x:c r="D78" s="28" t="n">
        <x:f>MOD(B78,1)</x:f>
        <x:v>0.028483796297223307</x:v>
      </x:c>
      <x:c r="E78" s="29" t="n">
        <x:f>YEAR(B78)</x:f>
        <x:v>2023</x:v>
      </x:c>
      <x:c r="F78" s="29" t="n">
        <x:f>MONTH(B78)</x:f>
        <x:v>11</x:v>
      </x:c>
      <x:c r="G78" s="30" t="n">
        <x:v>-20.02</x:v>
      </x:c>
      <x:c r="H78" s="30" t="n">
        <x:v>-69.29</x:v>
      </x:c>
      <x:c r="I78" s="29" t="n">
        <x:v>114</x:v>
      </x:c>
      <x:c r="J78" s="31" t="n">
        <x:v>4.2</x:v>
      </x:c>
      <x:c r="K78" s="25" t="str">
        <x:f>IF(J78&gt;=7,"Muy fuerte (&gt;=7)",IF(J78&gt;=6,"Fuerte (6-6.9)",IF(J78&gt;=5,"Moderado alto (5-5.9)",IF(J78&gt;=4,"Moderado (4-4.9)","Menor a 4"))))</x:f>
        <x:v>Moderado (4-4.9)</x:v>
      </x:c>
      <x:c r="L78" s="25" t="str">
        <x:f>IF(I78&lt;70,"Superficial (&lt;70 km)",IF(I78&lt;=300,"Intermedio (70-300 km)","Profundo (&gt;300 km)"))</x:f>
        <x:v>Intermedio (70-300 km)</x:v>
      </x:c>
      <x:c r="M78" s="25" t="str">
        <x:f>IF(J78&gt;=5,"Sí","No")</x:f>
        <x:v>No</x:v>
      </x:c>
      <x:c r="N78" s="25" t="str">
        <x:f>IF(J78&gt;=6,"Sí","No")</x:f>
        <x:v>No</x:v>
      </x:c>
      <x:c r="O78" s="25" t="str">
        <x:v>Pendiente: asignar con R/sf</x:v>
      </x:c>
    </x:row>
    <x:row r="79">
      <x:c r="A79" s="25" t="n">
        <x:v>78</x:v>
      </x:c>
      <x:c r="B79" s="26" t="n">
        <x:v>45261.364699074074</x:v>
      </x:c>
      <x:c r="C79" s="27" t="n">
        <x:f>INT(B79)</x:f>
        <x:v>45261</x:v>
      </x:c>
      <x:c r="D79" s="28" t="n">
        <x:f>MOD(B79,1)</x:f>
        <x:v>0.36469907407445135</x:v>
      </x:c>
      <x:c r="E79" s="29" t="n">
        <x:f>YEAR(B79)</x:f>
        <x:v>2023</x:v>
      </x:c>
      <x:c r="F79" s="29" t="n">
        <x:f>MONTH(B79)</x:f>
        <x:v>12</x:v>
      </x:c>
      <x:c r="G79" s="30" t="n">
        <x:v>-19.77</x:v>
      </x:c>
      <x:c r="H79" s="30" t="n">
        <x:v>-69.14</x:v>
      </x:c>
      <x:c r="I79" s="29" t="n">
        <x:v>114</x:v>
      </x:c>
      <x:c r="J79" s="31" t="n">
        <x:v>4.6</x:v>
      </x:c>
      <x:c r="K79" s="25" t="str">
        <x:f>IF(J79&gt;=7,"Muy fuerte (&gt;=7)",IF(J79&gt;=6,"Fuerte (6-6.9)",IF(J79&gt;=5,"Moderado alto (5-5.9)",IF(J79&gt;=4,"Moderado (4-4.9)","Menor a 4"))))</x:f>
        <x:v>Moderado (4-4.9)</x:v>
      </x:c>
      <x:c r="L79" s="25" t="str">
        <x:f>IF(I79&lt;70,"Superficial (&lt;70 km)",IF(I79&lt;=300,"Intermedio (70-300 km)","Profundo (&gt;300 km)"))</x:f>
        <x:v>Intermedio (70-300 km)</x:v>
      </x:c>
      <x:c r="M79" s="25" t="str">
        <x:f>IF(J79&gt;=5,"Sí","No")</x:f>
        <x:v>No</x:v>
      </x:c>
      <x:c r="N79" s="25" t="str">
        <x:f>IF(J79&gt;=6,"Sí","No")</x:f>
        <x:v>No</x:v>
      </x:c>
      <x:c r="O79" s="25" t="str">
        <x:v>Pendiente: asignar con R/sf</x:v>
      </x:c>
    </x:row>
    <x:row r="80">
      <x:c r="A80" s="25" t="n">
        <x:v>79</x:v>
      </x:c>
      <x:c r="B80" s="26" t="n">
        <x:v>45290.32373842593</x:v>
      </x:c>
      <x:c r="C80" s="27" t="n">
        <x:f>INT(B80)</x:f>
        <x:v>45290</x:v>
      </x:c>
      <x:c r="D80" s="28" t="n">
        <x:f>MOD(B80,1)</x:f>
        <x:v>0.32373842592642177</x:v>
      </x:c>
      <x:c r="E80" s="29" t="n">
        <x:f>YEAR(B80)</x:f>
        <x:v>2023</x:v>
      </x:c>
      <x:c r="F80" s="29" t="n">
        <x:f>MONTH(B80)</x:f>
        <x:v>12</x:v>
      </x:c>
      <x:c r="G80" s="30" t="n">
        <x:v>-20.21</x:v>
      </x:c>
      <x:c r="H80" s="30" t="n">
        <x:v>-69.23</x:v>
      </x:c>
      <x:c r="I80" s="29" t="n">
        <x:v>97</x:v>
      </x:c>
      <x:c r="J80" s="31" t="n">
        <x:v>4.2</x:v>
      </x:c>
      <x:c r="K80" s="25" t="str">
        <x:f>IF(J80&gt;=7,"Muy fuerte (&gt;=7)",IF(J80&gt;=6,"Fuerte (6-6.9)",IF(J80&gt;=5,"Moderado alto (5-5.9)",IF(J80&gt;=4,"Moderado (4-4.9)","Menor a 4"))))</x:f>
        <x:v>Moderado (4-4.9)</x:v>
      </x:c>
      <x:c r="L80" s="25" t="str">
        <x:f>IF(I80&lt;70,"Superficial (&lt;70 km)",IF(I80&lt;=300,"Intermedio (70-300 km)","Profundo (&gt;300 km)"))</x:f>
        <x:v>Intermedio (70-300 km)</x:v>
      </x:c>
      <x:c r="M80" s="25" t="str">
        <x:f>IF(J80&gt;=5,"Sí","No")</x:f>
        <x:v>No</x:v>
      </x:c>
      <x:c r="N80" s="25" t="str">
        <x:f>IF(J80&gt;=6,"Sí","No")</x:f>
        <x:v>No</x:v>
      </x:c>
      <x:c r="O80" s="25" t="str">
        <x:v>Pendiente: asignar con R/sf</x:v>
      </x:c>
    </x:row>
    <x:row r="81">
      <x:c r="A81" s="25" t="n">
        <x:v>80</x:v>
      </x:c>
      <x:c r="B81" s="26" t="n">
        <x:v>45313.55335648148</x:v>
      </x:c>
      <x:c r="C81" s="27" t="n">
        <x:f>INT(B81)</x:f>
        <x:v>45313</x:v>
      </x:c>
      <x:c r="D81" s="28" t="n">
        <x:f>MOD(B81,1)</x:f>
        <x:v>0.5533564814832062</x:v>
      </x:c>
      <x:c r="E81" s="29" t="n">
        <x:f>YEAR(B81)</x:f>
        <x:v>2024</x:v>
      </x:c>
      <x:c r="F81" s="29" t="n">
        <x:f>MONTH(B81)</x:f>
        <x:v>1</x:v>
      </x:c>
      <x:c r="G81" s="30" t="n">
        <x:v>-20.67</x:v>
      </x:c>
      <x:c r="H81" s="30" t="n">
        <x:v>-69.44</x:v>
      </x:c>
      <x:c r="I81" s="29" t="n">
        <x:v>71</x:v>
      </x:c>
      <x:c r="J81" s="31" t="n">
        <x:v>4.8</x:v>
      </x:c>
      <x:c r="K81" s="25" t="str">
        <x:f>IF(J81&gt;=7,"Muy fuerte (&gt;=7)",IF(J81&gt;=6,"Fuerte (6-6.9)",IF(J81&gt;=5,"Moderado alto (5-5.9)",IF(J81&gt;=4,"Moderado (4-4.9)","Menor a 4"))))</x:f>
        <x:v>Moderado (4-4.9)</x:v>
      </x:c>
      <x:c r="L81" s="25" t="str">
        <x:f>IF(I81&lt;70,"Superficial (&lt;70 km)",IF(I81&lt;=300,"Intermedio (70-300 km)","Profundo (&gt;300 km)"))</x:f>
        <x:v>Intermedio (70-300 km)</x:v>
      </x:c>
      <x:c r="M81" s="25" t="str">
        <x:f>IF(J81&gt;=5,"Sí","No")</x:f>
        <x:v>No</x:v>
      </x:c>
      <x:c r="N81" s="25" t="str">
        <x:f>IF(J81&gt;=6,"Sí","No")</x:f>
        <x:v>No</x:v>
      </x:c>
      <x:c r="O81" s="25" t="str">
        <x:v>Pendiente: asignar con R/sf</x:v>
      </x:c>
    </x:row>
    <x:row r="82">
      <x:c r="A82" s="25" t="n">
        <x:v>81</x:v>
      </x:c>
      <x:c r="B82" s="26" t="n">
        <x:v>45322.18434027778</x:v>
      </x:c>
      <x:c r="C82" s="27" t="n">
        <x:f>INT(B82)</x:f>
        <x:v>45322</x:v>
      </x:c>
      <x:c r="D82" s="28" t="n">
        <x:f>MOD(B82,1)</x:f>
        <x:v>0.18434027778130258</x:v>
      </x:c>
      <x:c r="E82" s="29" t="n">
        <x:f>YEAR(B82)</x:f>
        <x:v>2024</x:v>
      </x:c>
      <x:c r="F82" s="29" t="n">
        <x:f>MONTH(B82)</x:f>
        <x:v>1</x:v>
      </x:c>
      <x:c r="G82" s="30" t="n">
        <x:v>-20.94</x:v>
      </x:c>
      <x:c r="H82" s="30" t="n">
        <x:v>-70.51</x:v>
      </x:c>
      <x:c r="I82" s="29" t="n">
        <x:v>53</x:v>
      </x:c>
      <x:c r="J82" s="31" t="n">
        <x:v>4.3</x:v>
      </x:c>
      <x:c r="K82" s="25" t="str">
        <x:f>IF(J82&gt;=7,"Muy fuerte (&gt;=7)",IF(J82&gt;=6,"Fuerte (6-6.9)",IF(J82&gt;=5,"Moderado alto (5-5.9)",IF(J82&gt;=4,"Moderado (4-4.9)","Menor a 4"))))</x:f>
        <x:v>Moderado (4-4.9)</x:v>
      </x:c>
      <x:c r="L82" s="25" t="str">
        <x:f>IF(I82&lt;70,"Superficial (&lt;70 km)",IF(I82&lt;=300,"Intermedio (70-300 km)","Profundo (&gt;300 km)"))</x:f>
        <x:v>Superficial (&lt;70 km)</x:v>
      </x:c>
      <x:c r="M82" s="25" t="str">
        <x:f>IF(J82&gt;=5,"Sí","No")</x:f>
        <x:v>No</x:v>
      </x:c>
      <x:c r="N82" s="25" t="str">
        <x:f>IF(J82&gt;=6,"Sí","No")</x:f>
        <x:v>No</x:v>
      </x:c>
      <x:c r="O82" s="25" t="str">
        <x:v>Pendiente: asignar con R/sf</x:v>
      </x:c>
    </x:row>
    <x:row r="83">
      <x:c r="A83" s="25" t="n">
        <x:v>82</x:v>
      </x:c>
      <x:c r="B83" s="26" t="n">
        <x:v>45336.55006944444</x:v>
      </x:c>
      <x:c r="C83" s="27" t="n">
        <x:f>INT(B83)</x:f>
        <x:v>45336</x:v>
      </x:c>
      <x:c r="D83" s="28" t="n">
        <x:f>MOD(B83,1)</x:f>
        <x:v>0.5500694444417604</x:v>
      </x:c>
      <x:c r="E83" s="29" t="n">
        <x:f>YEAR(B83)</x:f>
        <x:v>2024</x:v>
      </x:c>
      <x:c r="F83" s="29" t="n">
        <x:f>MONTH(B83)</x:f>
        <x:v>2</x:v>
      </x:c>
      <x:c r="G83" s="30" t="n">
        <x:v>-21</x:v>
      </x:c>
      <x:c r="H83" s="30" t="n">
        <x:v>-69.62</x:v>
      </x:c>
      <x:c r="I83" s="29" t="n">
        <x:v>72</x:v>
      </x:c>
      <x:c r="J83" s="31" t="n">
        <x:v>3.9</x:v>
      </x:c>
      <x:c r="K83" s="25" t="str">
        <x:f>IF(J83&gt;=7,"Muy fuerte (&gt;=7)",IF(J83&gt;=6,"Fuerte (6-6.9)",IF(J83&gt;=5,"Moderado alto (5-5.9)",IF(J83&gt;=4,"Moderado (4-4.9)","Menor a 4"))))</x:f>
        <x:v>Menor a 4</x:v>
      </x:c>
      <x:c r="L83" s="25" t="str">
        <x:f>IF(I83&lt;70,"Superficial (&lt;70 km)",IF(I83&lt;=300,"Intermedio (70-300 km)","Profundo (&gt;300 km)"))</x:f>
        <x:v>Intermedio (70-300 km)</x:v>
      </x:c>
      <x:c r="M83" s="25" t="str">
        <x:f>IF(J83&gt;=5,"Sí","No")</x:f>
        <x:v>No</x:v>
      </x:c>
      <x:c r="N83" s="25" t="str">
        <x:f>IF(J83&gt;=6,"Sí","No")</x:f>
        <x:v>No</x:v>
      </x:c>
      <x:c r="O83" s="25" t="str">
        <x:v>Pendiente: asignar con R/sf</x:v>
      </x:c>
    </x:row>
    <x:row r="84">
      <x:c r="A84" s="25" t="n">
        <x:v>83</x:v>
      </x:c>
      <x:c r="B84" s="26" t="n">
        <x:v>45369.39134259259</x:v>
      </x:c>
      <x:c r="C84" s="27" t="n">
        <x:f>INT(B84)</x:f>
        <x:v>45369</x:v>
      </x:c>
      <x:c r="D84" s="28" t="n">
        <x:f>MOD(B84,1)</x:f>
        <x:v>0.3913425925929914</x:v>
      </x:c>
      <x:c r="E84" s="29" t="n">
        <x:f>YEAR(B84)</x:f>
        <x:v>2024</x:v>
      </x:c>
      <x:c r="F84" s="29" t="n">
        <x:f>MONTH(B84)</x:f>
        <x:v>3</x:v>
      </x:c>
      <x:c r="G84" s="30" t="n">
        <x:v>-20.35</x:v>
      </x:c>
      <x:c r="H84" s="30" t="n">
        <x:v>-69.25</x:v>
      </x:c>
      <x:c r="I84" s="29" t="n">
        <x:v>110</x:v>
      </x:c>
      <x:c r="J84" s="31" t="n">
        <x:v>4.4</x:v>
      </x:c>
      <x:c r="K84" s="25" t="str">
        <x:f>IF(J84&gt;=7,"Muy fuerte (&gt;=7)",IF(J84&gt;=6,"Fuerte (6-6.9)",IF(J84&gt;=5,"Moderado alto (5-5.9)",IF(J84&gt;=4,"Moderado (4-4.9)","Menor a 4"))))</x:f>
        <x:v>Moderado (4-4.9)</x:v>
      </x:c>
      <x:c r="L84" s="25" t="str">
        <x:f>IF(I84&lt;70,"Superficial (&lt;70 km)",IF(I84&lt;=300,"Intermedio (70-300 km)","Profundo (&gt;300 km)"))</x:f>
        <x:v>Intermedio (70-300 km)</x:v>
      </x:c>
      <x:c r="M84" s="25" t="str">
        <x:f>IF(J84&gt;=5,"Sí","No")</x:f>
        <x:v>No</x:v>
      </x:c>
      <x:c r="N84" s="25" t="str">
        <x:f>IF(J84&gt;=6,"Sí","No")</x:f>
        <x:v>No</x:v>
      </x:c>
      <x:c r="O84" s="25" t="str">
        <x:v>Pendiente: asignar con R/sf</x:v>
      </x:c>
    </x:row>
    <x:row r="85">
      <x:c r="A85" s="25" t="n">
        <x:v>84</x:v>
      </x:c>
      <x:c r="B85" s="26" t="n">
        <x:v>45369.91144675926</x:v>
      </x:c>
      <x:c r="C85" s="27" t="n">
        <x:f>INT(B85)</x:f>
        <x:v>45369</x:v>
      </x:c>
      <x:c r="D85" s="28" t="n">
        <x:f>MOD(B85,1)</x:f>
        <x:v>0.911446759258979</x:v>
      </x:c>
      <x:c r="E85" s="29" t="n">
        <x:f>YEAR(B85)</x:f>
        <x:v>2024</x:v>
      </x:c>
      <x:c r="F85" s="29" t="n">
        <x:f>MONTH(B85)</x:f>
        <x:v>3</x:v>
      </x:c>
      <x:c r="G85" s="30" t="n">
        <x:v>-20.72</x:v>
      </x:c>
      <x:c r="H85" s="30" t="n">
        <x:v>-69.25</x:v>
      </x:c>
      <x:c r="I85" s="29" t="n">
        <x:v>85</x:v>
      </x:c>
      <x:c r="J85" s="31" t="n">
        <x:v>4.1</x:v>
      </x:c>
      <x:c r="K85" s="25" t="str">
        <x:f>IF(J85&gt;=7,"Muy fuerte (&gt;=7)",IF(J85&gt;=6,"Fuerte (6-6.9)",IF(J85&gt;=5,"Moderado alto (5-5.9)",IF(J85&gt;=4,"Moderado (4-4.9)","Menor a 4"))))</x:f>
        <x:v>Moderado (4-4.9)</x:v>
      </x:c>
      <x:c r="L85" s="25" t="str">
        <x:f>IF(I85&lt;70,"Superficial (&lt;70 km)",IF(I85&lt;=300,"Intermedio (70-300 km)","Profundo (&gt;300 km)"))</x:f>
        <x:v>Intermedio (70-300 km)</x:v>
      </x:c>
      <x:c r="M85" s="25" t="str">
        <x:f>IF(J85&gt;=5,"Sí","No")</x:f>
        <x:v>No</x:v>
      </x:c>
      <x:c r="N85" s="25" t="str">
        <x:f>IF(J85&gt;=6,"Sí","No")</x:f>
        <x:v>No</x:v>
      </x:c>
      <x:c r="O85" s="25" t="str">
        <x:v>Pendiente: asignar con R/sf</x:v>
      </x:c>
    </x:row>
    <x:row r="86">
      <x:c r="A86" s="25" t="n">
        <x:v>85</x:v>
      </x:c>
      <x:c r="B86" s="26" t="n">
        <x:v>45393.293599537035</x:v>
      </x:c>
      <x:c r="C86" s="27" t="n">
        <x:f>INT(B86)</x:f>
        <x:v>45393</x:v>
      </x:c>
      <x:c r="D86" s="28" t="n">
        <x:f>MOD(B86,1)</x:f>
        <x:v>0.2935995370353339</x:v>
      </x:c>
      <x:c r="E86" s="29" t="n">
        <x:f>YEAR(B86)</x:f>
        <x:v>2024</x:v>
      </x:c>
      <x:c r="F86" s="29" t="n">
        <x:f>MONTH(B86)</x:f>
        <x:v>4</x:v>
      </x:c>
      <x:c r="G86" s="30" t="n">
        <x:v>-20.39</x:v>
      </x:c>
      <x:c r="H86" s="30" t="n">
        <x:v>-69.09</x:v>
      </x:c>
      <x:c r="I86" s="29" t="n">
        <x:v>107</x:v>
      </x:c>
      <x:c r="J86" s="31" t="n">
        <x:v>4</x:v>
      </x:c>
      <x:c r="K86" s="25" t="str">
        <x:f>IF(J86&gt;=7,"Muy fuerte (&gt;=7)",IF(J86&gt;=6,"Fuerte (6-6.9)",IF(J86&gt;=5,"Moderado alto (5-5.9)",IF(J86&gt;=4,"Moderado (4-4.9)","Menor a 4"))))</x:f>
        <x:v>Moderado (4-4.9)</x:v>
      </x:c>
      <x:c r="L86" s="25" t="str">
        <x:f>IF(I86&lt;70,"Superficial (&lt;70 km)",IF(I86&lt;=300,"Intermedio (70-300 km)","Profundo (&gt;300 km)"))</x:f>
        <x:v>Intermedio (70-300 km)</x:v>
      </x:c>
      <x:c r="M86" s="25" t="str">
        <x:f>IF(J86&gt;=5,"Sí","No")</x:f>
        <x:v>No</x:v>
      </x:c>
      <x:c r="N86" s="25" t="str">
        <x:f>IF(J86&gt;=6,"Sí","No")</x:f>
        <x:v>No</x:v>
      </x:c>
      <x:c r="O86" s="25" t="str">
        <x:v>Pendiente: asignar con R/sf</x:v>
      </x:c>
    </x:row>
    <x:row r="87">
      <x:c r="A87" s="25" t="n">
        <x:v>86</x:v>
      </x:c>
      <x:c r="B87" s="26" t="n">
        <x:v>45410.81354166667</x:v>
      </x:c>
      <x:c r="C87" s="27" t="n">
        <x:f>INT(B87)</x:f>
        <x:v>45410</x:v>
      </x:c>
      <x:c r="D87" s="28" t="n">
        <x:f>MOD(B87,1)</x:f>
        <x:v>0.8135416666700621</x:v>
      </x:c>
      <x:c r="E87" s="29" t="n">
        <x:f>YEAR(B87)</x:f>
        <x:v>2024</x:v>
      </x:c>
      <x:c r="F87" s="29" t="n">
        <x:f>MONTH(B87)</x:f>
        <x:v>4</x:v>
      </x:c>
      <x:c r="G87" s="30" t="n">
        <x:v>-20.6</x:v>
      </x:c>
      <x:c r="H87" s="30" t="n">
        <x:v>-68.84</x:v>
      </x:c>
      <x:c r="I87" s="29" t="n">
        <x:v>115</x:v>
      </x:c>
      <x:c r="J87" s="31" t="n">
        <x:v>4.8</x:v>
      </x:c>
      <x:c r="K87" s="25" t="str">
        <x:f>IF(J87&gt;=7,"Muy fuerte (&gt;=7)",IF(J87&gt;=6,"Fuerte (6-6.9)",IF(J87&gt;=5,"Moderado alto (5-5.9)",IF(J87&gt;=4,"Moderado (4-4.9)","Menor a 4"))))</x:f>
        <x:v>Moderado (4-4.9)</x:v>
      </x:c>
      <x:c r="L87" s="25" t="str">
        <x:f>IF(I87&lt;70,"Superficial (&lt;70 km)",IF(I87&lt;=300,"Intermedio (70-300 km)","Profundo (&gt;300 km)"))</x:f>
        <x:v>Intermedio (70-300 km)</x:v>
      </x:c>
      <x:c r="M87" s="25" t="str">
        <x:f>IF(J87&gt;=5,"Sí","No")</x:f>
        <x:v>No</x:v>
      </x:c>
      <x:c r="N87" s="25" t="str">
        <x:f>IF(J87&gt;=6,"Sí","No")</x:f>
        <x:v>No</x:v>
      </x:c>
      <x:c r="O87" s="25" t="str">
        <x:v>Pendiente: asignar con R/sf</x:v>
      </x:c>
    </x:row>
    <x:row r="88">
      <x:c r="A88" s="25" t="n">
        <x:v>87</x:v>
      </x:c>
      <x:c r="B88" s="26" t="n">
        <x:v>45418.27119212963</x:v>
      </x:c>
      <x:c r="C88" s="27" t="n">
        <x:f>INT(B88)</x:f>
        <x:v>45418</x:v>
      </x:c>
      <x:c r="D88" s="28" t="n">
        <x:f>MOD(B88,1)</x:f>
        <x:v>0.2711921296286164</x:v>
      </x:c>
      <x:c r="E88" s="29" t="n">
        <x:f>YEAR(B88)</x:f>
        <x:v>2024</x:v>
      </x:c>
      <x:c r="F88" s="29" t="n">
        <x:f>MONTH(B88)</x:f>
        <x:v>5</x:v>
      </x:c>
      <x:c r="G88" s="30" t="n">
        <x:v>-20.82</x:v>
      </x:c>
      <x:c r="H88" s="30" t="n">
        <x:v>-68.9</x:v>
      </x:c>
      <x:c r="I88" s="29" t="n">
        <x:v>106</x:v>
      </x:c>
      <x:c r="J88" s="31" t="n">
        <x:v>4.7</x:v>
      </x:c>
      <x:c r="K88" s="25" t="str">
        <x:f>IF(J88&gt;=7,"Muy fuerte (&gt;=7)",IF(J88&gt;=6,"Fuerte (6-6.9)",IF(J88&gt;=5,"Moderado alto (5-5.9)",IF(J88&gt;=4,"Moderado (4-4.9)","Menor a 4"))))</x:f>
        <x:v>Moderado (4-4.9)</x:v>
      </x:c>
      <x:c r="L88" s="25" t="str">
        <x:f>IF(I88&lt;70,"Superficial (&lt;70 km)",IF(I88&lt;=300,"Intermedio (70-300 km)","Profundo (&gt;300 km)"))</x:f>
        <x:v>Intermedio (70-300 km)</x:v>
      </x:c>
      <x:c r="M88" s="25" t="str">
        <x:f>IF(J88&gt;=5,"Sí","No")</x:f>
        <x:v>No</x:v>
      </x:c>
      <x:c r="N88" s="25" t="str">
        <x:f>IF(J88&gt;=6,"Sí","No")</x:f>
        <x:v>No</x:v>
      </x:c>
      <x:c r="O88" s="25" t="str">
        <x:v>Pendiente: asignar con R/sf</x:v>
      </x:c>
    </x:row>
    <x:row r="89">
      <x:c r="A89" s="25" t="n">
        <x:v>88</x:v>
      </x:c>
      <x:c r="B89" s="26" t="n">
        <x:v>45449.66082175926</x:v>
      </x:c>
      <x:c r="C89" s="27" t="n">
        <x:f>INT(B89)</x:f>
        <x:v>45449</x:v>
      </x:c>
      <x:c r="D89" s="28" t="n">
        <x:f>MOD(B89,1)</x:f>
        <x:v>0.6608217592583969</x:v>
      </x:c>
      <x:c r="E89" s="29" t="n">
        <x:f>YEAR(B89)</x:f>
        <x:v>2024</x:v>
      </x:c>
      <x:c r="F89" s="29" t="n">
        <x:f>MONTH(B89)</x:f>
        <x:v>6</x:v>
      </x:c>
      <x:c r="G89" s="30" t="n">
        <x:v>-20.55</x:v>
      </x:c>
      <x:c r="H89" s="30" t="n">
        <x:v>-69.25</x:v>
      </x:c>
      <x:c r="I89" s="29" t="n">
        <x:v>97</x:v>
      </x:c>
      <x:c r="J89" s="31" t="n">
        <x:v>4.7</x:v>
      </x:c>
      <x:c r="K89" s="25" t="str">
        <x:f>IF(J89&gt;=7,"Muy fuerte (&gt;=7)",IF(J89&gt;=6,"Fuerte (6-6.9)",IF(J89&gt;=5,"Moderado alto (5-5.9)",IF(J89&gt;=4,"Moderado (4-4.9)","Menor a 4"))))</x:f>
        <x:v>Moderado (4-4.9)</x:v>
      </x:c>
      <x:c r="L89" s="25" t="str">
        <x:f>IF(I89&lt;70,"Superficial (&lt;70 km)",IF(I89&lt;=300,"Intermedio (70-300 km)","Profundo (&gt;300 km)"))</x:f>
        <x:v>Intermedio (70-300 km)</x:v>
      </x:c>
      <x:c r="M89" s="25" t="str">
        <x:f>IF(J89&gt;=5,"Sí","No")</x:f>
        <x:v>No</x:v>
      </x:c>
      <x:c r="N89" s="25" t="str">
        <x:f>IF(J89&gt;=6,"Sí","No")</x:f>
        <x:v>No</x:v>
      </x:c>
      <x:c r="O89" s="25" t="str">
        <x:v>Pendiente: asignar con R/sf</x:v>
      </x:c>
    </x:row>
    <x:row r="90">
      <x:c r="A90" s="25" t="n">
        <x:v>89</x:v>
      </x:c>
      <x:c r="B90" s="26" t="n">
        <x:v>45473.39357638889</x:v>
      </x:c>
      <x:c r="C90" s="27" t="n">
        <x:f>INT(B90)</x:f>
        <x:v>45473</x:v>
      </x:c>
      <x:c r="D90" s="28" t="n">
        <x:f>MOD(B90,1)</x:f>
        <x:v>0.3935763888875954</x:v>
      </x:c>
      <x:c r="E90" s="29" t="n">
        <x:f>YEAR(B90)</x:f>
        <x:v>2024</x:v>
      </x:c>
      <x:c r="F90" s="29" t="n">
        <x:f>MONTH(B90)</x:f>
        <x:v>6</x:v>
      </x:c>
      <x:c r="G90" s="30" t="n">
        <x:v>-20.52</x:v>
      </x:c>
      <x:c r="H90" s="30" t="n">
        <x:v>-69.17</x:v>
      </x:c>
      <x:c r="I90" s="29" t="n">
        <x:v>92</x:v>
      </x:c>
      <x:c r="J90" s="31" t="n">
        <x:v>3.6</x:v>
      </x:c>
      <x:c r="K90" s="25" t="str">
        <x:f>IF(J90&gt;=7,"Muy fuerte (&gt;=7)",IF(J90&gt;=6,"Fuerte (6-6.9)",IF(J90&gt;=5,"Moderado alto (5-5.9)",IF(J90&gt;=4,"Moderado (4-4.9)","Menor a 4"))))</x:f>
        <x:v>Menor a 4</x:v>
      </x:c>
      <x:c r="L90" s="25" t="str">
        <x:f>IF(I90&lt;70,"Superficial (&lt;70 km)",IF(I90&lt;=300,"Intermedio (70-300 km)","Profundo (&gt;300 km)"))</x:f>
        <x:v>Intermedio (70-300 km)</x:v>
      </x:c>
      <x:c r="M90" s="25" t="str">
        <x:f>IF(J90&gt;=5,"Sí","No")</x:f>
        <x:v>No</x:v>
      </x:c>
      <x:c r="N90" s="25" t="str">
        <x:f>IF(J90&gt;=6,"Sí","No")</x:f>
        <x:v>No</x:v>
      </x:c>
      <x:c r="O90" s="25" t="str">
        <x:v>Pendiente: asignar con R/sf</x:v>
      </x:c>
    </x:row>
    <x:row r="91">
      <x:c r="A91" s="25" t="n">
        <x:v>90</x:v>
      </x:c>
      <x:c r="B91" s="26" t="n">
        <x:v>44738.20130787037</x:v>
      </x:c>
      <x:c r="C91" s="27" t="n">
        <x:f>INT(B91)</x:f>
        <x:v>44738</x:v>
      </x:c>
      <x:c r="D91" s="28" t="n">
        <x:f>MOD(B91,1)</x:f>
        <x:v>0.20130787036760012</x:v>
      </x:c>
      <x:c r="E91" s="29" t="n">
        <x:f>YEAR(B91)</x:f>
        <x:v>2022</x:v>
      </x:c>
      <x:c r="F91" s="29" t="n">
        <x:f>MONTH(B91)</x:f>
        <x:v>6</x:v>
      </x:c>
      <x:c r="G91" s="30" t="n">
        <x:v>-19.76</x:v>
      </x:c>
      <x:c r="H91" s="30" t="n">
        <x:v>-69.38</x:v>
      </x:c>
      <x:c r="I91" s="29" t="n">
        <x:v>92</x:v>
      </x:c>
      <x:c r="J91" s="31" t="n">
        <x:v>4.1</x:v>
      </x:c>
      <x:c r="K91" s="25" t="str">
        <x:f>IF(J91&gt;=7,"Muy fuerte (&gt;=7)",IF(J91&gt;=6,"Fuerte (6-6.9)",IF(J91&gt;=5,"Moderado alto (5-5.9)",IF(J91&gt;=4,"Moderado (4-4.9)","Menor a 4"))))</x:f>
        <x:v>Moderado (4-4.9)</x:v>
      </x:c>
      <x:c r="L91" s="25" t="str">
        <x:f>IF(I91&lt;70,"Superficial (&lt;70 km)",IF(I91&lt;=300,"Intermedio (70-300 km)","Profundo (&gt;300 km)"))</x:f>
        <x:v>Intermedio (70-300 km)</x:v>
      </x:c>
      <x:c r="M91" s="25" t="str">
        <x:f>IF(J91&gt;=5,"Sí","No")</x:f>
        <x:v>No</x:v>
      </x:c>
      <x:c r="N91" s="25" t="str">
        <x:f>IF(J91&gt;=6,"Sí","No")</x:f>
        <x:v>No</x:v>
      </x:c>
      <x:c r="O91" s="25" t="str">
        <x:v>Pendiente: asignar con R/sf</x:v>
      </x:c>
    </x:row>
    <x:row r="92">
      <x:c r="A92" s="25" t="n">
        <x:v>91</x:v>
      </x:c>
      <x:c r="B92" s="26" t="n">
        <x:v>44761.70328703704</x:v>
      </x:c>
      <x:c r="C92" s="27" t="n">
        <x:f>INT(B92)</x:f>
        <x:v>44761</x:v>
      </x:c>
      <x:c r="D92" s="28" t="n">
        <x:f>MOD(B92,1)</x:f>
        <x:v>0.7032870370385353</x:v>
      </x:c>
      <x:c r="E92" s="29" t="n">
        <x:f>YEAR(B92)</x:f>
        <x:v>2022</x:v>
      </x:c>
      <x:c r="F92" s="29" t="n">
        <x:f>MONTH(B92)</x:f>
        <x:v>7</x:v>
      </x:c>
      <x:c r="G92" s="30" t="n">
        <x:v>-19.47</x:v>
      </x:c>
      <x:c r="H92" s="30" t="n">
        <x:v>-69.47</x:v>
      </x:c>
      <x:c r="I92" s="29" t="n">
        <x:v>89</x:v>
      </x:c>
      <x:c r="J92" s="31" t="n">
        <x:v>4.5</x:v>
      </x:c>
      <x:c r="K92" s="25" t="str">
        <x:f>IF(J92&gt;=7,"Muy fuerte (&gt;=7)",IF(J92&gt;=6,"Fuerte (6-6.9)",IF(J92&gt;=5,"Moderado alto (5-5.9)",IF(J92&gt;=4,"Moderado (4-4.9)","Menor a 4"))))</x:f>
        <x:v>Moderado (4-4.9)</x:v>
      </x:c>
      <x:c r="L92" s="25" t="str">
        <x:f>IF(I92&lt;70,"Superficial (&lt;70 km)",IF(I92&lt;=300,"Intermedio (70-300 km)","Profundo (&gt;300 km)"))</x:f>
        <x:v>Intermedio (70-300 km)</x:v>
      </x:c>
      <x:c r="M92" s="25" t="str">
        <x:f>IF(J92&gt;=5,"Sí","No")</x:f>
        <x:v>No</x:v>
      </x:c>
      <x:c r="N92" s="25" t="str">
        <x:f>IF(J92&gt;=6,"Sí","No")</x:f>
        <x:v>No</x:v>
      </x:c>
      <x:c r="O92" s="25" t="str">
        <x:v>Pendiente: asignar con R/sf</x:v>
      </x:c>
    </x:row>
    <x:row r="93">
      <x:c r="A93" s="25" t="n">
        <x:v>92</x:v>
      </x:c>
      <x:c r="B93" s="26" t="n">
        <x:v>44904.9168287037</x:v>
      </x:c>
      <x:c r="C93" s="27" t="n">
        <x:f>INT(B93)</x:f>
        <x:v>44904</x:v>
      </x:c>
      <x:c r="D93" s="28" t="n">
        <x:f>MOD(B93,1)</x:f>
        <x:v>0.9168287037027767</x:v>
      </x:c>
      <x:c r="E93" s="29" t="n">
        <x:f>YEAR(B93)</x:f>
        <x:v>2022</x:v>
      </x:c>
      <x:c r="F93" s="29" t="n">
        <x:f>MONTH(B93)</x:f>
        <x:v>12</x:v>
      </x:c>
      <x:c r="G93" s="30" t="n">
        <x:v>-19.61</x:v>
      </x:c>
      <x:c r="H93" s="30" t="n">
        <x:v>-69.23</x:v>
      </x:c>
      <x:c r="I93" s="29" t="n">
        <x:v>105</x:v>
      </x:c>
      <x:c r="J93" s="31" t="n">
        <x:v>4</x:v>
      </x:c>
      <x:c r="K93" s="25" t="str">
        <x:f>IF(J93&gt;=7,"Muy fuerte (&gt;=7)",IF(J93&gt;=6,"Fuerte (6-6.9)",IF(J93&gt;=5,"Moderado alto (5-5.9)",IF(J93&gt;=4,"Moderado (4-4.9)","Menor a 4"))))</x:f>
        <x:v>Moderado (4-4.9)</x:v>
      </x:c>
      <x:c r="L93" s="25" t="str">
        <x:f>IF(I93&lt;70,"Superficial (&lt;70 km)",IF(I93&lt;=300,"Intermedio (70-300 km)","Profundo (&gt;300 km)"))</x:f>
        <x:v>Intermedio (70-300 km)</x:v>
      </x:c>
      <x:c r="M93" s="25" t="str">
        <x:f>IF(J93&gt;=5,"Sí","No")</x:f>
        <x:v>No</x:v>
      </x:c>
      <x:c r="N93" s="25" t="str">
        <x:f>IF(J93&gt;=6,"Sí","No")</x:f>
        <x:v>No</x:v>
      </x:c>
      <x:c r="O93" s="25" t="str">
        <x:v>Pendiente: asignar con R/sf</x:v>
      </x:c>
    </x:row>
    <x:row r="94">
      <x:c r="A94" s="25" t="n">
        <x:v>93</x:v>
      </x:c>
      <x:c r="B94" s="26" t="n">
        <x:v>44953.455972222226</x:v>
      </x:c>
      <x:c r="C94" s="27" t="n">
        <x:f>INT(B94)</x:f>
        <x:v>44953</x:v>
      </x:c>
      <x:c r="D94" s="28" t="n">
        <x:f>MOD(B94,1)</x:f>
        <x:v>0.45597222222568234</x:v>
      </x:c>
      <x:c r="E94" s="29" t="n">
        <x:f>YEAR(B94)</x:f>
        <x:v>2023</x:v>
      </x:c>
      <x:c r="F94" s="29" t="n">
        <x:f>MONTH(B94)</x:f>
        <x:v>1</x:v>
      </x:c>
      <x:c r="G94" s="30" t="n">
        <x:v>-19.67</x:v>
      </x:c>
      <x:c r="H94" s="30" t="n">
        <x:v>-69.15</x:v>
      </x:c>
      <x:c r="I94" s="29" t="n">
        <x:v>113</x:v>
      </x:c>
      <x:c r="J94" s="31" t="n">
        <x:v>4.4</x:v>
      </x:c>
      <x:c r="K94" s="25" t="str">
        <x:f>IF(J94&gt;=7,"Muy fuerte (&gt;=7)",IF(J94&gt;=6,"Fuerte (6-6.9)",IF(J94&gt;=5,"Moderado alto (5-5.9)",IF(J94&gt;=4,"Moderado (4-4.9)","Menor a 4"))))</x:f>
        <x:v>Moderado (4-4.9)</x:v>
      </x:c>
      <x:c r="L94" s="25" t="str">
        <x:f>IF(I94&lt;70,"Superficial (&lt;70 km)",IF(I94&lt;=300,"Intermedio (70-300 km)","Profundo (&gt;300 km)"))</x:f>
        <x:v>Intermedio (70-300 km)</x:v>
      </x:c>
      <x:c r="M94" s="25" t="str">
        <x:f>IF(J94&gt;=5,"Sí","No")</x:f>
        <x:v>No</x:v>
      </x:c>
      <x:c r="N94" s="25" t="str">
        <x:f>IF(J94&gt;=6,"Sí","No")</x:f>
        <x:v>No</x:v>
      </x:c>
      <x:c r="O94" s="25" t="str">
        <x:v>Pendiente: asignar con R/sf</x:v>
      </x:c>
    </x:row>
    <x:row r="95">
      <x:c r="A95" s="25" t="n">
        <x:v>94</x:v>
      </x:c>
      <x:c r="B95" s="26" t="n">
        <x:v>45101.36813657408</x:v>
      </x:c>
      <x:c r="C95" s="27" t="n">
        <x:f>INT(B95)</x:f>
        <x:v>45101</x:v>
      </x:c>
      <x:c r="D95" s="28" t="n">
        <x:f>MOD(B95,1)</x:f>
        <x:v>0.36813657407765277</x:v>
      </x:c>
      <x:c r="E95" s="29" t="n">
        <x:f>YEAR(B95)</x:f>
        <x:v>2023</x:v>
      </x:c>
      <x:c r="F95" s="29" t="n">
        <x:f>MONTH(B95)</x:f>
        <x:v>6</x:v>
      </x:c>
      <x:c r="G95" s="30" t="n">
        <x:v>-19.44</x:v>
      </x:c>
      <x:c r="H95" s="30" t="n">
        <x:v>-69.39</x:v>
      </x:c>
      <x:c r="I95" s="29" t="n">
        <x:v>99</x:v>
      </x:c>
      <x:c r="J95" s="31" t="n">
        <x:v>4.5</x:v>
      </x:c>
      <x:c r="K95" s="25" t="str">
        <x:f>IF(J95&gt;=7,"Muy fuerte (&gt;=7)",IF(J95&gt;=6,"Fuerte (6-6.9)",IF(J95&gt;=5,"Moderado alto (5-5.9)",IF(J95&gt;=4,"Moderado (4-4.9)","Menor a 4"))))</x:f>
        <x:v>Moderado (4-4.9)</x:v>
      </x:c>
      <x:c r="L95" s="25" t="str">
        <x:f>IF(I95&lt;70,"Superficial (&lt;70 km)",IF(I95&lt;=300,"Intermedio (70-300 km)","Profundo (&gt;300 km)"))</x:f>
        <x:v>Intermedio (70-300 km)</x:v>
      </x:c>
      <x:c r="M95" s="25" t="str">
        <x:f>IF(J95&gt;=5,"Sí","No")</x:f>
        <x:v>No</x:v>
      </x:c>
      <x:c r="N95" s="25" t="str">
        <x:f>IF(J95&gt;=6,"Sí","No")</x:f>
        <x:v>No</x:v>
      </x:c>
      <x:c r="O95" s="25" t="str">
        <x:v>Pendiente: asignar con R/sf</x:v>
      </x:c>
    </x:row>
    <x:row r="96">
      <x:c r="A96" s="25" t="n">
        <x:v>95</x:v>
      </x:c>
      <x:c r="B96" s="26" t="n">
        <x:v>45156.22304398148</x:v>
      </x:c>
      <x:c r="C96" s="27" t="n">
        <x:f>INT(B96)</x:f>
        <x:v>45156</x:v>
      </x:c>
      <x:c r="D96" s="28" t="n">
        <x:f>MOD(B96,1)</x:f>
        <x:v>0.22304398148116888</x:v>
      </x:c>
      <x:c r="E96" s="29" t="n">
        <x:f>YEAR(B96)</x:f>
        <x:v>2023</x:v>
      </x:c>
      <x:c r="F96" s="29" t="n">
        <x:f>MONTH(B96)</x:f>
        <x:v>8</x:v>
      </x:c>
      <x:c r="G96" s="30" t="n">
        <x:v>-20.18</x:v>
      </x:c>
      <x:c r="H96" s="30" t="n">
        <x:v>-69.23</x:v>
      </x:c>
      <x:c r="I96" s="29" t="n">
        <x:v>94</x:v>
      </x:c>
      <x:c r="J96" s="31" t="n">
        <x:v>4.2</x:v>
      </x:c>
      <x:c r="K96" s="25" t="str">
        <x:f>IF(J96&gt;=7,"Muy fuerte (&gt;=7)",IF(J96&gt;=6,"Fuerte (6-6.9)",IF(J96&gt;=5,"Moderado alto (5-5.9)",IF(J96&gt;=4,"Moderado (4-4.9)","Menor a 4"))))</x:f>
        <x:v>Moderado (4-4.9)</x:v>
      </x:c>
      <x:c r="L96" s="25" t="str">
        <x:f>IF(I96&lt;70,"Superficial (&lt;70 km)",IF(I96&lt;=300,"Intermedio (70-300 km)","Profundo (&gt;300 km)"))</x:f>
        <x:v>Intermedio (70-300 km)</x:v>
      </x:c>
      <x:c r="M96" s="25" t="str">
        <x:f>IF(J96&gt;=5,"Sí","No")</x:f>
        <x:v>No</x:v>
      </x:c>
      <x:c r="N96" s="25" t="str">
        <x:f>IF(J96&gt;=6,"Sí","No")</x:f>
        <x:v>No</x:v>
      </x:c>
      <x:c r="O96" s="25" t="str">
        <x:v>Pendiente: asignar con R/sf</x:v>
      </x:c>
    </x:row>
    <x:row r="97">
      <x:c r="A97" s="25" t="n">
        <x:v>96</x:v>
      </x:c>
      <x:c r="B97" s="26" t="n">
        <x:v>45183.36702546296</x:v>
      </x:c>
      <x:c r="C97" s="27" t="n">
        <x:f>INT(B97)</x:f>
        <x:v>45183</x:v>
      </x:c>
      <x:c r="D97" s="28" t="n">
        <x:f>MOD(B97,1)</x:f>
        <x:v>0.36702546296146465</x:v>
      </x:c>
      <x:c r="E97" s="29" t="n">
        <x:f>YEAR(B97)</x:f>
        <x:v>2023</x:v>
      </x:c>
      <x:c r="F97" s="29" t="n">
        <x:f>MONTH(B97)</x:f>
        <x:v>9</x:v>
      </x:c>
      <x:c r="G97" s="30" t="n">
        <x:v>-19.93</x:v>
      </x:c>
      <x:c r="H97" s="30" t="n">
        <x:v>-69.72</x:v>
      </x:c>
      <x:c r="I97" s="29" t="n">
        <x:v>66</x:v>
      </x:c>
      <x:c r="J97" s="31" t="n">
        <x:v>3.4</x:v>
      </x:c>
      <x:c r="K97" s="25" t="str">
        <x:f>IF(J97&gt;=7,"Muy fuerte (&gt;=7)",IF(J97&gt;=6,"Fuerte (6-6.9)",IF(J97&gt;=5,"Moderado alto (5-5.9)",IF(J97&gt;=4,"Moderado (4-4.9)","Menor a 4"))))</x:f>
        <x:v>Menor a 4</x:v>
      </x:c>
      <x:c r="L97" s="25" t="str">
        <x:f>IF(I97&lt;70,"Superficial (&lt;70 km)",IF(I97&lt;=300,"Intermedio (70-300 km)","Profundo (&gt;300 km)"))</x:f>
        <x:v>Superficial (&lt;70 km)</x:v>
      </x:c>
      <x:c r="M97" s="25" t="str">
        <x:f>IF(J97&gt;=5,"Sí","No")</x:f>
        <x:v>No</x:v>
      </x:c>
      <x:c r="N97" s="25" t="str">
        <x:f>IF(J97&gt;=6,"Sí","No")</x:f>
        <x:v>No</x:v>
      </x:c>
      <x:c r="O97" s="25" t="str">
        <x:v>Pendiente: asignar con R/sf</x:v>
      </x:c>
    </x:row>
    <x:row r="98">
      <x:c r="A98" s="25" t="n">
        <x:v>97</x:v>
      </x:c>
      <x:c r="B98" s="26" t="n">
        <x:v>45192.09237268518</x:v>
      </x:c>
      <x:c r="C98" s="27" t="n">
        <x:f>INT(B98)</x:f>
        <x:v>45192</x:v>
      </x:c>
      <x:c r="D98" s="28" t="n">
        <x:f>MOD(B98,1)</x:f>
        <x:v>0.0923726851833635</x:v>
      </x:c>
      <x:c r="E98" s="29" t="n">
        <x:f>YEAR(B98)</x:f>
        <x:v>2023</x:v>
      </x:c>
      <x:c r="F98" s="29" t="n">
        <x:f>MONTH(B98)</x:f>
        <x:v>9</x:v>
      </x:c>
      <x:c r="G98" s="30" t="n">
        <x:v>-19.78</x:v>
      </x:c>
      <x:c r="H98" s="30" t="n">
        <x:v>-69.31</x:v>
      </x:c>
      <x:c r="I98" s="29" t="n">
        <x:v>98</x:v>
      </x:c>
      <x:c r="J98" s="31" t="n">
        <x:v>3.9</x:v>
      </x:c>
      <x:c r="K98" s="25" t="str">
        <x:f>IF(J98&gt;=7,"Muy fuerte (&gt;=7)",IF(J98&gt;=6,"Fuerte (6-6.9)",IF(J98&gt;=5,"Moderado alto (5-5.9)",IF(J98&gt;=4,"Moderado (4-4.9)","Menor a 4"))))</x:f>
        <x:v>Menor a 4</x:v>
      </x:c>
      <x:c r="L98" s="25" t="str">
        <x:f>IF(I98&lt;70,"Superficial (&lt;70 km)",IF(I98&lt;=300,"Intermedio (70-300 km)","Profundo (&gt;300 km)"))</x:f>
        <x:v>Intermedio (70-300 km)</x:v>
      </x:c>
      <x:c r="M98" s="25" t="str">
        <x:f>IF(J98&gt;=5,"Sí","No")</x:f>
        <x:v>No</x:v>
      </x:c>
      <x:c r="N98" s="25" t="str">
        <x:f>IF(J98&gt;=6,"Sí","No")</x:f>
        <x:v>No</x:v>
      </x:c>
      <x:c r="O98" s="25" t="str">
        <x:v>Pendiente: asignar con R/sf</x:v>
      </x:c>
    </x:row>
    <x:row r="99">
      <x:c r="A99" s="25" t="n">
        <x:v>98</x:v>
      </x:c>
      <x:c r="B99" s="26" t="n">
        <x:v>45223.189837962964</x:v>
      </x:c>
      <x:c r="C99" s="27" t="n">
        <x:f>INT(B99)</x:f>
        <x:v>45223</x:v>
      </x:c>
      <x:c r="D99" s="28" t="n">
        <x:f>MOD(B99,1)</x:f>
        <x:v>0.18983796296379296</x:v>
      </x:c>
      <x:c r="E99" s="29" t="n">
        <x:f>YEAR(B99)</x:f>
        <x:v>2023</x:v>
      </x:c>
      <x:c r="F99" s="29" t="n">
        <x:f>MONTH(B99)</x:f>
        <x:v>10</x:v>
      </x:c>
      <x:c r="G99" s="30" t="n">
        <x:v>-20.26</x:v>
      </x:c>
      <x:c r="H99" s="30" t="n">
        <x:v>-69.37</x:v>
      </x:c>
      <x:c r="I99" s="29" t="n">
        <x:v>104</x:v>
      </x:c>
      <x:c r="J99" s="31" t="n">
        <x:v>3.9</x:v>
      </x:c>
      <x:c r="K99" s="25" t="str">
        <x:f>IF(J99&gt;=7,"Muy fuerte (&gt;=7)",IF(J99&gt;=6,"Fuerte (6-6.9)",IF(J99&gt;=5,"Moderado alto (5-5.9)",IF(J99&gt;=4,"Moderado (4-4.9)","Menor a 4"))))</x:f>
        <x:v>Menor a 4</x:v>
      </x:c>
      <x:c r="L99" s="25" t="str">
        <x:f>IF(I99&lt;70,"Superficial (&lt;70 km)",IF(I99&lt;=300,"Intermedio (70-300 km)","Profundo (&gt;300 km)"))</x:f>
        <x:v>Intermedio (70-300 km)</x:v>
      </x:c>
      <x:c r="M99" s="25" t="str">
        <x:f>IF(J99&gt;=5,"Sí","No")</x:f>
        <x:v>No</x:v>
      </x:c>
      <x:c r="N99" s="25" t="str">
        <x:f>IF(J99&gt;=6,"Sí","No")</x:f>
        <x:v>No</x:v>
      </x:c>
      <x:c r="O99" s="25" t="str">
        <x:v>Pendiente: asignar con R/sf</x:v>
      </x:c>
    </x:row>
    <x:row r="100">
      <x:c r="A100" s="25" t="n">
        <x:v>99</x:v>
      </x:c>
      <x:c r="B100" s="26" t="n">
        <x:v>45134.467361111114</x:v>
      </x:c>
      <x:c r="C100" s="27" t="n">
        <x:f>INT(B100)</x:f>
        <x:v>45134</x:v>
      </x:c>
      <x:c r="D100" s="28" t="n">
        <x:f>MOD(B100,1)</x:f>
        <x:v>0.4673611111138598</x:v>
      </x:c>
      <x:c r="E100" s="29" t="n">
        <x:f>YEAR(B100)</x:f>
        <x:v>2023</x:v>
      </x:c>
      <x:c r="F100" s="29" t="n">
        <x:f>MONTH(B100)</x:f>
        <x:v>7</x:v>
      </x:c>
      <x:c r="G100" s="30" t="n">
        <x:v>-26.77</x:v>
      </x:c>
      <x:c r="H100" s="30" t="n">
        <x:v>-71.09</x:v>
      </x:c>
      <x:c r="I100" s="29" t="n">
        <x:v>29</x:v>
      </x:c>
      <x:c r="J100" s="31" t="n">
        <x:v>4.8</x:v>
      </x:c>
      <x:c r="K100" s="25" t="str">
        <x:f>IF(J100&gt;=7,"Muy fuerte (&gt;=7)",IF(J100&gt;=6,"Fuerte (6-6.9)",IF(J100&gt;=5,"Moderado alto (5-5.9)",IF(J100&gt;=4,"Moderado (4-4.9)","Menor a 4"))))</x:f>
        <x:v>Moderado (4-4.9)</x:v>
      </x:c>
      <x:c r="L100" s="25" t="str">
        <x:f>IF(I100&lt;70,"Superficial (&lt;70 km)",IF(I100&lt;=300,"Intermedio (70-300 km)","Profundo (&gt;300 km)"))</x:f>
        <x:v>Superficial (&lt;70 km)</x:v>
      </x:c>
      <x:c r="M100" s="25" t="str">
        <x:f>IF(J100&gt;=5,"Sí","No")</x:f>
        <x:v>No</x:v>
      </x:c>
      <x:c r="N100" s="25" t="str">
        <x:f>IF(J100&gt;=6,"Sí","No")</x:f>
        <x:v>No</x:v>
      </x:c>
      <x:c r="O100" s="25" t="str">
        <x:v>Pendiente: asignar con R/sf</x:v>
      </x:c>
    </x:row>
    <x:row r="101">
      <x:c r="A101" s="25" t="n">
        <x:v>100</x:v>
      </x:c>
      <x:c r="B101" s="26" t="n">
        <x:v>45180.567465277774</x:v>
      </x:c>
      <x:c r="C101" s="27" t="n">
        <x:f>INT(B101)</x:f>
        <x:v>45180</x:v>
      </x:c>
      <x:c r="D101" s="28" t="n">
        <x:f>MOD(B101,1)</x:f>
        <x:v>0.5674652777743177</x:v>
      </x:c>
      <x:c r="E101" s="29" t="n">
        <x:f>YEAR(B101)</x:f>
        <x:v>2023</x:v>
      </x:c>
      <x:c r="F101" s="29" t="n">
        <x:f>MONTH(B101)</x:f>
        <x:v>9</x:v>
      </x:c>
      <x:c r="G101" s="30" t="n">
        <x:v>-27.2</x:v>
      </x:c>
      <x:c r="H101" s="30" t="n">
        <x:v>-71.22</x:v>
      </x:c>
      <x:c r="I101" s="29" t="n">
        <x:v>30</x:v>
      </x:c>
      <x:c r="J101" s="31" t="n">
        <x:v>5.3</x:v>
      </x:c>
      <x:c r="K101" s="25" t="str">
        <x:f>IF(J101&gt;=7,"Muy fuerte (&gt;=7)",IF(J101&gt;=6,"Fuerte (6-6.9)",IF(J101&gt;=5,"Moderado alto (5-5.9)",IF(J101&gt;=4,"Moderado (4-4.9)","Menor a 4"))))</x:f>
        <x:v>Moderado alto (5-5.9)</x:v>
      </x:c>
      <x:c r="L101" s="25" t="str">
        <x:f>IF(I101&lt;70,"Superficial (&lt;70 km)",IF(I101&lt;=300,"Intermedio (70-300 km)","Profundo (&gt;300 km)"))</x:f>
        <x:v>Superficial (&lt;70 km)</x:v>
      </x:c>
      <x:c r="M101" s="25" t="str">
        <x:f>IF(J101&gt;=5,"Sí","No")</x:f>
        <x:v>Sí</x:v>
      </x:c>
      <x:c r="N101" s="25" t="str">
        <x:f>IF(J101&gt;=6,"Sí","No")</x:f>
        <x:v>No</x:v>
      </x:c>
      <x:c r="O101" s="25" t="str">
        <x:v>Pendiente: asignar con R/sf</x:v>
      </x:c>
    </x:row>
    <x:row r="102">
      <x:c r="A102" s="25" t="n">
        <x:v>101</x:v>
      </x:c>
      <x:c r="B102" s="26" t="n">
        <x:v>45020.81040509259</x:v>
      </x:c>
      <x:c r="C102" s="27" t="n">
        <x:f>INT(B102)</x:f>
        <x:v>45020</x:v>
      </x:c>
      <x:c r="D102" s="28" t="n">
        <x:f>MOD(B102,1)</x:f>
        <x:v>0.8104050925903721</x:v>
      </x:c>
      <x:c r="E102" s="29" t="n">
        <x:f>YEAR(B102)</x:f>
        <x:v>2023</x:v>
      </x:c>
      <x:c r="F102" s="29" t="n">
        <x:f>MONTH(B102)</x:f>
        <x:v>4</x:v>
      </x:c>
      <x:c r="G102" s="30" t="n">
        <x:v>-27.43</x:v>
      </x:c>
      <x:c r="H102" s="30" t="n">
        <x:v>-70.93</x:v>
      </x:c>
      <x:c r="I102" s="29" t="n">
        <x:v>56</x:v>
      </x:c>
      <x:c r="J102" s="31" t="n">
        <x:v>4.1</x:v>
      </x:c>
      <x:c r="K102" s="25" t="str">
        <x:f>IF(J102&gt;=7,"Muy fuerte (&gt;=7)",IF(J102&gt;=6,"Fuerte (6-6.9)",IF(J102&gt;=5,"Moderado alto (5-5.9)",IF(J102&gt;=4,"Moderado (4-4.9)","Menor a 4"))))</x:f>
        <x:v>Moderado (4-4.9)</x:v>
      </x:c>
      <x:c r="L102" s="25" t="str">
        <x:f>IF(I102&lt;70,"Superficial (&lt;70 km)",IF(I102&lt;=300,"Intermedio (70-300 km)","Profundo (&gt;300 km)"))</x:f>
        <x:v>Superficial (&lt;70 km)</x:v>
      </x:c>
      <x:c r="M102" s="25" t="str">
        <x:f>IF(J102&gt;=5,"Sí","No")</x:f>
        <x:v>No</x:v>
      </x:c>
      <x:c r="N102" s="25" t="str">
        <x:f>IF(J102&gt;=6,"Sí","No")</x:f>
        <x:v>No</x:v>
      </x:c>
      <x:c r="O102" s="25" t="str">
        <x:v>Pendiente: asignar con R/sf</x:v>
      </x:c>
    </x:row>
    <x:row r="103">
      <x:c r="A103" s="25" t="n">
        <x:v>102</x:v>
      </x:c>
      <x:c r="B103" s="26" t="n">
        <x:v>45133.08962962963</x:v>
      </x:c>
      <x:c r="C103" s="27" t="n">
        <x:f>INT(B103)</x:f>
        <x:v>45133</x:v>
      </x:c>
      <x:c r="D103" s="28" t="n">
        <x:f>MOD(B103,1)</x:f>
        <x:v>0.08962962962687016</x:v>
      </x:c>
      <x:c r="E103" s="29" t="n">
        <x:f>YEAR(B103)</x:f>
        <x:v>2023</x:v>
      </x:c>
      <x:c r="F103" s="29" t="n">
        <x:f>MONTH(B103)</x:f>
        <x:v>7</x:v>
      </x:c>
      <x:c r="G103" s="30" t="n">
        <x:v>-27.21</x:v>
      </x:c>
      <x:c r="H103" s="30" t="n">
        <x:v>-70.87</x:v>
      </x:c>
      <x:c r="I103" s="29" t="n">
        <x:v>28</x:v>
      </x:c>
      <x:c r="J103" s="31" t="n">
        <x:v>3.7</x:v>
      </x:c>
      <x:c r="K103" s="25" t="str">
        <x:f>IF(J103&gt;=7,"Muy fuerte (&gt;=7)",IF(J103&gt;=6,"Fuerte (6-6.9)",IF(J103&gt;=5,"Moderado alto (5-5.9)",IF(J103&gt;=4,"Moderado (4-4.9)","Menor a 4"))))</x:f>
        <x:v>Menor a 4</x:v>
      </x:c>
      <x:c r="L103" s="25" t="str">
        <x:f>IF(I103&lt;70,"Superficial (&lt;70 km)",IF(I103&lt;=300,"Intermedio (70-300 km)","Profundo (&gt;300 km)"))</x:f>
        <x:v>Superficial (&lt;70 km)</x:v>
      </x:c>
      <x:c r="M103" s="25" t="str">
        <x:f>IF(J103&gt;=5,"Sí","No")</x:f>
        <x:v>No</x:v>
      </x:c>
      <x:c r="N103" s="25" t="str">
        <x:f>IF(J103&gt;=6,"Sí","No")</x:f>
        <x:v>No</x:v>
      </x:c>
      <x:c r="O103" s="25" t="str">
        <x:v>Pendiente: asignar con R/sf</x:v>
      </x:c>
    </x:row>
    <x:row r="104">
      <x:c r="A104" s="25" t="n">
        <x:v>103</x:v>
      </x:c>
      <x:c r="B104" s="26" t="n">
        <x:v>45175.367268518516</x:v>
      </x:c>
      <x:c r="C104" s="27" t="n">
        <x:f>INT(B104)</x:f>
        <x:v>45175</x:v>
      </x:c>
      <x:c r="D104" s="28" t="n">
        <x:f>MOD(B104,1)</x:f>
        <x:v>0.3672685185156297</x:v>
      </x:c>
      <x:c r="E104" s="29" t="n">
        <x:f>YEAR(B104)</x:f>
        <x:v>2023</x:v>
      </x:c>
      <x:c r="F104" s="29" t="n">
        <x:f>MONTH(B104)</x:f>
        <x:v>9</x:v>
      </x:c>
      <x:c r="G104" s="30" t="n">
        <x:v>-27.59</x:v>
      </x:c>
      <x:c r="H104" s="30" t="n">
        <x:v>-70.96</x:v>
      </x:c>
      <x:c r="I104" s="29" t="n">
        <x:v>27</x:v>
      </x:c>
      <x:c r="J104" s="31" t="n">
        <x:v>3.7</x:v>
      </x:c>
      <x:c r="K104" s="25" t="str">
        <x:f>IF(J104&gt;=7,"Muy fuerte (&gt;=7)",IF(J104&gt;=6,"Fuerte (6-6.9)",IF(J104&gt;=5,"Moderado alto (5-5.9)",IF(J104&gt;=4,"Moderado (4-4.9)","Menor a 4"))))</x:f>
        <x:v>Menor a 4</x:v>
      </x:c>
      <x:c r="L104" s="25" t="str">
        <x:f>IF(I104&lt;70,"Superficial (&lt;70 km)",IF(I104&lt;=300,"Intermedio (70-300 km)","Profundo (&gt;300 km)"))</x:f>
        <x:v>Superficial (&lt;70 km)</x:v>
      </x:c>
      <x:c r="M104" s="25" t="str">
        <x:f>IF(J104&gt;=5,"Sí","No")</x:f>
        <x:v>No</x:v>
      </x:c>
      <x:c r="N104" s="25" t="str">
        <x:f>IF(J104&gt;=6,"Sí","No")</x:f>
        <x:v>No</x:v>
      </x:c>
      <x:c r="O104" s="25" t="str">
        <x:v>Pendiente: asignar con R/sf</x:v>
      </x:c>
    </x:row>
    <x:row r="105">
      <x:c r="A105" s="25" t="n">
        <x:v>104</x:v>
      </x:c>
      <x:c r="B105" s="26" t="n">
        <x:v>45246.622465277775</x:v>
      </x:c>
      <x:c r="C105" s="27" t="n">
        <x:f>INT(B105)</x:f>
        <x:v>45246</x:v>
      </x:c>
      <x:c r="D105" s="28" t="n">
        <x:f>MOD(B105,1)</x:f>
        <x:v>0.6224652777746087</x:v>
      </x:c>
      <x:c r="E105" s="29" t="n">
        <x:f>YEAR(B105)</x:f>
        <x:v>2023</x:v>
      </x:c>
      <x:c r="F105" s="29" t="n">
        <x:f>MONTH(B105)</x:f>
        <x:v>11</x:v>
      </x:c>
      <x:c r="G105" s="30" t="n">
        <x:v>-27.42</x:v>
      </x:c>
      <x:c r="H105" s="30" t="n">
        <x:v>-70.89</x:v>
      </x:c>
      <x:c r="I105" s="29" t="n">
        <x:v>45</x:v>
      </x:c>
      <x:c r="J105" s="31" t="n">
        <x:v>3.7</x:v>
      </x:c>
      <x:c r="K105" s="25" t="str">
        <x:f>IF(J105&gt;=7,"Muy fuerte (&gt;=7)",IF(J105&gt;=6,"Fuerte (6-6.9)",IF(J105&gt;=5,"Moderado alto (5-5.9)",IF(J105&gt;=4,"Moderado (4-4.9)","Menor a 4"))))</x:f>
        <x:v>Menor a 4</x:v>
      </x:c>
      <x:c r="L105" s="25" t="str">
        <x:f>IF(I105&lt;70,"Superficial (&lt;70 km)",IF(I105&lt;=300,"Intermedio (70-300 km)","Profundo (&gt;300 km)"))</x:f>
        <x:v>Superficial (&lt;70 km)</x:v>
      </x:c>
      <x:c r="M105" s="25" t="str">
        <x:f>IF(J105&gt;=5,"Sí","No")</x:f>
        <x:v>No</x:v>
      </x:c>
      <x:c r="N105" s="25" t="str">
        <x:f>IF(J105&gt;=6,"Sí","No")</x:f>
        <x:v>No</x:v>
      </x:c>
      <x:c r="O105" s="25" t="str">
        <x:v>Pendiente: asignar con R/sf</x:v>
      </x:c>
    </x:row>
    <x:row r="106">
      <x:c r="A106" s="25" t="n">
        <x:v>105</x:v>
      </x:c>
      <x:c r="B106" s="26" t="n">
        <x:v>45190.909108796295</x:v>
      </x:c>
      <x:c r="C106" s="27" t="n">
        <x:f>INT(B106)</x:f>
        <x:v>45190</x:v>
      </x:c>
      <x:c r="D106" s="28" t="n">
        <x:f>MOD(B106,1)</x:f>
        <x:v>0.909108796295186</x:v>
      </x:c>
      <x:c r="E106" s="29" t="n">
        <x:f>YEAR(B106)</x:f>
        <x:v>2023</x:v>
      </x:c>
      <x:c r="F106" s="29" t="n">
        <x:f>MONTH(B106)</x:f>
        <x:v>9</x:v>
      </x:c>
      <x:c r="G106" s="30" t="n">
        <x:v>-28.51</x:v>
      </x:c>
      <x:c r="H106" s="30" t="n">
        <x:v>-71.28</x:v>
      </x:c>
      <x:c r="I106" s="29" t="n">
        <x:v>36</x:v>
      </x:c>
      <x:c r="J106" s="31" t="n">
        <x:v>3.8</x:v>
      </x:c>
      <x:c r="K106" s="25" t="str">
        <x:f>IF(J106&gt;=7,"Muy fuerte (&gt;=7)",IF(J106&gt;=6,"Fuerte (6-6.9)",IF(J106&gt;=5,"Moderado alto (5-5.9)",IF(J106&gt;=4,"Moderado (4-4.9)","Menor a 4"))))</x:f>
        <x:v>Menor a 4</x:v>
      </x:c>
      <x:c r="L106" s="25" t="str">
        <x:f>IF(I106&lt;70,"Superficial (&lt;70 km)",IF(I106&lt;=300,"Intermedio (70-300 km)","Profundo (&gt;300 km)"))</x:f>
        <x:v>Superficial (&lt;70 km)</x:v>
      </x:c>
      <x:c r="M106" s="25" t="str">
        <x:f>IF(J106&gt;=5,"Sí","No")</x:f>
        <x:v>No</x:v>
      </x:c>
      <x:c r="N106" s="25" t="str">
        <x:f>IF(J106&gt;=6,"Sí","No")</x:f>
        <x:v>No</x:v>
      </x:c>
      <x:c r="O106" s="25" t="str">
        <x:v>Pendiente: asignar con R/sf</x:v>
      </x:c>
    </x:row>
    <x:row r="107">
      <x:c r="A107" s="25" t="n">
        <x:v>106</x:v>
      </x:c>
      <x:c r="B107" s="26" t="n">
        <x:v>45201.04430555556</x:v>
      </x:c>
      <x:c r="C107" s="27" t="n">
        <x:f>INT(B107)</x:f>
        <x:v>45201</x:v>
      </x:c>
      <x:c r="D107" s="28" t="n">
        <x:f>MOD(B107,1)</x:f>
        <x:v>0.04430555555882165</x:v>
      </x:c>
      <x:c r="E107" s="29" t="n">
        <x:f>YEAR(B107)</x:f>
        <x:v>2023</x:v>
      </x:c>
      <x:c r="F107" s="29" t="n">
        <x:f>MONTH(B107)</x:f>
        <x:v>10</x:v>
      </x:c>
      <x:c r="G107" s="30" t="n">
        <x:v>-28.62</x:v>
      </x:c>
      <x:c r="H107" s="30" t="n">
        <x:v>-71.24</x:v>
      </x:c>
      <x:c r="I107" s="29" t="n">
        <x:v>51</x:v>
      </x:c>
      <x:c r="J107" s="31" t="n">
        <x:v>4.3</x:v>
      </x:c>
      <x:c r="K107" s="25" t="str">
        <x:f>IF(J107&gt;=7,"Muy fuerte (&gt;=7)",IF(J107&gt;=6,"Fuerte (6-6.9)",IF(J107&gt;=5,"Moderado alto (5-5.9)",IF(J107&gt;=4,"Moderado (4-4.9)","Menor a 4"))))</x:f>
        <x:v>Moderado (4-4.9)</x:v>
      </x:c>
      <x:c r="L107" s="25" t="str">
        <x:f>IF(I107&lt;70,"Superficial (&lt;70 km)",IF(I107&lt;=300,"Intermedio (70-300 km)","Profundo (&gt;300 km)"))</x:f>
        <x:v>Superficial (&lt;70 km)</x:v>
      </x:c>
      <x:c r="M107" s="25" t="str">
        <x:f>IF(J107&gt;=5,"Sí","No")</x:f>
        <x:v>No</x:v>
      </x:c>
      <x:c r="N107" s="25" t="str">
        <x:f>IF(J107&gt;=6,"Sí","No")</x:f>
        <x:v>No</x:v>
      </x:c>
      <x:c r="O107" s="25" t="str">
        <x:v>Pendiente: asignar con R/sf</x:v>
      </x:c>
    </x:row>
    <x:row r="108">
      <x:c r="A108" s="25" t="n">
        <x:v>107</x:v>
      </x:c>
      <x:c r="B108" s="26" t="n">
        <x:v>45219.196805555555</x:v>
      </x:c>
      <x:c r="C108" s="27" t="n">
        <x:f>INT(B108)</x:f>
        <x:v>45219</x:v>
      </x:c>
      <x:c r="D108" s="28" t="n">
        <x:f>MOD(B108,1)</x:f>
        <x:v>0.1968055555553292</x:v>
      </x:c>
      <x:c r="E108" s="29" t="n">
        <x:f>YEAR(B108)</x:f>
        <x:v>2023</x:v>
      </x:c>
      <x:c r="F108" s="29" t="n">
        <x:f>MONTH(B108)</x:f>
        <x:v>10</x:v>
      </x:c>
      <x:c r="G108" s="30" t="n">
        <x:v>-28.16</x:v>
      </x:c>
      <x:c r="H108" s="30" t="n">
        <x:v>-71.18</x:v>
      </x:c>
      <x:c r="I108" s="29" t="n">
        <x:v>51</x:v>
      </x:c>
      <x:c r="J108" s="31" t="n">
        <x:v>4</x:v>
      </x:c>
      <x:c r="K108" s="25" t="str">
        <x:f>IF(J108&gt;=7,"Muy fuerte (&gt;=7)",IF(J108&gt;=6,"Fuerte (6-6.9)",IF(J108&gt;=5,"Moderado alto (5-5.9)",IF(J108&gt;=4,"Moderado (4-4.9)","Menor a 4"))))</x:f>
        <x:v>Moderado (4-4.9)</x:v>
      </x:c>
      <x:c r="L108" s="25" t="str">
        <x:f>IF(I108&lt;70,"Superficial (&lt;70 km)",IF(I108&lt;=300,"Intermedio (70-300 km)","Profundo (&gt;300 km)"))</x:f>
        <x:v>Superficial (&lt;70 km)</x:v>
      </x:c>
      <x:c r="M108" s="25" t="str">
        <x:f>IF(J108&gt;=5,"Sí","No")</x:f>
        <x:v>No</x:v>
      </x:c>
      <x:c r="N108" s="25" t="str">
        <x:f>IF(J108&gt;=6,"Sí","No")</x:f>
        <x:v>No</x:v>
      </x:c>
      <x:c r="O108" s="25" t="str">
        <x:v>Pendiente: asignar con R/sf</x:v>
      </x:c>
    </x:row>
    <x:row r="109">
      <x:c r="A109" s="25" t="n">
        <x:v>108</x:v>
      </x:c>
      <x:c r="B109" s="26" t="n">
        <x:v>44685.71875</x:v>
      </x:c>
      <x:c r="C109" s="27" t="n">
        <x:f>INT(B109)</x:f>
        <x:v>44685</x:v>
      </x:c>
      <x:c r="D109" s="28" t="n">
        <x:f>MOD(B109,1)</x:f>
        <x:v>0.71875</x:v>
      </x:c>
      <x:c r="E109" s="29" t="n">
        <x:f>YEAR(B109)</x:f>
        <x:v>2022</x:v>
      </x:c>
      <x:c r="F109" s="29" t="n">
        <x:f>MONTH(B109)</x:f>
        <x:v>5</x:v>
      </x:c>
      <x:c r="G109" s="30" t="n">
        <x:v>-26.15</x:v>
      </x:c>
      <x:c r="H109" s="30" t="n">
        <x:v>-69.72</x:v>
      </x:c>
      <x:c r="I109" s="29" t="n">
        <x:v>123</x:v>
      </x:c>
      <x:c r="J109" s="31" t="n">
        <x:v>3.9</x:v>
      </x:c>
      <x:c r="K109" s="25" t="str">
        <x:f>IF(J109&gt;=7,"Muy fuerte (&gt;=7)",IF(J109&gt;=6,"Fuerte (6-6.9)",IF(J109&gt;=5,"Moderado alto (5-5.9)",IF(J109&gt;=4,"Moderado (4-4.9)","Menor a 4"))))</x:f>
        <x:v>Menor a 4</x:v>
      </x:c>
      <x:c r="L109" s="25" t="str">
        <x:f>IF(I109&lt;70,"Superficial (&lt;70 km)",IF(I109&lt;=300,"Intermedio (70-300 km)","Profundo (&gt;300 km)"))</x:f>
        <x:v>Intermedio (70-300 km)</x:v>
      </x:c>
      <x:c r="M109" s="25" t="str">
        <x:f>IF(J109&gt;=5,"Sí","No")</x:f>
        <x:v>No</x:v>
      </x:c>
      <x:c r="N109" s="25" t="str">
        <x:f>IF(J109&gt;=6,"Sí","No")</x:f>
        <x:v>No</x:v>
      </x:c>
      <x:c r="O109" s="25" t="str">
        <x:v>Pendiente: asignar con R/sf</x:v>
      </x:c>
    </x:row>
    <x:row r="110">
      <x:c r="A110" s="25" t="n">
        <x:v>109</x:v>
      </x:c>
      <x:c r="B110" s="26" t="n">
        <x:v>45306.78099537037</x:v>
      </x:c>
      <x:c r="C110" s="27" t="n">
        <x:f>INT(B110)</x:f>
        <x:v>45306</x:v>
      </x:c>
      <x:c r="D110" s="28" t="n">
        <x:f>MOD(B110,1)</x:f>
        <x:v>0.7809953703690553</x:v>
      </x:c>
      <x:c r="E110" s="29" t="n">
        <x:f>YEAR(B110)</x:f>
        <x:v>2024</x:v>
      </x:c>
      <x:c r="F110" s="29" t="n">
        <x:f>MONTH(B110)</x:f>
        <x:v>1</x:v>
      </x:c>
      <x:c r="G110" s="30" t="n">
        <x:v>-26.29</x:v>
      </x:c>
      <x:c r="H110" s="30" t="n">
        <x:v>-69.08</x:v>
      </x:c>
      <x:c r="I110" s="29" t="n">
        <x:v>89</x:v>
      </x:c>
      <x:c r="J110" s="31" t="n">
        <x:v>4.1</x:v>
      </x:c>
      <x:c r="K110" s="25" t="str">
        <x:f>IF(J110&gt;=7,"Muy fuerte (&gt;=7)",IF(J110&gt;=6,"Fuerte (6-6.9)",IF(J110&gt;=5,"Moderado alto (5-5.9)",IF(J110&gt;=4,"Moderado (4-4.9)","Menor a 4"))))</x:f>
        <x:v>Moderado (4-4.9)</x:v>
      </x:c>
      <x:c r="L110" s="25" t="str">
        <x:f>IF(I110&lt;70,"Superficial (&lt;70 km)",IF(I110&lt;=300,"Intermedio (70-300 km)","Profundo (&gt;300 km)"))</x:f>
        <x:v>Intermedio (70-300 km)</x:v>
      </x:c>
      <x:c r="M110" s="25" t="str">
        <x:f>IF(J110&gt;=5,"Sí","No")</x:f>
        <x:v>No</x:v>
      </x:c>
      <x:c r="N110" s="25" t="str">
        <x:f>IF(J110&gt;=6,"Sí","No")</x:f>
        <x:v>No</x:v>
      </x:c>
      <x:c r="O110" s="25" t="str">
        <x:v>Pendiente: asignar con R/sf</x:v>
      </x:c>
    </x:row>
    <x:row r="111">
      <x:c r="A111" s="25" t="n">
        <x:v>110</x:v>
      </x:c>
      <x:c r="B111" s="26" t="n">
        <x:v>45345.52006944444</x:v>
      </x:c>
      <x:c r="C111" s="27" t="n">
        <x:f>INT(B111)</x:f>
        <x:v>45345</x:v>
      </x:c>
      <x:c r="D111" s="28" t="n">
        <x:f>MOD(B111,1)</x:f>
        <x:v>0.5200694444429246</x:v>
      </x:c>
      <x:c r="E111" s="29" t="n">
        <x:f>YEAR(B111)</x:f>
        <x:v>2024</x:v>
      </x:c>
      <x:c r="F111" s="29" t="n">
        <x:f>MONTH(B111)</x:f>
        <x:v>2</x:v>
      </x:c>
      <x:c r="G111" s="30" t="n">
        <x:v>-25.57</x:v>
      </x:c>
      <x:c r="H111" s="30" t="n">
        <x:v>-69.73</x:v>
      </x:c>
      <x:c r="I111" s="29" t="n">
        <x:v>90</x:v>
      </x:c>
      <x:c r="J111" s="31" t="n">
        <x:v>4.3</x:v>
      </x:c>
      <x:c r="K111" s="25" t="str">
        <x:f>IF(J111&gt;=7,"Muy fuerte (&gt;=7)",IF(J111&gt;=6,"Fuerte (6-6.9)",IF(J111&gt;=5,"Moderado alto (5-5.9)",IF(J111&gt;=4,"Moderado (4-4.9)","Menor a 4"))))</x:f>
        <x:v>Moderado (4-4.9)</x:v>
      </x:c>
      <x:c r="L111" s="25" t="str">
        <x:f>IF(I111&lt;70,"Superficial (&lt;70 km)",IF(I111&lt;=300,"Intermedio (70-300 km)","Profundo (&gt;300 km)"))</x:f>
        <x:v>Intermedio (70-300 km)</x:v>
      </x:c>
      <x:c r="M111" s="25" t="str">
        <x:f>IF(J111&gt;=5,"Sí","No")</x:f>
        <x:v>No</x:v>
      </x:c>
      <x:c r="N111" s="25" t="str">
        <x:f>IF(J111&gt;=6,"Sí","No")</x:f>
        <x:v>No</x:v>
      </x:c>
      <x:c r="O111" s="25" t="str">
        <x:v>Pendiente: asignar con R/sf</x:v>
      </x:c>
    </x:row>
    <x:row r="112">
      <x:c r="A112" s="25" t="n">
        <x:v>111</x:v>
      </x:c>
      <x:c r="B112" s="26" t="n">
        <x:v>45039.93863425926</x:v>
      </x:c>
      <x:c r="C112" s="27" t="n">
        <x:f>INT(B112)</x:f>
        <x:v>45039</x:v>
      </x:c>
      <x:c r="D112" s="28" t="n">
        <x:f>MOD(B112,1)</x:f>
        <x:v>0.9386342592624715</x:v>
      </x:c>
      <x:c r="E112" s="29" t="n">
        <x:f>YEAR(B112)</x:f>
        <x:v>2023</x:v>
      </x:c>
      <x:c r="F112" s="29" t="n">
        <x:f>MONTH(B112)</x:f>
        <x:v>4</x:v>
      </x:c>
      <x:c r="G112" s="30" t="n">
        <x:v>-27.16</x:v>
      </x:c>
      <x:c r="H112" s="30" t="n">
        <x:v>-70.16</x:v>
      </x:c>
      <x:c r="I112" s="29" t="n">
        <x:v>99</x:v>
      </x:c>
      <x:c r="J112" s="31" t="n">
        <x:v>3.9</x:v>
      </x:c>
      <x:c r="K112" s="25" t="str">
        <x:f>IF(J112&gt;=7,"Muy fuerte (&gt;=7)",IF(J112&gt;=6,"Fuerte (6-6.9)",IF(J112&gt;=5,"Moderado alto (5-5.9)",IF(J112&gt;=4,"Moderado (4-4.9)","Menor a 4"))))</x:f>
        <x:v>Menor a 4</x:v>
      </x:c>
      <x:c r="L112" s="25" t="str">
        <x:f>IF(I112&lt;70,"Superficial (&lt;70 km)",IF(I112&lt;=300,"Intermedio (70-300 km)","Profundo (&gt;300 km)"))</x:f>
        <x:v>Intermedio (70-300 km)</x:v>
      </x:c>
      <x:c r="M112" s="25" t="str">
        <x:f>IF(J112&gt;=5,"Sí","No")</x:f>
        <x:v>No</x:v>
      </x:c>
      <x:c r="N112" s="25" t="str">
        <x:f>IF(J112&gt;=6,"Sí","No")</x:f>
        <x:v>No</x:v>
      </x:c>
      <x:c r="O112" s="25" t="str">
        <x:v>Pendiente: asignar con R/sf</x:v>
      </x:c>
    </x:row>
    <x:row r="113">
      <x:c r="A113" s="25" t="n">
        <x:v>112</x:v>
      </x:c>
      <x:c r="B113" s="26" t="n">
        <x:v>44367.867893518516</x:v>
      </x:c>
      <x:c r="C113" s="27" t="n">
        <x:f>INT(B113)</x:f>
        <x:v>44367</x:v>
      </x:c>
      <x:c r="D113" s="28" t="n">
        <x:f>MOD(B113,1)</x:f>
        <x:v>0.8678935185162118</x:v>
      </x:c>
      <x:c r="E113" s="29" t="n">
        <x:f>YEAR(B113)</x:f>
        <x:v>2021</x:v>
      </x:c>
      <x:c r="F113" s="29" t="n">
        <x:f>MONTH(B113)</x:f>
        <x:v>6</x:v>
      </x:c>
      <x:c r="G113" s="30" t="n">
        <x:v>-28.66</x:v>
      </x:c>
      <x:c r="H113" s="30" t="n">
        <x:v>-69.98</x:v>
      </x:c>
      <x:c r="I113" s="29" t="n">
        <x:v>106</x:v>
      </x:c>
      <x:c r="J113" s="31" t="n">
        <x:v>4.2</x:v>
      </x:c>
      <x:c r="K113" s="25" t="str">
        <x:f>IF(J113&gt;=7,"Muy fuerte (&gt;=7)",IF(J113&gt;=6,"Fuerte (6-6.9)",IF(J113&gt;=5,"Moderado alto (5-5.9)",IF(J113&gt;=4,"Moderado (4-4.9)","Menor a 4"))))</x:f>
        <x:v>Moderado (4-4.9)</x:v>
      </x:c>
      <x:c r="L113" s="25" t="str">
        <x:f>IF(I113&lt;70,"Superficial (&lt;70 km)",IF(I113&lt;=300,"Intermedio (70-300 km)","Profundo (&gt;300 km)"))</x:f>
        <x:v>Intermedio (70-300 km)</x:v>
      </x:c>
      <x:c r="M113" s="25" t="str">
        <x:f>IF(J113&gt;=5,"Sí","No")</x:f>
        <x:v>No</x:v>
      </x:c>
      <x:c r="N113" s="25" t="str">
        <x:f>IF(J113&gt;=6,"Sí","No")</x:f>
        <x:v>No</x:v>
      </x:c>
      <x:c r="O113" s="25" t="str">
        <x:v>Pendiente: asignar con R/sf</x:v>
      </x:c>
    </x:row>
    <x:row r="114">
      <x:c r="A114" s="25" t="n">
        <x:v>113</x:v>
      </x:c>
      <x:c r="B114" s="26" t="n">
        <x:v>44432.93311342593</x:v>
      </x:c>
      <x:c r="C114" s="27" t="n">
        <x:f>INT(B114)</x:f>
        <x:v>44432</x:v>
      </x:c>
      <x:c r="D114" s="28" t="n">
        <x:f>MOD(B114,1)</x:f>
        <x:v>0.9331134259264218</x:v>
      </x:c>
      <x:c r="E114" s="29" t="n">
        <x:f>YEAR(B114)</x:f>
        <x:v>2021</x:v>
      </x:c>
      <x:c r="F114" s="29" t="n">
        <x:f>MONTH(B114)</x:f>
        <x:v>8</x:v>
      </x:c>
      <x:c r="G114" s="30" t="n">
        <x:v>-28.46</x:v>
      </x:c>
      <x:c r="H114" s="30" t="n">
        <x:v>-70.36</x:v>
      </x:c>
      <x:c r="I114" s="29" t="n">
        <x:v>104</x:v>
      </x:c>
      <x:c r="J114" s="31" t="n">
        <x:v>3.8</x:v>
      </x:c>
      <x:c r="K114" s="25" t="str">
        <x:f>IF(J114&gt;=7,"Muy fuerte (&gt;=7)",IF(J114&gt;=6,"Fuerte (6-6.9)",IF(J114&gt;=5,"Moderado alto (5-5.9)",IF(J114&gt;=4,"Moderado (4-4.9)","Menor a 4"))))</x:f>
        <x:v>Menor a 4</x:v>
      </x:c>
      <x:c r="L114" s="25" t="str">
        <x:f>IF(I114&lt;70,"Superficial (&lt;70 km)",IF(I114&lt;=300,"Intermedio (70-300 km)","Profundo (&gt;300 km)"))</x:f>
        <x:v>Intermedio (70-300 km)</x:v>
      </x:c>
      <x:c r="M114" s="25" t="str">
        <x:f>IF(J114&gt;=5,"Sí","No")</x:f>
        <x:v>No</x:v>
      </x:c>
      <x:c r="N114" s="25" t="str">
        <x:f>IF(J114&gt;=6,"Sí","No")</x:f>
        <x:v>No</x:v>
      </x:c>
      <x:c r="O114" s="25" t="str">
        <x:v>Pendiente: asignar con R/sf</x:v>
      </x:c>
    </x:row>
    <x:row r="115">
      <x:c r="A115" s="25" t="n">
        <x:v>114</x:v>
      </x:c>
      <x:c r="B115" s="26" t="n">
        <x:v>44457.48396990741</x:v>
      </x:c>
      <x:c r="C115" s="27" t="n">
        <x:f>INT(B115)</x:f>
        <x:v>44457</x:v>
      </x:c>
      <x:c r="D115" s="28" t="n">
        <x:f>MOD(B115,1)</x:f>
        <x:v>0.4839699074072996</x:v>
      </x:c>
      <x:c r="E115" s="29" t="n">
        <x:f>YEAR(B115)</x:f>
        <x:v>2021</x:v>
      </x:c>
      <x:c r="F115" s="29" t="n">
        <x:f>MONTH(B115)</x:f>
        <x:v>9</x:v>
      </x:c>
      <x:c r="G115" s="30" t="n">
        <x:v>-28.66</x:v>
      </x:c>
      <x:c r="H115" s="30" t="n">
        <x:v>-70.42</x:v>
      </x:c>
      <x:c r="I115" s="29" t="n">
        <x:v>87</x:v>
      </x:c>
      <x:c r="J115" s="31" t="n">
        <x:v>3.3</x:v>
      </x:c>
      <x:c r="K115" s="25" t="str">
        <x:f>IF(J115&gt;=7,"Muy fuerte (&gt;=7)",IF(J115&gt;=6,"Fuerte (6-6.9)",IF(J115&gt;=5,"Moderado alto (5-5.9)",IF(J115&gt;=4,"Moderado (4-4.9)","Menor a 4"))))</x:f>
        <x:v>Menor a 4</x:v>
      </x:c>
      <x:c r="L115" s="25" t="str">
        <x:f>IF(I115&lt;70,"Superficial (&lt;70 km)",IF(I115&lt;=300,"Intermedio (70-300 km)","Profundo (&gt;300 km)"))</x:f>
        <x:v>Intermedio (70-300 km)</x:v>
      </x:c>
      <x:c r="M115" s="25" t="str">
        <x:f>IF(J115&gt;=5,"Sí","No")</x:f>
        <x:v>No</x:v>
      </x:c>
      <x:c r="N115" s="25" t="str">
        <x:f>IF(J115&gt;=6,"Sí","No")</x:f>
        <x:v>No</x:v>
      </x:c>
      <x:c r="O115" s="25" t="str">
        <x:v>Pendiente: asignar con R/sf</x:v>
      </x:c>
    </x:row>
    <x:row r="116">
      <x:c r="A116" s="25" t="n">
        <x:v>115</x:v>
      </x:c>
      <x:c r="B116" s="26" t="n">
        <x:v>45000.39978009259</x:v>
      </x:c>
      <x:c r="C116" s="27" t="n">
        <x:f>INT(B116)</x:f>
        <x:v>45000</x:v>
      </x:c>
      <x:c r="D116" s="28" t="n">
        <x:f>MOD(B116,1)</x:f>
        <x:v>0.3997800925935735</x:v>
      </x:c>
      <x:c r="E116" s="29" t="n">
        <x:f>YEAR(B116)</x:f>
        <x:v>2023</x:v>
      </x:c>
      <x:c r="F116" s="29" t="n">
        <x:f>MONTH(B116)</x:f>
        <x:v>3</x:v>
      </x:c>
      <x:c r="G116" s="30" t="n">
        <x:v>-28.3</x:v>
      </x:c>
      <x:c r="H116" s="30" t="n">
        <x:v>-70.51</x:v>
      </x:c>
      <x:c r="I116" s="29" t="n">
        <x:v>74</x:v>
      </x:c>
      <x:c r="J116" s="31" t="n">
        <x:v>4</x:v>
      </x:c>
      <x:c r="K116" s="25" t="str">
        <x:f>IF(J116&gt;=7,"Muy fuerte (&gt;=7)",IF(J116&gt;=6,"Fuerte (6-6.9)",IF(J116&gt;=5,"Moderado alto (5-5.9)",IF(J116&gt;=4,"Moderado (4-4.9)","Menor a 4"))))</x:f>
        <x:v>Moderado (4-4.9)</x:v>
      </x:c>
      <x:c r="L116" s="25" t="str">
        <x:f>IF(I116&lt;70,"Superficial (&lt;70 km)",IF(I116&lt;=300,"Intermedio (70-300 km)","Profundo (&gt;300 km)"))</x:f>
        <x:v>Intermedio (70-300 km)</x:v>
      </x:c>
      <x:c r="M116" s="25" t="str">
        <x:f>IF(J116&gt;=5,"Sí","No")</x:f>
        <x:v>No</x:v>
      </x:c>
      <x:c r="N116" s="25" t="str">
        <x:f>IF(J116&gt;=6,"Sí","No")</x:f>
        <x:v>No</x:v>
      </x:c>
      <x:c r="O116" s="25" t="str">
        <x:v>Pendiente: asignar con R/sf</x:v>
      </x:c>
    </x:row>
    <x:row r="117">
      <x:c r="A117" s="25" t="n">
        <x:v>116</x:v>
      </x:c>
      <x:c r="B117" s="26" t="n">
        <x:v>45036.848229166666</x:v>
      </x:c>
      <x:c r="C117" s="27" t="n">
        <x:f>INT(B117)</x:f>
        <x:v>45036</x:v>
      </x:c>
      <x:c r="D117" s="28" t="n">
        <x:f>MOD(B117,1)</x:f>
        <x:v>0.8482291666659876</x:v>
      </x:c>
      <x:c r="E117" s="29" t="n">
        <x:f>YEAR(B117)</x:f>
        <x:v>2023</x:v>
      </x:c>
      <x:c r="F117" s="29" t="n">
        <x:f>MONTH(B117)</x:f>
        <x:v>4</x:v>
      </x:c>
      <x:c r="G117" s="30" t="n">
        <x:v>-29.04</x:v>
      </x:c>
      <x:c r="H117" s="30" t="n">
        <x:v>-71.47</x:v>
      </x:c>
      <x:c r="I117" s="29" t="n">
        <x:v>58</x:v>
      </x:c>
      <x:c r="J117" s="31" t="n">
        <x:v>4</x:v>
      </x:c>
      <x:c r="K117" s="25" t="str">
        <x:f>IF(J117&gt;=7,"Muy fuerte (&gt;=7)",IF(J117&gt;=6,"Fuerte (6-6.9)",IF(J117&gt;=5,"Moderado alto (5-5.9)",IF(J117&gt;=4,"Moderado (4-4.9)","Menor a 4"))))</x:f>
        <x:v>Moderado (4-4.9)</x:v>
      </x:c>
      <x:c r="L117" s="25" t="str">
        <x:f>IF(I117&lt;70,"Superficial (&lt;70 km)",IF(I117&lt;=300,"Intermedio (70-300 km)","Profundo (&gt;300 km)"))</x:f>
        <x:v>Superficial (&lt;70 km)</x:v>
      </x:c>
      <x:c r="M117" s="25" t="str">
        <x:f>IF(J117&gt;=5,"Sí","No")</x:f>
        <x:v>No</x:v>
      </x:c>
      <x:c r="N117" s="25" t="str">
        <x:f>IF(J117&gt;=6,"Sí","No")</x:f>
        <x:v>No</x:v>
      </x:c>
      <x:c r="O117" s="25" t="str">
        <x:v>Pendiente: asignar con R/sf</x:v>
      </x:c>
    </x:row>
    <x:row r="118">
      <x:c r="A118" s="25" t="n">
        <x:v>117</x:v>
      </x:c>
      <x:c r="B118" s="26" t="n">
        <x:v>45207.393645833334</x:v>
      </x:c>
      <x:c r="C118" s="27" t="n">
        <x:f>INT(B118)</x:f>
        <x:v>45207</x:v>
      </x:c>
      <x:c r="D118" s="28" t="n">
        <x:f>MOD(B118,1)</x:f>
        <x:v>0.3936458333337214</x:v>
      </x:c>
      <x:c r="E118" s="29" t="n">
        <x:f>YEAR(B118)</x:f>
        <x:v>2023</x:v>
      </x:c>
      <x:c r="F118" s="29" t="n">
        <x:f>MONTH(B118)</x:f>
        <x:v>10</x:v>
      </x:c>
      <x:c r="G118" s="30" t="n">
        <x:v>-28.62</x:v>
      </x:c>
      <x:c r="H118" s="30" t="n">
        <x:v>-71.25</x:v>
      </x:c>
      <x:c r="I118" s="29" t="n">
        <x:v>43</x:v>
      </x:c>
      <x:c r="J118" s="31" t="n">
        <x:v>4.1</x:v>
      </x:c>
      <x:c r="K118" s="25" t="str">
        <x:f>IF(J118&gt;=7,"Muy fuerte (&gt;=7)",IF(J118&gt;=6,"Fuerte (6-6.9)",IF(J118&gt;=5,"Moderado alto (5-5.9)",IF(J118&gt;=4,"Moderado (4-4.9)","Menor a 4"))))</x:f>
        <x:v>Moderado (4-4.9)</x:v>
      </x:c>
      <x:c r="L118" s="25" t="str">
        <x:f>IF(I118&lt;70,"Superficial (&lt;70 km)",IF(I118&lt;=300,"Intermedio (70-300 km)","Profundo (&gt;300 km)"))</x:f>
        <x:v>Superficial (&lt;70 km)</x:v>
      </x:c>
      <x:c r="M118" s="25" t="str">
        <x:f>IF(J118&gt;=5,"Sí","No")</x:f>
        <x:v>No</x:v>
      </x:c>
      <x:c r="N118" s="25" t="str">
        <x:f>IF(J118&gt;=6,"Sí","No")</x:f>
        <x:v>No</x:v>
      </x:c>
      <x:c r="O118" s="25" t="str">
        <x:v>Pendiente: asignar con R/sf</x:v>
      </x:c>
    </x:row>
    <x:row r="119">
      <x:c r="A119" s="25" t="n">
        <x:v>118</x:v>
      </x:c>
      <x:c r="B119" s="26" t="n">
        <x:v>45225.93483796297</x:v>
      </x:c>
      <x:c r="C119" s="27" t="n">
        <x:f>INT(B119)</x:f>
        <x:v>45225</x:v>
      </x:c>
      <x:c r="D119" s="28" t="n">
        <x:f>MOD(B119,1)</x:f>
        <x:v>0.9348379629664123</x:v>
      </x:c>
      <x:c r="E119" s="29" t="n">
        <x:f>YEAR(B119)</x:f>
        <x:v>2023</x:v>
      </x:c>
      <x:c r="F119" s="29" t="n">
        <x:f>MONTH(B119)</x:f>
        <x:v>10</x:v>
      </x:c>
      <x:c r="G119" s="30" t="n">
        <x:v>-28.69</x:v>
      </x:c>
      <x:c r="H119" s="30" t="n">
        <x:v>-70.33</x:v>
      </x:c>
      <x:c r="I119" s="29" t="n">
        <x:v>101</x:v>
      </x:c>
      <x:c r="J119" s="31" t="n">
        <x:v>4</x:v>
      </x:c>
      <x:c r="K119" s="25" t="str">
        <x:f>IF(J119&gt;=7,"Muy fuerte (&gt;=7)",IF(J119&gt;=6,"Fuerte (6-6.9)",IF(J119&gt;=5,"Moderado alto (5-5.9)",IF(J119&gt;=4,"Moderado (4-4.9)","Menor a 4"))))</x:f>
        <x:v>Moderado (4-4.9)</x:v>
      </x:c>
      <x:c r="L119" s="25" t="str">
        <x:f>IF(I119&lt;70,"Superficial (&lt;70 km)",IF(I119&lt;=300,"Intermedio (70-300 km)","Profundo (&gt;300 km)"))</x:f>
        <x:v>Intermedio (70-300 km)</x:v>
      </x:c>
      <x:c r="M119" s="25" t="str">
        <x:f>IF(J119&gt;=5,"Sí","No")</x:f>
        <x:v>No</x:v>
      </x:c>
      <x:c r="N119" s="25" t="str">
        <x:f>IF(J119&gt;=6,"Sí","No")</x:f>
        <x:v>No</x:v>
      </x:c>
      <x:c r="O119" s="25" t="str">
        <x:v>Pendiente: asignar con R/sf</x:v>
      </x:c>
    </x:row>
    <x:row r="120">
      <x:c r="A120" s="25" t="n">
        <x:v>119</x:v>
      </x:c>
      <x:c r="B120" s="26" t="n">
        <x:v>45240.729108796295</x:v>
      </x:c>
      <x:c r="C120" s="27" t="n">
        <x:f>INT(B120)</x:f>
        <x:v>45240</x:v>
      </x:c>
      <x:c r="D120" s="28" t="n">
        <x:f>MOD(B120,1)</x:f>
        <x:v>0.729108796294895</x:v>
      </x:c>
      <x:c r="E120" s="29" t="n">
        <x:f>YEAR(B120)</x:f>
        <x:v>2023</x:v>
      </x:c>
      <x:c r="F120" s="29" t="n">
        <x:f>MONTH(B120)</x:f>
        <x:v>11</x:v>
      </x:c>
      <x:c r="G120" s="30" t="n">
        <x:v>-28.61</x:v>
      </x:c>
      <x:c r="H120" s="30" t="n">
        <x:v>-69.86</x:v>
      </x:c>
      <x:c r="I120" s="29" t="n">
        <x:v>106</x:v>
      </x:c>
      <x:c r="J120" s="31" t="n">
        <x:v>4.2</x:v>
      </x:c>
      <x:c r="K120" s="25" t="str">
        <x:f>IF(J120&gt;=7,"Muy fuerte (&gt;=7)",IF(J120&gt;=6,"Fuerte (6-6.9)",IF(J120&gt;=5,"Moderado alto (5-5.9)",IF(J120&gt;=4,"Moderado (4-4.9)","Menor a 4"))))</x:f>
        <x:v>Moderado (4-4.9)</x:v>
      </x:c>
      <x:c r="L120" s="25" t="str">
        <x:f>IF(I120&lt;70,"Superficial (&lt;70 km)",IF(I120&lt;=300,"Intermedio (70-300 km)","Profundo (&gt;300 km)"))</x:f>
        <x:v>Intermedio (70-300 km)</x:v>
      </x:c>
      <x:c r="M120" s="25" t="str">
        <x:f>IF(J120&gt;=5,"Sí","No")</x:f>
        <x:v>No</x:v>
      </x:c>
      <x:c r="N120" s="25" t="str">
        <x:f>IF(J120&gt;=6,"Sí","No")</x:f>
        <x:v>No</x:v>
      </x:c>
      <x:c r="O120" s="25" t="str">
        <x:v>Pendiente: asignar con R/sf</x:v>
      </x:c>
    </x:row>
    <x:row r="121">
      <x:c r="A121" s="25" t="n">
        <x:v>120</x:v>
      </x:c>
      <x:c r="B121" s="26" t="n">
        <x:v>45287.77946759259</x:v>
      </x:c>
      <x:c r="C121" s="27" t="n">
        <x:f>INT(B121)</x:f>
        <x:v>45287</x:v>
      </x:c>
      <x:c r="D121" s="28" t="n">
        <x:f>MOD(B121,1)</x:f>
        <x:v>0.7794675925906631</x:v>
      </x:c>
      <x:c r="E121" s="29" t="n">
        <x:f>YEAR(B121)</x:f>
        <x:v>2023</x:v>
      </x:c>
      <x:c r="F121" s="29" t="n">
        <x:f>MONTH(B121)</x:f>
        <x:v>12</x:v>
      </x:c>
      <x:c r="G121" s="30" t="n">
        <x:v>-28.8</x:v>
      </x:c>
      <x:c r="H121" s="30" t="n">
        <x:v>-70.45</x:v>
      </x:c>
      <x:c r="I121" s="29" t="n">
        <x:v>108</x:v>
      </x:c>
      <x:c r="J121" s="31" t="n">
        <x:v>3.9</x:v>
      </x:c>
      <x:c r="K121" s="25" t="str">
        <x:f>IF(J121&gt;=7,"Muy fuerte (&gt;=7)",IF(J121&gt;=6,"Fuerte (6-6.9)",IF(J121&gt;=5,"Moderado alto (5-5.9)",IF(J121&gt;=4,"Moderado (4-4.9)","Menor a 4"))))</x:f>
        <x:v>Menor a 4</x:v>
      </x:c>
      <x:c r="L121" s="25" t="str">
        <x:f>IF(I121&lt;70,"Superficial (&lt;70 km)",IF(I121&lt;=300,"Intermedio (70-300 km)","Profundo (&gt;300 km)"))</x:f>
        <x:v>Intermedio (70-300 km)</x:v>
      </x:c>
      <x:c r="M121" s="25" t="str">
        <x:f>IF(J121&gt;=5,"Sí","No")</x:f>
        <x:v>No</x:v>
      </x:c>
      <x:c r="N121" s="25" t="str">
        <x:f>IF(J121&gt;=6,"Sí","No")</x:f>
        <x:v>No</x:v>
      </x:c>
      <x:c r="O121" s="25" t="str">
        <x:v>Pendiente: asignar con R/sf</x:v>
      </x:c>
    </x:row>
    <x:row r="122">
      <x:c r="A122" s="25" t="n">
        <x:v>121</x:v>
      </x:c>
      <x:c r="B122" s="26" t="n">
        <x:v>45294.33614583333</x:v>
      </x:c>
      <x:c r="C122" s="27" t="n">
        <x:f>INT(B122)</x:f>
        <x:v>45294</x:v>
      </x:c>
      <x:c r="D122" s="28" t="n">
        <x:f>MOD(B122,1)</x:f>
        <x:v>0.33614583333110204</x:v>
      </x:c>
      <x:c r="E122" s="29" t="n">
        <x:f>YEAR(B122)</x:f>
        <x:v>2024</x:v>
      </x:c>
      <x:c r="F122" s="29" t="n">
        <x:f>MONTH(B122)</x:f>
        <x:v>1</x:v>
      </x:c>
      <x:c r="G122" s="30" t="n">
        <x:v>-28.42</x:v>
      </x:c>
      <x:c r="H122" s="30" t="n">
        <x:v>-69.2</x:v>
      </x:c>
      <x:c r="I122" s="29" t="n">
        <x:v>159</x:v>
      </x:c>
      <x:c r="J122" s="31" t="n">
        <x:v>5.5</x:v>
      </x:c>
      <x:c r="K122" s="25" t="str">
        <x:f>IF(J122&gt;=7,"Muy fuerte (&gt;=7)",IF(J122&gt;=6,"Fuerte (6-6.9)",IF(J122&gt;=5,"Moderado alto (5-5.9)",IF(J122&gt;=4,"Moderado (4-4.9)","Menor a 4"))))</x:f>
        <x:v>Moderado alto (5-5.9)</x:v>
      </x:c>
      <x:c r="L122" s="25" t="str">
        <x:f>IF(I122&lt;70,"Superficial (&lt;70 km)",IF(I122&lt;=300,"Intermedio (70-300 km)","Profundo (&gt;300 km)"))</x:f>
        <x:v>Intermedio (70-300 km)</x:v>
      </x:c>
      <x:c r="M122" s="25" t="str">
        <x:f>IF(J122&gt;=5,"Sí","No")</x:f>
        <x:v>Sí</x:v>
      </x:c>
      <x:c r="N122" s="25" t="str">
        <x:f>IF(J122&gt;=6,"Sí","No")</x:f>
        <x:v>No</x:v>
      </x:c>
      <x:c r="O122" s="25" t="str">
        <x:v>Pendiente: asignar con R/sf</x:v>
      </x:c>
    </x:row>
    <x:row r="123">
      <x:c r="A123" s="25" t="n">
        <x:v>122</x:v>
      </x:c>
      <x:c r="B123" s="26" t="n">
        <x:v>45372.71165509259</x:v>
      </x:c>
      <x:c r="C123" s="27" t="n">
        <x:f>INT(B123)</x:f>
        <x:v>45372</x:v>
      </x:c>
      <x:c r="D123" s="28" t="n">
        <x:f>MOD(B123,1)</x:f>
        <x:v>0.7116550925929914</x:v>
      </x:c>
      <x:c r="E123" s="29" t="n">
        <x:f>YEAR(B123)</x:f>
        <x:v>2024</x:v>
      </x:c>
      <x:c r="F123" s="29" t="n">
        <x:f>MONTH(B123)</x:f>
        <x:v>3</x:v>
      </x:c>
      <x:c r="G123" s="30" t="n">
        <x:v>-28.38</x:v>
      </x:c>
      <x:c r="H123" s="30" t="n">
        <x:v>-70.6</x:v>
      </x:c>
      <x:c r="I123" s="29" t="n">
        <x:v>62</x:v>
      </x:c>
      <x:c r="J123" s="31" t="n">
        <x:v>3.8</x:v>
      </x:c>
      <x:c r="K123" s="25" t="str">
        <x:f>IF(J123&gt;=7,"Muy fuerte (&gt;=7)",IF(J123&gt;=6,"Fuerte (6-6.9)",IF(J123&gt;=5,"Moderado alto (5-5.9)",IF(J123&gt;=4,"Moderado (4-4.9)","Menor a 4"))))</x:f>
        <x:v>Menor a 4</x:v>
      </x:c>
      <x:c r="L123" s="25" t="str">
        <x:f>IF(I123&lt;70,"Superficial (&lt;70 km)",IF(I123&lt;=300,"Intermedio (70-300 km)","Profundo (&gt;300 km)"))</x:f>
        <x:v>Superficial (&lt;70 km)</x:v>
      </x:c>
      <x:c r="M123" s="25" t="str">
        <x:f>IF(J123&gt;=5,"Sí","No")</x:f>
        <x:v>No</x:v>
      </x:c>
      <x:c r="N123" s="25" t="str">
        <x:f>IF(J123&gt;=6,"Sí","No")</x:f>
        <x:v>No</x:v>
      </x:c>
      <x:c r="O123" s="25" t="str">
        <x:v>Pendiente: asignar con R/sf</x:v>
      </x:c>
    </x:row>
    <x:row r="124">
      <x:c r="A124" s="25" t="n">
        <x:v>123</x:v>
      </x:c>
      <x:c r="B124" s="26" t="n">
        <x:v>45374.96658564815</x:v>
      </x:c>
      <x:c r="C124" s="27" t="n">
        <x:f>INT(B124)</x:f>
        <x:v>45374</x:v>
      </x:c>
      <x:c r="D124" s="28" t="n">
        <x:f>MOD(B124,1)</x:f>
        <x:v>0.966585648151522</x:v>
      </x:c>
      <x:c r="E124" s="29" t="n">
        <x:f>YEAR(B124)</x:f>
        <x:v>2024</x:v>
      </x:c>
      <x:c r="F124" s="29" t="n">
        <x:f>MONTH(B124)</x:f>
        <x:v>3</x:v>
      </x:c>
      <x:c r="G124" s="30" t="n">
        <x:v>-28.93</x:v>
      </x:c>
      <x:c r="H124" s="30" t="n">
        <x:v>-70.41</x:v>
      </x:c>
      <x:c r="I124" s="29" t="n">
        <x:v>108</x:v>
      </x:c>
      <x:c r="J124" s="31" t="n">
        <x:v>4.4</x:v>
      </x:c>
      <x:c r="K124" s="25" t="str">
        <x:f>IF(J124&gt;=7,"Muy fuerte (&gt;=7)",IF(J124&gt;=6,"Fuerte (6-6.9)",IF(J124&gt;=5,"Moderado alto (5-5.9)",IF(J124&gt;=4,"Moderado (4-4.9)","Menor a 4"))))</x:f>
        <x:v>Moderado (4-4.9)</x:v>
      </x:c>
      <x:c r="L124" s="25" t="str">
        <x:f>IF(I124&lt;70,"Superficial (&lt;70 km)",IF(I124&lt;=300,"Intermedio (70-300 km)","Profundo (&gt;300 km)"))</x:f>
        <x:v>Intermedio (70-300 km)</x:v>
      </x:c>
      <x:c r="M124" s="25" t="str">
        <x:f>IF(J124&gt;=5,"Sí","No")</x:f>
        <x:v>No</x:v>
      </x:c>
      <x:c r="N124" s="25" t="str">
        <x:f>IF(J124&gt;=6,"Sí","No")</x:f>
        <x:v>No</x:v>
      </x:c>
      <x:c r="O124" s="25" t="str">
        <x:v>Pendiente: asignar con R/sf</x:v>
      </x:c>
    </x:row>
    <x:row r="125">
      <x:c r="A125" s="25" t="n">
        <x:v>124</x:v>
      </x:c>
      <x:c r="B125" s="26" t="n">
        <x:v>45451.56532407407</x:v>
      </x:c>
      <x:c r="C125" s="27" t="n">
        <x:f>INT(B125)</x:f>
        <x:v>45451</x:v>
      </x:c>
      <x:c r="D125" s="28" t="n">
        <x:f>MOD(B125,1)</x:f>
        <x:v>0.565324074072123</x:v>
      </x:c>
      <x:c r="E125" s="29" t="n">
        <x:f>YEAR(B125)</x:f>
        <x:v>2024</x:v>
      </x:c>
      <x:c r="F125" s="29" t="n">
        <x:f>MONTH(B125)</x:f>
        <x:v>6</x:v>
      </x:c>
      <x:c r="G125" s="30" t="n">
        <x:v>-28.76</x:v>
      </x:c>
      <x:c r="H125" s="30" t="n">
        <x:v>-70.32</x:v>
      </x:c>
      <x:c r="I125" s="29" t="n">
        <x:v>104</x:v>
      </x:c>
      <x:c r="J125" s="31" t="n">
        <x:v>4</x:v>
      </x:c>
      <x:c r="K125" s="25" t="str">
        <x:f>IF(J125&gt;=7,"Muy fuerte (&gt;=7)",IF(J125&gt;=6,"Fuerte (6-6.9)",IF(J125&gt;=5,"Moderado alto (5-5.9)",IF(J125&gt;=4,"Moderado (4-4.9)","Menor a 4"))))</x:f>
        <x:v>Moderado (4-4.9)</x:v>
      </x:c>
      <x:c r="L125" s="25" t="str">
        <x:f>IF(I125&lt;70,"Superficial (&lt;70 km)",IF(I125&lt;=300,"Intermedio (70-300 km)","Profundo (&gt;300 km)"))</x:f>
        <x:v>Intermedio (70-300 km)</x:v>
      </x:c>
      <x:c r="M125" s="25" t="str">
        <x:f>IF(J125&gt;=5,"Sí","No")</x:f>
        <x:v>No</x:v>
      </x:c>
      <x:c r="N125" s="25" t="str">
        <x:f>IF(J125&gt;=6,"Sí","No")</x:f>
        <x:v>No</x:v>
      </x:c>
      <x:c r="O125" s="25" t="str">
        <x:v>Pendiente: asignar con R/sf</x:v>
      </x:c>
    </x:row>
    <x:row r="126">
      <x:c r="A126" s="25" t="n">
        <x:v>125</x:v>
      </x:c>
      <x:c r="B126" s="26" t="n">
        <x:v>44386.273622685185</x:v>
      </x:c>
      <x:c r="C126" s="27" t="n">
        <x:f>INT(B126)</x:f>
        <x:v>44386</x:v>
      </x:c>
      <x:c r="D126" s="28" t="n">
        <x:f>MOD(B126,1)</x:f>
        <x:v>0.2736226851848187</x:v>
      </x:c>
      <x:c r="E126" s="29" t="n">
        <x:f>YEAR(B126)</x:f>
        <x:v>2021</x:v>
      </x:c>
      <x:c r="F126" s="29" t="n">
        <x:f>MONTH(B126)</x:f>
        <x:v>7</x:v>
      </x:c>
      <x:c r="G126" s="30" t="n">
        <x:v>-29.02</x:v>
      </x:c>
      <x:c r="H126" s="30" t="n">
        <x:v>-69.83</x:v>
      </x:c>
      <x:c r="I126" s="29" t="n">
        <x:v>128</x:v>
      </x:c>
      <x:c r="J126" s="31" t="n">
        <x:v>4</x:v>
      </x:c>
      <x:c r="K126" s="25" t="str">
        <x:f>IF(J126&gt;=7,"Muy fuerte (&gt;=7)",IF(J126&gt;=6,"Fuerte (6-6.9)",IF(J126&gt;=5,"Moderado alto (5-5.9)",IF(J126&gt;=4,"Moderado (4-4.9)","Menor a 4"))))</x:f>
        <x:v>Moderado (4-4.9)</x:v>
      </x:c>
      <x:c r="L126" s="25" t="str">
        <x:f>IF(I126&lt;70,"Superficial (&lt;70 km)",IF(I126&lt;=300,"Intermedio (70-300 km)","Profundo (&gt;300 km)"))</x:f>
        <x:v>Intermedio (70-300 km)</x:v>
      </x:c>
      <x:c r="M126" s="25" t="str">
        <x:f>IF(J126&gt;=5,"Sí","No")</x:f>
        <x:v>No</x:v>
      </x:c>
      <x:c r="N126" s="25" t="str">
        <x:f>IF(J126&gt;=6,"Sí","No")</x:f>
        <x:v>No</x:v>
      </x:c>
      <x:c r="O126" s="25" t="str">
        <x:v>Pendiente: asignar con R/sf</x:v>
      </x:c>
    </x:row>
    <x:row r="127">
      <x:c r="A127" s="25" t="n">
        <x:v>126</x:v>
      </x:c>
      <x:c r="B127" s="26" t="n">
        <x:v>44245.31508101852</x:v>
      </x:c>
      <x:c r="C127" s="27" t="n">
        <x:f>INT(B127)</x:f>
        <x:v>44245</x:v>
      </x:c>
      <x:c r="D127" s="28" t="n">
        <x:f>MOD(B127,1)</x:f>
        <x:v>0.315081018517958</x:v>
      </x:c>
      <x:c r="E127" s="29" t="n">
        <x:f>YEAR(B127)</x:f>
        <x:v>2021</x:v>
      </x:c>
      <x:c r="F127" s="29" t="n">
        <x:f>MONTH(B127)</x:f>
        <x:v>2</x:v>
      </x:c>
      <x:c r="G127" s="30" t="n">
        <x:v>-30.67</x:v>
      </x:c>
      <x:c r="H127" s="30" t="n">
        <x:v>-71.31</x:v>
      </x:c>
      <x:c r="I127" s="29" t="n">
        <x:v>55</x:v>
      </x:c>
      <x:c r="J127" s="31" t="n">
        <x:v>3.4</x:v>
      </x:c>
      <x:c r="K127" s="25" t="str">
        <x:f>IF(J127&gt;=7,"Muy fuerte (&gt;=7)",IF(J127&gt;=6,"Fuerte (6-6.9)",IF(J127&gt;=5,"Moderado alto (5-5.9)",IF(J127&gt;=4,"Moderado (4-4.9)","Menor a 4"))))</x:f>
        <x:v>Menor a 4</x:v>
      </x:c>
      <x:c r="L127" s="25" t="str">
        <x:f>IF(I127&lt;70,"Superficial (&lt;70 km)",IF(I127&lt;=300,"Intermedio (70-300 km)","Profundo (&gt;300 km)"))</x:f>
        <x:v>Superficial (&lt;70 km)</x:v>
      </x:c>
      <x:c r="M127" s="25" t="str">
        <x:f>IF(J127&gt;=5,"Sí","No")</x:f>
        <x:v>No</x:v>
      </x:c>
      <x:c r="N127" s="25" t="str">
        <x:f>IF(J127&gt;=6,"Sí","No")</x:f>
        <x:v>No</x:v>
      </x:c>
      <x:c r="O127" s="25" t="str">
        <x:v>Pendiente: asignar con R/sf</x:v>
      </x:c>
    </x:row>
    <x:row r="128">
      <x:c r="A128" s="25" t="n">
        <x:v>127</x:v>
      </x:c>
      <x:c r="B128" s="26" t="n">
        <x:v>44524.168032407404</x:v>
      </x:c>
      <x:c r="C128" s="27" t="n">
        <x:f>INT(B128)</x:f>
        <x:v>44524</x:v>
      </x:c>
      <x:c r="D128" s="28" t="n">
        <x:f>MOD(B128,1)</x:f>
        <x:v>0.1680324074040982</x:v>
      </x:c>
      <x:c r="E128" s="29" t="n">
        <x:f>YEAR(B128)</x:f>
        <x:v>2021</x:v>
      </x:c>
      <x:c r="F128" s="29" t="n">
        <x:f>MONTH(B128)</x:f>
        <x:v>11</x:v>
      </x:c>
      <x:c r="G128" s="30" t="n">
        <x:v>-30.7</x:v>
      </x:c>
      <x:c r="H128" s="30" t="n">
        <x:v>-71.36</x:v>
      </x:c>
      <x:c r="I128" s="29" t="n">
        <x:v>47</x:v>
      </x:c>
      <x:c r="J128" s="31" t="n">
        <x:v>3.5</x:v>
      </x:c>
      <x:c r="K128" s="25" t="str">
        <x:f>IF(J128&gt;=7,"Muy fuerte (&gt;=7)",IF(J128&gt;=6,"Fuerte (6-6.9)",IF(J128&gt;=5,"Moderado alto (5-5.9)",IF(J128&gt;=4,"Moderado (4-4.9)","Menor a 4"))))</x:f>
        <x:v>Menor a 4</x:v>
      </x:c>
      <x:c r="L128" s="25" t="str">
        <x:f>IF(I128&lt;70,"Superficial (&lt;70 km)",IF(I128&lt;=300,"Intermedio (70-300 km)","Profundo (&gt;300 km)"))</x:f>
        <x:v>Superficial (&lt;70 km)</x:v>
      </x:c>
      <x:c r="M128" s="25" t="str">
        <x:f>IF(J128&gt;=5,"Sí","No")</x:f>
        <x:v>No</x:v>
      </x:c>
      <x:c r="N128" s="25" t="str">
        <x:f>IF(J128&gt;=6,"Sí","No")</x:f>
        <x:v>No</x:v>
      </x:c>
      <x:c r="O128" s="25" t="str">
        <x:v>Pendiente: asignar con R/sf</x:v>
      </x:c>
    </x:row>
    <x:row r="129">
      <x:c r="A129" s="25" t="n">
        <x:v>128</x:v>
      </x:c>
      <x:c r="B129" s="26" t="n">
        <x:v>45217.86550925926</x:v>
      </x:c>
      <x:c r="C129" s="27" t="n">
        <x:f>INT(B129)</x:f>
        <x:v>45217</x:v>
      </x:c>
      <x:c r="D129" s="28" t="n">
        <x:f>MOD(B129,1)</x:f>
        <x:v>0.8655092592598521</x:v>
      </x:c>
      <x:c r="E129" s="29" t="n">
        <x:f>YEAR(B129)</x:f>
        <x:v>2023</x:v>
      </x:c>
      <x:c r="F129" s="29" t="n">
        <x:f>MONTH(B129)</x:f>
        <x:v>10</x:v>
      </x:c>
      <x:c r="G129" s="30" t="n">
        <x:v>-29.24</x:v>
      </x:c>
      <x:c r="H129" s="30" t="n">
        <x:v>-71.14</x:v>
      </x:c>
      <x:c r="I129" s="29" t="n">
        <x:v>56</x:v>
      </x:c>
      <x:c r="J129" s="31" t="n">
        <x:v>3.5</x:v>
      </x:c>
      <x:c r="K129" s="25" t="str">
        <x:f>IF(J129&gt;=7,"Muy fuerte (&gt;=7)",IF(J129&gt;=6,"Fuerte (6-6.9)",IF(J129&gt;=5,"Moderado alto (5-5.9)",IF(J129&gt;=4,"Moderado (4-4.9)","Menor a 4"))))</x:f>
        <x:v>Menor a 4</x:v>
      </x:c>
      <x:c r="L129" s="25" t="str">
        <x:f>IF(I129&lt;70,"Superficial (&lt;70 km)",IF(I129&lt;=300,"Intermedio (70-300 km)","Profundo (&gt;300 km)"))</x:f>
        <x:v>Superficial (&lt;70 km)</x:v>
      </x:c>
      <x:c r="M129" s="25" t="str">
        <x:f>IF(J129&gt;=5,"Sí","No")</x:f>
        <x:v>No</x:v>
      </x:c>
      <x:c r="N129" s="25" t="str">
        <x:f>IF(J129&gt;=6,"Sí","No")</x:f>
        <x:v>No</x:v>
      </x:c>
      <x:c r="O129" s="25" t="str">
        <x:v>Pendiente: asignar con R/sf</x:v>
      </x:c>
    </x:row>
    <x:row r="130">
      <x:c r="A130" s="25" t="n">
        <x:v>129</x:v>
      </x:c>
      <x:c r="B130" s="26" t="n">
        <x:v>45254.44583333333</x:v>
      </x:c>
      <x:c r="C130" s="27" t="n">
        <x:f>INT(B130)</x:f>
        <x:v>45254</x:v>
      </x:c>
      <x:c r="D130" s="28" t="n">
        <x:f>MOD(B130,1)</x:f>
        <x:v>0.4458333333313931</x:v>
      </x:c>
      <x:c r="E130" s="29" t="n">
        <x:f>YEAR(B130)</x:f>
        <x:v>2023</x:v>
      </x:c>
      <x:c r="F130" s="29" t="n">
        <x:f>MONTH(B130)</x:f>
        <x:v>11</x:v>
      </x:c>
      <x:c r="G130" s="30" t="n">
        <x:v>-29.57</x:v>
      </x:c>
      <x:c r="H130" s="30" t="n">
        <x:v>-71.22</x:v>
      </x:c>
      <x:c r="I130" s="29" t="n">
        <x:v>54</x:v>
      </x:c>
      <x:c r="J130" s="31" t="n">
        <x:v>3</x:v>
      </x:c>
      <x:c r="K130" s="25" t="str">
        <x:f>IF(J130&gt;=7,"Muy fuerte (&gt;=7)",IF(J130&gt;=6,"Fuerte (6-6.9)",IF(J130&gt;=5,"Moderado alto (5-5.9)",IF(J130&gt;=4,"Moderado (4-4.9)","Menor a 4"))))</x:f>
        <x:v>Menor a 4</x:v>
      </x:c>
      <x:c r="L130" s="25" t="str">
        <x:f>IF(I130&lt;70,"Superficial (&lt;70 km)",IF(I130&lt;=300,"Intermedio (70-300 km)","Profundo (&gt;300 km)"))</x:f>
        <x:v>Superficial (&lt;70 km)</x:v>
      </x:c>
      <x:c r="M130" s="25" t="str">
        <x:f>IF(J130&gt;=5,"Sí","No")</x:f>
        <x:v>No</x:v>
      </x:c>
      <x:c r="N130" s="25" t="str">
        <x:f>IF(J130&gt;=6,"Sí","No")</x:f>
        <x:v>No</x:v>
      </x:c>
      <x:c r="O130" s="25" t="str">
        <x:v>Pendiente: asignar con R/sf</x:v>
      </x:c>
    </x:row>
    <x:row r="131">
      <x:c r="A131" s="25" t="n">
        <x:v>130</x:v>
      </x:c>
      <x:c r="B131" s="26" t="n">
        <x:v>45306.44886574074</x:v>
      </x:c>
      <x:c r="C131" s="27" t="n">
        <x:f>INT(B131)</x:f>
        <x:v>45306</x:v>
      </x:c>
      <x:c r="D131" s="28" t="n">
        <x:f>MOD(B131,1)</x:f>
        <x:v>0.4488657407418941</x:v>
      </x:c>
      <x:c r="E131" s="29" t="n">
        <x:f>YEAR(B131)</x:f>
        <x:v>2024</x:v>
      </x:c>
      <x:c r="F131" s="29" t="n">
        <x:f>MONTH(B131)</x:f>
        <x:v>1</x:v>
      </x:c>
      <x:c r="G131" s="30" t="n">
        <x:v>-31.75</x:v>
      </x:c>
      <x:c r="H131" s="30" t="n">
        <x:v>-71.39</x:v>
      </x:c>
      <x:c r="I131" s="29" t="n">
        <x:v>59</x:v>
      </x:c>
      <x:c r="J131" s="31" t="n">
        <x:v>3.4</x:v>
      </x:c>
      <x:c r="K131" s="25" t="str">
        <x:f>IF(J131&gt;=7,"Muy fuerte (&gt;=7)",IF(J131&gt;=6,"Fuerte (6-6.9)",IF(J131&gt;=5,"Moderado alto (5-5.9)",IF(J131&gt;=4,"Moderado (4-4.9)","Menor a 4"))))</x:f>
        <x:v>Menor a 4</x:v>
      </x:c>
      <x:c r="L131" s="25" t="str">
        <x:f>IF(I131&lt;70,"Superficial (&lt;70 km)",IF(I131&lt;=300,"Intermedio (70-300 km)","Profundo (&gt;300 km)"))</x:f>
        <x:v>Superficial (&lt;70 km)</x:v>
      </x:c>
      <x:c r="M131" s="25" t="str">
        <x:f>IF(J131&gt;=5,"Sí","No")</x:f>
        <x:v>No</x:v>
      </x:c>
      <x:c r="N131" s="25" t="str">
        <x:f>IF(J131&gt;=6,"Sí","No")</x:f>
        <x:v>No</x:v>
      </x:c>
      <x:c r="O131" s="25" t="str">
        <x:v>Pendiente: asignar con R/sf</x:v>
      </x:c>
    </x:row>
    <x:row r="132">
      <x:c r="A132" s="25" t="n">
        <x:v>131</x:v>
      </x:c>
      <x:c r="B132" s="26" t="n">
        <x:v>45240.287511574075</x:v>
      </x:c>
      <x:c r="C132" s="27" t="n">
        <x:f>INT(B132)</x:f>
        <x:v>45240</x:v>
      </x:c>
      <x:c r="D132" s="28" t="n">
        <x:f>MOD(B132,1)</x:f>
        <x:v>0.28751157407532446</x:v>
      </x:c>
      <x:c r="E132" s="29" t="n">
        <x:f>YEAR(B132)</x:f>
        <x:v>2023</x:v>
      </x:c>
      <x:c r="F132" s="29" t="n">
        <x:f>MONTH(B132)</x:f>
        <x:v>11</x:v>
      </x:c>
      <x:c r="G132" s="30" t="n">
        <x:v>-31.03</x:v>
      </x:c>
      <x:c r="H132" s="30" t="n">
        <x:v>-71.29</x:v>
      </x:c>
      <x:c r="I132" s="29" t="n">
        <x:v>62</x:v>
      </x:c>
      <x:c r="J132" s="31" t="n">
        <x:v>3.3</x:v>
      </x:c>
      <x:c r="K132" s="25" t="str">
        <x:f>IF(J132&gt;=7,"Muy fuerte (&gt;=7)",IF(J132&gt;=6,"Fuerte (6-6.9)",IF(J132&gt;=5,"Moderado alto (5-5.9)",IF(J132&gt;=4,"Moderado (4-4.9)","Menor a 4"))))</x:f>
        <x:v>Menor a 4</x:v>
      </x:c>
      <x:c r="L132" s="25" t="str">
        <x:f>IF(I132&lt;70,"Superficial (&lt;70 km)",IF(I132&lt;=300,"Intermedio (70-300 km)","Profundo (&gt;300 km)"))</x:f>
        <x:v>Superficial (&lt;70 km)</x:v>
      </x:c>
      <x:c r="M132" s="25" t="str">
        <x:f>IF(J132&gt;=5,"Sí","No")</x:f>
        <x:v>No</x:v>
      </x:c>
      <x:c r="N132" s="25" t="str">
        <x:f>IF(J132&gt;=6,"Sí","No")</x:f>
        <x:v>No</x:v>
      </x:c>
      <x:c r="O132" s="25" t="str">
        <x:v>Pendiente: asignar con R/sf</x:v>
      </x:c>
    </x:row>
    <x:row r="133">
      <x:c r="A133" s="25" t="n">
        <x:v>132</x:v>
      </x:c>
      <x:c r="B133" s="26" t="n">
        <x:v>45455.935381944444</x:v>
      </x:c>
      <x:c r="C133" s="27" t="n">
        <x:f>INT(B133)</x:f>
        <x:v>45455</x:v>
      </x:c>
      <x:c r="D133" s="28" t="n">
        <x:f>MOD(B133,1)</x:f>
        <x:v>0.9353819444440887</x:v>
      </x:c>
      <x:c r="E133" s="29" t="n">
        <x:f>YEAR(B133)</x:f>
        <x:v>2024</x:v>
      </x:c>
      <x:c r="F133" s="29" t="n">
        <x:f>MONTH(B133)</x:f>
        <x:v>6</x:v>
      </x:c>
      <x:c r="G133" s="30" t="n">
        <x:v>-30.04</x:v>
      </x:c>
      <x:c r="H133" s="30" t="n">
        <x:v>-71.25</x:v>
      </x:c>
      <x:c r="I133" s="29" t="n">
        <x:v>47</x:v>
      </x:c>
      <x:c r="J133" s="31" t="n">
        <x:v>4.5</x:v>
      </x:c>
      <x:c r="K133" s="25" t="str">
        <x:f>IF(J133&gt;=7,"Muy fuerte (&gt;=7)",IF(J133&gt;=6,"Fuerte (6-6.9)",IF(J133&gt;=5,"Moderado alto (5-5.9)",IF(J133&gt;=4,"Moderado (4-4.9)","Menor a 4"))))</x:f>
        <x:v>Moderado (4-4.9)</x:v>
      </x:c>
      <x:c r="L133" s="25" t="str">
        <x:f>IF(I133&lt;70,"Superficial (&lt;70 km)",IF(I133&lt;=300,"Intermedio (70-300 km)","Profundo (&gt;300 km)"))</x:f>
        <x:v>Superficial (&lt;70 km)</x:v>
      </x:c>
      <x:c r="M133" s="25" t="str">
        <x:f>IF(J133&gt;=5,"Sí","No")</x:f>
        <x:v>No</x:v>
      </x:c>
      <x:c r="N133" s="25" t="str">
        <x:f>IF(J133&gt;=6,"Sí","No")</x:f>
        <x:v>No</x:v>
      </x:c>
      <x:c r="O133" s="25" t="str">
        <x:v>Pendiente: asignar con R/sf</x:v>
      </x:c>
    </x:row>
    <x:row r="134">
      <x:c r="A134" s="25" t="n">
        <x:v>133</x:v>
      </x:c>
      <x:c r="B134" s="26" t="n">
        <x:v>45219.28525462963</x:v>
      </x:c>
      <x:c r="C134" s="27" t="n">
        <x:f>INT(B134)</x:f>
        <x:v>45219</x:v>
      </x:c>
      <x:c r="D134" s="28" t="n">
        <x:f>MOD(B134,1)</x:f>
        <x:v>0.2852546296271612</x:v>
      </x:c>
      <x:c r="E134" s="29" t="n">
        <x:f>YEAR(B134)</x:f>
        <x:v>2023</x:v>
      </x:c>
      <x:c r="F134" s="29" t="n">
        <x:f>MONTH(B134)</x:f>
        <x:v>10</x:v>
      </x:c>
      <x:c r="G134" s="30" t="n">
        <x:v>-30.64</x:v>
      </x:c>
      <x:c r="H134" s="30" t="n">
        <x:v>-71.33</x:v>
      </x:c>
      <x:c r="I134" s="29" t="n">
        <x:v>53</x:v>
      </x:c>
      <x:c r="J134" s="31" t="n">
        <x:v>3.7</x:v>
      </x:c>
      <x:c r="K134" s="25" t="str">
        <x:f>IF(J134&gt;=7,"Muy fuerte (&gt;=7)",IF(J134&gt;=6,"Fuerte (6-6.9)",IF(J134&gt;=5,"Moderado alto (5-5.9)",IF(J134&gt;=4,"Moderado (4-4.9)","Menor a 4"))))</x:f>
        <x:v>Menor a 4</x:v>
      </x:c>
      <x:c r="L134" s="25" t="str">
        <x:f>IF(I134&lt;70,"Superficial (&lt;70 km)",IF(I134&lt;=300,"Intermedio (70-300 km)","Profundo (&gt;300 km)"))</x:f>
        <x:v>Superficial (&lt;70 km)</x:v>
      </x:c>
      <x:c r="M134" s="25" t="str">
        <x:f>IF(J134&gt;=5,"Sí","No")</x:f>
        <x:v>No</x:v>
      </x:c>
      <x:c r="N134" s="25" t="str">
        <x:f>IF(J134&gt;=6,"Sí","No")</x:f>
        <x:v>No</x:v>
      </x:c>
      <x:c r="O134" s="25" t="str">
        <x:v>Pendiente: asignar con R/sf</x:v>
      </x:c>
    </x:row>
    <x:row r="135">
      <x:c r="A135" s="25" t="n">
        <x:v>134</x:v>
      </x:c>
      <x:c r="B135" s="26" t="n">
        <x:v>45279.30289351852</x:v>
      </x:c>
      <x:c r="C135" s="27" t="n">
        <x:f>INT(B135)</x:f>
        <x:v>45279</x:v>
      </x:c>
      <x:c r="D135" s="28" t="n">
        <x:f>MOD(B135,1)</x:f>
        <x:v>0.3028935185211594</x:v>
      </x:c>
      <x:c r="E135" s="29" t="n">
        <x:f>YEAR(B135)</x:f>
        <x:v>2023</x:v>
      </x:c>
      <x:c r="F135" s="29" t="n">
        <x:f>MONTH(B135)</x:f>
        <x:v>12</x:v>
      </x:c>
      <x:c r="G135" s="30" t="n">
        <x:v>-32.74</x:v>
      </x:c>
      <x:c r="H135" s="30" t="n">
        <x:v>-71.75</x:v>
      </x:c>
      <x:c r="I135" s="29" t="n">
        <x:v>31</x:v>
      </x:c>
      <x:c r="J135" s="31" t="n">
        <x:v>3.1</x:v>
      </x:c>
      <x:c r="K135" s="25" t="str">
        <x:f>IF(J135&gt;=7,"Muy fuerte (&gt;=7)",IF(J135&gt;=6,"Fuerte (6-6.9)",IF(J135&gt;=5,"Moderado alto (5-5.9)",IF(J135&gt;=4,"Moderado (4-4.9)","Menor a 4"))))</x:f>
        <x:v>Menor a 4</x:v>
      </x:c>
      <x:c r="L135" s="25" t="str">
        <x:f>IF(I135&lt;70,"Superficial (&lt;70 km)",IF(I135&lt;=300,"Intermedio (70-300 km)","Profundo (&gt;300 km)"))</x:f>
        <x:v>Superficial (&lt;70 km)</x:v>
      </x:c>
      <x:c r="M135" s="25" t="str">
        <x:f>IF(J135&gt;=5,"Sí","No")</x:f>
        <x:v>No</x:v>
      </x:c>
      <x:c r="N135" s="25" t="str">
        <x:f>IF(J135&gt;=6,"Sí","No")</x:f>
        <x:v>No</x:v>
      </x:c>
      <x:c r="O135" s="25" t="str">
        <x:v>Pendiente: asignar con R/sf</x:v>
      </x:c>
    </x:row>
    <x:row r="136">
      <x:c r="A136" s="25" t="n">
        <x:v>135</x:v>
      </x:c>
      <x:c r="B136" s="26" t="n">
        <x:v>45244.37363425926</x:v>
      </x:c>
      <x:c r="C136" s="27" t="n">
        <x:f>INT(B136)</x:f>
        <x:v>45244</x:v>
      </x:c>
      <x:c r="D136" s="28" t="n">
        <x:f>MOD(B136,1)</x:f>
        <x:v>0.37363425926014315</x:v>
      </x:c>
      <x:c r="E136" s="29" t="n">
        <x:f>YEAR(B136)</x:f>
        <x:v>2023</x:v>
      </x:c>
      <x:c r="F136" s="29" t="n">
        <x:f>MONTH(B136)</x:f>
        <x:v>11</x:v>
      </x:c>
      <x:c r="G136" s="30" t="n">
        <x:v>-33.12</x:v>
      </x:c>
      <x:c r="H136" s="30" t="n">
        <x:v>-71.75</x:v>
      </x:c>
      <x:c r="I136" s="29" t="n">
        <x:v>38</x:v>
      </x:c>
      <x:c r="J136" s="31" t="n">
        <x:v>3</x:v>
      </x:c>
      <x:c r="K136" s="25" t="str">
        <x:f>IF(J136&gt;=7,"Muy fuerte (&gt;=7)",IF(J136&gt;=6,"Fuerte (6-6.9)",IF(J136&gt;=5,"Moderado alto (5-5.9)",IF(J136&gt;=4,"Moderado (4-4.9)","Menor a 4"))))</x:f>
        <x:v>Menor a 4</x:v>
      </x:c>
      <x:c r="L136" s="25" t="str">
        <x:f>IF(I136&lt;70,"Superficial (&lt;70 km)",IF(I136&lt;=300,"Intermedio (70-300 km)","Profundo (&gt;300 km)"))</x:f>
        <x:v>Superficial (&lt;70 km)</x:v>
      </x:c>
      <x:c r="M136" s="25" t="str">
        <x:f>IF(J136&gt;=5,"Sí","No")</x:f>
        <x:v>No</x:v>
      </x:c>
      <x:c r="N136" s="25" t="str">
        <x:f>IF(J136&gt;=6,"Sí","No")</x:f>
        <x:v>No</x:v>
      </x:c>
      <x:c r="O136" s="25" t="str">
        <x:v>Pendiente: asignar con R/sf</x:v>
      </x:c>
    </x:row>
    <x:row r="137">
      <x:c r="A137" s="25" t="n">
        <x:v>136</x:v>
      </x:c>
      <x:c r="B137" s="26" t="n">
        <x:v>45423.84788194444</x:v>
      </x:c>
      <x:c r="C137" s="27" t="n">
        <x:f>INT(B137)</x:f>
        <x:v>45423</x:v>
      </x:c>
      <x:c r="D137" s="28" t="n">
        <x:f>MOD(B137,1)</x:f>
        <x:v>0.8478819444426335</x:v>
      </x:c>
      <x:c r="E137" s="29" t="n">
        <x:f>YEAR(B137)</x:f>
        <x:v>2024</x:v>
      </x:c>
      <x:c r="F137" s="29" t="n">
        <x:f>MONTH(B137)</x:f>
        <x:v>5</x:v>
      </x:c>
      <x:c r="G137" s="30" t="n">
        <x:v>-27.05</x:v>
      </x:c>
      <x:c r="H137" s="30" t="n">
        <x:v>-70.76</x:v>
      </x:c>
      <x:c r="I137" s="29" t="n">
        <x:v>42</x:v>
      </x:c>
      <x:c r="J137" s="31" t="n">
        <x:v>3.3</x:v>
      </x:c>
      <x:c r="K137" s="25" t="str">
        <x:f>IF(J137&gt;=7,"Muy fuerte (&gt;=7)",IF(J137&gt;=6,"Fuerte (6-6.9)",IF(J137&gt;=5,"Moderado alto (5-5.9)",IF(J137&gt;=4,"Moderado (4-4.9)","Menor a 4"))))</x:f>
        <x:v>Menor a 4</x:v>
      </x:c>
      <x:c r="L137" s="25" t="str">
        <x:f>IF(I137&lt;70,"Superficial (&lt;70 km)",IF(I137&lt;=300,"Intermedio (70-300 km)","Profundo (&gt;300 km)"))</x:f>
        <x:v>Superficial (&lt;70 km)</x:v>
      </x:c>
      <x:c r="M137" s="25" t="str">
        <x:f>IF(J137&gt;=5,"Sí","No")</x:f>
        <x:v>No</x:v>
      </x:c>
      <x:c r="N137" s="25" t="str">
        <x:f>IF(J137&gt;=6,"Sí","No")</x:f>
        <x:v>No</x:v>
      </x:c>
      <x:c r="O137" s="25" t="str">
        <x:v>Pendiente: asignar con R/sf</x:v>
      </x:c>
    </x:row>
    <x:row r="138">
      <x:c r="A138" s="25" t="n">
        <x:v>137</x:v>
      </x:c>
      <x:c r="B138" s="26" t="n">
        <x:v>45195.83070601852</x:v>
      </x:c>
      <x:c r="C138" s="27" t="n">
        <x:f>INT(B138)</x:f>
        <x:v>45195</x:v>
      </x:c>
      <x:c r="D138" s="28" t="n">
        <x:f>MOD(B138,1)</x:f>
        <x:v>0.830706018517958</x:v>
      </x:c>
      <x:c r="E138" s="29" t="n">
        <x:f>YEAR(B138)</x:f>
        <x:v>2023</x:v>
      </x:c>
      <x:c r="F138" s="29" t="n">
        <x:f>MONTH(B138)</x:f>
        <x:v>9</x:v>
      </x:c>
      <x:c r="G138" s="30" t="n">
        <x:v>-27.55</x:v>
      </x:c>
      <x:c r="H138" s="30" t="n">
        <x:v>-71.17</x:v>
      </x:c>
      <x:c r="I138" s="29" t="n">
        <x:v>55</x:v>
      </x:c>
      <x:c r="J138" s="31" t="n">
        <x:v>4.4</x:v>
      </x:c>
      <x:c r="K138" s="25" t="str">
        <x:f>IF(J138&gt;=7,"Muy fuerte (&gt;=7)",IF(J138&gt;=6,"Fuerte (6-6.9)",IF(J138&gt;=5,"Moderado alto (5-5.9)",IF(J138&gt;=4,"Moderado (4-4.9)","Menor a 4"))))</x:f>
        <x:v>Moderado (4-4.9)</x:v>
      </x:c>
      <x:c r="L138" s="25" t="str">
        <x:f>IF(I138&lt;70,"Superficial (&lt;70 km)",IF(I138&lt;=300,"Intermedio (70-300 km)","Profundo (&gt;300 km)"))</x:f>
        <x:v>Superficial (&lt;70 km)</x:v>
      </x:c>
      <x:c r="M138" s="25" t="str">
        <x:f>IF(J138&gt;=5,"Sí","No")</x:f>
        <x:v>No</x:v>
      </x:c>
      <x:c r="N138" s="25" t="str">
        <x:f>IF(J138&gt;=6,"Sí","No")</x:f>
        <x:v>No</x:v>
      </x:c>
      <x:c r="O138" s="25" t="str">
        <x:v>Pendiente: asignar con R/sf</x:v>
      </x:c>
    </x:row>
    <x:row r="139">
      <x:c r="A139" s="25" t="n">
        <x:v>138</x:v>
      </x:c>
      <x:c r="B139" s="26" t="n">
        <x:v>45038.389444444445</x:v>
      </x:c>
      <x:c r="C139" s="27" t="n">
        <x:f>INT(B139)</x:f>
        <x:v>45038</x:v>
      </x:c>
      <x:c r="D139" s="28" t="n">
        <x:f>MOD(B139,1)</x:f>
        <x:v>0.38944444444496185</x:v>
      </x:c>
      <x:c r="E139" s="29" t="n">
        <x:f>YEAR(B139)</x:f>
        <x:v>2023</x:v>
      </x:c>
      <x:c r="F139" s="29" t="n">
        <x:f>MONTH(B139)</x:f>
        <x:v>4</x:v>
      </x:c>
      <x:c r="G139" s="30" t="n">
        <x:v>-28.68</x:v>
      </x:c>
      <x:c r="H139" s="30" t="n">
        <x:v>-71</x:v>
      </x:c>
      <x:c r="I139" s="29" t="n">
        <x:v>59</x:v>
      </x:c>
      <x:c r="J139" s="31" t="n">
        <x:v>3.6</x:v>
      </x:c>
      <x:c r="K139" s="25" t="str">
        <x:f>IF(J139&gt;=7,"Muy fuerte (&gt;=7)",IF(J139&gt;=6,"Fuerte (6-6.9)",IF(J139&gt;=5,"Moderado alto (5-5.9)",IF(J139&gt;=4,"Moderado (4-4.9)","Menor a 4"))))</x:f>
        <x:v>Menor a 4</x:v>
      </x:c>
      <x:c r="L139" s="25" t="str">
        <x:f>IF(I139&lt;70,"Superficial (&lt;70 km)",IF(I139&lt;=300,"Intermedio (70-300 km)","Profundo (&gt;300 km)"))</x:f>
        <x:v>Superficial (&lt;70 km)</x:v>
      </x:c>
      <x:c r="M139" s="25" t="str">
        <x:f>IF(J139&gt;=5,"Sí","No")</x:f>
        <x:v>No</x:v>
      </x:c>
      <x:c r="N139" s="25" t="str">
        <x:f>IF(J139&gt;=6,"Sí","No")</x:f>
        <x:v>No</x:v>
      </x:c>
      <x:c r="O139" s="25" t="str">
        <x:v>Pendiente: asignar con R/sf</x:v>
      </x:c>
    </x:row>
    <x:row r="140">
      <x:c r="A140" s="25" t="n">
        <x:v>139</x:v>
      </x:c>
      <x:c r="B140" s="26" t="n">
        <x:v>44591.446018518516</x:v>
      </x:c>
      <x:c r="C140" s="27" t="n">
        <x:f>INT(B140)</x:f>
        <x:v>44591</x:v>
      </x:c>
      <x:c r="D140" s="28" t="n">
        <x:f>MOD(B140,1)</x:f>
        <x:v>0.44601851851621177</x:v>
      </x:c>
      <x:c r="E140" s="29" t="n">
        <x:f>YEAR(B140)</x:f>
        <x:v>2022</x:v>
      </x:c>
      <x:c r="F140" s="29" t="n">
        <x:f>MONTH(B140)</x:f>
        <x:v>1</x:v>
      </x:c>
      <x:c r="G140" s="30" t="n">
        <x:v>-25.98</x:v>
      </x:c>
      <x:c r="H140" s="30" t="n">
        <x:v>-69.94</x:v>
      </x:c>
      <x:c r="I140" s="29" t="n">
        <x:v>80</x:v>
      </x:c>
      <x:c r="J140" s="31" t="n">
        <x:v>4.2</x:v>
      </x:c>
      <x:c r="K140" s="25" t="str">
        <x:f>IF(J140&gt;=7,"Muy fuerte (&gt;=7)",IF(J140&gt;=6,"Fuerte (6-6.9)",IF(J140&gt;=5,"Moderado alto (5-5.9)",IF(J140&gt;=4,"Moderado (4-4.9)","Menor a 4"))))</x:f>
        <x:v>Moderado (4-4.9)</x:v>
      </x:c>
      <x:c r="L140" s="25" t="str">
        <x:f>IF(I140&lt;70,"Superficial (&lt;70 km)",IF(I140&lt;=300,"Intermedio (70-300 km)","Profundo (&gt;300 km)"))</x:f>
        <x:v>Intermedio (70-300 km)</x:v>
      </x:c>
      <x:c r="M140" s="25" t="str">
        <x:f>IF(J140&gt;=5,"Sí","No")</x:f>
        <x:v>No</x:v>
      </x:c>
      <x:c r="N140" s="25" t="str">
        <x:f>IF(J140&gt;=6,"Sí","No")</x:f>
        <x:v>No</x:v>
      </x:c>
      <x:c r="O140" s="25" t="str">
        <x:v>Pendiente: asignar con R/sf</x:v>
      </x:c>
    </x:row>
    <x:row r="141">
      <x:c r="A141" s="25" t="n">
        <x:v>140</x:v>
      </x:c>
      <x:c r="B141" s="26" t="n">
        <x:v>44938.390497685185</x:v>
      </x:c>
      <x:c r="C141" s="27" t="n">
        <x:f>INT(B141)</x:f>
        <x:v>44938</x:v>
      </x:c>
      <x:c r="D141" s="28" t="n">
        <x:f>MOD(B141,1)</x:f>
        <x:v>0.39049768518452765</x:v>
      </x:c>
      <x:c r="E141" s="29" t="n">
        <x:f>YEAR(B141)</x:f>
        <x:v>2023</x:v>
      </x:c>
      <x:c r="F141" s="29" t="n">
        <x:f>MONTH(B141)</x:f>
        <x:v>1</x:v>
      </x:c>
      <x:c r="G141" s="30" t="n">
        <x:v>-29</x:v>
      </x:c>
      <x:c r="H141" s="30" t="n">
        <x:v>-71.25</x:v>
      </x:c>
      <x:c r="I141" s="29" t="n">
        <x:v>54</x:v>
      </x:c>
      <x:c r="J141" s="31" t="n">
        <x:v>3.6</x:v>
      </x:c>
      <x:c r="K141" s="25" t="str">
        <x:f>IF(J141&gt;=7,"Muy fuerte (&gt;=7)",IF(J141&gt;=6,"Fuerte (6-6.9)",IF(J141&gt;=5,"Moderado alto (5-5.9)",IF(J141&gt;=4,"Moderado (4-4.9)","Menor a 4"))))</x:f>
        <x:v>Menor a 4</x:v>
      </x:c>
      <x:c r="L141" s="25" t="str">
        <x:f>IF(I141&lt;70,"Superficial (&lt;70 km)",IF(I141&lt;=300,"Intermedio (70-300 km)","Profundo (&gt;300 km)"))</x:f>
        <x:v>Superficial (&lt;70 km)</x:v>
      </x:c>
      <x:c r="M141" s="25" t="str">
        <x:f>IF(J141&gt;=5,"Sí","No")</x:f>
        <x:v>No</x:v>
      </x:c>
      <x:c r="N141" s="25" t="str">
        <x:f>IF(J141&gt;=6,"Sí","No")</x:f>
        <x:v>No</x:v>
      </x:c>
      <x:c r="O141" s="25" t="str">
        <x:v>Pendiente: asignar con R/sf</x:v>
      </x:c>
    </x:row>
    <x:row r="142">
      <x:c r="A142" s="25" t="n">
        <x:v>141</x:v>
      </x:c>
      <x:c r="B142" s="26" t="n">
        <x:v>44550.060115740744</x:v>
      </x:c>
      <x:c r="C142" s="27" t="n">
        <x:f>INT(B142)</x:f>
        <x:v>44550</x:v>
      </x:c>
      <x:c r="D142" s="28" t="n">
        <x:f>MOD(B142,1)</x:f>
        <x:v>0.060115740743640345</x:v>
      </x:c>
      <x:c r="E142" s="29" t="n">
        <x:f>YEAR(B142)</x:f>
        <x:v>2021</x:v>
      </x:c>
      <x:c r="F142" s="29" t="n">
        <x:f>MONTH(B142)</x:f>
        <x:v>12</x:v>
      </x:c>
      <x:c r="G142" s="30" t="n">
        <x:v>-28.97</x:v>
      </x:c>
      <x:c r="H142" s="30" t="n">
        <x:v>-70.63</x:v>
      </x:c>
      <x:c r="I142" s="29" t="n">
        <x:v>108</x:v>
      </x:c>
      <x:c r="J142" s="31" t="n">
        <x:v>4.2</x:v>
      </x:c>
      <x:c r="K142" s="25" t="str">
        <x:f>IF(J142&gt;=7,"Muy fuerte (&gt;=7)",IF(J142&gt;=6,"Fuerte (6-6.9)",IF(J142&gt;=5,"Moderado alto (5-5.9)",IF(J142&gt;=4,"Moderado (4-4.9)","Menor a 4"))))</x:f>
        <x:v>Moderado (4-4.9)</x:v>
      </x:c>
      <x:c r="L142" s="25" t="str">
        <x:f>IF(I142&lt;70,"Superficial (&lt;70 km)",IF(I142&lt;=300,"Intermedio (70-300 km)","Profundo (&gt;300 km)"))</x:f>
        <x:v>Intermedio (70-300 km)</x:v>
      </x:c>
      <x:c r="M142" s="25" t="str">
        <x:f>IF(J142&gt;=5,"Sí","No")</x:f>
        <x:v>No</x:v>
      </x:c>
      <x:c r="N142" s="25" t="str">
        <x:f>IF(J142&gt;=6,"Sí","No")</x:f>
        <x:v>No</x:v>
      </x:c>
      <x:c r="O142" s="25" t="str">
        <x:v>Pendiente: asignar con R/sf</x:v>
      </x:c>
    </x:row>
    <x:row r="143">
      <x:c r="A143" s="25" t="n">
        <x:v>142</x:v>
      </x:c>
      <x:c r="B143" s="26" t="n">
        <x:v>43062.537152777775</x:v>
      </x:c>
      <x:c r="C143" s="27" t="n">
        <x:f>INT(B143)</x:f>
        <x:v>43062</x:v>
      </x:c>
      <x:c r="D143" s="28" t="n">
        <x:f>MOD(B143,1)</x:f>
        <x:v>0.5371527777751908</x:v>
      </x:c>
      <x:c r="E143" s="29" t="n">
        <x:f>YEAR(B143)</x:f>
        <x:v>2017</x:v>
      </x:c>
      <x:c r="F143" s="29" t="n">
        <x:f>MONTH(B143)</x:f>
        <x:v>11</x:v>
      </x:c>
      <x:c r="G143" s="30" t="n">
        <x:v>-29.92</x:v>
      </x:c>
      <x:c r="H143" s="30" t="n">
        <x:v>-71.37</x:v>
      </x:c>
      <x:c r="I143" s="29" t="n">
        <x:v>44</x:v>
      </x:c>
      <x:c r="J143" s="31" t="n">
        <x:v>3.5</x:v>
      </x:c>
      <x:c r="K143" s="25" t="str">
        <x:f>IF(J143&gt;=7,"Muy fuerte (&gt;=7)",IF(J143&gt;=6,"Fuerte (6-6.9)",IF(J143&gt;=5,"Moderado alto (5-5.9)",IF(J143&gt;=4,"Moderado (4-4.9)","Menor a 4"))))</x:f>
        <x:v>Menor a 4</x:v>
      </x:c>
      <x:c r="L143" s="25" t="str">
        <x:f>IF(I143&lt;70,"Superficial (&lt;70 km)",IF(I143&lt;=300,"Intermedio (70-300 km)","Profundo (&gt;300 km)"))</x:f>
        <x:v>Superficial (&lt;70 km)</x:v>
      </x:c>
      <x:c r="M143" s="25" t="str">
        <x:f>IF(J143&gt;=5,"Sí","No")</x:f>
        <x:v>No</x:v>
      </x:c>
      <x:c r="N143" s="25" t="str">
        <x:f>IF(J143&gt;=6,"Sí","No")</x:f>
        <x:v>No</x:v>
      </x:c>
      <x:c r="O143" s="25" t="str">
        <x:v>Pendiente: asignar con R/sf</x:v>
      </x:c>
    </x:row>
    <x:row r="144">
      <x:c r="A144" s="25" t="n">
        <x:v>143</x:v>
      </x:c>
      <x:c r="B144" s="26" t="n">
        <x:v>43155.940416666665</x:v>
      </x:c>
      <x:c r="C144" s="27" t="n">
        <x:f>INT(B144)</x:f>
        <x:v>43155</x:v>
      </x:c>
      <x:c r="D144" s="28" t="n">
        <x:f>MOD(B144,1)</x:f>
        <x:v>0.9404166666645324</x:v>
      </x:c>
      <x:c r="E144" s="29" t="n">
        <x:f>YEAR(B144)</x:f>
        <x:v>2018</x:v>
      </x:c>
      <x:c r="F144" s="29" t="n">
        <x:f>MONTH(B144)</x:f>
        <x:v>2</x:v>
      </x:c>
      <x:c r="G144" s="30" t="n">
        <x:v>-29.76</x:v>
      </x:c>
      <x:c r="H144" s="30" t="n">
        <x:v>-71.54</x:v>
      </x:c>
      <x:c r="I144" s="29" t="n">
        <x:v>45</x:v>
      </x:c>
      <x:c r="J144" s="31" t="n">
        <x:v>3.7</x:v>
      </x:c>
      <x:c r="K144" s="25" t="str">
        <x:f>IF(J144&gt;=7,"Muy fuerte (&gt;=7)",IF(J144&gt;=6,"Fuerte (6-6.9)",IF(J144&gt;=5,"Moderado alto (5-5.9)",IF(J144&gt;=4,"Moderado (4-4.9)","Menor a 4"))))</x:f>
        <x:v>Menor a 4</x:v>
      </x:c>
      <x:c r="L144" s="25" t="str">
        <x:f>IF(I144&lt;70,"Superficial (&lt;70 km)",IF(I144&lt;=300,"Intermedio (70-300 km)","Profundo (&gt;300 km)"))</x:f>
        <x:v>Superficial (&lt;70 km)</x:v>
      </x:c>
      <x:c r="M144" s="25" t="str">
        <x:f>IF(J144&gt;=5,"Sí","No")</x:f>
        <x:v>No</x:v>
      </x:c>
      <x:c r="N144" s="25" t="str">
        <x:f>IF(J144&gt;=6,"Sí","No")</x:f>
        <x:v>No</x:v>
      </x:c>
      <x:c r="O144" s="25" t="str">
        <x:v>Pendiente: asignar con R/sf</x:v>
      </x:c>
    </x:row>
    <x:row r="145">
      <x:c r="A145" s="25" t="n">
        <x:v>144</x:v>
      </x:c>
      <x:c r="B145" s="26" t="n">
        <x:v>44982.29537037037</x:v>
      </x:c>
      <x:c r="C145" s="27" t="n">
        <x:f>INT(B145)</x:f>
        <x:v>44982</x:v>
      </x:c>
      <x:c r="D145" s="28" t="n">
        <x:f>MOD(B145,1)</x:f>
        <x:v>0.29537037036789116</x:v>
      </x:c>
      <x:c r="E145" s="29" t="n">
        <x:f>YEAR(B145)</x:f>
        <x:v>2023</x:v>
      </x:c>
      <x:c r="F145" s="29" t="n">
        <x:f>MONTH(B145)</x:f>
        <x:v>2</x:v>
      </x:c>
      <x:c r="G145" s="30" t="n">
        <x:v>-21.61</x:v>
      </x:c>
      <x:c r="H145" s="30" t="n">
        <x:v>-70.25</x:v>
      </x:c>
      <x:c r="I145" s="29" t="n">
        <x:v>35</x:v>
      </x:c>
      <x:c r="J145" s="31" t="n">
        <x:v>4.2</x:v>
      </x:c>
      <x:c r="K145" s="25" t="str">
        <x:f>IF(J145&gt;=7,"Muy fuerte (&gt;=7)",IF(J145&gt;=6,"Fuerte (6-6.9)",IF(J145&gt;=5,"Moderado alto (5-5.9)",IF(J145&gt;=4,"Moderado (4-4.9)","Menor a 4"))))</x:f>
        <x:v>Moderado (4-4.9)</x:v>
      </x:c>
      <x:c r="L145" s="25" t="str">
        <x:f>IF(I145&lt;70,"Superficial (&lt;70 km)",IF(I145&lt;=300,"Intermedio (70-300 km)","Profundo (&gt;300 km)"))</x:f>
        <x:v>Superficial (&lt;70 km)</x:v>
      </x:c>
      <x:c r="M145" s="25" t="str">
        <x:f>IF(J145&gt;=5,"Sí","No")</x:f>
        <x:v>No</x:v>
      </x:c>
      <x:c r="N145" s="25" t="str">
        <x:f>IF(J145&gt;=6,"Sí","No")</x:f>
        <x:v>No</x:v>
      </x:c>
      <x:c r="O145" s="25" t="str">
        <x:v>Pendiente: asignar con R/sf</x:v>
      </x:c>
    </x:row>
    <x:row r="146">
      <x:c r="A146" s="25" t="n">
        <x:v>145</x:v>
      </x:c>
      <x:c r="B146" s="26" t="n">
        <x:v>45350.19909722222</x:v>
      </x:c>
      <x:c r="C146" s="27" t="n">
        <x:f>INT(B146)</x:f>
        <x:v>45350</x:v>
      </x:c>
      <x:c r="D146" s="28" t="n">
        <x:f>MOD(B146,1)</x:f>
        <x:v>0.1990972222192795</x:v>
      </x:c>
      <x:c r="E146" s="29" t="n">
        <x:f>YEAR(B146)</x:f>
        <x:v>2024</x:v>
      </x:c>
      <x:c r="F146" s="29" t="n">
        <x:f>MONTH(B146)</x:f>
        <x:v>2</x:v>
      </x:c>
      <x:c r="G146" s="30" t="n">
        <x:v>-21.99</x:v>
      </x:c>
      <x:c r="H146" s="30" t="n">
        <x:v>-69.23</x:v>
      </x:c>
      <x:c r="I146" s="29" t="n">
        <x:v>85</x:v>
      </x:c>
      <x:c r="J146" s="31" t="n">
        <x:v>4.7</x:v>
      </x:c>
      <x:c r="K146" s="25" t="str">
        <x:f>IF(J146&gt;=7,"Muy fuerte (&gt;=7)",IF(J146&gt;=6,"Fuerte (6-6.9)",IF(J146&gt;=5,"Moderado alto (5-5.9)",IF(J146&gt;=4,"Moderado (4-4.9)","Menor a 4"))))</x:f>
        <x:v>Moderado (4-4.9)</x:v>
      </x:c>
      <x:c r="L146" s="25" t="str">
        <x:f>IF(I146&lt;70,"Superficial (&lt;70 km)",IF(I146&lt;=300,"Intermedio (70-300 km)","Profundo (&gt;300 km)"))</x:f>
        <x:v>Intermedio (70-300 km)</x:v>
      </x:c>
      <x:c r="M146" s="25" t="str">
        <x:f>IF(J146&gt;=5,"Sí","No")</x:f>
        <x:v>No</x:v>
      </x:c>
      <x:c r="N146" s="25" t="str">
        <x:f>IF(J146&gt;=6,"Sí","No")</x:f>
        <x:v>No</x:v>
      </x:c>
      <x:c r="O146" s="25" t="str">
        <x:v>Pendiente: asignar con R/sf</x:v>
      </x:c>
    </x:row>
    <x:row r="147">
      <x:c r="A147" s="25" t="n">
        <x:v>146</x:v>
      </x:c>
      <x:c r="B147" s="26" t="n">
        <x:v>45400.86733796296</x:v>
      </x:c>
      <x:c r="C147" s="27" t="n">
        <x:f>INT(B147)</x:f>
        <x:v>45400</x:v>
      </x:c>
      <x:c r="D147" s="28" t="n">
        <x:f>MOD(B147,1)</x:f>
        <x:v>0.8673379629617557</x:v>
      </x:c>
      <x:c r="E147" s="29" t="n">
        <x:f>YEAR(B147)</x:f>
        <x:v>2024</x:v>
      </x:c>
      <x:c r="F147" s="29" t="n">
        <x:f>MONTH(B147)</x:f>
        <x:v>4</x:v>
      </x:c>
      <x:c r="G147" s="30" t="n">
        <x:v>-21.32</x:v>
      </x:c>
      <x:c r="H147" s="30" t="n">
        <x:v>-70.28</x:v>
      </x:c>
      <x:c r="I147" s="29" t="n">
        <x:v>36</x:v>
      </x:c>
      <x:c r="J147" s="31" t="n">
        <x:v>4.5</x:v>
      </x:c>
      <x:c r="K147" s="25" t="str">
        <x:f>IF(J147&gt;=7,"Muy fuerte (&gt;=7)",IF(J147&gt;=6,"Fuerte (6-6.9)",IF(J147&gt;=5,"Moderado alto (5-5.9)",IF(J147&gt;=4,"Moderado (4-4.9)","Menor a 4"))))</x:f>
        <x:v>Moderado (4-4.9)</x:v>
      </x:c>
      <x:c r="L147" s="25" t="str">
        <x:f>IF(I147&lt;70,"Superficial (&lt;70 km)",IF(I147&lt;=300,"Intermedio (70-300 km)","Profundo (&gt;300 km)"))</x:f>
        <x:v>Superficial (&lt;70 km)</x:v>
      </x:c>
      <x:c r="M147" s="25" t="str">
        <x:f>IF(J147&gt;=5,"Sí","No")</x:f>
        <x:v>No</x:v>
      </x:c>
      <x:c r="N147" s="25" t="str">
        <x:f>IF(J147&gt;=6,"Sí","No")</x:f>
        <x:v>No</x:v>
      </x:c>
      <x:c r="O147" s="25" t="str">
        <x:v>Pendiente: asignar con R/sf</x:v>
      </x:c>
    </x:row>
    <x:row r="148">
      <x:c r="A148" s="25" t="n">
        <x:v>147</x:v>
      </x:c>
      <x:c r="B148" s="26" t="n">
        <x:v>45367.8028125</x:v>
      </x:c>
      <x:c r="C148" s="27" t="n">
        <x:f>INT(B148)</x:f>
        <x:v>45367</x:v>
      </x:c>
      <x:c r="D148" s="28" t="n">
        <x:f>MOD(B148,1)</x:f>
        <x:v>0.8028124999982538</x:v>
      </x:c>
      <x:c r="E148" s="29" t="n">
        <x:f>YEAR(B148)</x:f>
        <x:v>2024</x:v>
      </x:c>
      <x:c r="F148" s="29" t="n">
        <x:f>MONTH(B148)</x:f>
        <x:v>3</x:v>
      </x:c>
      <x:c r="G148" s="30" t="n">
        <x:v>-21.4</x:v>
      </x:c>
      <x:c r="H148" s="30" t="n">
        <x:v>-69.84</x:v>
      </x:c>
      <x:c r="I148" s="29" t="n">
        <x:v>42</x:v>
      </x:c>
      <x:c r="J148" s="31" t="n">
        <x:v>3.8</x:v>
      </x:c>
      <x:c r="K148" s="25" t="str">
        <x:f>IF(J148&gt;=7,"Muy fuerte (&gt;=7)",IF(J148&gt;=6,"Fuerte (6-6.9)",IF(J148&gt;=5,"Moderado alto (5-5.9)",IF(J148&gt;=4,"Moderado (4-4.9)","Menor a 4"))))</x:f>
        <x:v>Menor a 4</x:v>
      </x:c>
      <x:c r="L148" s="25" t="str">
        <x:f>IF(I148&lt;70,"Superficial (&lt;70 km)",IF(I148&lt;=300,"Intermedio (70-300 km)","Profundo (&gt;300 km)"))</x:f>
        <x:v>Superficial (&lt;70 km)</x:v>
      </x:c>
      <x:c r="M148" s="25" t="str">
        <x:f>IF(J148&gt;=5,"Sí","No")</x:f>
        <x:v>No</x:v>
      </x:c>
      <x:c r="N148" s="25" t="str">
        <x:f>IF(J148&gt;=6,"Sí","No")</x:f>
        <x:v>No</x:v>
      </x:c>
      <x:c r="O148" s="25" t="str">
        <x:v>Pendiente: asignar con R/sf</x:v>
      </x:c>
    </x:row>
    <x:row r="149">
      <x:c r="A149" s="25" t="n">
        <x:v>148</x:v>
      </x:c>
      <x:c r="B149" s="26" t="n">
        <x:v>45392.04636574074</x:v>
      </x:c>
      <x:c r="C149" s="27" t="n">
        <x:f>INT(B149)</x:f>
        <x:v>45392</x:v>
      </x:c>
      <x:c r="D149" s="28" t="n">
        <x:f>MOD(B149,1)</x:f>
        <x:v>0.04636574073811062</x:v>
      </x:c>
      <x:c r="E149" s="29" t="n">
        <x:f>YEAR(B149)</x:f>
        <x:v>2024</x:v>
      </x:c>
      <x:c r="F149" s="29" t="n">
        <x:f>MONTH(B149)</x:f>
        <x:v>4</x:v>
      </x:c>
      <x:c r="G149" s="30" t="n">
        <x:v>-21.27</x:v>
      </x:c>
      <x:c r="H149" s="30" t="n">
        <x:v>-69.95</x:v>
      </x:c>
      <x:c r="I149" s="29" t="n">
        <x:v>50</x:v>
      </x:c>
      <x:c r="J149" s="31" t="n">
        <x:v>4.5</x:v>
      </x:c>
      <x:c r="K149" s="25" t="str">
        <x:f>IF(J149&gt;=7,"Muy fuerte (&gt;=7)",IF(J149&gt;=6,"Fuerte (6-6.9)",IF(J149&gt;=5,"Moderado alto (5-5.9)",IF(J149&gt;=4,"Moderado (4-4.9)","Menor a 4"))))</x:f>
        <x:v>Moderado (4-4.9)</x:v>
      </x:c>
      <x:c r="L149" s="25" t="str">
        <x:f>IF(I149&lt;70,"Superficial (&lt;70 km)",IF(I149&lt;=300,"Intermedio (70-300 km)","Profundo (&gt;300 km)"))</x:f>
        <x:v>Superficial (&lt;70 km)</x:v>
      </x:c>
      <x:c r="M149" s="25" t="str">
        <x:f>IF(J149&gt;=5,"Sí","No")</x:f>
        <x:v>No</x:v>
      </x:c>
      <x:c r="N149" s="25" t="str">
        <x:f>IF(J149&gt;=6,"Sí","No")</x:f>
        <x:v>No</x:v>
      </x:c>
      <x:c r="O149" s="25" t="str">
        <x:v>Pendiente: asignar con R/sf</x:v>
      </x:c>
    </x:row>
    <x:row r="150">
      <x:c r="A150" s="25" t="n">
        <x:v>149</x:v>
      </x:c>
      <x:c r="B150" s="26" t="n">
        <x:v>45515.681435185186</x:v>
      </x:c>
      <x:c r="C150" s="27" t="n">
        <x:f>INT(B150)</x:f>
        <x:v>45515</x:v>
      </x:c>
      <x:c r="D150" s="28" t="n">
        <x:f>MOD(B150,1)</x:f>
        <x:v>0.6814351851862739</x:v>
      </x:c>
      <x:c r="E150" s="29" t="n">
        <x:f>YEAR(B150)</x:f>
        <x:v>2024</x:v>
      </x:c>
      <x:c r="F150" s="29" t="n">
        <x:f>MONTH(B150)</x:f>
        <x:v>8</x:v>
      </x:c>
      <x:c r="G150" s="30" t="n">
        <x:v>-30.77</x:v>
      </x:c>
      <x:c r="H150" s="30" t="n">
        <x:v>-71.52</x:v>
      </x:c>
      <x:c r="I150" s="29" t="n">
        <x:v>70</x:v>
      </x:c>
      <x:c r="J150" s="31" t="n">
        <x:v>5.1</x:v>
      </x:c>
      <x:c r="K150" s="25" t="str">
        <x:f>IF(J150&gt;=7,"Muy fuerte (&gt;=7)",IF(J150&gt;=6,"Fuerte (6-6.9)",IF(J150&gt;=5,"Moderado alto (5-5.9)",IF(J150&gt;=4,"Moderado (4-4.9)","Menor a 4"))))</x:f>
        <x:v>Moderado alto (5-5.9)</x:v>
      </x:c>
      <x:c r="L150" s="25" t="str">
        <x:f>IF(I150&lt;70,"Superficial (&lt;70 km)",IF(I150&lt;=300,"Intermedio (70-300 km)","Profundo (&gt;300 km)"))</x:f>
        <x:v>Intermedio (70-300 km)</x:v>
      </x:c>
      <x:c r="M150" s="25" t="str">
        <x:f>IF(J150&gt;=5,"Sí","No")</x:f>
        <x:v>Sí</x:v>
      </x:c>
      <x:c r="N150" s="25" t="str">
        <x:f>IF(J150&gt;=6,"Sí","No")</x:f>
        <x:v>No</x:v>
      </x:c>
      <x:c r="O150" s="25" t="str">
        <x:v>Pendiente: asignar con R/sf</x:v>
      </x:c>
    </x:row>
    <x:row r="151">
      <x:c r="A151" s="25" t="n">
        <x:v>150</x:v>
      </x:c>
      <x:c r="B151" s="26" t="n">
        <x:v>45530.26467592592</x:v>
      </x:c>
      <x:c r="C151" s="27" t="n">
        <x:f>INT(B151)</x:f>
        <x:v>45530</x:v>
      </x:c>
      <x:c r="D151" s="28" t="n">
        <x:f>MOD(B151,1)</x:f>
        <x:v>0.26467592592234723</x:v>
      </x:c>
      <x:c r="E151" s="29" t="n">
        <x:f>YEAR(B151)</x:f>
        <x:v>2024</x:v>
      </x:c>
      <x:c r="F151" s="29" t="n">
        <x:f>MONTH(B151)</x:f>
        <x:v>8</x:v>
      </x:c>
      <x:c r="G151" s="30" t="n">
        <x:v>-32.24</x:v>
      </x:c>
      <x:c r="H151" s="30" t="n">
        <x:v>-71.5</x:v>
      </x:c>
      <x:c r="I151" s="29" t="n">
        <x:v>76</x:v>
      </x:c>
      <x:c r="J151" s="31" t="n">
        <x:v>5</x:v>
      </x:c>
      <x:c r="K151" s="25" t="str">
        <x:f>IF(J151&gt;=7,"Muy fuerte (&gt;=7)",IF(J151&gt;=6,"Fuerte (6-6.9)",IF(J151&gt;=5,"Moderado alto (5-5.9)",IF(J151&gt;=4,"Moderado (4-4.9)","Menor a 4"))))</x:f>
        <x:v>Moderado alto (5-5.9)</x:v>
      </x:c>
      <x:c r="L151" s="25" t="str">
        <x:f>IF(I151&lt;70,"Superficial (&lt;70 km)",IF(I151&lt;=300,"Intermedio (70-300 km)","Profundo (&gt;300 km)"))</x:f>
        <x:v>Intermedio (70-300 km)</x:v>
      </x:c>
      <x:c r="M151" s="25" t="str">
        <x:f>IF(J151&gt;=5,"Sí","No")</x:f>
        <x:v>Sí</x:v>
      </x:c>
      <x:c r="N151" s="25" t="str">
        <x:f>IF(J151&gt;=6,"Sí","No")</x:f>
        <x:v>No</x:v>
      </x:c>
      <x:c r="O151" s="25" t="str">
        <x:v>Pendiente: asignar con R/sf</x:v>
      </x:c>
    </x:row>
    <x:row r="152">
      <x:c r="A152" s="25" t="n">
        <x:v>151</x:v>
      </x:c>
      <x:c r="B152" s="26" t="n">
        <x:v>45535.54498842593</x:v>
      </x:c>
      <x:c r="C152" s="27" t="n">
        <x:f>INT(B152)</x:f>
        <x:v>45535</x:v>
      </x:c>
      <x:c r="D152" s="28" t="n">
        <x:f>MOD(B152,1)</x:f>
        <x:v>0.5449884259287501</x:v>
      </x:c>
      <x:c r="E152" s="29" t="n">
        <x:f>YEAR(B152)</x:f>
        <x:v>2024</x:v>
      </x:c>
      <x:c r="F152" s="29" t="n">
        <x:f>MONTH(B152)</x:f>
        <x:v>8</x:v>
      </x:c>
      <x:c r="G152" s="30" t="n">
        <x:v>-29.84</x:v>
      </x:c>
      <x:c r="H152" s="30" t="n">
        <x:v>-71.69</x:v>
      </x:c>
      <x:c r="I152" s="29" t="n">
        <x:v>32</x:v>
      </x:c>
      <x:c r="J152" s="31" t="n">
        <x:v>5.1</x:v>
      </x:c>
      <x:c r="K152" s="25" t="str">
        <x:f>IF(J152&gt;=7,"Muy fuerte (&gt;=7)",IF(J152&gt;=6,"Fuerte (6-6.9)",IF(J152&gt;=5,"Moderado alto (5-5.9)",IF(J152&gt;=4,"Moderado (4-4.9)","Menor a 4"))))</x:f>
        <x:v>Moderado alto (5-5.9)</x:v>
      </x:c>
      <x:c r="L152" s="25" t="str">
        <x:f>IF(I152&lt;70,"Superficial (&lt;70 km)",IF(I152&lt;=300,"Intermedio (70-300 km)","Profundo (&gt;300 km)"))</x:f>
        <x:v>Superficial (&lt;70 km)</x:v>
      </x:c>
      <x:c r="M152" s="25" t="str">
        <x:f>IF(J152&gt;=5,"Sí","No")</x:f>
        <x:v>Sí</x:v>
      </x:c>
      <x:c r="N152" s="25" t="str">
        <x:f>IF(J152&gt;=6,"Sí","No")</x:f>
        <x:v>No</x:v>
      </x:c>
      <x:c r="O152" s="25" t="str">
        <x:v>Pendiente: asignar con R/sf</x:v>
      </x:c>
    </x:row>
    <x:row r="153">
      <x:c r="A153" s="25" t="n">
        <x:v>152</x:v>
      </x:c>
      <x:c r="B153" s="26" t="n">
        <x:v>44794.7055787037</x:v>
      </x:c>
      <x:c r="C153" s="27" t="n">
        <x:f>INT(B153)</x:f>
        <x:v>44794</x:v>
      </x:c>
      <x:c r="D153" s="28" t="n">
        <x:f>MOD(B153,1)</x:f>
        <x:v>0.7055787037024857</x:v>
      </x:c>
      <x:c r="E153" s="29" t="n">
        <x:f>YEAR(B153)</x:f>
        <x:v>2022</x:v>
      </x:c>
      <x:c r="F153" s="29" t="n">
        <x:f>MONTH(B153)</x:f>
        <x:v>8</x:v>
      </x:c>
      <x:c r="G153" s="30" t="n">
        <x:v>-19.16</x:v>
      </x:c>
      <x:c r="H153" s="30" t="n">
        <x:v>-69.46</x:v>
      </x:c>
      <x:c r="I153" s="29" t="n">
        <x:v>94</x:v>
      </x:c>
      <x:c r="J153" s="31" t="n">
        <x:v>4.2</x:v>
      </x:c>
      <x:c r="K153" s="25" t="str">
        <x:f>IF(J153&gt;=7,"Muy fuerte (&gt;=7)",IF(J153&gt;=6,"Fuerte (6-6.9)",IF(J153&gt;=5,"Moderado alto (5-5.9)",IF(J153&gt;=4,"Moderado (4-4.9)","Menor a 4"))))</x:f>
        <x:v>Moderado (4-4.9)</x:v>
      </x:c>
      <x:c r="L153" s="25" t="str">
        <x:f>IF(I153&lt;70,"Superficial (&lt;70 km)",IF(I153&lt;=300,"Intermedio (70-300 km)","Profundo (&gt;300 km)"))</x:f>
        <x:v>Intermedio (70-300 km)</x:v>
      </x:c>
      <x:c r="M153" s="25" t="str">
        <x:f>IF(J153&gt;=5,"Sí","No")</x:f>
        <x:v>No</x:v>
      </x:c>
      <x:c r="N153" s="25" t="str">
        <x:f>IF(J153&gt;=6,"Sí","No")</x:f>
        <x:v>No</x:v>
      </x:c>
      <x:c r="O153" s="25" t="str">
        <x:v>Pendiente: asignar con R/sf</x:v>
      </x:c>
    </x:row>
    <x:row r="154">
      <x:c r="A154" s="25" t="n">
        <x:v>153</x:v>
      </x:c>
      <x:c r="B154" s="26" t="n">
        <x:v>44809.85695601852</x:v>
      </x:c>
      <x:c r="C154" s="27" t="n">
        <x:f>INT(B154)</x:f>
        <x:v>44809</x:v>
      </x:c>
      <x:c r="D154" s="28" t="n">
        <x:f>MOD(B154,1)</x:f>
        <x:v>0.8569560185205773</x:v>
      </x:c>
      <x:c r="E154" s="29" t="n">
        <x:f>YEAR(B154)</x:f>
        <x:v>2022</x:v>
      </x:c>
      <x:c r="F154" s="29" t="n">
        <x:f>MONTH(B154)</x:f>
        <x:v>9</x:v>
      </x:c>
      <x:c r="G154" s="30" t="n">
        <x:v>-19.57</x:v>
      </x:c>
      <x:c r="H154" s="30" t="n">
        <x:v>-69.3</x:v>
      </x:c>
      <x:c r="I154" s="29" t="n">
        <x:v>105</x:v>
      </x:c>
      <x:c r="J154" s="31" t="n">
        <x:v>3.5</x:v>
      </x:c>
      <x:c r="K154" s="25" t="str">
        <x:f>IF(J154&gt;=7,"Muy fuerte (&gt;=7)",IF(J154&gt;=6,"Fuerte (6-6.9)",IF(J154&gt;=5,"Moderado alto (5-5.9)",IF(J154&gt;=4,"Moderado (4-4.9)","Menor a 4"))))</x:f>
        <x:v>Menor a 4</x:v>
      </x:c>
      <x:c r="L154" s="25" t="str">
        <x:f>IF(I154&lt;70,"Superficial (&lt;70 km)",IF(I154&lt;=300,"Intermedio (70-300 km)","Profundo (&gt;300 km)"))</x:f>
        <x:v>Intermedio (70-300 km)</x:v>
      </x:c>
      <x:c r="M154" s="25" t="str">
        <x:f>IF(J154&gt;=5,"Sí","No")</x:f>
        <x:v>No</x:v>
      </x:c>
      <x:c r="N154" s="25" t="str">
        <x:f>IF(J154&gt;=6,"Sí","No")</x:f>
        <x:v>No</x:v>
      </x:c>
      <x:c r="O154" s="25" t="str">
        <x:v>Pendiente: asignar con R/sf</x:v>
      </x:c>
    </x:row>
    <x:row r="155">
      <x:c r="A155" s="25" t="n">
        <x:v>154</x:v>
      </x:c>
      <x:c r="B155" s="26" t="n">
        <x:v>44829.73201388889</x:v>
      </x:c>
      <x:c r="C155" s="27" t="n">
        <x:f>INT(B155)</x:f>
        <x:v>44829</x:v>
      </x:c>
      <x:c r="D155" s="28" t="n">
        <x:f>MOD(B155,1)</x:f>
        <x:v>0.7320138888899237</x:v>
      </x:c>
      <x:c r="E155" s="29" t="n">
        <x:f>YEAR(B155)</x:f>
        <x:v>2022</x:v>
      </x:c>
      <x:c r="F155" s="29" t="n">
        <x:f>MONTH(B155)</x:f>
        <x:v>9</x:v>
      </x:c>
      <x:c r="G155" s="30" t="n">
        <x:v>-19.48</x:v>
      </x:c>
      <x:c r="H155" s="30" t="n">
        <x:v>-69.36</x:v>
      </x:c>
      <x:c r="I155" s="29" t="n">
        <x:v>105</x:v>
      </x:c>
      <x:c r="J155" s="31" t="n">
        <x:v>3.8</x:v>
      </x:c>
      <x:c r="K155" s="25" t="str">
        <x:f>IF(J155&gt;=7,"Muy fuerte (&gt;=7)",IF(J155&gt;=6,"Fuerte (6-6.9)",IF(J155&gt;=5,"Moderado alto (5-5.9)",IF(J155&gt;=4,"Moderado (4-4.9)","Menor a 4"))))</x:f>
        <x:v>Menor a 4</x:v>
      </x:c>
      <x:c r="L155" s="25" t="str">
        <x:f>IF(I155&lt;70,"Superficial (&lt;70 km)",IF(I155&lt;=300,"Intermedio (70-300 km)","Profundo (&gt;300 km)"))</x:f>
        <x:v>Intermedio (70-300 km)</x:v>
      </x:c>
      <x:c r="M155" s="25" t="str">
        <x:f>IF(J155&gt;=5,"Sí","No")</x:f>
        <x:v>No</x:v>
      </x:c>
      <x:c r="N155" s="25" t="str">
        <x:f>IF(J155&gt;=6,"Sí","No")</x:f>
        <x:v>No</x:v>
      </x:c>
      <x:c r="O155" s="25" t="str">
        <x:v>Pendiente: asignar con R/sf</x:v>
      </x:c>
    </x:row>
    <x:row r="156">
      <x:c r="A156" s="25" t="n">
        <x:v>155</x:v>
      </x:c>
      <x:c r="B156" s="26" t="n">
        <x:v>44831.726122685184</x:v>
      </x:c>
      <x:c r="C156" s="27" t="n">
        <x:f>INT(B156)</x:f>
        <x:v>44831</x:v>
      </x:c>
      <x:c r="D156" s="28" t="n">
        <x:f>MOD(B156,1)</x:f>
        <x:v>0.7261226851842366</x:v>
      </x:c>
      <x:c r="E156" s="29" t="n">
        <x:f>YEAR(B156)</x:f>
        <x:v>2022</x:v>
      </x:c>
      <x:c r="F156" s="29" t="n">
        <x:f>MONTH(B156)</x:f>
        <x:v>9</x:v>
      </x:c>
      <x:c r="G156" s="30" t="n">
        <x:v>-19.48</x:v>
      </x:c>
      <x:c r="H156" s="30" t="n">
        <x:v>-70.05</x:v>
      </x:c>
      <x:c r="I156" s="29" t="n">
        <x:v>66</x:v>
      </x:c>
      <x:c r="J156" s="31" t="n">
        <x:v>4.6</x:v>
      </x:c>
      <x:c r="K156" s="25" t="str">
        <x:f>IF(J156&gt;=7,"Muy fuerte (&gt;=7)",IF(J156&gt;=6,"Fuerte (6-6.9)",IF(J156&gt;=5,"Moderado alto (5-5.9)",IF(J156&gt;=4,"Moderado (4-4.9)","Menor a 4"))))</x:f>
        <x:v>Moderado (4-4.9)</x:v>
      </x:c>
      <x:c r="L156" s="25" t="str">
        <x:f>IF(I156&lt;70,"Superficial (&lt;70 km)",IF(I156&lt;=300,"Intermedio (70-300 km)","Profundo (&gt;300 km)"))</x:f>
        <x:v>Superficial (&lt;70 km)</x:v>
      </x:c>
      <x:c r="M156" s="25" t="str">
        <x:f>IF(J156&gt;=5,"Sí","No")</x:f>
        <x:v>No</x:v>
      </x:c>
      <x:c r="N156" s="25" t="str">
        <x:f>IF(J156&gt;=6,"Sí","No")</x:f>
        <x:v>No</x:v>
      </x:c>
      <x:c r="O156" s="25" t="str">
        <x:v>Pendiente: asignar con R/sf</x:v>
      </x:c>
    </x:row>
    <x:row r="157">
      <x:c r="A157" s="25" t="n">
        <x:v>156</x:v>
      </x:c>
      <x:c r="B157" s="26" t="n">
        <x:v>44836.011400462965</x:v>
      </x:c>
      <x:c r="C157" s="27" t="n">
        <x:f>INT(B157)</x:f>
        <x:v>44836</x:v>
      </x:c>
      <x:c r="D157" s="28" t="n">
        <x:f>MOD(B157,1)</x:f>
        <x:v>0.011400462964957114</x:v>
      </x:c>
      <x:c r="E157" s="29" t="n">
        <x:f>YEAR(B157)</x:f>
        <x:v>2022</x:v>
      </x:c>
      <x:c r="F157" s="29" t="n">
        <x:f>MONTH(B157)</x:f>
        <x:v>10</x:v>
      </x:c>
      <x:c r="G157" s="30" t="n">
        <x:v>-19.68</x:v>
      </x:c>
      <x:c r="H157" s="30" t="n">
        <x:v>-69.54</x:v>
      </x:c>
      <x:c r="I157" s="29" t="n">
        <x:v>88</x:v>
      </x:c>
      <x:c r="J157" s="31" t="n">
        <x:v>3.8</x:v>
      </x:c>
      <x:c r="K157" s="25" t="str">
        <x:f>IF(J157&gt;=7,"Muy fuerte (&gt;=7)",IF(J157&gt;=6,"Fuerte (6-6.9)",IF(J157&gt;=5,"Moderado alto (5-5.9)",IF(J157&gt;=4,"Moderado (4-4.9)","Menor a 4"))))</x:f>
        <x:v>Menor a 4</x:v>
      </x:c>
      <x:c r="L157" s="25" t="str">
        <x:f>IF(I157&lt;70,"Superficial (&lt;70 km)",IF(I157&lt;=300,"Intermedio (70-300 km)","Profundo (&gt;300 km)"))</x:f>
        <x:v>Intermedio (70-300 km)</x:v>
      </x:c>
      <x:c r="M157" s="25" t="str">
        <x:f>IF(J157&gt;=5,"Sí","No")</x:f>
        <x:v>No</x:v>
      </x:c>
      <x:c r="N157" s="25" t="str">
        <x:f>IF(J157&gt;=6,"Sí","No")</x:f>
        <x:v>No</x:v>
      </x:c>
      <x:c r="O157" s="25" t="str">
        <x:v>Pendiente: asignar con R/sf</x:v>
      </x:c>
    </x:row>
    <x:row r="158">
      <x:c r="A158" s="25" t="n">
        <x:v>157</x:v>
      </x:c>
      <x:c r="B158" s="26" t="n">
        <x:v>44839.035219907404</x:v>
      </x:c>
      <x:c r="C158" s="27" t="n">
        <x:f>INT(B158)</x:f>
        <x:v>44839</x:v>
      </x:c>
      <x:c r="D158" s="28" t="n">
        <x:f>MOD(B158,1)</x:f>
        <x:v>0.035219907404098194</x:v>
      </x:c>
      <x:c r="E158" s="29" t="n">
        <x:f>YEAR(B158)</x:f>
        <x:v>2022</x:v>
      </x:c>
      <x:c r="F158" s="29" t="n">
        <x:f>MONTH(B158)</x:f>
        <x:v>10</x:v>
      </x:c>
      <x:c r="G158" s="30" t="n">
        <x:v>-20.32</x:v>
      </x:c>
      <x:c r="H158" s="30" t="n">
        <x:v>-69.3</x:v>
      </x:c>
      <x:c r="I158" s="29" t="n">
        <x:v>90</x:v>
      </x:c>
      <x:c r="J158" s="31" t="n">
        <x:v>4.3</x:v>
      </x:c>
      <x:c r="K158" s="25" t="str">
        <x:f>IF(J158&gt;=7,"Muy fuerte (&gt;=7)",IF(J158&gt;=6,"Fuerte (6-6.9)",IF(J158&gt;=5,"Moderado alto (5-5.9)",IF(J158&gt;=4,"Moderado (4-4.9)","Menor a 4"))))</x:f>
        <x:v>Moderado (4-4.9)</x:v>
      </x:c>
      <x:c r="L158" s="25" t="str">
        <x:f>IF(I158&lt;70,"Superficial (&lt;70 km)",IF(I158&lt;=300,"Intermedio (70-300 km)","Profundo (&gt;300 km)"))</x:f>
        <x:v>Intermedio (70-300 km)</x:v>
      </x:c>
      <x:c r="M158" s="25" t="str">
        <x:f>IF(J158&gt;=5,"Sí","No")</x:f>
        <x:v>No</x:v>
      </x:c>
      <x:c r="N158" s="25" t="str">
        <x:f>IF(J158&gt;=6,"Sí","No")</x:f>
        <x:v>No</x:v>
      </x:c>
      <x:c r="O158" s="25" t="str">
        <x:v>Pendiente: asignar con R/sf</x:v>
      </x:c>
    </x:row>
    <x:row r="159">
      <x:c r="A159" s="25" t="n">
        <x:v>158</x:v>
      </x:c>
      <x:c r="B159" s="26" t="n">
        <x:v>44860.01445601852</x:v>
      </x:c>
      <x:c r="C159" s="27" t="n">
        <x:f>INT(B159)</x:f>
        <x:v>44860</x:v>
      </x:c>
      <x:c r="D159" s="28" t="n">
        <x:f>MOD(B159,1)</x:f>
        <x:v>0.014456018521741498</x:v>
      </x:c>
      <x:c r="E159" s="29" t="n">
        <x:f>YEAR(B159)</x:f>
        <x:v>2022</x:v>
      </x:c>
      <x:c r="F159" s="29" t="n">
        <x:f>MONTH(B159)</x:f>
        <x:v>10</x:v>
      </x:c>
      <x:c r="G159" s="30" t="n">
        <x:v>-19.49</x:v>
      </x:c>
      <x:c r="H159" s="30" t="n">
        <x:v>-69.43</x:v>
      </x:c>
      <x:c r="I159" s="29" t="n">
        <x:v>93</x:v>
      </x:c>
      <x:c r="J159" s="31" t="n">
        <x:v>3.8</x:v>
      </x:c>
      <x:c r="K159" s="25" t="str">
        <x:f>IF(J159&gt;=7,"Muy fuerte (&gt;=7)",IF(J159&gt;=6,"Fuerte (6-6.9)",IF(J159&gt;=5,"Moderado alto (5-5.9)",IF(J159&gt;=4,"Moderado (4-4.9)","Menor a 4"))))</x:f>
        <x:v>Menor a 4</x:v>
      </x:c>
      <x:c r="L159" s="25" t="str">
        <x:f>IF(I159&lt;70,"Superficial (&lt;70 km)",IF(I159&lt;=300,"Intermedio (70-300 km)","Profundo (&gt;300 km)"))</x:f>
        <x:v>Intermedio (70-300 km)</x:v>
      </x:c>
      <x:c r="M159" s="25" t="str">
        <x:f>IF(J159&gt;=5,"Sí","No")</x:f>
        <x:v>No</x:v>
      </x:c>
      <x:c r="N159" s="25" t="str">
        <x:f>IF(J159&gt;=6,"Sí","No")</x:f>
        <x:v>No</x:v>
      </x:c>
      <x:c r="O159" s="25" t="str">
        <x:v>Pendiente: asignar con R/sf</x:v>
      </x:c>
    </x:row>
    <x:row r="160">
      <x:c r="A160" s="25" t="n">
        <x:v>159</x:v>
      </x:c>
      <x:c r="B160" s="26" t="n">
        <x:v>44903.87199074074</x:v>
      </x:c>
      <x:c r="C160" s="27" t="n">
        <x:f>INT(B160)</x:f>
        <x:v>44903</x:v>
      </x:c>
      <x:c r="D160" s="28" t="n">
        <x:f>MOD(B160,1)</x:f>
        <x:v>0.8719907407430583</x:v>
      </x:c>
      <x:c r="E160" s="29" t="n">
        <x:f>YEAR(B160)</x:f>
        <x:v>2022</x:v>
      </x:c>
      <x:c r="F160" s="29" t="n">
        <x:f>MONTH(B160)</x:f>
        <x:v>12</x:v>
      </x:c>
      <x:c r="G160" s="30" t="n">
        <x:v>-19.29</x:v>
      </x:c>
      <x:c r="H160" s="30" t="n">
        <x:v>-69.37</x:v>
      </x:c>
      <x:c r="I160" s="29" t="n">
        <x:v>110</x:v>
      </x:c>
      <x:c r="J160" s="31" t="n">
        <x:v>4.4</x:v>
      </x:c>
      <x:c r="K160" s="25" t="str">
        <x:f>IF(J160&gt;=7,"Muy fuerte (&gt;=7)",IF(J160&gt;=6,"Fuerte (6-6.9)",IF(J160&gt;=5,"Moderado alto (5-5.9)",IF(J160&gt;=4,"Moderado (4-4.9)","Menor a 4"))))</x:f>
        <x:v>Moderado (4-4.9)</x:v>
      </x:c>
      <x:c r="L160" s="25" t="str">
        <x:f>IF(I160&lt;70,"Superficial (&lt;70 km)",IF(I160&lt;=300,"Intermedio (70-300 km)","Profundo (&gt;300 km)"))</x:f>
        <x:v>Intermedio (70-300 km)</x:v>
      </x:c>
      <x:c r="M160" s="25" t="str">
        <x:f>IF(J160&gt;=5,"Sí","No")</x:f>
        <x:v>No</x:v>
      </x:c>
      <x:c r="N160" s="25" t="str">
        <x:f>IF(J160&gt;=6,"Sí","No")</x:f>
        <x:v>No</x:v>
      </x:c>
      <x:c r="O160" s="25" t="str">
        <x:v>Pendiente: asignar con R/sf</x:v>
      </x:c>
    </x:row>
    <x:row r="161">
      <x:c r="A161" s="25" t="n">
        <x:v>160</x:v>
      </x:c>
      <x:c r="B161" s="26" t="n">
        <x:v>44904.785462962966</x:v>
      </x:c>
      <x:c r="C161" s="27" t="n">
        <x:f>INT(B161)</x:f>
        <x:v>44904</x:v>
      </x:c>
      <x:c r="D161" s="28" t="n">
        <x:f>MOD(B161,1)</x:f>
        <x:v>0.7854629629655392</x:v>
      </x:c>
      <x:c r="E161" s="29" t="n">
        <x:f>YEAR(B161)</x:f>
        <x:v>2022</x:v>
      </x:c>
      <x:c r="F161" s="29" t="n">
        <x:f>MONTH(B161)</x:f>
        <x:v>12</x:v>
      </x:c>
      <x:c r="G161" s="30" t="n">
        <x:v>-19.13</x:v>
      </x:c>
      <x:c r="H161" s="30" t="n">
        <x:v>-69.8</x:v>
      </x:c>
      <x:c r="I161" s="29" t="n">
        <x:v>81</x:v>
      </x:c>
      <x:c r="J161" s="31" t="n">
        <x:v>4</x:v>
      </x:c>
      <x:c r="K161" s="25" t="str">
        <x:f>IF(J161&gt;=7,"Muy fuerte (&gt;=7)",IF(J161&gt;=6,"Fuerte (6-6.9)",IF(J161&gt;=5,"Moderado alto (5-5.9)",IF(J161&gt;=4,"Moderado (4-4.9)","Menor a 4"))))</x:f>
        <x:v>Moderado (4-4.9)</x:v>
      </x:c>
      <x:c r="L161" s="25" t="str">
        <x:f>IF(I161&lt;70,"Superficial (&lt;70 km)",IF(I161&lt;=300,"Intermedio (70-300 km)","Profundo (&gt;300 km)"))</x:f>
        <x:v>Intermedio (70-300 km)</x:v>
      </x:c>
      <x:c r="M161" s="25" t="str">
        <x:f>IF(J161&gt;=5,"Sí","No")</x:f>
        <x:v>No</x:v>
      </x:c>
      <x:c r="N161" s="25" t="str">
        <x:f>IF(J161&gt;=6,"Sí","No")</x:f>
        <x:v>No</x:v>
      </x:c>
      <x:c r="O161" s="25" t="str">
        <x:v>Pendiente: asignar con R/sf</x:v>
      </x:c>
    </x:row>
    <x:row r="162">
      <x:c r="A162" s="25" t="n">
        <x:v>161</x:v>
      </x:c>
      <x:c r="B162" s="26" t="n">
        <x:v>44935.38178240741</x:v>
      </x:c>
      <x:c r="C162" s="27" t="n">
        <x:f>INT(B162)</x:f>
        <x:v>44935</x:v>
      </x:c>
      <x:c r="D162" s="28" t="n">
        <x:f>MOD(B162,1)</x:f>
        <x:v>0.38178240740671754</x:v>
      </x:c>
      <x:c r="E162" s="29" t="n">
        <x:f>YEAR(B162)</x:f>
        <x:v>2023</x:v>
      </x:c>
      <x:c r="F162" s="29" t="n">
        <x:f>MONTH(B162)</x:f>
        <x:v>1</x:v>
      </x:c>
      <x:c r="G162" s="30" t="n">
        <x:v>-20.04</x:v>
      </x:c>
      <x:c r="H162" s="30" t="n">
        <x:v>-69.44</x:v>
      </x:c>
      <x:c r="I162" s="29" t="n">
        <x:v>119</x:v>
      </x:c>
      <x:c r="J162" s="31" t="n">
        <x:v>3.9</x:v>
      </x:c>
      <x:c r="K162" s="25" t="str">
        <x:f>IF(J162&gt;=7,"Muy fuerte (&gt;=7)",IF(J162&gt;=6,"Fuerte (6-6.9)",IF(J162&gt;=5,"Moderado alto (5-5.9)",IF(J162&gt;=4,"Moderado (4-4.9)","Menor a 4"))))</x:f>
        <x:v>Menor a 4</x:v>
      </x:c>
      <x:c r="L162" s="25" t="str">
        <x:f>IF(I162&lt;70,"Superficial (&lt;70 km)",IF(I162&lt;=300,"Intermedio (70-300 km)","Profundo (&gt;300 km)"))</x:f>
        <x:v>Intermedio (70-300 km)</x:v>
      </x:c>
      <x:c r="M162" s="25" t="str">
        <x:f>IF(J162&gt;=5,"Sí","No")</x:f>
        <x:v>No</x:v>
      </x:c>
      <x:c r="N162" s="25" t="str">
        <x:f>IF(J162&gt;=6,"Sí","No")</x:f>
        <x:v>No</x:v>
      </x:c>
      <x:c r="O162" s="25" t="str">
        <x:v>Pendiente: asignar con R/sf</x:v>
      </x:c>
    </x:row>
    <x:row r="163">
      <x:c r="A163" s="25" t="n">
        <x:v>162</x:v>
      </x:c>
      <x:c r="B163" s="26" t="n">
        <x:v>44965.17674768518</x:v>
      </x:c>
      <x:c r="C163" s="27" t="n">
        <x:f>INT(B163)</x:f>
        <x:v>44965</x:v>
      </x:c>
      <x:c r="D163" s="28" t="n">
        <x:f>MOD(B163,1)</x:f>
        <x:v>0.1767476851819083</x:v>
      </x:c>
      <x:c r="E163" s="29" t="n">
        <x:f>YEAR(B163)</x:f>
        <x:v>2023</x:v>
      </x:c>
      <x:c r="F163" s="29" t="n">
        <x:f>MONTH(B163)</x:f>
        <x:v>2</x:v>
      </x:c>
      <x:c r="G163" s="30" t="n">
        <x:v>-19.23</x:v>
      </x:c>
      <x:c r="H163" s="30" t="n">
        <x:v>-69.43</x:v>
      </x:c>
      <x:c r="I163" s="29" t="n">
        <x:v>100</x:v>
      </x:c>
      <x:c r="J163" s="31" t="n">
        <x:v>3.6</x:v>
      </x:c>
      <x:c r="K163" s="25" t="str">
        <x:f>IF(J163&gt;=7,"Muy fuerte (&gt;=7)",IF(J163&gt;=6,"Fuerte (6-6.9)",IF(J163&gt;=5,"Moderado alto (5-5.9)",IF(J163&gt;=4,"Moderado (4-4.9)","Menor a 4"))))</x:f>
        <x:v>Menor a 4</x:v>
      </x:c>
      <x:c r="L163" s="25" t="str">
        <x:f>IF(I163&lt;70,"Superficial (&lt;70 km)",IF(I163&lt;=300,"Intermedio (70-300 km)","Profundo (&gt;300 km)"))</x:f>
        <x:v>Intermedio (70-300 km)</x:v>
      </x:c>
      <x:c r="M163" s="25" t="str">
        <x:f>IF(J163&gt;=5,"Sí","No")</x:f>
        <x:v>No</x:v>
      </x:c>
      <x:c r="N163" s="25" t="str">
        <x:f>IF(J163&gt;=6,"Sí","No")</x:f>
        <x:v>No</x:v>
      </x:c>
      <x:c r="O163" s="25" t="str">
        <x:v>Pendiente: asignar con R/sf</x:v>
      </x:c>
    </x:row>
    <x:row r="164">
      <x:c r="A164" s="25" t="n">
        <x:v>163</x:v>
      </x:c>
      <x:c r="B164" s="26" t="n">
        <x:v>44444.517858796295</x:v>
      </x:c>
      <x:c r="C164" s="27" t="n">
        <x:f>INT(B164)</x:f>
        <x:v>44444</x:v>
      </x:c>
      <x:c r="D164" s="28" t="n">
        <x:f>MOD(B164,1)</x:f>
        <x:v>0.517858796294604</x:v>
      </x:c>
      <x:c r="E164" s="29" t="n">
        <x:f>YEAR(B164)</x:f>
        <x:v>2021</x:v>
      </x:c>
      <x:c r="F164" s="29" t="n">
        <x:f>MONTH(B164)</x:f>
        <x:v>9</x:v>
      </x:c>
      <x:c r="G164" s="30" t="n">
        <x:v>-20.14</x:v>
      </x:c>
      <x:c r="H164" s="30" t="n">
        <x:v>-70.46</x:v>
      </x:c>
      <x:c r="I164" s="29" t="n">
        <x:v>34</x:v>
      </x:c>
      <x:c r="J164" s="31" t="n">
        <x:v>4.1</x:v>
      </x:c>
      <x:c r="K164" s="25" t="str">
        <x:f>IF(J164&gt;=7,"Muy fuerte (&gt;=7)",IF(J164&gt;=6,"Fuerte (6-6.9)",IF(J164&gt;=5,"Moderado alto (5-5.9)",IF(J164&gt;=4,"Moderado (4-4.9)","Menor a 4"))))</x:f>
        <x:v>Moderado (4-4.9)</x:v>
      </x:c>
      <x:c r="L164" s="25" t="str">
        <x:f>IF(I164&lt;70,"Superficial (&lt;70 km)",IF(I164&lt;=300,"Intermedio (70-300 km)","Profundo (&gt;300 km)"))</x:f>
        <x:v>Superficial (&lt;70 km)</x:v>
      </x:c>
      <x:c r="M164" s="25" t="str">
        <x:f>IF(J164&gt;=5,"Sí","No")</x:f>
        <x:v>No</x:v>
      </x:c>
      <x:c r="N164" s="25" t="str">
        <x:f>IF(J164&gt;=6,"Sí","No")</x:f>
        <x:v>No</x:v>
      </x:c>
      <x:c r="O164" s="25" t="str">
        <x:v>Pendiente: asignar con R/sf</x:v>
      </x:c>
    </x:row>
    <x:row r="165">
      <x:c r="A165" s="25" t="n">
        <x:v>164</x:v>
      </x:c>
      <x:c r="B165" s="26" t="n">
        <x:v>44820.592361111114</x:v>
      </x:c>
      <x:c r="C165" s="27" t="n">
        <x:f>INT(B165)</x:f>
        <x:v>44820</x:v>
      </x:c>
      <x:c r="D165" s="28" t="n">
        <x:f>MOD(B165,1)</x:f>
        <x:v>0.5923611111138598</x:v>
      </x:c>
      <x:c r="E165" s="29" t="n">
        <x:f>YEAR(B165)</x:f>
        <x:v>2022</x:v>
      </x:c>
      <x:c r="F165" s="29" t="n">
        <x:f>MONTH(B165)</x:f>
        <x:v>9</x:v>
      </x:c>
      <x:c r="G165" s="30" t="n">
        <x:v>-19.96</x:v>
      </x:c>
      <x:c r="H165" s="30" t="n">
        <x:v>-70.06</x:v>
      </x:c>
      <x:c r="I165" s="29" t="n">
        <x:v>47</x:v>
      </x:c>
      <x:c r="J165" s="31" t="n">
        <x:v>4.2</x:v>
      </x:c>
      <x:c r="K165" s="25" t="str">
        <x:f>IF(J165&gt;=7,"Muy fuerte (&gt;=7)",IF(J165&gt;=6,"Fuerte (6-6.9)",IF(J165&gt;=5,"Moderado alto (5-5.9)",IF(J165&gt;=4,"Moderado (4-4.9)","Menor a 4"))))</x:f>
        <x:v>Moderado (4-4.9)</x:v>
      </x:c>
      <x:c r="L165" s="25" t="str">
        <x:f>IF(I165&lt;70,"Superficial (&lt;70 km)",IF(I165&lt;=300,"Intermedio (70-300 km)","Profundo (&gt;300 km)"))</x:f>
        <x:v>Superficial (&lt;70 km)</x:v>
      </x:c>
      <x:c r="M165" s="25" t="str">
        <x:f>IF(J165&gt;=5,"Sí","No")</x:f>
        <x:v>No</x:v>
      </x:c>
      <x:c r="N165" s="25" t="str">
        <x:f>IF(J165&gt;=6,"Sí","No")</x:f>
        <x:v>No</x:v>
      </x:c>
      <x:c r="O165" s="25" t="str">
        <x:v>Pendiente: asignar con R/sf</x:v>
      </x:c>
    </x:row>
    <x:row r="166">
      <x:c r="A166" s="25" t="n">
        <x:v>165</x:v>
      </x:c>
      <x:c r="B166" s="26" t="n">
        <x:v>44976.111608796295</x:v>
      </x:c>
      <x:c r="C166" s="27" t="n">
        <x:f>INT(B166)</x:f>
        <x:v>44976</x:v>
      </x:c>
      <x:c r="D166" s="28" t="n">
        <x:f>MOD(B166,1)</x:f>
        <x:v>0.11160879629460396</x:v>
      </x:c>
      <x:c r="E166" s="29" t="n">
        <x:f>YEAR(B166)</x:f>
        <x:v>2023</x:v>
      </x:c>
      <x:c r="F166" s="29" t="n">
        <x:f>MONTH(B166)</x:f>
        <x:v>2</x:v>
      </x:c>
      <x:c r="G166" s="30" t="n">
        <x:v>-19.93</x:v>
      </x:c>
      <x:c r="H166" s="30" t="n">
        <x:v>-71.12</x:v>
      </x:c>
      <x:c r="I166" s="29" t="n">
        <x:v>36</x:v>
      </x:c>
      <x:c r="J166" s="31" t="n">
        <x:v>5.3</x:v>
      </x:c>
      <x:c r="K166" s="25" t="str">
        <x:f>IF(J166&gt;=7,"Muy fuerte (&gt;=7)",IF(J166&gt;=6,"Fuerte (6-6.9)",IF(J166&gt;=5,"Moderado alto (5-5.9)",IF(J166&gt;=4,"Moderado (4-4.9)","Menor a 4"))))</x:f>
        <x:v>Moderado alto (5-5.9)</x:v>
      </x:c>
      <x:c r="L166" s="25" t="str">
        <x:f>IF(I166&lt;70,"Superficial (&lt;70 km)",IF(I166&lt;=300,"Intermedio (70-300 km)","Profundo (&gt;300 km)"))</x:f>
        <x:v>Superficial (&lt;70 km)</x:v>
      </x:c>
      <x:c r="M166" s="25" t="str">
        <x:f>IF(J166&gt;=5,"Sí","No")</x:f>
        <x:v>Sí</x:v>
      </x:c>
      <x:c r="N166" s="25" t="str">
        <x:f>IF(J166&gt;=6,"Sí","No")</x:f>
        <x:v>No</x:v>
      </x:c>
      <x:c r="O166" s="25" t="str">
        <x:v>Pendiente: asignar con R/sf</x:v>
      </x:c>
    </x:row>
    <x:row r="167">
      <x:c r="A167" s="25" t="n">
        <x:v>166</x:v>
      </x:c>
      <x:c r="B167" s="26" t="n">
        <x:v>45023.32283564815</x:v>
      </x:c>
      <x:c r="C167" s="27" t="n">
        <x:f>INT(B167)</x:f>
        <x:v>45023</x:v>
      </x:c>
      <x:c r="D167" s="28" t="n">
        <x:f>MOD(B167,1)</x:f>
        <x:v>0.32283564814861165</x:v>
      </x:c>
      <x:c r="E167" s="29" t="n">
        <x:f>YEAR(B167)</x:f>
        <x:v>2023</x:v>
      </x:c>
      <x:c r="F167" s="29" t="n">
        <x:f>MONTH(B167)</x:f>
        <x:v>4</x:v>
      </x:c>
      <x:c r="G167" s="30" t="n">
        <x:v>-20.76</x:v>
      </x:c>
      <x:c r="H167" s="30" t="n">
        <x:v>-69.67</x:v>
      </x:c>
      <x:c r="I167" s="29" t="n">
        <x:v>62</x:v>
      </x:c>
      <x:c r="J167" s="31" t="n">
        <x:v>3.8</x:v>
      </x:c>
      <x:c r="K167" s="25" t="str">
        <x:f>IF(J167&gt;=7,"Muy fuerte (&gt;=7)",IF(J167&gt;=6,"Fuerte (6-6.9)",IF(J167&gt;=5,"Moderado alto (5-5.9)",IF(J167&gt;=4,"Moderado (4-4.9)","Menor a 4"))))</x:f>
        <x:v>Menor a 4</x:v>
      </x:c>
      <x:c r="L167" s="25" t="str">
        <x:f>IF(I167&lt;70,"Superficial (&lt;70 km)",IF(I167&lt;=300,"Intermedio (70-300 km)","Profundo (&gt;300 km)"))</x:f>
        <x:v>Superficial (&lt;70 km)</x:v>
      </x:c>
      <x:c r="M167" s="25" t="str">
        <x:f>IF(J167&gt;=5,"Sí","No")</x:f>
        <x:v>No</x:v>
      </x:c>
      <x:c r="N167" s="25" t="str">
        <x:f>IF(J167&gt;=6,"Sí","No")</x:f>
        <x:v>No</x:v>
      </x:c>
      <x:c r="O167" s="25" t="str">
        <x:v>Pendiente: asignar con R/sf</x:v>
      </x:c>
    </x:row>
    <x:row r="168">
      <x:c r="A168" s="25" t="n">
        <x:v>167</x:v>
      </x:c>
      <x:c r="B168" s="26" t="n">
        <x:v>45036.71753472222</x:v>
      </x:c>
      <x:c r="C168" s="27" t="n">
        <x:f>INT(B168)</x:f>
        <x:v>45036</x:v>
      </x:c>
      <x:c r="D168" s="28" t="n">
        <x:f>MOD(B168,1)</x:f>
        <x:v>0.7175347222218988</x:v>
      </x:c>
      <x:c r="E168" s="29" t="n">
        <x:f>YEAR(B168)</x:f>
        <x:v>2023</x:v>
      </x:c>
      <x:c r="F168" s="29" t="n">
        <x:f>MONTH(B168)</x:f>
        <x:v>4</x:v>
      </x:c>
      <x:c r="G168" s="30" t="n">
        <x:v>-20.77</x:v>
      </x:c>
      <x:c r="H168" s="30" t="n">
        <x:v>-69.14</x:v>
      </x:c>
      <x:c r="I168" s="29" t="n">
        <x:v>98</x:v>
      </x:c>
      <x:c r="J168" s="31" t="n">
        <x:v>4.3</x:v>
      </x:c>
      <x:c r="K168" s="25" t="str">
        <x:f>IF(J168&gt;=7,"Muy fuerte (&gt;=7)",IF(J168&gt;=6,"Fuerte (6-6.9)",IF(J168&gt;=5,"Moderado alto (5-5.9)",IF(J168&gt;=4,"Moderado (4-4.9)","Menor a 4"))))</x:f>
        <x:v>Moderado (4-4.9)</x:v>
      </x:c>
      <x:c r="L168" s="25" t="str">
        <x:f>IF(I168&lt;70,"Superficial (&lt;70 km)",IF(I168&lt;=300,"Intermedio (70-300 km)","Profundo (&gt;300 km)"))</x:f>
        <x:v>Intermedio (70-300 km)</x:v>
      </x:c>
      <x:c r="M168" s="25" t="str">
        <x:f>IF(J168&gt;=5,"Sí","No")</x:f>
        <x:v>No</x:v>
      </x:c>
      <x:c r="N168" s="25" t="str">
        <x:f>IF(J168&gt;=6,"Sí","No")</x:f>
        <x:v>No</x:v>
      </x:c>
      <x:c r="O168" s="25" t="str">
        <x:v>Pendiente: asignar con R/sf</x:v>
      </x:c>
    </x:row>
    <x:row r="169">
      <x:c r="A169" s="25" t="n">
        <x:v>168</x:v>
      </x:c>
      <x:c r="B169" s="26" t="n">
        <x:v>45316.79042824074</x:v>
      </x:c>
      <x:c r="C169" s="27" t="n">
        <x:f>INT(B169)</x:f>
        <x:v>45316</x:v>
      </x:c>
      <x:c r="D169" s="28" t="n">
        <x:f>MOD(B169,1)</x:f>
        <x:v>0.7904282407398568</x:v>
      </x:c>
      <x:c r="E169" s="29" t="n">
        <x:f>YEAR(B169)</x:f>
        <x:v>2024</x:v>
      </x:c>
      <x:c r="F169" s="29" t="n">
        <x:f>MONTH(B169)</x:f>
        <x:v>1</x:v>
      </x:c>
      <x:c r="G169" s="30" t="n">
        <x:v>-21.84</x:v>
      </x:c>
      <x:c r="H169" s="30" t="n">
        <x:v>-68.55</x:v>
      </x:c>
      <x:c r="I169" s="29" t="n">
        <x:v>131</x:v>
      </x:c>
      <x:c r="J169" s="31" t="n">
        <x:v>5</x:v>
      </x:c>
      <x:c r="K169" s="25" t="str">
        <x:f>IF(J169&gt;=7,"Muy fuerte (&gt;=7)",IF(J169&gt;=6,"Fuerte (6-6.9)",IF(J169&gt;=5,"Moderado alto (5-5.9)",IF(J169&gt;=4,"Moderado (4-4.9)","Menor a 4"))))</x:f>
        <x:v>Moderado alto (5-5.9)</x:v>
      </x:c>
      <x:c r="L169" s="25" t="str">
        <x:f>IF(I169&lt;70,"Superficial (&lt;70 km)",IF(I169&lt;=300,"Intermedio (70-300 km)","Profundo (&gt;300 km)"))</x:f>
        <x:v>Intermedio (70-300 km)</x:v>
      </x:c>
      <x:c r="M169" s="25" t="str">
        <x:f>IF(J169&gt;=5,"Sí","No")</x:f>
        <x:v>Sí</x:v>
      </x:c>
      <x:c r="N169" s="25" t="str">
        <x:f>IF(J169&gt;=6,"Sí","No")</x:f>
        <x:v>No</x:v>
      </x:c>
      <x:c r="O169" s="25" t="str">
        <x:v>Pendiente: asignar con R/sf</x:v>
      </x:c>
    </x:row>
    <x:row r="170">
      <x:c r="A170" s="25" t="n">
        <x:v>169</x:v>
      </x:c>
      <x:c r="B170" s="26" t="n">
        <x:v>45330.890601851854</x:v>
      </x:c>
      <x:c r="C170" s="27" t="n">
        <x:f>INT(B170)</x:f>
        <x:v>45330</x:v>
      </x:c>
      <x:c r="D170" s="28" t="n">
        <x:f>MOD(B170,1)</x:f>
        <x:v>0.8906018518537167</x:v>
      </x:c>
      <x:c r="E170" s="29" t="n">
        <x:f>YEAR(B170)</x:f>
        <x:v>2024</x:v>
      </x:c>
      <x:c r="F170" s="29" t="n">
        <x:f>MONTH(B170)</x:f>
        <x:v>2</x:v>
      </x:c>
      <x:c r="G170" s="30" t="n">
        <x:v>-19.83</x:v>
      </x:c>
      <x:c r="H170" s="30" t="n">
        <x:v>-69.17</x:v>
      </x:c>
      <x:c r="I170" s="29" t="n">
        <x:v>95</x:v>
      </x:c>
      <x:c r="J170" s="31" t="n">
        <x:v>3.9</x:v>
      </x:c>
      <x:c r="K170" s="25" t="str">
        <x:f>IF(J170&gt;=7,"Muy fuerte (&gt;=7)",IF(J170&gt;=6,"Fuerte (6-6.9)",IF(J170&gt;=5,"Moderado alto (5-5.9)",IF(J170&gt;=4,"Moderado (4-4.9)","Menor a 4"))))</x:f>
        <x:v>Menor a 4</x:v>
      </x:c>
      <x:c r="L170" s="25" t="str">
        <x:f>IF(I170&lt;70,"Superficial (&lt;70 km)",IF(I170&lt;=300,"Intermedio (70-300 km)","Profundo (&gt;300 km)"))</x:f>
        <x:v>Intermedio (70-300 km)</x:v>
      </x:c>
      <x:c r="M170" s="25" t="str">
        <x:f>IF(J170&gt;=5,"Sí","No")</x:f>
        <x:v>No</x:v>
      </x:c>
      <x:c r="N170" s="25" t="str">
        <x:f>IF(J170&gt;=6,"Sí","No")</x:f>
        <x:v>No</x:v>
      </x:c>
      <x:c r="O170" s="25" t="str">
        <x:v>Pendiente: asignar con R/sf</x:v>
      </x:c>
    </x:row>
    <x:row r="171">
      <x:c r="A171" s="25" t="n">
        <x:v>170</x:v>
      </x:c>
      <x:c r="B171" s="26" t="n">
        <x:v>45488.71827546296</x:v>
      </x:c>
      <x:c r="C171" s="27" t="n">
        <x:f>INT(B171)</x:f>
        <x:v>45488</x:v>
      </x:c>
      <x:c r="D171" s="28" t="n">
        <x:f>MOD(B171,1)</x:f>
        <x:v>0.7182754629611736</x:v>
      </x:c>
      <x:c r="E171" s="29" t="n">
        <x:f>YEAR(B171)</x:f>
        <x:v>2024</x:v>
      </x:c>
      <x:c r="F171" s="29" t="n">
        <x:f>MONTH(B171)</x:f>
        <x:v>7</x:v>
      </x:c>
      <x:c r="G171" s="30" t="n">
        <x:v>-21.19</x:v>
      </x:c>
      <x:c r="H171" s="30" t="n">
        <x:v>-68.72</x:v>
      </x:c>
      <x:c r="I171" s="29" t="n">
        <x:v>114</x:v>
      </x:c>
      <x:c r="J171" s="31" t="n">
        <x:v>4.5</x:v>
      </x:c>
      <x:c r="K171" s="25" t="str">
        <x:f>IF(J171&gt;=7,"Muy fuerte (&gt;=7)",IF(J171&gt;=6,"Fuerte (6-6.9)",IF(J171&gt;=5,"Moderado alto (5-5.9)",IF(J171&gt;=4,"Moderado (4-4.9)","Menor a 4"))))</x:f>
        <x:v>Moderado (4-4.9)</x:v>
      </x:c>
      <x:c r="L171" s="25" t="str">
        <x:f>IF(I171&lt;70,"Superficial (&lt;70 km)",IF(I171&lt;=300,"Intermedio (70-300 km)","Profundo (&gt;300 km)"))</x:f>
        <x:v>Intermedio (70-300 km)</x:v>
      </x:c>
      <x:c r="M171" s="25" t="str">
        <x:f>IF(J171&gt;=5,"Sí","No")</x:f>
        <x:v>No</x:v>
      </x:c>
      <x:c r="N171" s="25" t="str">
        <x:f>IF(J171&gt;=6,"Sí","No")</x:f>
        <x:v>No</x:v>
      </x:c>
      <x:c r="O171" s="25" t="str">
        <x:v>Pendiente: asignar con R/sf</x:v>
      </x:c>
    </x:row>
    <x:row r="172">
      <x:c r="A172" s="25" t="n">
        <x:v>171</x:v>
      </x:c>
      <x:c r="B172" s="26" t="n">
        <x:v>44820.61398148148</x:v>
      </x:c>
      <x:c r="C172" s="27" t="n">
        <x:f>INT(B172)</x:f>
        <x:v>44820</x:v>
      </x:c>
      <x:c r="D172" s="28" t="n">
        <x:f>MOD(B172,1)</x:f>
        <x:v>0.6139814814814599</x:v>
      </x:c>
      <x:c r="E172" s="29" t="n">
        <x:f>YEAR(B172)</x:f>
        <x:v>2022</x:v>
      </x:c>
      <x:c r="F172" s="29" t="n">
        <x:f>MONTH(B172)</x:f>
        <x:v>9</x:v>
      </x:c>
      <x:c r="G172" s="30" t="n">
        <x:v>-19.25</x:v>
      </x:c>
      <x:c r="H172" s="30" t="n">
        <x:v>-70.11</x:v>
      </x:c>
      <x:c r="I172" s="29" t="n">
        <x:v>56</x:v>
      </x:c>
      <x:c r="J172" s="31" t="n">
        <x:v>3.9</x:v>
      </x:c>
      <x:c r="K172" s="25" t="str">
        <x:f>IF(J172&gt;=7,"Muy fuerte (&gt;=7)",IF(J172&gt;=6,"Fuerte (6-6.9)",IF(J172&gt;=5,"Moderado alto (5-5.9)",IF(J172&gt;=4,"Moderado (4-4.9)","Menor a 4"))))</x:f>
        <x:v>Menor a 4</x:v>
      </x:c>
      <x:c r="L172" s="25" t="str">
        <x:f>IF(I172&lt;70,"Superficial (&lt;70 km)",IF(I172&lt;=300,"Intermedio (70-300 km)","Profundo (&gt;300 km)"))</x:f>
        <x:v>Superficial (&lt;70 km)</x:v>
      </x:c>
      <x:c r="M172" s="25" t="str">
        <x:f>IF(J172&gt;=5,"Sí","No")</x:f>
        <x:v>No</x:v>
      </x:c>
      <x:c r="N172" s="25" t="str">
        <x:f>IF(J172&gt;=6,"Sí","No")</x:f>
        <x:v>No</x:v>
      </x:c>
      <x:c r="O172" s="25" t="str">
        <x:v>Pendiente: asignar con R/sf</x:v>
      </x:c>
    </x:row>
    <x:row r="173">
      <x:c r="A173" s="25" t="n">
        <x:v>172</x:v>
      </x:c>
      <x:c r="B173" s="26" t="n">
        <x:v>44847.69789351852</x:v>
      </x:c>
      <x:c r="C173" s="27" t="n">
        <x:f>INT(B173)</x:f>
        <x:v>44847</x:v>
      </x:c>
      <x:c r="D173" s="28" t="n">
        <x:f>MOD(B173,1)</x:f>
        <x:v>0.697893518517958</x:v>
      </x:c>
      <x:c r="E173" s="29" t="n">
        <x:f>YEAR(B173)</x:f>
        <x:v>2022</x:v>
      </x:c>
      <x:c r="F173" s="29" t="n">
        <x:f>MONTH(B173)</x:f>
        <x:v>10</x:v>
      </x:c>
      <x:c r="G173" s="30" t="n">
        <x:v>-19.75</x:v>
      </x:c>
      <x:c r="H173" s="30" t="n">
        <x:v>-70.14</x:v>
      </x:c>
      <x:c r="I173" s="29" t="n">
        <x:v>49</x:v>
      </x:c>
      <x:c r="J173" s="31" t="n">
        <x:v>3.8</x:v>
      </x:c>
      <x:c r="K173" s="25" t="str">
        <x:f>IF(J173&gt;=7,"Muy fuerte (&gt;=7)",IF(J173&gt;=6,"Fuerte (6-6.9)",IF(J173&gt;=5,"Moderado alto (5-5.9)",IF(J173&gt;=4,"Moderado (4-4.9)","Menor a 4"))))</x:f>
        <x:v>Menor a 4</x:v>
      </x:c>
      <x:c r="L173" s="25" t="str">
        <x:f>IF(I173&lt;70,"Superficial (&lt;70 km)",IF(I173&lt;=300,"Intermedio (70-300 km)","Profundo (&gt;300 km)"))</x:f>
        <x:v>Superficial (&lt;70 km)</x:v>
      </x:c>
      <x:c r="M173" s="25" t="str">
        <x:f>IF(J173&gt;=5,"Sí","No")</x:f>
        <x:v>No</x:v>
      </x:c>
      <x:c r="N173" s="25" t="str">
        <x:f>IF(J173&gt;=6,"Sí","No")</x:f>
        <x:v>No</x:v>
      </x:c>
      <x:c r="O173" s="25" t="str">
        <x:v>Pendiente: asignar con R/sf</x:v>
      </x:c>
    </x:row>
    <x:row r="174">
      <x:c r="A174" s="25" t="n">
        <x:v>173</x:v>
      </x:c>
      <x:c r="B174" s="26" t="n">
        <x:v>44747.19633101852</x:v>
      </x:c>
      <x:c r="C174" s="27" t="n">
        <x:f>INT(B174)</x:f>
        <x:v>44747</x:v>
      </x:c>
      <x:c r="D174" s="28" t="n">
        <x:f>MOD(B174,1)</x:f>
        <x:v>0.1963310185165028</x:v>
      </x:c>
      <x:c r="E174" s="29" t="n">
        <x:f>YEAR(B174)</x:f>
        <x:v>2022</x:v>
      </x:c>
      <x:c r="F174" s="29" t="n">
        <x:f>MONTH(B174)</x:f>
        <x:v>7</x:v>
      </x:c>
      <x:c r="G174" s="30" t="n">
        <x:v>-19.97</x:v>
      </x:c>
      <x:c r="H174" s="30" t="n">
        <x:v>-70.08</x:v>
      </x:c>
      <x:c r="I174" s="29" t="n">
        <x:v>50</x:v>
      </x:c>
      <x:c r="J174" s="31" t="n">
        <x:v>3</x:v>
      </x:c>
      <x:c r="K174" s="25" t="str">
        <x:f>IF(J174&gt;=7,"Muy fuerte (&gt;=7)",IF(J174&gt;=6,"Fuerte (6-6.9)",IF(J174&gt;=5,"Moderado alto (5-5.9)",IF(J174&gt;=4,"Moderado (4-4.9)","Menor a 4"))))</x:f>
        <x:v>Menor a 4</x:v>
      </x:c>
      <x:c r="L174" s="25" t="str">
        <x:f>IF(I174&lt;70,"Superficial (&lt;70 km)",IF(I174&lt;=300,"Intermedio (70-300 km)","Profundo (&gt;300 km)"))</x:f>
        <x:v>Superficial (&lt;70 km)</x:v>
      </x:c>
      <x:c r="M174" s="25" t="str">
        <x:f>IF(J174&gt;=5,"Sí","No")</x:f>
        <x:v>No</x:v>
      </x:c>
      <x:c r="N174" s="25" t="str">
        <x:f>IF(J174&gt;=6,"Sí","No")</x:f>
        <x:v>No</x:v>
      </x:c>
      <x:c r="O174" s="25" t="str">
        <x:v>Pendiente: asignar con R/sf</x:v>
      </x:c>
    </x:row>
    <x:row r="175">
      <x:c r="A175" s="25" t="n">
        <x:v>174</x:v>
      </x:c>
      <x:c r="B175" s="26" t="n">
        <x:v>45398.23486111111</x:v>
      </x:c>
      <x:c r="C175" s="27" t="n">
        <x:f>INT(B175)</x:f>
        <x:v>45398</x:v>
      </x:c>
      <x:c r="D175" s="28" t="n">
        <x:f>MOD(B175,1)</x:f>
        <x:v>0.23486111110833008</x:v>
      </x:c>
      <x:c r="E175" s="29" t="n">
        <x:f>YEAR(B175)</x:f>
        <x:v>2024</x:v>
      </x:c>
      <x:c r="F175" s="29" t="n">
        <x:f>MONTH(B175)</x:f>
        <x:v>4</x:v>
      </x:c>
      <x:c r="G175" s="30" t="n">
        <x:v>-18.62</x:v>
      </x:c>
      <x:c r="H175" s="30" t="n">
        <x:v>-70.63</x:v>
      </x:c>
      <x:c r="I175" s="29" t="n">
        <x:v>31</x:v>
      </x:c>
      <x:c r="J175" s="31" t="n">
        <x:v>4</x:v>
      </x:c>
      <x:c r="K175" s="25" t="str">
        <x:f>IF(J175&gt;=7,"Muy fuerte (&gt;=7)",IF(J175&gt;=6,"Fuerte (6-6.9)",IF(J175&gt;=5,"Moderado alto (5-5.9)",IF(J175&gt;=4,"Moderado (4-4.9)","Menor a 4"))))</x:f>
        <x:v>Moderado (4-4.9)</x:v>
      </x:c>
      <x:c r="L175" s="25" t="str">
        <x:f>IF(I175&lt;70,"Superficial (&lt;70 km)",IF(I175&lt;=300,"Intermedio (70-300 km)","Profundo (&gt;300 km)"))</x:f>
        <x:v>Superficial (&lt;70 km)</x:v>
      </x:c>
      <x:c r="M175" s="25" t="str">
        <x:f>IF(J175&gt;=5,"Sí","No")</x:f>
        <x:v>No</x:v>
      </x:c>
      <x:c r="N175" s="25" t="str">
        <x:f>IF(J175&gt;=6,"Sí","No")</x:f>
        <x:v>No</x:v>
      </x:c>
      <x:c r="O175" s="25" t="str">
        <x:v>Pendiente: asignar con R/sf</x:v>
      </x:c>
    </x:row>
    <x:row r="176">
      <x:c r="A176" s="25" t="n">
        <x:v>175</x:v>
      </x:c>
      <x:c r="B176" s="26" t="n">
        <x:v>45210.2290625</x:v>
      </x:c>
      <x:c r="C176" s="27" t="n">
        <x:f>INT(B176)</x:f>
        <x:v>45210</x:v>
      </x:c>
      <x:c r="D176" s="28" t="n">
        <x:f>MOD(B176,1)</x:f>
        <x:v>0.2290625000023283</x:v>
      </x:c>
      <x:c r="E176" s="29" t="n">
        <x:f>YEAR(B176)</x:f>
        <x:v>2023</x:v>
      </x:c>
      <x:c r="F176" s="29" t="n">
        <x:f>MONTH(B176)</x:f>
        <x:v>10</x:v>
      </x:c>
      <x:c r="G176" s="30" t="n">
        <x:v>-19.19</x:v>
      </x:c>
      <x:c r="H176" s="30" t="n">
        <x:v>-69.4</x:v>
      </x:c>
      <x:c r="I176" s="29" t="n">
        <x:v>102</x:v>
      </x:c>
      <x:c r="J176" s="31" t="n">
        <x:v>4.8</x:v>
      </x:c>
      <x:c r="K176" s="25" t="str">
        <x:f>IF(J176&gt;=7,"Muy fuerte (&gt;=7)",IF(J176&gt;=6,"Fuerte (6-6.9)",IF(J176&gt;=5,"Moderado alto (5-5.9)",IF(J176&gt;=4,"Moderado (4-4.9)","Menor a 4"))))</x:f>
        <x:v>Moderado (4-4.9)</x:v>
      </x:c>
      <x:c r="L176" s="25" t="str">
        <x:f>IF(I176&lt;70,"Superficial (&lt;70 km)",IF(I176&lt;=300,"Intermedio (70-300 km)","Profundo (&gt;300 km)"))</x:f>
        <x:v>Intermedio (70-300 km)</x:v>
      </x:c>
      <x:c r="M176" s="25" t="str">
        <x:f>IF(J176&gt;=5,"Sí","No")</x:f>
        <x:v>No</x:v>
      </x:c>
      <x:c r="N176" s="25" t="str">
        <x:f>IF(J176&gt;=6,"Sí","No")</x:f>
        <x:v>No</x:v>
      </x:c>
      <x:c r="O176" s="25" t="str">
        <x:v>Pendiente: asignar con R/sf</x:v>
      </x:c>
    </x:row>
    <x:row r="177">
      <x:c r="A177" s="25" t="n">
        <x:v>176</x:v>
      </x:c>
      <x:c r="B177" s="26" t="n">
        <x:v>45326.168587962966</x:v>
      </x:c>
      <x:c r="C177" s="27" t="n">
        <x:f>INT(B177)</x:f>
        <x:v>45326</x:v>
      </x:c>
      <x:c r="D177" s="28" t="n">
        <x:f>MOD(B177,1)</x:f>
        <x:v>0.16858796296583023</x:v>
      </x:c>
      <x:c r="E177" s="29" t="n">
        <x:f>YEAR(B177)</x:f>
        <x:v>2024</x:v>
      </x:c>
      <x:c r="F177" s="29" t="n">
        <x:f>MONTH(B177)</x:f>
        <x:v>2</x:v>
      </x:c>
      <x:c r="G177" s="30" t="n">
        <x:v>-19.38</x:v>
      </x:c>
      <x:c r="H177" s="30" t="n">
        <x:v>-69.62</x:v>
      </x:c>
      <x:c r="I177" s="29" t="n">
        <x:v>104</x:v>
      </x:c>
      <x:c r="J177" s="31" t="n">
        <x:v>4.7</x:v>
      </x:c>
      <x:c r="K177" s="25" t="str">
        <x:f>IF(J177&gt;=7,"Muy fuerte (&gt;=7)",IF(J177&gt;=6,"Fuerte (6-6.9)",IF(J177&gt;=5,"Moderado alto (5-5.9)",IF(J177&gt;=4,"Moderado (4-4.9)","Menor a 4"))))</x:f>
        <x:v>Moderado (4-4.9)</x:v>
      </x:c>
      <x:c r="L177" s="25" t="str">
        <x:f>IF(I177&lt;70,"Superficial (&lt;70 km)",IF(I177&lt;=300,"Intermedio (70-300 km)","Profundo (&gt;300 km)"))</x:f>
        <x:v>Intermedio (70-300 km)</x:v>
      </x:c>
      <x:c r="M177" s="25" t="str">
        <x:f>IF(J177&gt;=5,"Sí","No")</x:f>
        <x:v>No</x:v>
      </x:c>
      <x:c r="N177" s="25" t="str">
        <x:f>IF(J177&gt;=6,"Sí","No")</x:f>
        <x:v>No</x:v>
      </x:c>
      <x:c r="O177" s="25" t="str">
        <x:v>Pendiente: asignar con R/sf</x:v>
      </x:c>
    </x:row>
    <x:row r="178">
      <x:c r="A178" s="25" t="n">
        <x:v>177</x:v>
      </x:c>
      <x:c r="B178" s="26" t="n">
        <x:v>45323.28295138889</x:v>
      </x:c>
      <x:c r="C178" s="27" t="n">
        <x:f>INT(B178)</x:f>
        <x:v>45323</x:v>
      </x:c>
      <x:c r="D178" s="28" t="n">
        <x:f>MOD(B178,1)</x:f>
        <x:v>0.28295138888643123</x:v>
      </x:c>
      <x:c r="E178" s="29" t="n">
        <x:f>YEAR(B178)</x:f>
        <x:v>2024</x:v>
      </x:c>
      <x:c r="F178" s="29" t="n">
        <x:f>MONTH(B178)</x:f>
        <x:v>2</x:v>
      </x:c>
      <x:c r="G178" s="30" t="n">
        <x:v>-18.27</x:v>
      </x:c>
      <x:c r="H178" s="30" t="n">
        <x:v>-70.28</x:v>
      </x:c>
      <x:c r="I178" s="29" t="n">
        <x:v>57</x:v>
      </x:c>
      <x:c r="J178" s="31" t="n">
        <x:v>3.7</x:v>
      </x:c>
      <x:c r="K178" s="25" t="str">
        <x:f>IF(J178&gt;=7,"Muy fuerte (&gt;=7)",IF(J178&gt;=6,"Fuerte (6-6.9)",IF(J178&gt;=5,"Moderado alto (5-5.9)",IF(J178&gt;=4,"Moderado (4-4.9)","Menor a 4"))))</x:f>
        <x:v>Menor a 4</x:v>
      </x:c>
      <x:c r="L178" s="25" t="str">
        <x:f>IF(I178&lt;70,"Superficial (&lt;70 km)",IF(I178&lt;=300,"Intermedio (70-300 km)","Profundo (&gt;300 km)"))</x:f>
        <x:v>Superficial (&lt;70 km)</x:v>
      </x:c>
      <x:c r="M178" s="25" t="str">
        <x:f>IF(J178&gt;=5,"Sí","No")</x:f>
        <x:v>No</x:v>
      </x:c>
      <x:c r="N178" s="25" t="str">
        <x:f>IF(J178&gt;=6,"Sí","No")</x:f>
        <x:v>No</x:v>
      </x:c>
      <x:c r="O178" s="25" t="str">
        <x:v>Pendiente: asignar con R/sf</x:v>
      </x:c>
    </x:row>
    <x:row r="179">
      <x:c r="A179" s="25" t="n">
        <x:v>178</x:v>
      </x:c>
      <x:c r="B179" s="26" t="n">
        <x:v>45522.07267361111</x:v>
      </x:c>
      <x:c r="C179" s="27" t="n">
        <x:f>INT(B179)</x:f>
        <x:v>45522</x:v>
      </x:c>
      <x:c r="D179" s="28" t="n">
        <x:f>MOD(B179,1)</x:f>
        <x:v>0.07267361111007631</x:v>
      </x:c>
      <x:c r="E179" s="29" t="n">
        <x:f>YEAR(B179)</x:f>
        <x:v>2024</x:v>
      </x:c>
      <x:c r="F179" s="29" t="n">
        <x:f>MONTH(B179)</x:f>
        <x:v>8</x:v>
      </x:c>
      <x:c r="G179" s="30" t="n">
        <x:v>-18.9</x:v>
      </x:c>
      <x:c r="H179" s="30" t="n">
        <x:v>-69.62</x:v>
      </x:c>
      <x:c r="I179" s="29" t="n">
        <x:v>96</x:v>
      </x:c>
      <x:c r="J179" s="31" t="n">
        <x:v>4.6</x:v>
      </x:c>
      <x:c r="K179" s="25" t="str">
        <x:f>IF(J179&gt;=7,"Muy fuerte (&gt;=7)",IF(J179&gt;=6,"Fuerte (6-6.9)",IF(J179&gt;=5,"Moderado alto (5-5.9)",IF(J179&gt;=4,"Moderado (4-4.9)","Menor a 4"))))</x:f>
        <x:v>Moderado (4-4.9)</x:v>
      </x:c>
      <x:c r="L179" s="25" t="str">
        <x:f>IF(I179&lt;70,"Superficial (&lt;70 km)",IF(I179&lt;=300,"Intermedio (70-300 km)","Profundo (&gt;300 km)"))</x:f>
        <x:v>Intermedio (70-300 km)</x:v>
      </x:c>
      <x:c r="M179" s="25" t="str">
        <x:f>IF(J179&gt;=5,"Sí","No")</x:f>
        <x:v>No</x:v>
      </x:c>
      <x:c r="N179" s="25" t="str">
        <x:f>IF(J179&gt;=6,"Sí","No")</x:f>
        <x:v>No</x:v>
      </x:c>
      <x:c r="O179" s="25" t="str">
        <x:v>Pendiente: asignar con R/sf</x:v>
      </x:c>
    </x:row>
    <x:row r="180">
      <x:c r="A180" s="25" t="n">
        <x:v>179</x:v>
      </x:c>
      <x:c r="B180" s="26" t="n">
        <x:v>44821.4519212963</x:v>
      </x:c>
      <x:c r="C180" s="27" t="n">
        <x:f>INT(B180)</x:f>
        <x:v>44821</x:v>
      </x:c>
      <x:c r="D180" s="28" t="n">
        <x:f>MOD(B180,1)</x:f>
        <x:v>0.4519212962986785</x:v>
      </x:c>
      <x:c r="E180" s="29" t="n">
        <x:f>YEAR(B180)</x:f>
        <x:v>2022</x:v>
      </x:c>
      <x:c r="F180" s="29" t="n">
        <x:f>MONTH(B180)</x:f>
        <x:v>9</x:v>
      </x:c>
      <x:c r="G180" s="30" t="n">
        <x:v>-18.42</x:v>
      </x:c>
      <x:c r="H180" s="30" t="n">
        <x:v>-69.84</x:v>
      </x:c>
      <x:c r="I180" s="29" t="n">
        <x:v>117</x:v>
      </x:c>
      <x:c r="J180" s="31" t="n">
        <x:v>4.4</x:v>
      </x:c>
      <x:c r="K180" s="25" t="str">
        <x:f>IF(J180&gt;=7,"Muy fuerte (&gt;=7)",IF(J180&gt;=6,"Fuerte (6-6.9)",IF(J180&gt;=5,"Moderado alto (5-5.9)",IF(J180&gt;=4,"Moderado (4-4.9)","Menor a 4"))))</x:f>
        <x:v>Moderado (4-4.9)</x:v>
      </x:c>
      <x:c r="L180" s="25" t="str">
        <x:f>IF(I180&lt;70,"Superficial (&lt;70 km)",IF(I180&lt;=300,"Intermedio (70-300 km)","Profundo (&gt;300 km)"))</x:f>
        <x:v>Intermedio (70-300 km)</x:v>
      </x:c>
      <x:c r="M180" s="25" t="str">
        <x:f>IF(J180&gt;=5,"Sí","No")</x:f>
        <x:v>No</x:v>
      </x:c>
      <x:c r="N180" s="25" t="str">
        <x:f>IF(J180&gt;=6,"Sí","No")</x:f>
        <x:v>No</x:v>
      </x:c>
      <x:c r="O180" s="25" t="str">
        <x:v>Pendiente: asignar con R/sf</x:v>
      </x:c>
    </x:row>
    <x:row r="181">
      <x:c r="A181" s="25" t="n">
        <x:v>180</x:v>
      </x:c>
      <x:c r="B181" s="26" t="n">
        <x:v>45451.0987962963</x:v>
      </x:c>
      <x:c r="C181" s="27" t="n">
        <x:f>INT(B181)</x:f>
        <x:v>45451</x:v>
      </x:c>
      <x:c r="D181" s="28" t="n">
        <x:f>MOD(B181,1)</x:f>
        <x:v>0.09879629629722331</x:v>
      </x:c>
      <x:c r="E181" s="29" t="n">
        <x:f>YEAR(B181)</x:f>
        <x:v>2024</x:v>
      </x:c>
      <x:c r="F181" s="29" t="n">
        <x:f>MONTH(B181)</x:f>
        <x:v>6</x:v>
      </x:c>
      <x:c r="G181" s="30" t="n">
        <x:v>-32.42</x:v>
      </x:c>
      <x:c r="H181" s="30" t="n">
        <x:v>-70.89</x:v>
      </x:c>
      <x:c r="I181" s="29" t="n">
        <x:v>80</x:v>
      </x:c>
      <x:c r="J181" s="31" t="n">
        <x:v>4.4</x:v>
      </x:c>
      <x:c r="K181" s="25" t="str">
        <x:f>IF(J181&gt;=7,"Muy fuerte (&gt;=7)",IF(J181&gt;=6,"Fuerte (6-6.9)",IF(J181&gt;=5,"Moderado alto (5-5.9)",IF(J181&gt;=4,"Moderado (4-4.9)","Menor a 4"))))</x:f>
        <x:v>Moderado (4-4.9)</x:v>
      </x:c>
      <x:c r="L181" s="25" t="str">
        <x:f>IF(I181&lt;70,"Superficial (&lt;70 km)",IF(I181&lt;=300,"Intermedio (70-300 km)","Profundo (&gt;300 km)"))</x:f>
        <x:v>Intermedio (70-300 km)</x:v>
      </x:c>
      <x:c r="M181" s="25" t="str">
        <x:f>IF(J181&gt;=5,"Sí","No")</x:f>
        <x:v>No</x:v>
      </x:c>
      <x:c r="N181" s="25" t="str">
        <x:f>IF(J181&gt;=6,"Sí","No")</x:f>
        <x:v>No</x:v>
      </x:c>
      <x:c r="O181" s="25" t="str">
        <x:v>Pendiente: asignar con R/sf</x:v>
      </x:c>
    </x:row>
    <x:row r="182">
      <x:c r="A182" s="25" t="n">
        <x:v>181</x:v>
      </x:c>
      <x:c r="B182" s="26" t="n">
        <x:v>44901.700219907405</x:v>
      </x:c>
      <x:c r="C182" s="27" t="n">
        <x:f>INT(B182)</x:f>
        <x:v>44901</x:v>
      </x:c>
      <x:c r="D182" s="28" t="n">
        <x:f>MOD(B182,1)</x:f>
        <x:v>0.7002199074049713</x:v>
      </x:c>
      <x:c r="E182" s="29" t="n">
        <x:f>YEAR(B182)</x:f>
        <x:v>2022</x:v>
      </x:c>
      <x:c r="F182" s="29" t="n">
        <x:f>MONTH(B182)</x:f>
        <x:v>12</x:v>
      </x:c>
      <x:c r="G182" s="30" t="n">
        <x:v>-32.28</x:v>
      </x:c>
      <x:c r="H182" s="30" t="n">
        <x:v>-70.71</x:v>
      </x:c>
      <x:c r="I182" s="29" t="n">
        <x:v>96</x:v>
      </x:c>
      <x:c r="J182" s="31" t="n">
        <x:v>4.2</x:v>
      </x:c>
      <x:c r="K182" s="25" t="str">
        <x:f>IF(J182&gt;=7,"Muy fuerte (&gt;=7)",IF(J182&gt;=6,"Fuerte (6-6.9)",IF(J182&gt;=5,"Moderado alto (5-5.9)",IF(J182&gt;=4,"Moderado (4-4.9)","Menor a 4"))))</x:f>
        <x:v>Moderado (4-4.9)</x:v>
      </x:c>
      <x:c r="L182" s="25" t="str">
        <x:f>IF(I182&lt;70,"Superficial (&lt;70 km)",IF(I182&lt;=300,"Intermedio (70-300 km)","Profundo (&gt;300 km)"))</x:f>
        <x:v>Intermedio (70-300 km)</x:v>
      </x:c>
      <x:c r="M182" s="25" t="str">
        <x:f>IF(J182&gt;=5,"Sí","No")</x:f>
        <x:v>No</x:v>
      </x:c>
      <x:c r="N182" s="25" t="str">
        <x:f>IF(J182&gt;=6,"Sí","No")</x:f>
        <x:v>No</x:v>
      </x:c>
      <x:c r="O182" s="25" t="str">
        <x:v>Pendiente: asignar con R/sf</x:v>
      </x:c>
    </x:row>
    <x:row r="183">
      <x:c r="A183" s="25" t="n">
        <x:v>182</x:v>
      </x:c>
      <x:c r="B183" s="26" t="n">
        <x:v>45464.84525462963</x:v>
      </x:c>
      <x:c r="C183" s="27" t="n">
        <x:f>INT(B183)</x:f>
        <x:v>45464</x:v>
      </x:c>
      <x:c r="D183" s="28" t="n">
        <x:f>MOD(B183,1)</x:f>
        <x:v>0.8452546296321088</x:v>
      </x:c>
      <x:c r="E183" s="29" t="n">
        <x:f>YEAR(B183)</x:f>
        <x:v>2024</x:v>
      </x:c>
      <x:c r="F183" s="29" t="n">
        <x:f>MONTH(B183)</x:f>
        <x:v>6</x:v>
      </x:c>
      <x:c r="G183" s="30" t="n">
        <x:v>-32.47</x:v>
      </x:c>
      <x:c r="H183" s="30" t="n">
        <x:v>-71.87</x:v>
      </x:c>
      <x:c r="I183" s="29" t="n">
        <x:v>39</x:v>
      </x:c>
      <x:c r="J183" s="31" t="n">
        <x:v>3.7</x:v>
      </x:c>
      <x:c r="K183" s="25" t="str">
        <x:f>IF(J183&gt;=7,"Muy fuerte (&gt;=7)",IF(J183&gt;=6,"Fuerte (6-6.9)",IF(J183&gt;=5,"Moderado alto (5-5.9)",IF(J183&gt;=4,"Moderado (4-4.9)","Menor a 4"))))</x:f>
        <x:v>Menor a 4</x:v>
      </x:c>
      <x:c r="L183" s="25" t="str">
        <x:f>IF(I183&lt;70,"Superficial (&lt;70 km)",IF(I183&lt;=300,"Intermedio (70-300 km)","Profundo (&gt;300 km)"))</x:f>
        <x:v>Superficial (&lt;70 km)</x:v>
      </x:c>
      <x:c r="M183" s="25" t="str">
        <x:f>IF(J183&gt;=5,"Sí","No")</x:f>
        <x:v>No</x:v>
      </x:c>
      <x:c r="N183" s="25" t="str">
        <x:f>IF(J183&gt;=6,"Sí","No")</x:f>
        <x:v>No</x:v>
      </x:c>
      <x:c r="O183" s="25" t="str">
        <x:v>Pendiente: asignar con R/sf</x:v>
      </x:c>
    </x:row>
    <x:row r="184">
      <x:c r="A184" s="25" t="n">
        <x:v>183</x:v>
      </x:c>
      <x:c r="B184" s="26" t="n">
        <x:v>45475.94634259259</x:v>
      </x:c>
      <x:c r="C184" s="27" t="n">
        <x:f>INT(B184)</x:f>
        <x:v>45475</x:v>
      </x:c>
      <x:c r="D184" s="28" t="n">
        <x:f>MOD(B184,1)</x:f>
        <x:v>0.9463425925932825</x:v>
      </x:c>
      <x:c r="E184" s="29" t="n">
        <x:f>YEAR(B184)</x:f>
        <x:v>2024</x:v>
      </x:c>
      <x:c r="F184" s="29" t="n">
        <x:f>MONTH(B184)</x:f>
        <x:v>7</x:v>
      </x:c>
      <x:c r="G184" s="30" t="n">
        <x:v>-31.75</x:v>
      </x:c>
      <x:c r="H184" s="30" t="n">
        <x:v>-71.73</x:v>
      </x:c>
      <x:c r="I184" s="29" t="n">
        <x:v>32</x:v>
      </x:c>
      <x:c r="J184" s="31" t="n">
        <x:v>4.4</x:v>
      </x:c>
      <x:c r="K184" s="25" t="str">
        <x:f>IF(J184&gt;=7,"Muy fuerte (&gt;=7)",IF(J184&gt;=6,"Fuerte (6-6.9)",IF(J184&gt;=5,"Moderado alto (5-5.9)",IF(J184&gt;=4,"Moderado (4-4.9)","Menor a 4"))))</x:f>
        <x:v>Moderado (4-4.9)</x:v>
      </x:c>
      <x:c r="L184" s="25" t="str">
        <x:f>IF(I184&lt;70,"Superficial (&lt;70 km)",IF(I184&lt;=300,"Intermedio (70-300 km)","Profundo (&gt;300 km)"))</x:f>
        <x:v>Superficial (&lt;70 km)</x:v>
      </x:c>
      <x:c r="M184" s="25" t="str">
        <x:f>IF(J184&gt;=5,"Sí","No")</x:f>
        <x:v>No</x:v>
      </x:c>
      <x:c r="N184" s="25" t="str">
        <x:f>IF(J184&gt;=6,"Sí","No")</x:f>
        <x:v>No</x:v>
      </x:c>
      <x:c r="O184" s="25" t="str">
        <x:v>Pendiente: asignar con R/sf</x:v>
      </x:c>
    </x:row>
    <x:row r="185">
      <x:c r="A185" s="25" t="n">
        <x:v>184</x:v>
      </x:c>
      <x:c r="B185" s="26" t="n">
        <x:v>45505.12200231481</x:v>
      </x:c>
      <x:c r="C185" s="27" t="n">
        <x:f>INT(B185)</x:f>
        <x:v>45505</x:v>
      </x:c>
      <x:c r="D185" s="28" t="n">
        <x:f>MOD(B185,1)</x:f>
        <x:v>0.12200231481256196</x:v>
      </x:c>
      <x:c r="E185" s="29" t="n">
        <x:f>YEAR(B185)</x:f>
        <x:v>2024</x:v>
      </x:c>
      <x:c r="F185" s="29" t="n">
        <x:f>MONTH(B185)</x:f>
        <x:v>8</x:v>
      </x:c>
      <x:c r="G185" s="30" t="n">
        <x:v>-32.02</x:v>
      </x:c>
      <x:c r="H185" s="30" t="n">
        <x:v>-71.47</x:v>
      </x:c>
      <x:c r="I185" s="29" t="n">
        <x:v>46</x:v>
      </x:c>
      <x:c r="J185" s="31" t="n">
        <x:v>3.8</x:v>
      </x:c>
      <x:c r="K185" s="25" t="str">
        <x:f>IF(J185&gt;=7,"Muy fuerte (&gt;=7)",IF(J185&gt;=6,"Fuerte (6-6.9)",IF(J185&gt;=5,"Moderado alto (5-5.9)",IF(J185&gt;=4,"Moderado (4-4.9)","Menor a 4"))))</x:f>
        <x:v>Menor a 4</x:v>
      </x:c>
      <x:c r="L185" s="25" t="str">
        <x:f>IF(I185&lt;70,"Superficial (&lt;70 km)",IF(I185&lt;=300,"Intermedio (70-300 km)","Profundo (&gt;300 km)"))</x:f>
        <x:v>Superficial (&lt;70 km)</x:v>
      </x:c>
      <x:c r="M185" s="25" t="str">
        <x:f>IF(J185&gt;=5,"Sí","No")</x:f>
        <x:v>No</x:v>
      </x:c>
      <x:c r="N185" s="25" t="str">
        <x:f>IF(J185&gt;=6,"Sí","No")</x:f>
        <x:v>No</x:v>
      </x:c>
      <x:c r="O185" s="25" t="str">
        <x:v>Pendiente: asignar con R/sf</x:v>
      </x:c>
    </x:row>
    <x:row r="186">
      <x:c r="A186" s="25" t="n">
        <x:v>185</x:v>
      </x:c>
      <x:c r="B186" s="26" t="n">
        <x:v>45505.698333333334</x:v>
      </x:c>
      <x:c r="C186" s="27" t="n">
        <x:f>INT(B186)</x:f>
        <x:v>45505</x:v>
      </x:c>
      <x:c r="D186" s="28" t="n">
        <x:f>MOD(B186,1)</x:f>
        <x:v>0.6983333333337214</x:v>
      </x:c>
      <x:c r="E186" s="29" t="n">
        <x:f>YEAR(B186)</x:f>
        <x:v>2024</x:v>
      </x:c>
      <x:c r="F186" s="29" t="n">
        <x:f>MONTH(B186)</x:f>
        <x:v>8</x:v>
      </x:c>
      <x:c r="G186" s="30" t="n">
        <x:v>-32.49</x:v>
      </x:c>
      <x:c r="H186" s="30" t="n">
        <x:v>-71</x:v>
      </x:c>
      <x:c r="I186" s="29" t="n">
        <x:v>76</x:v>
      </x:c>
      <x:c r="J186" s="31" t="n">
        <x:v>3.9</x:v>
      </x:c>
      <x:c r="K186" s="25" t="str">
        <x:f>IF(J186&gt;=7,"Muy fuerte (&gt;=7)",IF(J186&gt;=6,"Fuerte (6-6.9)",IF(J186&gt;=5,"Moderado alto (5-5.9)",IF(J186&gt;=4,"Moderado (4-4.9)","Menor a 4"))))</x:f>
        <x:v>Menor a 4</x:v>
      </x:c>
      <x:c r="L186" s="25" t="str">
        <x:f>IF(I186&lt;70,"Superficial (&lt;70 km)",IF(I186&lt;=300,"Intermedio (70-300 km)","Profundo (&gt;300 km)"))</x:f>
        <x:v>Intermedio (70-300 km)</x:v>
      </x:c>
      <x:c r="M186" s="25" t="str">
        <x:f>IF(J186&gt;=5,"Sí","No")</x:f>
        <x:v>No</x:v>
      </x:c>
      <x:c r="N186" s="25" t="str">
        <x:f>IF(J186&gt;=6,"Sí","No")</x:f>
        <x:v>No</x:v>
      </x:c>
      <x:c r="O186" s="25" t="str">
        <x:v>Pendiente: asignar con R/sf</x:v>
      </x:c>
    </x:row>
    <x:row r="187">
      <x:c r="A187" s="25" t="n">
        <x:v>186</x:v>
      </x:c>
      <x:c r="B187" s="26" t="n">
        <x:v>45500.964479166665</x:v>
      </x:c>
      <x:c r="C187" s="27" t="n">
        <x:f>INT(B187)</x:f>
        <x:v>45500</x:v>
      </x:c>
      <x:c r="D187" s="28" t="n">
        <x:f>MOD(B187,1)</x:f>
        <x:v>0.9644791666651145</x:v>
      </x:c>
      <x:c r="E187" s="29" t="n">
        <x:f>YEAR(B187)</x:f>
        <x:v>2024</x:v>
      </x:c>
      <x:c r="F187" s="29" t="n">
        <x:f>MONTH(B187)</x:f>
        <x:v>7</x:v>
      </x:c>
      <x:c r="G187" s="30" t="n">
        <x:v>-32.96</x:v>
      </x:c>
      <x:c r="H187" s="30" t="n">
        <x:v>-71.93</x:v>
      </x:c>
      <x:c r="I187" s="29" t="n">
        <x:v>36</x:v>
      </x:c>
      <x:c r="J187" s="31" t="n">
        <x:v>3.6</x:v>
      </x:c>
      <x:c r="K187" s="25" t="str">
        <x:f>IF(J187&gt;=7,"Muy fuerte (&gt;=7)",IF(J187&gt;=6,"Fuerte (6-6.9)",IF(J187&gt;=5,"Moderado alto (5-5.9)",IF(J187&gt;=4,"Moderado (4-4.9)","Menor a 4"))))</x:f>
        <x:v>Menor a 4</x:v>
      </x:c>
      <x:c r="L187" s="25" t="str">
        <x:f>IF(I187&lt;70,"Superficial (&lt;70 km)",IF(I187&lt;=300,"Intermedio (70-300 km)","Profundo (&gt;300 km)"))</x:f>
        <x:v>Superficial (&lt;70 km)</x:v>
      </x:c>
      <x:c r="M187" s="25" t="str">
        <x:f>IF(J187&gt;=5,"Sí","No")</x:f>
        <x:v>No</x:v>
      </x:c>
      <x:c r="N187" s="25" t="str">
        <x:f>IF(J187&gt;=6,"Sí","No")</x:f>
        <x:v>No</x:v>
      </x:c>
      <x:c r="O187" s="25" t="str">
        <x:v>Pendiente: asignar con R/sf</x:v>
      </x:c>
    </x:row>
    <x:row r="188">
      <x:c r="A188" s="25" t="n">
        <x:v>187</x:v>
      </x:c>
      <x:c r="B188" s="26" t="n">
        <x:v>45199.74542824074</x:v>
      </x:c>
      <x:c r="C188" s="27" t="n">
        <x:f>INT(B188)</x:f>
        <x:v>45199</x:v>
      </x:c>
      <x:c r="D188" s="28" t="n">
        <x:f>MOD(B188,1)</x:f>
        <x:v>0.7454282407416031</x:v>
      </x:c>
      <x:c r="E188" s="29" t="n">
        <x:f>YEAR(B188)</x:f>
        <x:v>2023</x:v>
      </x:c>
      <x:c r="F188" s="29" t="n">
        <x:f>MONTH(B188)</x:f>
        <x:v>9</x:v>
      </x:c>
      <x:c r="G188" s="30" t="n">
        <x:v>-32.19</x:v>
      </x:c>
      <x:c r="H188" s="30" t="n">
        <x:v>-71.89</x:v>
      </x:c>
      <x:c r="I188" s="29" t="n">
        <x:v>37</x:v>
      </x:c>
      <x:c r="J188" s="31" t="n">
        <x:v>4.3</x:v>
      </x:c>
      <x:c r="K188" s="25" t="str">
        <x:f>IF(J188&gt;=7,"Muy fuerte (&gt;=7)",IF(J188&gt;=6,"Fuerte (6-6.9)",IF(J188&gt;=5,"Moderado alto (5-5.9)",IF(J188&gt;=4,"Moderado (4-4.9)","Menor a 4"))))</x:f>
        <x:v>Moderado (4-4.9)</x:v>
      </x:c>
      <x:c r="L188" s="25" t="str">
        <x:f>IF(I188&lt;70,"Superficial (&lt;70 km)",IF(I188&lt;=300,"Intermedio (70-300 km)","Profundo (&gt;300 km)"))</x:f>
        <x:v>Superficial (&lt;70 km)</x:v>
      </x:c>
      <x:c r="M188" s="25" t="str">
        <x:f>IF(J188&gt;=5,"Sí","No")</x:f>
        <x:v>No</x:v>
      </x:c>
      <x:c r="N188" s="25" t="str">
        <x:f>IF(J188&gt;=6,"Sí","No")</x:f>
        <x:v>No</x:v>
      </x:c>
      <x:c r="O188" s="25" t="str">
        <x:v>Pendiente: asignar con R/sf</x:v>
      </x:c>
    </x:row>
    <x:row r="189">
      <x:c r="A189" s="25" t="n">
        <x:v>188</x:v>
      </x:c>
      <x:c r="B189" s="26" t="n">
        <x:v>45232.27023148148</x:v>
      </x:c>
      <x:c r="C189" s="27" t="n">
        <x:f>INT(B189)</x:f>
        <x:v>45232</x:v>
      </x:c>
      <x:c r="D189" s="28" t="n">
        <x:f>MOD(B189,1)</x:f>
        <x:v>0.2702314814814599</x:v>
      </x:c>
      <x:c r="E189" s="29" t="n">
        <x:f>YEAR(B189)</x:f>
        <x:v>2023</x:v>
      </x:c>
      <x:c r="F189" s="29" t="n">
        <x:f>MONTH(B189)</x:f>
        <x:v>11</x:v>
      </x:c>
      <x:c r="G189" s="30" t="n">
        <x:v>-32.62</x:v>
      </x:c>
      <x:c r="H189" s="30" t="n">
        <x:v>-71.61</x:v>
      </x:c>
      <x:c r="I189" s="29" t="n">
        <x:v>61</x:v>
      </x:c>
      <x:c r="J189" s="31" t="n">
        <x:v>3.8</x:v>
      </x:c>
      <x:c r="K189" s="25" t="str">
        <x:f>IF(J189&gt;=7,"Muy fuerte (&gt;=7)",IF(J189&gt;=6,"Fuerte (6-6.9)",IF(J189&gt;=5,"Moderado alto (5-5.9)",IF(J189&gt;=4,"Moderado (4-4.9)","Menor a 4"))))</x:f>
        <x:v>Menor a 4</x:v>
      </x:c>
      <x:c r="L189" s="25" t="str">
        <x:f>IF(I189&lt;70,"Superficial (&lt;70 km)",IF(I189&lt;=300,"Intermedio (70-300 km)","Profundo (&gt;300 km)"))</x:f>
        <x:v>Superficial (&lt;70 km)</x:v>
      </x:c>
      <x:c r="M189" s="25" t="str">
        <x:f>IF(J189&gt;=5,"Sí","No")</x:f>
        <x:v>No</x:v>
      </x:c>
      <x:c r="N189" s="25" t="str">
        <x:f>IF(J189&gt;=6,"Sí","No")</x:f>
        <x:v>No</x:v>
      </x:c>
      <x:c r="O189" s="25" t="str">
        <x:v>Pendiente: asignar con R/sf</x:v>
      </x:c>
    </x:row>
    <x:row r="190">
      <x:c r="A190" s="25" t="n">
        <x:v>189</x:v>
      </x:c>
      <x:c r="B190" s="26" t="n">
        <x:v>45235.51797453704</x:v>
      </x:c>
      <x:c r="C190" s="27" t="n">
        <x:f>INT(B190)</x:f>
        <x:v>45235</x:v>
      </x:c>
      <x:c r="D190" s="28" t="n">
        <x:f>MOD(B190,1)</x:f>
        <x:v>0.5179745370405726</x:v>
      </x:c>
      <x:c r="E190" s="29" t="n">
        <x:f>YEAR(B190)</x:f>
        <x:v>2023</x:v>
      </x:c>
      <x:c r="F190" s="29" t="n">
        <x:f>MONTH(B190)</x:f>
        <x:v>11</x:v>
      </x:c>
      <x:c r="G190" s="30" t="n">
        <x:v>-32.57</x:v>
      </x:c>
      <x:c r="H190" s="30" t="n">
        <x:v>-71.69</x:v>
      </x:c>
      <x:c r="I190" s="29" t="n">
        <x:v>38</x:v>
      </x:c>
      <x:c r="J190" s="31" t="n">
        <x:v>3.4</x:v>
      </x:c>
      <x:c r="K190" s="25" t="str">
        <x:f>IF(J190&gt;=7,"Muy fuerte (&gt;=7)",IF(J190&gt;=6,"Fuerte (6-6.9)",IF(J190&gt;=5,"Moderado alto (5-5.9)",IF(J190&gt;=4,"Moderado (4-4.9)","Menor a 4"))))</x:f>
        <x:v>Menor a 4</x:v>
      </x:c>
      <x:c r="L190" s="25" t="str">
        <x:f>IF(I190&lt;70,"Superficial (&lt;70 km)",IF(I190&lt;=300,"Intermedio (70-300 km)","Profundo (&gt;300 km)"))</x:f>
        <x:v>Superficial (&lt;70 km)</x:v>
      </x:c>
      <x:c r="M190" s="25" t="str">
        <x:f>IF(J190&gt;=5,"Sí","No")</x:f>
        <x:v>No</x:v>
      </x:c>
      <x:c r="N190" s="25" t="str">
        <x:f>IF(J190&gt;=6,"Sí","No")</x:f>
        <x:v>No</x:v>
      </x:c>
      <x:c r="O190" s="25" t="str">
        <x:v>Pendiente: asignar con R/sf</x:v>
      </x:c>
    </x:row>
    <x:row r="191">
      <x:c r="A191" s="25" t="n">
        <x:v>190</x:v>
      </x:c>
      <x:c r="B191" s="26" t="n">
        <x:v>45323.01905092593</x:v>
      </x:c>
      <x:c r="C191" s="27" t="n">
        <x:f>INT(B191)</x:f>
        <x:v>45323</x:v>
      </x:c>
      <x:c r="D191" s="28" t="n">
        <x:f>MOD(B191,1)</x:f>
        <x:v>0.01905092592642177</x:v>
      </x:c>
      <x:c r="E191" s="29" t="n">
        <x:f>YEAR(B191)</x:f>
        <x:v>2024</x:v>
      </x:c>
      <x:c r="F191" s="29" t="n">
        <x:f>MONTH(B191)</x:f>
        <x:v>2</x:v>
      </x:c>
      <x:c r="G191" s="30" t="n">
        <x:v>-32.92</x:v>
      </x:c>
      <x:c r="H191" s="30" t="n">
        <x:v>-71.22</x:v>
      </x:c>
      <x:c r="I191" s="29" t="n">
        <x:v>59</x:v>
      </x:c>
      <x:c r="J191" s="31" t="n">
        <x:v>3.7</x:v>
      </x:c>
      <x:c r="K191" s="25" t="str">
        <x:f>IF(J191&gt;=7,"Muy fuerte (&gt;=7)",IF(J191&gt;=6,"Fuerte (6-6.9)",IF(J191&gt;=5,"Moderado alto (5-5.9)",IF(J191&gt;=4,"Moderado (4-4.9)","Menor a 4"))))</x:f>
        <x:v>Menor a 4</x:v>
      </x:c>
      <x:c r="L191" s="25" t="str">
        <x:f>IF(I191&lt;70,"Superficial (&lt;70 km)",IF(I191&lt;=300,"Intermedio (70-300 km)","Profundo (&gt;300 km)"))</x:f>
        <x:v>Superficial (&lt;70 km)</x:v>
      </x:c>
      <x:c r="M191" s="25" t="str">
        <x:f>IF(J191&gt;=5,"Sí","No")</x:f>
        <x:v>No</x:v>
      </x:c>
      <x:c r="N191" s="25" t="str">
        <x:f>IF(J191&gt;=6,"Sí","No")</x:f>
        <x:v>No</x:v>
      </x:c>
      <x:c r="O191" s="25" t="str">
        <x:v>Pendiente: asignar con R/sf</x:v>
      </x:c>
    </x:row>
    <x:row r="192">
      <x:c r="A192" s="25" t="n">
        <x:v>191</x:v>
      </x:c>
      <x:c r="B192" s="26" t="n">
        <x:v>45480.18491898148</x:v>
      </x:c>
      <x:c r="C192" s="27" t="n">
        <x:f>INT(B192)</x:f>
        <x:v>45480</x:v>
      </x:c>
      <x:c r="D192" s="28" t="n">
        <x:f>MOD(B192,1)</x:f>
        <x:v>0.184918981482042</x:v>
      </x:c>
      <x:c r="E192" s="29" t="n">
        <x:f>YEAR(B192)</x:f>
        <x:v>2024</x:v>
      </x:c>
      <x:c r="F192" s="29" t="n">
        <x:f>MONTH(B192)</x:f>
        <x:v>7</x:v>
      </x:c>
      <x:c r="G192" s="30" t="n">
        <x:v>-33.36</x:v>
      </x:c>
      <x:c r="H192" s="30" t="n">
        <x:v>-71.8</x:v>
      </x:c>
      <x:c r="I192" s="29" t="n">
        <x:v>36</x:v>
      </x:c>
      <x:c r="J192" s="31" t="n">
        <x:v>3.9</x:v>
      </x:c>
      <x:c r="K192" s="25" t="str">
        <x:f>IF(J192&gt;=7,"Muy fuerte (&gt;=7)",IF(J192&gt;=6,"Fuerte (6-6.9)",IF(J192&gt;=5,"Moderado alto (5-5.9)",IF(J192&gt;=4,"Moderado (4-4.9)","Menor a 4"))))</x:f>
        <x:v>Menor a 4</x:v>
      </x:c>
      <x:c r="L192" s="25" t="str">
        <x:f>IF(I192&lt;70,"Superficial (&lt;70 km)",IF(I192&lt;=300,"Intermedio (70-300 km)","Profundo (&gt;300 km)"))</x:f>
        <x:v>Superficial (&lt;70 km)</x:v>
      </x:c>
      <x:c r="M192" s="25" t="str">
        <x:f>IF(J192&gt;=5,"Sí","No")</x:f>
        <x:v>No</x:v>
      </x:c>
      <x:c r="N192" s="25" t="str">
        <x:f>IF(J192&gt;=6,"Sí","No")</x:f>
        <x:v>No</x:v>
      </x:c>
      <x:c r="O192" s="25" t="str">
        <x:v>Pendiente: asignar con R/sf</x:v>
      </x:c>
    </x:row>
    <x:row r="193">
      <x:c r="A193" s="25" t="n">
        <x:v>192</x:v>
      </x:c>
      <x:c r="B193" s="26" t="n">
        <x:v>45480.18711805555</x:v>
      </x:c>
      <x:c r="C193" s="27" t="n">
        <x:f>INT(B193)</x:f>
        <x:v>45480</x:v>
      </x:c>
      <x:c r="D193" s="28" t="n">
        <x:f>MOD(B193,1)</x:f>
        <x:v>0.18711805555358296</x:v>
      </x:c>
      <x:c r="E193" s="29" t="n">
        <x:f>YEAR(B193)</x:f>
        <x:v>2024</x:v>
      </x:c>
      <x:c r="F193" s="29" t="n">
        <x:f>MONTH(B193)</x:f>
        <x:v>7</x:v>
      </x:c>
      <x:c r="G193" s="30" t="n">
        <x:v>-33.36</x:v>
      </x:c>
      <x:c r="H193" s="30" t="n">
        <x:v>-71.78</x:v>
      </x:c>
      <x:c r="I193" s="29" t="n">
        <x:v>31</x:v>
      </x:c>
      <x:c r="J193" s="31" t="n">
        <x:v>4.4</x:v>
      </x:c>
      <x:c r="K193" s="25" t="str">
        <x:f>IF(J193&gt;=7,"Muy fuerte (&gt;=7)",IF(J193&gt;=6,"Fuerte (6-6.9)",IF(J193&gt;=5,"Moderado alto (5-5.9)",IF(J193&gt;=4,"Moderado (4-4.9)","Menor a 4"))))</x:f>
        <x:v>Moderado (4-4.9)</x:v>
      </x:c>
      <x:c r="L193" s="25" t="str">
        <x:f>IF(I193&lt;70,"Superficial (&lt;70 km)",IF(I193&lt;=300,"Intermedio (70-300 km)","Profundo (&gt;300 km)"))</x:f>
        <x:v>Superficial (&lt;70 km)</x:v>
      </x:c>
      <x:c r="M193" s="25" t="str">
        <x:f>IF(J193&gt;=5,"Sí","No")</x:f>
        <x:v>No</x:v>
      </x:c>
      <x:c r="N193" s="25" t="str">
        <x:f>IF(J193&gt;=6,"Sí","No")</x:f>
        <x:v>No</x:v>
      </x:c>
      <x:c r="O193" s="25" t="str">
        <x:v>Pendiente: asignar con R/sf</x:v>
      </x:c>
    </x:row>
    <x:row r="194">
      <x:c r="A194" s="25" t="n">
        <x:v>193</x:v>
      </x:c>
      <x:c r="B194" s="26" t="n">
        <x:v>45493.89828703704</x:v>
      </x:c>
      <x:c r="C194" s="27" t="n">
        <x:f>INT(B194)</x:f>
        <x:v>45493</x:v>
      </x:c>
      <x:c r="D194" s="28" t="n">
        <x:f>MOD(B194,1)</x:f>
        <x:v>0.8982870370382443</x:v>
      </x:c>
      <x:c r="E194" s="29" t="n">
        <x:f>YEAR(B194)</x:f>
        <x:v>2024</x:v>
      </x:c>
      <x:c r="F194" s="29" t="n">
        <x:f>MONTH(B194)</x:f>
        <x:v>7</x:v>
      </x:c>
      <x:c r="G194" s="30" t="n">
        <x:v>-33.38</x:v>
      </x:c>
      <x:c r="H194" s="30" t="n">
        <x:v>-71.9</x:v>
      </x:c>
      <x:c r="I194" s="29" t="n">
        <x:v>24</x:v>
      </x:c>
      <x:c r="J194" s="31" t="n">
        <x:v>3.7</x:v>
      </x:c>
      <x:c r="K194" s="25" t="str">
        <x:f>IF(J194&gt;=7,"Muy fuerte (&gt;=7)",IF(J194&gt;=6,"Fuerte (6-6.9)",IF(J194&gt;=5,"Moderado alto (5-5.9)",IF(J194&gt;=4,"Moderado (4-4.9)","Menor a 4"))))</x:f>
        <x:v>Menor a 4</x:v>
      </x:c>
      <x:c r="L194" s="25" t="str">
        <x:f>IF(I194&lt;70,"Superficial (&lt;70 km)",IF(I194&lt;=300,"Intermedio (70-300 km)","Profundo (&gt;300 km)"))</x:f>
        <x:v>Superficial (&lt;70 km)</x:v>
      </x:c>
      <x:c r="M194" s="25" t="str">
        <x:f>IF(J194&gt;=5,"Sí","No")</x:f>
        <x:v>No</x:v>
      </x:c>
      <x:c r="N194" s="25" t="str">
        <x:f>IF(J194&gt;=6,"Sí","No")</x:f>
        <x:v>No</x:v>
      </x:c>
      <x:c r="O194" s="25" t="str">
        <x:v>Pendiente: asignar con R/sf</x:v>
      </x:c>
    </x:row>
    <x:row r="195">
      <x:c r="A195" s="25" t="n">
        <x:v>194</x:v>
      </x:c>
      <x:c r="B195" s="26" t="n">
        <x:v>44983.490335648145</x:v>
      </x:c>
      <x:c r="C195" s="27" t="n">
        <x:f>INT(B195)</x:f>
        <x:v>44983</x:v>
      </x:c>
      <x:c r="D195" s="28" t="n">
        <x:f>MOD(B195,1)</x:f>
        <x:v>0.4903356481445371</x:v>
      </x:c>
      <x:c r="E195" s="29" t="n">
        <x:f>YEAR(B195)</x:f>
        <x:v>2023</x:v>
      </x:c>
      <x:c r="F195" s="29" t="n">
        <x:f>MONTH(B195)</x:f>
        <x:v>2</x:v>
      </x:c>
      <x:c r="G195" s="30" t="n">
        <x:v>-18.56</x:v>
      </x:c>
      <x:c r="H195" s="30" t="n">
        <x:v>-70.67</x:v>
      </x:c>
      <x:c r="I195" s="29" t="n">
        <x:v>44</x:v>
      </x:c>
      <x:c r="J195" s="31" t="n">
        <x:v>3.8</x:v>
      </x:c>
      <x:c r="K195" s="25" t="str">
        <x:f>IF(J195&gt;=7,"Muy fuerte (&gt;=7)",IF(J195&gt;=6,"Fuerte (6-6.9)",IF(J195&gt;=5,"Moderado alto (5-5.9)",IF(J195&gt;=4,"Moderado (4-4.9)","Menor a 4"))))</x:f>
        <x:v>Menor a 4</x:v>
      </x:c>
      <x:c r="L195" s="25" t="str">
        <x:f>IF(I195&lt;70,"Superficial (&lt;70 km)",IF(I195&lt;=300,"Intermedio (70-300 km)","Profundo (&gt;300 km)"))</x:f>
        <x:v>Superficial (&lt;70 km)</x:v>
      </x:c>
      <x:c r="M195" s="25" t="str">
        <x:f>IF(J195&gt;=5,"Sí","No")</x:f>
        <x:v>No</x:v>
      </x:c>
      <x:c r="N195" s="25" t="str">
        <x:f>IF(J195&gt;=6,"Sí","No")</x:f>
        <x:v>No</x:v>
      </x:c>
      <x:c r="O195" s="25" t="str">
        <x:v>Pendiente: asignar con R/sf</x:v>
      </x:c>
    </x:row>
    <x:row r="196">
      <x:c r="A196" s="25" t="n">
        <x:v>195</x:v>
      </x:c>
      <x:c r="B196" s="26" t="n">
        <x:v>45062.037256944444</x:v>
      </x:c>
      <x:c r="C196" s="27" t="n">
        <x:f>INT(B196)</x:f>
        <x:v>45062</x:v>
      </x:c>
      <x:c r="D196" s="28" t="n">
        <x:f>MOD(B196,1)</x:f>
        <x:v>0.03725694444437977</x:v>
      </x:c>
      <x:c r="E196" s="29" t="n">
        <x:f>YEAR(B196)</x:f>
        <x:v>2023</x:v>
      </x:c>
      <x:c r="F196" s="29" t="n">
        <x:f>MONTH(B196)</x:f>
        <x:v>5</x:v>
      </x:c>
      <x:c r="G196" s="30" t="n">
        <x:v>-20.84</x:v>
      </x:c>
      <x:c r="H196" s="30" t="n">
        <x:v>-70.26</x:v>
      </x:c>
      <x:c r="I196" s="29" t="n">
        <x:v>40</x:v>
      </x:c>
      <x:c r="J196" s="31" t="n">
        <x:v>3.8</x:v>
      </x:c>
      <x:c r="K196" s="25" t="str">
        <x:f>IF(J196&gt;=7,"Muy fuerte (&gt;=7)",IF(J196&gt;=6,"Fuerte (6-6.9)",IF(J196&gt;=5,"Moderado alto (5-5.9)",IF(J196&gt;=4,"Moderado (4-4.9)","Menor a 4"))))</x:f>
        <x:v>Menor a 4</x:v>
      </x:c>
      <x:c r="L196" s="25" t="str">
        <x:f>IF(I196&lt;70,"Superficial (&lt;70 km)",IF(I196&lt;=300,"Intermedio (70-300 km)","Profundo (&gt;300 km)"))</x:f>
        <x:v>Superficial (&lt;70 km)</x:v>
      </x:c>
      <x:c r="M196" s="25" t="str">
        <x:f>IF(J196&gt;=5,"Sí","No")</x:f>
        <x:v>No</x:v>
      </x:c>
      <x:c r="N196" s="25" t="str">
        <x:f>IF(J196&gt;=6,"Sí","No")</x:f>
        <x:v>No</x:v>
      </x:c>
      <x:c r="O196" s="25" t="str">
        <x:v>Pendiente: asignar con R/sf</x:v>
      </x:c>
    </x:row>
    <x:row r="197">
      <x:c r="A197" s="25" t="n">
        <x:v>196</x:v>
      </x:c>
      <x:c r="B197" s="26" t="n">
        <x:v>45048.12907407407</x:v>
      </x:c>
      <x:c r="C197" s="27" t="n">
        <x:f>INT(B197)</x:f>
        <x:v>45048</x:v>
      </x:c>
      <x:c r="D197" s="28" t="n">
        <x:f>MOD(B197,1)</x:f>
        <x:v>0.1290740740732872</x:v>
      </x:c>
      <x:c r="E197" s="29" t="n">
        <x:f>YEAR(B197)</x:f>
        <x:v>2023</x:v>
      </x:c>
      <x:c r="F197" s="29" t="n">
        <x:f>MONTH(B197)</x:f>
        <x:v>5</x:v>
      </x:c>
      <x:c r="G197" s="30" t="n">
        <x:v>-32.44</x:v>
      </x:c>
      <x:c r="H197" s="30" t="n">
        <x:v>-71.06</x:v>
      </x:c>
      <x:c r="I197" s="29" t="n">
        <x:v>56</x:v>
      </x:c>
      <x:c r="J197" s="31" t="n">
        <x:v>3.6</x:v>
      </x:c>
      <x:c r="K197" s="25" t="str">
        <x:f>IF(J197&gt;=7,"Muy fuerte (&gt;=7)",IF(J197&gt;=6,"Fuerte (6-6.9)",IF(J197&gt;=5,"Moderado alto (5-5.9)",IF(J197&gt;=4,"Moderado (4-4.9)","Menor a 4"))))</x:f>
        <x:v>Menor a 4</x:v>
      </x:c>
      <x:c r="L197" s="25" t="str">
        <x:f>IF(I197&lt;70,"Superficial (&lt;70 km)",IF(I197&lt;=300,"Intermedio (70-300 km)","Profundo (&gt;300 km)"))</x:f>
        <x:v>Superficial (&lt;70 km)</x:v>
      </x:c>
      <x:c r="M197" s="25" t="str">
        <x:f>IF(J197&gt;=5,"Sí","No")</x:f>
        <x:v>No</x:v>
      </x:c>
      <x:c r="N197" s="25" t="str">
        <x:f>IF(J197&gt;=6,"Sí","No")</x:f>
        <x:v>No</x:v>
      </x:c>
      <x:c r="O197" s="25" t="str">
        <x:v>Pendiente: asignar con R/sf</x:v>
      </x:c>
    </x:row>
    <x:row r="198">
      <x:c r="A198" s="25" t="n">
        <x:v>197</x:v>
      </x:c>
      <x:c r="B198" s="26" t="n">
        <x:v>45226.95329861111</x:v>
      </x:c>
      <x:c r="C198" s="27" t="n">
        <x:f>INT(B198)</x:f>
        <x:v>45226</x:v>
      </x:c>
      <x:c r="D198" s="28" t="n">
        <x:f>MOD(B198,1)</x:f>
        <x:v>0.953298611108039</x:v>
      </x:c>
      <x:c r="E198" s="29" t="n">
        <x:f>YEAR(B198)</x:f>
        <x:v>2023</x:v>
      </x:c>
      <x:c r="F198" s="29" t="n">
        <x:f>MONTH(B198)</x:f>
        <x:v>10</x:v>
      </x:c>
      <x:c r="G198" s="30" t="n">
        <x:v>-32.49</x:v>
      </x:c>
      <x:c r="H198" s="30" t="n">
        <x:v>-71.38</x:v>
      </x:c>
      <x:c r="I198" s="29" t="n">
        <x:v>58</x:v>
      </x:c>
      <x:c r="J198" s="31" t="n">
        <x:v>3.5</x:v>
      </x:c>
      <x:c r="K198" s="25" t="str">
        <x:f>IF(J198&gt;=7,"Muy fuerte (&gt;=7)",IF(J198&gt;=6,"Fuerte (6-6.9)",IF(J198&gt;=5,"Moderado alto (5-5.9)",IF(J198&gt;=4,"Moderado (4-4.9)","Menor a 4"))))</x:f>
        <x:v>Menor a 4</x:v>
      </x:c>
      <x:c r="L198" s="25" t="str">
        <x:f>IF(I198&lt;70,"Superficial (&lt;70 km)",IF(I198&lt;=300,"Intermedio (70-300 km)","Profundo (&gt;300 km)"))</x:f>
        <x:v>Superficial (&lt;70 km)</x:v>
      </x:c>
      <x:c r="M198" s="25" t="str">
        <x:f>IF(J198&gt;=5,"Sí","No")</x:f>
        <x:v>No</x:v>
      </x:c>
      <x:c r="N198" s="25" t="str">
        <x:f>IF(J198&gt;=6,"Sí","No")</x:f>
        <x:v>No</x:v>
      </x:c>
      <x:c r="O198" s="25" t="str">
        <x:v>Pendiente: asignar con R/sf</x:v>
      </x:c>
    </x:row>
    <x:row r="199">
      <x:c r="A199" s="25" t="n">
        <x:v>198</x:v>
      </x:c>
      <x:c r="B199" s="26" t="n">
        <x:v>45322.9591087963</x:v>
      </x:c>
      <x:c r="C199" s="27" t="n">
        <x:f>INT(B199)</x:f>
        <x:v>45322</x:v>
      </x:c>
      <x:c r="D199" s="28" t="n">
        <x:f>MOD(B199,1)</x:f>
        <x:v>0.9591087962980964</x:v>
      </x:c>
      <x:c r="E199" s="29" t="n">
        <x:f>YEAR(B199)</x:f>
        <x:v>2024</x:v>
      </x:c>
      <x:c r="F199" s="29" t="n">
        <x:f>MONTH(B199)</x:f>
        <x:v>1</x:v>
      </x:c>
      <x:c r="G199" s="30" t="n">
        <x:v>-32.12</x:v>
      </x:c>
      <x:c r="H199" s="30" t="n">
        <x:v>-71.2</x:v>
      </x:c>
      <x:c r="I199" s="29" t="n">
        <x:v>89</x:v>
      </x:c>
      <x:c r="J199" s="31" t="n">
        <x:v>3.7</x:v>
      </x:c>
      <x:c r="K199" s="25" t="str">
        <x:f>IF(J199&gt;=7,"Muy fuerte (&gt;=7)",IF(J199&gt;=6,"Fuerte (6-6.9)",IF(J199&gt;=5,"Moderado alto (5-5.9)",IF(J199&gt;=4,"Moderado (4-4.9)","Menor a 4"))))</x:f>
        <x:v>Menor a 4</x:v>
      </x:c>
      <x:c r="L199" s="25" t="str">
        <x:f>IF(I199&lt;70,"Superficial (&lt;70 km)",IF(I199&lt;=300,"Intermedio (70-300 km)","Profundo (&gt;300 km)"))</x:f>
        <x:v>Intermedio (70-300 km)</x:v>
      </x:c>
      <x:c r="M199" s="25" t="str">
        <x:f>IF(J199&gt;=5,"Sí","No")</x:f>
        <x:v>No</x:v>
      </x:c>
      <x:c r="N199" s="25" t="str">
        <x:f>IF(J199&gt;=6,"Sí","No")</x:f>
        <x:v>No</x:v>
      </x:c>
      <x:c r="O199" s="25" t="str">
        <x:v>Pendiente: asignar con R/sf</x:v>
      </x:c>
    </x:row>
    <x:row r="200">
      <x:c r="A200" s="25" t="n">
        <x:v>199</x:v>
      </x:c>
      <x:c r="B200" s="26" t="n">
        <x:v>45469.86541666667</x:v>
      </x:c>
      <x:c r="C200" s="27" t="n">
        <x:f>INT(B200)</x:f>
        <x:v>45469</x:v>
      </x:c>
      <x:c r="D200" s="28" t="n">
        <x:f>MOD(B200,1)</x:f>
        <x:v>0.8654166666674428</x:v>
      </x:c>
      <x:c r="E200" s="29" t="n">
        <x:f>YEAR(B200)</x:f>
        <x:v>2024</x:v>
      </x:c>
      <x:c r="F200" s="29" t="n">
        <x:f>MONTH(B200)</x:f>
        <x:v>6</x:v>
      </x:c>
      <x:c r="G200" s="30" t="n">
        <x:v>-31.02</x:v>
      </x:c>
      <x:c r="H200" s="30" t="n">
        <x:v>-71.56</x:v>
      </x:c>
      <x:c r="I200" s="29" t="n">
        <x:v>71</x:v>
      </x:c>
      <x:c r="J200" s="31" t="n">
        <x:v>4.6</x:v>
      </x:c>
      <x:c r="K200" s="25" t="str">
        <x:f>IF(J200&gt;=7,"Muy fuerte (&gt;=7)",IF(J200&gt;=6,"Fuerte (6-6.9)",IF(J200&gt;=5,"Moderado alto (5-5.9)",IF(J200&gt;=4,"Moderado (4-4.9)","Menor a 4"))))</x:f>
        <x:v>Moderado (4-4.9)</x:v>
      </x:c>
      <x:c r="L200" s="25" t="str">
        <x:f>IF(I200&lt;70,"Superficial (&lt;70 km)",IF(I200&lt;=300,"Intermedio (70-300 km)","Profundo (&gt;300 km)"))</x:f>
        <x:v>Intermedio (70-300 km)</x:v>
      </x:c>
      <x:c r="M200" s="25" t="str">
        <x:f>IF(J200&gt;=5,"Sí","No")</x:f>
        <x:v>No</x:v>
      </x:c>
      <x:c r="N200" s="25" t="str">
        <x:f>IF(J200&gt;=6,"Sí","No")</x:f>
        <x:v>No</x:v>
      </x:c>
      <x:c r="O200" s="25" t="str">
        <x:v>Pendiente: asignar con R/sf</x:v>
      </x:c>
    </x:row>
    <x:row r="201">
      <x:c r="A201" s="25" t="n">
        <x:v>200</x:v>
      </x:c>
      <x:c r="B201" s="26" t="n">
        <x:v>45498.95371527778</x:v>
      </x:c>
      <x:c r="C201" s="27" t="n">
        <x:f>INT(B201)</x:f>
        <x:v>45498</x:v>
      </x:c>
      <x:c r="D201" s="28" t="n">
        <x:f>MOD(B201,1)</x:f>
        <x:v>0.9537152777775191</x:v>
      </x:c>
      <x:c r="E201" s="29" t="n">
        <x:f>YEAR(B201)</x:f>
        <x:v>2024</x:v>
      </x:c>
      <x:c r="F201" s="29" t="n">
        <x:f>MONTH(B201)</x:f>
        <x:v>7</x:v>
      </x:c>
      <x:c r="G201" s="30" t="n">
        <x:v>-32.42</x:v>
      </x:c>
      <x:c r="H201" s="30" t="n">
        <x:v>-71.44</x:v>
      </x:c>
      <x:c r="I201" s="29" t="n">
        <x:v>39</x:v>
      </x:c>
      <x:c r="J201" s="31" t="n">
        <x:v>3.1</x:v>
      </x:c>
      <x:c r="K201" s="25" t="str">
        <x:f>IF(J201&gt;=7,"Muy fuerte (&gt;=7)",IF(J201&gt;=6,"Fuerte (6-6.9)",IF(J201&gt;=5,"Moderado alto (5-5.9)",IF(J201&gt;=4,"Moderado (4-4.9)","Menor a 4"))))</x:f>
        <x:v>Menor a 4</x:v>
      </x:c>
      <x:c r="L201" s="25" t="str">
        <x:f>IF(I201&lt;70,"Superficial (&lt;70 km)",IF(I201&lt;=300,"Intermedio (70-300 km)","Profundo (&gt;300 km)"))</x:f>
        <x:v>Superficial (&lt;70 km)</x:v>
      </x:c>
      <x:c r="M201" s="25" t="str">
        <x:f>IF(J201&gt;=5,"Sí","No")</x:f>
        <x:v>No</x:v>
      </x:c>
      <x:c r="N201" s="25" t="str">
        <x:f>IF(J201&gt;=6,"Sí","No")</x:f>
        <x:v>No</x:v>
      </x:c>
      <x:c r="O201" s="25" t="str">
        <x:v>Pendiente: asignar con R/sf</x:v>
      </x:c>
    </x:row>
    <x:row r="202">
      <x:c r="A202" s="25" t="n">
        <x:v>201</x:v>
      </x:c>
      <x:c r="B202" s="26" t="n">
        <x:v>45313.80671296296</x:v>
      </x:c>
      <x:c r="C202" s="27" t="n">
        <x:f>INT(B202)</x:f>
        <x:v>45313</x:v>
      </x:c>
      <x:c r="D202" s="28" t="n">
        <x:f>MOD(B202,1)</x:f>
        <x:v>0.8067129629635019</x:v>
      </x:c>
      <x:c r="E202" s="29" t="n">
        <x:f>YEAR(B202)</x:f>
        <x:v>2024</x:v>
      </x:c>
      <x:c r="F202" s="29" t="n">
        <x:f>MONTH(B202)</x:f>
        <x:v>1</x:v>
      </x:c>
      <x:c r="G202" s="30" t="n">
        <x:v>-33.34</x:v>
      </x:c>
      <x:c r="H202" s="30" t="n">
        <x:v>-71.71</x:v>
      </x:c>
      <x:c r="I202" s="29" t="n">
        <x:v>21</x:v>
      </x:c>
      <x:c r="J202" s="31" t="n">
        <x:v>3.1</x:v>
      </x:c>
      <x:c r="K202" s="25" t="str">
        <x:f>IF(J202&gt;=7,"Muy fuerte (&gt;=7)",IF(J202&gt;=6,"Fuerte (6-6.9)",IF(J202&gt;=5,"Moderado alto (5-5.9)",IF(J202&gt;=4,"Moderado (4-4.9)","Menor a 4"))))</x:f>
        <x:v>Menor a 4</x:v>
      </x:c>
      <x:c r="L202" s="25" t="str">
        <x:f>IF(I202&lt;70,"Superficial (&lt;70 km)",IF(I202&lt;=300,"Intermedio (70-300 km)","Profundo (&gt;300 km)"))</x:f>
        <x:v>Superficial (&lt;70 km)</x:v>
      </x:c>
      <x:c r="M202" s="25" t="str">
        <x:f>IF(J202&gt;=5,"Sí","No")</x:f>
        <x:v>No</x:v>
      </x:c>
      <x:c r="N202" s="25" t="str">
        <x:f>IF(J202&gt;=6,"Sí","No")</x:f>
        <x:v>No</x:v>
      </x:c>
      <x:c r="O202" s="25" t="str">
        <x:v>Pendiente: asignar con R/sf</x:v>
      </x:c>
    </x:row>
    <x:row r="203">
      <x:c r="A203" s="25" t="n">
        <x:v>202</x:v>
      </x:c>
      <x:c r="B203" s="26" t="n">
        <x:v>45429.22119212963</x:v>
      </x:c>
      <x:c r="C203" s="27" t="n">
        <x:f>INT(B203)</x:f>
        <x:v>45429</x:v>
      </x:c>
      <x:c r="D203" s="28" t="n">
        <x:f>MOD(B203,1)</x:f>
        <x:v>0.22119212963298196</x:v>
      </x:c>
      <x:c r="E203" s="29" t="n">
        <x:f>YEAR(B203)</x:f>
        <x:v>2024</x:v>
      </x:c>
      <x:c r="F203" s="29" t="n">
        <x:f>MONTH(B203)</x:f>
        <x:v>5</x:v>
      </x:c>
      <x:c r="G203" s="30" t="n">
        <x:v>-33</x:v>
      </x:c>
      <x:c r="H203" s="30" t="n">
        <x:v>-71.49</x:v>
      </x:c>
      <x:c r="I203" s="29" t="n">
        <x:v>55</x:v>
      </x:c>
      <x:c r="J203" s="31" t="n">
        <x:v>3</x:v>
      </x:c>
      <x:c r="K203" s="25" t="str">
        <x:f>IF(J203&gt;=7,"Muy fuerte (&gt;=7)",IF(J203&gt;=6,"Fuerte (6-6.9)",IF(J203&gt;=5,"Moderado alto (5-5.9)",IF(J203&gt;=4,"Moderado (4-4.9)","Menor a 4"))))</x:f>
        <x:v>Menor a 4</x:v>
      </x:c>
      <x:c r="L203" s="25" t="str">
        <x:f>IF(I203&lt;70,"Superficial (&lt;70 km)",IF(I203&lt;=300,"Intermedio (70-300 km)","Profundo (&gt;300 km)"))</x:f>
        <x:v>Superficial (&lt;70 km)</x:v>
      </x:c>
      <x:c r="M203" s="25" t="str">
        <x:f>IF(J203&gt;=5,"Sí","No")</x:f>
        <x:v>No</x:v>
      </x:c>
      <x:c r="N203" s="25" t="str">
        <x:f>IF(J203&gt;=6,"Sí","No")</x:f>
        <x:v>No</x:v>
      </x:c>
      <x:c r="O203" s="25" t="str">
        <x:v>Pendiente: asignar con R/sf</x:v>
      </x:c>
    </x:row>
    <x:row r="204">
      <x:c r="A204" s="25" t="n">
        <x:v>203</x:v>
      </x:c>
      <x:c r="B204" s="26" t="n">
        <x:v>44947.71673611111</x:v>
      </x:c>
      <x:c r="C204" s="27" t="n">
        <x:f>INT(B204)</x:f>
        <x:v>44947</x:v>
      </x:c>
      <x:c r="D204" s="28" t="n">
        <x:f>MOD(B204,1)</x:f>
        <x:v>0.7167361111132777</x:v>
      </x:c>
      <x:c r="E204" s="29" t="n">
        <x:f>YEAR(B204)</x:f>
        <x:v>2023</x:v>
      </x:c>
      <x:c r="F204" s="29" t="n">
        <x:f>MONTH(B204)</x:f>
        <x:v>1</x:v>
      </x:c>
      <x:c r="G204" s="30" t="n">
        <x:v>-18.9</x:v>
      </x:c>
      <x:c r="H204" s="30" t="n">
        <x:v>-70.67</x:v>
      </x:c>
      <x:c r="I204" s="29" t="n">
        <x:v>39</x:v>
      </x:c>
      <x:c r="J204" s="31" t="n">
        <x:v>3.1</x:v>
      </x:c>
      <x:c r="K204" s="25" t="str">
        <x:f>IF(J204&gt;=7,"Muy fuerte (&gt;=7)",IF(J204&gt;=6,"Fuerte (6-6.9)",IF(J204&gt;=5,"Moderado alto (5-5.9)",IF(J204&gt;=4,"Moderado (4-4.9)","Menor a 4"))))</x:f>
        <x:v>Menor a 4</x:v>
      </x:c>
      <x:c r="L204" s="25" t="str">
        <x:f>IF(I204&lt;70,"Superficial (&lt;70 km)",IF(I204&lt;=300,"Intermedio (70-300 km)","Profundo (&gt;300 km)"))</x:f>
        <x:v>Superficial (&lt;70 km)</x:v>
      </x:c>
      <x:c r="M204" s="25" t="str">
        <x:f>IF(J204&gt;=5,"Sí","No")</x:f>
        <x:v>No</x:v>
      </x:c>
      <x:c r="N204" s="25" t="str">
        <x:f>IF(J204&gt;=6,"Sí","No")</x:f>
        <x:v>No</x:v>
      </x:c>
      <x:c r="O204" s="25" t="str">
        <x:v>Pendiente: asignar con R/sf</x:v>
      </x:c>
    </x:row>
    <x:row r="205">
      <x:c r="A205" s="25" t="n">
        <x:v>204</x:v>
      </x:c>
      <x:c r="B205" s="26" t="n">
        <x:v>45199.4490625</x:v>
      </x:c>
      <x:c r="C205" s="27" t="n">
        <x:f>INT(B205)</x:f>
        <x:v>45199</x:v>
      </x:c>
      <x:c r="D205" s="28" t="n">
        <x:f>MOD(B205,1)</x:f>
        <x:v>0.44906250000349246</x:v>
      </x:c>
      <x:c r="E205" s="29" t="n">
        <x:f>YEAR(B205)</x:f>
        <x:v>2023</x:v>
      </x:c>
      <x:c r="F205" s="29" t="n">
        <x:f>MONTH(B205)</x:f>
        <x:v>9</x:v>
      </x:c>
      <x:c r="G205" s="30" t="n">
        <x:v>-18.95</x:v>
      </x:c>
      <x:c r="H205" s="30" t="n">
        <x:v>-70.53</x:v>
      </x:c>
      <x:c r="I205" s="29" t="n">
        <x:v>39</x:v>
      </x:c>
      <x:c r="J205" s="31" t="n">
        <x:v>3.4</x:v>
      </x:c>
      <x:c r="K205" s="25" t="str">
        <x:f>IF(J205&gt;=7,"Muy fuerte (&gt;=7)",IF(J205&gt;=6,"Fuerte (6-6.9)",IF(J205&gt;=5,"Moderado alto (5-5.9)",IF(J205&gt;=4,"Moderado (4-4.9)","Menor a 4"))))</x:f>
        <x:v>Menor a 4</x:v>
      </x:c>
      <x:c r="L205" s="25" t="str">
        <x:f>IF(I205&lt;70,"Superficial (&lt;70 km)",IF(I205&lt;=300,"Intermedio (70-300 km)","Profundo (&gt;300 km)"))</x:f>
        <x:v>Superficial (&lt;70 km)</x:v>
      </x:c>
      <x:c r="M205" s="25" t="str">
        <x:f>IF(J205&gt;=5,"Sí","No")</x:f>
        <x:v>No</x:v>
      </x:c>
      <x:c r="N205" s="25" t="str">
        <x:f>IF(J205&gt;=6,"Sí","No")</x:f>
        <x:v>No</x:v>
      </x:c>
      <x:c r="O205" s="25" t="str">
        <x:v>Pendiente: asignar con R/sf</x:v>
      </x:c>
    </x:row>
    <x:row r="206">
      <x:c r="A206" s="25" t="n">
        <x:v>205</x:v>
      </x:c>
      <x:c r="B206" s="26" t="n">
        <x:v>45489.52491898148</x:v>
      </x:c>
      <x:c r="C206" s="27" t="n">
        <x:f>INT(B206)</x:f>
        <x:v>45489</x:v>
      </x:c>
      <x:c r="D206" s="28" t="n">
        <x:f>MOD(B206,1)</x:f>
        <x:v>0.5249189814785495</x:v>
      </x:c>
      <x:c r="E206" s="29" t="n">
        <x:f>YEAR(B206)</x:f>
        <x:v>2024</x:v>
      </x:c>
      <x:c r="F206" s="29" t="n">
        <x:f>MONTH(B206)</x:f>
        <x:v>7</x:v>
      </x:c>
      <x:c r="G206" s="30" t="n">
        <x:v>-20.79</x:v>
      </x:c>
      <x:c r="H206" s="30" t="n">
        <x:v>-70.17</x:v>
      </x:c>
      <x:c r="I206" s="29" t="n">
        <x:v>35</x:v>
      </x:c>
      <x:c r="J206" s="31" t="n">
        <x:v>3.8</x:v>
      </x:c>
      <x:c r="K206" s="25" t="str">
        <x:f>IF(J206&gt;=7,"Muy fuerte (&gt;=7)",IF(J206&gt;=6,"Fuerte (6-6.9)",IF(J206&gt;=5,"Moderado alto (5-5.9)",IF(J206&gt;=4,"Moderado (4-4.9)","Menor a 4"))))</x:f>
        <x:v>Menor a 4</x:v>
      </x:c>
      <x:c r="L206" s="25" t="str">
        <x:f>IF(I206&lt;70,"Superficial (&lt;70 km)",IF(I206&lt;=300,"Intermedio (70-300 km)","Profundo (&gt;300 km)"))</x:f>
        <x:v>Superficial (&lt;70 km)</x:v>
      </x:c>
      <x:c r="M206" s="25" t="str">
        <x:f>IF(J206&gt;=5,"Sí","No")</x:f>
        <x:v>No</x:v>
      </x:c>
      <x:c r="N206" s="25" t="str">
        <x:f>IF(J206&gt;=6,"Sí","No")</x:f>
        <x:v>No</x:v>
      </x:c>
      <x:c r="O206" s="25" t="str">
        <x:v>Pendiente: asignar con R/sf</x:v>
      </x:c>
    </x:row>
    <x:row r="207">
      <x:c r="A207" s="25" t="n">
        <x:v>206</x:v>
      </x:c>
      <x:c r="B207" s="26" t="n">
        <x:v>45540.44337962963</x:v>
      </x:c>
      <x:c r="C207" s="27" t="n">
        <x:f>INT(B207)</x:f>
        <x:v>45540</x:v>
      </x:c>
      <x:c r="D207" s="28" t="n">
        <x:f>MOD(B207,1)</x:f>
        <x:v>0.4433796296289074</x:v>
      </x:c>
      <x:c r="E207" s="29" t="n">
        <x:f>YEAR(B207)</x:f>
        <x:v>2024</x:v>
      </x:c>
      <x:c r="F207" s="29" t="n">
        <x:f>MONTH(B207)</x:f>
        <x:v>9</x:v>
      </x:c>
      <x:c r="G207" s="30" t="n">
        <x:v>-19.13</x:v>
      </x:c>
      <x:c r="H207" s="30" t="n">
        <x:v>-67.65</x:v>
      </x:c>
      <x:c r="I207" s="29" t="n">
        <x:v>245</x:v>
      </x:c>
      <x:c r="J207" s="31" t="n">
        <x:v>5.5</x:v>
      </x:c>
      <x:c r="K207" s="25" t="str">
        <x:f>IF(J207&gt;=7,"Muy fuerte (&gt;=7)",IF(J207&gt;=6,"Fuerte (6-6.9)",IF(J207&gt;=5,"Moderado alto (5-5.9)",IF(J207&gt;=4,"Moderado (4-4.9)","Menor a 4"))))</x:f>
        <x:v>Moderado alto (5-5.9)</x:v>
      </x:c>
      <x:c r="L207" s="25" t="str">
        <x:f>IF(I207&lt;70,"Superficial (&lt;70 km)",IF(I207&lt;=300,"Intermedio (70-300 km)","Profundo (&gt;300 km)"))</x:f>
        <x:v>Intermedio (70-300 km)</x:v>
      </x:c>
      <x:c r="M207" s="25" t="str">
        <x:f>IF(J207&gt;=5,"Sí","No")</x:f>
        <x:v>Sí</x:v>
      </x:c>
      <x:c r="N207" s="25" t="str">
        <x:f>IF(J207&gt;=6,"Sí","No")</x:f>
        <x:v>No</x:v>
      </x:c>
      <x:c r="O207" s="25" t="str">
        <x:v>Pendiente: asignar con R/sf</x:v>
      </x:c>
    </x:row>
    <x:row r="208">
      <x:c r="A208" s="25" t="n">
        <x:v>207</x:v>
      </x:c>
      <x:c r="B208" s="26" t="n">
        <x:v>45541.42564814815</x:v>
      </x:c>
      <x:c r="C208" s="27" t="n">
        <x:f>INT(B208)</x:f>
        <x:v>45541</x:v>
      </x:c>
      <x:c r="D208" s="28" t="n">
        <x:f>MOD(B208,1)</x:f>
        <x:v>0.4256481481497758</x:v>
      </x:c>
      <x:c r="E208" s="29" t="n">
        <x:f>YEAR(B208)</x:f>
        <x:v>2024</x:v>
      </x:c>
      <x:c r="F208" s="29" t="n">
        <x:f>MONTH(B208)</x:f>
        <x:v>9</x:v>
      </x:c>
      <x:c r="G208" s="30" t="n">
        <x:v>-28.69</x:v>
      </x:c>
      <x:c r="H208" s="30" t="n">
        <x:v>-69.56</x:v>
      </x:c>
      <x:c r="I208" s="29" t="n">
        <x:v>128</x:v>
      </x:c>
      <x:c r="J208" s="31" t="n">
        <x:v>5.7</x:v>
      </x:c>
      <x:c r="K208" s="25" t="str">
        <x:f>IF(J208&gt;=7,"Muy fuerte (&gt;=7)",IF(J208&gt;=6,"Fuerte (6-6.9)",IF(J208&gt;=5,"Moderado alto (5-5.9)",IF(J208&gt;=4,"Moderado (4-4.9)","Menor a 4"))))</x:f>
        <x:v>Moderado alto (5-5.9)</x:v>
      </x:c>
      <x:c r="L208" s="25" t="str">
        <x:f>IF(I208&lt;70,"Superficial (&lt;70 km)",IF(I208&lt;=300,"Intermedio (70-300 km)","Profundo (&gt;300 km)"))</x:f>
        <x:v>Intermedio (70-300 km)</x:v>
      </x:c>
      <x:c r="M208" s="25" t="str">
        <x:f>IF(J208&gt;=5,"Sí","No")</x:f>
        <x:v>Sí</x:v>
      </x:c>
      <x:c r="N208" s="25" t="str">
        <x:f>IF(J208&gt;=6,"Sí","No")</x:f>
        <x:v>No</x:v>
      </x:c>
      <x:c r="O208" s="25" t="str">
        <x:v>Pendiente: asignar con R/sf</x:v>
      </x:c>
    </x:row>
    <x:row r="209">
      <x:c r="A209" s="25" t="n">
        <x:v>208</x:v>
      </x:c>
      <x:c r="B209" s="26" t="n">
        <x:v>45557.78238425926</x:v>
      </x:c>
      <x:c r="C209" s="27" t="n">
        <x:f>INT(B209)</x:f>
        <x:v>45557</x:v>
      </x:c>
      <x:c r="D209" s="28" t="n">
        <x:f>MOD(B209,1)</x:f>
        <x:v>0.7823842592624715</x:v>
      </x:c>
      <x:c r="E209" s="29" t="n">
        <x:f>YEAR(B209)</x:f>
        <x:v>2024</x:v>
      </x:c>
      <x:c r="F209" s="29" t="n">
        <x:f>MONTH(B209)</x:f>
        <x:v>9</x:v>
      </x:c>
      <x:c r="G209" s="30" t="n">
        <x:v>-32.04</x:v>
      </x:c>
      <x:c r="H209" s="30" t="n">
        <x:v>-71.46</x:v>
      </x:c>
      <x:c r="I209" s="29" t="n">
        <x:v>60</x:v>
      </x:c>
      <x:c r="J209" s="31" t="n">
        <x:v>5.2</x:v>
      </x:c>
      <x:c r="K209" s="25" t="str">
        <x:f>IF(J209&gt;=7,"Muy fuerte (&gt;=7)",IF(J209&gt;=6,"Fuerte (6-6.9)",IF(J209&gt;=5,"Moderado alto (5-5.9)",IF(J209&gt;=4,"Moderado (4-4.9)","Menor a 4"))))</x:f>
        <x:v>Moderado alto (5-5.9)</x:v>
      </x:c>
      <x:c r="L209" s="25" t="str">
        <x:f>IF(I209&lt;70,"Superficial (&lt;70 km)",IF(I209&lt;=300,"Intermedio (70-300 km)","Profundo (&gt;300 km)"))</x:f>
        <x:v>Superficial (&lt;70 km)</x:v>
      </x:c>
      <x:c r="M209" s="25" t="str">
        <x:f>IF(J209&gt;=5,"Sí","No")</x:f>
        <x:v>Sí</x:v>
      </x:c>
      <x:c r="N209" s="25" t="str">
        <x:f>IF(J209&gt;=6,"Sí","No")</x:f>
        <x:v>No</x:v>
      </x:c>
      <x:c r="O209" s="25" t="str">
        <x:v>Pendiente: asignar con R/sf</x:v>
      </x:c>
    </x:row>
    <x:row r="210">
      <x:c r="A210" s="25" t="n">
        <x:v>209</x:v>
      </x:c>
      <x:c r="B210" s="26" t="n">
        <x:v>45558.108773148146</x:v>
      </x:c>
      <x:c r="C210" s="27" t="n">
        <x:f>INT(B210)</x:f>
        <x:v>45558</x:v>
      </x:c>
      <x:c r="D210" s="28" t="n">
        <x:f>MOD(B210,1)</x:f>
        <x:v>0.10877314814570127</x:v>
      </x:c>
      <x:c r="E210" s="29" t="n">
        <x:f>YEAR(B210)</x:f>
        <x:v>2024</x:v>
      </x:c>
      <x:c r="F210" s="29" t="n">
        <x:f>MONTH(B210)</x:f>
        <x:v>9</x:v>
      </x:c>
      <x:c r="G210" s="30" t="n">
        <x:v>-29.73</x:v>
      </x:c>
      <x:c r="H210" s="30" t="n">
        <x:v>-71.19</x:v>
      </x:c>
      <x:c r="I210" s="29" t="n">
        <x:v>65</x:v>
      </x:c>
      <x:c r="J210" s="31" t="n">
        <x:v>5.5</x:v>
      </x:c>
      <x:c r="K210" s="25" t="str">
        <x:f>IF(J210&gt;=7,"Muy fuerte (&gt;=7)",IF(J210&gt;=6,"Fuerte (6-6.9)",IF(J210&gt;=5,"Moderado alto (5-5.9)",IF(J210&gt;=4,"Moderado (4-4.9)","Menor a 4"))))</x:f>
        <x:v>Moderado alto (5-5.9)</x:v>
      </x:c>
      <x:c r="L210" s="25" t="str">
        <x:f>IF(I210&lt;70,"Superficial (&lt;70 km)",IF(I210&lt;=300,"Intermedio (70-300 km)","Profundo (&gt;300 km)"))</x:f>
        <x:v>Superficial (&lt;70 km)</x:v>
      </x:c>
      <x:c r="M210" s="25" t="str">
        <x:f>IF(J210&gt;=5,"Sí","No")</x:f>
        <x:v>Sí</x:v>
      </x:c>
      <x:c r="N210" s="25" t="str">
        <x:f>IF(J210&gt;=6,"Sí","No")</x:f>
        <x:v>No</x:v>
      </x:c>
      <x:c r="O210" s="25" t="str">
        <x:v>Pendiente: asignar con R/sf</x:v>
      </x:c>
    </x:row>
    <x:row r="211">
      <x:c r="A211" s="25" t="n">
        <x:v>210</x:v>
      </x:c>
      <x:c r="B211" s="26" t="n">
        <x:v>45559.600277777776</x:v>
      </x:c>
      <x:c r="C211" s="27" t="n">
        <x:f>INT(B211)</x:f>
        <x:v>45559</x:v>
      </x:c>
      <x:c r="D211" s="28" t="n">
        <x:f>MOD(B211,1)</x:f>
        <x:v>0.6002777777757728</x:v>
      </x:c>
      <x:c r="E211" s="29" t="n">
        <x:f>YEAR(B211)</x:f>
        <x:v>2024</x:v>
      </x:c>
      <x:c r="F211" s="29" t="n">
        <x:f>MONTH(B211)</x:f>
        <x:v>9</x:v>
      </x:c>
      <x:c r="G211" s="30" t="n">
        <x:v>-25.93</x:v>
      </x:c>
      <x:c r="H211" s="30" t="n">
        <x:v>-71.15</x:v>
      </x:c>
      <x:c r="I211" s="29" t="n">
        <x:v>50</x:v>
      </x:c>
      <x:c r="J211" s="31" t="n">
        <x:v>5.3</x:v>
      </x:c>
      <x:c r="K211" s="25" t="str">
        <x:f>IF(J211&gt;=7,"Muy fuerte (&gt;=7)",IF(J211&gt;=6,"Fuerte (6-6.9)",IF(J211&gt;=5,"Moderado alto (5-5.9)",IF(J211&gt;=4,"Moderado (4-4.9)","Menor a 4"))))</x:f>
        <x:v>Moderado alto (5-5.9)</x:v>
      </x:c>
      <x:c r="L211" s="25" t="str">
        <x:f>IF(I211&lt;70,"Superficial (&lt;70 km)",IF(I211&lt;=300,"Intermedio (70-300 km)","Profundo (&gt;300 km)"))</x:f>
        <x:v>Superficial (&lt;70 km)</x:v>
      </x:c>
      <x:c r="M211" s="25" t="str">
        <x:f>IF(J211&gt;=5,"Sí","No")</x:f>
        <x:v>Sí</x:v>
      </x:c>
      <x:c r="N211" s="25" t="str">
        <x:f>IF(J211&gt;=6,"Sí","No")</x:f>
        <x:v>No</x:v>
      </x:c>
      <x:c r="O211" s="25" t="str">
        <x:v>Pendiente: asignar con R/sf</x:v>
      </x:c>
    </x:row>
    <x:row r="212">
      <x:c r="A212" s="25" t="n">
        <x:v>211</x:v>
      </x:c>
      <x:c r="B212" s="26" t="n">
        <x:v>45170.331030092595</x:v>
      </x:c>
      <x:c r="C212" s="27" t="n">
        <x:f>INT(B212)</x:f>
        <x:v>45170</x:v>
      </x:c>
      <x:c r="D212" s="28" t="n">
        <x:f>MOD(B212,1)</x:f>
        <x:v>0.3310300925950287</x:v>
      </x:c>
      <x:c r="E212" s="29" t="n">
        <x:f>YEAR(B212)</x:f>
        <x:v>2023</x:v>
      </x:c>
      <x:c r="F212" s="29" t="n">
        <x:f>MONTH(B212)</x:f>
        <x:v>9</x:v>
      </x:c>
      <x:c r="G212" s="30" t="n">
        <x:v>-32.75</x:v>
      </x:c>
      <x:c r="H212" s="30" t="n">
        <x:v>-70.46</x:v>
      </x:c>
      <x:c r="I212" s="29" t="n">
        <x:v>107</x:v>
      </x:c>
      <x:c r="J212" s="31" t="n">
        <x:v>4.6</x:v>
      </x:c>
      <x:c r="K212" s="25" t="str">
        <x:f>IF(J212&gt;=7,"Muy fuerte (&gt;=7)",IF(J212&gt;=6,"Fuerte (6-6.9)",IF(J212&gt;=5,"Moderado alto (5-5.9)",IF(J212&gt;=4,"Moderado (4-4.9)","Menor a 4"))))</x:f>
        <x:v>Moderado (4-4.9)</x:v>
      </x:c>
      <x:c r="L212" s="25" t="str">
        <x:f>IF(I212&lt;70,"Superficial (&lt;70 km)",IF(I212&lt;=300,"Intermedio (70-300 km)","Profundo (&gt;300 km)"))</x:f>
        <x:v>Intermedio (70-300 km)</x:v>
      </x:c>
      <x:c r="M212" s="25" t="str">
        <x:f>IF(J212&gt;=5,"Sí","No")</x:f>
        <x:v>No</x:v>
      </x:c>
      <x:c r="N212" s="25" t="str">
        <x:f>IF(J212&gt;=6,"Sí","No")</x:f>
        <x:v>No</x:v>
      </x:c>
      <x:c r="O212" s="25" t="str">
        <x:v>Pendiente: asignar con R/sf</x:v>
      </x:c>
    </x:row>
    <x:row r="213">
      <x:c r="A213" s="25" t="n">
        <x:v>212</x:v>
      </x:c>
      <x:c r="B213" s="26" t="n">
        <x:v>44527.94777777778</x:v>
      </x:c>
      <x:c r="C213" s="27" t="n">
        <x:f>INT(B213)</x:f>
        <x:v>44527</x:v>
      </x:c>
      <x:c r="D213" s="28" t="n">
        <x:f>MOD(B213,1)</x:f>
        <x:v>0.9477777777792653</x:v>
      </x:c>
      <x:c r="E213" s="29" t="n">
        <x:f>YEAR(B213)</x:f>
        <x:v>2021</x:v>
      </x:c>
      <x:c r="F213" s="29" t="n">
        <x:f>MONTH(B213)</x:f>
        <x:v>11</x:v>
      </x:c>
      <x:c r="G213" s="30" t="n">
        <x:v>-27.86</x:v>
      </x:c>
      <x:c r="H213" s="30" t="n">
        <x:v>-71.04</x:v>
      </x:c>
      <x:c r="I213" s="29" t="n">
        <x:v>39</x:v>
      </x:c>
      <x:c r="J213" s="31" t="n">
        <x:v>4.8</x:v>
      </x:c>
      <x:c r="K213" s="25" t="str">
        <x:f>IF(J213&gt;=7,"Muy fuerte (&gt;=7)",IF(J213&gt;=6,"Fuerte (6-6.9)",IF(J213&gt;=5,"Moderado alto (5-5.9)",IF(J213&gt;=4,"Moderado (4-4.9)","Menor a 4"))))</x:f>
        <x:v>Moderado (4-4.9)</x:v>
      </x:c>
      <x:c r="L213" s="25" t="str">
        <x:f>IF(I213&lt;70,"Superficial (&lt;70 km)",IF(I213&lt;=300,"Intermedio (70-300 km)","Profundo (&gt;300 km)"))</x:f>
        <x:v>Superficial (&lt;70 km)</x:v>
      </x:c>
      <x:c r="M213" s="25" t="str">
        <x:f>IF(J213&gt;=5,"Sí","No")</x:f>
        <x:v>No</x:v>
      </x:c>
      <x:c r="N213" s="25" t="str">
        <x:f>IF(J213&gt;=6,"Sí","No")</x:f>
        <x:v>No</x:v>
      </x:c>
      <x:c r="O213" s="25" t="str">
        <x:v>Pendiente: asignar con R/sf</x:v>
      </x:c>
    </x:row>
    <x:row r="214">
      <x:c r="A214" s="25" t="n">
        <x:v>213</x:v>
      </x:c>
      <x:c r="B214" s="26" t="n">
        <x:v>44648.0259375</x:v>
      </x:c>
      <x:c r="C214" s="27" t="n">
        <x:f>INT(B214)</x:f>
        <x:v>44648</x:v>
      </x:c>
      <x:c r="D214" s="28" t="n">
        <x:f>MOD(B214,1)</x:f>
        <x:v>0.025937500002328306</x:v>
      </x:c>
      <x:c r="E214" s="29" t="n">
        <x:f>YEAR(B214)</x:f>
        <x:v>2022</x:v>
      </x:c>
      <x:c r="F214" s="29" t="n">
        <x:f>MONTH(B214)</x:f>
        <x:v>3</x:v>
      </x:c>
      <x:c r="G214" s="30" t="n">
        <x:v>-27.67</x:v>
      </x:c>
      <x:c r="H214" s="30" t="n">
        <x:v>-70.72</x:v>
      </x:c>
      <x:c r="I214" s="29" t="n">
        <x:v>72</x:v>
      </x:c>
      <x:c r="J214" s="31" t="n">
        <x:v>4.2</x:v>
      </x:c>
      <x:c r="K214" s="25" t="str">
        <x:f>IF(J214&gt;=7,"Muy fuerte (&gt;=7)",IF(J214&gt;=6,"Fuerte (6-6.9)",IF(J214&gt;=5,"Moderado alto (5-5.9)",IF(J214&gt;=4,"Moderado (4-4.9)","Menor a 4"))))</x:f>
        <x:v>Moderado (4-4.9)</x:v>
      </x:c>
      <x:c r="L214" s="25" t="str">
        <x:f>IF(I214&lt;70,"Superficial (&lt;70 km)",IF(I214&lt;=300,"Intermedio (70-300 km)","Profundo (&gt;300 km)"))</x:f>
        <x:v>Intermedio (70-300 km)</x:v>
      </x:c>
      <x:c r="M214" s="25" t="str">
        <x:f>IF(J214&gt;=5,"Sí","No")</x:f>
        <x:v>No</x:v>
      </x:c>
      <x:c r="N214" s="25" t="str">
        <x:f>IF(J214&gt;=6,"Sí","No")</x:f>
        <x:v>No</x:v>
      </x:c>
      <x:c r="O214" s="25" t="str">
        <x:v>Pendiente: asignar con R/sf</x:v>
      </x:c>
    </x:row>
    <x:row r="215">
      <x:c r="A215" s="25" t="n">
        <x:v>214</x:v>
      </x:c>
      <x:c r="B215" s="26" t="n">
        <x:v>44666.171481481484</x:v>
      </x:c>
      <x:c r="C215" s="27" t="n">
        <x:f>INT(B215)</x:f>
        <x:v>44666</x:v>
      </x:c>
      <x:c r="D215" s="28" t="n">
        <x:f>MOD(B215,1)</x:f>
        <x:v>0.17148148148407927</x:v>
      </x:c>
      <x:c r="E215" s="29" t="n">
        <x:f>YEAR(B215)</x:f>
        <x:v>2022</x:v>
      </x:c>
      <x:c r="F215" s="29" t="n">
        <x:f>MONTH(B215)</x:f>
        <x:v>4</x:v>
      </x:c>
      <x:c r="G215" s="30" t="n">
        <x:v>-27.23</x:v>
      </x:c>
      <x:c r="H215" s="30" t="n">
        <x:v>-70.62</x:v>
      </x:c>
      <x:c r="I215" s="29" t="n">
        <x:v>50</x:v>
      </x:c>
      <x:c r="J215" s="31" t="n">
        <x:v>3.4</x:v>
      </x:c>
      <x:c r="K215" s="25" t="str">
        <x:f>IF(J215&gt;=7,"Muy fuerte (&gt;=7)",IF(J215&gt;=6,"Fuerte (6-6.9)",IF(J215&gt;=5,"Moderado alto (5-5.9)",IF(J215&gt;=4,"Moderado (4-4.9)","Menor a 4"))))</x:f>
        <x:v>Menor a 4</x:v>
      </x:c>
      <x:c r="L215" s="25" t="str">
        <x:f>IF(I215&lt;70,"Superficial (&lt;70 km)",IF(I215&lt;=300,"Intermedio (70-300 km)","Profundo (&gt;300 km)"))</x:f>
        <x:v>Superficial (&lt;70 km)</x:v>
      </x:c>
      <x:c r="M215" s="25" t="str">
        <x:f>IF(J215&gt;=5,"Sí","No")</x:f>
        <x:v>No</x:v>
      </x:c>
      <x:c r="N215" s="25" t="str">
        <x:f>IF(J215&gt;=6,"Sí","No")</x:f>
        <x:v>No</x:v>
      </x:c>
      <x:c r="O215" s="25" t="str">
        <x:v>Pendiente: asignar con R/sf</x:v>
      </x:c>
    </x:row>
    <x:row r="216">
      <x:c r="A216" s="25" t="n">
        <x:v>215</x:v>
      </x:c>
      <x:c r="B216" s="26" t="n">
        <x:v>44463.827731481484</x:v>
      </x:c>
      <x:c r="C216" s="27" t="n">
        <x:f>INT(B216)</x:f>
        <x:v>44463</x:v>
      </x:c>
      <x:c r="D216" s="28" t="n">
        <x:f>MOD(B216,1)</x:f>
        <x:v>0.8277314814840793</x:v>
      </x:c>
      <x:c r="E216" s="29" t="n">
        <x:f>YEAR(B216)</x:f>
        <x:v>2021</x:v>
      </x:c>
      <x:c r="F216" s="29" t="n">
        <x:f>MONTH(B216)</x:f>
        <x:v>9</x:v>
      </x:c>
      <x:c r="G216" s="30" t="n">
        <x:v>-26.69</x:v>
      </x:c>
      <x:c r="H216" s="30" t="n">
        <x:v>-70.73</x:v>
      </x:c>
      <x:c r="I216" s="29" t="n">
        <x:v>55</x:v>
      </x:c>
      <x:c r="J216" s="31" t="n">
        <x:v>3.9</x:v>
      </x:c>
      <x:c r="K216" s="25" t="str">
        <x:f>IF(J216&gt;=7,"Muy fuerte (&gt;=7)",IF(J216&gt;=6,"Fuerte (6-6.9)",IF(J216&gt;=5,"Moderado alto (5-5.9)",IF(J216&gt;=4,"Moderado (4-4.9)","Menor a 4"))))</x:f>
        <x:v>Menor a 4</x:v>
      </x:c>
      <x:c r="L216" s="25" t="str">
        <x:f>IF(I216&lt;70,"Superficial (&lt;70 km)",IF(I216&lt;=300,"Intermedio (70-300 km)","Profundo (&gt;300 km)"))</x:f>
        <x:v>Superficial (&lt;70 km)</x:v>
      </x:c>
      <x:c r="M216" s="25" t="str">
        <x:f>IF(J216&gt;=5,"Sí","No")</x:f>
        <x:v>No</x:v>
      </x:c>
      <x:c r="N216" s="25" t="str">
        <x:f>IF(J216&gt;=6,"Sí","No")</x:f>
        <x:v>No</x:v>
      </x:c>
      <x:c r="O216" s="25" t="str">
        <x:v>Pendiente: asignar con R/sf</x:v>
      </x:c>
    </x:row>
    <x:row r="217">
      <x:c r="A217" s="25" t="n">
        <x:v>216</x:v>
      </x:c>
      <x:c r="B217" s="26" t="n">
        <x:v>44439.328252314815</x:v>
      </x:c>
      <x:c r="C217" s="27" t="n">
        <x:f>INT(B217)</x:f>
        <x:v>44439</x:v>
      </x:c>
      <x:c r="D217" s="28" t="n">
        <x:f>MOD(B217,1)</x:f>
        <x:v>0.32825231481547235</x:v>
      </x:c>
      <x:c r="E217" s="29" t="n">
        <x:f>YEAR(B217)</x:f>
        <x:v>2021</x:v>
      </x:c>
      <x:c r="F217" s="29" t="n">
        <x:f>MONTH(B217)</x:f>
        <x:v>8</x:v>
      </x:c>
      <x:c r="G217" s="30" t="n">
        <x:v>-28.15</x:v>
      </x:c>
      <x:c r="H217" s="30" t="n">
        <x:v>-70.74</x:v>
      </x:c>
      <x:c r="I217" s="29" t="n">
        <x:v>75</x:v>
      </x:c>
      <x:c r="J217" s="31" t="n">
        <x:v>4.4</x:v>
      </x:c>
      <x:c r="K217" s="25" t="str">
        <x:f>IF(J217&gt;=7,"Muy fuerte (&gt;=7)",IF(J217&gt;=6,"Fuerte (6-6.9)",IF(J217&gt;=5,"Moderado alto (5-5.9)",IF(J217&gt;=4,"Moderado (4-4.9)","Menor a 4"))))</x:f>
        <x:v>Moderado (4-4.9)</x:v>
      </x:c>
      <x:c r="L217" s="25" t="str">
        <x:f>IF(I217&lt;70,"Superficial (&lt;70 km)",IF(I217&lt;=300,"Intermedio (70-300 km)","Profundo (&gt;300 km)"))</x:f>
        <x:v>Intermedio (70-300 km)</x:v>
      </x:c>
      <x:c r="M217" s="25" t="str">
        <x:f>IF(J217&gt;=5,"Sí","No")</x:f>
        <x:v>No</x:v>
      </x:c>
      <x:c r="N217" s="25" t="str">
        <x:f>IF(J217&gt;=6,"Sí","No")</x:f>
        <x:v>No</x:v>
      </x:c>
      <x:c r="O217" s="25" t="str">
        <x:v>Pendiente: asignar con R/sf</x:v>
      </x:c>
    </x:row>
    <x:row r="218">
      <x:c r="A218" s="25" t="n">
        <x:v>217</x:v>
      </x:c>
      <x:c r="B218" s="26" t="n">
        <x:v>44666.10474537037</x:v>
      </x:c>
      <x:c r="C218" s="27" t="n">
        <x:f>INT(B218)</x:f>
        <x:v>44666</x:v>
      </x:c>
      <x:c r="D218" s="28" t="n">
        <x:f>MOD(B218,1)</x:f>
        <x:v>0.10474537037225673</x:v>
      </x:c>
      <x:c r="E218" s="29" t="n">
        <x:f>YEAR(B218)</x:f>
        <x:v>2022</x:v>
      </x:c>
      <x:c r="F218" s="29" t="n">
        <x:f>MONTH(B218)</x:f>
        <x:v>4</x:v>
      </x:c>
      <x:c r="G218" s="30" t="n">
        <x:v>-27.23</x:v>
      </x:c>
      <x:c r="H218" s="30" t="n">
        <x:v>-70.63</x:v>
      </x:c>
      <x:c r="I218" s="29" t="n">
        <x:v>50</x:v>
      </x:c>
      <x:c r="J218" s="31" t="n">
        <x:v>4.2</x:v>
      </x:c>
      <x:c r="K218" s="25" t="str">
        <x:f>IF(J218&gt;=7,"Muy fuerte (&gt;=7)",IF(J218&gt;=6,"Fuerte (6-6.9)",IF(J218&gt;=5,"Moderado alto (5-5.9)",IF(J218&gt;=4,"Moderado (4-4.9)","Menor a 4"))))</x:f>
        <x:v>Moderado (4-4.9)</x:v>
      </x:c>
      <x:c r="L218" s="25" t="str">
        <x:f>IF(I218&lt;70,"Superficial (&lt;70 km)",IF(I218&lt;=300,"Intermedio (70-300 km)","Profundo (&gt;300 km)"))</x:f>
        <x:v>Superficial (&lt;70 km)</x:v>
      </x:c>
      <x:c r="M218" s="25" t="str">
        <x:f>IF(J218&gt;=5,"Sí","No")</x:f>
        <x:v>No</x:v>
      </x:c>
      <x:c r="N218" s="25" t="str">
        <x:f>IF(J218&gt;=6,"Sí","No")</x:f>
        <x:v>No</x:v>
      </x:c>
      <x:c r="O218" s="25" t="str">
        <x:v>Pendiente: asignar con R/sf</x:v>
      </x:c>
    </x:row>
    <x:row r="219">
      <x:c r="A219" s="25" t="n">
        <x:v>218</x:v>
      </x:c>
      <x:c r="B219" s="26" t="n">
        <x:v>44391.22399305556</x:v>
      </x:c>
      <x:c r="C219" s="27" t="n">
        <x:f>INT(B219)</x:f>
        <x:v>44391</x:v>
      </x:c>
      <x:c r="D219" s="28" t="n">
        <x:f>MOD(B219,1)</x:f>
        <x:v>0.22399305555882165</x:v>
      </x:c>
      <x:c r="E219" s="29" t="n">
        <x:f>YEAR(B219)</x:f>
        <x:v>2021</x:v>
      </x:c>
      <x:c r="F219" s="29" t="n">
        <x:f>MONTH(B219)</x:f>
        <x:v>7</x:v>
      </x:c>
      <x:c r="G219" s="30" t="n">
        <x:v>-33.18</x:v>
      </x:c>
      <x:c r="H219" s="30" t="n">
        <x:v>-70.31</x:v>
      </x:c>
      <x:c r="I219" s="29" t="n">
        <x:v>117</x:v>
      </x:c>
      <x:c r="J219" s="31" t="n">
        <x:v>4.8</x:v>
      </x:c>
      <x:c r="K219" s="25" t="str">
        <x:f>IF(J219&gt;=7,"Muy fuerte (&gt;=7)",IF(J219&gt;=6,"Fuerte (6-6.9)",IF(J219&gt;=5,"Moderado alto (5-5.9)",IF(J219&gt;=4,"Moderado (4-4.9)","Menor a 4"))))</x:f>
        <x:v>Moderado (4-4.9)</x:v>
      </x:c>
      <x:c r="L219" s="25" t="str">
        <x:f>IF(I219&lt;70,"Superficial (&lt;70 km)",IF(I219&lt;=300,"Intermedio (70-300 km)","Profundo (&gt;300 km)"))</x:f>
        <x:v>Intermedio (70-300 km)</x:v>
      </x:c>
      <x:c r="M219" s="25" t="str">
        <x:f>IF(J219&gt;=5,"Sí","No")</x:f>
        <x:v>No</x:v>
      </x:c>
      <x:c r="N219" s="25" t="str">
        <x:f>IF(J219&gt;=6,"Sí","No")</x:f>
        <x:v>No</x:v>
      </x:c>
      <x:c r="O219" s="25" t="str">
        <x:v>Pendiente: asignar con R/sf</x:v>
      </x:c>
    </x:row>
    <x:row r="220">
      <x:c r="A220" s="25" t="n">
        <x:v>219</x:v>
      </x:c>
      <x:c r="B220" s="26" t="n">
        <x:v>44740.49936342592</x:v>
      </x:c>
      <x:c r="C220" s="27" t="n">
        <x:f>INT(B220)</x:f>
        <x:v>44740</x:v>
      </x:c>
      <x:c r="D220" s="28" t="n">
        <x:f>MOD(B220,1)</x:f>
        <x:v>0.49936342592263827</x:v>
      </x:c>
      <x:c r="E220" s="29" t="n">
        <x:f>YEAR(B220)</x:f>
        <x:v>2022</x:v>
      </x:c>
      <x:c r="F220" s="29" t="n">
        <x:f>MONTH(B220)</x:f>
        <x:v>6</x:v>
      </x:c>
      <x:c r="G220" s="30" t="n">
        <x:v>-18.25</x:v>
      </x:c>
      <x:c r="H220" s="30" t="n">
        <x:v>-71.06</x:v>
      </x:c>
      <x:c r="I220" s="29" t="n">
        <x:v>49</x:v>
      </x:c>
      <x:c r="J220" s="31" t="n">
        <x:v>5</x:v>
      </x:c>
      <x:c r="K220" s="25" t="str">
        <x:f>IF(J220&gt;=7,"Muy fuerte (&gt;=7)",IF(J220&gt;=6,"Fuerte (6-6.9)",IF(J220&gt;=5,"Moderado alto (5-5.9)",IF(J220&gt;=4,"Moderado (4-4.9)","Menor a 4"))))</x:f>
        <x:v>Moderado alto (5-5.9)</x:v>
      </x:c>
      <x:c r="L220" s="25" t="str">
        <x:f>IF(I220&lt;70,"Superficial (&lt;70 km)",IF(I220&lt;=300,"Intermedio (70-300 km)","Profundo (&gt;300 km)"))</x:f>
        <x:v>Superficial (&lt;70 km)</x:v>
      </x:c>
      <x:c r="M220" s="25" t="str">
        <x:f>IF(J220&gt;=5,"Sí","No")</x:f>
        <x:v>Sí</x:v>
      </x:c>
      <x:c r="N220" s="25" t="str">
        <x:f>IF(J220&gt;=6,"Sí","No")</x:f>
        <x:v>No</x:v>
      </x:c>
      <x:c r="O220" s="25" t="str">
        <x:v>Pendiente: asignar con R/sf</x:v>
      </x:c>
    </x:row>
    <x:row r="221">
      <x:c r="A221" s="25" t="n">
        <x:v>220</x:v>
      </x:c>
      <x:c r="B221" s="26" t="n">
        <x:v>44574.76362268518</x:v>
      </x:c>
      <x:c r="C221" s="27" t="n">
        <x:f>INT(B221)</x:f>
        <x:v>44574</x:v>
      </x:c>
      <x:c r="D221" s="28" t="n">
        <x:f>MOD(B221,1)</x:f>
        <x:v>0.7636226851827814</x:v>
      </x:c>
      <x:c r="E221" s="29" t="n">
        <x:f>YEAR(B221)</x:f>
        <x:v>2022</x:v>
      </x:c>
      <x:c r="F221" s="29" t="n">
        <x:f>MONTH(B221)</x:f>
        <x:v>1</x:v>
      </x:c>
      <x:c r="G221" s="30" t="n">
        <x:v>-26.91</x:v>
      </x:c>
      <x:c r="H221" s="30" t="n">
        <x:v>-71.22</x:v>
      </x:c>
      <x:c r="I221" s="29" t="n">
        <x:v>28</x:v>
      </x:c>
      <x:c r="J221" s="31" t="n">
        <x:v>5</x:v>
      </x:c>
      <x:c r="K221" s="25" t="str">
        <x:f>IF(J221&gt;=7,"Muy fuerte (&gt;=7)",IF(J221&gt;=6,"Fuerte (6-6.9)",IF(J221&gt;=5,"Moderado alto (5-5.9)",IF(J221&gt;=4,"Moderado (4-4.9)","Menor a 4"))))</x:f>
        <x:v>Moderado alto (5-5.9)</x:v>
      </x:c>
      <x:c r="L221" s="25" t="str">
        <x:f>IF(I221&lt;70,"Superficial (&lt;70 km)",IF(I221&lt;=300,"Intermedio (70-300 km)","Profundo (&gt;300 km)"))</x:f>
        <x:v>Superficial (&lt;70 km)</x:v>
      </x:c>
      <x:c r="M221" s="25" t="str">
        <x:f>IF(J221&gt;=5,"Sí","No")</x:f>
        <x:v>Sí</x:v>
      </x:c>
      <x:c r="N221" s="25" t="str">
        <x:f>IF(J221&gt;=6,"Sí","No")</x:f>
        <x:v>No</x:v>
      </x:c>
      <x:c r="O221" s="25" t="str">
        <x:v>Pendiente: asignar con R/sf</x:v>
      </x:c>
    </x:row>
    <x:row r="222">
      <x:c r="A222" s="25" t="n">
        <x:v>221</x:v>
      </x:c>
      <x:c r="B222" s="26" t="n">
        <x:v>44354.673425925925</x:v>
      </x:c>
      <x:c r="C222" s="27" t="n">
        <x:f>INT(B222)</x:f>
        <x:v>44354</x:v>
      </x:c>
      <x:c r="D222" s="28" t="n">
        <x:f>MOD(B222,1)</x:f>
        <x:v>0.6734259259246755</x:v>
      </x:c>
      <x:c r="E222" s="29" t="n">
        <x:f>YEAR(B222)</x:f>
        <x:v>2021</x:v>
      </x:c>
      <x:c r="F222" s="29" t="n">
        <x:f>MONTH(B222)</x:f>
        <x:v>6</x:v>
      </x:c>
      <x:c r="G222" s="30" t="n">
        <x:v>-25.93</x:v>
      </x:c>
      <x:c r="H222" s="30" t="n">
        <x:v>-71.17</x:v>
      </x:c>
      <x:c r="I222" s="29" t="n">
        <x:v>35</x:v>
      </x:c>
      <x:c r="J222" s="31" t="n">
        <x:v>4.1</x:v>
      </x:c>
      <x:c r="K222" s="25" t="str">
        <x:f>IF(J222&gt;=7,"Muy fuerte (&gt;=7)",IF(J222&gt;=6,"Fuerte (6-6.9)",IF(J222&gt;=5,"Moderado alto (5-5.9)",IF(J222&gt;=4,"Moderado (4-4.9)","Menor a 4"))))</x:f>
        <x:v>Moderado (4-4.9)</x:v>
      </x:c>
      <x:c r="L222" s="25" t="str">
        <x:f>IF(I222&lt;70,"Superficial (&lt;70 km)",IF(I222&lt;=300,"Intermedio (70-300 km)","Profundo (&gt;300 km)"))</x:f>
        <x:v>Superficial (&lt;70 km)</x:v>
      </x:c>
      <x:c r="M222" s="25" t="str">
        <x:f>IF(J222&gt;=5,"Sí","No")</x:f>
        <x:v>No</x:v>
      </x:c>
      <x:c r="N222" s="25" t="str">
        <x:f>IF(J222&gt;=6,"Sí","No")</x:f>
        <x:v>No</x:v>
      </x:c>
      <x:c r="O222" s="25" t="str">
        <x:v>Pendiente: asignar con R/sf</x:v>
      </x:c>
    </x:row>
    <x:row r="223">
      <x:c r="A223" s="25" t="n">
        <x:v>222</x:v>
      </x:c>
      <x:c r="B223" s="26" t="n">
        <x:v>44388.96734953704</x:v>
      </x:c>
      <x:c r="C223" s="27" t="n">
        <x:f>INT(B223)</x:f>
        <x:v>44388</x:v>
      </x:c>
      <x:c r="D223" s="28" t="n">
        <x:f>MOD(B223,1)</x:f>
        <x:v>0.9673495370370802</x:v>
      </x:c>
      <x:c r="E223" s="29" t="n">
        <x:f>YEAR(B223)</x:f>
        <x:v>2021</x:v>
      </x:c>
      <x:c r="F223" s="29" t="n">
        <x:f>MONTH(B223)</x:f>
        <x:v>7</x:v>
      </x:c>
      <x:c r="G223" s="30" t="n">
        <x:v>-25.82</x:v>
      </x:c>
      <x:c r="H223" s="30" t="n">
        <x:v>-70.27</x:v>
      </x:c>
      <x:c r="I223" s="29" t="n">
        <x:v>63</x:v>
      </x:c>
      <x:c r="J223" s="31" t="n">
        <x:v>4.4</x:v>
      </x:c>
      <x:c r="K223" s="25" t="str">
        <x:f>IF(J223&gt;=7,"Muy fuerte (&gt;=7)",IF(J223&gt;=6,"Fuerte (6-6.9)",IF(J223&gt;=5,"Moderado alto (5-5.9)",IF(J223&gt;=4,"Moderado (4-4.9)","Menor a 4"))))</x:f>
        <x:v>Moderado (4-4.9)</x:v>
      </x:c>
      <x:c r="L223" s="25" t="str">
        <x:f>IF(I223&lt;70,"Superficial (&lt;70 km)",IF(I223&lt;=300,"Intermedio (70-300 km)","Profundo (&gt;300 km)"))</x:f>
        <x:v>Superficial (&lt;70 km)</x:v>
      </x:c>
      <x:c r="M223" s="25" t="str">
        <x:f>IF(J223&gt;=5,"Sí","No")</x:f>
        <x:v>No</x:v>
      </x:c>
      <x:c r="N223" s="25" t="str">
        <x:f>IF(J223&gt;=6,"Sí","No")</x:f>
        <x:v>No</x:v>
      </x:c>
      <x:c r="O223" s="25" t="str">
        <x:v>Pendiente: asignar con R/sf</x:v>
      </x:c>
    </x:row>
    <x:row r="224">
      <x:c r="A224" s="25" t="n">
        <x:v>223</x:v>
      </x:c>
      <x:c r="B224" s="26" t="n">
        <x:v>44483.73724537037</x:v>
      </x:c>
      <x:c r="C224" s="27" t="n">
        <x:f>INT(B224)</x:f>
        <x:v>44483</x:v>
      </x:c>
      <x:c r="D224" s="28" t="n">
        <x:f>MOD(B224,1)</x:f>
        <x:v>0.7372453703719657</x:v>
      </x:c>
      <x:c r="E224" s="29" t="n">
        <x:f>YEAR(B224)</x:f>
        <x:v>2021</x:v>
      </x:c>
      <x:c r="F224" s="29" t="n">
        <x:f>MONTH(B224)</x:f>
        <x:v>10</x:v>
      </x:c>
      <x:c r="G224" s="30" t="n">
        <x:v>-27.64</x:v>
      </x:c>
      <x:c r="H224" s="30" t="n">
        <x:v>-70.91</x:v>
      </x:c>
      <x:c r="I224" s="29" t="n">
        <x:v>46</x:v>
      </x:c>
      <x:c r="J224" s="31" t="n">
        <x:v>4.1</x:v>
      </x:c>
      <x:c r="K224" s="25" t="str">
        <x:f>IF(J224&gt;=7,"Muy fuerte (&gt;=7)",IF(J224&gt;=6,"Fuerte (6-6.9)",IF(J224&gt;=5,"Moderado alto (5-5.9)",IF(J224&gt;=4,"Moderado (4-4.9)","Menor a 4"))))</x:f>
        <x:v>Moderado (4-4.9)</x:v>
      </x:c>
      <x:c r="L224" s="25" t="str">
        <x:f>IF(I224&lt;70,"Superficial (&lt;70 km)",IF(I224&lt;=300,"Intermedio (70-300 km)","Profundo (&gt;300 km)"))</x:f>
        <x:v>Superficial (&lt;70 km)</x:v>
      </x:c>
      <x:c r="M224" s="25" t="str">
        <x:f>IF(J224&gt;=5,"Sí","No")</x:f>
        <x:v>No</x:v>
      </x:c>
      <x:c r="N224" s="25" t="str">
        <x:f>IF(J224&gt;=6,"Sí","No")</x:f>
        <x:v>No</x:v>
      </x:c>
      <x:c r="O224" s="25" t="str">
        <x:v>Pendiente: asignar con R/sf</x:v>
      </x:c>
    </x:row>
    <x:row r="225">
      <x:c r="A225" s="25" t="n">
        <x:v>224</x:v>
      </x:c>
      <x:c r="B225" s="26" t="n">
        <x:v>44374.910358796296</x:v>
      </x:c>
      <x:c r="C225" s="27" t="n">
        <x:f>INT(B225)</x:f>
        <x:v>44374</x:v>
      </x:c>
      <x:c r="D225" s="28" t="n">
        <x:f>MOD(B225,1)</x:f>
        <x:v>0.9103587962963502</x:v>
      </x:c>
      <x:c r="E225" s="29" t="n">
        <x:f>YEAR(B225)</x:f>
        <x:v>2021</x:v>
      </x:c>
      <x:c r="F225" s="29" t="n">
        <x:f>MONTH(B225)</x:f>
        <x:v>6</x:v>
      </x:c>
      <x:c r="G225" s="30" t="n">
        <x:v>-27.26</x:v>
      </x:c>
      <x:c r="H225" s="30" t="n">
        <x:v>-70.28</x:v>
      </x:c>
      <x:c r="I225" s="29" t="n">
        <x:v>89</x:v>
      </x:c>
      <x:c r="J225" s="31" t="n">
        <x:v>3.6</x:v>
      </x:c>
      <x:c r="K225" s="25" t="str">
        <x:f>IF(J225&gt;=7,"Muy fuerte (&gt;=7)",IF(J225&gt;=6,"Fuerte (6-6.9)",IF(J225&gt;=5,"Moderado alto (5-5.9)",IF(J225&gt;=4,"Moderado (4-4.9)","Menor a 4"))))</x:f>
        <x:v>Menor a 4</x:v>
      </x:c>
      <x:c r="L225" s="25" t="str">
        <x:f>IF(I225&lt;70,"Superficial (&lt;70 km)",IF(I225&lt;=300,"Intermedio (70-300 km)","Profundo (&gt;300 km)"))</x:f>
        <x:v>Intermedio (70-300 km)</x:v>
      </x:c>
      <x:c r="M225" s="25" t="str">
        <x:f>IF(J225&gt;=5,"Sí","No")</x:f>
        <x:v>No</x:v>
      </x:c>
      <x:c r="N225" s="25" t="str">
        <x:f>IF(J225&gt;=6,"Sí","No")</x:f>
        <x:v>No</x:v>
      </x:c>
      <x:c r="O225" s="25" t="str">
        <x:v>Pendiente: asignar con R/sf</x:v>
      </x:c>
    </x:row>
    <x:row r="226">
      <x:c r="A226" s="25" t="n">
        <x:v>225</x:v>
      </x:c>
      <x:c r="B226" s="26" t="n">
        <x:v>44574.97511574074</x:v>
      </x:c>
      <x:c r="C226" s="27" t="n">
        <x:f>INT(B226)</x:f>
        <x:v>44574</x:v>
      </x:c>
      <x:c r="D226" s="28" t="n">
        <x:f>MOD(B226,1)</x:f>
        <x:v>0.9751157407372375</x:v>
      </x:c>
      <x:c r="E226" s="29" t="n">
        <x:f>YEAR(B226)</x:f>
        <x:v>2022</x:v>
      </x:c>
      <x:c r="F226" s="29" t="n">
        <x:f>MONTH(B226)</x:f>
        <x:v>1</x:v>
      </x:c>
      <x:c r="G226" s="30" t="n">
        <x:v>-27.48</x:v>
      </x:c>
      <x:c r="H226" s="30" t="n">
        <x:v>-70.43</x:v>
      </x:c>
      <x:c r="I226" s="29" t="n">
        <x:v>80</x:v>
      </x:c>
      <x:c r="J226" s="31" t="n">
        <x:v>4</x:v>
      </x:c>
      <x:c r="K226" s="25" t="str">
        <x:f>IF(J226&gt;=7,"Muy fuerte (&gt;=7)",IF(J226&gt;=6,"Fuerte (6-6.9)",IF(J226&gt;=5,"Moderado alto (5-5.9)",IF(J226&gt;=4,"Moderado (4-4.9)","Menor a 4"))))</x:f>
        <x:v>Moderado (4-4.9)</x:v>
      </x:c>
      <x:c r="L226" s="25" t="str">
        <x:f>IF(I226&lt;70,"Superficial (&lt;70 km)",IF(I226&lt;=300,"Intermedio (70-300 km)","Profundo (&gt;300 km)"))</x:f>
        <x:v>Intermedio (70-300 km)</x:v>
      </x:c>
      <x:c r="M226" s="25" t="str">
        <x:f>IF(J226&gt;=5,"Sí","No")</x:f>
        <x:v>No</x:v>
      </x:c>
      <x:c r="N226" s="25" t="str">
        <x:f>IF(J226&gt;=6,"Sí","No")</x:f>
        <x:v>No</x:v>
      </x:c>
      <x:c r="O226" s="25" t="str">
        <x:v>Pendiente: asignar con R/sf</x:v>
      </x:c>
    </x:row>
    <x:row r="227">
      <x:c r="A227" s="25" t="n">
        <x:v>226</x:v>
      </x:c>
      <x:c r="B227" s="26" t="n">
        <x:v>44257.67054398148</x:v>
      </x:c>
      <x:c r="C227" s="27" t="n">
        <x:f>INT(B227)</x:f>
        <x:v>44257</x:v>
      </x:c>
      <x:c r="D227" s="28" t="n">
        <x:f>MOD(B227,1)</x:f>
        <x:v>0.6705439814832062</x:v>
      </x:c>
      <x:c r="E227" s="29" t="n">
        <x:f>YEAR(B227)</x:f>
        <x:v>2021</x:v>
      </x:c>
      <x:c r="F227" s="29" t="n">
        <x:f>MONTH(B227)</x:f>
        <x:v>3</x:v>
      </x:c>
      <x:c r="G227" s="30" t="n">
        <x:v>-25.82</x:v>
      </x:c>
      <x:c r="H227" s="30" t="n">
        <x:v>-70.91</x:v>
      </x:c>
      <x:c r="I227" s="29" t="n">
        <x:v>38</x:v>
      </x:c>
      <x:c r="J227" s="31" t="n">
        <x:v>3.5</x:v>
      </x:c>
      <x:c r="K227" s="25" t="str">
        <x:f>IF(J227&gt;=7,"Muy fuerte (&gt;=7)",IF(J227&gt;=6,"Fuerte (6-6.9)",IF(J227&gt;=5,"Moderado alto (5-5.9)",IF(J227&gt;=4,"Moderado (4-4.9)","Menor a 4"))))</x:f>
        <x:v>Menor a 4</x:v>
      </x:c>
      <x:c r="L227" s="25" t="str">
        <x:f>IF(I227&lt;70,"Superficial (&lt;70 km)",IF(I227&lt;=300,"Intermedio (70-300 km)","Profundo (&gt;300 km)"))</x:f>
        <x:v>Superficial (&lt;70 km)</x:v>
      </x:c>
      <x:c r="M227" s="25" t="str">
        <x:f>IF(J227&gt;=5,"Sí","No")</x:f>
        <x:v>No</x:v>
      </x:c>
      <x:c r="N227" s="25" t="str">
        <x:f>IF(J227&gt;=6,"Sí","No")</x:f>
        <x:v>No</x:v>
      </x:c>
      <x:c r="O227" s="25" t="str">
        <x:v>Pendiente: asignar con R/sf</x:v>
      </x:c>
    </x:row>
    <x:row r="228">
      <x:c r="A228" s="25" t="n">
        <x:v>227</x:v>
      </x:c>
      <x:c r="B228" s="26" t="n">
        <x:v>44665.061944444446</x:v>
      </x:c>
      <x:c r="C228" s="27" t="n">
        <x:f>INT(B228)</x:f>
        <x:v>44665</x:v>
      </x:c>
      <x:c r="D228" s="28" t="n">
        <x:f>MOD(B228,1)</x:f>
        <x:v>0.06194444444554392</x:v>
      </x:c>
      <x:c r="E228" s="29" t="n">
        <x:f>YEAR(B228)</x:f>
        <x:v>2022</x:v>
      </x:c>
      <x:c r="F228" s="29" t="n">
        <x:f>MONTH(B228)</x:f>
        <x:v>4</x:v>
      </x:c>
      <x:c r="G228" s="30" t="n">
        <x:v>-26.43</x:v>
      </x:c>
      <x:c r="H228" s="30" t="n">
        <x:v>-70.8</x:v>
      </x:c>
      <x:c r="I228" s="29" t="n">
        <x:v>32</x:v>
      </x:c>
      <x:c r="J228" s="31" t="n">
        <x:v>3.8</x:v>
      </x:c>
      <x:c r="K228" s="25" t="str">
        <x:f>IF(J228&gt;=7,"Muy fuerte (&gt;=7)",IF(J228&gt;=6,"Fuerte (6-6.9)",IF(J228&gt;=5,"Moderado alto (5-5.9)",IF(J228&gt;=4,"Moderado (4-4.9)","Menor a 4"))))</x:f>
        <x:v>Menor a 4</x:v>
      </x:c>
      <x:c r="L228" s="25" t="str">
        <x:f>IF(I228&lt;70,"Superficial (&lt;70 km)",IF(I228&lt;=300,"Intermedio (70-300 km)","Profundo (&gt;300 km)"))</x:f>
        <x:v>Superficial (&lt;70 km)</x:v>
      </x:c>
      <x:c r="M228" s="25" t="str">
        <x:f>IF(J228&gt;=5,"Sí","No")</x:f>
        <x:v>No</x:v>
      </x:c>
      <x:c r="N228" s="25" t="str">
        <x:f>IF(J228&gt;=6,"Sí","No")</x:f>
        <x:v>No</x:v>
      </x:c>
      <x:c r="O228" s="25" t="str">
        <x:v>Pendiente: asignar con R/sf</x:v>
      </x:c>
    </x:row>
    <x:row r="229">
      <x:c r="A229" s="25" t="n">
        <x:v>228</x:v>
      </x:c>
      <x:c r="B229" s="26" t="n">
        <x:v>44721.356087962966</x:v>
      </x:c>
      <x:c r="C229" s="27" t="n">
        <x:f>INT(B229)</x:f>
        <x:v>44721</x:v>
      </x:c>
      <x:c r="D229" s="28" t="n">
        <x:f>MOD(B229,1)</x:f>
        <x:v>0.35608796296583023</x:v>
      </x:c>
      <x:c r="E229" s="29" t="n">
        <x:f>YEAR(B229)</x:f>
        <x:v>2022</x:v>
      </x:c>
      <x:c r="F229" s="29" t="n">
        <x:f>MONTH(B229)</x:f>
        <x:v>6</x:v>
      </x:c>
      <x:c r="G229" s="30" t="n">
        <x:v>-24.04</x:v>
      </x:c>
      <x:c r="H229" s="30" t="n">
        <x:v>-69.69</x:v>
      </x:c>
      <x:c r="I229" s="29" t="n">
        <x:v>68</x:v>
      </x:c>
      <x:c r="J229" s="31" t="n">
        <x:v>5.4</x:v>
      </x:c>
      <x:c r="K229" s="25" t="str">
        <x:f>IF(J229&gt;=7,"Muy fuerte (&gt;=7)",IF(J229&gt;=6,"Fuerte (6-6.9)",IF(J229&gt;=5,"Moderado alto (5-5.9)",IF(J229&gt;=4,"Moderado (4-4.9)","Menor a 4"))))</x:f>
        <x:v>Moderado alto (5-5.9)</x:v>
      </x:c>
      <x:c r="L229" s="25" t="str">
        <x:f>IF(I229&lt;70,"Superficial (&lt;70 km)",IF(I229&lt;=300,"Intermedio (70-300 km)","Profundo (&gt;300 km)"))</x:f>
        <x:v>Superficial (&lt;70 km)</x:v>
      </x:c>
      <x:c r="M229" s="25" t="str">
        <x:f>IF(J229&gt;=5,"Sí","No")</x:f>
        <x:v>Sí</x:v>
      </x:c>
      <x:c r="N229" s="25" t="str">
        <x:f>IF(J229&gt;=6,"Sí","No")</x:f>
        <x:v>No</x:v>
      </x:c>
      <x:c r="O229" s="25" t="str">
        <x:v>Pendiente: asignar con R/sf</x:v>
      </x:c>
    </x:row>
    <x:row r="230">
      <x:c r="A230" s="25" t="n">
        <x:v>229</x:v>
      </x:c>
      <x:c r="B230" s="26" t="n">
        <x:v>44715.62123842593</x:v>
      </x:c>
      <x:c r="C230" s="27" t="n">
        <x:f>INT(B230)</x:f>
        <x:v>44715</x:v>
      </x:c>
      <x:c r="D230" s="28" t="n">
        <x:f>MOD(B230,1)</x:f>
        <x:v>0.6212384259270038</x:v>
      </x:c>
      <x:c r="E230" s="29" t="n">
        <x:f>YEAR(B230)</x:f>
        <x:v>2022</x:v>
      </x:c>
      <x:c r="F230" s="29" t="n">
        <x:f>MONTH(B230)</x:f>
        <x:v>6</x:v>
      </x:c>
      <x:c r="G230" s="30" t="n">
        <x:v>-23.16</x:v>
      </x:c>
      <x:c r="H230" s="30" t="n">
        <x:v>-68.46</x:v>
      </x:c>
      <x:c r="I230" s="29" t="n">
        <x:v>118</x:v>
      </x:c>
      <x:c r="J230" s="31" t="n">
        <x:v>5.4</x:v>
      </x:c>
      <x:c r="K230" s="25" t="str">
        <x:f>IF(J230&gt;=7,"Muy fuerte (&gt;=7)",IF(J230&gt;=6,"Fuerte (6-6.9)",IF(J230&gt;=5,"Moderado alto (5-5.9)",IF(J230&gt;=4,"Moderado (4-4.9)","Menor a 4"))))</x:f>
        <x:v>Moderado alto (5-5.9)</x:v>
      </x:c>
      <x:c r="L230" s="25" t="str">
        <x:f>IF(I230&lt;70,"Superficial (&lt;70 km)",IF(I230&lt;=300,"Intermedio (70-300 km)","Profundo (&gt;300 km)"))</x:f>
        <x:v>Intermedio (70-300 km)</x:v>
      </x:c>
      <x:c r="M230" s="25" t="str">
        <x:f>IF(J230&gt;=5,"Sí","No")</x:f>
        <x:v>Sí</x:v>
      </x:c>
      <x:c r="N230" s="25" t="str">
        <x:f>IF(J230&gt;=6,"Sí","No")</x:f>
        <x:v>No</x:v>
      </x:c>
      <x:c r="O230" s="25" t="str">
        <x:v>Pendiente: asignar con R/sf</x:v>
      </x:c>
    </x:row>
    <x:row r="231">
      <x:c r="A231" s="25" t="n">
        <x:v>230</x:v>
      </x:c>
      <x:c r="B231" s="26" t="n">
        <x:v>44401.16454861111</x:v>
      </x:c>
      <x:c r="C231" s="27" t="n">
        <x:f>INT(B231)</x:f>
        <x:v>44401</x:v>
      </x:c>
      <x:c r="D231" s="28" t="n">
        <x:f>MOD(B231,1)</x:f>
        <x:v>0.16454861110833008</x:v>
      </x:c>
      <x:c r="E231" s="29" t="n">
        <x:f>YEAR(B231)</x:f>
        <x:v>2021</x:v>
      </x:c>
      <x:c r="F231" s="29" t="n">
        <x:f>MONTH(B231)</x:f>
        <x:v>7</x:v>
      </x:c>
      <x:c r="G231" s="30" t="n">
        <x:v>-27.07</x:v>
      </x:c>
      <x:c r="H231" s="30" t="n">
        <x:v>-70.99</x:v>
      </x:c>
      <x:c r="I231" s="29" t="n">
        <x:v>44</x:v>
      </x:c>
      <x:c r="J231" s="31" t="n">
        <x:v>3.5</x:v>
      </x:c>
      <x:c r="K231" s="25" t="str">
        <x:f>IF(J231&gt;=7,"Muy fuerte (&gt;=7)",IF(J231&gt;=6,"Fuerte (6-6.9)",IF(J231&gt;=5,"Moderado alto (5-5.9)",IF(J231&gt;=4,"Moderado (4-4.9)","Menor a 4"))))</x:f>
        <x:v>Menor a 4</x:v>
      </x:c>
      <x:c r="L231" s="25" t="str">
        <x:f>IF(I231&lt;70,"Superficial (&lt;70 km)",IF(I231&lt;=300,"Intermedio (70-300 km)","Profundo (&gt;300 km)"))</x:f>
        <x:v>Superficial (&lt;70 km)</x:v>
      </x:c>
      <x:c r="M231" s="25" t="str">
        <x:f>IF(J231&gt;=5,"Sí","No")</x:f>
        <x:v>No</x:v>
      </x:c>
      <x:c r="N231" s="25" t="str">
        <x:f>IF(J231&gt;=6,"Sí","No")</x:f>
        <x:v>No</x:v>
      </x:c>
      <x:c r="O231" s="25" t="str">
        <x:v>Pendiente: asignar con R/sf</x:v>
      </x:c>
    </x:row>
    <x:row r="232">
      <x:c r="A232" s="25" t="n">
        <x:v>231</x:v>
      </x:c>
      <x:c r="B232" s="26" t="n">
        <x:v>44650.687569444446</x:v>
      </x:c>
      <x:c r="C232" s="27" t="n">
        <x:f>INT(B232)</x:f>
        <x:v>44650</x:v>
      </x:c>
      <x:c r="D232" s="28" t="n">
        <x:f>MOD(B232,1)</x:f>
        <x:v>0.687569444446126</x:v>
      </x:c>
      <x:c r="E232" s="29" t="n">
        <x:f>YEAR(B232)</x:f>
        <x:v>2022</x:v>
      </x:c>
      <x:c r="F232" s="29" t="n">
        <x:f>MONTH(B232)</x:f>
        <x:v>3</x:v>
      </x:c>
      <x:c r="G232" s="30" t="n">
        <x:v>-25.69</x:v>
      </x:c>
      <x:c r="H232" s="30" t="n">
        <x:v>-70.02</x:v>
      </x:c>
      <x:c r="I232" s="29" t="n">
        <x:v>91</x:v>
      </x:c>
      <x:c r="J232" s="31" t="n">
        <x:v>4.7</x:v>
      </x:c>
      <x:c r="K232" s="25" t="str">
        <x:f>IF(J232&gt;=7,"Muy fuerte (&gt;=7)",IF(J232&gt;=6,"Fuerte (6-6.9)",IF(J232&gt;=5,"Moderado alto (5-5.9)",IF(J232&gt;=4,"Moderado (4-4.9)","Menor a 4"))))</x:f>
        <x:v>Moderado (4-4.9)</x:v>
      </x:c>
      <x:c r="L232" s="25" t="str">
        <x:f>IF(I232&lt;70,"Superficial (&lt;70 km)",IF(I232&lt;=300,"Intermedio (70-300 km)","Profundo (&gt;300 km)"))</x:f>
        <x:v>Intermedio (70-300 km)</x:v>
      </x:c>
      <x:c r="M232" s="25" t="str">
        <x:f>IF(J232&gt;=5,"Sí","No")</x:f>
        <x:v>No</x:v>
      </x:c>
      <x:c r="N232" s="25" t="str">
        <x:f>IF(J232&gt;=6,"Sí","No")</x:f>
        <x:v>No</x:v>
      </x:c>
      <x:c r="O232" s="25" t="str">
        <x:v>Pendiente: asignar con R/sf</x:v>
      </x:c>
    </x:row>
    <x:row r="233">
      <x:c r="A233" s="25" t="n">
        <x:v>232</x:v>
      </x:c>
      <x:c r="B233" s="26" t="n">
        <x:v>44493.33174768519</x:v>
      </x:c>
      <x:c r="C233" s="27" t="n">
        <x:f>INT(B233)</x:f>
        <x:v>44493</x:v>
      </x:c>
      <x:c r="D233" s="28" t="n">
        <x:f>MOD(B233,1)</x:f>
        <x:v>0.3317476851880201</x:v>
      </x:c>
      <x:c r="E233" s="29" t="n">
        <x:f>YEAR(B233)</x:f>
        <x:v>2021</x:v>
      </x:c>
      <x:c r="F233" s="29" t="n">
        <x:f>MONTH(B233)</x:f>
        <x:v>10</x:v>
      </x:c>
      <x:c r="G233" s="30" t="n">
        <x:v>-26.29</x:v>
      </x:c>
      <x:c r="H233" s="30" t="n">
        <x:v>-70.78</x:v>
      </x:c>
      <x:c r="I233" s="29" t="n">
        <x:v>41</x:v>
      </x:c>
      <x:c r="J233" s="31" t="n">
        <x:v>3.2</x:v>
      </x:c>
      <x:c r="K233" s="25" t="str">
        <x:f>IF(J233&gt;=7,"Muy fuerte (&gt;=7)",IF(J233&gt;=6,"Fuerte (6-6.9)",IF(J233&gt;=5,"Moderado alto (5-5.9)",IF(J233&gt;=4,"Moderado (4-4.9)","Menor a 4"))))</x:f>
        <x:v>Menor a 4</x:v>
      </x:c>
      <x:c r="L233" s="25" t="str">
        <x:f>IF(I233&lt;70,"Superficial (&lt;70 km)",IF(I233&lt;=300,"Intermedio (70-300 km)","Profundo (&gt;300 km)"))</x:f>
        <x:v>Superficial (&lt;70 km)</x:v>
      </x:c>
      <x:c r="M233" s="25" t="str">
        <x:f>IF(J233&gt;=5,"Sí","No")</x:f>
        <x:v>No</x:v>
      </x:c>
      <x:c r="N233" s="25" t="str">
        <x:f>IF(J233&gt;=6,"Sí","No")</x:f>
        <x:v>No</x:v>
      </x:c>
      <x:c r="O233" s="25" t="str">
        <x:v>Pendiente: asignar con R/sf</x:v>
      </x:c>
    </x:row>
    <x:row r="234">
      <x:c r="A234" s="25" t="n">
        <x:v>233</x:v>
      </x:c>
      <x:c r="B234" s="26" t="n">
        <x:v>44552.973449074074</x:v>
      </x:c>
      <x:c r="C234" s="27" t="n">
        <x:f>INT(B234)</x:f>
        <x:v>44552</x:v>
      </x:c>
      <x:c r="D234" s="28" t="n">
        <x:f>MOD(B234,1)</x:f>
        <x:v>0.9734490740738693</x:v>
      </x:c>
      <x:c r="E234" s="29" t="n">
        <x:f>YEAR(B234)</x:f>
        <x:v>2021</x:v>
      </x:c>
      <x:c r="F234" s="29" t="n">
        <x:f>MONTH(B234)</x:f>
        <x:v>12</x:v>
      </x:c>
      <x:c r="G234" s="30" t="n">
        <x:v>-25.49</x:v>
      </x:c>
      <x:c r="H234" s="30" t="n">
        <x:v>-70.39</x:v>
      </x:c>
      <x:c r="I234" s="29" t="n">
        <x:v>55</x:v>
      </x:c>
      <x:c r="J234" s="31" t="n">
        <x:v>4.4</x:v>
      </x:c>
      <x:c r="K234" s="25" t="str">
        <x:f>IF(J234&gt;=7,"Muy fuerte (&gt;=7)",IF(J234&gt;=6,"Fuerte (6-6.9)",IF(J234&gt;=5,"Moderado alto (5-5.9)",IF(J234&gt;=4,"Moderado (4-4.9)","Menor a 4"))))</x:f>
        <x:v>Moderado (4-4.9)</x:v>
      </x:c>
      <x:c r="L234" s="25" t="str">
        <x:f>IF(I234&lt;70,"Superficial (&lt;70 km)",IF(I234&lt;=300,"Intermedio (70-300 km)","Profundo (&gt;300 km)"))</x:f>
        <x:v>Superficial (&lt;70 km)</x:v>
      </x:c>
      <x:c r="M234" s="25" t="str">
        <x:f>IF(J234&gt;=5,"Sí","No")</x:f>
        <x:v>No</x:v>
      </x:c>
      <x:c r="N234" s="25" t="str">
        <x:f>IF(J234&gt;=6,"Sí","No")</x:f>
        <x:v>No</x:v>
      </x:c>
      <x:c r="O234" s="25" t="str">
        <x:v>Pendiente: asignar con R/sf</x:v>
      </x:c>
    </x:row>
    <x:row r="235">
      <x:c r="A235" s="25" t="n">
        <x:v>234</x:v>
      </x:c>
      <x:c r="B235" s="26" t="n">
        <x:v>44505.5912962963</x:v>
      </x:c>
      <x:c r="C235" s="27" t="n">
        <x:f>INT(B235)</x:f>
        <x:v>44505</x:v>
      </x:c>
      <x:c r="D235" s="28" t="n">
        <x:f>MOD(B235,1)</x:f>
        <x:v>0.5912962962975143</x:v>
      </x:c>
      <x:c r="E235" s="29" t="n">
        <x:f>YEAR(B235)</x:f>
        <x:v>2021</x:v>
      </x:c>
      <x:c r="F235" s="29" t="n">
        <x:f>MONTH(B235)</x:f>
        <x:v>11</x:v>
      </x:c>
      <x:c r="G235" s="30" t="n">
        <x:v>-28.7</x:v>
      </x:c>
      <x:c r="H235" s="30" t="n">
        <x:v>-71.14</x:v>
      </x:c>
      <x:c r="I235" s="29" t="n">
        <x:v>49</x:v>
      </x:c>
      <x:c r="J235" s="31" t="n">
        <x:v>4.7</x:v>
      </x:c>
      <x:c r="K235" s="25" t="str">
        <x:f>IF(J235&gt;=7,"Muy fuerte (&gt;=7)",IF(J235&gt;=6,"Fuerte (6-6.9)",IF(J235&gt;=5,"Moderado alto (5-5.9)",IF(J235&gt;=4,"Moderado (4-4.9)","Menor a 4"))))</x:f>
        <x:v>Moderado (4-4.9)</x:v>
      </x:c>
      <x:c r="L235" s="25" t="str">
        <x:f>IF(I235&lt;70,"Superficial (&lt;70 km)",IF(I235&lt;=300,"Intermedio (70-300 km)","Profundo (&gt;300 km)"))</x:f>
        <x:v>Superficial (&lt;70 km)</x:v>
      </x:c>
      <x:c r="M235" s="25" t="str">
        <x:f>IF(J235&gt;=5,"Sí","No")</x:f>
        <x:v>No</x:v>
      </x:c>
      <x:c r="N235" s="25" t="str">
        <x:f>IF(J235&gt;=6,"Sí","No")</x:f>
        <x:v>No</x:v>
      </x:c>
      <x:c r="O235" s="25" t="str">
        <x:v>Pendiente: asignar con R/sf</x:v>
      </x:c>
    </x:row>
    <x:row r="236">
      <x:c r="A236" s="25" t="n">
        <x:v>235</x:v>
      </x:c>
      <x:c r="B236" s="26" t="n">
        <x:v>44569.14177083333</x:v>
      </x:c>
      <x:c r="C236" s="27" t="n">
        <x:f>INT(B236)</x:f>
        <x:v>44569</x:v>
      </x:c>
      <x:c r="D236" s="28" t="n">
        <x:f>MOD(B236,1)</x:f>
        <x:v>0.14177083333197515</x:v>
      </x:c>
      <x:c r="E236" s="29" t="n">
        <x:f>YEAR(B236)</x:f>
        <x:v>2022</x:v>
      </x:c>
      <x:c r="F236" s="29" t="n">
        <x:f>MONTH(B236)</x:f>
        <x:v>1</x:v>
      </x:c>
      <x:c r="G236" s="30" t="n">
        <x:v>-26.71</x:v>
      </x:c>
      <x:c r="H236" s="30" t="n">
        <x:v>-71.15</x:v>
      </x:c>
      <x:c r="I236" s="29" t="n">
        <x:v>34</x:v>
      </x:c>
      <x:c r="J236" s="31" t="n">
        <x:v>5.2</x:v>
      </x:c>
      <x:c r="K236" s="25" t="str">
        <x:f>IF(J236&gt;=7,"Muy fuerte (&gt;=7)",IF(J236&gt;=6,"Fuerte (6-6.9)",IF(J236&gt;=5,"Moderado alto (5-5.9)",IF(J236&gt;=4,"Moderado (4-4.9)","Menor a 4"))))</x:f>
        <x:v>Moderado alto (5-5.9)</x:v>
      </x:c>
      <x:c r="L236" s="25" t="str">
        <x:f>IF(I236&lt;70,"Superficial (&lt;70 km)",IF(I236&lt;=300,"Intermedio (70-300 km)","Profundo (&gt;300 km)"))</x:f>
        <x:v>Superficial (&lt;70 km)</x:v>
      </x:c>
      <x:c r="M236" s="25" t="str">
        <x:f>IF(J236&gt;=5,"Sí","No")</x:f>
        <x:v>Sí</x:v>
      </x:c>
      <x:c r="N236" s="25" t="str">
        <x:f>IF(J236&gt;=6,"Sí","No")</x:f>
        <x:v>No</x:v>
      </x:c>
      <x:c r="O236" s="25" t="str">
        <x:v>Pendiente: asignar con R/sf</x:v>
      </x:c>
    </x:row>
    <x:row r="237">
      <x:c r="A237" s="25" t="n">
        <x:v>236</x:v>
      </x:c>
      <x:c r="B237" s="26" t="n">
        <x:v>44455.04883101852</x:v>
      </x:c>
      <x:c r="C237" s="27" t="n">
        <x:f>INT(B237)</x:f>
        <x:v>44455</x:v>
      </x:c>
      <x:c r="D237" s="28" t="n">
        <x:f>MOD(B237,1)</x:f>
        <x:v>0.048831018517375924</x:v>
      </x:c>
      <x:c r="E237" s="29" t="n">
        <x:f>YEAR(B237)</x:f>
        <x:v>2021</x:v>
      </x:c>
      <x:c r="F237" s="29" t="n">
        <x:f>MONTH(B237)</x:f>
        <x:v>9</x:v>
      </x:c>
      <x:c r="G237" s="30" t="n">
        <x:v>-26.34</x:v>
      </x:c>
      <x:c r="H237" s="30" t="n">
        <x:v>-70.95</x:v>
      </x:c>
      <x:c r="I237" s="29" t="n">
        <x:v>25</x:v>
      </x:c>
      <x:c r="J237" s="31" t="n">
        <x:v>4.3</x:v>
      </x:c>
      <x:c r="K237" s="25" t="str">
        <x:f>IF(J237&gt;=7,"Muy fuerte (&gt;=7)",IF(J237&gt;=6,"Fuerte (6-6.9)",IF(J237&gt;=5,"Moderado alto (5-5.9)",IF(J237&gt;=4,"Moderado (4-4.9)","Menor a 4"))))</x:f>
        <x:v>Moderado (4-4.9)</x:v>
      </x:c>
      <x:c r="L237" s="25" t="str">
        <x:f>IF(I237&lt;70,"Superficial (&lt;70 km)",IF(I237&lt;=300,"Intermedio (70-300 km)","Profundo (&gt;300 km)"))</x:f>
        <x:v>Superficial (&lt;70 km)</x:v>
      </x:c>
      <x:c r="M237" s="25" t="str">
        <x:f>IF(J237&gt;=5,"Sí","No")</x:f>
        <x:v>No</x:v>
      </x:c>
      <x:c r="N237" s="25" t="str">
        <x:f>IF(J237&gt;=6,"Sí","No")</x:f>
        <x:v>No</x:v>
      </x:c>
      <x:c r="O237" s="25" t="str">
        <x:v>Pendiente: asignar con R/sf</x:v>
      </x:c>
    </x:row>
    <x:row r="238">
      <x:c r="A238" s="25" t="n">
        <x:v>237</x:v>
      </x:c>
      <x:c r="B238" s="26" t="n">
        <x:v>44414.1797337963</x:v>
      </x:c>
      <x:c r="C238" s="27" t="n">
        <x:f>INT(B238)</x:f>
        <x:v>44414</x:v>
      </x:c>
      <x:c r="D238" s="28" t="n">
        <x:f>MOD(B238,1)</x:f>
        <x:v>0.17973379629984265</x:v>
      </x:c>
      <x:c r="E238" s="29" t="n">
        <x:f>YEAR(B238)</x:f>
        <x:v>2021</x:v>
      </x:c>
      <x:c r="F238" s="29" t="n">
        <x:f>MONTH(B238)</x:f>
        <x:v>8</x:v>
      </x:c>
      <x:c r="G238" s="30" t="n">
        <x:v>-27.2</x:v>
      </x:c>
      <x:c r="H238" s="30" t="n">
        <x:v>-70.96</x:v>
      </x:c>
      <x:c r="I238" s="29" t="n">
        <x:v>32</x:v>
      </x:c>
      <x:c r="J238" s="31" t="n">
        <x:v>4</x:v>
      </x:c>
      <x:c r="K238" s="25" t="str">
        <x:f>IF(J238&gt;=7,"Muy fuerte (&gt;=7)",IF(J238&gt;=6,"Fuerte (6-6.9)",IF(J238&gt;=5,"Moderado alto (5-5.9)",IF(J238&gt;=4,"Moderado (4-4.9)","Menor a 4"))))</x:f>
        <x:v>Moderado (4-4.9)</x:v>
      </x:c>
      <x:c r="L238" s="25" t="str">
        <x:f>IF(I238&lt;70,"Superficial (&lt;70 km)",IF(I238&lt;=300,"Intermedio (70-300 km)","Profundo (&gt;300 km)"))</x:f>
        <x:v>Superficial (&lt;70 km)</x:v>
      </x:c>
      <x:c r="M238" s="25" t="str">
        <x:f>IF(J238&gt;=5,"Sí","No")</x:f>
        <x:v>No</x:v>
      </x:c>
      <x:c r="N238" s="25" t="str">
        <x:f>IF(J238&gt;=6,"Sí","No")</x:f>
        <x:v>No</x:v>
      </x:c>
      <x:c r="O238" s="25" t="str">
        <x:v>Pendiente: asignar con R/sf</x:v>
      </x:c>
    </x:row>
    <x:row r="239">
      <x:c r="A239" s="25" t="n">
        <x:v>238</x:v>
      </x:c>
      <x:c r="B239" s="26" t="n">
        <x:v>44600.22377314815</x:v>
      </x:c>
      <x:c r="C239" s="27" t="n">
        <x:f>INT(B239)</x:f>
        <x:v>44600</x:v>
      </x:c>
      <x:c r="D239" s="28" t="n">
        <x:f>MOD(B239,1)</x:f>
        <x:v>0.22377314815093996</x:v>
      </x:c>
      <x:c r="E239" s="29" t="n">
        <x:f>YEAR(B239)</x:f>
        <x:v>2022</x:v>
      </x:c>
      <x:c r="F239" s="29" t="n">
        <x:f>MONTH(B239)</x:f>
        <x:v>2</x:v>
      </x:c>
      <x:c r="G239" s="30" t="n">
        <x:v>-25.8</x:v>
      </x:c>
      <x:c r="H239" s="30" t="n">
        <x:v>-70.58</x:v>
      </x:c>
      <x:c r="I239" s="29" t="n">
        <x:v>64</x:v>
      </x:c>
      <x:c r="J239" s="31" t="n">
        <x:v>4.6</x:v>
      </x:c>
      <x:c r="K239" s="25" t="str">
        <x:f>IF(J239&gt;=7,"Muy fuerte (&gt;=7)",IF(J239&gt;=6,"Fuerte (6-6.9)",IF(J239&gt;=5,"Moderado alto (5-5.9)",IF(J239&gt;=4,"Moderado (4-4.9)","Menor a 4"))))</x:f>
        <x:v>Moderado (4-4.9)</x:v>
      </x:c>
      <x:c r="L239" s="25" t="str">
        <x:f>IF(I239&lt;70,"Superficial (&lt;70 km)",IF(I239&lt;=300,"Intermedio (70-300 km)","Profundo (&gt;300 km)"))</x:f>
        <x:v>Superficial (&lt;70 km)</x:v>
      </x:c>
      <x:c r="M239" s="25" t="str">
        <x:f>IF(J239&gt;=5,"Sí","No")</x:f>
        <x:v>No</x:v>
      </x:c>
      <x:c r="N239" s="25" t="str">
        <x:f>IF(J239&gt;=6,"Sí","No")</x:f>
        <x:v>No</x:v>
      </x:c>
      <x:c r="O239" s="25" t="str">
        <x:v>Pendiente: asignar con R/sf</x:v>
      </x:c>
    </x:row>
    <x:row r="240">
      <x:c r="A240" s="25" t="n">
        <x:v>239</x:v>
      </x:c>
      <x:c r="B240" s="26" t="n">
        <x:v>44358.5147337963</x:v>
      </x:c>
      <x:c r="C240" s="27" t="n">
        <x:f>INT(B240)</x:f>
        <x:v>44358</x:v>
      </x:c>
      <x:c r="D240" s="28" t="n">
        <x:f>MOD(B240,1)</x:f>
        <x:v>0.5147337962989695</x:v>
      </x:c>
      <x:c r="E240" s="29" t="n">
        <x:f>YEAR(B240)</x:f>
        <x:v>2021</x:v>
      </x:c>
      <x:c r="F240" s="29" t="n">
        <x:f>MONTH(B240)</x:f>
        <x:v>6</x:v>
      </x:c>
      <x:c r="G240" s="30" t="n">
        <x:v>-28.18</x:v>
      </x:c>
      <x:c r="H240" s="30" t="n">
        <x:v>-70.33</x:v>
      </x:c>
      <x:c r="I240" s="29" t="n">
        <x:v>105</x:v>
      </x:c>
      <x:c r="J240" s="31" t="n">
        <x:v>3.9</x:v>
      </x:c>
      <x:c r="K240" s="25" t="str">
        <x:f>IF(J240&gt;=7,"Muy fuerte (&gt;=7)",IF(J240&gt;=6,"Fuerte (6-6.9)",IF(J240&gt;=5,"Moderado alto (5-5.9)",IF(J240&gt;=4,"Moderado (4-4.9)","Menor a 4"))))</x:f>
        <x:v>Menor a 4</x:v>
      </x:c>
      <x:c r="L240" s="25" t="str">
        <x:f>IF(I240&lt;70,"Superficial (&lt;70 km)",IF(I240&lt;=300,"Intermedio (70-300 km)","Profundo (&gt;300 km)"))</x:f>
        <x:v>Intermedio (70-300 km)</x:v>
      </x:c>
      <x:c r="M240" s="25" t="str">
        <x:f>IF(J240&gt;=5,"Sí","No")</x:f>
        <x:v>No</x:v>
      </x:c>
      <x:c r="N240" s="25" t="str">
        <x:f>IF(J240&gt;=6,"Sí","No")</x:f>
        <x:v>No</x:v>
      </x:c>
      <x:c r="O240" s="25" t="str">
        <x:v>Pendiente: asignar con R/sf</x:v>
      </x:c>
    </x:row>
    <x:row r="241">
      <x:c r="A241" s="25" t="n">
        <x:v>240</x:v>
      </x:c>
      <x:c r="B241" s="26" t="n">
        <x:v>44445.94194444444</x:v>
      </x:c>
      <x:c r="C241" s="27" t="n">
        <x:f>INT(B241)</x:f>
        <x:v>44445</x:v>
      </x:c>
      <x:c r="D241" s="28" t="n">
        <x:f>MOD(B241,1)</x:f>
        <x:v>0.9419444444429246</x:v>
      </x:c>
      <x:c r="E241" s="29" t="n">
        <x:f>YEAR(B241)</x:f>
        <x:v>2021</x:v>
      </x:c>
      <x:c r="F241" s="29" t="n">
        <x:f>MONTH(B241)</x:f>
        <x:v>9</x:v>
      </x:c>
      <x:c r="G241" s="30" t="n">
        <x:v>-33.07</x:v>
      </x:c>
      <x:c r="H241" s="30" t="n">
        <x:v>-70.17</x:v>
      </x:c>
      <x:c r="I241" s="29" t="n">
        <x:v>110</x:v>
      </x:c>
      <x:c r="J241" s="31" t="n">
        <x:v>4.3</x:v>
      </x:c>
      <x:c r="K241" s="25" t="str">
        <x:f>IF(J241&gt;=7,"Muy fuerte (&gt;=7)",IF(J241&gt;=6,"Fuerte (6-6.9)",IF(J241&gt;=5,"Moderado alto (5-5.9)",IF(J241&gt;=4,"Moderado (4-4.9)","Menor a 4"))))</x:f>
        <x:v>Moderado (4-4.9)</x:v>
      </x:c>
      <x:c r="L241" s="25" t="str">
        <x:f>IF(I241&lt;70,"Superficial (&lt;70 km)",IF(I241&lt;=300,"Intermedio (70-300 km)","Profundo (&gt;300 km)"))</x:f>
        <x:v>Intermedio (70-300 km)</x:v>
      </x:c>
      <x:c r="M241" s="25" t="str">
        <x:f>IF(J241&gt;=5,"Sí","No")</x:f>
        <x:v>No</x:v>
      </x:c>
      <x:c r="N241" s="25" t="str">
        <x:f>IF(J241&gt;=6,"Sí","No")</x:f>
        <x:v>No</x:v>
      </x:c>
      <x:c r="O241" s="25" t="str">
        <x:v>Pendiente: asignar con R/sf</x:v>
      </x:c>
    </x:row>
    <x:row r="242">
      <x:c r="A242" s="25" t="n">
        <x:v>241</x:v>
      </x:c>
      <x:c r="B242" s="26" t="n">
        <x:v>44495.14979166666</x:v>
      </x:c>
      <x:c r="C242" s="27" t="n">
        <x:f>INT(B242)</x:f>
        <x:v>44495</x:v>
      </x:c>
      <x:c r="D242" s="28" t="n">
        <x:f>MOD(B242,1)</x:f>
        <x:v>0.1497916666630772</x:v>
      </x:c>
      <x:c r="E242" s="29" t="n">
        <x:f>YEAR(B242)</x:f>
        <x:v>2021</x:v>
      </x:c>
      <x:c r="F242" s="29" t="n">
        <x:f>MONTH(B242)</x:f>
        <x:v>10</x:v>
      </x:c>
      <x:c r="G242" s="30" t="n">
        <x:v>-32.82</x:v>
      </x:c>
      <x:c r="H242" s="30" t="n">
        <x:v>-70.66</x:v>
      </x:c>
      <x:c r="I242" s="29" t="n">
        <x:v>94</x:v>
      </x:c>
      <x:c r="J242" s="31" t="n">
        <x:v>4.8</x:v>
      </x:c>
      <x:c r="K242" s="25" t="str">
        <x:f>IF(J242&gt;=7,"Muy fuerte (&gt;=7)",IF(J242&gt;=6,"Fuerte (6-6.9)",IF(J242&gt;=5,"Moderado alto (5-5.9)",IF(J242&gt;=4,"Moderado (4-4.9)","Menor a 4"))))</x:f>
        <x:v>Moderado (4-4.9)</x:v>
      </x:c>
      <x:c r="L242" s="25" t="str">
        <x:f>IF(I242&lt;70,"Superficial (&lt;70 km)",IF(I242&lt;=300,"Intermedio (70-300 km)","Profundo (&gt;300 km)"))</x:f>
        <x:v>Intermedio (70-300 km)</x:v>
      </x:c>
      <x:c r="M242" s="25" t="str">
        <x:f>IF(J242&gt;=5,"Sí","No")</x:f>
        <x:v>No</x:v>
      </x:c>
      <x:c r="N242" s="25" t="str">
        <x:f>IF(J242&gt;=6,"Sí","No")</x:f>
        <x:v>No</x:v>
      </x:c>
      <x:c r="O242" s="25" t="str">
        <x:v>Pendiente: asignar con R/sf</x:v>
      </x:c>
    </x:row>
    <x:row r="243">
      <x:c r="A243" s="25" t="n">
        <x:v>242</x:v>
      </x:c>
      <x:c r="B243" s="26" t="n">
        <x:v>44632.51930555556</x:v>
      </x:c>
      <x:c r="C243" s="27" t="n">
        <x:f>INT(B243)</x:f>
        <x:v>44632</x:v>
      </x:c>
      <x:c r="D243" s="28" t="n">
        <x:f>MOD(B243,1)</x:f>
        <x:v>0.5193055555573665</x:v>
      </x:c>
      <x:c r="E243" s="29" t="n">
        <x:f>YEAR(B243)</x:f>
        <x:v>2022</x:v>
      </x:c>
      <x:c r="F243" s="29" t="n">
        <x:f>MONTH(B243)</x:f>
        <x:v>3</x:v>
      </x:c>
      <x:c r="G243" s="30" t="n">
        <x:v>-27.5</x:v>
      </x:c>
      <x:c r="H243" s="30" t="n">
        <x:v>-71.19</x:v>
      </x:c>
      <x:c r="I243" s="29" t="n">
        <x:v>36</x:v>
      </x:c>
      <x:c r="J243" s="31" t="n">
        <x:v>4.7</x:v>
      </x:c>
      <x:c r="K243" s="25" t="str">
        <x:f>IF(J243&gt;=7,"Muy fuerte (&gt;=7)",IF(J243&gt;=6,"Fuerte (6-6.9)",IF(J243&gt;=5,"Moderado alto (5-5.9)",IF(J243&gt;=4,"Moderado (4-4.9)","Menor a 4"))))</x:f>
        <x:v>Moderado (4-4.9)</x:v>
      </x:c>
      <x:c r="L243" s="25" t="str">
        <x:f>IF(I243&lt;70,"Superficial (&lt;70 km)",IF(I243&lt;=300,"Intermedio (70-300 km)","Profundo (&gt;300 km)"))</x:f>
        <x:v>Superficial (&lt;70 km)</x:v>
      </x:c>
      <x:c r="M243" s="25" t="str">
        <x:f>IF(J243&gt;=5,"Sí","No")</x:f>
        <x:v>No</x:v>
      </x:c>
      <x:c r="N243" s="25" t="str">
        <x:f>IF(J243&gt;=6,"Sí","No")</x:f>
        <x:v>No</x:v>
      </x:c>
      <x:c r="O243" s="25" t="str">
        <x:v>Pendiente: asignar con R/sf</x:v>
      </x:c>
    </x:row>
    <x:row r="244">
      <x:c r="A244" s="25" t="n">
        <x:v>243</x:v>
      </x:c>
      <x:c r="B244" s="26" t="n">
        <x:v>44445.27684027778</x:v>
      </x:c>
      <x:c r="C244" s="27" t="n">
        <x:f>INT(B244)</x:f>
        <x:v>44445</x:v>
      </x:c>
      <x:c r="D244" s="28" t="n">
        <x:f>MOD(B244,1)</x:f>
        <x:v>0.2768402777801384</x:v>
      </x:c>
      <x:c r="E244" s="29" t="n">
        <x:f>YEAR(B244)</x:f>
        <x:v>2021</x:v>
      </x:c>
      <x:c r="F244" s="29" t="n">
        <x:f>MONTH(B244)</x:f>
        <x:v>9</x:v>
      </x:c>
      <x:c r="G244" s="30" t="n">
        <x:v>-27.65</x:v>
      </x:c>
      <x:c r="H244" s="30" t="n">
        <x:v>-69.66</x:v>
      </x:c>
      <x:c r="I244" s="29" t="n">
        <x:v>134</x:v>
      </x:c>
      <x:c r="J244" s="31" t="n">
        <x:v>4.3</x:v>
      </x:c>
      <x:c r="K244" s="25" t="str">
        <x:f>IF(J244&gt;=7,"Muy fuerte (&gt;=7)",IF(J244&gt;=6,"Fuerte (6-6.9)",IF(J244&gt;=5,"Moderado alto (5-5.9)",IF(J244&gt;=4,"Moderado (4-4.9)","Menor a 4"))))</x:f>
        <x:v>Moderado (4-4.9)</x:v>
      </x:c>
      <x:c r="L244" s="25" t="str">
        <x:f>IF(I244&lt;70,"Superficial (&lt;70 km)",IF(I244&lt;=300,"Intermedio (70-300 km)","Profundo (&gt;300 km)"))</x:f>
        <x:v>Intermedio (70-300 km)</x:v>
      </x:c>
      <x:c r="M244" s="25" t="str">
        <x:f>IF(J244&gt;=5,"Sí","No")</x:f>
        <x:v>No</x:v>
      </x:c>
      <x:c r="N244" s="25" t="str">
        <x:f>IF(J244&gt;=6,"Sí","No")</x:f>
        <x:v>No</x:v>
      </x:c>
      <x:c r="O244" s="25" t="str">
        <x:v>Pendiente: asignar con R/sf</x:v>
      </x:c>
    </x:row>
    <x:row r="245">
      <x:c r="A245" s="25" t="n">
        <x:v>244</x:v>
      </x:c>
      <x:c r="B245" s="26" t="n">
        <x:v>44625.42511574074</x:v>
      </x:c>
      <x:c r="C245" s="27" t="n">
        <x:f>INT(B245)</x:f>
        <x:v>44625</x:v>
      </x:c>
      <x:c r="D245" s="28" t="n">
        <x:f>MOD(B245,1)</x:f>
        <x:v>0.4251157407416031</x:v>
      </x:c>
      <x:c r="E245" s="29" t="n">
        <x:f>YEAR(B245)</x:f>
        <x:v>2022</x:v>
      </x:c>
      <x:c r="F245" s="29" t="n">
        <x:f>MONTH(B245)</x:f>
        <x:v>3</x:v>
      </x:c>
      <x:c r="G245" s="30" t="n">
        <x:v>-28.33</x:v>
      </x:c>
      <x:c r="H245" s="30" t="n">
        <x:v>-70.75</x:v>
      </x:c>
      <x:c r="I245" s="29" t="n">
        <x:v>87</x:v>
      </x:c>
      <x:c r="J245" s="31" t="n">
        <x:v>4.1</x:v>
      </x:c>
      <x:c r="K245" s="25" t="str">
        <x:f>IF(J245&gt;=7,"Muy fuerte (&gt;=7)",IF(J245&gt;=6,"Fuerte (6-6.9)",IF(J245&gt;=5,"Moderado alto (5-5.9)",IF(J245&gt;=4,"Moderado (4-4.9)","Menor a 4"))))</x:f>
        <x:v>Moderado (4-4.9)</x:v>
      </x:c>
      <x:c r="L245" s="25" t="str">
        <x:f>IF(I245&lt;70,"Superficial (&lt;70 km)",IF(I245&lt;=300,"Intermedio (70-300 km)","Profundo (&gt;300 km)"))</x:f>
        <x:v>Intermedio (70-300 km)</x:v>
      </x:c>
      <x:c r="M245" s="25" t="str">
        <x:f>IF(J245&gt;=5,"Sí","No")</x:f>
        <x:v>No</x:v>
      </x:c>
      <x:c r="N245" s="25" t="str">
        <x:f>IF(J245&gt;=6,"Sí","No")</x:f>
        <x:v>No</x:v>
      </x:c>
      <x:c r="O245" s="25" t="str">
        <x:v>Pendiente: asignar con R/sf</x:v>
      </x:c>
    </x:row>
    <x:row r="246">
      <x:c r="A246" s="25" t="n">
        <x:v>245</x:v>
      </x:c>
      <x:c r="B246" s="26" t="n">
        <x:v>44510.579050925924</x:v>
      </x:c>
      <x:c r="C246" s="27" t="n">
        <x:f>INT(B246)</x:f>
        <x:v>44510</x:v>
      </x:c>
      <x:c r="D246" s="28" t="n">
        <x:f>MOD(B246,1)</x:f>
        <x:v>0.5790509259240935</x:v>
      </x:c>
      <x:c r="E246" s="29" t="n">
        <x:f>YEAR(B246)</x:f>
        <x:v>2021</x:v>
      </x:c>
      <x:c r="F246" s="29" t="n">
        <x:f>MONTH(B246)</x:f>
        <x:v>11</x:v>
      </x:c>
      <x:c r="G246" s="30" t="n">
        <x:v>-26</x:v>
      </x:c>
      <x:c r="H246" s="30" t="n">
        <x:v>-70.87</x:v>
      </x:c>
      <x:c r="I246" s="29" t="n">
        <x:v>37</x:v>
      </x:c>
      <x:c r="J246" s="31" t="n">
        <x:v>3.9</x:v>
      </x:c>
      <x:c r="K246" s="25" t="str">
        <x:f>IF(J246&gt;=7,"Muy fuerte (&gt;=7)",IF(J246&gt;=6,"Fuerte (6-6.9)",IF(J246&gt;=5,"Moderado alto (5-5.9)",IF(J246&gt;=4,"Moderado (4-4.9)","Menor a 4"))))</x:f>
        <x:v>Menor a 4</x:v>
      </x:c>
      <x:c r="L246" s="25" t="str">
        <x:f>IF(I246&lt;70,"Superficial (&lt;70 km)",IF(I246&lt;=300,"Intermedio (70-300 km)","Profundo (&gt;300 km)"))</x:f>
        <x:v>Superficial (&lt;70 km)</x:v>
      </x:c>
      <x:c r="M246" s="25" t="str">
        <x:f>IF(J246&gt;=5,"Sí","No")</x:f>
        <x:v>No</x:v>
      </x:c>
      <x:c r="N246" s="25" t="str">
        <x:f>IF(J246&gt;=6,"Sí","No")</x:f>
        <x:v>No</x:v>
      </x:c>
      <x:c r="O246" s="25" t="str">
        <x:v>Pendiente: asignar con R/sf</x:v>
      </x:c>
    </x:row>
    <x:row r="247">
      <x:c r="A247" s="25" t="n">
        <x:v>246</x:v>
      </x:c>
      <x:c r="B247" s="26" t="n">
        <x:v>44480.63438657407</x:v>
      </x:c>
      <x:c r="C247" s="27" t="n">
        <x:f>INT(B247)</x:f>
        <x:v>44480</x:v>
      </x:c>
      <x:c r="D247" s="28" t="n">
        <x:f>MOD(B247,1)</x:f>
        <x:v>0.6343865740709589</x:v>
      </x:c>
      <x:c r="E247" s="29" t="n">
        <x:f>YEAR(B247)</x:f>
        <x:v>2021</x:v>
      </x:c>
      <x:c r="F247" s="29" t="n">
        <x:f>MONTH(B247)</x:f>
        <x:v>10</x:v>
      </x:c>
      <x:c r="G247" s="30" t="n">
        <x:v>-27.29</x:v>
      </x:c>
      <x:c r="H247" s="30" t="n">
        <x:v>-70.55</x:v>
      </x:c>
      <x:c r="I247" s="29" t="n">
        <x:v>66</x:v>
      </x:c>
      <x:c r="J247" s="31" t="n">
        <x:v>3.8</x:v>
      </x:c>
      <x:c r="K247" s="25" t="str">
        <x:f>IF(J247&gt;=7,"Muy fuerte (&gt;=7)",IF(J247&gt;=6,"Fuerte (6-6.9)",IF(J247&gt;=5,"Moderado alto (5-5.9)",IF(J247&gt;=4,"Moderado (4-4.9)","Menor a 4"))))</x:f>
        <x:v>Menor a 4</x:v>
      </x:c>
      <x:c r="L247" s="25" t="str">
        <x:f>IF(I247&lt;70,"Superficial (&lt;70 km)",IF(I247&lt;=300,"Intermedio (70-300 km)","Profundo (&gt;300 km)"))</x:f>
        <x:v>Superficial (&lt;70 km)</x:v>
      </x:c>
      <x:c r="M247" s="25" t="str">
        <x:f>IF(J247&gt;=5,"Sí","No")</x:f>
        <x:v>No</x:v>
      </x:c>
      <x:c r="N247" s="25" t="str">
        <x:f>IF(J247&gt;=6,"Sí","No")</x:f>
        <x:v>No</x:v>
      </x:c>
      <x:c r="O247" s="25" t="str">
        <x:v>Pendiente: asignar con R/sf</x:v>
      </x:c>
    </x:row>
    <x:row r="248">
      <x:c r="A248" s="25" t="n">
        <x:v>247</x:v>
      </x:c>
      <x:c r="B248" s="26" t="n">
        <x:v>44549.229166666664</x:v>
      </x:c>
      <x:c r="C248" s="27" t="n">
        <x:f>INT(B248)</x:f>
        <x:v>44549</x:v>
      </x:c>
      <x:c r="D248" s="28" t="n">
        <x:f>MOD(B248,1)</x:f>
        <x:v>0.22916666666424135</x:v>
      </x:c>
      <x:c r="E248" s="29" t="n">
        <x:f>YEAR(B248)</x:f>
        <x:v>2021</x:v>
      </x:c>
      <x:c r="F248" s="29" t="n">
        <x:f>MONTH(B248)</x:f>
        <x:v>12</x:v>
      </x:c>
      <x:c r="G248" s="30" t="n">
        <x:v>-27.3</x:v>
      </x:c>
      <x:c r="H248" s="30" t="n">
        <x:v>-71.2</x:v>
      </x:c>
      <x:c r="I248" s="29" t="n">
        <x:v>58</x:v>
      </x:c>
      <x:c r="J248" s="31" t="n">
        <x:v>4.2</x:v>
      </x:c>
      <x:c r="K248" s="25" t="str">
        <x:f>IF(J248&gt;=7,"Muy fuerte (&gt;=7)",IF(J248&gt;=6,"Fuerte (6-6.9)",IF(J248&gt;=5,"Moderado alto (5-5.9)",IF(J248&gt;=4,"Moderado (4-4.9)","Menor a 4"))))</x:f>
        <x:v>Moderado (4-4.9)</x:v>
      </x:c>
      <x:c r="L248" s="25" t="str">
        <x:f>IF(I248&lt;70,"Superficial (&lt;70 km)",IF(I248&lt;=300,"Intermedio (70-300 km)","Profundo (&gt;300 km)"))</x:f>
        <x:v>Superficial (&lt;70 km)</x:v>
      </x:c>
      <x:c r="M248" s="25" t="str">
        <x:f>IF(J248&gt;=5,"Sí","No")</x:f>
        <x:v>No</x:v>
      </x:c>
      <x:c r="N248" s="25" t="str">
        <x:f>IF(J248&gt;=6,"Sí","No")</x:f>
        <x:v>No</x:v>
      </x:c>
      <x:c r="O248" s="25" t="str">
        <x:v>Pendiente: asignar con R/sf</x:v>
      </x:c>
    </x:row>
    <x:row r="249">
      <x:c r="A249" s="25" t="n">
        <x:v>248</x:v>
      </x:c>
      <x:c r="B249" s="26" t="n">
        <x:v>44626.39939814815</x:v>
      </x:c>
      <x:c r="C249" s="27" t="n">
        <x:f>INT(B249)</x:f>
        <x:v>44626</x:v>
      </x:c>
      <x:c r="D249" s="28" t="n">
        <x:f>MOD(B249,1)</x:f>
        <x:v>0.39939814814715646</x:v>
      </x:c>
      <x:c r="E249" s="29" t="n">
        <x:f>YEAR(B249)</x:f>
        <x:v>2022</x:v>
      </x:c>
      <x:c r="F249" s="29" t="n">
        <x:f>MONTH(B249)</x:f>
        <x:v>3</x:v>
      </x:c>
      <x:c r="G249" s="30" t="n">
        <x:v>-28.51</x:v>
      </x:c>
      <x:c r="H249" s="30" t="n">
        <x:v>-69.07</x:v>
      </x:c>
      <x:c r="I249" s="29" t="n">
        <x:v>146</x:v>
      </x:c>
      <x:c r="J249" s="31" t="n">
        <x:v>5.3</x:v>
      </x:c>
      <x:c r="K249" s="25" t="str">
        <x:f>IF(J249&gt;=7,"Muy fuerte (&gt;=7)",IF(J249&gt;=6,"Fuerte (6-6.9)",IF(J249&gt;=5,"Moderado alto (5-5.9)",IF(J249&gt;=4,"Moderado (4-4.9)","Menor a 4"))))</x:f>
        <x:v>Moderado alto (5-5.9)</x:v>
      </x:c>
      <x:c r="L249" s="25" t="str">
        <x:f>IF(I249&lt;70,"Superficial (&lt;70 km)",IF(I249&lt;=300,"Intermedio (70-300 km)","Profundo (&gt;300 km)"))</x:f>
        <x:v>Intermedio (70-300 km)</x:v>
      </x:c>
      <x:c r="M249" s="25" t="str">
        <x:f>IF(J249&gt;=5,"Sí","No")</x:f>
        <x:v>Sí</x:v>
      </x:c>
      <x:c r="N249" s="25" t="str">
        <x:f>IF(J249&gt;=6,"Sí","No")</x:f>
        <x:v>No</x:v>
      </x:c>
      <x:c r="O249" s="25" t="str">
        <x:v>Pendiente: asignar con R/sf</x:v>
      </x:c>
    </x:row>
    <x:row r="250">
      <x:c r="A250" s="25" t="n">
        <x:v>249</x:v>
      </x:c>
      <x:c r="B250" s="26" t="n">
        <x:v>44357.69712962963</x:v>
      </x:c>
      <x:c r="C250" s="27" t="n">
        <x:f>INT(B250)</x:f>
        <x:v>44357</x:v>
      </x:c>
      <x:c r="D250" s="28" t="n">
        <x:f>MOD(B250,1)</x:f>
        <x:v>0.6971296296323999</x:v>
      </x:c>
      <x:c r="E250" s="29" t="n">
        <x:f>YEAR(B250)</x:f>
        <x:v>2021</x:v>
      </x:c>
      <x:c r="F250" s="29" t="n">
        <x:f>MONTH(B250)</x:f>
        <x:v>6</x:v>
      </x:c>
      <x:c r="G250" s="30" t="n">
        <x:v>-28.1</x:v>
      </x:c>
      <x:c r="H250" s="30" t="n">
        <x:v>-70.71</x:v>
      </x:c>
      <x:c r="I250" s="29" t="n">
        <x:v>55</x:v>
      </x:c>
      <x:c r="J250" s="31" t="n">
        <x:v>4.3</x:v>
      </x:c>
      <x:c r="K250" s="25" t="str">
        <x:f>IF(J250&gt;=7,"Muy fuerte (&gt;=7)",IF(J250&gt;=6,"Fuerte (6-6.9)",IF(J250&gt;=5,"Moderado alto (5-5.9)",IF(J250&gt;=4,"Moderado (4-4.9)","Menor a 4"))))</x:f>
        <x:v>Moderado (4-4.9)</x:v>
      </x:c>
      <x:c r="L250" s="25" t="str">
        <x:f>IF(I250&lt;70,"Superficial (&lt;70 km)",IF(I250&lt;=300,"Intermedio (70-300 km)","Profundo (&gt;300 km)"))</x:f>
        <x:v>Superficial (&lt;70 km)</x:v>
      </x:c>
      <x:c r="M250" s="25" t="str">
        <x:f>IF(J250&gt;=5,"Sí","No")</x:f>
        <x:v>No</x:v>
      </x:c>
      <x:c r="N250" s="25" t="str">
        <x:f>IF(J250&gt;=6,"Sí","No")</x:f>
        <x:v>No</x:v>
      </x:c>
      <x:c r="O250" s="25" t="str">
        <x:v>Pendiente: asignar con R/sf</x:v>
      </x:c>
    </x:row>
    <x:row r="251">
      <x:c r="A251" s="25" t="n">
        <x:v>250</x:v>
      </x:c>
      <x:c r="B251" s="26" t="n">
        <x:v>44241.578888888886</x:v>
      </x:c>
      <x:c r="C251" s="27" t="n">
        <x:f>INT(B251)</x:f>
        <x:v>44241</x:v>
      </x:c>
      <x:c r="D251" s="28" t="n">
        <x:f>MOD(B251,1)</x:f>
        <x:v>0.5788888888855581</x:v>
      </x:c>
      <x:c r="E251" s="29" t="n">
        <x:f>YEAR(B251)</x:f>
        <x:v>2021</x:v>
      </x:c>
      <x:c r="F251" s="29" t="n">
        <x:f>MONTH(B251)</x:f>
        <x:v>2</x:v>
      </x:c>
      <x:c r="G251" s="30" t="n">
        <x:v>-26.75</x:v>
      </x:c>
      <x:c r="H251" s="30" t="n">
        <x:v>-71.04</x:v>
      </x:c>
      <x:c r="I251" s="29" t="n">
        <x:v>34</x:v>
      </x:c>
      <x:c r="J251" s="31" t="n">
        <x:v>3.6</x:v>
      </x:c>
      <x:c r="K251" s="25" t="str">
        <x:f>IF(J251&gt;=7,"Muy fuerte (&gt;=7)",IF(J251&gt;=6,"Fuerte (6-6.9)",IF(J251&gt;=5,"Moderado alto (5-5.9)",IF(J251&gt;=4,"Moderado (4-4.9)","Menor a 4"))))</x:f>
        <x:v>Menor a 4</x:v>
      </x:c>
      <x:c r="L251" s="25" t="str">
        <x:f>IF(I251&lt;70,"Superficial (&lt;70 km)",IF(I251&lt;=300,"Intermedio (70-300 km)","Profundo (&gt;300 km)"))</x:f>
        <x:v>Superficial (&lt;70 km)</x:v>
      </x:c>
      <x:c r="M251" s="25" t="str">
        <x:f>IF(J251&gt;=5,"Sí","No")</x:f>
        <x:v>No</x:v>
      </x:c>
      <x:c r="N251" s="25" t="str">
        <x:f>IF(J251&gt;=6,"Sí","No")</x:f>
        <x:v>No</x:v>
      </x:c>
      <x:c r="O251" s="25" t="str">
        <x:v>Pendiente: asignar con R/sf</x:v>
      </x:c>
    </x:row>
    <x:row r="252">
      <x:c r="A252" s="25" t="n">
        <x:v>251</x:v>
      </x:c>
      <x:c r="B252" s="26" t="n">
        <x:v>44510.285949074074</x:v>
      </x:c>
      <x:c r="C252" s="27" t="n">
        <x:f>INT(B252)</x:f>
        <x:v>44510</x:v>
      </x:c>
      <x:c r="D252" s="28" t="n">
        <x:f>MOD(B252,1)</x:f>
        <x:v>0.28594907407386927</x:v>
      </x:c>
      <x:c r="E252" s="29" t="n">
        <x:f>YEAR(B252)</x:f>
        <x:v>2021</x:v>
      </x:c>
      <x:c r="F252" s="29" t="n">
        <x:f>MONTH(B252)</x:f>
        <x:v>11</x:v>
      </x:c>
      <x:c r="G252" s="30" t="n">
        <x:v>-32.84</x:v>
      </x:c>
      <x:c r="H252" s="30" t="n">
        <x:v>-71.24</x:v>
      </x:c>
      <x:c r="I252" s="29" t="n">
        <x:v>69</x:v>
      </x:c>
      <x:c r="J252" s="31" t="n">
        <x:v>4.7</x:v>
      </x:c>
      <x:c r="K252" s="25" t="str">
        <x:f>IF(J252&gt;=7,"Muy fuerte (&gt;=7)",IF(J252&gt;=6,"Fuerte (6-6.9)",IF(J252&gt;=5,"Moderado alto (5-5.9)",IF(J252&gt;=4,"Moderado (4-4.9)","Menor a 4"))))</x:f>
        <x:v>Moderado (4-4.9)</x:v>
      </x:c>
      <x:c r="L252" s="25" t="str">
        <x:f>IF(I252&lt;70,"Superficial (&lt;70 km)",IF(I252&lt;=300,"Intermedio (70-300 km)","Profundo (&gt;300 km)"))</x:f>
        <x:v>Superficial (&lt;70 km)</x:v>
      </x:c>
      <x:c r="M252" s="25" t="str">
        <x:f>IF(J252&gt;=5,"Sí","No")</x:f>
        <x:v>No</x:v>
      </x:c>
      <x:c r="N252" s="25" t="str">
        <x:f>IF(J252&gt;=6,"Sí","No")</x:f>
        <x:v>No</x:v>
      </x:c>
      <x:c r="O252" s="25" t="str">
        <x:v>Pendiente: asignar con R/sf</x:v>
      </x:c>
    </x:row>
    <x:row r="253">
      <x:c r="A253" s="25" t="n">
        <x:v>252</x:v>
      </x:c>
      <x:c r="B253" s="26" t="n">
        <x:v>44081.194016203706</x:v>
      </x:c>
      <x:c r="C253" s="27" t="n">
        <x:f>INT(B253)</x:f>
        <x:v>44081</x:v>
      </x:c>
      <x:c r="D253" s="28" t="n">
        <x:f>MOD(B253,1)</x:f>
        <x:v>0.19401620370626915</x:v>
      </x:c>
      <x:c r="E253" s="29" t="n">
        <x:f>YEAR(B253)</x:f>
        <x:v>2020</x:v>
      </x:c>
      <x:c r="F253" s="29" t="n">
        <x:f>MONTH(B253)</x:f>
        <x:v>9</x:v>
      </x:c>
      <x:c r="G253" s="30" t="n">
        <x:v>-31.82</x:v>
      </x:c>
      <x:c r="H253" s="30" t="n">
        <x:v>-71.6</x:v>
      </x:c>
      <x:c r="I253" s="29" t="n">
        <x:v>67</x:v>
      </x:c>
      <x:c r="J253" s="31" t="n">
        <x:v>4.2</x:v>
      </x:c>
      <x:c r="K253" s="25" t="str">
        <x:f>IF(J253&gt;=7,"Muy fuerte (&gt;=7)",IF(J253&gt;=6,"Fuerte (6-6.9)",IF(J253&gt;=5,"Moderado alto (5-5.9)",IF(J253&gt;=4,"Moderado (4-4.9)","Menor a 4"))))</x:f>
        <x:v>Moderado (4-4.9)</x:v>
      </x:c>
      <x:c r="L253" s="25" t="str">
        <x:f>IF(I253&lt;70,"Superficial (&lt;70 km)",IF(I253&lt;=300,"Intermedio (70-300 km)","Profundo (&gt;300 km)"))</x:f>
        <x:v>Superficial (&lt;70 km)</x:v>
      </x:c>
      <x:c r="M253" s="25" t="str">
        <x:f>IF(J253&gt;=5,"Sí","No")</x:f>
        <x:v>No</x:v>
      </x:c>
      <x:c r="N253" s="25" t="str">
        <x:f>IF(J253&gt;=6,"Sí","No")</x:f>
        <x:v>No</x:v>
      </x:c>
      <x:c r="O253" s="25" t="str">
        <x:v>Pendiente: asignar con R/sf</x:v>
      </x:c>
    </x:row>
    <x:row r="254">
      <x:c r="A254" s="25" t="n">
        <x:v>253</x:v>
      </x:c>
      <x:c r="B254" s="26" t="n">
        <x:v>44625.04869212963</x:v>
      </x:c>
      <x:c r="C254" s="27" t="n">
        <x:f>INT(B254)</x:f>
        <x:v>44625</x:v>
      </x:c>
      <x:c r="D254" s="28" t="n">
        <x:f>MOD(B254,1)</x:f>
        <x:v>0.04869212963239988</x:v>
      </x:c>
      <x:c r="E254" s="29" t="n">
        <x:f>YEAR(B254)</x:f>
        <x:v>2022</x:v>
      </x:c>
      <x:c r="F254" s="29" t="n">
        <x:f>MONTH(B254)</x:f>
        <x:v>3</x:v>
      </x:c>
      <x:c r="G254" s="30" t="n">
        <x:v>-22.47</x:v>
      </x:c>
      <x:c r="H254" s="30" t="n">
        <x:v>-66.53</x:v>
      </x:c>
      <x:c r="I254" s="29" t="n">
        <x:v>293</x:v>
      </x:c>
      <x:c r="J254" s="31" t="n">
        <x:v>5.6</x:v>
      </x:c>
      <x:c r="K254" s="25" t="str">
        <x:f>IF(J254&gt;=7,"Muy fuerte (&gt;=7)",IF(J254&gt;=6,"Fuerte (6-6.9)",IF(J254&gt;=5,"Moderado alto (5-5.9)",IF(J254&gt;=4,"Moderado (4-4.9)","Menor a 4"))))</x:f>
        <x:v>Moderado alto (5-5.9)</x:v>
      </x:c>
      <x:c r="L254" s="25" t="str">
        <x:f>IF(I254&lt;70,"Superficial (&lt;70 km)",IF(I254&lt;=300,"Intermedio (70-300 km)","Profundo (&gt;300 km)"))</x:f>
        <x:v>Intermedio (70-300 km)</x:v>
      </x:c>
      <x:c r="M254" s="25" t="str">
        <x:f>IF(J254&gt;=5,"Sí","No")</x:f>
        <x:v>Sí</x:v>
      </x:c>
      <x:c r="N254" s="25" t="str">
        <x:f>IF(J254&gt;=6,"Sí","No")</x:f>
        <x:v>No</x:v>
      </x:c>
      <x:c r="O254" s="25" t="str">
        <x:v>Pendiente: asignar con R/sf</x:v>
      </x:c>
    </x:row>
    <x:row r="255">
      <x:c r="A255" s="25" t="n">
        <x:v>254</x:v>
      </x:c>
      <x:c r="B255" s="26" t="n">
        <x:v>43524.60197916667</x:v>
      </x:c>
      <x:c r="C255" s="27" t="n">
        <x:f>INT(B255)</x:f>
        <x:v>43524</x:v>
      </x:c>
      <x:c r="D255" s="28" t="n">
        <x:f>MOD(B255,1)</x:f>
        <x:v>0.60197916666948</x:v>
      </x:c>
      <x:c r="E255" s="29" t="n">
        <x:f>YEAR(B255)</x:f>
        <x:v>2019</x:v>
      </x:c>
      <x:c r="F255" s="29" t="n">
        <x:f>MONTH(B255)</x:f>
        <x:v>2</x:v>
      </x:c>
      <x:c r="G255" s="30" t="n">
        <x:v>-20.63</x:v>
      </x:c>
      <x:c r="H255" s="30" t="n">
        <x:v>-69.38</x:v>
      </x:c>
      <x:c r="I255" s="29" t="n">
        <x:v>98</x:v>
      </x:c>
      <x:c r="J255" s="31" t="n">
        <x:v>3.9</x:v>
      </x:c>
      <x:c r="K255" s="25" t="str">
        <x:f>IF(J255&gt;=7,"Muy fuerte (&gt;=7)",IF(J255&gt;=6,"Fuerte (6-6.9)",IF(J255&gt;=5,"Moderado alto (5-5.9)",IF(J255&gt;=4,"Moderado (4-4.9)","Menor a 4"))))</x:f>
        <x:v>Menor a 4</x:v>
      </x:c>
      <x:c r="L255" s="25" t="str">
        <x:f>IF(I255&lt;70,"Superficial (&lt;70 km)",IF(I255&lt;=300,"Intermedio (70-300 km)","Profundo (&gt;300 km)"))</x:f>
        <x:v>Intermedio (70-300 km)</x:v>
      </x:c>
      <x:c r="M255" s="25" t="str">
        <x:f>IF(J255&gt;=5,"Sí","No")</x:f>
        <x:v>No</x:v>
      </x:c>
      <x:c r="N255" s="25" t="str">
        <x:f>IF(J255&gt;=6,"Sí","No")</x:f>
        <x:v>No</x:v>
      </x:c>
      <x:c r="O255" s="25" t="str">
        <x:v>Pendiente: asignar con R/sf</x:v>
      </x:c>
    </x:row>
    <x:row r="256">
      <x:c r="A256" s="25" t="n">
        <x:v>255</x:v>
      </x:c>
      <x:c r="B256" s="26" t="n">
        <x:v>43971.29314814815</x:v>
      </x:c>
      <x:c r="C256" s="27" t="n">
        <x:f>INT(B256)</x:f>
        <x:v>43971</x:v>
      </x:c>
      <x:c r="D256" s="28" t="n">
        <x:f>MOD(B256,1)</x:f>
        <x:v>0.29314814815006685</x:v>
      </x:c>
      <x:c r="E256" s="29" t="n">
        <x:f>YEAR(B256)</x:f>
        <x:v>2020</x:v>
      </x:c>
      <x:c r="F256" s="29" t="n">
        <x:f>MONTH(B256)</x:f>
        <x:v>5</x:v>
      </x:c>
      <x:c r="G256" s="30" t="n">
        <x:v>-20.52</x:v>
      </x:c>
      <x:c r="H256" s="30" t="n">
        <x:v>-69.14</x:v>
      </x:c>
      <x:c r="I256" s="29" t="n">
        <x:v>98</x:v>
      </x:c>
      <x:c r="J256" s="31" t="n">
        <x:v>4</x:v>
      </x:c>
      <x:c r="K256" s="25" t="str">
        <x:f>IF(J256&gt;=7,"Muy fuerte (&gt;=7)",IF(J256&gt;=6,"Fuerte (6-6.9)",IF(J256&gt;=5,"Moderado alto (5-5.9)",IF(J256&gt;=4,"Moderado (4-4.9)","Menor a 4"))))</x:f>
        <x:v>Moderado (4-4.9)</x:v>
      </x:c>
      <x:c r="L256" s="25" t="str">
        <x:f>IF(I256&lt;70,"Superficial (&lt;70 km)",IF(I256&lt;=300,"Intermedio (70-300 km)","Profundo (&gt;300 km)"))</x:f>
        <x:v>Intermedio (70-300 km)</x:v>
      </x:c>
      <x:c r="M256" s="25" t="str">
        <x:f>IF(J256&gt;=5,"Sí","No")</x:f>
        <x:v>No</x:v>
      </x:c>
      <x:c r="N256" s="25" t="str">
        <x:f>IF(J256&gt;=6,"Sí","No")</x:f>
        <x:v>No</x:v>
      </x:c>
      <x:c r="O256" s="25" t="str">
        <x:v>Pendiente: asignar con R/sf</x:v>
      </x:c>
    </x:row>
    <x:row r="257">
      <x:c r="A257" s="25" t="n">
        <x:v>256</x:v>
      </x:c>
      <x:c r="B257" s="26" t="n">
        <x:v>43767.37909722222</x:v>
      </x:c>
      <x:c r="C257" s="27" t="n">
        <x:f>INT(B257)</x:f>
        <x:v>43767</x:v>
      </x:c>
      <x:c r="D257" s="28" t="n">
        <x:f>MOD(B257,1)</x:f>
        <x:v>0.37909722221957054</x:v>
      </x:c>
      <x:c r="E257" s="29" t="n">
        <x:f>YEAR(B257)</x:f>
        <x:v>2019</x:v>
      </x:c>
      <x:c r="F257" s="29" t="n">
        <x:f>MONTH(B257)</x:f>
        <x:v>10</x:v>
      </x:c>
      <x:c r="G257" s="30" t="n">
        <x:v>-18.97</x:v>
      </x:c>
      <x:c r="H257" s="30" t="n">
        <x:v>-69.33</x:v>
      </x:c>
      <x:c r="I257" s="29" t="n">
        <x:v>110</x:v>
      </x:c>
      <x:c r="J257" s="31" t="n">
        <x:v>4.2</x:v>
      </x:c>
      <x:c r="K257" s="25" t="str">
        <x:f>IF(J257&gt;=7,"Muy fuerte (&gt;=7)",IF(J257&gt;=6,"Fuerte (6-6.9)",IF(J257&gt;=5,"Moderado alto (5-5.9)",IF(J257&gt;=4,"Moderado (4-4.9)","Menor a 4"))))</x:f>
        <x:v>Moderado (4-4.9)</x:v>
      </x:c>
      <x:c r="L257" s="25" t="str">
        <x:f>IF(I257&lt;70,"Superficial (&lt;70 km)",IF(I257&lt;=300,"Intermedio (70-300 km)","Profundo (&gt;300 km)"))</x:f>
        <x:v>Intermedio (70-300 km)</x:v>
      </x:c>
      <x:c r="M257" s="25" t="str">
        <x:f>IF(J257&gt;=5,"Sí","No")</x:f>
        <x:v>No</x:v>
      </x:c>
      <x:c r="N257" s="25" t="str">
        <x:f>IF(J257&gt;=6,"Sí","No")</x:f>
        <x:v>No</x:v>
      </x:c>
      <x:c r="O257" s="25" t="str">
        <x:v>Pendiente: asignar con R/sf</x:v>
      </x:c>
    </x:row>
    <x:row r="258">
      <x:c r="A258" s="25" t="n">
        <x:v>257</x:v>
      </x:c>
      <x:c r="B258" s="26" t="n">
        <x:v>44713.42532407407</x:v>
      </x:c>
      <x:c r="C258" s="27" t="n">
        <x:f>INT(B258)</x:f>
        <x:v>44713</x:v>
      </x:c>
      <x:c r="D258" s="28" t="n">
        <x:f>MOD(B258,1)</x:f>
        <x:v>0.4253240740727051</x:v>
      </x:c>
      <x:c r="E258" s="29" t="n">
        <x:f>YEAR(B258)</x:f>
        <x:v>2022</x:v>
      </x:c>
      <x:c r="F258" s="29" t="n">
        <x:f>MONTH(B258)</x:f>
        <x:v>6</x:v>
      </x:c>
      <x:c r="G258" s="30" t="n">
        <x:v>-20.08</x:v>
      </x:c>
      <x:c r="H258" s="30" t="n">
        <x:v>-69.22</x:v>
      </x:c>
      <x:c r="I258" s="29" t="n">
        <x:v>102</x:v>
      </x:c>
      <x:c r="J258" s="31" t="n">
        <x:v>3.9</x:v>
      </x:c>
      <x:c r="K258" s="25" t="str">
        <x:f>IF(J258&gt;=7,"Muy fuerte (&gt;=7)",IF(J258&gt;=6,"Fuerte (6-6.9)",IF(J258&gt;=5,"Moderado alto (5-5.9)",IF(J258&gt;=4,"Moderado (4-4.9)","Menor a 4"))))</x:f>
        <x:v>Menor a 4</x:v>
      </x:c>
      <x:c r="L258" s="25" t="str">
        <x:f>IF(I258&lt;70,"Superficial (&lt;70 km)",IF(I258&lt;=300,"Intermedio (70-300 km)","Profundo (&gt;300 km)"))</x:f>
        <x:v>Intermedio (70-300 km)</x:v>
      </x:c>
      <x:c r="M258" s="25" t="str">
        <x:f>IF(J258&gt;=5,"Sí","No")</x:f>
        <x:v>No</x:v>
      </x:c>
      <x:c r="N258" s="25" t="str">
        <x:f>IF(J258&gt;=6,"Sí","No")</x:f>
        <x:v>No</x:v>
      </x:c>
      <x:c r="O258" s="25" t="str">
        <x:v>Pendiente: asignar con R/sf</x:v>
      </x:c>
    </x:row>
    <x:row r="259">
      <x:c r="A259" s="25" t="n">
        <x:v>258</x:v>
      </x:c>
      <x:c r="B259" s="26" t="n">
        <x:v>44263.52030092593</x:v>
      </x:c>
      <x:c r="C259" s="27" t="n">
        <x:f>INT(B259)</x:f>
        <x:v>44263</x:v>
      </x:c>
      <x:c r="D259" s="28" t="n">
        <x:f>MOD(B259,1)</x:f>
        <x:v>0.5203009259275859</x:v>
      </x:c>
      <x:c r="E259" s="29" t="n">
        <x:f>YEAR(B259)</x:f>
        <x:v>2021</x:v>
      </x:c>
      <x:c r="F259" s="29" t="n">
        <x:f>MONTH(B259)</x:f>
        <x:v>3</x:v>
      </x:c>
      <x:c r="G259" s="30" t="n">
        <x:v>-19.01</x:v>
      </x:c>
      <x:c r="H259" s="30" t="n">
        <x:v>-69.25</x:v>
      </x:c>
      <x:c r="I259" s="29" t="n">
        <x:v>117</x:v>
      </x:c>
      <x:c r="J259" s="31" t="n">
        <x:v>3.9</x:v>
      </x:c>
      <x:c r="K259" s="25" t="str">
        <x:f>IF(J259&gt;=7,"Muy fuerte (&gt;=7)",IF(J259&gt;=6,"Fuerte (6-6.9)",IF(J259&gt;=5,"Moderado alto (5-5.9)",IF(J259&gt;=4,"Moderado (4-4.9)","Menor a 4"))))</x:f>
        <x:v>Menor a 4</x:v>
      </x:c>
      <x:c r="L259" s="25" t="str">
        <x:f>IF(I259&lt;70,"Superficial (&lt;70 km)",IF(I259&lt;=300,"Intermedio (70-300 km)","Profundo (&gt;300 km)"))</x:f>
        <x:v>Intermedio (70-300 km)</x:v>
      </x:c>
      <x:c r="M259" s="25" t="str">
        <x:f>IF(J259&gt;=5,"Sí","No")</x:f>
        <x:v>No</x:v>
      </x:c>
      <x:c r="N259" s="25" t="str">
        <x:f>IF(J259&gt;=6,"Sí","No")</x:f>
        <x:v>No</x:v>
      </x:c>
      <x:c r="O259" s="25" t="str">
        <x:v>Pendiente: asignar con R/sf</x:v>
      </x:c>
    </x:row>
    <x:row r="260">
      <x:c r="A260" s="25" t="n">
        <x:v>259</x:v>
      </x:c>
      <x:c r="B260" s="26" t="n">
        <x:v>44617.60581018519</x:v>
      </x:c>
      <x:c r="C260" s="27" t="n">
        <x:f>INT(B260)</x:f>
        <x:v>44617</x:v>
      </x:c>
      <x:c r="D260" s="28" t="n">
        <x:f>MOD(B260,1)</x:f>
        <x:v>0.6058101851886022</x:v>
      </x:c>
      <x:c r="E260" s="29" t="n">
        <x:f>YEAR(B260)</x:f>
        <x:v>2022</x:v>
      </x:c>
      <x:c r="F260" s="29" t="n">
        <x:f>MONTH(B260)</x:f>
        <x:v>2</x:v>
      </x:c>
      <x:c r="G260" s="30" t="n">
        <x:v>-20.66</x:v>
      </x:c>
      <x:c r="H260" s="30" t="n">
        <x:v>-69.23</x:v>
      </x:c>
      <x:c r="I260" s="29" t="n">
        <x:v>90</x:v>
      </x:c>
      <x:c r="J260" s="31" t="n">
        <x:v>3.9</x:v>
      </x:c>
      <x:c r="K260" s="25" t="str">
        <x:f>IF(J260&gt;=7,"Muy fuerte (&gt;=7)",IF(J260&gt;=6,"Fuerte (6-6.9)",IF(J260&gt;=5,"Moderado alto (5-5.9)",IF(J260&gt;=4,"Moderado (4-4.9)","Menor a 4"))))</x:f>
        <x:v>Menor a 4</x:v>
      </x:c>
      <x:c r="L260" s="25" t="str">
        <x:f>IF(I260&lt;70,"Superficial (&lt;70 km)",IF(I260&lt;=300,"Intermedio (70-300 km)","Profundo (&gt;300 km)"))</x:f>
        <x:v>Intermedio (70-300 km)</x:v>
      </x:c>
      <x:c r="M260" s="25" t="str">
        <x:f>IF(J260&gt;=5,"Sí","No")</x:f>
        <x:v>No</x:v>
      </x:c>
      <x:c r="N260" s="25" t="str">
        <x:f>IF(J260&gt;=6,"Sí","No")</x:f>
        <x:v>No</x:v>
      </x:c>
      <x:c r="O260" s="25" t="str">
        <x:v>Pendiente: asignar con R/sf</x:v>
      </x:c>
    </x:row>
    <x:row r="261">
      <x:c r="A261" s="25" t="n">
        <x:v>260</x:v>
      </x:c>
      <x:c r="B261" s="26" t="n">
        <x:v>44203.805439814816</x:v>
      </x:c>
      <x:c r="C261" s="27" t="n">
        <x:f>INT(B261)</x:f>
        <x:v>44203</x:v>
      </x:c>
      <x:c r="D261" s="28" t="n">
        <x:f>MOD(B261,1)</x:f>
        <x:v>0.8054398148160544</x:v>
      </x:c>
      <x:c r="E261" s="29" t="n">
        <x:f>YEAR(B261)</x:f>
        <x:v>2021</x:v>
      </x:c>
      <x:c r="F261" s="29" t="n">
        <x:f>MONTH(B261)</x:f>
        <x:v>1</x:v>
      </x:c>
      <x:c r="G261" s="30" t="n">
        <x:v>-29.83</x:v>
      </x:c>
      <x:c r="H261" s="30" t="n">
        <x:v>-71.58</x:v>
      </x:c>
      <x:c r="I261" s="29" t="n">
        <x:v>34</x:v>
      </x:c>
      <x:c r="J261" s="31" t="n">
        <x:v>4.2</x:v>
      </x:c>
      <x:c r="K261" s="25" t="str">
        <x:f>IF(J261&gt;=7,"Muy fuerte (&gt;=7)",IF(J261&gt;=6,"Fuerte (6-6.9)",IF(J261&gt;=5,"Moderado alto (5-5.9)",IF(J261&gt;=4,"Moderado (4-4.9)","Menor a 4"))))</x:f>
        <x:v>Moderado (4-4.9)</x:v>
      </x:c>
      <x:c r="L261" s="25" t="str">
        <x:f>IF(I261&lt;70,"Superficial (&lt;70 km)",IF(I261&lt;=300,"Intermedio (70-300 km)","Profundo (&gt;300 km)"))</x:f>
        <x:v>Superficial (&lt;70 km)</x:v>
      </x:c>
      <x:c r="M261" s="25" t="str">
        <x:f>IF(J261&gt;=5,"Sí","No")</x:f>
        <x:v>No</x:v>
      </x:c>
      <x:c r="N261" s="25" t="str">
        <x:f>IF(J261&gt;=6,"Sí","No")</x:f>
        <x:v>No</x:v>
      </x:c>
      <x:c r="O261" s="25" t="str">
        <x:v>Pendiente: asignar con R/sf</x:v>
      </x:c>
    </x:row>
    <x:row r="262">
      <x:c r="A262" s="25" t="n">
        <x:v>261</x:v>
      </x:c>
      <x:c r="B262" s="26" t="n">
        <x:v>43736.30798611111</x:v>
      </x:c>
      <x:c r="C262" s="27" t="n">
        <x:f>INT(B262)</x:f>
        <x:v>43736</x:v>
      </x:c>
      <x:c r="D262" s="28" t="n">
        <x:f>MOD(B262,1)</x:f>
        <x:v>0.3079861111109494</x:v>
      </x:c>
      <x:c r="E262" s="29" t="n">
        <x:f>YEAR(B262)</x:f>
        <x:v>2019</x:v>
      </x:c>
      <x:c r="F262" s="29" t="n">
        <x:f>MONTH(B262)</x:f>
        <x:v>9</x:v>
      </x:c>
      <x:c r="G262" s="30" t="n">
        <x:v>-19.14</x:v>
      </x:c>
      <x:c r="H262" s="30" t="n">
        <x:v>-69.35</x:v>
      </x:c>
      <x:c r="I262" s="29" t="n">
        <x:v>106</x:v>
      </x:c>
      <x:c r="J262" s="31" t="n">
        <x:v>4.1</x:v>
      </x:c>
      <x:c r="K262" s="25" t="str">
        <x:f>IF(J262&gt;=7,"Muy fuerte (&gt;=7)",IF(J262&gt;=6,"Fuerte (6-6.9)",IF(J262&gt;=5,"Moderado alto (5-5.9)",IF(J262&gt;=4,"Moderado (4-4.9)","Menor a 4"))))</x:f>
        <x:v>Moderado (4-4.9)</x:v>
      </x:c>
      <x:c r="L262" s="25" t="str">
        <x:f>IF(I262&lt;70,"Superficial (&lt;70 km)",IF(I262&lt;=300,"Intermedio (70-300 km)","Profundo (&gt;300 km)"))</x:f>
        <x:v>Intermedio (70-300 km)</x:v>
      </x:c>
      <x:c r="M262" s="25" t="str">
        <x:f>IF(J262&gt;=5,"Sí","No")</x:f>
        <x:v>No</x:v>
      </x:c>
      <x:c r="N262" s="25" t="str">
        <x:f>IF(J262&gt;=6,"Sí","No")</x:f>
        <x:v>No</x:v>
      </x:c>
      <x:c r="O262" s="25" t="str">
        <x:v>Pendiente: asignar con R/sf</x:v>
      </x:c>
    </x:row>
    <x:row r="263">
      <x:c r="A263" s="25" t="n">
        <x:v>262</x:v>
      </x:c>
      <x:c r="B263" s="26" t="n">
        <x:v>44420.19275462963</x:v>
      </x:c>
      <x:c r="C263" s="27" t="n">
        <x:f>INT(B263)</x:f>
        <x:v>44420</x:v>
      </x:c>
      <x:c r="D263" s="28" t="n">
        <x:f>MOD(B263,1)</x:f>
        <x:v>0.19275462962832535</x:v>
      </x:c>
      <x:c r="E263" s="29" t="n">
        <x:f>YEAR(B263)</x:f>
        <x:v>2021</x:v>
      </x:c>
      <x:c r="F263" s="29" t="n">
        <x:f>MONTH(B263)</x:f>
        <x:v>8</x:v>
      </x:c>
      <x:c r="G263" s="30" t="n">
        <x:v>-30.29</x:v>
      </x:c>
      <x:c r="H263" s="30" t="n">
        <x:v>-71.49</x:v>
      </x:c>
      <x:c r="I263" s="29" t="n">
        <x:v>51</x:v>
      </x:c>
      <x:c r="J263" s="31" t="n">
        <x:v>4.3</x:v>
      </x:c>
      <x:c r="K263" s="25" t="str">
        <x:f>IF(J263&gt;=7,"Muy fuerte (&gt;=7)",IF(J263&gt;=6,"Fuerte (6-6.9)",IF(J263&gt;=5,"Moderado alto (5-5.9)",IF(J263&gt;=4,"Moderado (4-4.9)","Menor a 4"))))</x:f>
        <x:v>Moderado (4-4.9)</x:v>
      </x:c>
      <x:c r="L263" s="25" t="str">
        <x:f>IF(I263&lt;70,"Superficial (&lt;70 km)",IF(I263&lt;=300,"Intermedio (70-300 km)","Profundo (&gt;300 km)"))</x:f>
        <x:v>Superficial (&lt;70 km)</x:v>
      </x:c>
      <x:c r="M263" s="25" t="str">
        <x:f>IF(J263&gt;=5,"Sí","No")</x:f>
        <x:v>No</x:v>
      </x:c>
      <x:c r="N263" s="25" t="str">
        <x:f>IF(J263&gt;=6,"Sí","No")</x:f>
        <x:v>No</x:v>
      </x:c>
      <x:c r="O263" s="25" t="str">
        <x:v>Pendiente: asignar con R/sf</x:v>
      </x:c>
    </x:row>
    <x:row r="264">
      <x:c r="A264" s="25" t="n">
        <x:v>263</x:v>
      </x:c>
      <x:c r="B264" s="26" t="n">
        <x:v>43519.68042824074</x:v>
      </x:c>
      <x:c r="C264" s="27" t="n">
        <x:f>INT(B264)</x:f>
        <x:v>43519</x:v>
      </x:c>
      <x:c r="D264" s="28" t="n">
        <x:f>MOD(B264,1)</x:f>
        <x:v>0.6804282407392748</x:v>
      </x:c>
      <x:c r="E264" s="29" t="n">
        <x:f>YEAR(B264)</x:f>
        <x:v>2019</x:v>
      </x:c>
      <x:c r="F264" s="29" t="n">
        <x:f>MONTH(B264)</x:f>
        <x:v>2</x:v>
      </x:c>
      <x:c r="G264" s="30" t="n">
        <x:v>-19.67</x:v>
      </x:c>
      <x:c r="H264" s="30" t="n">
        <x:v>-69.53</x:v>
      </x:c>
      <x:c r="I264" s="29" t="n">
        <x:v>89</x:v>
      </x:c>
      <x:c r="J264" s="31" t="n">
        <x:v>3.7</x:v>
      </x:c>
      <x:c r="K264" s="25" t="str">
        <x:f>IF(J264&gt;=7,"Muy fuerte (&gt;=7)",IF(J264&gt;=6,"Fuerte (6-6.9)",IF(J264&gt;=5,"Moderado alto (5-5.9)",IF(J264&gt;=4,"Moderado (4-4.9)","Menor a 4"))))</x:f>
        <x:v>Menor a 4</x:v>
      </x:c>
      <x:c r="L264" s="25" t="str">
        <x:f>IF(I264&lt;70,"Superficial (&lt;70 km)",IF(I264&lt;=300,"Intermedio (70-300 km)","Profundo (&gt;300 km)"))</x:f>
        <x:v>Intermedio (70-300 km)</x:v>
      </x:c>
      <x:c r="M264" s="25" t="str">
        <x:f>IF(J264&gt;=5,"Sí","No")</x:f>
        <x:v>No</x:v>
      </x:c>
      <x:c r="N264" s="25" t="str">
        <x:f>IF(J264&gt;=6,"Sí","No")</x:f>
        <x:v>No</x:v>
      </x:c>
      <x:c r="O264" s="25" t="str">
        <x:v>Pendiente: asignar con R/sf</x:v>
      </x:c>
    </x:row>
    <x:row r="265">
      <x:c r="A265" s="25" t="n">
        <x:v>264</x:v>
      </x:c>
      <x:c r="B265" s="26" t="n">
        <x:v>44381.628796296296</x:v>
      </x:c>
      <x:c r="C265" s="27" t="n">
        <x:f>INT(B265)</x:f>
        <x:v>44381</x:v>
      </x:c>
      <x:c r="D265" s="28" t="n">
        <x:f>MOD(B265,1)</x:f>
        <x:v>0.6287962962960592</x:v>
      </x:c>
      <x:c r="E265" s="29" t="n">
        <x:f>YEAR(B265)</x:f>
        <x:v>2021</x:v>
      </x:c>
      <x:c r="F265" s="29" t="n">
        <x:f>MONTH(B265)</x:f>
        <x:v>7</x:v>
      </x:c>
      <x:c r="G265" s="30" t="n">
        <x:v>-28.8</x:v>
      </x:c>
      <x:c r="H265" s="30" t="n">
        <x:v>-71.55</x:v>
      </x:c>
      <x:c r="I265" s="29" t="n">
        <x:v>31</x:v>
      </x:c>
      <x:c r="J265" s="31" t="n">
        <x:v>4.6</x:v>
      </x:c>
      <x:c r="K265" s="25" t="str">
        <x:f>IF(J265&gt;=7,"Muy fuerte (&gt;=7)",IF(J265&gt;=6,"Fuerte (6-6.9)",IF(J265&gt;=5,"Moderado alto (5-5.9)",IF(J265&gt;=4,"Moderado (4-4.9)","Menor a 4"))))</x:f>
        <x:v>Moderado (4-4.9)</x:v>
      </x:c>
      <x:c r="L265" s="25" t="str">
        <x:f>IF(I265&lt;70,"Superficial (&lt;70 km)",IF(I265&lt;=300,"Intermedio (70-300 km)","Profundo (&gt;300 km)"))</x:f>
        <x:v>Superficial (&lt;70 km)</x:v>
      </x:c>
      <x:c r="M265" s="25" t="str">
        <x:f>IF(J265&gt;=5,"Sí","No")</x:f>
        <x:v>No</x:v>
      </x:c>
      <x:c r="N265" s="25" t="str">
        <x:f>IF(J265&gt;=6,"Sí","No")</x:f>
        <x:v>No</x:v>
      </x:c>
      <x:c r="O265" s="25" t="str">
        <x:v>Pendiente: asignar con R/sf</x:v>
      </x:c>
    </x:row>
    <x:row r="266">
      <x:c r="A266" s="25" t="n">
        <x:v>265</x:v>
      </x:c>
      <x:c r="B266" s="26" t="n">
        <x:v>43826.305868055555</x:v>
      </x:c>
      <x:c r="C266" s="27" t="n">
        <x:f>INT(B266)</x:f>
        <x:v>43826</x:v>
      </x:c>
      <x:c r="D266" s="28" t="n">
        <x:f>MOD(B266,1)</x:f>
        <x:v>0.30586805555503815</x:v>
      </x:c>
      <x:c r="E266" s="29" t="n">
        <x:f>YEAR(B266)</x:f>
        <x:v>2019</x:v>
      </x:c>
      <x:c r="F266" s="29" t="n">
        <x:f>MONTH(B266)</x:f>
        <x:v>12</x:v>
      </x:c>
      <x:c r="G266" s="30" t="n">
        <x:v>-19.26</x:v>
      </x:c>
      <x:c r="H266" s="30" t="n">
        <x:v>-69.36</x:v>
      </x:c>
      <x:c r="I266" s="29" t="n">
        <x:v>107</x:v>
      </x:c>
      <x:c r="J266" s="31" t="n">
        <x:v>3.3</x:v>
      </x:c>
      <x:c r="K266" s="25" t="str">
        <x:f>IF(J266&gt;=7,"Muy fuerte (&gt;=7)",IF(J266&gt;=6,"Fuerte (6-6.9)",IF(J266&gt;=5,"Moderado alto (5-5.9)",IF(J266&gt;=4,"Moderado (4-4.9)","Menor a 4"))))</x:f>
        <x:v>Menor a 4</x:v>
      </x:c>
      <x:c r="L266" s="25" t="str">
        <x:f>IF(I266&lt;70,"Superficial (&lt;70 km)",IF(I266&lt;=300,"Intermedio (70-300 km)","Profundo (&gt;300 km)"))</x:f>
        <x:v>Intermedio (70-300 km)</x:v>
      </x:c>
      <x:c r="M266" s="25" t="str">
        <x:f>IF(J266&gt;=5,"Sí","No")</x:f>
        <x:v>No</x:v>
      </x:c>
      <x:c r="N266" s="25" t="str">
        <x:f>IF(J266&gt;=6,"Sí","No")</x:f>
        <x:v>No</x:v>
      </x:c>
      <x:c r="O266" s="25" t="str">
        <x:v>Pendiente: asignar con R/sf</x:v>
      </x:c>
    </x:row>
    <x:row r="267">
      <x:c r="A267" s="25" t="n">
        <x:v>266</x:v>
      </x:c>
      <x:c r="B267" s="26" t="n">
        <x:v>44664.681539351855</x:v>
      </x:c>
      <x:c r="C267" s="27" t="n">
        <x:f>INT(B267)</x:f>
        <x:v>44664</x:v>
      </x:c>
      <x:c r="D267" s="28" t="n">
        <x:f>MOD(B267,1)</x:f>
        <x:v>0.6815393518554629</x:v>
      </x:c>
      <x:c r="E267" s="29" t="n">
        <x:f>YEAR(B267)</x:f>
        <x:v>2022</x:v>
      </x:c>
      <x:c r="F267" s="29" t="n">
        <x:f>MONTH(B267)</x:f>
        <x:v>4</x:v>
      </x:c>
      <x:c r="G267" s="30" t="n">
        <x:v>-19.39</x:v>
      </x:c>
      <x:c r="H267" s="30" t="n">
        <x:v>-69.04</x:v>
      </x:c>
      <x:c r="I267" s="29" t="n">
        <x:v>121</x:v>
      </x:c>
      <x:c r="J267" s="31" t="n">
        <x:v>4.4</x:v>
      </x:c>
      <x:c r="K267" s="25" t="str">
        <x:f>IF(J267&gt;=7,"Muy fuerte (&gt;=7)",IF(J267&gt;=6,"Fuerte (6-6.9)",IF(J267&gt;=5,"Moderado alto (5-5.9)",IF(J267&gt;=4,"Moderado (4-4.9)","Menor a 4"))))</x:f>
        <x:v>Moderado (4-4.9)</x:v>
      </x:c>
      <x:c r="L267" s="25" t="str">
        <x:f>IF(I267&lt;70,"Superficial (&lt;70 km)",IF(I267&lt;=300,"Intermedio (70-300 km)","Profundo (&gt;300 km)"))</x:f>
        <x:v>Intermedio (70-300 km)</x:v>
      </x:c>
      <x:c r="M267" s="25" t="str">
        <x:f>IF(J267&gt;=5,"Sí","No")</x:f>
        <x:v>No</x:v>
      </x:c>
      <x:c r="N267" s="25" t="str">
        <x:f>IF(J267&gt;=6,"Sí","No")</x:f>
        <x:v>No</x:v>
      </x:c>
      <x:c r="O267" s="25" t="str">
        <x:v>Pendiente: asignar con R/sf</x:v>
      </x:c>
    </x:row>
    <x:row r="268">
      <x:c r="A268" s="25" t="n">
        <x:v>267</x:v>
      </x:c>
      <x:c r="B268" s="26" t="n">
        <x:v>43737.093726851854</x:v>
      </x:c>
      <x:c r="C268" s="27" t="n">
        <x:f>INT(B268)</x:f>
        <x:v>43737</x:v>
      </x:c>
      <x:c r="D268" s="28" t="n">
        <x:f>MOD(B268,1)</x:f>
        <x:v>0.09372685185371665</x:v>
      </x:c>
      <x:c r="E268" s="29" t="n">
        <x:f>YEAR(B268)</x:f>
        <x:v>2019</x:v>
      </x:c>
      <x:c r="F268" s="29" t="n">
        <x:f>MONTH(B268)</x:f>
        <x:v>9</x:v>
      </x:c>
      <x:c r="G268" s="30" t="n">
        <x:v>-21.14</x:v>
      </x:c>
      <x:c r="H268" s="30" t="n">
        <x:v>-69.04</x:v>
      </x:c>
      <x:c r="I268" s="29" t="n">
        <x:v>109</x:v>
      </x:c>
      <x:c r="J268" s="31" t="n">
        <x:v>4.3</x:v>
      </x:c>
      <x:c r="K268" s="25" t="str">
        <x:f>IF(J268&gt;=7,"Muy fuerte (&gt;=7)",IF(J268&gt;=6,"Fuerte (6-6.9)",IF(J268&gt;=5,"Moderado alto (5-5.9)",IF(J268&gt;=4,"Moderado (4-4.9)","Menor a 4"))))</x:f>
        <x:v>Moderado (4-4.9)</x:v>
      </x:c>
      <x:c r="L268" s="25" t="str">
        <x:f>IF(I268&lt;70,"Superficial (&lt;70 km)",IF(I268&lt;=300,"Intermedio (70-300 km)","Profundo (&gt;300 km)"))</x:f>
        <x:v>Intermedio (70-300 km)</x:v>
      </x:c>
      <x:c r="M268" s="25" t="str">
        <x:f>IF(J268&gt;=5,"Sí","No")</x:f>
        <x:v>No</x:v>
      </x:c>
      <x:c r="N268" s="25" t="str">
        <x:f>IF(J268&gt;=6,"Sí","No")</x:f>
        <x:v>No</x:v>
      </x:c>
      <x:c r="O268" s="25" t="str">
        <x:v>Pendiente: asignar con R/sf</x:v>
      </x:c>
    </x:row>
    <x:row r="269">
      <x:c r="A269" s="25" t="n">
        <x:v>268</x:v>
      </x:c>
      <x:c r="B269" s="26" t="n">
        <x:v>43729.72412037037</x:v>
      </x:c>
      <x:c r="C269" s="27" t="n">
        <x:f>INT(B269)</x:f>
        <x:v>43729</x:v>
      </x:c>
      <x:c r="D269" s="28" t="n">
        <x:f>MOD(B269,1)</x:f>
        <x:v>0.724120370367018</x:v>
      </x:c>
      <x:c r="E269" s="29" t="n">
        <x:f>YEAR(B269)</x:f>
        <x:v>2019</x:v>
      </x:c>
      <x:c r="F269" s="29" t="n">
        <x:f>MONTH(B269)</x:f>
        <x:v>9</x:v>
      </x:c>
      <x:c r="G269" s="30" t="n">
        <x:v>-29.62</x:v>
      </x:c>
      <x:c r="H269" s="30" t="n">
        <x:v>-71.26</x:v>
      </x:c>
      <x:c r="I269" s="29" t="n">
        <x:v>58</x:v>
      </x:c>
      <x:c r="J269" s="31" t="n">
        <x:v>3.5</x:v>
      </x:c>
      <x:c r="K269" s="25" t="str">
        <x:f>IF(J269&gt;=7,"Muy fuerte (&gt;=7)",IF(J269&gt;=6,"Fuerte (6-6.9)",IF(J269&gt;=5,"Moderado alto (5-5.9)",IF(J269&gt;=4,"Moderado (4-4.9)","Menor a 4"))))</x:f>
        <x:v>Menor a 4</x:v>
      </x:c>
      <x:c r="L269" s="25" t="str">
        <x:f>IF(I269&lt;70,"Superficial (&lt;70 km)",IF(I269&lt;=300,"Intermedio (70-300 km)","Profundo (&gt;300 km)"))</x:f>
        <x:v>Superficial (&lt;70 km)</x:v>
      </x:c>
      <x:c r="M269" s="25" t="str">
        <x:f>IF(J269&gt;=5,"Sí","No")</x:f>
        <x:v>No</x:v>
      </x:c>
      <x:c r="N269" s="25" t="str">
        <x:f>IF(J269&gt;=6,"Sí","No")</x:f>
        <x:v>No</x:v>
      </x:c>
      <x:c r="O269" s="25" t="str">
        <x:v>Pendiente: asignar con R/sf</x:v>
      </x:c>
    </x:row>
    <x:row r="270">
      <x:c r="A270" s="25" t="n">
        <x:v>269</x:v>
      </x:c>
      <x:c r="B270" s="26" t="n">
        <x:v>43485.1159375</x:v>
      </x:c>
      <x:c r="C270" s="27" t="n">
        <x:f>INT(B270)</x:f>
        <x:v>43485</x:v>
      </x:c>
      <x:c r="D270" s="28" t="n">
        <x:f>MOD(B270,1)</x:f>
        <x:v>0.11593749999883585</x:v>
      </x:c>
      <x:c r="E270" s="29" t="n">
        <x:f>YEAR(B270)</x:f>
        <x:v>2019</x:v>
      </x:c>
      <x:c r="F270" s="29" t="n">
        <x:f>MONTH(B270)</x:f>
        <x:v>1</x:v>
      </x:c>
      <x:c r="G270" s="30" t="n">
        <x:v>-30.14</x:v>
      </x:c>
      <x:c r="H270" s="30" t="n">
        <x:v>-71.27</x:v>
      </x:c>
      <x:c r="I270" s="29" t="n">
        <x:v>63</x:v>
      </x:c>
      <x:c r="J270" s="31" t="n">
        <x:v>3.4</x:v>
      </x:c>
      <x:c r="K270" s="25" t="str">
        <x:f>IF(J270&gt;=7,"Muy fuerte (&gt;=7)",IF(J270&gt;=6,"Fuerte (6-6.9)",IF(J270&gt;=5,"Moderado alto (5-5.9)",IF(J270&gt;=4,"Moderado (4-4.9)","Menor a 4"))))</x:f>
        <x:v>Menor a 4</x:v>
      </x:c>
      <x:c r="L270" s="25" t="str">
        <x:f>IF(I270&lt;70,"Superficial (&lt;70 km)",IF(I270&lt;=300,"Intermedio (70-300 km)","Profundo (&gt;300 km)"))</x:f>
        <x:v>Superficial (&lt;70 km)</x:v>
      </x:c>
      <x:c r="M270" s="25" t="str">
        <x:f>IF(J270&gt;=5,"Sí","No")</x:f>
        <x:v>No</x:v>
      </x:c>
      <x:c r="N270" s="25" t="str">
        <x:f>IF(J270&gt;=6,"Sí","No")</x:f>
        <x:v>No</x:v>
      </x:c>
      <x:c r="O270" s="25" t="str">
        <x:v>Pendiente: asignar con R/sf</x:v>
      </x:c>
    </x:row>
    <x:row r="271">
      <x:c r="A271" s="25" t="n">
        <x:v>270</x:v>
      </x:c>
      <x:c r="B271" s="26" t="n">
        <x:v>44706.95259259259</x:v>
      </x:c>
      <x:c r="C271" s="27" t="n">
        <x:f>INT(B271)</x:f>
        <x:v>44706</x:v>
      </x:c>
      <x:c r="D271" s="28" t="n">
        <x:f>MOD(B271,1)</x:f>
        <x:v>0.9525925925918273</x:v>
      </x:c>
      <x:c r="E271" s="29" t="n">
        <x:f>YEAR(B271)</x:f>
        <x:v>2022</x:v>
      </x:c>
      <x:c r="F271" s="29" t="n">
        <x:f>MONTH(B271)</x:f>
        <x:v>5</x:v>
      </x:c>
      <x:c r="G271" s="30" t="n">
        <x:v>-21.88</x:v>
      </x:c>
      <x:c r="H271" s="30" t="n">
        <x:v>-69.74</x:v>
      </x:c>
      <x:c r="I271" s="29" t="n">
        <x:v>64</x:v>
      </x:c>
      <x:c r="J271" s="31" t="n">
        <x:v>4.8</x:v>
      </x:c>
      <x:c r="K271" s="25" t="str">
        <x:f>IF(J271&gt;=7,"Muy fuerte (&gt;=7)",IF(J271&gt;=6,"Fuerte (6-6.9)",IF(J271&gt;=5,"Moderado alto (5-5.9)",IF(J271&gt;=4,"Moderado (4-4.9)","Menor a 4"))))</x:f>
        <x:v>Moderado (4-4.9)</x:v>
      </x:c>
      <x:c r="L271" s="25" t="str">
        <x:f>IF(I271&lt;70,"Superficial (&lt;70 km)",IF(I271&lt;=300,"Intermedio (70-300 km)","Profundo (&gt;300 km)"))</x:f>
        <x:v>Superficial (&lt;70 km)</x:v>
      </x:c>
      <x:c r="M271" s="25" t="str">
        <x:f>IF(J271&gt;=5,"Sí","No")</x:f>
        <x:v>No</x:v>
      </x:c>
      <x:c r="N271" s="25" t="str">
        <x:f>IF(J271&gt;=6,"Sí","No")</x:f>
        <x:v>No</x:v>
      </x:c>
      <x:c r="O271" s="25" t="str">
        <x:v>Pendiente: asignar con R/sf</x:v>
      </x:c>
    </x:row>
    <x:row r="272">
      <x:c r="A272" s="25" t="n">
        <x:v>271</x:v>
      </x:c>
      <x:c r="B272" s="26" t="n">
        <x:v>44478.43236111111</x:v>
      </x:c>
      <x:c r="C272" s="27" t="n">
        <x:f>INT(B272)</x:f>
        <x:v>44478</x:v>
      </x:c>
      <x:c r="D272" s="28" t="n">
        <x:f>MOD(B272,1)</x:f>
        <x:v>0.43236111111036735</x:v>
      </x:c>
      <x:c r="E272" s="29" t="n">
        <x:f>YEAR(B272)</x:f>
        <x:v>2021</x:v>
      </x:c>
      <x:c r="F272" s="29" t="n">
        <x:f>MONTH(B272)</x:f>
        <x:v>10</x:v>
      </x:c>
      <x:c r="G272" s="30" t="n">
        <x:v>-31.53</x:v>
      </x:c>
      <x:c r="H272" s="30" t="n">
        <x:v>-71.72</x:v>
      </x:c>
      <x:c r="I272" s="29" t="n">
        <x:v>27</x:v>
      </x:c>
      <x:c r="J272" s="31" t="n">
        <x:v>3.4</x:v>
      </x:c>
      <x:c r="K272" s="25" t="str">
        <x:f>IF(J272&gt;=7,"Muy fuerte (&gt;=7)",IF(J272&gt;=6,"Fuerte (6-6.9)",IF(J272&gt;=5,"Moderado alto (5-5.9)",IF(J272&gt;=4,"Moderado (4-4.9)","Menor a 4"))))</x:f>
        <x:v>Menor a 4</x:v>
      </x:c>
      <x:c r="L272" s="25" t="str">
        <x:f>IF(I272&lt;70,"Superficial (&lt;70 km)",IF(I272&lt;=300,"Intermedio (70-300 km)","Profundo (&gt;300 km)"))</x:f>
        <x:v>Superficial (&lt;70 km)</x:v>
      </x:c>
      <x:c r="M272" s="25" t="str">
        <x:f>IF(J272&gt;=5,"Sí","No")</x:f>
        <x:v>No</x:v>
      </x:c>
      <x:c r="N272" s="25" t="str">
        <x:f>IF(J272&gt;=6,"Sí","No")</x:f>
        <x:v>No</x:v>
      </x:c>
      <x:c r="O272" s="25" t="str">
        <x:v>Pendiente: asignar con R/sf</x:v>
      </x:c>
    </x:row>
    <x:row r="273">
      <x:c r="A273" s="25" t="n">
        <x:v>272</x:v>
      </x:c>
      <x:c r="B273" s="26" t="n">
        <x:v>43960.90483796296</x:v>
      </x:c>
      <x:c r="C273" s="27" t="n">
        <x:f>INT(B273)</x:f>
        <x:v>43960</x:v>
      </x:c>
      <x:c r="D273" s="28" t="n">
        <x:f>MOD(B273,1)</x:f>
        <x:v>0.9048379629603005</x:v>
      </x:c>
      <x:c r="E273" s="29" t="n">
        <x:f>YEAR(B273)</x:f>
        <x:v>2020</x:v>
      </x:c>
      <x:c r="F273" s="29" t="n">
        <x:f>MONTH(B273)</x:f>
        <x:v>5</x:v>
      </x:c>
      <x:c r="G273" s="30" t="n">
        <x:v>-19.13</x:v>
      </x:c>
      <x:c r="H273" s="30" t="n">
        <x:v>-69.14</x:v>
      </x:c>
      <x:c r="I273" s="29" t="n">
        <x:v>120</x:v>
      </x:c>
      <x:c r="J273" s="31" t="n">
        <x:v>4.5</x:v>
      </x:c>
      <x:c r="K273" s="25" t="str">
        <x:f>IF(J273&gt;=7,"Muy fuerte (&gt;=7)",IF(J273&gt;=6,"Fuerte (6-6.9)",IF(J273&gt;=5,"Moderado alto (5-5.9)",IF(J273&gt;=4,"Moderado (4-4.9)","Menor a 4"))))</x:f>
        <x:v>Moderado (4-4.9)</x:v>
      </x:c>
      <x:c r="L273" s="25" t="str">
        <x:f>IF(I273&lt;70,"Superficial (&lt;70 km)",IF(I273&lt;=300,"Intermedio (70-300 km)","Profundo (&gt;300 km)"))</x:f>
        <x:v>Intermedio (70-300 km)</x:v>
      </x:c>
      <x:c r="M273" s="25" t="str">
        <x:f>IF(J273&gt;=5,"Sí","No")</x:f>
        <x:v>No</x:v>
      </x:c>
      <x:c r="N273" s="25" t="str">
        <x:f>IF(J273&gt;=6,"Sí","No")</x:f>
        <x:v>No</x:v>
      </x:c>
      <x:c r="O273" s="25" t="str">
        <x:v>Pendiente: asignar con R/sf</x:v>
      </x:c>
    </x:row>
    <x:row r="274">
      <x:c r="A274" s="25" t="n">
        <x:v>273</x:v>
      </x:c>
      <x:c r="B274" s="26" t="n">
        <x:v>44433.66045138889</x:v>
      </x:c>
      <x:c r="C274" s="27" t="n">
        <x:f>INT(B274)</x:f>
        <x:v>44433</x:v>
      </x:c>
      <x:c r="D274" s="28" t="n">
        <x:f>MOD(B274,1)</x:f>
        <x:v>0.6604513888887595</x:v>
      </x:c>
      <x:c r="E274" s="29" t="n">
        <x:f>YEAR(B274)</x:f>
        <x:v>2021</x:v>
      </x:c>
      <x:c r="F274" s="29" t="n">
        <x:f>MONTH(B274)</x:f>
        <x:v>8</x:v>
      </x:c>
      <x:c r="G274" s="30" t="n">
        <x:v>-19.39</x:v>
      </x:c>
      <x:c r="H274" s="30" t="n">
        <x:v>-69.38</x:v>
      </x:c>
      <x:c r="I274" s="29" t="n">
        <x:v>92</x:v>
      </x:c>
      <x:c r="J274" s="31" t="n">
        <x:v>3.9</x:v>
      </x:c>
      <x:c r="K274" s="25" t="str">
        <x:f>IF(J274&gt;=7,"Muy fuerte (&gt;=7)",IF(J274&gt;=6,"Fuerte (6-6.9)",IF(J274&gt;=5,"Moderado alto (5-5.9)",IF(J274&gt;=4,"Moderado (4-4.9)","Menor a 4"))))</x:f>
        <x:v>Menor a 4</x:v>
      </x:c>
      <x:c r="L274" s="25" t="str">
        <x:f>IF(I274&lt;70,"Superficial (&lt;70 km)",IF(I274&lt;=300,"Intermedio (70-300 km)","Profundo (&gt;300 km)"))</x:f>
        <x:v>Intermedio (70-300 km)</x:v>
      </x:c>
      <x:c r="M274" s="25" t="str">
        <x:f>IF(J274&gt;=5,"Sí","No")</x:f>
        <x:v>No</x:v>
      </x:c>
      <x:c r="N274" s="25" t="str">
        <x:f>IF(J274&gt;=6,"Sí","No")</x:f>
        <x:v>No</x:v>
      </x:c>
      <x:c r="O274" s="25" t="str">
        <x:v>Pendiente: asignar con R/sf</x:v>
      </x:c>
    </x:row>
    <x:row r="275">
      <x:c r="A275" s="25" t="n">
        <x:v>274</x:v>
      </x:c>
      <x:c r="B275" s="26" t="n">
        <x:v>43696.67009259259</x:v>
      </x:c>
      <x:c r="C275" s="27" t="n">
        <x:f>INT(B275)</x:f>
        <x:v>43696</x:v>
      </x:c>
      <x:c r="D275" s="28" t="n">
        <x:f>MOD(B275,1)</x:f>
        <x:v>0.6700925925906631</x:v>
      </x:c>
      <x:c r="E275" s="29" t="n">
        <x:f>YEAR(B275)</x:f>
        <x:v>2019</x:v>
      </x:c>
      <x:c r="F275" s="29" t="n">
        <x:f>MONTH(B275)</x:f>
        <x:v>8</x:v>
      </x:c>
      <x:c r="G275" s="30" t="n">
        <x:v>-20.58</x:v>
      </x:c>
      <x:c r="H275" s="30" t="n">
        <x:v>-68.84</x:v>
      </x:c>
      <x:c r="I275" s="29" t="n">
        <x:v>112</x:v>
      </x:c>
      <x:c r="J275" s="31" t="n">
        <x:v>4.4</x:v>
      </x:c>
      <x:c r="K275" s="25" t="str">
        <x:f>IF(J275&gt;=7,"Muy fuerte (&gt;=7)",IF(J275&gt;=6,"Fuerte (6-6.9)",IF(J275&gt;=5,"Moderado alto (5-5.9)",IF(J275&gt;=4,"Moderado (4-4.9)","Menor a 4"))))</x:f>
        <x:v>Moderado (4-4.9)</x:v>
      </x:c>
      <x:c r="L275" s="25" t="str">
        <x:f>IF(I275&lt;70,"Superficial (&lt;70 km)",IF(I275&lt;=300,"Intermedio (70-300 km)","Profundo (&gt;300 km)"))</x:f>
        <x:v>Intermedio (70-300 km)</x:v>
      </x:c>
      <x:c r="M275" s="25" t="str">
        <x:f>IF(J275&gt;=5,"Sí","No")</x:f>
        <x:v>No</x:v>
      </x:c>
      <x:c r="N275" s="25" t="str">
        <x:f>IF(J275&gt;=6,"Sí","No")</x:f>
        <x:v>No</x:v>
      </x:c>
      <x:c r="O275" s="25" t="str">
        <x:v>Pendiente: asignar con R/sf</x:v>
      </x:c>
    </x:row>
    <x:row r="276">
      <x:c r="A276" s="25" t="n">
        <x:v>275</x:v>
      </x:c>
      <x:c r="B276" s="26" t="n">
        <x:v>44769.79094907407</x:v>
      </x:c>
      <x:c r="C276" s="27" t="n">
        <x:f>INT(B276)</x:f>
        <x:v>44769</x:v>
      </x:c>
      <x:c r="D276" s="28" t="n">
        <x:f>MOD(B276,1)</x:f>
        <x:v>0.7909490740712499</x:v>
      </x:c>
      <x:c r="E276" s="29" t="n">
        <x:f>YEAR(B276)</x:f>
        <x:v>2022</x:v>
      </x:c>
      <x:c r="F276" s="29" t="n">
        <x:f>MONTH(B276)</x:f>
        <x:v>7</x:v>
      </x:c>
      <x:c r="G276" s="30" t="n">
        <x:v>-22.22</x:v>
      </x:c>
      <x:c r="H276" s="30" t="n">
        <x:v>-68.73</x:v>
      </x:c>
      <x:c r="I276" s="29" t="n">
        <x:v>120</x:v>
      </x:c>
      <x:c r="J276" s="31" t="n">
        <x:v>6</x:v>
      </x:c>
      <x:c r="K276" s="25" t="str">
        <x:f>IF(J276&gt;=7,"Muy fuerte (&gt;=7)",IF(J276&gt;=6,"Fuerte (6-6.9)",IF(J276&gt;=5,"Moderado alto (5-5.9)",IF(J276&gt;=4,"Moderado (4-4.9)","Menor a 4"))))</x:f>
        <x:v>Fuerte (6-6.9)</x:v>
      </x:c>
      <x:c r="L276" s="25" t="str">
        <x:f>IF(I276&lt;70,"Superficial (&lt;70 km)",IF(I276&lt;=300,"Intermedio (70-300 km)","Profundo (&gt;300 km)"))</x:f>
        <x:v>Intermedio (70-300 km)</x:v>
      </x:c>
      <x:c r="M276" s="25" t="str">
        <x:f>IF(J276&gt;=5,"Sí","No")</x:f>
        <x:v>Sí</x:v>
      </x:c>
      <x:c r="N276" s="25" t="str">
        <x:f>IF(J276&gt;=6,"Sí","No")</x:f>
        <x:v>Sí</x:v>
      </x:c>
      <x:c r="O276" s="25" t="str">
        <x:v>Pendiente: asignar con R/sf</x:v>
      </x:c>
    </x:row>
    <x:row r="277">
      <x:c r="A277" s="25" t="n">
        <x:v>276</x:v>
      </x:c>
      <x:c r="B277" s="26" t="n">
        <x:v>43640.6312962963</x:v>
      </x:c>
      <x:c r="C277" s="27" t="n">
        <x:f>INT(B277)</x:f>
        <x:v>43640</x:v>
      </x:c>
      <x:c r="D277" s="28" t="n">
        <x:f>MOD(B277,1)</x:f>
        <x:v>0.6312962962983875</x:v>
      </x:c>
      <x:c r="E277" s="29" t="n">
        <x:f>YEAR(B277)</x:f>
        <x:v>2019</x:v>
      </x:c>
      <x:c r="F277" s="29" t="n">
        <x:f>MONTH(B277)</x:f>
        <x:v>6</x:v>
      </x:c>
      <x:c r="G277" s="30" t="n">
        <x:v>-19.38</x:v>
      </x:c>
      <x:c r="H277" s="30" t="n">
        <x:v>-69.44</x:v>
      </x:c>
      <x:c r="I277" s="29" t="n">
        <x:v>100</x:v>
      </x:c>
      <x:c r="J277" s="31" t="n">
        <x:v>3.3</x:v>
      </x:c>
      <x:c r="K277" s="25" t="str">
        <x:f>IF(J277&gt;=7,"Muy fuerte (&gt;=7)",IF(J277&gt;=6,"Fuerte (6-6.9)",IF(J277&gt;=5,"Moderado alto (5-5.9)",IF(J277&gt;=4,"Moderado (4-4.9)","Menor a 4"))))</x:f>
        <x:v>Menor a 4</x:v>
      </x:c>
      <x:c r="L277" s="25" t="str">
        <x:f>IF(I277&lt;70,"Superficial (&lt;70 km)",IF(I277&lt;=300,"Intermedio (70-300 km)","Profundo (&gt;300 km)"))</x:f>
        <x:v>Intermedio (70-300 km)</x:v>
      </x:c>
      <x:c r="M277" s="25" t="str">
        <x:f>IF(J277&gt;=5,"Sí","No")</x:f>
        <x:v>No</x:v>
      </x:c>
      <x:c r="N277" s="25" t="str">
        <x:f>IF(J277&gt;=6,"Sí","No")</x:f>
        <x:v>No</x:v>
      </x:c>
      <x:c r="O277" s="25" t="str">
        <x:v>Pendiente: asignar con R/sf</x:v>
      </x:c>
    </x:row>
    <x:row r="278">
      <x:c r="A278" s="25" t="n">
        <x:v>277</x:v>
      </x:c>
      <x:c r="B278" s="26" t="n">
        <x:v>44442.41086805556</x:v>
      </x:c>
      <x:c r="C278" s="27" t="n">
        <x:f>INT(B278)</x:f>
        <x:v>44442</x:v>
      </x:c>
      <x:c r="D278" s="28" t="n">
        <x:f>MOD(B278,1)</x:f>
        <x:v>0.4108680555582396</x:v>
      </x:c>
      <x:c r="E278" s="29" t="n">
        <x:f>YEAR(B278)</x:f>
        <x:v>2021</x:v>
      </x:c>
      <x:c r="F278" s="29" t="n">
        <x:f>MONTH(B278)</x:f>
        <x:v>9</x:v>
      </x:c>
      <x:c r="G278" s="30" t="n">
        <x:v>-20.16</x:v>
      </x:c>
      <x:c r="H278" s="30" t="n">
        <x:v>-69.27</x:v>
      </x:c>
      <x:c r="I278" s="29" t="n">
        <x:v>99</x:v>
      </x:c>
      <x:c r="J278" s="31" t="n">
        <x:v>3.1</x:v>
      </x:c>
      <x:c r="K278" s="25" t="str">
        <x:f>IF(J278&gt;=7,"Muy fuerte (&gt;=7)",IF(J278&gt;=6,"Fuerte (6-6.9)",IF(J278&gt;=5,"Moderado alto (5-5.9)",IF(J278&gt;=4,"Moderado (4-4.9)","Menor a 4"))))</x:f>
        <x:v>Menor a 4</x:v>
      </x:c>
      <x:c r="L278" s="25" t="str">
        <x:f>IF(I278&lt;70,"Superficial (&lt;70 km)",IF(I278&lt;=300,"Intermedio (70-300 km)","Profundo (&gt;300 km)"))</x:f>
        <x:v>Intermedio (70-300 km)</x:v>
      </x:c>
      <x:c r="M278" s="25" t="str">
        <x:f>IF(J278&gt;=5,"Sí","No")</x:f>
        <x:v>No</x:v>
      </x:c>
      <x:c r="N278" s="25" t="str">
        <x:f>IF(J278&gt;=6,"Sí","No")</x:f>
        <x:v>No</x:v>
      </x:c>
      <x:c r="O278" s="25" t="str">
        <x:v>Pendiente: asignar con R/sf</x:v>
      </x:c>
    </x:row>
    <x:row r="279">
      <x:c r="A279" s="25" t="n">
        <x:v>278</x:v>
      </x:c>
      <x:c r="B279" s="26" t="n">
        <x:v>44686.52667824074</x:v>
      </x:c>
      <x:c r="C279" s="27" t="n">
        <x:f>INT(B279)</x:f>
        <x:v>44686</x:v>
      </x:c>
      <x:c r="D279" s="28" t="n">
        <x:f>MOD(B279,1)</x:f>
        <x:v>0.5266782407416031</x:v>
      </x:c>
      <x:c r="E279" s="29" t="n">
        <x:f>YEAR(B279)</x:f>
        <x:v>2022</x:v>
      </x:c>
      <x:c r="F279" s="29" t="n">
        <x:f>MONTH(B279)</x:f>
        <x:v>5</x:v>
      </x:c>
      <x:c r="G279" s="30" t="n">
        <x:v>-18.97</x:v>
      </x:c>
      <x:c r="H279" s="30" t="n">
        <x:v>-69.94</x:v>
      </x:c>
      <x:c r="I279" s="29" t="n">
        <x:v>52</x:v>
      </x:c>
      <x:c r="J279" s="31" t="n">
        <x:v>3.4</x:v>
      </x:c>
      <x:c r="K279" s="25" t="str">
        <x:f>IF(J279&gt;=7,"Muy fuerte (&gt;=7)",IF(J279&gt;=6,"Fuerte (6-6.9)",IF(J279&gt;=5,"Moderado alto (5-5.9)",IF(J279&gt;=4,"Moderado (4-4.9)","Menor a 4"))))</x:f>
        <x:v>Menor a 4</x:v>
      </x:c>
      <x:c r="L279" s="25" t="str">
        <x:f>IF(I279&lt;70,"Superficial (&lt;70 km)",IF(I279&lt;=300,"Intermedio (70-300 km)","Profundo (&gt;300 km)"))</x:f>
        <x:v>Superficial (&lt;70 km)</x:v>
      </x:c>
      <x:c r="M279" s="25" t="str">
        <x:f>IF(J279&gt;=5,"Sí","No")</x:f>
        <x:v>No</x:v>
      </x:c>
      <x:c r="N279" s="25" t="str">
        <x:f>IF(J279&gt;=6,"Sí","No")</x:f>
        <x:v>No</x:v>
      </x:c>
      <x:c r="O279" s="25" t="str">
        <x:v>Pendiente: asignar con R/sf</x:v>
      </x:c>
    </x:row>
    <x:row r="280">
      <x:c r="A280" s="25" t="n">
        <x:v>279</x:v>
      </x:c>
      <x:c r="B280" s="26" t="n">
        <x:v>43850.357986111114</x:v>
      </x:c>
      <x:c r="C280" s="27" t="n">
        <x:f>INT(B280)</x:f>
        <x:v>43850</x:v>
      </x:c>
      <x:c r="D280" s="28" t="n">
        <x:f>MOD(B280,1)</x:f>
        <x:v>0.3579861111138598</x:v>
      </x:c>
      <x:c r="E280" s="29" t="n">
        <x:f>YEAR(B280)</x:f>
        <x:v>2020</x:v>
      </x:c>
      <x:c r="F280" s="29" t="n">
        <x:f>MONTH(B280)</x:f>
        <x:v>1</x:v>
      </x:c>
      <x:c r="G280" s="30" t="n">
        <x:v>-19.36</x:v>
      </x:c>
      <x:c r="H280" s="30" t="n">
        <x:v>-69.3</x:v>
      </x:c>
      <x:c r="I280" s="29" t="n">
        <x:v>109</x:v>
      </x:c>
      <x:c r="J280" s="31" t="n">
        <x:v>4.3</x:v>
      </x:c>
      <x:c r="K280" s="25" t="str">
        <x:f>IF(J280&gt;=7,"Muy fuerte (&gt;=7)",IF(J280&gt;=6,"Fuerte (6-6.9)",IF(J280&gt;=5,"Moderado alto (5-5.9)",IF(J280&gt;=4,"Moderado (4-4.9)","Menor a 4"))))</x:f>
        <x:v>Moderado (4-4.9)</x:v>
      </x:c>
      <x:c r="L280" s="25" t="str">
        <x:f>IF(I280&lt;70,"Superficial (&lt;70 km)",IF(I280&lt;=300,"Intermedio (70-300 km)","Profundo (&gt;300 km)"))</x:f>
        <x:v>Intermedio (70-300 km)</x:v>
      </x:c>
      <x:c r="M280" s="25" t="str">
        <x:f>IF(J280&gt;=5,"Sí","No")</x:f>
        <x:v>No</x:v>
      </x:c>
      <x:c r="N280" s="25" t="str">
        <x:f>IF(J280&gt;=6,"Sí","No")</x:f>
        <x:v>No</x:v>
      </x:c>
      <x:c r="O280" s="25" t="str">
        <x:v>Pendiente: asignar con R/sf</x:v>
      </x:c>
    </x:row>
    <x:row r="281">
      <x:c r="A281" s="25" t="n">
        <x:v>280</x:v>
      </x:c>
      <x:c r="B281" s="26" t="n">
        <x:v>43501.833402777775</x:v>
      </x:c>
      <x:c r="C281" s="27" t="n">
        <x:f>INT(B281)</x:f>
        <x:v>43501</x:v>
      </x:c>
      <x:c r="D281" s="28" t="n">
        <x:f>MOD(B281,1)</x:f>
        <x:v>0.8334027777746087</x:v>
      </x:c>
      <x:c r="E281" s="29" t="n">
        <x:f>YEAR(B281)</x:f>
        <x:v>2019</x:v>
      </x:c>
      <x:c r="F281" s="29" t="n">
        <x:f>MONTH(B281)</x:f>
        <x:v>2</x:v>
      </x:c>
      <x:c r="G281" s="30" t="n">
        <x:v>-30.25</x:v>
      </x:c>
      <x:c r="H281" s="30" t="n">
        <x:v>-71.25</x:v>
      </x:c>
      <x:c r="I281" s="29" t="n">
        <x:v>70</x:v>
      </x:c>
      <x:c r="J281" s="31" t="n">
        <x:v>3.9</x:v>
      </x:c>
      <x:c r="K281" s="25" t="str">
        <x:f>IF(J281&gt;=7,"Muy fuerte (&gt;=7)",IF(J281&gt;=6,"Fuerte (6-6.9)",IF(J281&gt;=5,"Moderado alto (5-5.9)",IF(J281&gt;=4,"Moderado (4-4.9)","Menor a 4"))))</x:f>
        <x:v>Menor a 4</x:v>
      </x:c>
      <x:c r="L281" s="25" t="str">
        <x:f>IF(I281&lt;70,"Superficial (&lt;70 km)",IF(I281&lt;=300,"Intermedio (70-300 km)","Profundo (&gt;300 km)"))</x:f>
        <x:v>Intermedio (70-300 km)</x:v>
      </x:c>
      <x:c r="M281" s="25" t="str">
        <x:f>IF(J281&gt;=5,"Sí","No")</x:f>
        <x:v>No</x:v>
      </x:c>
      <x:c r="N281" s="25" t="str">
        <x:f>IF(J281&gt;=6,"Sí","No")</x:f>
        <x:v>No</x:v>
      </x:c>
      <x:c r="O281" s="25" t="str">
        <x:v>Pendiente: asignar con R/sf</x:v>
      </x:c>
    </x:row>
    <x:row r="282">
      <x:c r="A282" s="25" t="n">
        <x:v>281</x:v>
      </x:c>
      <x:c r="B282" s="26" t="n">
        <x:v>44442.33262731481</x:v>
      </x:c>
      <x:c r="C282" s="27" t="n">
        <x:f>INT(B282)</x:f>
        <x:v>44442</x:v>
      </x:c>
      <x:c r="D282" s="28" t="n">
        <x:f>MOD(B282,1)</x:f>
        <x:v>0.3326273148122709</x:v>
      </x:c>
      <x:c r="E282" s="29" t="n">
        <x:f>YEAR(B282)</x:f>
        <x:v>2021</x:v>
      </x:c>
      <x:c r="F282" s="29" t="n">
        <x:f>MONTH(B282)</x:f>
        <x:v>9</x:v>
      </x:c>
      <x:c r="G282" s="30" t="n">
        <x:v>-30.03</x:v>
      </x:c>
      <x:c r="H282" s="30" t="n">
        <x:v>-71.66</x:v>
      </x:c>
      <x:c r="I282" s="29" t="n">
        <x:v>28</x:v>
      </x:c>
      <x:c r="J282" s="31" t="n">
        <x:v>3.1</x:v>
      </x:c>
      <x:c r="K282" s="25" t="str">
        <x:f>IF(J282&gt;=7,"Muy fuerte (&gt;=7)",IF(J282&gt;=6,"Fuerte (6-6.9)",IF(J282&gt;=5,"Moderado alto (5-5.9)",IF(J282&gt;=4,"Moderado (4-4.9)","Menor a 4"))))</x:f>
        <x:v>Menor a 4</x:v>
      </x:c>
      <x:c r="L282" s="25" t="str">
        <x:f>IF(I282&lt;70,"Superficial (&lt;70 km)",IF(I282&lt;=300,"Intermedio (70-300 km)","Profundo (&gt;300 km)"))</x:f>
        <x:v>Superficial (&lt;70 km)</x:v>
      </x:c>
      <x:c r="M282" s="25" t="str">
        <x:f>IF(J282&gt;=5,"Sí","No")</x:f>
        <x:v>No</x:v>
      </x:c>
      <x:c r="N282" s="25" t="str">
        <x:f>IF(J282&gt;=6,"Sí","No")</x:f>
        <x:v>No</x:v>
      </x:c>
      <x:c r="O282" s="25" t="str">
        <x:v>Pendiente: asignar con R/sf</x:v>
      </x:c>
    </x:row>
    <x:row r="283">
      <x:c r="A283" s="25" t="n">
        <x:v>282</x:v>
      </x:c>
      <x:c r="B283" s="26" t="n">
        <x:v>44404.5187037037</x:v>
      </x:c>
      <x:c r="C283" s="27" t="n">
        <x:f>INT(B283)</x:f>
        <x:v>44404</x:v>
      </x:c>
      <x:c r="D283" s="28" t="n">
        <x:f>MOD(B283,1)</x:f>
        <x:v>0.5187037037030677</x:v>
      </x:c>
      <x:c r="E283" s="29" t="n">
        <x:f>YEAR(B283)</x:f>
        <x:v>2021</x:v>
      </x:c>
      <x:c r="F283" s="29" t="n">
        <x:f>MONTH(B283)</x:f>
        <x:v>7</x:v>
      </x:c>
      <x:c r="G283" s="30" t="n">
        <x:v>-19.58</x:v>
      </x:c>
      <x:c r="H283" s="30" t="n">
        <x:v>-69.4</x:v>
      </x:c>
      <x:c r="I283" s="29" t="n">
        <x:v>112</x:v>
      </x:c>
      <x:c r="J283" s="31" t="n">
        <x:v>3.4</x:v>
      </x:c>
      <x:c r="K283" s="25" t="str">
        <x:f>IF(J283&gt;=7,"Muy fuerte (&gt;=7)",IF(J283&gt;=6,"Fuerte (6-6.9)",IF(J283&gt;=5,"Moderado alto (5-5.9)",IF(J283&gt;=4,"Moderado (4-4.9)","Menor a 4"))))</x:f>
        <x:v>Menor a 4</x:v>
      </x:c>
      <x:c r="L283" s="25" t="str">
        <x:f>IF(I283&lt;70,"Superficial (&lt;70 km)",IF(I283&lt;=300,"Intermedio (70-300 km)","Profundo (&gt;300 km)"))</x:f>
        <x:v>Intermedio (70-300 km)</x:v>
      </x:c>
      <x:c r="M283" s="25" t="str">
        <x:f>IF(J283&gt;=5,"Sí","No")</x:f>
        <x:v>No</x:v>
      </x:c>
      <x:c r="N283" s="25" t="str">
        <x:f>IF(J283&gt;=6,"Sí","No")</x:f>
        <x:v>No</x:v>
      </x:c>
      <x:c r="O283" s="25" t="str">
        <x:v>Pendiente: asignar con R/sf</x:v>
      </x:c>
    </x:row>
    <x:row r="284">
      <x:c r="A284" s="25" t="n">
        <x:v>283</x:v>
      </x:c>
      <x:c r="B284" s="26" t="n">
        <x:v>44541.83883101852</x:v>
      </x:c>
      <x:c r="C284" s="27" t="n">
        <x:f>INT(B284)</x:f>
        <x:v>44541</x:v>
      </x:c>
      <x:c r="D284" s="28" t="n">
        <x:f>MOD(B284,1)</x:f>
        <x:v>0.838831018518249</x:v>
      </x:c>
      <x:c r="E284" s="29" t="n">
        <x:f>YEAR(B284)</x:f>
        <x:v>2021</x:v>
      </x:c>
      <x:c r="F284" s="29" t="n">
        <x:f>MONTH(B284)</x:f>
        <x:v>12</x:v>
      </x:c>
      <x:c r="G284" s="30" t="n">
        <x:v>-29.59</x:v>
      </x:c>
      <x:c r="H284" s="30" t="n">
        <x:v>-71.27</x:v>
      </x:c>
      <x:c r="I284" s="29" t="n">
        <x:v>54</x:v>
      </x:c>
      <x:c r="J284" s="31" t="n">
        <x:v>3.7</x:v>
      </x:c>
      <x:c r="K284" s="25" t="str">
        <x:f>IF(J284&gt;=7,"Muy fuerte (&gt;=7)",IF(J284&gt;=6,"Fuerte (6-6.9)",IF(J284&gt;=5,"Moderado alto (5-5.9)",IF(J284&gt;=4,"Moderado (4-4.9)","Menor a 4"))))</x:f>
        <x:v>Menor a 4</x:v>
      </x:c>
      <x:c r="L284" s="25" t="str">
        <x:f>IF(I284&lt;70,"Superficial (&lt;70 km)",IF(I284&lt;=300,"Intermedio (70-300 km)","Profundo (&gt;300 km)"))</x:f>
        <x:v>Superficial (&lt;70 km)</x:v>
      </x:c>
      <x:c r="M284" s="25" t="str">
        <x:f>IF(J284&gt;=5,"Sí","No")</x:f>
        <x:v>No</x:v>
      </x:c>
      <x:c r="N284" s="25" t="str">
        <x:f>IF(J284&gt;=6,"Sí","No")</x:f>
        <x:v>No</x:v>
      </x:c>
      <x:c r="O284" s="25" t="str">
        <x:v>Pendiente: asignar con R/sf</x:v>
      </x:c>
    </x:row>
    <x:row r="285">
      <x:c r="A285" s="25" t="n">
        <x:v>284</x:v>
      </x:c>
      <x:c r="B285" s="26" t="n">
        <x:v>44379.27202546296</x:v>
      </x:c>
      <x:c r="C285" s="27" t="n">
        <x:f>INT(B285)</x:f>
        <x:v>44379</x:v>
      </x:c>
      <x:c r="D285" s="28" t="n">
        <x:f>MOD(B285,1)</x:f>
        <x:v>0.2720254629603005</x:v>
      </x:c>
      <x:c r="E285" s="29" t="n">
        <x:f>YEAR(B285)</x:f>
        <x:v>2021</x:v>
      </x:c>
      <x:c r="F285" s="29" t="n">
        <x:f>MONTH(B285)</x:f>
        <x:v>7</x:v>
      </x:c>
      <x:c r="G285" s="30" t="n">
        <x:v>-29.84</x:v>
      </x:c>
      <x:c r="H285" s="30" t="n">
        <x:v>-71.2</x:v>
      </x:c>
      <x:c r="I285" s="29" t="n">
        <x:v>53</x:v>
      </x:c>
      <x:c r="J285" s="31" t="n">
        <x:v>3.4</x:v>
      </x:c>
      <x:c r="K285" s="25" t="str">
        <x:f>IF(J285&gt;=7,"Muy fuerte (&gt;=7)",IF(J285&gt;=6,"Fuerte (6-6.9)",IF(J285&gt;=5,"Moderado alto (5-5.9)",IF(J285&gt;=4,"Moderado (4-4.9)","Menor a 4"))))</x:f>
        <x:v>Menor a 4</x:v>
      </x:c>
      <x:c r="L285" s="25" t="str">
        <x:f>IF(I285&lt;70,"Superficial (&lt;70 km)",IF(I285&lt;=300,"Intermedio (70-300 km)","Profundo (&gt;300 km)"))</x:f>
        <x:v>Superficial (&lt;70 km)</x:v>
      </x:c>
      <x:c r="M285" s="25" t="str">
        <x:f>IF(J285&gt;=5,"Sí","No")</x:f>
        <x:v>No</x:v>
      </x:c>
      <x:c r="N285" s="25" t="str">
        <x:f>IF(J285&gt;=6,"Sí","No")</x:f>
        <x:v>No</x:v>
      </x:c>
      <x:c r="O285" s="25" t="str">
        <x:v>Pendiente: asignar con R/sf</x:v>
      </x:c>
    </x:row>
    <x:row r="286">
      <x:c r="A286" s="25" t="n">
        <x:v>285</x:v>
      </x:c>
      <x:c r="B286" s="26" t="n">
        <x:v>44693.696851851855</x:v>
      </x:c>
      <x:c r="C286" s="27" t="n">
        <x:f>INT(B286)</x:f>
        <x:v>44693</x:v>
      </x:c>
      <x:c r="D286" s="28" t="n">
        <x:f>MOD(B286,1)</x:f>
        <x:v>0.6968518518551718</x:v>
      </x:c>
      <x:c r="E286" s="29" t="n">
        <x:f>YEAR(B286)</x:f>
        <x:v>2022</x:v>
      </x:c>
      <x:c r="F286" s="29" t="n">
        <x:f>MONTH(B286)</x:f>
        <x:v>5</x:v>
      </x:c>
      <x:c r="G286" s="30" t="n">
        <x:v>-20.03</x:v>
      </x:c>
      <x:c r="H286" s="30" t="n">
        <x:v>-69.2</x:v>
      </x:c>
      <x:c r="I286" s="29" t="n">
        <x:v>98</x:v>
      </x:c>
      <x:c r="J286" s="31" t="n">
        <x:v>4</x:v>
      </x:c>
      <x:c r="K286" s="25" t="str">
        <x:f>IF(J286&gt;=7,"Muy fuerte (&gt;=7)",IF(J286&gt;=6,"Fuerte (6-6.9)",IF(J286&gt;=5,"Moderado alto (5-5.9)",IF(J286&gt;=4,"Moderado (4-4.9)","Menor a 4"))))</x:f>
        <x:v>Moderado (4-4.9)</x:v>
      </x:c>
      <x:c r="L286" s="25" t="str">
        <x:f>IF(I286&lt;70,"Superficial (&lt;70 km)",IF(I286&lt;=300,"Intermedio (70-300 km)","Profundo (&gt;300 km)"))</x:f>
        <x:v>Intermedio (70-300 km)</x:v>
      </x:c>
      <x:c r="M286" s="25" t="str">
        <x:f>IF(J286&gt;=5,"Sí","No")</x:f>
        <x:v>No</x:v>
      </x:c>
      <x:c r="N286" s="25" t="str">
        <x:f>IF(J286&gt;=6,"Sí","No")</x:f>
        <x:v>No</x:v>
      </x:c>
      <x:c r="O286" s="25" t="str">
        <x:v>Pendiente: asignar con R/sf</x:v>
      </x:c>
    </x:row>
    <x:row r="287">
      <x:c r="A287" s="25" t="n">
        <x:v>286</x:v>
      </x:c>
      <x:c r="B287" s="26" t="n">
        <x:v>44648.143599537034</x:v>
      </x:c>
      <x:c r="C287" s="27" t="n">
        <x:f>INT(B287)</x:f>
        <x:v>44648</x:v>
      </x:c>
      <x:c r="D287" s="28" t="n">
        <x:f>MOD(B287,1)</x:f>
        <x:v>0.14359953703387873</x:v>
      </x:c>
      <x:c r="E287" s="29" t="n">
        <x:f>YEAR(B287)</x:f>
        <x:v>2022</x:v>
      </x:c>
      <x:c r="F287" s="29" t="n">
        <x:f>MONTH(B287)</x:f>
        <x:v>3</x:v>
      </x:c>
      <x:c r="G287" s="30" t="n">
        <x:v>-30.37</x:v>
      </x:c>
      <x:c r="H287" s="30" t="n">
        <x:v>-71.36</x:v>
      </x:c>
      <x:c r="I287" s="29" t="n">
        <x:v>41</x:v>
      </x:c>
      <x:c r="J287" s="31" t="n">
        <x:v>3.8</x:v>
      </x:c>
      <x:c r="K287" s="25" t="str">
        <x:f>IF(J287&gt;=7,"Muy fuerte (&gt;=7)",IF(J287&gt;=6,"Fuerte (6-6.9)",IF(J287&gt;=5,"Moderado alto (5-5.9)",IF(J287&gt;=4,"Moderado (4-4.9)","Menor a 4"))))</x:f>
        <x:v>Menor a 4</x:v>
      </x:c>
      <x:c r="L287" s="25" t="str">
        <x:f>IF(I287&lt;70,"Superficial (&lt;70 km)",IF(I287&lt;=300,"Intermedio (70-300 km)","Profundo (&gt;300 km)"))</x:f>
        <x:v>Superficial (&lt;70 km)</x:v>
      </x:c>
      <x:c r="M287" s="25" t="str">
        <x:f>IF(J287&gt;=5,"Sí","No")</x:f>
        <x:v>No</x:v>
      </x:c>
      <x:c r="N287" s="25" t="str">
        <x:f>IF(J287&gt;=6,"Sí","No")</x:f>
        <x:v>No</x:v>
      </x:c>
      <x:c r="O287" s="25" t="str">
        <x:v>Pendiente: asignar con R/sf</x:v>
      </x:c>
    </x:row>
    <x:row r="288">
      <x:c r="A288" s="25" t="n">
        <x:v>287</x:v>
      </x:c>
      <x:c r="B288" s="26" t="n">
        <x:v>43485.42208333333</x:v>
      </x:c>
      <x:c r="C288" s="27" t="n">
        <x:f>INT(B288)</x:f>
        <x:v>43485</x:v>
      </x:c>
      <x:c r="D288" s="28" t="n">
        <x:f>MOD(B288,1)</x:f>
        <x:v>0.42208333333110204</x:v>
      </x:c>
      <x:c r="E288" s="29" t="n">
        <x:f>YEAR(B288)</x:f>
        <x:v>2019</x:v>
      </x:c>
      <x:c r="F288" s="29" t="n">
        <x:f>MONTH(B288)</x:f>
        <x:v>1</x:v>
      </x:c>
      <x:c r="G288" s="30" t="n">
        <x:v>-30.14</x:v>
      </x:c>
      <x:c r="H288" s="30" t="n">
        <x:v>-71.23</x:v>
      </x:c>
      <x:c r="I288" s="29" t="n">
        <x:v>66</x:v>
      </x:c>
      <x:c r="J288" s="31" t="n">
        <x:v>3.7</x:v>
      </x:c>
      <x:c r="K288" s="25" t="str">
        <x:f>IF(J288&gt;=7,"Muy fuerte (&gt;=7)",IF(J288&gt;=6,"Fuerte (6-6.9)",IF(J288&gt;=5,"Moderado alto (5-5.9)",IF(J288&gt;=4,"Moderado (4-4.9)","Menor a 4"))))</x:f>
        <x:v>Menor a 4</x:v>
      </x:c>
      <x:c r="L288" s="25" t="str">
        <x:f>IF(I288&lt;70,"Superficial (&lt;70 km)",IF(I288&lt;=300,"Intermedio (70-300 km)","Profundo (&gt;300 km)"))</x:f>
        <x:v>Superficial (&lt;70 km)</x:v>
      </x:c>
      <x:c r="M288" s="25" t="str">
        <x:f>IF(J288&gt;=5,"Sí","No")</x:f>
        <x:v>No</x:v>
      </x:c>
      <x:c r="N288" s="25" t="str">
        <x:f>IF(J288&gt;=6,"Sí","No")</x:f>
        <x:v>No</x:v>
      </x:c>
      <x:c r="O288" s="25" t="str">
        <x:v>Pendiente: asignar con R/sf</x:v>
      </x:c>
    </x:row>
    <x:row r="289">
      <x:c r="A289" s="25" t="n">
        <x:v>288</x:v>
      </x:c>
      <x:c r="B289" s="26" t="n">
        <x:v>44624.464895833335</x:v>
      </x:c>
      <x:c r="C289" s="27" t="n">
        <x:f>INT(B289)</x:f>
        <x:v>44624</x:v>
      </x:c>
      <x:c r="D289" s="28" t="n">
        <x:f>MOD(B289,1)</x:f>
        <x:v>0.4648958333345945</x:v>
      </x:c>
      <x:c r="E289" s="29" t="n">
        <x:f>YEAR(B289)</x:f>
        <x:v>2022</x:v>
      </x:c>
      <x:c r="F289" s="29" t="n">
        <x:f>MONTH(B289)</x:f>
        <x:v>3</x:v>
      </x:c>
      <x:c r="G289" s="30" t="n">
        <x:v>-29.86</x:v>
      </x:c>
      <x:c r="H289" s="30" t="n">
        <x:v>-71.52</x:v>
      </x:c>
      <x:c r="I289" s="29" t="n">
        <x:v>65</x:v>
      </x:c>
      <x:c r="J289" s="31" t="n">
        <x:v>3.6</x:v>
      </x:c>
      <x:c r="K289" s="25" t="str">
        <x:f>IF(J289&gt;=7,"Muy fuerte (&gt;=7)",IF(J289&gt;=6,"Fuerte (6-6.9)",IF(J289&gt;=5,"Moderado alto (5-5.9)",IF(J289&gt;=4,"Moderado (4-4.9)","Menor a 4"))))</x:f>
        <x:v>Menor a 4</x:v>
      </x:c>
      <x:c r="L289" s="25" t="str">
        <x:f>IF(I289&lt;70,"Superficial (&lt;70 km)",IF(I289&lt;=300,"Intermedio (70-300 km)","Profundo (&gt;300 km)"))</x:f>
        <x:v>Superficial (&lt;70 km)</x:v>
      </x:c>
      <x:c r="M289" s="25" t="str">
        <x:f>IF(J289&gt;=5,"Sí","No")</x:f>
        <x:v>No</x:v>
      </x:c>
      <x:c r="N289" s="25" t="str">
        <x:f>IF(J289&gt;=6,"Sí","No")</x:f>
        <x:v>No</x:v>
      </x:c>
      <x:c r="O289" s="25" t="str">
        <x:v>Pendiente: asignar con R/sf</x:v>
      </x:c>
    </x:row>
    <x:row r="290">
      <x:c r="A290" s="25" t="n">
        <x:v>289</x:v>
      </x:c>
      <x:c r="B290" s="26" t="n">
        <x:v>44251.51038194444</x:v>
      </x:c>
      <x:c r="C290" s="27" t="n">
        <x:f>INT(B290)</x:f>
        <x:v>44251</x:v>
      </x:c>
      <x:c r="D290" s="28" t="n">
        <x:f>MOD(B290,1)</x:f>
        <x:v>0.5103819444411783</x:v>
      </x:c>
      <x:c r="E290" s="29" t="n">
        <x:f>YEAR(B290)</x:f>
        <x:v>2021</x:v>
      </x:c>
      <x:c r="F290" s="29" t="n">
        <x:f>MONTH(B290)</x:f>
        <x:v>2</x:v>
      </x:c>
      <x:c r="G290" s="30" t="n">
        <x:v>-29.86</x:v>
      </x:c>
      <x:c r="H290" s="30" t="n">
        <x:v>-71.71</x:v>
      </x:c>
      <x:c r="I290" s="29" t="n">
        <x:v>44</x:v>
      </x:c>
      <x:c r="J290" s="31" t="n">
        <x:v>3.8</x:v>
      </x:c>
      <x:c r="K290" s="25" t="str">
        <x:f>IF(J290&gt;=7,"Muy fuerte (&gt;=7)",IF(J290&gt;=6,"Fuerte (6-6.9)",IF(J290&gt;=5,"Moderado alto (5-5.9)",IF(J290&gt;=4,"Moderado (4-4.9)","Menor a 4"))))</x:f>
        <x:v>Menor a 4</x:v>
      </x:c>
      <x:c r="L290" s="25" t="str">
        <x:f>IF(I290&lt;70,"Superficial (&lt;70 km)",IF(I290&lt;=300,"Intermedio (70-300 km)","Profundo (&gt;300 km)"))</x:f>
        <x:v>Superficial (&lt;70 km)</x:v>
      </x:c>
      <x:c r="M290" s="25" t="str">
        <x:f>IF(J290&gt;=5,"Sí","No")</x:f>
        <x:v>No</x:v>
      </x:c>
      <x:c r="N290" s="25" t="str">
        <x:f>IF(J290&gt;=6,"Sí","No")</x:f>
        <x:v>No</x:v>
      </x:c>
      <x:c r="O290" s="25" t="str">
        <x:v>Pendiente: asignar con R/sf</x:v>
      </x:c>
    </x:row>
    <x:row r="291">
      <x:c r="A291" s="25" t="n">
        <x:v>290</x:v>
      </x:c>
      <x:c r="B291" s="26" t="n">
        <x:v>44397.143645833334</x:v>
      </x:c>
      <x:c r="C291" s="27" t="n">
        <x:f>INT(B291)</x:f>
        <x:v>44397</x:v>
      </x:c>
      <x:c r="D291" s="28" t="n">
        <x:f>MOD(B291,1)</x:f>
        <x:v>0.14364583333372138</x:v>
      </x:c>
      <x:c r="E291" s="29" t="n">
        <x:f>YEAR(B291)</x:f>
        <x:v>2021</x:v>
      </x:c>
      <x:c r="F291" s="29" t="n">
        <x:f>MONTH(B291)</x:f>
        <x:v>7</x:v>
      </x:c>
      <x:c r="G291" s="30" t="n">
        <x:v>-19.19</x:v>
      </x:c>
      <x:c r="H291" s="30" t="n">
        <x:v>-69.61</x:v>
      </x:c>
      <x:c r="I291" s="29" t="n">
        <x:v>115</x:v>
      </x:c>
      <x:c r="J291" s="31" t="n">
        <x:v>3.6</x:v>
      </x:c>
      <x:c r="K291" s="25" t="str">
        <x:f>IF(J291&gt;=7,"Muy fuerte (&gt;=7)",IF(J291&gt;=6,"Fuerte (6-6.9)",IF(J291&gt;=5,"Moderado alto (5-5.9)",IF(J291&gt;=4,"Moderado (4-4.9)","Menor a 4"))))</x:f>
        <x:v>Menor a 4</x:v>
      </x:c>
      <x:c r="L291" s="25" t="str">
        <x:f>IF(I291&lt;70,"Superficial (&lt;70 km)",IF(I291&lt;=300,"Intermedio (70-300 km)","Profundo (&gt;300 km)"))</x:f>
        <x:v>Intermedio (70-300 km)</x:v>
      </x:c>
      <x:c r="M291" s="25" t="str">
        <x:f>IF(J291&gt;=5,"Sí","No")</x:f>
        <x:v>No</x:v>
      </x:c>
      <x:c r="N291" s="25" t="str">
        <x:f>IF(J291&gt;=6,"Sí","No")</x:f>
        <x:v>No</x:v>
      </x:c>
      <x:c r="O291" s="25" t="str">
        <x:v>Pendiente: asignar con R/sf</x:v>
      </x:c>
    </x:row>
    <x:row r="292">
      <x:c r="A292" s="25" t="n">
        <x:v>291</x:v>
      </x:c>
      <x:c r="B292" s="26" t="n">
        <x:v>44617.51385416667</x:v>
      </x:c>
      <x:c r="C292" s="27" t="n">
        <x:f>INT(B292)</x:f>
        <x:v>44617</x:v>
      </x:c>
      <x:c r="D292" s="28" t="n">
        <x:f>MOD(B292,1)</x:f>
        <x:v>0.5138541666674428</x:v>
      </x:c>
      <x:c r="E292" s="29" t="n">
        <x:f>YEAR(B292)</x:f>
        <x:v>2022</x:v>
      </x:c>
      <x:c r="F292" s="29" t="n">
        <x:f>MONTH(B292)</x:f>
        <x:v>2</x:v>
      </x:c>
      <x:c r="G292" s="30" t="n">
        <x:v>-20.49</x:v>
      </x:c>
      <x:c r="H292" s="30" t="n">
        <x:v>-69.15</x:v>
      </x:c>
      <x:c r="I292" s="29" t="n">
        <x:v>92</x:v>
      </x:c>
      <x:c r="J292" s="31" t="n">
        <x:v>4.5</x:v>
      </x:c>
      <x:c r="K292" s="25" t="str">
        <x:f>IF(J292&gt;=7,"Muy fuerte (&gt;=7)",IF(J292&gt;=6,"Fuerte (6-6.9)",IF(J292&gt;=5,"Moderado alto (5-5.9)",IF(J292&gt;=4,"Moderado (4-4.9)","Menor a 4"))))</x:f>
        <x:v>Moderado (4-4.9)</x:v>
      </x:c>
      <x:c r="L292" s="25" t="str">
        <x:f>IF(I292&lt;70,"Superficial (&lt;70 km)",IF(I292&lt;=300,"Intermedio (70-300 km)","Profundo (&gt;300 km)"))</x:f>
        <x:v>Intermedio (70-300 km)</x:v>
      </x:c>
      <x:c r="M292" s="25" t="str">
        <x:f>IF(J292&gt;=5,"Sí","No")</x:f>
        <x:v>No</x:v>
      </x:c>
      <x:c r="N292" s="25" t="str">
        <x:f>IF(J292&gt;=6,"Sí","No")</x:f>
        <x:v>No</x:v>
      </x:c>
      <x:c r="O292" s="25" t="str">
        <x:v>Pendiente: asignar con R/sf</x:v>
      </x:c>
    </x:row>
    <x:row r="293">
      <x:c r="A293" s="25" t="n">
        <x:v>292</x:v>
      </x:c>
      <x:c r="B293" s="26" t="n">
        <x:v>44535.334699074076</x:v>
      </x:c>
      <x:c r="C293" s="27" t="n">
        <x:f>INT(B293)</x:f>
        <x:v>44535</x:v>
      </x:c>
      <x:c r="D293" s="28" t="n">
        <x:f>MOD(B293,1)</x:f>
        <x:v>0.3346990740756155</x:v>
      </x:c>
      <x:c r="E293" s="29" t="n">
        <x:f>YEAR(B293)</x:f>
        <x:v>2021</x:v>
      </x:c>
      <x:c r="F293" s="29" t="n">
        <x:f>MONTH(B293)</x:f>
        <x:v>12</x:v>
      </x:c>
      <x:c r="G293" s="30" t="n">
        <x:v>-29.79</x:v>
      </x:c>
      <x:c r="H293" s="30" t="n">
        <x:v>-71.67</x:v>
      </x:c>
      <x:c r="I293" s="29" t="n">
        <x:v>65</x:v>
      </x:c>
      <x:c r="J293" s="31" t="n">
        <x:v>4.4</x:v>
      </x:c>
      <x:c r="K293" s="25" t="str">
        <x:f>IF(J293&gt;=7,"Muy fuerte (&gt;=7)",IF(J293&gt;=6,"Fuerte (6-6.9)",IF(J293&gt;=5,"Moderado alto (5-5.9)",IF(J293&gt;=4,"Moderado (4-4.9)","Menor a 4"))))</x:f>
        <x:v>Moderado (4-4.9)</x:v>
      </x:c>
      <x:c r="L293" s="25" t="str">
        <x:f>IF(I293&lt;70,"Superficial (&lt;70 km)",IF(I293&lt;=300,"Intermedio (70-300 km)","Profundo (&gt;300 km)"))</x:f>
        <x:v>Superficial (&lt;70 km)</x:v>
      </x:c>
      <x:c r="M293" s="25" t="str">
        <x:f>IF(J293&gt;=5,"Sí","No")</x:f>
        <x:v>No</x:v>
      </x:c>
      <x:c r="N293" s="25" t="str">
        <x:f>IF(J293&gt;=6,"Sí","No")</x:f>
        <x:v>No</x:v>
      </x:c>
      <x:c r="O293" s="25" t="str">
        <x:v>Pendiente: asignar con R/sf</x:v>
      </x:c>
    </x:row>
    <x:row r="294">
      <x:c r="A294" s="25" t="n">
        <x:v>293</x:v>
      </x:c>
      <x:c r="B294" s="26" t="n">
        <x:v>43485.10230324074</x:v>
      </x:c>
      <x:c r="C294" s="27" t="n">
        <x:f>INT(B294)</x:f>
        <x:v>43485</x:v>
      </x:c>
      <x:c r="D294" s="28" t="n">
        <x:f>MOD(B294,1)</x:f>
        <x:v>0.10230324073927477</x:v>
      </x:c>
      <x:c r="E294" s="29" t="n">
        <x:f>YEAR(B294)</x:f>
        <x:v>2019</x:v>
      </x:c>
      <x:c r="F294" s="29" t="n">
        <x:f>MONTH(B294)</x:f>
        <x:v>1</x:v>
      </x:c>
      <x:c r="G294" s="30" t="n">
        <x:v>-30.06</x:v>
      </x:c>
      <x:c r="H294" s="30" t="n">
        <x:v>-71.29</x:v>
      </x:c>
      <x:c r="I294" s="29" t="n">
        <x:v>70</x:v>
      </x:c>
      <x:c r="J294" s="31" t="n">
        <x:v>3.7</x:v>
      </x:c>
      <x:c r="K294" s="25" t="str">
        <x:f>IF(J294&gt;=7,"Muy fuerte (&gt;=7)",IF(J294&gt;=6,"Fuerte (6-6.9)",IF(J294&gt;=5,"Moderado alto (5-5.9)",IF(J294&gt;=4,"Moderado (4-4.9)","Menor a 4"))))</x:f>
        <x:v>Menor a 4</x:v>
      </x:c>
      <x:c r="L294" s="25" t="str">
        <x:f>IF(I294&lt;70,"Superficial (&lt;70 km)",IF(I294&lt;=300,"Intermedio (70-300 km)","Profundo (&gt;300 km)"))</x:f>
        <x:v>Intermedio (70-300 km)</x:v>
      </x:c>
      <x:c r="M294" s="25" t="str">
        <x:f>IF(J294&gt;=5,"Sí","No")</x:f>
        <x:v>No</x:v>
      </x:c>
      <x:c r="N294" s="25" t="str">
        <x:f>IF(J294&gt;=6,"Sí","No")</x:f>
        <x:v>No</x:v>
      </x:c>
      <x:c r="O294" s="25" t="str">
        <x:v>Pendiente: asignar con R/sf</x:v>
      </x:c>
    </x:row>
    <x:row r="295">
      <x:c r="A295" s="25" t="n">
        <x:v>294</x:v>
      </x:c>
      <x:c r="B295" s="26" t="n">
        <x:v>44058.5228587963</x:v>
      </x:c>
      <x:c r="C295" s="27" t="n">
        <x:f>INT(B295)</x:f>
        <x:v>44058</x:v>
      </x:c>
      <x:c r="D295" s="28" t="n">
        <x:f>MOD(B295,1)</x:f>
        <x:v>0.5228587962992606</x:v>
      </x:c>
      <x:c r="E295" s="29" t="n">
        <x:f>YEAR(B295)</x:f>
        <x:v>2020</x:v>
      </x:c>
      <x:c r="F295" s="29" t="n">
        <x:f>MONTH(B295)</x:f>
        <x:v>8</x:v>
      </x:c>
      <x:c r="G295" s="30" t="n">
        <x:v>-19.95</x:v>
      </x:c>
      <x:c r="H295" s="30" t="n">
        <x:v>-69.17</x:v>
      </x:c>
      <x:c r="I295" s="29" t="n">
        <x:v>96</x:v>
      </x:c>
      <x:c r="J295" s="31" t="n">
        <x:v>4.4</x:v>
      </x:c>
      <x:c r="K295" s="25" t="str">
        <x:f>IF(J295&gt;=7,"Muy fuerte (&gt;=7)",IF(J295&gt;=6,"Fuerte (6-6.9)",IF(J295&gt;=5,"Moderado alto (5-5.9)",IF(J295&gt;=4,"Moderado (4-4.9)","Menor a 4"))))</x:f>
        <x:v>Moderado (4-4.9)</x:v>
      </x:c>
      <x:c r="L295" s="25" t="str">
        <x:f>IF(I295&lt;70,"Superficial (&lt;70 km)",IF(I295&lt;=300,"Intermedio (70-300 km)","Profundo (&gt;300 km)"))</x:f>
        <x:v>Intermedio (70-300 km)</x:v>
      </x:c>
      <x:c r="M295" s="25" t="str">
        <x:f>IF(J295&gt;=5,"Sí","No")</x:f>
        <x:v>No</x:v>
      </x:c>
      <x:c r="N295" s="25" t="str">
        <x:f>IF(J295&gt;=6,"Sí","No")</x:f>
        <x:v>No</x:v>
      </x:c>
      <x:c r="O295" s="25" t="str">
        <x:v>Pendiente: asignar con R/sf</x:v>
      </x:c>
    </x:row>
    <x:row r="296">
      <x:c r="A296" s="25" t="n">
        <x:v>295</x:v>
      </x:c>
      <x:c r="B296" s="26" t="n">
        <x:v>44584.83918981482</x:v>
      </x:c>
      <x:c r="C296" s="27" t="n">
        <x:f>INT(B296)</x:f>
        <x:v>44584</x:v>
      </x:c>
      <x:c r="D296" s="28" t="n">
        <x:f>MOD(B296,1)</x:f>
        <x:v>0.8391898148183827</x:v>
      </x:c>
      <x:c r="E296" s="29" t="n">
        <x:f>YEAR(B296)</x:f>
        <x:v>2022</x:v>
      </x:c>
      <x:c r="F296" s="29" t="n">
        <x:f>MONTH(B296)</x:f>
        <x:v>1</x:v>
      </x:c>
      <x:c r="G296" s="30" t="n">
        <x:v>-31.55</x:v>
      </x:c>
      <x:c r="H296" s="30" t="n">
        <x:v>-71.5</x:v>
      </x:c>
      <x:c r="I296" s="29" t="n">
        <x:v>50</x:v>
      </x:c>
      <x:c r="J296" s="31" t="n">
        <x:v>4.2</x:v>
      </x:c>
      <x:c r="K296" s="25" t="str">
        <x:f>IF(J296&gt;=7,"Muy fuerte (&gt;=7)",IF(J296&gt;=6,"Fuerte (6-6.9)",IF(J296&gt;=5,"Moderado alto (5-5.9)",IF(J296&gt;=4,"Moderado (4-4.9)","Menor a 4"))))</x:f>
        <x:v>Moderado (4-4.9)</x:v>
      </x:c>
      <x:c r="L296" s="25" t="str">
        <x:f>IF(I296&lt;70,"Superficial (&lt;70 km)",IF(I296&lt;=300,"Intermedio (70-300 km)","Profundo (&gt;300 km)"))</x:f>
        <x:v>Superficial (&lt;70 km)</x:v>
      </x:c>
      <x:c r="M296" s="25" t="str">
        <x:f>IF(J296&gt;=5,"Sí","No")</x:f>
        <x:v>No</x:v>
      </x:c>
      <x:c r="N296" s="25" t="str">
        <x:f>IF(J296&gt;=6,"Sí","No")</x:f>
        <x:v>No</x:v>
      </x:c>
      <x:c r="O296" s="25" t="str">
        <x:v>Pendiente: asignar con R/sf</x:v>
      </x:c>
    </x:row>
    <x:row r="297">
      <x:c r="A297" s="25" t="n">
        <x:v>296</x:v>
      </x:c>
      <x:c r="B297" s="26" t="n">
        <x:v>43487.28590277778</x:v>
      </x:c>
      <x:c r="C297" s="27" t="n">
        <x:f>INT(B297)</x:f>
        <x:v>43487</x:v>
      </x:c>
      <x:c r="D297" s="28" t="n">
        <x:f>MOD(B297,1)</x:f>
        <x:v>0.2859027777813026</x:v>
      </x:c>
      <x:c r="E297" s="29" t="n">
        <x:f>YEAR(B297)</x:f>
        <x:v>2019</x:v>
      </x:c>
      <x:c r="F297" s="29" t="n">
        <x:f>MONTH(B297)</x:f>
        <x:v>1</x:v>
      </x:c>
      <x:c r="G297" s="30" t="n">
        <x:v>-30.14</x:v>
      </x:c>
      <x:c r="H297" s="30" t="n">
        <x:v>-71.24</x:v>
      </x:c>
      <x:c r="I297" s="29" t="n">
        <x:v>61</x:v>
      </x:c>
      <x:c r="J297" s="31" t="n">
        <x:v>3.5</x:v>
      </x:c>
      <x:c r="K297" s="25" t="str">
        <x:f>IF(J297&gt;=7,"Muy fuerte (&gt;=7)",IF(J297&gt;=6,"Fuerte (6-6.9)",IF(J297&gt;=5,"Moderado alto (5-5.9)",IF(J297&gt;=4,"Moderado (4-4.9)","Menor a 4"))))</x:f>
        <x:v>Menor a 4</x:v>
      </x:c>
      <x:c r="L297" s="25" t="str">
        <x:f>IF(I297&lt;70,"Superficial (&lt;70 km)",IF(I297&lt;=300,"Intermedio (70-300 km)","Profundo (&gt;300 km)"))</x:f>
        <x:v>Superficial (&lt;70 km)</x:v>
      </x:c>
      <x:c r="M297" s="25" t="str">
        <x:f>IF(J297&gt;=5,"Sí","No")</x:f>
        <x:v>No</x:v>
      </x:c>
      <x:c r="N297" s="25" t="str">
        <x:f>IF(J297&gt;=6,"Sí","No")</x:f>
        <x:v>No</x:v>
      </x:c>
      <x:c r="O297" s="25" t="str">
        <x:v>Pendiente: asignar con R/sf</x:v>
      </x:c>
    </x:row>
    <x:row r="298">
      <x:c r="A298" s="25" t="n">
        <x:v>297</x:v>
      </x:c>
      <x:c r="B298" s="26" t="n">
        <x:v>44615.90121527778</x:v>
      </x:c>
      <x:c r="C298" s="27" t="n">
        <x:f>INT(B298)</x:f>
        <x:v>44615</x:v>
      </x:c>
      <x:c r="D298" s="28" t="n">
        <x:f>MOD(B298,1)</x:f>
        <x:v>0.9012152777795563</x:v>
      </x:c>
      <x:c r="E298" s="29" t="n">
        <x:f>YEAR(B298)</x:f>
        <x:v>2022</x:v>
      </x:c>
      <x:c r="F298" s="29" t="n">
        <x:f>MONTH(B298)</x:f>
        <x:v>2</x:v>
      </x:c>
      <x:c r="G298" s="30" t="n">
        <x:v>-21.27</x:v>
      </x:c>
      <x:c r="H298" s="30" t="n">
        <x:v>-69.49</x:v>
      </x:c>
      <x:c r="I298" s="29" t="n">
        <x:v>6</x:v>
      </x:c>
      <x:c r="J298" s="31" t="n">
        <x:v>4.3</x:v>
      </x:c>
      <x:c r="K298" s="25" t="str">
        <x:f>IF(J298&gt;=7,"Muy fuerte (&gt;=7)",IF(J298&gt;=6,"Fuerte (6-6.9)",IF(J298&gt;=5,"Moderado alto (5-5.9)",IF(J298&gt;=4,"Moderado (4-4.9)","Menor a 4"))))</x:f>
        <x:v>Moderado (4-4.9)</x:v>
      </x:c>
      <x:c r="L298" s="25" t="str">
        <x:f>IF(I298&lt;70,"Superficial (&lt;70 km)",IF(I298&lt;=300,"Intermedio (70-300 km)","Profundo (&gt;300 km)"))</x:f>
        <x:v>Superficial (&lt;70 km)</x:v>
      </x:c>
      <x:c r="M298" s="25" t="str">
        <x:f>IF(J298&gt;=5,"Sí","No")</x:f>
        <x:v>No</x:v>
      </x:c>
      <x:c r="N298" s="25" t="str">
        <x:f>IF(J298&gt;=6,"Sí","No")</x:f>
        <x:v>No</x:v>
      </x:c>
      <x:c r="O298" s="25" t="str">
        <x:v>Pendiente: asignar con R/sf</x:v>
      </x:c>
    </x:row>
    <x:row r="299">
      <x:c r="A299" s="25" t="n">
        <x:v>298</x:v>
      </x:c>
      <x:c r="B299" s="26" t="n">
        <x:v>44624.376064814816</x:v>
      </x:c>
      <x:c r="C299" s="27" t="n">
        <x:f>INT(B299)</x:f>
        <x:v>44624</x:v>
      </x:c>
      <x:c r="D299" s="28" t="n">
        <x:f>MOD(B299,1)</x:f>
        <x:v>0.37606481481634546</x:v>
      </x:c>
      <x:c r="E299" s="29" t="n">
        <x:f>YEAR(B299)</x:f>
        <x:v>2022</x:v>
      </x:c>
      <x:c r="F299" s="29" t="n">
        <x:f>MONTH(B299)</x:f>
        <x:v>3</x:v>
      </x:c>
      <x:c r="G299" s="30" t="n">
        <x:v>-29.54</x:v>
      </x:c>
      <x:c r="H299" s="30" t="n">
        <x:v>-71.6</x:v>
      </x:c>
      <x:c r="I299" s="29" t="n">
        <x:v>32</x:v>
      </x:c>
      <x:c r="J299" s="31" t="n">
        <x:v>4.4</x:v>
      </x:c>
      <x:c r="K299" s="25" t="str">
        <x:f>IF(J299&gt;=7,"Muy fuerte (&gt;=7)",IF(J299&gt;=6,"Fuerte (6-6.9)",IF(J299&gt;=5,"Moderado alto (5-5.9)",IF(J299&gt;=4,"Moderado (4-4.9)","Menor a 4"))))</x:f>
        <x:v>Moderado (4-4.9)</x:v>
      </x:c>
      <x:c r="L299" s="25" t="str">
        <x:f>IF(I299&lt;70,"Superficial (&lt;70 km)",IF(I299&lt;=300,"Intermedio (70-300 km)","Profundo (&gt;300 km)"))</x:f>
        <x:v>Superficial (&lt;70 km)</x:v>
      </x:c>
      <x:c r="M299" s="25" t="str">
        <x:f>IF(J299&gt;=5,"Sí","No")</x:f>
        <x:v>No</x:v>
      </x:c>
      <x:c r="N299" s="25" t="str">
        <x:f>IF(J299&gt;=6,"Sí","No")</x:f>
        <x:v>No</x:v>
      </x:c>
      <x:c r="O299" s="25" t="str">
        <x:v>Pendiente: asignar con R/sf</x:v>
      </x:c>
    </x:row>
    <x:row r="300">
      <x:c r="A300" s="25" t="n">
        <x:v>299</x:v>
      </x:c>
      <x:c r="B300" s="26" t="n">
        <x:v>43485.243935185186</x:v>
      </x:c>
      <x:c r="C300" s="27" t="n">
        <x:f>INT(B300)</x:f>
        <x:v>43485</x:v>
      </x:c>
      <x:c r="D300" s="28" t="n">
        <x:f>MOD(B300,1)</x:f>
        <x:v>0.24393518518627388</x:v>
      </x:c>
      <x:c r="E300" s="29" t="n">
        <x:f>YEAR(B300)</x:f>
        <x:v>2019</x:v>
      </x:c>
      <x:c r="F300" s="29" t="n">
        <x:f>MONTH(B300)</x:f>
        <x:v>1</x:v>
      </x:c>
      <x:c r="G300" s="30" t="n">
        <x:v>-30.06</x:v>
      </x:c>
      <x:c r="H300" s="30" t="n">
        <x:v>-71.24</x:v>
      </x:c>
      <x:c r="I300" s="29" t="n">
        <x:v>62</x:v>
      </x:c>
      <x:c r="J300" s="31" t="n">
        <x:v>3.8</x:v>
      </x:c>
      <x:c r="K300" s="25" t="str">
        <x:f>IF(J300&gt;=7,"Muy fuerte (&gt;=7)",IF(J300&gt;=6,"Fuerte (6-6.9)",IF(J300&gt;=5,"Moderado alto (5-5.9)",IF(J300&gt;=4,"Moderado (4-4.9)","Menor a 4"))))</x:f>
        <x:v>Menor a 4</x:v>
      </x:c>
      <x:c r="L300" s="25" t="str">
        <x:f>IF(I300&lt;70,"Superficial (&lt;70 km)",IF(I300&lt;=300,"Intermedio (70-300 km)","Profundo (&gt;300 km)"))</x:f>
        <x:v>Superficial (&lt;70 km)</x:v>
      </x:c>
      <x:c r="M300" s="25" t="str">
        <x:f>IF(J300&gt;=5,"Sí","No")</x:f>
        <x:v>No</x:v>
      </x:c>
      <x:c r="N300" s="25" t="str">
        <x:f>IF(J300&gt;=6,"Sí","No")</x:f>
        <x:v>No</x:v>
      </x:c>
      <x:c r="O300" s="25" t="str">
        <x:v>Pendiente: asignar con R/sf</x:v>
      </x:c>
    </x:row>
    <x:row r="301">
      <x:c r="A301" s="25" t="n">
        <x:v>300</x:v>
      </x:c>
      <x:c r="B301" s="26" t="n">
        <x:v>43347.840625</x:v>
      </x:c>
      <x:c r="C301" s="27" t="n">
        <x:f>INT(B301)</x:f>
        <x:v>43347</x:v>
      </x:c>
      <x:c r="D301" s="28" t="n">
        <x:f>MOD(B301,1)</x:f>
        <x:v>0.8406249999970896</x:v>
      </x:c>
      <x:c r="E301" s="29" t="n">
        <x:f>YEAR(B301)</x:f>
        <x:v>2018</x:v>
      </x:c>
      <x:c r="F301" s="29" t="n">
        <x:f>MONTH(B301)</x:f>
        <x:v>9</x:v>
      </x:c>
      <x:c r="G301" s="30" t="n">
        <x:v>-19.41</x:v>
      </x:c>
      <x:c r="H301" s="30" t="n">
        <x:v>-69.27</x:v>
      </x:c>
      <x:c r="I301" s="29" t="n">
        <x:v>109</x:v>
      </x:c>
      <x:c r="J301" s="31" t="n">
        <x:v>4</x:v>
      </x:c>
      <x:c r="K301" s="25" t="str">
        <x:f>IF(J301&gt;=7,"Muy fuerte (&gt;=7)",IF(J301&gt;=6,"Fuerte (6-6.9)",IF(J301&gt;=5,"Moderado alto (5-5.9)",IF(J301&gt;=4,"Moderado (4-4.9)","Menor a 4"))))</x:f>
        <x:v>Moderado (4-4.9)</x:v>
      </x:c>
      <x:c r="L301" s="25" t="str">
        <x:f>IF(I301&lt;70,"Superficial (&lt;70 km)",IF(I301&lt;=300,"Intermedio (70-300 km)","Profundo (&gt;300 km)"))</x:f>
        <x:v>Intermedio (70-300 km)</x:v>
      </x:c>
      <x:c r="M301" s="25" t="str">
        <x:f>IF(J301&gt;=5,"Sí","No")</x:f>
        <x:v>No</x:v>
      </x:c>
      <x:c r="N301" s="25" t="str">
        <x:f>IF(J301&gt;=6,"Sí","No")</x:f>
        <x:v>No</x:v>
      </x:c>
      <x:c r="O301" s="25" t="str">
        <x:v>Pendiente: asignar con R/sf</x:v>
      </x:c>
    </x:row>
    <x:row r="302">
      <x:c r="A302" s="25" t="n">
        <x:v>301</x:v>
      </x:c>
      <x:c r="B302" s="26" t="n">
        <x:v>44310.072280092594</x:v>
      </x:c>
      <x:c r="C302" s="27" t="n">
        <x:f>INT(B302)</x:f>
        <x:v>44310</x:v>
      </x:c>
      <x:c r="D302" s="28" t="n">
        <x:f>MOD(B302,1)</x:f>
        <x:v>0.07228009259415558</x:v>
      </x:c>
      <x:c r="E302" s="29" t="n">
        <x:f>YEAR(B302)</x:f>
        <x:v>2021</x:v>
      </x:c>
      <x:c r="F302" s="29" t="n">
        <x:f>MONTH(B302)</x:f>
        <x:v>4</x:v>
      </x:c>
      <x:c r="G302" s="30" t="n">
        <x:v>-19.65</x:v>
      </x:c>
      <x:c r="H302" s="30" t="n">
        <x:v>-69.28</x:v>
      </x:c>
      <x:c r="I302" s="29" t="n">
        <x:v>98</x:v>
      </x:c>
      <x:c r="J302" s="31" t="n">
        <x:v>3.7</x:v>
      </x:c>
      <x:c r="K302" s="25" t="str">
        <x:f>IF(J302&gt;=7,"Muy fuerte (&gt;=7)",IF(J302&gt;=6,"Fuerte (6-6.9)",IF(J302&gt;=5,"Moderado alto (5-5.9)",IF(J302&gt;=4,"Moderado (4-4.9)","Menor a 4"))))</x:f>
        <x:v>Menor a 4</x:v>
      </x:c>
      <x:c r="L302" s="25" t="str">
        <x:f>IF(I302&lt;70,"Superficial (&lt;70 km)",IF(I302&lt;=300,"Intermedio (70-300 km)","Profundo (&gt;300 km)"))</x:f>
        <x:v>Intermedio (70-300 km)</x:v>
      </x:c>
      <x:c r="M302" s="25" t="str">
        <x:f>IF(J302&gt;=5,"Sí","No")</x:f>
        <x:v>No</x:v>
      </x:c>
      <x:c r="N302" s="25" t="str">
        <x:f>IF(J302&gt;=6,"Sí","No")</x:f>
        <x:v>No</x:v>
      </x:c>
      <x:c r="O302" s="25" t="str">
        <x:v>Pendiente: asignar con R/sf</x:v>
      </x:c>
    </x:row>
    <x:row r="303">
      <x:c r="A303" s="25" t="n">
        <x:v>302</x:v>
      </x:c>
      <x:c r="B303" s="26" t="n">
        <x:v>44561.83158564815</x:v>
      </x:c>
      <x:c r="C303" s="27" t="n">
        <x:f>INT(B303)</x:f>
        <x:v>44561</x:v>
      </x:c>
      <x:c r="D303" s="28" t="n">
        <x:f>MOD(B303,1)</x:f>
        <x:v>0.8315856481494848</x:v>
      </x:c>
      <x:c r="E303" s="29" t="n">
        <x:f>YEAR(B303)</x:f>
        <x:v>2021</x:v>
      </x:c>
      <x:c r="F303" s="29" t="n">
        <x:f>MONTH(B303)</x:f>
        <x:v>12</x:v>
      </x:c>
      <x:c r="G303" s="30" t="n">
        <x:v>-19.36</x:v>
      </x:c>
      <x:c r="H303" s="30" t="n">
        <x:v>-69.87</x:v>
      </x:c>
      <x:c r="I303" s="29" t="n">
        <x:v>75</x:v>
      </x:c>
      <x:c r="J303" s="31" t="n">
        <x:v>3.8</x:v>
      </x:c>
      <x:c r="K303" s="25" t="str">
        <x:f>IF(J303&gt;=7,"Muy fuerte (&gt;=7)",IF(J303&gt;=6,"Fuerte (6-6.9)",IF(J303&gt;=5,"Moderado alto (5-5.9)",IF(J303&gt;=4,"Moderado (4-4.9)","Menor a 4"))))</x:f>
        <x:v>Menor a 4</x:v>
      </x:c>
      <x:c r="L303" s="25" t="str">
        <x:f>IF(I303&lt;70,"Superficial (&lt;70 km)",IF(I303&lt;=300,"Intermedio (70-300 km)","Profundo (&gt;300 km)"))</x:f>
        <x:v>Intermedio (70-300 km)</x:v>
      </x:c>
      <x:c r="M303" s="25" t="str">
        <x:f>IF(J303&gt;=5,"Sí","No")</x:f>
        <x:v>No</x:v>
      </x:c>
      <x:c r="N303" s="25" t="str">
        <x:f>IF(J303&gt;=6,"Sí","No")</x:f>
        <x:v>No</x:v>
      </x:c>
      <x:c r="O303" s="25" t="str">
        <x:v>Pendiente: asignar con R/sf</x:v>
      </x:c>
    </x:row>
    <x:row r="304">
      <x:c r="A304" s="25" t="n">
        <x:v>303</x:v>
      </x:c>
      <x:c r="B304" s="26" t="n">
        <x:v>44205.61188657407</x:v>
      </x:c>
      <x:c r="C304" s="27" t="n">
        <x:f>INT(B304)</x:f>
        <x:v>44205</x:v>
      </x:c>
      <x:c r="D304" s="28" t="n">
        <x:f>MOD(B304,1)</x:f>
        <x:v>0.611886574071832</x:v>
      </x:c>
      <x:c r="E304" s="29" t="n">
        <x:f>YEAR(B304)</x:f>
        <x:v>2021</x:v>
      </x:c>
      <x:c r="F304" s="29" t="n">
        <x:f>MONTH(B304)</x:f>
        <x:v>1</x:v>
      </x:c>
      <x:c r="G304" s="30" t="n">
        <x:v>-21.01</x:v>
      </x:c>
      <x:c r="H304" s="30" t="n">
        <x:v>-69.38</x:v>
      </x:c>
      <x:c r="I304" s="29" t="n">
        <x:v>89</x:v>
      </x:c>
      <x:c r="J304" s="31" t="n">
        <x:v>4.1</x:v>
      </x:c>
      <x:c r="K304" s="25" t="str">
        <x:f>IF(J304&gt;=7,"Muy fuerte (&gt;=7)",IF(J304&gt;=6,"Fuerte (6-6.9)",IF(J304&gt;=5,"Moderado alto (5-5.9)",IF(J304&gt;=4,"Moderado (4-4.9)","Menor a 4"))))</x:f>
        <x:v>Moderado (4-4.9)</x:v>
      </x:c>
      <x:c r="L304" s="25" t="str">
        <x:f>IF(I304&lt;70,"Superficial (&lt;70 km)",IF(I304&lt;=300,"Intermedio (70-300 km)","Profundo (&gt;300 km)"))</x:f>
        <x:v>Intermedio (70-300 km)</x:v>
      </x:c>
      <x:c r="M304" s="25" t="str">
        <x:f>IF(J304&gt;=5,"Sí","No")</x:f>
        <x:v>No</x:v>
      </x:c>
      <x:c r="N304" s="25" t="str">
        <x:f>IF(J304&gt;=6,"Sí","No")</x:f>
        <x:v>No</x:v>
      </x:c>
      <x:c r="O304" s="25" t="str">
        <x:v>Pendiente: asignar con R/sf</x:v>
      </x:c>
    </x:row>
    <x:row r="305">
      <x:c r="A305" s="25" t="n">
        <x:v>304</x:v>
      </x:c>
      <x:c r="B305" s="26" t="n">
        <x:v>44243.21840277778</x:v>
      </x:c>
      <x:c r="C305" s="27" t="n">
        <x:f>INT(B305)</x:f>
        <x:v>44243</x:v>
      </x:c>
      <x:c r="D305" s="28" t="n">
        <x:f>MOD(B305,1)</x:f>
        <x:v>0.21840277777664596</x:v>
      </x:c>
      <x:c r="E305" s="29" t="n">
        <x:f>YEAR(B305)</x:f>
        <x:v>2021</x:v>
      </x:c>
      <x:c r="F305" s="29" t="n">
        <x:f>MONTH(B305)</x:f>
        <x:v>2</x:v>
      </x:c>
      <x:c r="G305" s="30" t="n">
        <x:v>-31.97</x:v>
      </x:c>
      <x:c r="H305" s="30" t="n">
        <x:v>-71.67</x:v>
      </x:c>
      <x:c r="I305" s="29" t="n">
        <x:v>23</x:v>
      </x:c>
      <x:c r="J305" s="31" t="n">
        <x:v>4</x:v>
      </x:c>
      <x:c r="K305" s="25" t="str">
        <x:f>IF(J305&gt;=7,"Muy fuerte (&gt;=7)",IF(J305&gt;=6,"Fuerte (6-6.9)",IF(J305&gt;=5,"Moderado alto (5-5.9)",IF(J305&gt;=4,"Moderado (4-4.9)","Menor a 4"))))</x:f>
        <x:v>Moderado (4-4.9)</x:v>
      </x:c>
      <x:c r="L305" s="25" t="str">
        <x:f>IF(I305&lt;70,"Superficial (&lt;70 km)",IF(I305&lt;=300,"Intermedio (70-300 km)","Profundo (&gt;300 km)"))</x:f>
        <x:v>Superficial (&lt;70 km)</x:v>
      </x:c>
      <x:c r="M305" s="25" t="str">
        <x:f>IF(J305&gt;=5,"Sí","No")</x:f>
        <x:v>No</x:v>
      </x:c>
      <x:c r="N305" s="25" t="str">
        <x:f>IF(J305&gt;=6,"Sí","No")</x:f>
        <x:v>No</x:v>
      </x:c>
      <x:c r="O305" s="25" t="str">
        <x:v>Pendiente: asignar con R/sf</x:v>
      </x:c>
    </x:row>
    <x:row r="306">
      <x:c r="A306" s="25" t="n">
        <x:v>305</x:v>
      </x:c>
      <x:c r="B306" s="26" t="n">
        <x:v>44665.9291087963</x:v>
      </x:c>
      <x:c r="C306" s="27" t="n">
        <x:f>INT(B306)</x:f>
        <x:v>44665</x:v>
      </x:c>
      <x:c r="D306" s="28" t="n">
        <x:f>MOD(B306,1)</x:f>
        <x:v>0.9291087962992606</x:v>
      </x:c>
      <x:c r="E306" s="29" t="n">
        <x:f>YEAR(B306)</x:f>
        <x:v>2022</x:v>
      </x:c>
      <x:c r="F306" s="29" t="n">
        <x:f>MONTH(B306)</x:f>
        <x:v>4</x:v>
      </x:c>
      <x:c r="G306" s="30" t="n">
        <x:v>-32.16</x:v>
      </x:c>
      <x:c r="H306" s="30" t="n">
        <x:v>-71.43</x:v>
      </x:c>
      <x:c r="I306" s="29" t="n">
        <x:v>50</x:v>
      </x:c>
      <x:c r="J306" s="31" t="n">
        <x:v>4.9</x:v>
      </x:c>
      <x:c r="K306" s="25" t="str">
        <x:f>IF(J306&gt;=7,"Muy fuerte (&gt;=7)",IF(J306&gt;=6,"Fuerte (6-6.9)",IF(J306&gt;=5,"Moderado alto (5-5.9)",IF(J306&gt;=4,"Moderado (4-4.9)","Menor a 4"))))</x:f>
        <x:v>Moderado (4-4.9)</x:v>
      </x:c>
      <x:c r="L306" s="25" t="str">
        <x:f>IF(I306&lt;70,"Superficial (&lt;70 km)",IF(I306&lt;=300,"Intermedio (70-300 km)","Profundo (&gt;300 km)"))</x:f>
        <x:v>Superficial (&lt;70 km)</x:v>
      </x:c>
      <x:c r="M306" s="25" t="str">
        <x:f>IF(J306&gt;=5,"Sí","No")</x:f>
        <x:v>No</x:v>
      </x:c>
      <x:c r="N306" s="25" t="str">
        <x:f>IF(J306&gt;=6,"Sí","No")</x:f>
        <x:v>No</x:v>
      </x:c>
      <x:c r="O306" s="25" t="str">
        <x:v>Pendiente: asignar con R/sf</x:v>
      </x:c>
    </x:row>
    <x:row r="307">
      <x:c r="A307" s="25" t="n">
        <x:v>306</x:v>
      </x:c>
      <x:c r="B307" s="26" t="n">
        <x:v>43695.801400462966</x:v>
      </x:c>
      <x:c r="C307" s="27" t="n">
        <x:f>INT(B307)</x:f>
        <x:v>43695</x:v>
      </x:c>
      <x:c r="D307" s="28" t="n">
        <x:f>MOD(B307,1)</x:f>
        <x:v>0.8014004629658302</x:v>
      </x:c>
      <x:c r="E307" s="29" t="n">
        <x:f>YEAR(B307)</x:f>
        <x:v>2019</x:v>
      </x:c>
      <x:c r="F307" s="29" t="n">
        <x:f>MONTH(B307)</x:f>
        <x:v>8</x:v>
      </x:c>
      <x:c r="G307" s="30" t="n">
        <x:v>-20.1</x:v>
      </x:c>
      <x:c r="H307" s="30" t="n">
        <x:v>-68.88</x:v>
      </x:c>
      <x:c r="I307" s="29" t="n">
        <x:v>105</x:v>
      </x:c>
      <x:c r="J307" s="31" t="n">
        <x:v>4.2</x:v>
      </x:c>
      <x:c r="K307" s="25" t="str">
        <x:f>IF(J307&gt;=7,"Muy fuerte (&gt;=7)",IF(J307&gt;=6,"Fuerte (6-6.9)",IF(J307&gt;=5,"Moderado alto (5-5.9)",IF(J307&gt;=4,"Moderado (4-4.9)","Menor a 4"))))</x:f>
        <x:v>Moderado (4-4.9)</x:v>
      </x:c>
      <x:c r="L307" s="25" t="str">
        <x:f>IF(I307&lt;70,"Superficial (&lt;70 km)",IF(I307&lt;=300,"Intermedio (70-300 km)","Profundo (&gt;300 km)"))</x:f>
        <x:v>Intermedio (70-300 km)</x:v>
      </x:c>
      <x:c r="M307" s="25" t="str">
        <x:f>IF(J307&gt;=5,"Sí","No")</x:f>
        <x:v>No</x:v>
      </x:c>
      <x:c r="N307" s="25" t="str">
        <x:f>IF(J307&gt;=6,"Sí","No")</x:f>
        <x:v>No</x:v>
      </x:c>
      <x:c r="O307" s="25" t="str">
        <x:v>Pendiente: asignar con R/sf</x:v>
      </x:c>
    </x:row>
    <x:row r="308">
      <x:c r="A308" s="25" t="n">
        <x:v>307</x:v>
      </x:c>
      <x:c r="B308" s="26" t="n">
        <x:v>44494.78138888889</x:v>
      </x:c>
      <x:c r="C308" s="27" t="n">
        <x:f>INT(B308)</x:f>
        <x:v>44494</x:v>
      </x:c>
      <x:c r="D308" s="28" t="n">
        <x:f>MOD(B308,1)</x:f>
        <x:v>0.781388888892252</x:v>
      </x:c>
      <x:c r="E308" s="29" t="n">
        <x:f>YEAR(B308)</x:f>
        <x:v>2021</x:v>
      </x:c>
      <x:c r="F308" s="29" t="n">
        <x:f>MONTH(B308)</x:f>
        <x:v>10</x:v>
      </x:c>
      <x:c r="G308" s="30" t="n">
        <x:v>-29.57</x:v>
      </x:c>
      <x:c r="H308" s="30" t="n">
        <x:v>-71.26</x:v>
      </x:c>
      <x:c r="I308" s="29" t="n">
        <x:v>54</x:v>
      </x:c>
      <x:c r="J308" s="31" t="n">
        <x:v>3.7</x:v>
      </x:c>
      <x:c r="K308" s="25" t="str">
        <x:f>IF(J308&gt;=7,"Muy fuerte (&gt;=7)",IF(J308&gt;=6,"Fuerte (6-6.9)",IF(J308&gt;=5,"Moderado alto (5-5.9)",IF(J308&gt;=4,"Moderado (4-4.9)","Menor a 4"))))</x:f>
        <x:v>Menor a 4</x:v>
      </x:c>
      <x:c r="L308" s="25" t="str">
        <x:f>IF(I308&lt;70,"Superficial (&lt;70 km)",IF(I308&lt;=300,"Intermedio (70-300 km)","Profundo (&gt;300 km)"))</x:f>
        <x:v>Superficial (&lt;70 km)</x:v>
      </x:c>
      <x:c r="M308" s="25" t="str">
        <x:f>IF(J308&gt;=5,"Sí","No")</x:f>
        <x:v>No</x:v>
      </x:c>
      <x:c r="N308" s="25" t="str">
        <x:f>IF(J308&gt;=6,"Sí","No")</x:f>
        <x:v>No</x:v>
      </x:c>
      <x:c r="O308" s="25" t="str">
        <x:v>Pendiente: asignar con R/sf</x:v>
      </x:c>
    </x:row>
    <x:row r="309">
      <x:c r="A309" s="25" t="n">
        <x:v>308</x:v>
      </x:c>
      <x:c r="B309" s="26" t="n">
        <x:v>44185.28564814815</x:v>
      </x:c>
      <x:c r="C309" s="27" t="n">
        <x:f>INT(B309)</x:f>
        <x:v>44185</x:v>
      </x:c>
      <x:c r="D309" s="28" t="n">
        <x:f>MOD(B309,1)</x:f>
        <x:v>0.2856481481503579</x:v>
      </x:c>
      <x:c r="E309" s="29" t="n">
        <x:f>YEAR(B309)</x:f>
        <x:v>2020</x:v>
      </x:c>
      <x:c r="F309" s="29" t="n">
        <x:f>MONTH(B309)</x:f>
        <x:v>12</x:v>
      </x:c>
      <x:c r="G309" s="30" t="n">
        <x:v>-19.61</x:v>
      </x:c>
      <x:c r="H309" s="30" t="n">
        <x:v>-69.27</x:v>
      </x:c>
      <x:c r="I309" s="29" t="n">
        <x:v>108</x:v>
      </x:c>
      <x:c r="J309" s="31" t="n">
        <x:v>3.7</x:v>
      </x:c>
      <x:c r="K309" s="25" t="str">
        <x:f>IF(J309&gt;=7,"Muy fuerte (&gt;=7)",IF(J309&gt;=6,"Fuerte (6-6.9)",IF(J309&gt;=5,"Moderado alto (5-5.9)",IF(J309&gt;=4,"Moderado (4-4.9)","Menor a 4"))))</x:f>
        <x:v>Menor a 4</x:v>
      </x:c>
      <x:c r="L309" s="25" t="str">
        <x:f>IF(I309&lt;70,"Superficial (&lt;70 km)",IF(I309&lt;=300,"Intermedio (70-300 km)","Profundo (&gt;300 km)"))</x:f>
        <x:v>Intermedio (70-300 km)</x:v>
      </x:c>
      <x:c r="M309" s="25" t="str">
        <x:f>IF(J309&gt;=5,"Sí","No")</x:f>
        <x:v>No</x:v>
      </x:c>
      <x:c r="N309" s="25" t="str">
        <x:f>IF(J309&gt;=6,"Sí","No")</x:f>
        <x:v>No</x:v>
      </x:c>
      <x:c r="O309" s="25" t="str">
        <x:v>Pendiente: asignar con R/sf</x:v>
      </x:c>
    </x:row>
    <x:row r="310">
      <x:c r="A310" s="25" t="n">
        <x:v>309</x:v>
      </x:c>
      <x:c r="B310" s="26" t="n">
        <x:v>44595.44158564815</x:v>
      </x:c>
      <x:c r="C310" s="27" t="n">
        <x:f>INT(B310)</x:f>
        <x:v>44595</x:v>
      </x:c>
      <x:c r="D310" s="28" t="n">
        <x:f>MOD(B310,1)</x:f>
        <x:v>0.44158564815006685</x:v>
      </x:c>
      <x:c r="E310" s="29" t="n">
        <x:f>YEAR(B310)</x:f>
        <x:v>2022</x:v>
      </x:c>
      <x:c r="F310" s="29" t="n">
        <x:f>MONTH(B310)</x:f>
        <x:v>2</x:v>
      </x:c>
      <x:c r="G310" s="30" t="n">
        <x:v>-30.6</x:v>
      </x:c>
      <x:c r="H310" s="30" t="n">
        <x:v>-71.39</x:v>
      </x:c>
      <x:c r="I310" s="29" t="n">
        <x:v>65</x:v>
      </x:c>
      <x:c r="J310" s="31" t="n">
        <x:v>4.2</x:v>
      </x:c>
      <x:c r="K310" s="25" t="str">
        <x:f>IF(J310&gt;=7,"Muy fuerte (&gt;=7)",IF(J310&gt;=6,"Fuerte (6-6.9)",IF(J310&gt;=5,"Moderado alto (5-5.9)",IF(J310&gt;=4,"Moderado (4-4.9)","Menor a 4"))))</x:f>
        <x:v>Moderado (4-4.9)</x:v>
      </x:c>
      <x:c r="L310" s="25" t="str">
        <x:f>IF(I310&lt;70,"Superficial (&lt;70 km)",IF(I310&lt;=300,"Intermedio (70-300 km)","Profundo (&gt;300 km)"))</x:f>
        <x:v>Superficial (&lt;70 km)</x:v>
      </x:c>
      <x:c r="M310" s="25" t="str">
        <x:f>IF(J310&gt;=5,"Sí","No")</x:f>
        <x:v>No</x:v>
      </x:c>
      <x:c r="N310" s="25" t="str">
        <x:f>IF(J310&gt;=6,"Sí","No")</x:f>
        <x:v>No</x:v>
      </x:c>
      <x:c r="O310" s="25" t="str">
        <x:v>Pendiente: asignar con R/sf</x:v>
      </x:c>
    </x:row>
    <x:row r="311">
      <x:c r="A311" s="25" t="n">
        <x:v>310</x:v>
      </x:c>
      <x:c r="B311" s="26" t="n">
        <x:v>44444.628645833334</x:v>
      </x:c>
      <x:c r="C311" s="27" t="n">
        <x:f>INT(B311)</x:f>
        <x:v>44444</x:v>
      </x:c>
      <x:c r="D311" s="28" t="n">
        <x:f>MOD(B311,1)</x:f>
        <x:v>0.6286458333343035</x:v>
      </x:c>
      <x:c r="E311" s="29" t="n">
        <x:f>YEAR(B311)</x:f>
        <x:v>2021</x:v>
      </x:c>
      <x:c r="F311" s="29" t="n">
        <x:f>MONTH(B311)</x:f>
        <x:v>9</x:v>
      </x:c>
      <x:c r="G311" s="30" t="n">
        <x:v>-30.02</x:v>
      </x:c>
      <x:c r="H311" s="30" t="n">
        <x:v>-71.66</x:v>
      </x:c>
      <x:c r="I311" s="29" t="n">
        <x:v>32</x:v>
      </x:c>
      <x:c r="J311" s="31" t="n">
        <x:v>4</x:v>
      </x:c>
      <x:c r="K311" s="25" t="str">
        <x:f>IF(J311&gt;=7,"Muy fuerte (&gt;=7)",IF(J311&gt;=6,"Fuerte (6-6.9)",IF(J311&gt;=5,"Moderado alto (5-5.9)",IF(J311&gt;=4,"Moderado (4-4.9)","Menor a 4"))))</x:f>
        <x:v>Moderado (4-4.9)</x:v>
      </x:c>
      <x:c r="L311" s="25" t="str">
        <x:f>IF(I311&lt;70,"Superficial (&lt;70 km)",IF(I311&lt;=300,"Intermedio (70-300 km)","Profundo (&gt;300 km)"))</x:f>
        <x:v>Superficial (&lt;70 km)</x:v>
      </x:c>
      <x:c r="M311" s="25" t="str">
        <x:f>IF(J311&gt;=5,"Sí","No")</x:f>
        <x:v>No</x:v>
      </x:c>
      <x:c r="N311" s="25" t="str">
        <x:f>IF(J311&gt;=6,"Sí","No")</x:f>
        <x:v>No</x:v>
      </x:c>
      <x:c r="O311" s="25" t="str">
        <x:v>Pendiente: asignar con R/sf</x:v>
      </x:c>
    </x:row>
    <x:row r="312">
      <x:c r="A312" s="25" t="n">
        <x:v>311</x:v>
      </x:c>
      <x:c r="B312" s="26" t="n">
        <x:v>44598.990636574075</x:v>
      </x:c>
      <x:c r="C312" s="27" t="n">
        <x:f>INT(B312)</x:f>
        <x:v>44598</x:v>
      </x:c>
      <x:c r="D312" s="28" t="n">
        <x:f>MOD(B312,1)</x:f>
        <x:v>0.9906365740753245</x:v>
      </x:c>
      <x:c r="E312" s="29" t="n">
        <x:f>YEAR(B312)</x:f>
        <x:v>2022</x:v>
      </x:c>
      <x:c r="F312" s="29" t="n">
        <x:f>MONTH(B312)</x:f>
        <x:v>2</x:v>
      </x:c>
      <x:c r="G312" s="30" t="n">
        <x:v>-22.17</x:v>
      </x:c>
      <x:c r="H312" s="30" t="n">
        <x:v>-68.7</x:v>
      </x:c>
      <x:c r="I312" s="29" t="n">
        <x:v>115</x:v>
      </x:c>
      <x:c r="J312" s="31" t="n">
        <x:v>5.3</x:v>
      </x:c>
      <x:c r="K312" s="25" t="str">
        <x:f>IF(J312&gt;=7,"Muy fuerte (&gt;=7)",IF(J312&gt;=6,"Fuerte (6-6.9)",IF(J312&gt;=5,"Moderado alto (5-5.9)",IF(J312&gt;=4,"Moderado (4-4.9)","Menor a 4"))))</x:f>
        <x:v>Moderado alto (5-5.9)</x:v>
      </x:c>
      <x:c r="L312" s="25" t="str">
        <x:f>IF(I312&lt;70,"Superficial (&lt;70 km)",IF(I312&lt;=300,"Intermedio (70-300 km)","Profundo (&gt;300 km)"))</x:f>
        <x:v>Intermedio (70-300 km)</x:v>
      </x:c>
      <x:c r="M312" s="25" t="str">
        <x:f>IF(J312&gt;=5,"Sí","No")</x:f>
        <x:v>Sí</x:v>
      </x:c>
      <x:c r="N312" s="25" t="str">
        <x:f>IF(J312&gt;=6,"Sí","No")</x:f>
        <x:v>No</x:v>
      </x:c>
      <x:c r="O312" s="25" t="str">
        <x:v>Pendiente: asignar con R/sf</x:v>
      </x:c>
    </x:row>
    <x:row r="313">
      <x:c r="A313" s="25" t="n">
        <x:v>312</x:v>
      </x:c>
      <x:c r="B313" s="26" t="n">
        <x:v>43735.312210648146</x:v>
      </x:c>
      <x:c r="C313" s="27" t="n">
        <x:f>INT(B313)</x:f>
        <x:v>43735</x:v>
      </x:c>
      <x:c r="D313" s="28" t="n">
        <x:f>MOD(B313,1)</x:f>
        <x:v>0.3122106481459923</x:v>
      </x:c>
      <x:c r="E313" s="29" t="n">
        <x:f>YEAR(B313)</x:f>
        <x:v>2019</x:v>
      </x:c>
      <x:c r="F313" s="29" t="n">
        <x:f>MONTH(B313)</x:f>
        <x:v>9</x:v>
      </x:c>
      <x:c r="G313" s="30" t="n">
        <x:v>-21.11</x:v>
      </x:c>
      <x:c r="H313" s="30" t="n">
        <x:v>-69.07</x:v>
      </x:c>
      <x:c r="I313" s="29" t="n">
        <x:v>99</x:v>
      </x:c>
      <x:c r="J313" s="31" t="n">
        <x:v>4.6</x:v>
      </x:c>
      <x:c r="K313" s="25" t="str">
        <x:f>IF(J313&gt;=7,"Muy fuerte (&gt;=7)",IF(J313&gt;=6,"Fuerte (6-6.9)",IF(J313&gt;=5,"Moderado alto (5-5.9)",IF(J313&gt;=4,"Moderado (4-4.9)","Menor a 4"))))</x:f>
        <x:v>Moderado (4-4.9)</x:v>
      </x:c>
      <x:c r="L313" s="25" t="str">
        <x:f>IF(I313&lt;70,"Superficial (&lt;70 km)",IF(I313&lt;=300,"Intermedio (70-300 km)","Profundo (&gt;300 km)"))</x:f>
        <x:v>Intermedio (70-300 km)</x:v>
      </x:c>
      <x:c r="M313" s="25" t="str">
        <x:f>IF(J313&gt;=5,"Sí","No")</x:f>
        <x:v>No</x:v>
      </x:c>
      <x:c r="N313" s="25" t="str">
        <x:f>IF(J313&gt;=6,"Sí","No")</x:f>
        <x:v>No</x:v>
      </x:c>
      <x:c r="O313" s="25" t="str">
        <x:v>Pendiente: asignar con R/sf</x:v>
      </x:c>
    </x:row>
    <x:row r="314">
      <x:c r="A314" s="25" t="n">
        <x:v>313</x:v>
      </x:c>
      <x:c r="B314" s="26" t="n">
        <x:v>44685.15693287037</x:v>
      </x:c>
      <x:c r="C314" s="27" t="n">
        <x:f>INT(B314)</x:f>
        <x:v>44685</x:v>
      </x:c>
      <x:c r="D314" s="28" t="n">
        <x:f>MOD(B314,1)</x:f>
        <x:v>0.15693287036992842</x:v>
      </x:c>
      <x:c r="E314" s="29" t="n">
        <x:f>YEAR(B314)</x:f>
        <x:v>2022</x:v>
      </x:c>
      <x:c r="F314" s="29" t="n">
        <x:f>MONTH(B314)</x:f>
        <x:v>5</x:v>
      </x:c>
      <x:c r="G314" s="30" t="n">
        <x:v>-32.25</x:v>
      </x:c>
      <x:c r="H314" s="30" t="n">
        <x:v>-71.91</x:v>
      </x:c>
      <x:c r="I314" s="29" t="n">
        <x:v>31</x:v>
      </x:c>
      <x:c r="J314" s="31" t="n">
        <x:v>5</x:v>
      </x:c>
      <x:c r="K314" s="25" t="str">
        <x:f>IF(J314&gt;=7,"Muy fuerte (&gt;=7)",IF(J314&gt;=6,"Fuerte (6-6.9)",IF(J314&gt;=5,"Moderado alto (5-5.9)",IF(J314&gt;=4,"Moderado (4-4.9)","Menor a 4"))))</x:f>
        <x:v>Moderado alto (5-5.9)</x:v>
      </x:c>
      <x:c r="L314" s="25" t="str">
        <x:f>IF(I314&lt;70,"Superficial (&lt;70 km)",IF(I314&lt;=300,"Intermedio (70-300 km)","Profundo (&gt;300 km)"))</x:f>
        <x:v>Superficial (&lt;70 km)</x:v>
      </x:c>
      <x:c r="M314" s="25" t="str">
        <x:f>IF(J314&gt;=5,"Sí","No")</x:f>
        <x:v>Sí</x:v>
      </x:c>
      <x:c r="N314" s="25" t="str">
        <x:f>IF(J314&gt;=6,"Sí","No")</x:f>
        <x:v>No</x:v>
      </x:c>
      <x:c r="O314" s="25" t="str">
        <x:v>Pendiente: asignar con R/sf</x:v>
      </x:c>
    </x:row>
    <x:row r="315">
      <x:c r="A315" s="25" t="n">
        <x:v>314</x:v>
      </x:c>
      <x:c r="B315" s="26" t="n">
        <x:v>43610.33814814815</x:v>
      </x:c>
      <x:c r="C315" s="27" t="n">
        <x:f>INT(B315)</x:f>
        <x:v>43610</x:v>
      </x:c>
      <x:c r="D315" s="28" t="n">
        <x:f>MOD(B315,1)</x:f>
        <x:v>0.3381481481483206</x:v>
      </x:c>
      <x:c r="E315" s="29" t="n">
        <x:f>YEAR(B315)</x:f>
        <x:v>2019</x:v>
      </x:c>
      <x:c r="F315" s="29" t="n">
        <x:f>MONTH(B315)</x:f>
        <x:v>5</x:v>
      </x:c>
      <x:c r="G315" s="30" t="n">
        <x:v>-29.85</x:v>
      </x:c>
      <x:c r="H315" s="30" t="n">
        <x:v>-71.54</x:v>
      </x:c>
      <x:c r="I315" s="29" t="n">
        <x:v>38</x:v>
      </x:c>
      <x:c r="J315" s="31" t="n">
        <x:v>3.5</x:v>
      </x:c>
      <x:c r="K315" s="25" t="str">
        <x:f>IF(J315&gt;=7,"Muy fuerte (&gt;=7)",IF(J315&gt;=6,"Fuerte (6-6.9)",IF(J315&gt;=5,"Moderado alto (5-5.9)",IF(J315&gt;=4,"Moderado (4-4.9)","Menor a 4"))))</x:f>
        <x:v>Menor a 4</x:v>
      </x:c>
      <x:c r="L315" s="25" t="str">
        <x:f>IF(I315&lt;70,"Superficial (&lt;70 km)",IF(I315&lt;=300,"Intermedio (70-300 km)","Profundo (&gt;300 km)"))</x:f>
        <x:v>Superficial (&lt;70 km)</x:v>
      </x:c>
      <x:c r="M315" s="25" t="str">
        <x:f>IF(J315&gt;=5,"Sí","No")</x:f>
        <x:v>No</x:v>
      </x:c>
      <x:c r="N315" s="25" t="str">
        <x:f>IF(J315&gt;=6,"Sí","No")</x:f>
        <x:v>No</x:v>
      </x:c>
      <x:c r="O315" s="25" t="str">
        <x:v>Pendiente: asignar con R/sf</x:v>
      </x:c>
    </x:row>
    <x:row r="316">
      <x:c r="A316" s="25" t="n">
        <x:v>315</x:v>
      </x:c>
      <x:c r="B316" s="26" t="n">
        <x:v>44054.23474537037</x:v>
      </x:c>
      <x:c r="C316" s="27" t="n">
        <x:f>INT(B316)</x:f>
        <x:v>44054</x:v>
      </x:c>
      <x:c r="D316" s="28" t="n">
        <x:f>MOD(B316,1)</x:f>
        <x:v>0.23474537036963739</x:v>
      </x:c>
      <x:c r="E316" s="29" t="n">
        <x:f>YEAR(B316)</x:f>
        <x:v>2020</x:v>
      </x:c>
      <x:c r="F316" s="29" t="n">
        <x:f>MONTH(B316)</x:f>
        <x:v>8</x:v>
      </x:c>
      <x:c r="G316" s="30" t="n">
        <x:v>-29.96</x:v>
      </x:c>
      <x:c r="H316" s="30" t="n">
        <x:v>-71.63</x:v>
      </x:c>
      <x:c r="I316" s="29" t="n">
        <x:v>38</x:v>
      </x:c>
      <x:c r="J316" s="31" t="n">
        <x:v>4.3</x:v>
      </x:c>
      <x:c r="K316" s="25" t="str">
        <x:f>IF(J316&gt;=7,"Muy fuerte (&gt;=7)",IF(J316&gt;=6,"Fuerte (6-6.9)",IF(J316&gt;=5,"Moderado alto (5-5.9)",IF(J316&gt;=4,"Moderado (4-4.9)","Menor a 4"))))</x:f>
        <x:v>Moderado (4-4.9)</x:v>
      </x:c>
      <x:c r="L316" s="25" t="str">
        <x:f>IF(I316&lt;70,"Superficial (&lt;70 km)",IF(I316&lt;=300,"Intermedio (70-300 km)","Profundo (&gt;300 km)"))</x:f>
        <x:v>Superficial (&lt;70 km)</x:v>
      </x:c>
      <x:c r="M316" s="25" t="str">
        <x:f>IF(J316&gt;=5,"Sí","No")</x:f>
        <x:v>No</x:v>
      </x:c>
      <x:c r="N316" s="25" t="str">
        <x:f>IF(J316&gt;=6,"Sí","No")</x:f>
        <x:v>No</x:v>
      </x:c>
      <x:c r="O316" s="25" t="str">
        <x:v>Pendiente: asignar con R/sf</x:v>
      </x:c>
    </x:row>
    <x:row r="317">
      <x:c r="A317" s="25" t="n">
        <x:v>316</x:v>
      </x:c>
      <x:c r="B317" s="26" t="n">
        <x:v>43566.18672453704</x:v>
      </x:c>
      <x:c r="C317" s="27" t="n">
        <x:f>INT(B317)</x:f>
        <x:v>43566</x:v>
      </x:c>
      <x:c r="D317" s="28" t="n">
        <x:f>MOD(B317,1)</x:f>
        <x:v>0.18672453703766223</x:v>
      </x:c>
      <x:c r="E317" s="29" t="n">
        <x:f>YEAR(B317)</x:f>
        <x:v>2019</x:v>
      </x:c>
      <x:c r="F317" s="29" t="n">
        <x:f>MONTH(B317)</x:f>
        <x:v>4</x:v>
      </x:c>
      <x:c r="G317" s="30" t="n">
        <x:v>-19.64</x:v>
      </x:c>
      <x:c r="H317" s="30" t="n">
        <x:v>-69.42</x:v>
      </x:c>
      <x:c r="I317" s="29" t="n">
        <x:v>100</x:v>
      </x:c>
      <x:c r="J317" s="31" t="n">
        <x:v>3.7</x:v>
      </x:c>
      <x:c r="K317" s="25" t="str">
        <x:f>IF(J317&gt;=7,"Muy fuerte (&gt;=7)",IF(J317&gt;=6,"Fuerte (6-6.9)",IF(J317&gt;=5,"Moderado alto (5-5.9)",IF(J317&gt;=4,"Moderado (4-4.9)","Menor a 4"))))</x:f>
        <x:v>Menor a 4</x:v>
      </x:c>
      <x:c r="L317" s="25" t="str">
        <x:f>IF(I317&lt;70,"Superficial (&lt;70 km)",IF(I317&lt;=300,"Intermedio (70-300 km)","Profundo (&gt;300 km)"))</x:f>
        <x:v>Intermedio (70-300 km)</x:v>
      </x:c>
      <x:c r="M317" s="25" t="str">
        <x:f>IF(J317&gt;=5,"Sí","No")</x:f>
        <x:v>No</x:v>
      </x:c>
      <x:c r="N317" s="25" t="str">
        <x:f>IF(J317&gt;=6,"Sí","No")</x:f>
        <x:v>No</x:v>
      </x:c>
      <x:c r="O317" s="25" t="str">
        <x:v>Pendiente: asignar con R/sf</x:v>
      </x:c>
    </x:row>
    <x:row r="318">
      <x:c r="A318" s="25" t="n">
        <x:v>317</x:v>
      </x:c>
      <x:c r="B318" s="26" t="n">
        <x:v>44455.311875</x:v>
      </x:c>
      <x:c r="C318" s="27" t="n">
        <x:f>INT(B318)</x:f>
        <x:v>44455</x:v>
      </x:c>
      <x:c r="D318" s="28" t="n">
        <x:f>MOD(B318,1)</x:f>
        <x:v>0.3118749999994179</x:v>
      </x:c>
      <x:c r="E318" s="29" t="n">
        <x:f>YEAR(B318)</x:f>
        <x:v>2021</x:v>
      </x:c>
      <x:c r="F318" s="29" t="n">
        <x:f>MONTH(B318)</x:f>
        <x:v>9</x:v>
      </x:c>
      <x:c r="G318" s="30" t="n">
        <x:v>-19.17</x:v>
      </x:c>
      <x:c r="H318" s="30" t="n">
        <x:v>-69.3</x:v>
      </x:c>
      <x:c r="I318" s="29" t="n">
        <x:v>110</x:v>
      </x:c>
      <x:c r="J318" s="31" t="n">
        <x:v>3.7</x:v>
      </x:c>
      <x:c r="K318" s="25" t="str">
        <x:f>IF(J318&gt;=7,"Muy fuerte (&gt;=7)",IF(J318&gt;=6,"Fuerte (6-6.9)",IF(J318&gt;=5,"Moderado alto (5-5.9)",IF(J318&gt;=4,"Moderado (4-4.9)","Menor a 4"))))</x:f>
        <x:v>Menor a 4</x:v>
      </x:c>
      <x:c r="L318" s="25" t="str">
        <x:f>IF(I318&lt;70,"Superficial (&lt;70 km)",IF(I318&lt;=300,"Intermedio (70-300 km)","Profundo (&gt;300 km)"))</x:f>
        <x:v>Intermedio (70-300 km)</x:v>
      </x:c>
      <x:c r="M318" s="25" t="str">
        <x:f>IF(J318&gt;=5,"Sí","No")</x:f>
        <x:v>No</x:v>
      </x:c>
      <x:c r="N318" s="25" t="str">
        <x:f>IF(J318&gt;=6,"Sí","No")</x:f>
        <x:v>No</x:v>
      </x:c>
      <x:c r="O318" s="25" t="str">
        <x:v>Pendiente: asignar con R/sf</x:v>
      </x:c>
    </x:row>
    <x:row r="319">
      <x:c r="A319" s="25" t="n">
        <x:v>318</x:v>
      </x:c>
      <x:c r="B319" s="26" t="n">
        <x:v>43946.14539351852</x:v>
      </x:c>
      <x:c r="C319" s="27" t="n">
        <x:f>INT(B319)</x:f>
        <x:v>43946</x:v>
      </x:c>
      <x:c r="D319" s="28" t="n">
        <x:f>MOD(B319,1)</x:f>
        <x:v>0.14539351851999527</x:v>
      </x:c>
      <x:c r="E319" s="29" t="n">
        <x:f>YEAR(B319)</x:f>
        <x:v>2020</x:v>
      </x:c>
      <x:c r="F319" s="29" t="n">
        <x:f>MONTH(B319)</x:f>
        <x:v>4</x:v>
      </x:c>
      <x:c r="G319" s="30" t="n">
        <x:v>-18.6</x:v>
      </x:c>
      <x:c r="H319" s="30" t="n">
        <x:v>-69.77</x:v>
      </x:c>
      <x:c r="I319" s="29" t="n">
        <x:v>94</x:v>
      </x:c>
      <x:c r="J319" s="31" t="n">
        <x:v>4</x:v>
      </x:c>
      <x:c r="K319" s="25" t="str">
        <x:f>IF(J319&gt;=7,"Muy fuerte (&gt;=7)",IF(J319&gt;=6,"Fuerte (6-6.9)",IF(J319&gt;=5,"Moderado alto (5-5.9)",IF(J319&gt;=4,"Moderado (4-4.9)","Menor a 4"))))</x:f>
        <x:v>Moderado (4-4.9)</x:v>
      </x:c>
      <x:c r="L319" s="25" t="str">
        <x:f>IF(I319&lt;70,"Superficial (&lt;70 km)",IF(I319&lt;=300,"Intermedio (70-300 km)","Profundo (&gt;300 km)"))</x:f>
        <x:v>Intermedio (70-300 km)</x:v>
      </x:c>
      <x:c r="M319" s="25" t="str">
        <x:f>IF(J319&gt;=5,"Sí","No")</x:f>
        <x:v>No</x:v>
      </x:c>
      <x:c r="N319" s="25" t="str">
        <x:f>IF(J319&gt;=6,"Sí","No")</x:f>
        <x:v>No</x:v>
      </x:c>
      <x:c r="O319" s="25" t="str">
        <x:v>Pendiente: asignar con R/sf</x:v>
      </x:c>
    </x:row>
    <x:row r="320">
      <x:c r="A320" s="25" t="n">
        <x:v>319</x:v>
      </x:c>
      <x:c r="B320" s="26" t="n">
        <x:v>43764.532060185185</x:v>
      </x:c>
      <x:c r="C320" s="27" t="n">
        <x:f>INT(B320)</x:f>
        <x:v>43764</x:v>
      </x:c>
      <x:c r="D320" s="28" t="n">
        <x:f>MOD(B320,1)</x:f>
        <x:v>0.5320601851854008</x:v>
      </x:c>
      <x:c r="E320" s="29" t="n">
        <x:f>YEAR(B320)</x:f>
        <x:v>2019</x:v>
      </x:c>
      <x:c r="F320" s="29" t="n">
        <x:f>MONTH(B320)</x:f>
        <x:v>10</x:v>
      </x:c>
      <x:c r="G320" s="30" t="n">
        <x:v>-19.63</x:v>
      </x:c>
      <x:c r="H320" s="30" t="n">
        <x:v>-69.32</x:v>
      </x:c>
      <x:c r="I320" s="29" t="n">
        <x:v>103</x:v>
      </x:c>
      <x:c r="J320" s="31" t="n">
        <x:v>3.7</x:v>
      </x:c>
      <x:c r="K320" s="25" t="str">
        <x:f>IF(J320&gt;=7,"Muy fuerte (&gt;=7)",IF(J320&gt;=6,"Fuerte (6-6.9)",IF(J320&gt;=5,"Moderado alto (5-5.9)",IF(J320&gt;=4,"Moderado (4-4.9)","Menor a 4"))))</x:f>
        <x:v>Menor a 4</x:v>
      </x:c>
      <x:c r="L320" s="25" t="str">
        <x:f>IF(I320&lt;70,"Superficial (&lt;70 km)",IF(I320&lt;=300,"Intermedio (70-300 km)","Profundo (&gt;300 km)"))</x:f>
        <x:v>Intermedio (70-300 km)</x:v>
      </x:c>
      <x:c r="M320" s="25" t="str">
        <x:f>IF(J320&gt;=5,"Sí","No")</x:f>
        <x:v>No</x:v>
      </x:c>
      <x:c r="N320" s="25" t="str">
        <x:f>IF(J320&gt;=6,"Sí","No")</x:f>
        <x:v>No</x:v>
      </x:c>
      <x:c r="O320" s="25" t="str">
        <x:v>Pendiente: asignar con R/sf</x:v>
      </x:c>
    </x:row>
    <x:row r="321">
      <x:c r="A321" s="25" t="n">
        <x:v>320</x:v>
      </x:c>
      <x:c r="B321" s="26" t="n">
        <x:v>44067.607824074075</x:v>
      </x:c>
      <x:c r="C321" s="27" t="n">
        <x:f>INT(B321)</x:f>
        <x:v>44067</x:v>
      </x:c>
      <x:c r="D321" s="28" t="n">
        <x:f>MOD(B321,1)</x:f>
        <x:v>0.6078240740753245</x:v>
      </x:c>
      <x:c r="E321" s="29" t="n">
        <x:f>YEAR(B321)</x:f>
        <x:v>2020</x:v>
      </x:c>
      <x:c r="F321" s="29" t="n">
        <x:f>MONTH(B321)</x:f>
        <x:v>8</x:v>
      </x:c>
      <x:c r="G321" s="30" t="n">
        <x:v>-19.57</x:v>
      </x:c>
      <x:c r="H321" s="30" t="n">
        <x:v>-69.22</x:v>
      </x:c>
      <x:c r="I321" s="29" t="n">
        <x:v>106</x:v>
      </x:c>
      <x:c r="J321" s="31" t="n">
        <x:v>3.7</x:v>
      </x:c>
      <x:c r="K321" s="25" t="str">
        <x:f>IF(J321&gt;=7,"Muy fuerte (&gt;=7)",IF(J321&gt;=6,"Fuerte (6-6.9)",IF(J321&gt;=5,"Moderado alto (5-5.9)",IF(J321&gt;=4,"Moderado (4-4.9)","Menor a 4"))))</x:f>
        <x:v>Menor a 4</x:v>
      </x:c>
      <x:c r="L321" s="25" t="str">
        <x:f>IF(I321&lt;70,"Superficial (&lt;70 km)",IF(I321&lt;=300,"Intermedio (70-300 km)","Profundo (&gt;300 km)"))</x:f>
        <x:v>Intermedio (70-300 km)</x:v>
      </x:c>
      <x:c r="M321" s="25" t="str">
        <x:f>IF(J321&gt;=5,"Sí","No")</x:f>
        <x:v>No</x:v>
      </x:c>
      <x:c r="N321" s="25" t="str">
        <x:f>IF(J321&gt;=6,"Sí","No")</x:f>
        <x:v>No</x:v>
      </x:c>
      <x:c r="O321" s="25" t="str">
        <x:v>Pendiente: asignar con R/sf</x:v>
      </x:c>
    </x:row>
    <x:row r="322">
      <x:c r="A322" s="25" t="n">
        <x:v>321</x:v>
      </x:c>
      <x:c r="B322" s="26" t="n">
        <x:v>44370.82052083333</x:v>
      </x:c>
      <x:c r="C322" s="27" t="n">
        <x:f>INT(B322)</x:f>
        <x:v>44370</x:v>
      </x:c>
      <x:c r="D322" s="28" t="n">
        <x:f>MOD(B322,1)</x:f>
        <x:v>0.820520833331102</x:v>
      </x:c>
      <x:c r="E322" s="29" t="n">
        <x:f>YEAR(B322)</x:f>
        <x:v>2021</x:v>
      </x:c>
      <x:c r="F322" s="29" t="n">
        <x:f>MONTH(B322)</x:f>
        <x:v>6</x:v>
      </x:c>
      <x:c r="G322" s="30" t="n">
        <x:v>-30.82</x:v>
      </x:c>
      <x:c r="H322" s="30" t="n">
        <x:v>-71.61</x:v>
      </x:c>
      <x:c r="I322" s="29" t="n">
        <x:v>27</x:v>
      </x:c>
      <x:c r="J322" s="31" t="n">
        <x:v>4.4</x:v>
      </x:c>
      <x:c r="K322" s="25" t="str">
        <x:f>IF(J322&gt;=7,"Muy fuerte (&gt;=7)",IF(J322&gt;=6,"Fuerte (6-6.9)",IF(J322&gt;=5,"Moderado alto (5-5.9)",IF(J322&gt;=4,"Moderado (4-4.9)","Menor a 4"))))</x:f>
        <x:v>Moderado (4-4.9)</x:v>
      </x:c>
      <x:c r="L322" s="25" t="str">
        <x:f>IF(I322&lt;70,"Superficial (&lt;70 km)",IF(I322&lt;=300,"Intermedio (70-300 km)","Profundo (&gt;300 km)"))</x:f>
        <x:v>Superficial (&lt;70 km)</x:v>
      </x:c>
      <x:c r="M322" s="25" t="str">
        <x:f>IF(J322&gt;=5,"Sí","No")</x:f>
        <x:v>No</x:v>
      </x:c>
      <x:c r="N322" s="25" t="str">
        <x:f>IF(J322&gt;=6,"Sí","No")</x:f>
        <x:v>No</x:v>
      </x:c>
      <x:c r="O322" s="25" t="str">
        <x:v>Pendiente: asignar con R/sf</x:v>
      </x:c>
    </x:row>
    <x:row r="323">
      <x:c r="A323" s="25" t="n">
        <x:v>322</x:v>
      </x:c>
      <x:c r="B323" s="26" t="n">
        <x:v>44501.572071759256</x:v>
      </x:c>
      <x:c r="C323" s="27" t="n">
        <x:f>INT(B323)</x:f>
        <x:v>44501</x:v>
      </x:c>
      <x:c r="D323" s="28" t="n">
        <x:f>MOD(B323,1)</x:f>
        <x:v>0.5720717592557776</x:v>
      </x:c>
      <x:c r="E323" s="29" t="n">
        <x:f>YEAR(B323)</x:f>
        <x:v>2021</x:v>
      </x:c>
      <x:c r="F323" s="29" t="n">
        <x:f>MONTH(B323)</x:f>
        <x:v>11</x:v>
      </x:c>
      <x:c r="G323" s="30" t="n">
        <x:v>-31.33</x:v>
      </x:c>
      <x:c r="H323" s="30" t="n">
        <x:v>-71.83</x:v>
      </x:c>
      <x:c r="I323" s="29" t="n">
        <x:v>43</x:v>
      </x:c>
      <x:c r="J323" s="31" t="n">
        <x:v>4</x:v>
      </x:c>
      <x:c r="K323" s="25" t="str">
        <x:f>IF(J323&gt;=7,"Muy fuerte (&gt;=7)",IF(J323&gt;=6,"Fuerte (6-6.9)",IF(J323&gt;=5,"Moderado alto (5-5.9)",IF(J323&gt;=4,"Moderado (4-4.9)","Menor a 4"))))</x:f>
        <x:v>Moderado (4-4.9)</x:v>
      </x:c>
      <x:c r="L323" s="25" t="str">
        <x:f>IF(I323&lt;70,"Superficial (&lt;70 km)",IF(I323&lt;=300,"Intermedio (70-300 km)","Profundo (&gt;300 km)"))</x:f>
        <x:v>Superficial (&lt;70 km)</x:v>
      </x:c>
      <x:c r="M323" s="25" t="str">
        <x:f>IF(J323&gt;=5,"Sí","No")</x:f>
        <x:v>No</x:v>
      </x:c>
      <x:c r="N323" s="25" t="str">
        <x:f>IF(J323&gt;=6,"Sí","No")</x:f>
        <x:v>No</x:v>
      </x:c>
      <x:c r="O323" s="25" t="str">
        <x:v>Pendiente: asignar con R/sf</x:v>
      </x:c>
    </x:row>
    <x:row r="324">
      <x:c r="A324" s="25" t="n">
        <x:v>323</x:v>
      </x:c>
      <x:c r="B324" s="26" t="n">
        <x:v>44571.296215277776</x:v>
      </x:c>
      <x:c r="C324" s="27" t="n">
        <x:f>INT(B324)</x:f>
        <x:v>44571</x:v>
      </x:c>
      <x:c r="D324" s="28" t="n">
        <x:f>MOD(B324,1)</x:f>
        <x:v>0.2962152777763549</x:v>
      </x:c>
      <x:c r="E324" s="29" t="n">
        <x:f>YEAR(B324)</x:f>
        <x:v>2022</x:v>
      </x:c>
      <x:c r="F324" s="29" t="n">
        <x:f>MONTH(B324)</x:f>
        <x:v>1</x:v>
      </x:c>
      <x:c r="G324" s="30" t="n">
        <x:v>-30.8</x:v>
      </x:c>
      <x:c r="H324" s="30" t="n">
        <x:v>-71.4</x:v>
      </x:c>
      <x:c r="I324" s="29" t="n">
        <x:v>45</x:v>
      </x:c>
      <x:c r="J324" s="31" t="n">
        <x:v>4.9</x:v>
      </x:c>
      <x:c r="K324" s="25" t="str">
        <x:f>IF(J324&gt;=7,"Muy fuerte (&gt;=7)",IF(J324&gt;=6,"Fuerte (6-6.9)",IF(J324&gt;=5,"Moderado alto (5-5.9)",IF(J324&gt;=4,"Moderado (4-4.9)","Menor a 4"))))</x:f>
        <x:v>Moderado (4-4.9)</x:v>
      </x:c>
      <x:c r="L324" s="25" t="str">
        <x:f>IF(I324&lt;70,"Superficial (&lt;70 km)",IF(I324&lt;=300,"Intermedio (70-300 km)","Profundo (&gt;300 km)"))</x:f>
        <x:v>Superficial (&lt;70 km)</x:v>
      </x:c>
      <x:c r="M324" s="25" t="str">
        <x:f>IF(J324&gt;=5,"Sí","No")</x:f>
        <x:v>No</x:v>
      </x:c>
      <x:c r="N324" s="25" t="str">
        <x:f>IF(J324&gt;=6,"Sí","No")</x:f>
        <x:v>No</x:v>
      </x:c>
      <x:c r="O324" s="25" t="str">
        <x:v>Pendiente: asignar con R/sf</x:v>
      </x:c>
    </x:row>
    <x:row r="325">
      <x:c r="A325" s="25" t="n">
        <x:v>324</x:v>
      </x:c>
      <x:c r="B325" s="26" t="n">
        <x:v>44326.1178125</x:v>
      </x:c>
      <x:c r="C325" s="27" t="n">
        <x:f>INT(B325)</x:f>
        <x:v>44326</x:v>
      </x:c>
      <x:c r="D325" s="28" t="n">
        <x:f>MOD(B325,1)</x:f>
        <x:v>0.11781250000058208</x:v>
      </x:c>
      <x:c r="E325" s="29" t="n">
        <x:f>YEAR(B325)</x:f>
        <x:v>2021</x:v>
      </x:c>
      <x:c r="F325" s="29" t="n">
        <x:f>MONTH(B325)</x:f>
        <x:v>5</x:v>
      </x:c>
      <x:c r="G325" s="30" t="n">
        <x:v>-30.11</x:v>
      </x:c>
      <x:c r="H325" s="30" t="n">
        <x:v>-71.32</x:v>
      </x:c>
      <x:c r="I325" s="29" t="n">
        <x:v>66</x:v>
      </x:c>
      <x:c r="J325" s="31" t="n">
        <x:v>3.7</x:v>
      </x:c>
      <x:c r="K325" s="25" t="str">
        <x:f>IF(J325&gt;=7,"Muy fuerte (&gt;=7)",IF(J325&gt;=6,"Fuerte (6-6.9)",IF(J325&gt;=5,"Moderado alto (5-5.9)",IF(J325&gt;=4,"Moderado (4-4.9)","Menor a 4"))))</x:f>
        <x:v>Menor a 4</x:v>
      </x:c>
      <x:c r="L325" s="25" t="str">
        <x:f>IF(I325&lt;70,"Superficial (&lt;70 km)",IF(I325&lt;=300,"Intermedio (70-300 km)","Profundo (&gt;300 km)"))</x:f>
        <x:v>Superficial (&lt;70 km)</x:v>
      </x:c>
      <x:c r="M325" s="25" t="str">
        <x:f>IF(J325&gt;=5,"Sí","No")</x:f>
        <x:v>No</x:v>
      </x:c>
      <x:c r="N325" s="25" t="str">
        <x:f>IF(J325&gt;=6,"Sí","No")</x:f>
        <x:v>No</x:v>
      </x:c>
      <x:c r="O325" s="25" t="str">
        <x:v>Pendiente: asignar con R/sf</x:v>
      </x:c>
    </x:row>
    <x:row r="326">
      <x:c r="A326" s="25" t="n">
        <x:v>325</x:v>
      </x:c>
      <x:c r="B326" s="26" t="n">
        <x:v>43352.291875</x:v>
      </x:c>
      <x:c r="C326" s="27" t="n">
        <x:f>INT(B326)</x:f>
        <x:v>43352</x:v>
      </x:c>
      <x:c r="D326" s="28" t="n">
        <x:f>MOD(B326,1)</x:f>
        <x:v>0.29187500000261934</x:v>
      </x:c>
      <x:c r="E326" s="29" t="n">
        <x:f>YEAR(B326)</x:f>
        <x:v>2018</x:v>
      </x:c>
      <x:c r="F326" s="29" t="n">
        <x:f>MONTH(B326)</x:f>
        <x:v>9</x:v>
      </x:c>
      <x:c r="G326" s="30" t="n">
        <x:v>-19.42</x:v>
      </x:c>
      <x:c r="H326" s="30" t="n">
        <x:v>-69.44</x:v>
      </x:c>
      <x:c r="I326" s="29" t="n">
        <x:v>98</x:v>
      </x:c>
      <x:c r="J326" s="31" t="n">
        <x:v>3.6</x:v>
      </x:c>
      <x:c r="K326" s="25" t="str">
        <x:f>IF(J326&gt;=7,"Muy fuerte (&gt;=7)",IF(J326&gt;=6,"Fuerte (6-6.9)",IF(J326&gt;=5,"Moderado alto (5-5.9)",IF(J326&gt;=4,"Moderado (4-4.9)","Menor a 4"))))</x:f>
        <x:v>Menor a 4</x:v>
      </x:c>
      <x:c r="L326" s="25" t="str">
        <x:f>IF(I326&lt;70,"Superficial (&lt;70 km)",IF(I326&lt;=300,"Intermedio (70-300 km)","Profundo (&gt;300 km)"))</x:f>
        <x:v>Intermedio (70-300 km)</x:v>
      </x:c>
      <x:c r="M326" s="25" t="str">
        <x:f>IF(J326&gt;=5,"Sí","No")</x:f>
        <x:v>No</x:v>
      </x:c>
      <x:c r="N326" s="25" t="str">
        <x:f>IF(J326&gt;=6,"Sí","No")</x:f>
        <x:v>No</x:v>
      </x:c>
      <x:c r="O326" s="25" t="str">
        <x:v>Pendiente: asignar con R/sf</x:v>
      </x:c>
    </x:row>
    <x:row r="327">
      <x:c r="A327" s="25" t="n">
        <x:v>326</x:v>
      </x:c>
      <x:c r="B327" s="26" t="n">
        <x:v>44608.25561342593</x:v>
      </x:c>
      <x:c r="C327" s="27" t="n">
        <x:f>INT(B327)</x:f>
        <x:v>44608</x:v>
      </x:c>
      <x:c r="D327" s="28" t="n">
        <x:f>MOD(B327,1)</x:f>
        <x:v>0.25561342592845904</x:v>
      </x:c>
      <x:c r="E327" s="29" t="n">
        <x:f>YEAR(B327)</x:f>
        <x:v>2022</x:v>
      </x:c>
      <x:c r="F327" s="29" t="n">
        <x:f>MONTH(B327)</x:f>
        <x:v>2</x:v>
      </x:c>
      <x:c r="G327" s="30" t="n">
        <x:v>-19.23</x:v>
      </x:c>
      <x:c r="H327" s="30" t="n">
        <x:v>-70.06</x:v>
      </x:c>
      <x:c r="I327" s="29" t="n">
        <x:v>56</x:v>
      </x:c>
      <x:c r="J327" s="31" t="n">
        <x:v>3.9</x:v>
      </x:c>
      <x:c r="K327" s="25" t="str">
        <x:f>IF(J327&gt;=7,"Muy fuerte (&gt;=7)",IF(J327&gt;=6,"Fuerte (6-6.9)",IF(J327&gt;=5,"Moderado alto (5-5.9)",IF(J327&gt;=4,"Moderado (4-4.9)","Menor a 4"))))</x:f>
        <x:v>Menor a 4</x:v>
      </x:c>
      <x:c r="L327" s="25" t="str">
        <x:f>IF(I327&lt;70,"Superficial (&lt;70 km)",IF(I327&lt;=300,"Intermedio (70-300 km)","Profundo (&gt;300 km)"))</x:f>
        <x:v>Superficial (&lt;70 km)</x:v>
      </x:c>
      <x:c r="M327" s="25" t="str">
        <x:f>IF(J327&gt;=5,"Sí","No")</x:f>
        <x:v>No</x:v>
      </x:c>
      <x:c r="N327" s="25" t="str">
        <x:f>IF(J327&gt;=6,"Sí","No")</x:f>
        <x:v>No</x:v>
      </x:c>
      <x:c r="O327" s="25" t="str">
        <x:v>Pendiente: asignar con R/sf</x:v>
      </x:c>
    </x:row>
    <x:row r="328">
      <x:c r="A328" s="25" t="n">
        <x:v>327</x:v>
      </x:c>
      <x:c r="B328" s="26" t="n">
        <x:v>44667.578680555554</x:v>
      </x:c>
      <x:c r="C328" s="27" t="n">
        <x:f>INT(B328)</x:f>
        <x:v>44667</x:v>
      </x:c>
      <x:c r="D328" s="28" t="n">
        <x:f>MOD(B328,1)</x:f>
        <x:v>0.5786805555544561</x:v>
      </x:c>
      <x:c r="E328" s="29" t="n">
        <x:f>YEAR(B328)</x:f>
        <x:v>2022</x:v>
      </x:c>
      <x:c r="F328" s="29" t="n">
        <x:f>MONTH(B328)</x:f>
        <x:v>4</x:v>
      </x:c>
      <x:c r="G328" s="30" t="n">
        <x:v>-30.01</x:v>
      </x:c>
      <x:c r="H328" s="30" t="n">
        <x:v>-71.55</x:v>
      </x:c>
      <x:c r="I328" s="29" t="n">
        <x:v>56</x:v>
      </x:c>
      <x:c r="J328" s="31" t="n">
        <x:v>4.4</x:v>
      </x:c>
      <x:c r="K328" s="25" t="str">
        <x:f>IF(J328&gt;=7,"Muy fuerte (&gt;=7)",IF(J328&gt;=6,"Fuerte (6-6.9)",IF(J328&gt;=5,"Moderado alto (5-5.9)",IF(J328&gt;=4,"Moderado (4-4.9)","Menor a 4"))))</x:f>
        <x:v>Moderado (4-4.9)</x:v>
      </x:c>
      <x:c r="L328" s="25" t="str">
        <x:f>IF(I328&lt;70,"Superficial (&lt;70 km)",IF(I328&lt;=300,"Intermedio (70-300 km)","Profundo (&gt;300 km)"))</x:f>
        <x:v>Superficial (&lt;70 km)</x:v>
      </x:c>
      <x:c r="M328" s="25" t="str">
        <x:f>IF(J328&gt;=5,"Sí","No")</x:f>
        <x:v>No</x:v>
      </x:c>
      <x:c r="N328" s="25" t="str">
        <x:f>IF(J328&gt;=6,"Sí","No")</x:f>
        <x:v>No</x:v>
      </x:c>
      <x:c r="O328" s="25" t="str">
        <x:v>Pendiente: asignar con R/sf</x:v>
      </x:c>
    </x:row>
    <x:row r="329">
      <x:c r="A329" s="25" t="n">
        <x:v>328</x:v>
      </x:c>
      <x:c r="B329" s="26" t="n">
        <x:v>44046.61115740741</x:v>
      </x:c>
      <x:c r="C329" s="27" t="n">
        <x:f>INT(B329)</x:f>
        <x:v>44046</x:v>
      </x:c>
      <x:c r="D329" s="28" t="n">
        <x:f>MOD(B329,1)</x:f>
        <x:v>0.6111574074093369</x:v>
      </x:c>
      <x:c r="E329" s="29" t="n">
        <x:f>YEAR(B329)</x:f>
        <x:v>2020</x:v>
      </x:c>
      <x:c r="F329" s="29" t="n">
        <x:f>MONTH(B329)</x:f>
        <x:v>8</x:v>
      </x:c>
      <x:c r="G329" s="30" t="n">
        <x:v>-20.49</x:v>
      </x:c>
      <x:c r="H329" s="30" t="n">
        <x:v>-69.25</x:v>
      </x:c>
      <x:c r="I329" s="29" t="n">
        <x:v>92</x:v>
      </x:c>
      <x:c r="J329" s="31" t="n">
        <x:v>3.8</x:v>
      </x:c>
      <x:c r="K329" s="25" t="str">
        <x:f>IF(J329&gt;=7,"Muy fuerte (&gt;=7)",IF(J329&gt;=6,"Fuerte (6-6.9)",IF(J329&gt;=5,"Moderado alto (5-5.9)",IF(J329&gt;=4,"Moderado (4-4.9)","Menor a 4"))))</x:f>
        <x:v>Menor a 4</x:v>
      </x:c>
      <x:c r="L329" s="25" t="str">
        <x:f>IF(I329&lt;70,"Superficial (&lt;70 km)",IF(I329&lt;=300,"Intermedio (70-300 km)","Profundo (&gt;300 km)"))</x:f>
        <x:v>Intermedio (70-300 km)</x:v>
      </x:c>
      <x:c r="M329" s="25" t="str">
        <x:f>IF(J329&gt;=5,"Sí","No")</x:f>
        <x:v>No</x:v>
      </x:c>
      <x:c r="N329" s="25" t="str">
        <x:f>IF(J329&gt;=6,"Sí","No")</x:f>
        <x:v>No</x:v>
      </x:c>
      <x:c r="O329" s="25" t="str">
        <x:v>Pendiente: asignar con R/sf</x:v>
      </x:c>
    </x:row>
    <x:row r="330">
      <x:c r="A330" s="25" t="n">
        <x:v>329</x:v>
      </x:c>
      <x:c r="B330" s="26" t="n">
        <x:v>44113.17482638889</x:v>
      </x:c>
      <x:c r="C330" s="27" t="n">
        <x:f>INT(B330)</x:f>
        <x:v>44113</x:v>
      </x:c>
      <x:c r="D330" s="28" t="n">
        <x:f>MOD(B330,1)</x:f>
        <x:v>0.17482638888759539</x:v>
      </x:c>
      <x:c r="E330" s="29" t="n">
        <x:f>YEAR(B330)</x:f>
        <x:v>2020</x:v>
      </x:c>
      <x:c r="F330" s="29" t="n">
        <x:f>MONTH(B330)</x:f>
        <x:v>10</x:v>
      </x:c>
      <x:c r="G330" s="30" t="n">
        <x:v>-20.77</x:v>
      </x:c>
      <x:c r="H330" s="30" t="n">
        <x:v>-69.08</x:v>
      </x:c>
      <x:c r="I330" s="29" t="n">
        <x:v>102</x:v>
      </x:c>
      <x:c r="J330" s="31" t="n">
        <x:v>4.3</x:v>
      </x:c>
      <x:c r="K330" s="25" t="str">
        <x:f>IF(J330&gt;=7,"Muy fuerte (&gt;=7)",IF(J330&gt;=6,"Fuerte (6-6.9)",IF(J330&gt;=5,"Moderado alto (5-5.9)",IF(J330&gt;=4,"Moderado (4-4.9)","Menor a 4"))))</x:f>
        <x:v>Moderado (4-4.9)</x:v>
      </x:c>
      <x:c r="L330" s="25" t="str">
        <x:f>IF(I330&lt;70,"Superficial (&lt;70 km)",IF(I330&lt;=300,"Intermedio (70-300 km)","Profundo (&gt;300 km)"))</x:f>
        <x:v>Intermedio (70-300 km)</x:v>
      </x:c>
      <x:c r="M330" s="25" t="str">
        <x:f>IF(J330&gt;=5,"Sí","No")</x:f>
        <x:v>No</x:v>
      </x:c>
      <x:c r="N330" s="25" t="str">
        <x:f>IF(J330&gt;=6,"Sí","No")</x:f>
        <x:v>No</x:v>
      </x:c>
      <x:c r="O330" s="25" t="str">
        <x:v>Pendiente: asignar con R/sf</x:v>
      </x:c>
    </x:row>
    <x:row r="331">
      <x:c r="A331" s="25" t="n">
        <x:v>330</x:v>
      </x:c>
      <x:c r="B331" s="26" t="n">
        <x:v>43635.81344907408</x:v>
      </x:c>
      <x:c r="C331" s="27" t="n">
        <x:f>INT(B331)</x:f>
        <x:v>43635</x:v>
      </x:c>
      <x:c r="D331" s="28" t="n">
        <x:f>MOD(B331,1)</x:f>
        <x:v>0.8134490740776528</x:v>
      </x:c>
      <x:c r="E331" s="29" t="n">
        <x:f>YEAR(B331)</x:f>
        <x:v>2019</x:v>
      </x:c>
      <x:c r="F331" s="29" t="n">
        <x:f>MONTH(B331)</x:f>
        <x:v>6</x:v>
      </x:c>
      <x:c r="G331" s="30" t="n">
        <x:v>-19.23</x:v>
      </x:c>
      <x:c r="H331" s="30" t="n">
        <x:v>-69.43</x:v>
      </x:c>
      <x:c r="I331" s="29" t="n">
        <x:v>100</x:v>
      </x:c>
      <x:c r="J331" s="31" t="n">
        <x:v>3.5</x:v>
      </x:c>
      <x:c r="K331" s="25" t="str">
        <x:f>IF(J331&gt;=7,"Muy fuerte (&gt;=7)",IF(J331&gt;=6,"Fuerte (6-6.9)",IF(J331&gt;=5,"Moderado alto (5-5.9)",IF(J331&gt;=4,"Moderado (4-4.9)","Menor a 4"))))</x:f>
        <x:v>Menor a 4</x:v>
      </x:c>
      <x:c r="L331" s="25" t="str">
        <x:f>IF(I331&lt;70,"Superficial (&lt;70 km)",IF(I331&lt;=300,"Intermedio (70-300 km)","Profundo (&gt;300 km)"))</x:f>
        <x:v>Intermedio (70-300 km)</x:v>
      </x:c>
      <x:c r="M331" s="25" t="str">
        <x:f>IF(J331&gt;=5,"Sí","No")</x:f>
        <x:v>No</x:v>
      </x:c>
      <x:c r="N331" s="25" t="str">
        <x:f>IF(J331&gt;=6,"Sí","No")</x:f>
        <x:v>No</x:v>
      </x:c>
      <x:c r="O331" s="25" t="str">
        <x:v>Pendiente: asignar con R/sf</x:v>
      </x:c>
    </x:row>
    <x:row r="332">
      <x:c r="A332" s="25" t="n">
        <x:v>331</x:v>
      </x:c>
      <x:c r="B332" s="26" t="n">
        <x:v>43464.3253125</x:v>
      </x:c>
      <x:c r="C332" s="27" t="n">
        <x:f>INT(B332)</x:f>
        <x:v>43464</x:v>
      </x:c>
      <x:c r="D332" s="28" t="n">
        <x:f>MOD(B332,1)</x:f>
        <x:v>0.32531249999738066</x:v>
      </x:c>
      <x:c r="E332" s="29" t="n">
        <x:f>YEAR(B332)</x:f>
        <x:v>2018</x:v>
      </x:c>
      <x:c r="F332" s="29" t="n">
        <x:f>MONTH(B332)</x:f>
        <x:v>12</x:v>
      </x:c>
      <x:c r="G332" s="30" t="n">
        <x:v>-19.62</x:v>
      </x:c>
      <x:c r="H332" s="30" t="n">
        <x:v>-69.29</x:v>
      </x:c>
      <x:c r="I332" s="29" t="n">
        <x:v>96</x:v>
      </x:c>
      <x:c r="J332" s="31" t="n">
        <x:v>3.7</x:v>
      </x:c>
      <x:c r="K332" s="25" t="str">
        <x:f>IF(J332&gt;=7,"Muy fuerte (&gt;=7)",IF(J332&gt;=6,"Fuerte (6-6.9)",IF(J332&gt;=5,"Moderado alto (5-5.9)",IF(J332&gt;=4,"Moderado (4-4.9)","Menor a 4"))))</x:f>
        <x:v>Menor a 4</x:v>
      </x:c>
      <x:c r="L332" s="25" t="str">
        <x:f>IF(I332&lt;70,"Superficial (&lt;70 km)",IF(I332&lt;=300,"Intermedio (70-300 km)","Profundo (&gt;300 km)"))</x:f>
        <x:v>Intermedio (70-300 km)</x:v>
      </x:c>
      <x:c r="M332" s="25" t="str">
        <x:f>IF(J332&gt;=5,"Sí","No")</x:f>
        <x:v>No</x:v>
      </x:c>
      <x:c r="N332" s="25" t="str">
        <x:f>IF(J332&gt;=6,"Sí","No")</x:f>
        <x:v>No</x:v>
      </x:c>
      <x:c r="O332" s="25" t="str">
        <x:v>Pendiente: asignar con R/sf</x:v>
      </x:c>
    </x:row>
    <x:row r="333">
      <x:c r="A333" s="25" t="n">
        <x:v>332</x:v>
      </x:c>
      <x:c r="B333" s="26" t="n">
        <x:v>44623.75204861111</x:v>
      </x:c>
      <x:c r="C333" s="27" t="n">
        <x:f>INT(B333)</x:f>
        <x:v>44623</x:v>
      </x:c>
      <x:c r="D333" s="28" t="n">
        <x:f>MOD(B333,1)</x:f>
        <x:v>0.7520486111097853</x:v>
      </x:c>
      <x:c r="E333" s="29" t="n">
        <x:f>YEAR(B333)</x:f>
        <x:v>2022</x:v>
      </x:c>
      <x:c r="F333" s="29" t="n">
        <x:f>MONTH(B333)</x:f>
        <x:v>3</x:v>
      </x:c>
      <x:c r="G333" s="30" t="n">
        <x:v>-20.57</x:v>
      </x:c>
      <x:c r="H333" s="30" t="n">
        <x:v>-68.97</x:v>
      </x:c>
      <x:c r="I333" s="29" t="n">
        <x:v>105</x:v>
      </x:c>
      <x:c r="J333" s="31" t="n">
        <x:v>3.8</x:v>
      </x:c>
      <x:c r="K333" s="25" t="str">
        <x:f>IF(J333&gt;=7,"Muy fuerte (&gt;=7)",IF(J333&gt;=6,"Fuerte (6-6.9)",IF(J333&gt;=5,"Moderado alto (5-5.9)",IF(J333&gt;=4,"Moderado (4-4.9)","Menor a 4"))))</x:f>
        <x:v>Menor a 4</x:v>
      </x:c>
      <x:c r="L333" s="25" t="str">
        <x:f>IF(I333&lt;70,"Superficial (&lt;70 km)",IF(I333&lt;=300,"Intermedio (70-300 km)","Profundo (&gt;300 km)"))</x:f>
        <x:v>Intermedio (70-300 km)</x:v>
      </x:c>
      <x:c r="M333" s="25" t="str">
        <x:f>IF(J333&gt;=5,"Sí","No")</x:f>
        <x:v>No</x:v>
      </x:c>
      <x:c r="N333" s="25" t="str">
        <x:f>IF(J333&gt;=6,"Sí","No")</x:f>
        <x:v>No</x:v>
      </x:c>
      <x:c r="O333" s="25" t="str">
        <x:v>Pendiente: asignar con R/sf</x:v>
      </x:c>
    </x:row>
    <x:row r="334">
      <x:c r="A334" s="25" t="n">
        <x:v>333</x:v>
      </x:c>
      <x:c r="B334" s="26" t="n">
        <x:v>43820.60320601852</x:v>
      </x:c>
      <x:c r="C334" s="27" t="n">
        <x:f>INT(B334)</x:f>
        <x:v>43820</x:v>
      </x:c>
      <x:c r="D334" s="28" t="n">
        <x:f>MOD(B334,1)</x:f>
        <x:v>0.6032060185170849</x:v>
      </x:c>
      <x:c r="E334" s="29" t="n">
        <x:f>YEAR(B334)</x:f>
        <x:v>2019</x:v>
      </x:c>
      <x:c r="F334" s="29" t="n">
        <x:f>MONTH(B334)</x:f>
        <x:v>12</x:v>
      </x:c>
      <x:c r="G334" s="30" t="n">
        <x:v>-19.49</x:v>
      </x:c>
      <x:c r="H334" s="30" t="n">
        <x:v>-69.82</x:v>
      </x:c>
      <x:c r="I334" s="29" t="n">
        <x:v>74</x:v>
      </x:c>
      <x:c r="J334" s="31" t="n">
        <x:v>3.7</x:v>
      </x:c>
      <x:c r="K334" s="25" t="str">
        <x:f>IF(J334&gt;=7,"Muy fuerte (&gt;=7)",IF(J334&gt;=6,"Fuerte (6-6.9)",IF(J334&gt;=5,"Moderado alto (5-5.9)",IF(J334&gt;=4,"Moderado (4-4.9)","Menor a 4"))))</x:f>
        <x:v>Menor a 4</x:v>
      </x:c>
      <x:c r="L334" s="25" t="str">
        <x:f>IF(I334&lt;70,"Superficial (&lt;70 km)",IF(I334&lt;=300,"Intermedio (70-300 km)","Profundo (&gt;300 km)"))</x:f>
        <x:v>Intermedio (70-300 km)</x:v>
      </x:c>
      <x:c r="M334" s="25" t="str">
        <x:f>IF(J334&gt;=5,"Sí","No")</x:f>
        <x:v>No</x:v>
      </x:c>
      <x:c r="N334" s="25" t="str">
        <x:f>IF(J334&gt;=6,"Sí","No")</x:f>
        <x:v>No</x:v>
      </x:c>
      <x:c r="O334" s="25" t="str">
        <x:v>Pendiente: asignar con R/sf</x:v>
      </x:c>
    </x:row>
    <x:row r="335">
      <x:c r="A335" s="25" t="n">
        <x:v>334</x:v>
      </x:c>
      <x:c r="B335" s="26" t="n">
        <x:v>44708.04263888889</x:v>
      </x:c>
      <x:c r="C335" s="27" t="n">
        <x:f>INT(B335)</x:f>
        <x:v>44708</x:v>
      </x:c>
      <x:c r="D335" s="28" t="n">
        <x:f>MOD(B335,1)</x:f>
        <x:v>0.04263888888817746</x:v>
      </x:c>
      <x:c r="E335" s="29" t="n">
        <x:f>YEAR(B335)</x:f>
        <x:v>2022</x:v>
      </x:c>
      <x:c r="F335" s="29" t="n">
        <x:f>MONTH(B335)</x:f>
        <x:v>5</x:v>
      </x:c>
      <x:c r="G335" s="30" t="n">
        <x:v>-20.09</x:v>
      </x:c>
      <x:c r="H335" s="30" t="n">
        <x:v>-69.29</x:v>
      </x:c>
      <x:c r="I335" s="29" t="n">
        <x:v>98</x:v>
      </x:c>
      <x:c r="J335" s="31" t="n">
        <x:v>3.8</x:v>
      </x:c>
      <x:c r="K335" s="25" t="str">
        <x:f>IF(J335&gt;=7,"Muy fuerte (&gt;=7)",IF(J335&gt;=6,"Fuerte (6-6.9)",IF(J335&gt;=5,"Moderado alto (5-5.9)",IF(J335&gt;=4,"Moderado (4-4.9)","Menor a 4"))))</x:f>
        <x:v>Menor a 4</x:v>
      </x:c>
      <x:c r="L335" s="25" t="str">
        <x:f>IF(I335&lt;70,"Superficial (&lt;70 km)",IF(I335&lt;=300,"Intermedio (70-300 km)","Profundo (&gt;300 km)"))</x:f>
        <x:v>Intermedio (70-300 km)</x:v>
      </x:c>
      <x:c r="M335" s="25" t="str">
        <x:f>IF(J335&gt;=5,"Sí","No")</x:f>
        <x:v>No</x:v>
      </x:c>
      <x:c r="N335" s="25" t="str">
        <x:f>IF(J335&gt;=6,"Sí","No")</x:f>
        <x:v>No</x:v>
      </x:c>
      <x:c r="O335" s="25" t="str">
        <x:v>Pendiente: asignar con R/sf</x:v>
      </x:c>
    </x:row>
    <x:row r="336">
      <x:c r="A336" s="25" t="n">
        <x:v>335</x:v>
      </x:c>
      <x:c r="B336" s="26" t="n">
        <x:v>44601.212233796294</x:v>
      </x:c>
      <x:c r="C336" s="27" t="n">
        <x:f>INT(B336)</x:f>
        <x:v>44601</x:v>
      </x:c>
      <x:c r="D336" s="28" t="n">
        <x:f>MOD(B336,1)</x:f>
        <x:v>0.21223379629373085</x:v>
      </x:c>
      <x:c r="E336" s="29" t="n">
        <x:f>YEAR(B336)</x:f>
        <x:v>2022</x:v>
      </x:c>
      <x:c r="F336" s="29" t="n">
        <x:f>MONTH(B336)</x:f>
        <x:v>2</x:v>
      </x:c>
      <x:c r="G336" s="30" t="n">
        <x:v>-29.57</x:v>
      </x:c>
      <x:c r="H336" s="30" t="n">
        <x:v>-71.18</x:v>
      </x:c>
      <x:c r="I336" s="29" t="n">
        <x:v>50</x:v>
      </x:c>
      <x:c r="J336" s="31" t="n">
        <x:v>3.9</x:v>
      </x:c>
      <x:c r="K336" s="25" t="str">
        <x:f>IF(J336&gt;=7,"Muy fuerte (&gt;=7)",IF(J336&gt;=6,"Fuerte (6-6.9)",IF(J336&gt;=5,"Moderado alto (5-5.9)",IF(J336&gt;=4,"Moderado (4-4.9)","Menor a 4"))))</x:f>
        <x:v>Menor a 4</x:v>
      </x:c>
      <x:c r="L336" s="25" t="str">
        <x:f>IF(I336&lt;70,"Superficial (&lt;70 km)",IF(I336&lt;=300,"Intermedio (70-300 km)","Profundo (&gt;300 km)"))</x:f>
        <x:v>Superficial (&lt;70 km)</x:v>
      </x:c>
      <x:c r="M336" s="25" t="str">
        <x:f>IF(J336&gt;=5,"Sí","No")</x:f>
        <x:v>No</x:v>
      </x:c>
      <x:c r="N336" s="25" t="str">
        <x:f>IF(J336&gt;=6,"Sí","No")</x:f>
        <x:v>No</x:v>
      </x:c>
      <x:c r="O336" s="25" t="str">
        <x:v>Pendiente: asignar con R/sf</x:v>
      </x:c>
    </x:row>
    <x:row r="337">
      <x:c r="A337" s="25" t="n">
        <x:v>336</x:v>
      </x:c>
      <x:c r="B337" s="26" t="n">
        <x:v>44635.7346875</x:v>
      </x:c>
      <x:c r="C337" s="27" t="n">
        <x:f>INT(B337)</x:f>
        <x:v>44635</x:v>
      </x:c>
      <x:c r="D337" s="28" t="n">
        <x:f>MOD(B337,1)</x:f>
        <x:v>0.734687500000291</x:v>
      </x:c>
      <x:c r="E337" s="29" t="n">
        <x:f>YEAR(B337)</x:f>
        <x:v>2022</x:v>
      </x:c>
      <x:c r="F337" s="29" t="n">
        <x:f>MONTH(B337)</x:f>
        <x:v>3</x:v>
      </x:c>
      <x:c r="G337" s="30" t="n">
        <x:v>-18.62</x:v>
      </x:c>
      <x:c r="H337" s="30" t="n">
        <x:v>-70.31</x:v>
      </x:c>
      <x:c r="I337" s="29" t="n">
        <x:v>42</x:v>
      </x:c>
      <x:c r="J337" s="31" t="n">
        <x:v>3.8</x:v>
      </x:c>
      <x:c r="K337" s="25" t="str">
        <x:f>IF(J337&gt;=7,"Muy fuerte (&gt;=7)",IF(J337&gt;=6,"Fuerte (6-6.9)",IF(J337&gt;=5,"Moderado alto (5-5.9)",IF(J337&gt;=4,"Moderado (4-4.9)","Menor a 4"))))</x:f>
        <x:v>Menor a 4</x:v>
      </x:c>
      <x:c r="L337" s="25" t="str">
        <x:f>IF(I337&lt;70,"Superficial (&lt;70 km)",IF(I337&lt;=300,"Intermedio (70-300 km)","Profundo (&gt;300 km)"))</x:f>
        <x:v>Superficial (&lt;70 km)</x:v>
      </x:c>
      <x:c r="M337" s="25" t="str">
        <x:f>IF(J337&gt;=5,"Sí","No")</x:f>
        <x:v>No</x:v>
      </x:c>
      <x:c r="N337" s="25" t="str">
        <x:f>IF(J337&gt;=6,"Sí","No")</x:f>
        <x:v>No</x:v>
      </x:c>
      <x:c r="O337" s="25" t="str">
        <x:v>Pendiente: asignar con R/sf</x:v>
      </x:c>
    </x:row>
    <x:row r="338">
      <x:c r="A338" s="25" t="n">
        <x:v>337</x:v>
      </x:c>
      <x:c r="B338" s="26" t="n">
        <x:v>43938.621932870374</x:v>
      </x:c>
      <x:c r="C338" s="27" t="n">
        <x:f>INT(B338)</x:f>
        <x:v>43938</x:v>
      </x:c>
      <x:c r="D338" s="28" t="n">
        <x:f>MOD(B338,1)</x:f>
        <x:v>0.6219328703737119</x:v>
      </x:c>
      <x:c r="E338" s="29" t="n">
        <x:f>YEAR(B338)</x:f>
        <x:v>2020</x:v>
      </x:c>
      <x:c r="F338" s="29" t="n">
        <x:f>MONTH(B338)</x:f>
        <x:v>4</x:v>
      </x:c>
      <x:c r="G338" s="30" t="n">
        <x:v>-19.64</x:v>
      </x:c>
      <x:c r="H338" s="30" t="n">
        <x:v>-69.32</x:v>
      </x:c>
      <x:c r="I338" s="29" t="n">
        <x:v>99</x:v>
      </x:c>
      <x:c r="J338" s="31" t="n">
        <x:v>3.3</x:v>
      </x:c>
      <x:c r="K338" s="25" t="str">
        <x:f>IF(J338&gt;=7,"Muy fuerte (&gt;=7)",IF(J338&gt;=6,"Fuerte (6-6.9)",IF(J338&gt;=5,"Moderado alto (5-5.9)",IF(J338&gt;=4,"Moderado (4-4.9)","Menor a 4"))))</x:f>
        <x:v>Menor a 4</x:v>
      </x:c>
      <x:c r="L338" s="25" t="str">
        <x:f>IF(I338&lt;70,"Superficial (&lt;70 km)",IF(I338&lt;=300,"Intermedio (70-300 km)","Profundo (&gt;300 km)"))</x:f>
        <x:v>Intermedio (70-300 km)</x:v>
      </x:c>
      <x:c r="M338" s="25" t="str">
        <x:f>IF(J338&gt;=5,"Sí","No")</x:f>
        <x:v>No</x:v>
      </x:c>
      <x:c r="N338" s="25" t="str">
        <x:f>IF(J338&gt;=6,"Sí","No")</x:f>
        <x:v>No</x:v>
      </x:c>
      <x:c r="O338" s="25" t="str">
        <x:v>Pendiente: asignar con R/sf</x:v>
      </x:c>
    </x:row>
    <x:row r="339">
      <x:c r="A339" s="25" t="n">
        <x:v>338</x:v>
      </x:c>
      <x:c r="B339" s="26" t="n">
        <x:v>44704.008206018516</x:v>
      </x:c>
      <x:c r="C339" s="27" t="n">
        <x:f>INT(B339)</x:f>
        <x:v>44704</x:v>
      </x:c>
      <x:c r="D339" s="28" t="n">
        <x:f>MOD(B339,1)</x:f>
        <x:v>0.008206018515920732</x:v>
      </x:c>
      <x:c r="E339" s="29" t="n">
        <x:f>YEAR(B339)</x:f>
        <x:v>2022</x:v>
      </x:c>
      <x:c r="F339" s="29" t="n">
        <x:f>MONTH(B339)</x:f>
        <x:v>5</x:v>
      </x:c>
      <x:c r="G339" s="30" t="n">
        <x:v>-18.79</x:v>
      </x:c>
      <x:c r="H339" s="30" t="n">
        <x:v>-70.15</x:v>
      </x:c>
      <x:c r="I339" s="29" t="n">
        <x:v>58</x:v>
      </x:c>
      <x:c r="J339" s="31" t="n">
        <x:v>3.7</x:v>
      </x:c>
      <x:c r="K339" s="25" t="str">
        <x:f>IF(J339&gt;=7,"Muy fuerte (&gt;=7)",IF(J339&gt;=6,"Fuerte (6-6.9)",IF(J339&gt;=5,"Moderado alto (5-5.9)",IF(J339&gt;=4,"Moderado (4-4.9)","Menor a 4"))))</x:f>
        <x:v>Menor a 4</x:v>
      </x:c>
      <x:c r="L339" s="25" t="str">
        <x:f>IF(I339&lt;70,"Superficial (&lt;70 km)",IF(I339&lt;=300,"Intermedio (70-300 km)","Profundo (&gt;300 km)"))</x:f>
        <x:v>Superficial (&lt;70 km)</x:v>
      </x:c>
      <x:c r="M339" s="25" t="str">
        <x:f>IF(J339&gt;=5,"Sí","No")</x:f>
        <x:v>No</x:v>
      </x:c>
      <x:c r="N339" s="25" t="str">
        <x:f>IF(J339&gt;=6,"Sí","No")</x:f>
        <x:v>No</x:v>
      </x:c>
      <x:c r="O339" s="25" t="str">
        <x:v>Pendiente: asignar con R/sf</x:v>
      </x:c>
    </x:row>
    <x:row r="340">
      <x:c r="A340" s="25" t="n">
        <x:v>339</x:v>
      </x:c>
      <x:c r="B340" s="26" t="n">
        <x:v>44552.76425925926</x:v>
      </x:c>
      <x:c r="C340" s="27" t="n">
        <x:f>INT(B340)</x:f>
        <x:v>44552</x:v>
      </x:c>
      <x:c r="D340" s="28" t="n">
        <x:f>MOD(B340,1)</x:f>
        <x:v>0.7642592592601432</x:v>
      </x:c>
      <x:c r="E340" s="29" t="n">
        <x:f>YEAR(B340)</x:f>
        <x:v>2021</x:v>
      </x:c>
      <x:c r="F340" s="29" t="n">
        <x:f>MONTH(B340)</x:f>
        <x:v>12</x:v>
      </x:c>
      <x:c r="G340" s="30" t="n">
        <x:v>-29.56</x:v>
      </x:c>
      <x:c r="H340" s="30" t="n">
        <x:v>-71.25</x:v>
      </x:c>
      <x:c r="I340" s="29" t="n">
        <x:v>52</x:v>
      </x:c>
      <x:c r="J340" s="31" t="n">
        <x:v>3.9</x:v>
      </x:c>
      <x:c r="K340" s="25" t="str">
        <x:f>IF(J340&gt;=7,"Muy fuerte (&gt;=7)",IF(J340&gt;=6,"Fuerte (6-6.9)",IF(J340&gt;=5,"Moderado alto (5-5.9)",IF(J340&gt;=4,"Moderado (4-4.9)","Menor a 4"))))</x:f>
        <x:v>Menor a 4</x:v>
      </x:c>
      <x:c r="L340" s="25" t="str">
        <x:f>IF(I340&lt;70,"Superficial (&lt;70 km)",IF(I340&lt;=300,"Intermedio (70-300 km)","Profundo (&gt;300 km)"))</x:f>
        <x:v>Superficial (&lt;70 km)</x:v>
      </x:c>
      <x:c r="M340" s="25" t="str">
        <x:f>IF(J340&gt;=5,"Sí","No")</x:f>
        <x:v>No</x:v>
      </x:c>
      <x:c r="N340" s="25" t="str">
        <x:f>IF(J340&gt;=6,"Sí","No")</x:f>
        <x:v>No</x:v>
      </x:c>
      <x:c r="O340" s="25" t="str">
        <x:v>Pendiente: asignar con R/sf</x:v>
      </x:c>
    </x:row>
    <x:row r="341">
      <x:c r="A341" s="25" t="n">
        <x:v>340</x:v>
      </x:c>
      <x:c r="B341" s="26" t="n">
        <x:v>44478.981782407405</x:v>
      </x:c>
      <x:c r="C341" s="27" t="n">
        <x:f>INT(B341)</x:f>
        <x:v>44478</x:v>
      </x:c>
      <x:c r="D341" s="28" t="n">
        <x:f>MOD(B341,1)</x:f>
        <x:v>0.9817824074052623</x:v>
      </x:c>
      <x:c r="E341" s="29" t="n">
        <x:f>YEAR(B341)</x:f>
        <x:v>2021</x:v>
      </x:c>
      <x:c r="F341" s="29" t="n">
        <x:f>MONTH(B341)</x:f>
        <x:v>10</x:v>
      </x:c>
      <x:c r="G341" s="30" t="n">
        <x:v>-21.11</x:v>
      </x:c>
      <x:c r="H341" s="30" t="n">
        <x:v>-68.89</x:v>
      </x:c>
      <x:c r="I341" s="29" t="n">
        <x:v>121</x:v>
      </x:c>
      <x:c r="J341" s="31" t="n">
        <x:v>4.9</x:v>
      </x:c>
      <x:c r="K341" s="25" t="str">
        <x:f>IF(J341&gt;=7,"Muy fuerte (&gt;=7)",IF(J341&gt;=6,"Fuerte (6-6.9)",IF(J341&gt;=5,"Moderado alto (5-5.9)",IF(J341&gt;=4,"Moderado (4-4.9)","Menor a 4"))))</x:f>
        <x:v>Moderado (4-4.9)</x:v>
      </x:c>
      <x:c r="L341" s="25" t="str">
        <x:f>IF(I341&lt;70,"Superficial (&lt;70 km)",IF(I341&lt;=300,"Intermedio (70-300 km)","Profundo (&gt;300 km)"))</x:f>
        <x:v>Intermedio (70-300 km)</x:v>
      </x:c>
      <x:c r="M341" s="25" t="str">
        <x:f>IF(J341&gt;=5,"Sí","No")</x:f>
        <x:v>No</x:v>
      </x:c>
      <x:c r="N341" s="25" t="str">
        <x:f>IF(J341&gt;=6,"Sí","No")</x:f>
        <x:v>No</x:v>
      </x:c>
      <x:c r="O341" s="25" t="str">
        <x:v>Pendiente: asignar con R/sf</x:v>
      </x:c>
    </x:row>
    <x:row r="342">
      <x:c r="A342" s="25" t="n">
        <x:v>341</x:v>
      </x:c>
      <x:c r="B342" s="26" t="n">
        <x:v>43763.687256944446</x:v>
      </x:c>
      <x:c r="C342" s="27" t="n">
        <x:f>INT(B342)</x:f>
        <x:v>43763</x:v>
      </x:c>
      <x:c r="D342" s="28" t="n">
        <x:f>MOD(B342,1)</x:f>
        <x:v>0.687256944445835</x:v>
      </x:c>
      <x:c r="E342" s="29" t="n">
        <x:f>YEAR(B342)</x:f>
        <x:v>2019</x:v>
      </x:c>
      <x:c r="F342" s="29" t="n">
        <x:f>MONTH(B342)</x:f>
        <x:v>10</x:v>
      </x:c>
      <x:c r="G342" s="30" t="n">
        <x:v>-19.04</x:v>
      </x:c>
      <x:c r="H342" s="30" t="n">
        <x:v>-69.25</x:v>
      </x:c>
      <x:c r="I342" s="29" t="n">
        <x:v>123</x:v>
      </x:c>
      <x:c r="J342" s="31" t="n">
        <x:v>4.3</x:v>
      </x:c>
      <x:c r="K342" s="25" t="str">
        <x:f>IF(J342&gt;=7,"Muy fuerte (&gt;=7)",IF(J342&gt;=6,"Fuerte (6-6.9)",IF(J342&gt;=5,"Moderado alto (5-5.9)",IF(J342&gt;=4,"Moderado (4-4.9)","Menor a 4"))))</x:f>
        <x:v>Moderado (4-4.9)</x:v>
      </x:c>
      <x:c r="L342" s="25" t="str">
        <x:f>IF(I342&lt;70,"Superficial (&lt;70 km)",IF(I342&lt;=300,"Intermedio (70-300 km)","Profundo (&gt;300 km)"))</x:f>
        <x:v>Intermedio (70-300 km)</x:v>
      </x:c>
      <x:c r="M342" s="25" t="str">
        <x:f>IF(J342&gt;=5,"Sí","No")</x:f>
        <x:v>No</x:v>
      </x:c>
      <x:c r="N342" s="25" t="str">
        <x:f>IF(J342&gt;=6,"Sí","No")</x:f>
        <x:v>No</x:v>
      </x:c>
      <x:c r="O342" s="25" t="str">
        <x:v>Pendiente: asignar con R/sf</x:v>
      </x:c>
    </x:row>
    <x:row r="343">
      <x:c r="A343" s="25" t="n">
        <x:v>342</x:v>
      </x:c>
      <x:c r="B343" s="26" t="n">
        <x:v>44642.811064814814</x:v>
      </x:c>
      <x:c r="C343" s="27" t="n">
        <x:f>INT(B343)</x:f>
        <x:v>44642</x:v>
      </x:c>
      <x:c r="D343" s="28" t="n">
        <x:f>MOD(B343,1)</x:f>
        <x:v>0.8110648148140172</x:v>
      </x:c>
      <x:c r="E343" s="29" t="n">
        <x:f>YEAR(B343)</x:f>
        <x:v>2022</x:v>
      </x:c>
      <x:c r="F343" s="29" t="n">
        <x:f>MONTH(B343)</x:f>
        <x:v>3</x:v>
      </x:c>
      <x:c r="G343" s="30" t="n">
        <x:v>-29.2</x:v>
      </x:c>
      <x:c r="H343" s="30" t="n">
        <x:v>-71.29</x:v>
      </x:c>
      <x:c r="I343" s="29" t="n">
        <x:v>40</x:v>
      </x:c>
      <x:c r="J343" s="31" t="n">
        <x:v>3.9</x:v>
      </x:c>
      <x:c r="K343" s="25" t="str">
        <x:f>IF(J343&gt;=7,"Muy fuerte (&gt;=7)",IF(J343&gt;=6,"Fuerte (6-6.9)",IF(J343&gt;=5,"Moderado alto (5-5.9)",IF(J343&gt;=4,"Moderado (4-4.9)","Menor a 4"))))</x:f>
        <x:v>Menor a 4</x:v>
      </x:c>
      <x:c r="L343" s="25" t="str">
        <x:f>IF(I343&lt;70,"Superficial (&lt;70 km)",IF(I343&lt;=300,"Intermedio (70-300 km)","Profundo (&gt;300 km)"))</x:f>
        <x:v>Superficial (&lt;70 km)</x:v>
      </x:c>
      <x:c r="M343" s="25" t="str">
        <x:f>IF(J343&gt;=5,"Sí","No")</x:f>
        <x:v>No</x:v>
      </x:c>
      <x:c r="N343" s="25" t="str">
        <x:f>IF(J343&gt;=6,"Sí","No")</x:f>
        <x:v>No</x:v>
      </x:c>
      <x:c r="O343" s="25" t="str">
        <x:v>Pendiente: asignar con R/sf</x:v>
      </x:c>
    </x:row>
    <x:row r="344">
      <x:c r="A344" s="25" t="n">
        <x:v>343</x:v>
      </x:c>
      <x:c r="B344" s="26" t="n">
        <x:v>43763.81236111111</x:v>
      </x:c>
      <x:c r="C344" s="27" t="n">
        <x:f>INT(B344)</x:f>
        <x:v>43763</x:v>
      </x:c>
      <x:c r="D344" s="28" t="n">
        <x:f>MOD(B344,1)</x:f>
        <x:v>0.812361111107748</x:v>
      </x:c>
      <x:c r="E344" s="29" t="n">
        <x:f>YEAR(B344)</x:f>
        <x:v>2019</x:v>
      </x:c>
      <x:c r="F344" s="29" t="n">
        <x:f>MONTH(B344)</x:f>
        <x:v>10</x:v>
      </x:c>
      <x:c r="G344" s="30" t="n">
        <x:v>-18.12</x:v>
      </x:c>
      <x:c r="H344" s="30" t="n">
        <x:v>-69.49</x:v>
      </x:c>
      <x:c r="I344" s="29" t="n">
        <x:v>137</x:v>
      </x:c>
      <x:c r="J344" s="31" t="n">
        <x:v>3.6</x:v>
      </x:c>
      <x:c r="K344" s="25" t="str">
        <x:f>IF(J344&gt;=7,"Muy fuerte (&gt;=7)",IF(J344&gt;=6,"Fuerte (6-6.9)",IF(J344&gt;=5,"Moderado alto (5-5.9)",IF(J344&gt;=4,"Moderado (4-4.9)","Menor a 4"))))</x:f>
        <x:v>Menor a 4</x:v>
      </x:c>
      <x:c r="L344" s="25" t="str">
        <x:f>IF(I344&lt;70,"Superficial (&lt;70 km)",IF(I344&lt;=300,"Intermedio (70-300 km)","Profundo (&gt;300 km)"))</x:f>
        <x:v>Intermedio (70-300 km)</x:v>
      </x:c>
      <x:c r="M344" s="25" t="str">
        <x:f>IF(J344&gt;=5,"Sí","No")</x:f>
        <x:v>No</x:v>
      </x:c>
      <x:c r="N344" s="25" t="str">
        <x:f>IF(J344&gt;=6,"Sí","No")</x:f>
        <x:v>No</x:v>
      </x:c>
      <x:c r="O344" s="25" t="str">
        <x:v>Pendiente: asignar con R/sf</x:v>
      </x:c>
    </x:row>
    <x:row r="345">
      <x:c r="A345" s="25" t="n">
        <x:v>344</x:v>
      </x:c>
      <x:c r="B345" s="26" t="n">
        <x:v>44579.69094907407</x:v>
      </x:c>
      <x:c r="C345" s="27" t="n">
        <x:f>INT(B345)</x:f>
        <x:v>44579</x:v>
      </x:c>
      <x:c r="D345" s="28" t="n">
        <x:f>MOD(B345,1)</x:f>
        <x:v>0.6909490740727051</x:v>
      </x:c>
      <x:c r="E345" s="29" t="n">
        <x:f>YEAR(B345)</x:f>
        <x:v>2022</x:v>
      </x:c>
      <x:c r="F345" s="29" t="n">
        <x:f>MONTH(B345)</x:f>
        <x:v>1</x:v>
      </x:c>
      <x:c r="G345" s="30" t="n">
        <x:v>-19.66</x:v>
      </x:c>
      <x:c r="H345" s="30" t="n">
        <x:v>-69.37</x:v>
      </x:c>
      <x:c r="I345" s="29" t="n">
        <x:v>115</x:v>
      </x:c>
      <x:c r="J345" s="31" t="n">
        <x:v>4</x:v>
      </x:c>
      <x:c r="K345" s="25" t="str">
        <x:f>IF(J345&gt;=7,"Muy fuerte (&gt;=7)",IF(J345&gt;=6,"Fuerte (6-6.9)",IF(J345&gt;=5,"Moderado alto (5-5.9)",IF(J345&gt;=4,"Moderado (4-4.9)","Menor a 4"))))</x:f>
        <x:v>Moderado (4-4.9)</x:v>
      </x:c>
      <x:c r="L345" s="25" t="str">
        <x:f>IF(I345&lt;70,"Superficial (&lt;70 km)",IF(I345&lt;=300,"Intermedio (70-300 km)","Profundo (&gt;300 km)"))</x:f>
        <x:v>Intermedio (70-300 km)</x:v>
      </x:c>
      <x:c r="M345" s="25" t="str">
        <x:f>IF(J345&gt;=5,"Sí","No")</x:f>
        <x:v>No</x:v>
      </x:c>
      <x:c r="N345" s="25" t="str">
        <x:f>IF(J345&gt;=6,"Sí","No")</x:f>
        <x:v>No</x:v>
      </x:c>
      <x:c r="O345" s="25" t="str">
        <x:v>Pendiente: asignar con R/sf</x:v>
      </x:c>
    </x:row>
    <x:row r="346">
      <x:c r="A346" s="25" t="n">
        <x:v>345</x:v>
      </x:c>
      <x:c r="B346" s="26" t="n">
        <x:v>44654.19525462963</x:v>
      </x:c>
      <x:c r="C346" s="27" t="n">
        <x:f>INT(B346)</x:f>
        <x:v>44654</x:v>
      </x:c>
      <x:c r="D346" s="28" t="n">
        <x:f>MOD(B346,1)</x:f>
        <x:v>0.19525462963065365</x:v>
      </x:c>
      <x:c r="E346" s="29" t="n">
        <x:f>YEAR(B346)</x:f>
        <x:v>2022</x:v>
      </x:c>
      <x:c r="F346" s="29" t="n">
        <x:f>MONTH(B346)</x:f>
        <x:v>4</x:v>
      </x:c>
      <x:c r="G346" s="30" t="n">
        <x:v>-29.56</x:v>
      </x:c>
      <x:c r="H346" s="30" t="n">
        <x:v>-71.25</x:v>
      </x:c>
      <x:c r="I346" s="29" t="n">
        <x:v>52</x:v>
      </x:c>
      <x:c r="J346" s="31" t="n">
        <x:v>3.9</x:v>
      </x:c>
      <x:c r="K346" s="25" t="str">
        <x:f>IF(J346&gt;=7,"Muy fuerte (&gt;=7)",IF(J346&gt;=6,"Fuerte (6-6.9)",IF(J346&gt;=5,"Moderado alto (5-5.9)",IF(J346&gt;=4,"Moderado (4-4.9)","Menor a 4"))))</x:f>
        <x:v>Menor a 4</x:v>
      </x:c>
      <x:c r="L346" s="25" t="str">
        <x:f>IF(I346&lt;70,"Superficial (&lt;70 km)",IF(I346&lt;=300,"Intermedio (70-300 km)","Profundo (&gt;300 km)"))</x:f>
        <x:v>Superficial (&lt;70 km)</x:v>
      </x:c>
      <x:c r="M346" s="25" t="str">
        <x:f>IF(J346&gt;=5,"Sí","No")</x:f>
        <x:v>No</x:v>
      </x:c>
      <x:c r="N346" s="25" t="str">
        <x:f>IF(J346&gt;=6,"Sí","No")</x:f>
        <x:v>No</x:v>
      </x:c>
      <x:c r="O346" s="25" t="str">
        <x:v>Pendiente: asignar con R/sf</x:v>
      </x:c>
    </x:row>
    <x:row r="347">
      <x:c r="A347" s="25" t="n">
        <x:v>346</x:v>
      </x:c>
      <x:c r="B347" s="26" t="n">
        <x:v>44465.40987268519</x:v>
      </x:c>
      <x:c r="C347" s="27" t="n">
        <x:f>INT(B347)</x:f>
        <x:v>44465</x:v>
      </x:c>
      <x:c r="D347" s="28" t="n">
        <x:f>MOD(B347,1)</x:f>
        <x:v>0.4098726851880201</x:v>
      </x:c>
      <x:c r="E347" s="29" t="n">
        <x:f>YEAR(B347)</x:f>
        <x:v>2021</x:v>
      </x:c>
      <x:c r="F347" s="29" t="n">
        <x:f>MONTH(B347)</x:f>
        <x:v>9</x:v>
      </x:c>
      <x:c r="G347" s="30" t="n">
        <x:v>-30.04</x:v>
      </x:c>
      <x:c r="H347" s="30" t="n">
        <x:v>-71.3</x:v>
      </x:c>
      <x:c r="I347" s="29" t="n">
        <x:v>56</x:v>
      </x:c>
      <x:c r="J347" s="31" t="n">
        <x:v>4.2</x:v>
      </x:c>
      <x:c r="K347" s="25" t="str">
        <x:f>IF(J347&gt;=7,"Muy fuerte (&gt;=7)",IF(J347&gt;=6,"Fuerte (6-6.9)",IF(J347&gt;=5,"Moderado alto (5-5.9)",IF(J347&gt;=4,"Moderado (4-4.9)","Menor a 4"))))</x:f>
        <x:v>Moderado (4-4.9)</x:v>
      </x:c>
      <x:c r="L347" s="25" t="str">
        <x:f>IF(I347&lt;70,"Superficial (&lt;70 km)",IF(I347&lt;=300,"Intermedio (70-300 km)","Profundo (&gt;300 km)"))</x:f>
        <x:v>Superficial (&lt;70 km)</x:v>
      </x:c>
      <x:c r="M347" s="25" t="str">
        <x:f>IF(J347&gt;=5,"Sí","No")</x:f>
        <x:v>No</x:v>
      </x:c>
      <x:c r="N347" s="25" t="str">
        <x:f>IF(J347&gt;=6,"Sí","No")</x:f>
        <x:v>No</x:v>
      </x:c>
      <x:c r="O347" s="25" t="str">
        <x:v>Pendiente: asignar con R/sf</x:v>
      </x:c>
    </x:row>
    <x:row r="348">
      <x:c r="A348" s="25" t="n">
        <x:v>347</x:v>
      </x:c>
      <x:c r="B348" s="26" t="n">
        <x:v>43485.13172453704</x:v>
      </x:c>
      <x:c r="C348" s="27" t="n">
        <x:f>INT(B348)</x:f>
        <x:v>43485</x:v>
      </x:c>
      <x:c r="D348" s="28" t="n">
        <x:f>MOD(B348,1)</x:f>
        <x:v>0.1317245370373712</x:v>
      </x:c>
      <x:c r="E348" s="29" t="n">
        <x:f>YEAR(B348)</x:f>
        <x:v>2019</x:v>
      </x:c>
      <x:c r="F348" s="29" t="n">
        <x:f>MONTH(B348)</x:f>
        <x:v>1</x:v>
      </x:c>
      <x:c r="G348" s="30" t="n">
        <x:v>-30.16</x:v>
      </x:c>
      <x:c r="H348" s="30" t="n">
        <x:v>-71.23</x:v>
      </x:c>
      <x:c r="I348" s="29" t="n">
        <x:v>60</x:v>
      </x:c>
      <x:c r="J348" s="31" t="n">
        <x:v>3.7</x:v>
      </x:c>
      <x:c r="K348" s="25" t="str">
        <x:f>IF(J348&gt;=7,"Muy fuerte (&gt;=7)",IF(J348&gt;=6,"Fuerte (6-6.9)",IF(J348&gt;=5,"Moderado alto (5-5.9)",IF(J348&gt;=4,"Moderado (4-4.9)","Menor a 4"))))</x:f>
        <x:v>Menor a 4</x:v>
      </x:c>
      <x:c r="L348" s="25" t="str">
        <x:f>IF(I348&lt;70,"Superficial (&lt;70 km)",IF(I348&lt;=300,"Intermedio (70-300 km)","Profundo (&gt;300 km)"))</x:f>
        <x:v>Superficial (&lt;70 km)</x:v>
      </x:c>
      <x:c r="M348" s="25" t="str">
        <x:f>IF(J348&gt;=5,"Sí","No")</x:f>
        <x:v>No</x:v>
      </x:c>
      <x:c r="N348" s="25" t="str">
        <x:f>IF(J348&gt;=6,"Sí","No")</x:f>
        <x:v>No</x:v>
      </x:c>
      <x:c r="O348" s="25" t="str">
        <x:v>Pendiente: asignar con R/sf</x:v>
      </x:c>
    </x:row>
    <x:row r="349">
      <x:c r="A349" s="25" t="n">
        <x:v>348</x:v>
      </x:c>
      <x:c r="B349" s="26" t="n">
        <x:v>44358.25834490741</x:v>
      </x:c>
      <x:c r="C349" s="27" t="n">
        <x:f>INT(B349)</x:f>
        <x:v>44358</x:v>
      </x:c>
      <x:c r="D349" s="28" t="n">
        <x:f>MOD(B349,1)</x:f>
        <x:v>0.25834490740817273</x:v>
      </x:c>
      <x:c r="E349" s="29" t="n">
        <x:f>YEAR(B349)</x:f>
        <x:v>2021</x:v>
      </x:c>
      <x:c r="F349" s="29" t="n">
        <x:f>MONTH(B349)</x:f>
        <x:v>6</x:v>
      </x:c>
      <x:c r="G349" s="30" t="n">
        <x:v>-20.22</x:v>
      </x:c>
      <x:c r="H349" s="30" t="n">
        <x:v>-69.33</x:v>
      </x:c>
      <x:c r="I349" s="29" t="n">
        <x:v>96</x:v>
      </x:c>
      <x:c r="J349" s="31" t="n">
        <x:v>3.2</x:v>
      </x:c>
      <x:c r="K349" s="25" t="str">
        <x:f>IF(J349&gt;=7,"Muy fuerte (&gt;=7)",IF(J349&gt;=6,"Fuerte (6-6.9)",IF(J349&gt;=5,"Moderado alto (5-5.9)",IF(J349&gt;=4,"Moderado (4-4.9)","Menor a 4"))))</x:f>
        <x:v>Menor a 4</x:v>
      </x:c>
      <x:c r="L349" s="25" t="str">
        <x:f>IF(I349&lt;70,"Superficial (&lt;70 km)",IF(I349&lt;=300,"Intermedio (70-300 km)","Profundo (&gt;300 km)"))</x:f>
        <x:v>Intermedio (70-300 km)</x:v>
      </x:c>
      <x:c r="M349" s="25" t="str">
        <x:f>IF(J349&gt;=5,"Sí","No")</x:f>
        <x:v>No</x:v>
      </x:c>
      <x:c r="N349" s="25" t="str">
        <x:f>IF(J349&gt;=6,"Sí","No")</x:f>
        <x:v>No</x:v>
      </x:c>
      <x:c r="O349" s="25" t="str">
        <x:v>Pendiente: asignar con R/sf</x:v>
      </x:c>
    </x:row>
    <x:row r="350">
      <x:c r="A350" s="25" t="n">
        <x:v>349</x:v>
      </x:c>
      <x:c r="B350" s="26" t="n">
        <x:v>44146.85847222222</x:v>
      </x:c>
      <x:c r="C350" s="27" t="n">
        <x:f>INT(B350)</x:f>
        <x:v>44146</x:v>
      </x:c>
      <x:c r="D350" s="28" t="n">
        <x:f>MOD(B350,1)</x:f>
        <x:v>0.8584722222221899</x:v>
      </x:c>
      <x:c r="E350" s="29" t="n">
        <x:f>YEAR(B350)</x:f>
        <x:v>2020</x:v>
      </x:c>
      <x:c r="F350" s="29" t="n">
        <x:f>MONTH(B350)</x:f>
        <x:v>11</x:v>
      </x:c>
      <x:c r="G350" s="30" t="n">
        <x:v>-29.98</x:v>
      </x:c>
      <x:c r="H350" s="30" t="n">
        <x:v>-71.43</x:v>
      </x:c>
      <x:c r="I350" s="29" t="n">
        <x:v>48</x:v>
      </x:c>
      <x:c r="J350" s="31" t="n">
        <x:v>4.1</x:v>
      </x:c>
      <x:c r="K350" s="25" t="str">
        <x:f>IF(J350&gt;=7,"Muy fuerte (&gt;=7)",IF(J350&gt;=6,"Fuerte (6-6.9)",IF(J350&gt;=5,"Moderado alto (5-5.9)",IF(J350&gt;=4,"Moderado (4-4.9)","Menor a 4"))))</x:f>
        <x:v>Moderado (4-4.9)</x:v>
      </x:c>
      <x:c r="L350" s="25" t="str">
        <x:f>IF(I350&lt;70,"Superficial (&lt;70 km)",IF(I350&lt;=300,"Intermedio (70-300 km)","Profundo (&gt;300 km)"))</x:f>
        <x:v>Superficial (&lt;70 km)</x:v>
      </x:c>
      <x:c r="M350" s="25" t="str">
        <x:f>IF(J350&gt;=5,"Sí","No")</x:f>
        <x:v>No</x:v>
      </x:c>
      <x:c r="N350" s="25" t="str">
        <x:f>IF(J350&gt;=6,"Sí","No")</x:f>
        <x:v>No</x:v>
      </x:c>
      <x:c r="O350" s="25" t="str">
        <x:v>Pendiente: asignar con R/sf</x:v>
      </x:c>
    </x:row>
    <x:row r="351">
      <x:c r="A351" s="25" t="n">
        <x:v>350</x:v>
      </x:c>
      <x:c r="B351" s="26" t="n">
        <x:v>43688.03028935185</x:v>
      </x:c>
      <x:c r="C351" s="27" t="n">
        <x:f>INT(B351)</x:f>
        <x:v>43688</x:v>
      </x:c>
      <x:c r="D351" s="28" t="n">
        <x:f>MOD(B351,1)</x:f>
        <x:v>0.030289351852843538</x:v>
      </x:c>
      <x:c r="E351" s="29" t="n">
        <x:f>YEAR(B351)</x:f>
        <x:v>2019</x:v>
      </x:c>
      <x:c r="F351" s="29" t="n">
        <x:f>MONTH(B351)</x:f>
        <x:v>8</x:v>
      </x:c>
      <x:c r="G351" s="30" t="n">
        <x:v>-29.91</x:v>
      </x:c>
      <x:c r="H351" s="30" t="n">
        <x:v>-71.39</x:v>
      </x:c>
      <x:c r="I351" s="29" t="n">
        <x:v>49</x:v>
      </x:c>
      <x:c r="J351" s="31" t="n">
        <x:v>3.1</x:v>
      </x:c>
      <x:c r="K351" s="25" t="str">
        <x:f>IF(J351&gt;=7,"Muy fuerte (&gt;=7)",IF(J351&gt;=6,"Fuerte (6-6.9)",IF(J351&gt;=5,"Moderado alto (5-5.9)",IF(J351&gt;=4,"Moderado (4-4.9)","Menor a 4"))))</x:f>
        <x:v>Menor a 4</x:v>
      </x:c>
      <x:c r="L351" s="25" t="str">
        <x:f>IF(I351&lt;70,"Superficial (&lt;70 km)",IF(I351&lt;=300,"Intermedio (70-300 km)","Profundo (&gt;300 km)"))</x:f>
        <x:v>Superficial (&lt;70 km)</x:v>
      </x:c>
      <x:c r="M351" s="25" t="str">
        <x:f>IF(J351&gt;=5,"Sí","No")</x:f>
        <x:v>No</x:v>
      </x:c>
      <x:c r="N351" s="25" t="str">
        <x:f>IF(J351&gt;=6,"Sí","No")</x:f>
        <x:v>No</x:v>
      </x:c>
      <x:c r="O351" s="25" t="str">
        <x:v>Pendiente: asignar con R/sf</x:v>
      </x:c>
    </x:row>
    <x:row r="352">
      <x:c r="A352" s="25" t="n">
        <x:v>351</x:v>
      </x:c>
      <x:c r="B352" s="26" t="n">
        <x:v>43431.724131944444</x:v>
      </x:c>
      <x:c r="C352" s="27" t="n">
        <x:f>INT(B352)</x:f>
        <x:v>43431</x:v>
      </x:c>
      <x:c r="D352" s="28" t="n">
        <x:f>MOD(B352,1)</x:f>
        <x:v>0.7241319444437977</x:v>
      </x:c>
      <x:c r="E352" s="29" t="n">
        <x:f>YEAR(B352)</x:f>
        <x:v>2018</x:v>
      </x:c>
      <x:c r="F352" s="29" t="n">
        <x:f>MONTH(B352)</x:f>
        <x:v>11</x:v>
      </x:c>
      <x:c r="G352" s="30" t="n">
        <x:v>-19.42</x:v>
      </x:c>
      <x:c r="H352" s="30" t="n">
        <x:v>-69.22</x:v>
      </x:c>
      <x:c r="I352" s="29" t="n">
        <x:v>110</x:v>
      </x:c>
      <x:c r="J352" s="31" t="n">
        <x:v>4.4</x:v>
      </x:c>
      <x:c r="K352" s="25" t="str">
        <x:f>IF(J352&gt;=7,"Muy fuerte (&gt;=7)",IF(J352&gt;=6,"Fuerte (6-6.9)",IF(J352&gt;=5,"Moderado alto (5-5.9)",IF(J352&gt;=4,"Moderado (4-4.9)","Menor a 4"))))</x:f>
        <x:v>Moderado (4-4.9)</x:v>
      </x:c>
      <x:c r="L352" s="25" t="str">
        <x:f>IF(I352&lt;70,"Superficial (&lt;70 km)",IF(I352&lt;=300,"Intermedio (70-300 km)","Profundo (&gt;300 km)"))</x:f>
        <x:v>Intermedio (70-300 km)</x:v>
      </x:c>
      <x:c r="M352" s="25" t="str">
        <x:f>IF(J352&gt;=5,"Sí","No")</x:f>
        <x:v>No</x:v>
      </x:c>
      <x:c r="N352" s="25" t="str">
        <x:f>IF(J352&gt;=6,"Sí","No")</x:f>
        <x:v>No</x:v>
      </x:c>
      <x:c r="O352" s="25" t="str">
        <x:v>Pendiente: asignar con R/sf</x:v>
      </x:c>
    </x:row>
    <x:row r="353">
      <x:c r="A353" s="25" t="n">
        <x:v>352</x:v>
      </x:c>
      <x:c r="B353" s="26" t="n">
        <x:v>44596.87005787037</x:v>
      </x:c>
      <x:c r="C353" s="27" t="n">
        <x:f>INT(B353)</x:f>
        <x:v>44596</x:v>
      </x:c>
      <x:c r="D353" s="28" t="n">
        <x:f>MOD(B353,1)</x:f>
        <x:v>0.8700578703719657</x:v>
      </x:c>
      <x:c r="E353" s="29" t="n">
        <x:f>YEAR(B353)</x:f>
        <x:v>2022</x:v>
      </x:c>
      <x:c r="F353" s="29" t="n">
        <x:f>MONTH(B353)</x:f>
        <x:v>2</x:v>
      </x:c>
      <x:c r="G353" s="30" t="n">
        <x:v>-20.42</x:v>
      </x:c>
      <x:c r="H353" s="30" t="n">
        <x:v>-69.08</x:v>
      </x:c>
      <x:c r="I353" s="29" t="n">
        <x:v>103</x:v>
      </x:c>
      <x:c r="J353" s="31" t="n">
        <x:v>3.6</x:v>
      </x:c>
      <x:c r="K353" s="25" t="str">
        <x:f>IF(J353&gt;=7,"Muy fuerte (&gt;=7)",IF(J353&gt;=6,"Fuerte (6-6.9)",IF(J353&gt;=5,"Moderado alto (5-5.9)",IF(J353&gt;=4,"Moderado (4-4.9)","Menor a 4"))))</x:f>
        <x:v>Menor a 4</x:v>
      </x:c>
      <x:c r="L353" s="25" t="str">
        <x:f>IF(I353&lt;70,"Superficial (&lt;70 km)",IF(I353&lt;=300,"Intermedio (70-300 km)","Profundo (&gt;300 km)"))</x:f>
        <x:v>Intermedio (70-300 km)</x:v>
      </x:c>
      <x:c r="M353" s="25" t="str">
        <x:f>IF(J353&gt;=5,"Sí","No")</x:f>
        <x:v>No</x:v>
      </x:c>
      <x:c r="N353" s="25" t="str">
        <x:f>IF(J353&gt;=6,"Sí","No")</x:f>
        <x:v>No</x:v>
      </x:c>
      <x:c r="O353" s="25" t="str">
        <x:v>Pendiente: asignar con R/sf</x:v>
      </x:c>
    </x:row>
    <x:row r="354">
      <x:c r="A354" s="25" t="n">
        <x:v>353</x:v>
      </x:c>
      <x:c r="B354" s="26" t="n">
        <x:v>44770.17712962963</x:v>
      </x:c>
      <x:c r="C354" s="27" t="n">
        <x:f>INT(B354)</x:f>
        <x:v>44770</x:v>
      </x:c>
      <x:c r="D354" s="28" t="n">
        <x:f>MOD(B354,1)</x:f>
        <x:v>0.17712962962832535</x:v>
      </x:c>
      <x:c r="E354" s="29" t="n">
        <x:f>YEAR(B354)</x:f>
        <x:v>2022</x:v>
      </x:c>
      <x:c r="F354" s="29" t="n">
        <x:f>MONTH(B354)</x:f>
        <x:v>7</x:v>
      </x:c>
      <x:c r="G354" s="30" t="n">
        <x:v>-21.95</x:v>
      </x:c>
      <x:c r="H354" s="30" t="n">
        <x:v>-70.33</x:v>
      </x:c>
      <x:c r="I354" s="29" t="n">
        <x:v>55</x:v>
      </x:c>
      <x:c r="J354" s="31" t="n">
        <x:v>6</x:v>
      </x:c>
      <x:c r="K354" s="25" t="str">
        <x:f>IF(J354&gt;=7,"Muy fuerte (&gt;=7)",IF(J354&gt;=6,"Fuerte (6-6.9)",IF(J354&gt;=5,"Moderado alto (5-5.9)",IF(J354&gt;=4,"Moderado (4-4.9)","Menor a 4"))))</x:f>
        <x:v>Fuerte (6-6.9)</x:v>
      </x:c>
      <x:c r="L354" s="25" t="str">
        <x:f>IF(I354&lt;70,"Superficial (&lt;70 km)",IF(I354&lt;=300,"Intermedio (70-300 km)","Profundo (&gt;300 km)"))</x:f>
        <x:v>Superficial (&lt;70 km)</x:v>
      </x:c>
      <x:c r="M354" s="25" t="str">
        <x:f>IF(J354&gt;=5,"Sí","No")</x:f>
        <x:v>Sí</x:v>
      </x:c>
      <x:c r="N354" s="25" t="str">
        <x:f>IF(J354&gt;=6,"Sí","No")</x:f>
        <x:v>Sí</x:v>
      </x:c>
      <x:c r="O354" s="25" t="str">
        <x:v>Pendiente: asignar con R/sf</x:v>
      </x:c>
    </x:row>
    <x:row r="355">
      <x:c r="A355" s="25" t="n">
        <x:v>354</x:v>
      </x:c>
      <x:c r="B355" s="26" t="n">
        <x:v>44279.68835648148</x:v>
      </x:c>
      <x:c r="C355" s="27" t="n">
        <x:f>INT(B355)</x:f>
        <x:v>44279</x:v>
      </x:c>
      <x:c r="D355" s="28" t="n">
        <x:f>MOD(B355,1)</x:f>
        <x:v>0.6883564814779675</x:v>
      </x:c>
      <x:c r="E355" s="29" t="n">
        <x:f>YEAR(B355)</x:f>
        <x:v>2021</x:v>
      </x:c>
      <x:c r="F355" s="29" t="n">
        <x:f>MONTH(B355)</x:f>
        <x:v>3</x:v>
      </x:c>
      <x:c r="G355" s="30" t="n">
        <x:v>-29.88</x:v>
      </x:c>
      <x:c r="H355" s="30" t="n">
        <x:v>-71.55</x:v>
      </x:c>
      <x:c r="I355" s="29" t="n">
        <x:v>40</x:v>
      </x:c>
      <x:c r="J355" s="31" t="n">
        <x:v>3.6</x:v>
      </x:c>
      <x:c r="K355" s="25" t="str">
        <x:f>IF(J355&gt;=7,"Muy fuerte (&gt;=7)",IF(J355&gt;=6,"Fuerte (6-6.9)",IF(J355&gt;=5,"Moderado alto (5-5.9)",IF(J355&gt;=4,"Moderado (4-4.9)","Menor a 4"))))</x:f>
        <x:v>Menor a 4</x:v>
      </x:c>
      <x:c r="L355" s="25" t="str">
        <x:f>IF(I355&lt;70,"Superficial (&lt;70 km)",IF(I355&lt;=300,"Intermedio (70-300 km)","Profundo (&gt;300 km)"))</x:f>
        <x:v>Superficial (&lt;70 km)</x:v>
      </x:c>
      <x:c r="M355" s="25" t="str">
        <x:f>IF(J355&gt;=5,"Sí","No")</x:f>
        <x:v>No</x:v>
      </x:c>
      <x:c r="N355" s="25" t="str">
        <x:f>IF(J355&gt;=6,"Sí","No")</x:f>
        <x:v>No</x:v>
      </x:c>
      <x:c r="O355" s="25" t="str">
        <x:v>Pendiente: asignar con R/sf</x:v>
      </x:c>
    </x:row>
    <x:row r="356">
      <x:c r="A356" s="25" t="n">
        <x:v>355</x:v>
      </x:c>
      <x:c r="B356" s="26" t="n">
        <x:v>43799.648206018515</x:v>
      </x:c>
      <x:c r="C356" s="27" t="n">
        <x:f>INT(B356)</x:f>
        <x:v>43799</x:v>
      </x:c>
      <x:c r="D356" s="28" t="n">
        <x:f>MOD(B356,1)</x:f>
        <x:v>0.6482060185153387</x:v>
      </x:c>
      <x:c r="E356" s="29" t="n">
        <x:f>YEAR(B356)</x:f>
        <x:v>2019</x:v>
      </x:c>
      <x:c r="F356" s="29" t="n">
        <x:f>MONTH(B356)</x:f>
        <x:v>11</x:v>
      </x:c>
      <x:c r="G356" s="30" t="n">
        <x:v>-29.86</x:v>
      </x:c>
      <x:c r="H356" s="30" t="n">
        <x:v>-71.67</x:v>
      </x:c>
      <x:c r="I356" s="29" t="n">
        <x:v>51</x:v>
      </x:c>
      <x:c r="J356" s="31" t="n">
        <x:v>3.5</x:v>
      </x:c>
      <x:c r="K356" s="25" t="str">
        <x:f>IF(J356&gt;=7,"Muy fuerte (&gt;=7)",IF(J356&gt;=6,"Fuerte (6-6.9)",IF(J356&gt;=5,"Moderado alto (5-5.9)",IF(J356&gt;=4,"Moderado (4-4.9)","Menor a 4"))))</x:f>
        <x:v>Menor a 4</x:v>
      </x:c>
      <x:c r="L356" s="25" t="str">
        <x:f>IF(I356&lt;70,"Superficial (&lt;70 km)",IF(I356&lt;=300,"Intermedio (70-300 km)","Profundo (&gt;300 km)"))</x:f>
        <x:v>Superficial (&lt;70 km)</x:v>
      </x:c>
      <x:c r="M356" s="25" t="str">
        <x:f>IF(J356&gt;=5,"Sí","No")</x:f>
        <x:v>No</x:v>
      </x:c>
      <x:c r="N356" s="25" t="str">
        <x:f>IF(J356&gt;=6,"Sí","No")</x:f>
        <x:v>No</x:v>
      </x:c>
      <x:c r="O356" s="25" t="str">
        <x:v>Pendiente: asignar con R/sf</x:v>
      </x:c>
    </x:row>
    <x:row r="357">
      <x:c r="A357" s="25" t="n">
        <x:v>356</x:v>
      </x:c>
      <x:c r="B357" s="26" t="n">
        <x:v>43626.48846064815</x:v>
      </x:c>
      <x:c r="C357" s="27" t="n">
        <x:f>INT(B357)</x:f>
        <x:v>43626</x:v>
      </x:c>
      <x:c r="D357" s="28" t="n">
        <x:f>MOD(B357,1)</x:f>
        <x:v>0.48846064815006685</x:v>
      </x:c>
      <x:c r="E357" s="29" t="n">
        <x:f>YEAR(B357)</x:f>
        <x:v>2019</x:v>
      </x:c>
      <x:c r="F357" s="29" t="n">
        <x:f>MONTH(B357)</x:f>
        <x:v>6</x:v>
      </x:c>
      <x:c r="G357" s="30" t="n">
        <x:v>-30.02</x:v>
      </x:c>
      <x:c r="H357" s="30" t="n">
        <x:v>-71.78</x:v>
      </x:c>
      <x:c r="I357" s="29" t="n">
        <x:v>31</x:v>
      </x:c>
      <x:c r="J357" s="31" t="n">
        <x:v>4</x:v>
      </x:c>
      <x:c r="K357" s="25" t="str">
        <x:f>IF(J357&gt;=7,"Muy fuerte (&gt;=7)",IF(J357&gt;=6,"Fuerte (6-6.9)",IF(J357&gt;=5,"Moderado alto (5-5.9)",IF(J357&gt;=4,"Moderado (4-4.9)","Menor a 4"))))</x:f>
        <x:v>Moderado (4-4.9)</x:v>
      </x:c>
      <x:c r="L357" s="25" t="str">
        <x:f>IF(I357&lt;70,"Superficial (&lt;70 km)",IF(I357&lt;=300,"Intermedio (70-300 km)","Profundo (&gt;300 km)"))</x:f>
        <x:v>Superficial (&lt;70 km)</x:v>
      </x:c>
      <x:c r="M357" s="25" t="str">
        <x:f>IF(J357&gt;=5,"Sí","No")</x:f>
        <x:v>No</x:v>
      </x:c>
      <x:c r="N357" s="25" t="str">
        <x:f>IF(J357&gt;=6,"Sí","No")</x:f>
        <x:v>No</x:v>
      </x:c>
      <x:c r="O357" s="25" t="str">
        <x:v>Pendiente: asignar con R/sf</x:v>
      </x:c>
    </x:row>
    <x:row r="358">
      <x:c r="A358" s="25" t="n">
        <x:v>357</x:v>
      </x:c>
      <x:c r="B358" s="26" t="n">
        <x:v>44333.23871527778</x:v>
      </x:c>
      <x:c r="C358" s="27" t="n">
        <x:f>INT(B358)</x:f>
        <x:v>44333</x:v>
      </x:c>
      <x:c r="D358" s="28" t="n">
        <x:f>MOD(B358,1)</x:f>
        <x:v>0.23871527778101154</x:v>
      </x:c>
      <x:c r="E358" s="29" t="n">
        <x:f>YEAR(B358)</x:f>
        <x:v>2021</x:v>
      </x:c>
      <x:c r="F358" s="29" t="n">
        <x:f>MONTH(B358)</x:f>
        <x:v>5</x:v>
      </x:c>
      <x:c r="G358" s="30" t="n">
        <x:v>-21.26</x:v>
      </x:c>
      <x:c r="H358" s="30" t="n">
        <x:v>-68.84</x:v>
      </x:c>
      <x:c r="I358" s="29" t="n">
        <x:v>117</x:v>
      </x:c>
      <x:c r="J358" s="31" t="n">
        <x:v>4.9</x:v>
      </x:c>
      <x:c r="K358" s="25" t="str">
        <x:f>IF(J358&gt;=7,"Muy fuerte (&gt;=7)",IF(J358&gt;=6,"Fuerte (6-6.9)",IF(J358&gt;=5,"Moderado alto (5-5.9)",IF(J358&gt;=4,"Moderado (4-4.9)","Menor a 4"))))</x:f>
        <x:v>Moderado (4-4.9)</x:v>
      </x:c>
      <x:c r="L358" s="25" t="str">
        <x:f>IF(I358&lt;70,"Superficial (&lt;70 km)",IF(I358&lt;=300,"Intermedio (70-300 km)","Profundo (&gt;300 km)"))</x:f>
        <x:v>Intermedio (70-300 km)</x:v>
      </x:c>
      <x:c r="M358" s="25" t="str">
        <x:f>IF(J358&gt;=5,"Sí","No")</x:f>
        <x:v>No</x:v>
      </x:c>
      <x:c r="N358" s="25" t="str">
        <x:f>IF(J358&gt;=6,"Sí","No")</x:f>
        <x:v>No</x:v>
      </x:c>
      <x:c r="O358" s="25" t="str">
        <x:v>Pendiente: asignar con R/sf</x:v>
      </x:c>
    </x:row>
    <x:row r="359">
      <x:c r="A359" s="25" t="n">
        <x:v>358</x:v>
      </x:c>
      <x:c r="B359" s="26" t="n">
        <x:v>44726.53503472222</x:v>
      </x:c>
      <x:c r="C359" s="27" t="n">
        <x:f>INT(B359)</x:f>
        <x:v>44726</x:v>
      </x:c>
      <x:c r="D359" s="28" t="n">
        <x:f>MOD(B359,1)</x:f>
        <x:v>0.5350347222192795</x:v>
      </x:c>
      <x:c r="E359" s="29" t="n">
        <x:f>YEAR(B359)</x:f>
        <x:v>2022</x:v>
      </x:c>
      <x:c r="F359" s="29" t="n">
        <x:f>MONTH(B359)</x:f>
        <x:v>6</x:v>
      </x:c>
      <x:c r="G359" s="30" t="n">
        <x:v>-19.62</x:v>
      </x:c>
      <x:c r="H359" s="30" t="n">
        <x:v>-69.02</x:v>
      </x:c>
      <x:c r="I359" s="29" t="n">
        <x:v>114</x:v>
      </x:c>
      <x:c r="J359" s="31" t="n">
        <x:v>4.1</x:v>
      </x:c>
      <x:c r="K359" s="25" t="str">
        <x:f>IF(J359&gt;=7,"Muy fuerte (&gt;=7)",IF(J359&gt;=6,"Fuerte (6-6.9)",IF(J359&gt;=5,"Moderado alto (5-5.9)",IF(J359&gt;=4,"Moderado (4-4.9)","Menor a 4"))))</x:f>
        <x:v>Moderado (4-4.9)</x:v>
      </x:c>
      <x:c r="L359" s="25" t="str">
        <x:f>IF(I359&lt;70,"Superficial (&lt;70 km)",IF(I359&lt;=300,"Intermedio (70-300 km)","Profundo (&gt;300 km)"))</x:f>
        <x:v>Intermedio (70-300 km)</x:v>
      </x:c>
      <x:c r="M359" s="25" t="str">
        <x:f>IF(J359&gt;=5,"Sí","No")</x:f>
        <x:v>No</x:v>
      </x:c>
      <x:c r="N359" s="25" t="str">
        <x:f>IF(J359&gt;=6,"Sí","No")</x:f>
        <x:v>No</x:v>
      </x:c>
      <x:c r="O359" s="25" t="str">
        <x:v>Pendiente: asignar con R/sf</x:v>
      </x:c>
    </x:row>
    <x:row r="360">
      <x:c r="A360" s="25" t="n">
        <x:v>359</x:v>
      </x:c>
      <x:c r="B360" s="26" t="n">
        <x:v>43439.6696875</x:v>
      </x:c>
      <x:c r="C360" s="27" t="n">
        <x:f>INT(B360)</x:f>
        <x:v>43439</x:v>
      </x:c>
      <x:c r="D360" s="28" t="n">
        <x:f>MOD(B360,1)</x:f>
        <x:v>0.6696874999979627</x:v>
      </x:c>
      <x:c r="E360" s="29" t="n">
        <x:f>YEAR(B360)</x:f>
        <x:v>2018</x:v>
      </x:c>
      <x:c r="F360" s="29" t="n">
        <x:f>MONTH(B360)</x:f>
        <x:v>12</x:v>
      </x:c>
      <x:c r="G360" s="30" t="n">
        <x:v>-19.03</x:v>
      </x:c>
      <x:c r="H360" s="30" t="n">
        <x:v>-69.89</x:v>
      </x:c>
      <x:c r="I360" s="29" t="n">
        <x:v>38</x:v>
      </x:c>
      <x:c r="J360" s="31" t="n">
        <x:v>3.6</x:v>
      </x:c>
      <x:c r="K360" s="25" t="str">
        <x:f>IF(J360&gt;=7,"Muy fuerte (&gt;=7)",IF(J360&gt;=6,"Fuerte (6-6.9)",IF(J360&gt;=5,"Moderado alto (5-5.9)",IF(J360&gt;=4,"Moderado (4-4.9)","Menor a 4"))))</x:f>
        <x:v>Menor a 4</x:v>
      </x:c>
      <x:c r="L360" s="25" t="str">
        <x:f>IF(I360&lt;70,"Superficial (&lt;70 km)",IF(I360&lt;=300,"Intermedio (70-300 km)","Profundo (&gt;300 km)"))</x:f>
        <x:v>Superficial (&lt;70 km)</x:v>
      </x:c>
      <x:c r="M360" s="25" t="str">
        <x:f>IF(J360&gt;=5,"Sí","No")</x:f>
        <x:v>No</x:v>
      </x:c>
      <x:c r="N360" s="25" t="str">
        <x:f>IF(J360&gt;=6,"Sí","No")</x:f>
        <x:v>No</x:v>
      </x:c>
      <x:c r="O360" s="25" t="str">
        <x:v>Pendiente: asignar con R/sf</x:v>
      </x:c>
    </x:row>
    <x:row r="361">
      <x:c r="A361" s="25" t="n">
        <x:v>360</x:v>
      </x:c>
      <x:c r="B361" s="26" t="n">
        <x:v>44702.57067129629</x:v>
      </x:c>
      <x:c r="C361" s="27" t="n">
        <x:f>INT(B361)</x:f>
        <x:v>44702</x:v>
      </x:c>
      <x:c r="D361" s="28" t="n">
        <x:f>MOD(B361,1)</x:f>
        <x:v>0.5706712962928577</x:v>
      </x:c>
      <x:c r="E361" s="29" t="n">
        <x:f>YEAR(B361)</x:f>
        <x:v>2022</x:v>
      </x:c>
      <x:c r="F361" s="29" t="n">
        <x:f>MONTH(B361)</x:f>
        <x:v>5</x:v>
      </x:c>
      <x:c r="G361" s="30" t="n">
        <x:v>-20.52</x:v>
      </x:c>
      <x:c r="H361" s="30" t="n">
        <x:v>-69.2</x:v>
      </x:c>
      <x:c r="I361" s="29" t="n">
        <x:v>98</x:v>
      </x:c>
      <x:c r="J361" s="31" t="n">
        <x:v>4.3</x:v>
      </x:c>
      <x:c r="K361" s="25" t="str">
        <x:f>IF(J361&gt;=7,"Muy fuerte (&gt;=7)",IF(J361&gt;=6,"Fuerte (6-6.9)",IF(J361&gt;=5,"Moderado alto (5-5.9)",IF(J361&gt;=4,"Moderado (4-4.9)","Menor a 4"))))</x:f>
        <x:v>Moderado (4-4.9)</x:v>
      </x:c>
      <x:c r="L361" s="25" t="str">
        <x:f>IF(I361&lt;70,"Superficial (&lt;70 km)",IF(I361&lt;=300,"Intermedio (70-300 km)","Profundo (&gt;300 km)"))</x:f>
        <x:v>Intermedio (70-300 km)</x:v>
      </x:c>
      <x:c r="M361" s="25" t="str">
        <x:f>IF(J361&gt;=5,"Sí","No")</x:f>
        <x:v>No</x:v>
      </x:c>
      <x:c r="N361" s="25" t="str">
        <x:f>IF(J361&gt;=6,"Sí","No")</x:f>
        <x:v>No</x:v>
      </x:c>
      <x:c r="O361" s="25" t="str">
        <x:v>Pendiente: asignar con R/sf</x:v>
      </x:c>
    </x:row>
    <x:row r="362">
      <x:c r="A362" s="25" t="n">
        <x:v>361</x:v>
      </x:c>
      <x:c r="B362" s="26" t="n">
        <x:v>44641.84652777778</x:v>
      </x:c>
      <x:c r="C362" s="27" t="n">
        <x:f>INT(B362)</x:f>
        <x:v>44641</x:v>
      </x:c>
      <x:c r="D362" s="28" t="n">
        <x:f>MOD(B362,1)</x:f>
        <x:v>0.8465277777795563</x:v>
      </x:c>
      <x:c r="E362" s="29" t="n">
        <x:f>YEAR(B362)</x:f>
        <x:v>2022</x:v>
      </x:c>
      <x:c r="F362" s="29" t="n">
        <x:f>MONTH(B362)</x:f>
        <x:v>3</x:v>
      </x:c>
      <x:c r="G362" s="30" t="n">
        <x:v>-21.06</x:v>
      </x:c>
      <x:c r="H362" s="30" t="n">
        <x:v>-69.88</x:v>
      </x:c>
      <x:c r="I362" s="29" t="n">
        <x:v>41</x:v>
      </x:c>
      <x:c r="J362" s="31" t="n">
        <x:v>4.5</x:v>
      </x:c>
      <x:c r="K362" s="25" t="str">
        <x:f>IF(J362&gt;=7,"Muy fuerte (&gt;=7)",IF(J362&gt;=6,"Fuerte (6-6.9)",IF(J362&gt;=5,"Moderado alto (5-5.9)",IF(J362&gt;=4,"Moderado (4-4.9)","Menor a 4"))))</x:f>
        <x:v>Moderado (4-4.9)</x:v>
      </x:c>
      <x:c r="L362" s="25" t="str">
        <x:f>IF(I362&lt;70,"Superficial (&lt;70 km)",IF(I362&lt;=300,"Intermedio (70-300 km)","Profundo (&gt;300 km)"))</x:f>
        <x:v>Superficial (&lt;70 km)</x:v>
      </x:c>
      <x:c r="M362" s="25" t="str">
        <x:f>IF(J362&gt;=5,"Sí","No")</x:f>
        <x:v>No</x:v>
      </x:c>
      <x:c r="N362" s="25" t="str">
        <x:f>IF(J362&gt;=6,"Sí","No")</x:f>
        <x:v>No</x:v>
      </x:c>
      <x:c r="O362" s="25" t="str">
        <x:v>Pendiente: asignar con R/sf</x:v>
      </x:c>
    </x:row>
    <x:row r="363">
      <x:c r="A363" s="25" t="n">
        <x:v>362</x:v>
      </x:c>
      <x:c r="B363" s="26" t="n">
        <x:v>44524.91222222222</x:v>
      </x:c>
      <x:c r="C363" s="27" t="n">
        <x:f>INT(B363)</x:f>
        <x:v>44524</x:v>
      </x:c>
      <x:c r="D363" s="28" t="n">
        <x:f>MOD(B363,1)</x:f>
        <x:v>0.9122222222213168</x:v>
      </x:c>
      <x:c r="E363" s="29" t="n">
        <x:f>YEAR(B363)</x:f>
        <x:v>2021</x:v>
      </x:c>
      <x:c r="F363" s="29" t="n">
        <x:f>MONTH(B363)</x:f>
        <x:v>11</x:v>
      </x:c>
      <x:c r="G363" s="30" t="n">
        <x:v>-31.94</x:v>
      </x:c>
      <x:c r="H363" s="30" t="n">
        <x:v>-71.5</x:v>
      </x:c>
      <x:c r="I363" s="29" t="n">
        <x:v>49</x:v>
      </x:c>
      <x:c r="J363" s="31" t="n">
        <x:v>4.3</x:v>
      </x:c>
      <x:c r="K363" s="25" t="str">
        <x:f>IF(J363&gt;=7,"Muy fuerte (&gt;=7)",IF(J363&gt;=6,"Fuerte (6-6.9)",IF(J363&gt;=5,"Moderado alto (5-5.9)",IF(J363&gt;=4,"Moderado (4-4.9)","Menor a 4"))))</x:f>
        <x:v>Moderado (4-4.9)</x:v>
      </x:c>
      <x:c r="L363" s="25" t="str">
        <x:f>IF(I363&lt;70,"Superficial (&lt;70 km)",IF(I363&lt;=300,"Intermedio (70-300 km)","Profundo (&gt;300 km)"))</x:f>
        <x:v>Superficial (&lt;70 km)</x:v>
      </x:c>
      <x:c r="M363" s="25" t="str">
        <x:f>IF(J363&gt;=5,"Sí","No")</x:f>
        <x:v>No</x:v>
      </x:c>
      <x:c r="N363" s="25" t="str">
        <x:f>IF(J363&gt;=6,"Sí","No")</x:f>
        <x:v>No</x:v>
      </x:c>
      <x:c r="O363" s="25" t="str">
        <x:v>Pendiente: asignar con R/sf</x:v>
      </x:c>
    </x:row>
    <x:row r="364">
      <x:c r="A364" s="25" t="n">
        <x:v>363</x:v>
      </x:c>
      <x:c r="B364" s="26" t="n">
        <x:v>44439.54961805556</x:v>
      </x:c>
      <x:c r="C364" s="27" t="n">
        <x:f>INT(B364)</x:f>
        <x:v>44439</x:v>
      </x:c>
      <x:c r="D364" s="28" t="n">
        <x:f>MOD(B364,1)</x:f>
        <x:v>0.5496180555564933</x:v>
      </x:c>
      <x:c r="E364" s="29" t="n">
        <x:f>YEAR(B364)</x:f>
        <x:v>2021</x:v>
      </x:c>
      <x:c r="F364" s="29" t="n">
        <x:f>MONTH(B364)</x:f>
        <x:v>8</x:v>
      </x:c>
      <x:c r="G364" s="30" t="n">
        <x:v>-29.79</x:v>
      </x:c>
      <x:c r="H364" s="30" t="n">
        <x:v>-71.47</x:v>
      </x:c>
      <x:c r="I364" s="29" t="n">
        <x:v>61</x:v>
      </x:c>
      <x:c r="J364" s="31" t="n">
        <x:v>4.1</x:v>
      </x:c>
      <x:c r="K364" s="25" t="str">
        <x:f>IF(J364&gt;=7,"Muy fuerte (&gt;=7)",IF(J364&gt;=6,"Fuerte (6-6.9)",IF(J364&gt;=5,"Moderado alto (5-5.9)",IF(J364&gt;=4,"Moderado (4-4.9)","Menor a 4"))))</x:f>
        <x:v>Moderado (4-4.9)</x:v>
      </x:c>
      <x:c r="L364" s="25" t="str">
        <x:f>IF(I364&lt;70,"Superficial (&lt;70 km)",IF(I364&lt;=300,"Intermedio (70-300 km)","Profundo (&gt;300 km)"))</x:f>
        <x:v>Superficial (&lt;70 km)</x:v>
      </x:c>
      <x:c r="M364" s="25" t="str">
        <x:f>IF(J364&gt;=5,"Sí","No")</x:f>
        <x:v>No</x:v>
      </x:c>
      <x:c r="N364" s="25" t="str">
        <x:f>IF(J364&gt;=6,"Sí","No")</x:f>
        <x:v>No</x:v>
      </x:c>
      <x:c r="O364" s="25" t="str">
        <x:v>Pendiente: asignar con R/sf</x:v>
      </x:c>
    </x:row>
    <x:row r="365">
      <x:c r="A365" s="25" t="n">
        <x:v>364</x:v>
      </x:c>
      <x:c r="B365" s="26" t="n">
        <x:v>44619.652395833335</x:v>
      </x:c>
      <x:c r="C365" s="27" t="n">
        <x:f>INT(B365)</x:f>
        <x:v>44619</x:v>
      </x:c>
      <x:c r="D365" s="28" t="n">
        <x:f>MOD(B365,1)</x:f>
        <x:v>0.6523958333345945</x:v>
      </x:c>
      <x:c r="E365" s="29" t="n">
        <x:f>YEAR(B365)</x:f>
        <x:v>2022</x:v>
      </x:c>
      <x:c r="F365" s="29" t="n">
        <x:f>MONTH(B365)</x:f>
        <x:v>2</x:v>
      </x:c>
      <x:c r="G365" s="30" t="n">
        <x:v>-29.83</x:v>
      </x:c>
      <x:c r="H365" s="30" t="n">
        <x:v>-71.17</x:v>
      </x:c>
      <x:c r="I365" s="29" t="n">
        <x:v>62</x:v>
      </x:c>
      <x:c r="J365" s="31" t="n">
        <x:v>3.7</x:v>
      </x:c>
      <x:c r="K365" s="25" t="str">
        <x:f>IF(J365&gt;=7,"Muy fuerte (&gt;=7)",IF(J365&gt;=6,"Fuerte (6-6.9)",IF(J365&gt;=5,"Moderado alto (5-5.9)",IF(J365&gt;=4,"Moderado (4-4.9)","Menor a 4"))))</x:f>
        <x:v>Menor a 4</x:v>
      </x:c>
      <x:c r="L365" s="25" t="str">
        <x:f>IF(I365&lt;70,"Superficial (&lt;70 km)",IF(I365&lt;=300,"Intermedio (70-300 km)","Profundo (&gt;300 km)"))</x:f>
        <x:v>Superficial (&lt;70 km)</x:v>
      </x:c>
      <x:c r="M365" s="25" t="str">
        <x:f>IF(J365&gt;=5,"Sí","No")</x:f>
        <x:v>No</x:v>
      </x:c>
      <x:c r="N365" s="25" t="str">
        <x:f>IF(J365&gt;=6,"Sí","No")</x:f>
        <x:v>No</x:v>
      </x:c>
      <x:c r="O365" s="25" t="str">
        <x:v>Pendiente: asignar con R/sf</x:v>
      </x:c>
    </x:row>
    <x:row r="366">
      <x:c r="A366" s="25" t="n">
        <x:v>365</x:v>
      </x:c>
      <x:c r="B366" s="26" t="n">
        <x:v>44061.03061342592</x:v>
      </x:c>
      <x:c r="C366" s="27" t="n">
        <x:f>INT(B366)</x:f>
        <x:v>44061</x:v>
      </x:c>
      <x:c r="D366" s="28" t="n">
        <x:f>MOD(B366,1)</x:f>
        <x:v>0.03061342592263827</x:v>
      </x:c>
      <x:c r="E366" s="29" t="n">
        <x:f>YEAR(B366)</x:f>
        <x:v>2020</x:v>
      </x:c>
      <x:c r="F366" s="29" t="n">
        <x:f>MONTH(B366)</x:f>
        <x:v>8</x:v>
      </x:c>
      <x:c r="G366" s="30" t="n">
        <x:v>-32.11</x:v>
      </x:c>
      <x:c r="H366" s="30" t="n">
        <x:v>-71.67</x:v>
      </x:c>
      <x:c r="I366" s="29" t="n">
        <x:v>16</x:v>
      </x:c>
      <x:c r="J366" s="31" t="n">
        <x:v>3.6</x:v>
      </x:c>
      <x:c r="K366" s="25" t="str">
        <x:f>IF(J366&gt;=7,"Muy fuerte (&gt;=7)",IF(J366&gt;=6,"Fuerte (6-6.9)",IF(J366&gt;=5,"Moderado alto (5-5.9)",IF(J366&gt;=4,"Moderado (4-4.9)","Menor a 4"))))</x:f>
        <x:v>Menor a 4</x:v>
      </x:c>
      <x:c r="L366" s="25" t="str">
        <x:f>IF(I366&lt;70,"Superficial (&lt;70 km)",IF(I366&lt;=300,"Intermedio (70-300 km)","Profundo (&gt;300 km)"))</x:f>
        <x:v>Superficial (&lt;70 km)</x:v>
      </x:c>
      <x:c r="M366" s="25" t="str">
        <x:f>IF(J366&gt;=5,"Sí","No")</x:f>
        <x:v>No</x:v>
      </x:c>
      <x:c r="N366" s="25" t="str">
        <x:f>IF(J366&gt;=6,"Sí","No")</x:f>
        <x:v>No</x:v>
      </x:c>
      <x:c r="O366" s="25" t="str">
        <x:v>Pendiente: asignar con R/sf</x:v>
      </x:c>
    </x:row>
    <x:row r="367">
      <x:c r="A367" s="25" t="n">
        <x:v>366</x:v>
      </x:c>
      <x:c r="B367" s="26" t="n">
        <x:v>44579.68320601852</x:v>
      </x:c>
      <x:c r="C367" s="27" t="n">
        <x:f>INT(B367)</x:f>
        <x:v>44579</x:v>
      </x:c>
      <x:c r="D367" s="28" t="n">
        <x:f>MOD(B367,1)</x:f>
        <x:v>0.6832060185188311</x:v>
      </x:c>
      <x:c r="E367" s="29" t="n">
        <x:f>YEAR(B367)</x:f>
        <x:v>2022</x:v>
      </x:c>
      <x:c r="F367" s="29" t="n">
        <x:f>MONTH(B367)</x:f>
        <x:v>1</x:v>
      </x:c>
      <x:c r="G367" s="30" t="n">
        <x:v>-19.8</x:v>
      </x:c>
      <x:c r="H367" s="30" t="n">
        <x:v>-69.25</x:v>
      </x:c>
      <x:c r="I367" s="29" t="n">
        <x:v>121</x:v>
      </x:c>
      <x:c r="J367" s="31" t="n">
        <x:v>4.1</x:v>
      </x:c>
      <x:c r="K367" s="25" t="str">
        <x:f>IF(J367&gt;=7,"Muy fuerte (&gt;=7)",IF(J367&gt;=6,"Fuerte (6-6.9)",IF(J367&gt;=5,"Moderado alto (5-5.9)",IF(J367&gt;=4,"Moderado (4-4.9)","Menor a 4"))))</x:f>
        <x:v>Moderado (4-4.9)</x:v>
      </x:c>
      <x:c r="L367" s="25" t="str">
        <x:f>IF(I367&lt;70,"Superficial (&lt;70 km)",IF(I367&lt;=300,"Intermedio (70-300 km)","Profundo (&gt;300 km)"))</x:f>
        <x:v>Intermedio (70-300 km)</x:v>
      </x:c>
      <x:c r="M367" s="25" t="str">
        <x:f>IF(J367&gt;=5,"Sí","No")</x:f>
        <x:v>No</x:v>
      </x:c>
      <x:c r="N367" s="25" t="str">
        <x:f>IF(J367&gt;=6,"Sí","No")</x:f>
        <x:v>No</x:v>
      </x:c>
      <x:c r="O367" s="25" t="str">
        <x:v>Pendiente: asignar con R/sf</x:v>
      </x:c>
    </x:row>
    <x:row r="368">
      <x:c r="A368" s="25" t="n">
        <x:v>367</x:v>
      </x:c>
      <x:c r="B368" s="26" t="n">
        <x:v>44608.999606481484</x:v>
      </x:c>
      <x:c r="C368" s="27" t="n">
        <x:f>INT(B368)</x:f>
        <x:v>44608</x:v>
      </x:c>
      <x:c r="D368" s="28" t="n">
        <x:f>MOD(B368,1)</x:f>
        <x:v>0.9996064814840793</x:v>
      </x:c>
      <x:c r="E368" s="29" t="n">
        <x:f>YEAR(B368)</x:f>
        <x:v>2022</x:v>
      </x:c>
      <x:c r="F368" s="29" t="n">
        <x:f>MONTH(B368)</x:f>
        <x:v>2</x:v>
      </x:c>
      <x:c r="G368" s="30" t="n">
        <x:v>-29.82</x:v>
      </x:c>
      <x:c r="H368" s="30" t="n">
        <x:v>-71.07</x:v>
      </x:c>
      <x:c r="I368" s="29" t="n">
        <x:v>85</x:v>
      </x:c>
      <x:c r="J368" s="31" t="n">
        <x:v>4.2</x:v>
      </x:c>
      <x:c r="K368" s="25" t="str">
        <x:f>IF(J368&gt;=7,"Muy fuerte (&gt;=7)",IF(J368&gt;=6,"Fuerte (6-6.9)",IF(J368&gt;=5,"Moderado alto (5-5.9)",IF(J368&gt;=4,"Moderado (4-4.9)","Menor a 4"))))</x:f>
        <x:v>Moderado (4-4.9)</x:v>
      </x:c>
      <x:c r="L368" s="25" t="str">
        <x:f>IF(I368&lt;70,"Superficial (&lt;70 km)",IF(I368&lt;=300,"Intermedio (70-300 km)","Profundo (&gt;300 km)"))</x:f>
        <x:v>Intermedio (70-300 km)</x:v>
      </x:c>
      <x:c r="M368" s="25" t="str">
        <x:f>IF(J368&gt;=5,"Sí","No")</x:f>
        <x:v>No</x:v>
      </x:c>
      <x:c r="N368" s="25" t="str">
        <x:f>IF(J368&gt;=6,"Sí","No")</x:f>
        <x:v>No</x:v>
      </x:c>
      <x:c r="O368" s="25" t="str">
        <x:v>Pendiente: asignar con R/sf</x:v>
      </x:c>
    </x:row>
    <x:row r="369">
      <x:c r="A369" s="25" t="n">
        <x:v>368</x:v>
      </x:c>
      <x:c r="B369" s="26" t="n">
        <x:v>44712.02048611111</x:v>
      </x:c>
      <x:c r="C369" s="27" t="n">
        <x:f>INT(B369)</x:f>
        <x:v>44712</x:v>
      </x:c>
      <x:c r="D369" s="28" t="n">
        <x:f>MOD(B369,1)</x:f>
        <x:v>0.020486111112404615</x:v>
      </x:c>
      <x:c r="E369" s="29" t="n">
        <x:f>YEAR(B369)</x:f>
        <x:v>2022</x:v>
      </x:c>
      <x:c r="F369" s="29" t="n">
        <x:f>MONTH(B369)</x:f>
        <x:v>5</x:v>
      </x:c>
      <x:c r="G369" s="30" t="n">
        <x:v>-20.45</x:v>
      </x:c>
      <x:c r="H369" s="30" t="n">
        <x:v>-68.94</x:v>
      </x:c>
      <x:c r="I369" s="29" t="n">
        <x:v>98</x:v>
      </x:c>
      <x:c r="J369" s="31" t="n">
        <x:v>4.2</x:v>
      </x:c>
      <x:c r="K369" s="25" t="str">
        <x:f>IF(J369&gt;=7,"Muy fuerte (&gt;=7)",IF(J369&gt;=6,"Fuerte (6-6.9)",IF(J369&gt;=5,"Moderado alto (5-5.9)",IF(J369&gt;=4,"Moderado (4-4.9)","Menor a 4"))))</x:f>
        <x:v>Moderado (4-4.9)</x:v>
      </x:c>
      <x:c r="L369" s="25" t="str">
        <x:f>IF(I369&lt;70,"Superficial (&lt;70 km)",IF(I369&lt;=300,"Intermedio (70-300 km)","Profundo (&gt;300 km)"))</x:f>
        <x:v>Intermedio (70-300 km)</x:v>
      </x:c>
      <x:c r="M369" s="25" t="str">
        <x:f>IF(J369&gt;=5,"Sí","No")</x:f>
        <x:v>No</x:v>
      </x:c>
      <x:c r="N369" s="25" t="str">
        <x:f>IF(J369&gt;=6,"Sí","No")</x:f>
        <x:v>No</x:v>
      </x:c>
      <x:c r="O369" s="25" t="str">
        <x:v>Pendiente: asignar con R/sf</x:v>
      </x:c>
    </x:row>
    <x:row r="370">
      <x:c r="A370" s="25" t="n">
        <x:v>369</x:v>
      </x:c>
      <x:c r="B370" s="26" t="n">
        <x:v>43833.464050925926</x:v>
      </x:c>
      <x:c r="C370" s="27" t="n">
        <x:f>INT(B370)</x:f>
        <x:v>43833</x:v>
      </x:c>
      <x:c r="D370" s="28" t="n">
        <x:f>MOD(B370,1)</x:f>
        <x:v>0.46405092592613073</x:v>
      </x:c>
      <x:c r="E370" s="29" t="n">
        <x:f>YEAR(B370)</x:f>
        <x:v>2020</x:v>
      </x:c>
      <x:c r="F370" s="29" t="n">
        <x:f>MONTH(B370)</x:f>
        <x:v>1</x:v>
      </x:c>
      <x:c r="G370" s="30" t="n">
        <x:v>-29.75</x:v>
      </x:c>
      <x:c r="H370" s="30" t="n">
        <x:v>-71.24</x:v>
      </x:c>
      <x:c r="I370" s="29" t="n">
        <x:v>62</x:v>
      </x:c>
      <x:c r="J370" s="31" t="n">
        <x:v>3.8</x:v>
      </x:c>
      <x:c r="K370" s="25" t="str">
        <x:f>IF(J370&gt;=7,"Muy fuerte (&gt;=7)",IF(J370&gt;=6,"Fuerte (6-6.9)",IF(J370&gt;=5,"Moderado alto (5-5.9)",IF(J370&gt;=4,"Moderado (4-4.9)","Menor a 4"))))</x:f>
        <x:v>Menor a 4</x:v>
      </x:c>
      <x:c r="L370" s="25" t="str">
        <x:f>IF(I370&lt;70,"Superficial (&lt;70 km)",IF(I370&lt;=300,"Intermedio (70-300 km)","Profundo (&gt;300 km)"))</x:f>
        <x:v>Superficial (&lt;70 km)</x:v>
      </x:c>
      <x:c r="M370" s="25" t="str">
        <x:f>IF(J370&gt;=5,"Sí","No")</x:f>
        <x:v>No</x:v>
      </x:c>
      <x:c r="N370" s="25" t="str">
        <x:f>IF(J370&gt;=6,"Sí","No")</x:f>
        <x:v>No</x:v>
      </x:c>
      <x:c r="O370" s="25" t="str">
        <x:v>Pendiente: asignar con R/sf</x:v>
      </x:c>
    </x:row>
    <x:row r="371">
      <x:c r="A371" s="25" t="n">
        <x:v>370</x:v>
      </x:c>
      <x:c r="B371" s="26" t="n">
        <x:v>43492.41138888889</x:v>
      </x:c>
      <x:c r="C371" s="27" t="n">
        <x:f>INT(B371)</x:f>
        <x:v>43492</x:v>
      </x:c>
      <x:c r="D371" s="28" t="n">
        <x:f>MOD(B371,1)</x:f>
        <x:v>0.41138888888963265</x:v>
      </x:c>
      <x:c r="E371" s="29" t="n">
        <x:f>YEAR(B371)</x:f>
        <x:v>2019</x:v>
      </x:c>
      <x:c r="F371" s="29" t="n">
        <x:f>MONTH(B371)</x:f>
        <x:v>1</x:v>
      </x:c>
      <x:c r="G371" s="30" t="n">
        <x:v>-30.17</x:v>
      </x:c>
      <x:c r="H371" s="30" t="n">
        <x:v>-71.28</x:v>
      </x:c>
      <x:c r="I371" s="29" t="n">
        <x:v>70</x:v>
      </x:c>
      <x:c r="J371" s="31" t="n">
        <x:v>3.9</x:v>
      </x:c>
      <x:c r="K371" s="25" t="str">
        <x:f>IF(J371&gt;=7,"Muy fuerte (&gt;=7)",IF(J371&gt;=6,"Fuerte (6-6.9)",IF(J371&gt;=5,"Moderado alto (5-5.9)",IF(J371&gt;=4,"Moderado (4-4.9)","Menor a 4"))))</x:f>
        <x:v>Menor a 4</x:v>
      </x:c>
      <x:c r="L371" s="25" t="str">
        <x:f>IF(I371&lt;70,"Superficial (&lt;70 km)",IF(I371&lt;=300,"Intermedio (70-300 km)","Profundo (&gt;300 km)"))</x:f>
        <x:v>Intermedio (70-300 km)</x:v>
      </x:c>
      <x:c r="M371" s="25" t="str">
        <x:f>IF(J371&gt;=5,"Sí","No")</x:f>
        <x:v>No</x:v>
      </x:c>
      <x:c r="N371" s="25" t="str">
        <x:f>IF(J371&gt;=6,"Sí","No")</x:f>
        <x:v>No</x:v>
      </x:c>
      <x:c r="O371" s="25" t="str">
        <x:v>Pendiente: asignar con R/sf</x:v>
      </x:c>
    </x:row>
    <x:row r="372">
      <x:c r="A372" s="25" t="n">
        <x:v>371</x:v>
      </x:c>
      <x:c r="B372" s="26" t="n">
        <x:v>44655.966782407406</x:v>
      </x:c>
      <x:c r="C372" s="27" t="n">
        <x:f>INT(B372)</x:f>
        <x:v>44655</x:v>
      </x:c>
      <x:c r="D372" s="28" t="n">
        <x:f>MOD(B372,1)</x:f>
        <x:v>0.9667824074058444</x:v>
      </x:c>
      <x:c r="E372" s="29" t="n">
        <x:f>YEAR(B372)</x:f>
        <x:v>2022</x:v>
      </x:c>
      <x:c r="F372" s="29" t="n">
        <x:f>MONTH(B372)</x:f>
        <x:v>4</x:v>
      </x:c>
      <x:c r="G372" s="30" t="n">
        <x:v>-30.19</x:v>
      </x:c>
      <x:c r="H372" s="30" t="n">
        <x:v>-71.25</x:v>
      </x:c>
      <x:c r="I372" s="29" t="n">
        <x:v>57</x:v>
      </x:c>
      <x:c r="J372" s="31" t="n">
        <x:v>4.2</x:v>
      </x:c>
      <x:c r="K372" s="25" t="str">
        <x:f>IF(J372&gt;=7,"Muy fuerte (&gt;=7)",IF(J372&gt;=6,"Fuerte (6-6.9)",IF(J372&gt;=5,"Moderado alto (5-5.9)",IF(J372&gt;=4,"Moderado (4-4.9)","Menor a 4"))))</x:f>
        <x:v>Moderado (4-4.9)</x:v>
      </x:c>
      <x:c r="L372" s="25" t="str">
        <x:f>IF(I372&lt;70,"Superficial (&lt;70 km)",IF(I372&lt;=300,"Intermedio (70-300 km)","Profundo (&gt;300 km)"))</x:f>
        <x:v>Superficial (&lt;70 km)</x:v>
      </x:c>
      <x:c r="M372" s="25" t="str">
        <x:f>IF(J372&gt;=5,"Sí","No")</x:f>
        <x:v>No</x:v>
      </x:c>
      <x:c r="N372" s="25" t="str">
        <x:f>IF(J372&gt;=6,"Sí","No")</x:f>
        <x:v>No</x:v>
      </x:c>
      <x:c r="O372" s="25" t="str">
        <x:v>Pendiente: asignar con R/sf</x:v>
      </x:c>
    </x:row>
    <x:row r="373">
      <x:c r="A373" s="25" t="n">
        <x:v>372</x:v>
      </x:c>
      <x:c r="B373" s="26" t="n">
        <x:v>44385.126759259256</x:v>
      </x:c>
      <x:c r="C373" s="27" t="n">
        <x:f>INT(B373)</x:f>
        <x:v>44385</x:v>
      </x:c>
      <x:c r="D373" s="28" t="n">
        <x:f>MOD(B373,1)</x:f>
        <x:v>0.12675925925577758</x:v>
      </x:c>
      <x:c r="E373" s="29" t="n">
        <x:f>YEAR(B373)</x:f>
        <x:v>2021</x:v>
      </x:c>
      <x:c r="F373" s="29" t="n">
        <x:f>MONTH(B373)</x:f>
        <x:v>7</x:v>
      </x:c>
      <x:c r="G373" s="30" t="n">
        <x:v>-19.74</x:v>
      </x:c>
      <x:c r="H373" s="30" t="n">
        <x:v>-69.38</x:v>
      </x:c>
      <x:c r="I373" s="29" t="n">
        <x:v>105</x:v>
      </x:c>
      <x:c r="J373" s="31" t="n">
        <x:v>3.9</x:v>
      </x:c>
      <x:c r="K373" s="25" t="str">
        <x:f>IF(J373&gt;=7,"Muy fuerte (&gt;=7)",IF(J373&gt;=6,"Fuerte (6-6.9)",IF(J373&gt;=5,"Moderado alto (5-5.9)",IF(J373&gt;=4,"Moderado (4-4.9)","Menor a 4"))))</x:f>
        <x:v>Menor a 4</x:v>
      </x:c>
      <x:c r="L373" s="25" t="str">
        <x:f>IF(I373&lt;70,"Superficial (&lt;70 km)",IF(I373&lt;=300,"Intermedio (70-300 km)","Profundo (&gt;300 km)"))</x:f>
        <x:v>Intermedio (70-300 km)</x:v>
      </x:c>
      <x:c r="M373" s="25" t="str">
        <x:f>IF(J373&gt;=5,"Sí","No")</x:f>
        <x:v>No</x:v>
      </x:c>
      <x:c r="N373" s="25" t="str">
        <x:f>IF(J373&gt;=6,"Sí","No")</x:f>
        <x:v>No</x:v>
      </x:c>
      <x:c r="O373" s="25" t="str">
        <x:v>Pendiente: asignar con R/sf</x:v>
      </x:c>
    </x:row>
    <x:row r="374">
      <x:c r="A374" s="25" t="n">
        <x:v>373</x:v>
      </x:c>
      <x:c r="B374" s="26" t="n">
        <x:v>44055.87125</x:v>
      </x:c>
      <x:c r="C374" s="27" t="n">
        <x:f>INT(B374)</x:f>
        <x:v>44055</x:v>
      </x:c>
      <x:c r="D374" s="28" t="n">
        <x:f>MOD(B374,1)</x:f>
        <x:v>0.8712499999965075</x:v>
      </x:c>
      <x:c r="E374" s="29" t="n">
        <x:f>YEAR(B374)</x:f>
        <x:v>2020</x:v>
      </x:c>
      <x:c r="F374" s="29" t="n">
        <x:f>MONTH(B374)</x:f>
        <x:v>8</x:v>
      </x:c>
      <x:c r="G374" s="30" t="n">
        <x:v>-30.36</x:v>
      </x:c>
      <x:c r="H374" s="30" t="n">
        <x:v>-71.44</x:v>
      </x:c>
      <x:c r="I374" s="29" t="n">
        <x:v>55</x:v>
      </x:c>
      <x:c r="J374" s="31" t="n">
        <x:v>4</x:v>
      </x:c>
      <x:c r="K374" s="25" t="str">
        <x:f>IF(J374&gt;=7,"Muy fuerte (&gt;=7)",IF(J374&gt;=6,"Fuerte (6-6.9)",IF(J374&gt;=5,"Moderado alto (5-5.9)",IF(J374&gt;=4,"Moderado (4-4.9)","Menor a 4"))))</x:f>
        <x:v>Moderado (4-4.9)</x:v>
      </x:c>
      <x:c r="L374" s="25" t="str">
        <x:f>IF(I374&lt;70,"Superficial (&lt;70 km)",IF(I374&lt;=300,"Intermedio (70-300 km)","Profundo (&gt;300 km)"))</x:f>
        <x:v>Superficial (&lt;70 km)</x:v>
      </x:c>
      <x:c r="M374" s="25" t="str">
        <x:f>IF(J374&gt;=5,"Sí","No")</x:f>
        <x:v>No</x:v>
      </x:c>
      <x:c r="N374" s="25" t="str">
        <x:f>IF(J374&gt;=6,"Sí","No")</x:f>
        <x:v>No</x:v>
      </x:c>
      <x:c r="O374" s="25" t="str">
        <x:v>Pendiente: asignar con R/sf</x:v>
      </x:c>
    </x:row>
    <x:row r="375">
      <x:c r="A375" s="25" t="n">
        <x:v>374</x:v>
      </x:c>
      <x:c r="B375" s="26" t="n">
        <x:v>44319.6596875</x:v>
      </x:c>
      <x:c r="C375" s="27" t="n">
        <x:f>INT(B375)</x:f>
        <x:v>44319</x:v>
      </x:c>
      <x:c r="D375" s="28" t="n">
        <x:f>MOD(B375,1)</x:f>
        <x:v>0.6596875000032014</x:v>
      </x:c>
      <x:c r="E375" s="29" t="n">
        <x:f>YEAR(B375)</x:f>
        <x:v>2021</x:v>
      </x:c>
      <x:c r="F375" s="29" t="n">
        <x:f>MONTH(B375)</x:f>
        <x:v>5</x:v>
      </x:c>
      <x:c r="G375" s="30" t="n">
        <x:v>-19.45</x:v>
      </x:c>
      <x:c r="H375" s="30" t="n">
        <x:v>-69.42</x:v>
      </x:c>
      <x:c r="I375" s="29" t="n">
        <x:v>96</x:v>
      </x:c>
      <x:c r="J375" s="31" t="n">
        <x:v>3.7</x:v>
      </x:c>
      <x:c r="K375" s="25" t="str">
        <x:f>IF(J375&gt;=7,"Muy fuerte (&gt;=7)",IF(J375&gt;=6,"Fuerte (6-6.9)",IF(J375&gt;=5,"Moderado alto (5-5.9)",IF(J375&gt;=4,"Moderado (4-4.9)","Menor a 4"))))</x:f>
        <x:v>Menor a 4</x:v>
      </x:c>
      <x:c r="L375" s="25" t="str">
        <x:f>IF(I375&lt;70,"Superficial (&lt;70 km)",IF(I375&lt;=300,"Intermedio (70-300 km)","Profundo (&gt;300 km)"))</x:f>
        <x:v>Intermedio (70-300 km)</x:v>
      </x:c>
      <x:c r="M375" s="25" t="str">
        <x:f>IF(J375&gt;=5,"Sí","No")</x:f>
        <x:v>No</x:v>
      </x:c>
      <x:c r="N375" s="25" t="str">
        <x:f>IF(J375&gt;=6,"Sí","No")</x:f>
        <x:v>No</x:v>
      </x:c>
      <x:c r="O375" s="25" t="str">
        <x:v>Pendiente: asignar con R/sf</x:v>
      </x:c>
    </x:row>
    <x:row r="376">
      <x:c r="A376" s="25" t="n">
        <x:v>375</x:v>
      </x:c>
      <x:c r="B376" s="26" t="n">
        <x:v>44556.45792824074</x:v>
      </x:c>
      <x:c r="C376" s="27" t="n">
        <x:f>INT(B376)</x:f>
        <x:v>44556</x:v>
      </x:c>
      <x:c r="D376" s="28" t="n">
        <x:f>MOD(B376,1)</x:f>
        <x:v>0.45792824074305827</x:v>
      </x:c>
      <x:c r="E376" s="29" t="n">
        <x:f>YEAR(B376)</x:f>
        <x:v>2021</x:v>
      </x:c>
      <x:c r="F376" s="29" t="n">
        <x:f>MONTH(B376)</x:f>
        <x:v>12</x:v>
      </x:c>
      <x:c r="G376" s="30" t="n">
        <x:v>-30.16</x:v>
      </x:c>
      <x:c r="H376" s="30" t="n">
        <x:v>-71.31</x:v>
      </x:c>
      <x:c r="I376" s="29" t="n">
        <x:v>64</x:v>
      </x:c>
      <x:c r="J376" s="31" t="n">
        <x:v>3.9</x:v>
      </x:c>
      <x:c r="K376" s="25" t="str">
        <x:f>IF(J376&gt;=7,"Muy fuerte (&gt;=7)",IF(J376&gt;=6,"Fuerte (6-6.9)",IF(J376&gt;=5,"Moderado alto (5-5.9)",IF(J376&gt;=4,"Moderado (4-4.9)","Menor a 4"))))</x:f>
        <x:v>Menor a 4</x:v>
      </x:c>
      <x:c r="L376" s="25" t="str">
        <x:f>IF(I376&lt;70,"Superficial (&lt;70 km)",IF(I376&lt;=300,"Intermedio (70-300 km)","Profundo (&gt;300 km)"))</x:f>
        <x:v>Superficial (&lt;70 km)</x:v>
      </x:c>
      <x:c r="M376" s="25" t="str">
        <x:f>IF(J376&gt;=5,"Sí","No")</x:f>
        <x:v>No</x:v>
      </x:c>
      <x:c r="N376" s="25" t="str">
        <x:f>IF(J376&gt;=6,"Sí","No")</x:f>
        <x:v>No</x:v>
      </x:c>
      <x:c r="O376" s="25" t="str">
        <x:v>Pendiente: asignar con R/sf</x:v>
      </x:c>
    </x:row>
    <x:row r="377">
      <x:c r="A377" s="25" t="n">
        <x:v>376</x:v>
      </x:c>
      <x:c r="B377" s="26" t="n">
        <x:v>43654.67077546296</x:v>
      </x:c>
      <x:c r="C377" s="27" t="n">
        <x:f>INT(B377)</x:f>
        <x:v>43654</x:v>
      </x:c>
      <x:c r="D377" s="28" t="n">
        <x:f>MOD(B377,1)</x:f>
        <x:v>0.6707754629605915</x:v>
      </x:c>
      <x:c r="E377" s="29" t="n">
        <x:f>YEAR(B377)</x:f>
        <x:v>2019</x:v>
      </x:c>
      <x:c r="F377" s="29" t="n">
        <x:f>MONTH(B377)</x:f>
        <x:v>7</x:v>
      </x:c>
      <x:c r="G377" s="30" t="n">
        <x:v>-18.59</x:v>
      </x:c>
      <x:c r="H377" s="30" t="n">
        <x:v>-69.88</x:v>
      </x:c>
      <x:c r="I377" s="29" t="n">
        <x:v>86</x:v>
      </x:c>
      <x:c r="J377" s="31" t="n">
        <x:v>4</x:v>
      </x:c>
      <x:c r="K377" s="25" t="str">
        <x:f>IF(J377&gt;=7,"Muy fuerte (&gt;=7)",IF(J377&gt;=6,"Fuerte (6-6.9)",IF(J377&gt;=5,"Moderado alto (5-5.9)",IF(J377&gt;=4,"Moderado (4-4.9)","Menor a 4"))))</x:f>
        <x:v>Moderado (4-4.9)</x:v>
      </x:c>
      <x:c r="L377" s="25" t="str">
        <x:f>IF(I377&lt;70,"Superficial (&lt;70 km)",IF(I377&lt;=300,"Intermedio (70-300 km)","Profundo (&gt;300 km)"))</x:f>
        <x:v>Intermedio (70-300 km)</x:v>
      </x:c>
      <x:c r="M377" s="25" t="str">
        <x:f>IF(J377&gt;=5,"Sí","No")</x:f>
        <x:v>No</x:v>
      </x:c>
      <x:c r="N377" s="25" t="str">
        <x:f>IF(J377&gt;=6,"Sí","No")</x:f>
        <x:v>No</x:v>
      </x:c>
      <x:c r="O377" s="25" t="str">
        <x:v>Pendiente: asignar con R/sf</x:v>
      </x:c>
    </x:row>
    <x:row r="378">
      <x:c r="A378" s="25" t="n">
        <x:v>377</x:v>
      </x:c>
      <x:c r="B378" s="26" t="n">
        <x:v>44723.51892361111</x:v>
      </x:c>
      <x:c r="C378" s="27" t="n">
        <x:f>INT(B378)</x:f>
        <x:v>44723</x:v>
      </x:c>
      <x:c r="D378" s="28" t="n">
        <x:f>MOD(B378,1)</x:f>
        <x:v>0.5189236111109494</x:v>
      </x:c>
      <x:c r="E378" s="29" t="n">
        <x:f>YEAR(B378)</x:f>
        <x:v>2022</x:v>
      </x:c>
      <x:c r="F378" s="29" t="n">
        <x:f>MONTH(B378)</x:f>
        <x:v>6</x:v>
      </x:c>
      <x:c r="G378" s="30" t="n">
        <x:v>-21.14</x:v>
      </x:c>
      <x:c r="H378" s="30" t="n">
        <x:v>-68.37</x:v>
      </x:c>
      <x:c r="I378" s="29" t="n">
        <x:v>136</x:v>
      </x:c>
      <x:c r="J378" s="31" t="n">
        <x:v>4.8</x:v>
      </x:c>
      <x:c r="K378" s="25" t="str">
        <x:f>IF(J378&gt;=7,"Muy fuerte (&gt;=7)",IF(J378&gt;=6,"Fuerte (6-6.9)",IF(J378&gt;=5,"Moderado alto (5-5.9)",IF(J378&gt;=4,"Moderado (4-4.9)","Menor a 4"))))</x:f>
        <x:v>Moderado (4-4.9)</x:v>
      </x:c>
      <x:c r="L378" s="25" t="str">
        <x:f>IF(I378&lt;70,"Superficial (&lt;70 km)",IF(I378&lt;=300,"Intermedio (70-300 km)","Profundo (&gt;300 km)"))</x:f>
        <x:v>Intermedio (70-300 km)</x:v>
      </x:c>
      <x:c r="M378" s="25" t="str">
        <x:f>IF(J378&gt;=5,"Sí","No")</x:f>
        <x:v>No</x:v>
      </x:c>
      <x:c r="N378" s="25" t="str">
        <x:f>IF(J378&gt;=6,"Sí","No")</x:f>
        <x:v>No</x:v>
      </x:c>
      <x:c r="O378" s="25" t="str">
        <x:v>Pendiente: asignar con R/sf</x:v>
      </x:c>
    </x:row>
    <x:row r="379">
      <x:c r="A379" s="25" t="n">
        <x:v>378</x:v>
      </x:c>
      <x:c r="B379" s="26" t="n">
        <x:v>44012.63898148148</x:v>
      </x:c>
      <x:c r="C379" s="27" t="n">
        <x:f>INT(B379)</x:f>
        <x:v>44012</x:v>
      </x:c>
      <x:c r="D379" s="28" t="n">
        <x:f>MOD(B379,1)</x:f>
        <x:v>0.6389814814829151</x:v>
      </x:c>
      <x:c r="E379" s="29" t="n">
        <x:f>YEAR(B379)</x:f>
        <x:v>2020</x:v>
      </x:c>
      <x:c r="F379" s="29" t="n">
        <x:f>MONTH(B379)</x:f>
        <x:v>6</x:v>
      </x:c>
      <x:c r="G379" s="30" t="n">
        <x:v>-30.07</x:v>
      </x:c>
      <x:c r="H379" s="30" t="n">
        <x:v>-71.4</x:v>
      </x:c>
      <x:c r="I379" s="29" t="n">
        <x:v>50</x:v>
      </x:c>
      <x:c r="J379" s="31" t="n">
        <x:v>3.4</x:v>
      </x:c>
      <x:c r="K379" s="25" t="str">
        <x:f>IF(J379&gt;=7,"Muy fuerte (&gt;=7)",IF(J379&gt;=6,"Fuerte (6-6.9)",IF(J379&gt;=5,"Moderado alto (5-5.9)",IF(J379&gt;=4,"Moderado (4-4.9)","Menor a 4"))))</x:f>
        <x:v>Menor a 4</x:v>
      </x:c>
      <x:c r="L379" s="25" t="str">
        <x:f>IF(I379&lt;70,"Superficial (&lt;70 km)",IF(I379&lt;=300,"Intermedio (70-300 km)","Profundo (&gt;300 km)"))</x:f>
        <x:v>Superficial (&lt;70 km)</x:v>
      </x:c>
      <x:c r="M379" s="25" t="str">
        <x:f>IF(J379&gt;=5,"Sí","No")</x:f>
        <x:v>No</x:v>
      </x:c>
      <x:c r="N379" s="25" t="str">
        <x:f>IF(J379&gt;=6,"Sí","No")</x:f>
        <x:v>No</x:v>
      </x:c>
      <x:c r="O379" s="25" t="str">
        <x:v>Pendiente: asignar con R/sf</x:v>
      </x:c>
    </x:row>
    <x:row r="380">
      <x:c r="A380" s="25" t="n">
        <x:v>379</x:v>
      </x:c>
      <x:c r="B380" s="26" t="n">
        <x:v>44505.78357638889</x:v>
      </x:c>
      <x:c r="C380" s="27" t="n">
        <x:f>INT(B380)</x:f>
        <x:v>44505</x:v>
      </x:c>
      <x:c r="D380" s="28" t="n">
        <x:f>MOD(B380,1)</x:f>
        <x:v>0.7835763888870133</x:v>
      </x:c>
      <x:c r="E380" s="29" t="n">
        <x:f>YEAR(B380)</x:f>
        <x:v>2021</x:v>
      </x:c>
      <x:c r="F380" s="29" t="n">
        <x:f>MONTH(B380)</x:f>
        <x:v>11</x:v>
      </x:c>
      <x:c r="G380" s="30" t="n">
        <x:v>-19.2</x:v>
      </x:c>
      <x:c r="H380" s="30" t="n">
        <x:v>-69.66</x:v>
      </x:c>
      <x:c r="I380" s="29" t="n">
        <x:v>87</x:v>
      </x:c>
      <x:c r="J380" s="31" t="n">
        <x:v>4.1</x:v>
      </x:c>
      <x:c r="K380" s="25" t="str">
        <x:f>IF(J380&gt;=7,"Muy fuerte (&gt;=7)",IF(J380&gt;=6,"Fuerte (6-6.9)",IF(J380&gt;=5,"Moderado alto (5-5.9)",IF(J380&gt;=4,"Moderado (4-4.9)","Menor a 4"))))</x:f>
        <x:v>Moderado (4-4.9)</x:v>
      </x:c>
      <x:c r="L380" s="25" t="str">
        <x:f>IF(I380&lt;70,"Superficial (&lt;70 km)",IF(I380&lt;=300,"Intermedio (70-300 km)","Profundo (&gt;300 km)"))</x:f>
        <x:v>Intermedio (70-300 km)</x:v>
      </x:c>
      <x:c r="M380" s="25" t="str">
        <x:f>IF(J380&gt;=5,"Sí","No")</x:f>
        <x:v>No</x:v>
      </x:c>
      <x:c r="N380" s="25" t="str">
        <x:f>IF(J380&gt;=6,"Sí","No")</x:f>
        <x:v>No</x:v>
      </x:c>
      <x:c r="O380" s="25" t="str">
        <x:v>Pendiente: asignar con R/sf</x:v>
      </x:c>
    </x:row>
    <x:row r="381">
      <x:c r="A381" s="25" t="n">
        <x:v>380</x:v>
      </x:c>
      <x:c r="B381" s="26" t="n">
        <x:v>44601.86935185185</x:v>
      </x:c>
      <x:c r="C381" s="27" t="n">
        <x:f>INT(B381)</x:f>
        <x:v>44601</x:v>
      </x:c>
      <x:c r="D381" s="28" t="n">
        <x:f>MOD(B381,1)</x:f>
        <x:v>0.869351851848478</x:v>
      </x:c>
      <x:c r="E381" s="29" t="n">
        <x:f>YEAR(B381)</x:f>
        <x:v>2022</x:v>
      </x:c>
      <x:c r="F381" s="29" t="n">
        <x:f>MONTH(B381)</x:f>
        <x:v>2</x:v>
      </x:c>
      <x:c r="G381" s="30" t="n">
        <x:v>-19.53</x:v>
      </x:c>
      <x:c r="H381" s="30" t="n">
        <x:v>-69.27</x:v>
      </x:c>
      <x:c r="I381" s="29" t="n">
        <x:v>5</x:v>
      </x:c>
      <x:c r="J381" s="31" t="n">
        <x:v>3.5</x:v>
      </x:c>
      <x:c r="K381" s="25" t="str">
        <x:f>IF(J381&gt;=7,"Muy fuerte (&gt;=7)",IF(J381&gt;=6,"Fuerte (6-6.9)",IF(J381&gt;=5,"Moderado alto (5-5.9)",IF(J381&gt;=4,"Moderado (4-4.9)","Menor a 4"))))</x:f>
        <x:v>Menor a 4</x:v>
      </x:c>
      <x:c r="L381" s="25" t="str">
        <x:f>IF(I381&lt;70,"Superficial (&lt;70 km)",IF(I381&lt;=300,"Intermedio (70-300 km)","Profundo (&gt;300 km)"))</x:f>
        <x:v>Superficial (&lt;70 km)</x:v>
      </x:c>
      <x:c r="M381" s="25" t="str">
        <x:f>IF(J381&gt;=5,"Sí","No")</x:f>
        <x:v>No</x:v>
      </x:c>
      <x:c r="N381" s="25" t="str">
        <x:f>IF(J381&gt;=6,"Sí","No")</x:f>
        <x:v>No</x:v>
      </x:c>
      <x:c r="O381" s="25" t="str">
        <x:v>Pendiente: asignar con R/sf</x:v>
      </x:c>
    </x:row>
    <x:row r="382">
      <x:c r="A382" s="25" t="n">
        <x:v>381</x:v>
      </x:c>
      <x:c r="B382" s="26" t="n">
        <x:v>44563.59113425926</x:v>
      </x:c>
      <x:c r="C382" s="27" t="n">
        <x:f>INT(B382)</x:f>
        <x:v>44563</x:v>
      </x:c>
      <x:c r="D382" s="28" t="n">
        <x:f>MOD(B382,1)</x:f>
        <x:v>0.591134259258979</x:v>
      </x:c>
      <x:c r="E382" s="29" t="n">
        <x:f>YEAR(B382)</x:f>
        <x:v>2022</x:v>
      </x:c>
      <x:c r="F382" s="29" t="n">
        <x:f>MONTH(B382)</x:f>
        <x:v>1</x:v>
      </x:c>
      <x:c r="G382" s="30" t="n">
        <x:v>-29.92</x:v>
      </x:c>
      <x:c r="H382" s="30" t="n">
        <x:v>-71.38</x:v>
      </x:c>
      <x:c r="I382" s="29" t="n">
        <x:v>50</x:v>
      </x:c>
      <x:c r="J382" s="31" t="n">
        <x:v>3.5</x:v>
      </x:c>
      <x:c r="K382" s="25" t="str">
        <x:f>IF(J382&gt;=7,"Muy fuerte (&gt;=7)",IF(J382&gt;=6,"Fuerte (6-6.9)",IF(J382&gt;=5,"Moderado alto (5-5.9)",IF(J382&gt;=4,"Moderado (4-4.9)","Menor a 4"))))</x:f>
        <x:v>Menor a 4</x:v>
      </x:c>
      <x:c r="L382" s="25" t="str">
        <x:f>IF(I382&lt;70,"Superficial (&lt;70 km)",IF(I382&lt;=300,"Intermedio (70-300 km)","Profundo (&gt;300 km)"))</x:f>
        <x:v>Superficial (&lt;70 km)</x:v>
      </x:c>
      <x:c r="M382" s="25" t="str">
        <x:f>IF(J382&gt;=5,"Sí","No")</x:f>
        <x:v>No</x:v>
      </x:c>
      <x:c r="N382" s="25" t="str">
        <x:f>IF(J382&gt;=6,"Sí","No")</x:f>
        <x:v>No</x:v>
      </x:c>
      <x:c r="O382" s="25" t="str">
        <x:v>Pendiente: asignar con R/sf</x:v>
      </x:c>
    </x:row>
    <x:row r="383">
      <x:c r="A383" s="25" t="n">
        <x:v>382</x:v>
      </x:c>
      <x:c r="B383" s="26" t="n">
        <x:v>44643.63880787037</x:v>
      </x:c>
      <x:c r="C383" s="27" t="n">
        <x:f>INT(B383)</x:f>
        <x:v>44643</x:v>
      </x:c>
      <x:c r="D383" s="28" t="n">
        <x:f>MOD(B383,1)</x:f>
        <x:v>0.6388078703676001</x:v>
      </x:c>
      <x:c r="E383" s="29" t="n">
        <x:f>YEAR(B383)</x:f>
        <x:v>2022</x:v>
      </x:c>
      <x:c r="F383" s="29" t="n">
        <x:f>MONTH(B383)</x:f>
        <x:v>3</x:v>
      </x:c>
      <x:c r="G383" s="30" t="n">
        <x:v>-19.45</x:v>
      </x:c>
      <x:c r="H383" s="30" t="n">
        <x:v>-69.37</x:v>
      </x:c>
      <x:c r="I383" s="29" t="n">
        <x:v>97</x:v>
      </x:c>
      <x:c r="J383" s="31" t="n">
        <x:v>4.3</x:v>
      </x:c>
      <x:c r="K383" s="25" t="str">
        <x:f>IF(J383&gt;=7,"Muy fuerte (&gt;=7)",IF(J383&gt;=6,"Fuerte (6-6.9)",IF(J383&gt;=5,"Moderado alto (5-5.9)",IF(J383&gt;=4,"Moderado (4-4.9)","Menor a 4"))))</x:f>
        <x:v>Moderado (4-4.9)</x:v>
      </x:c>
      <x:c r="L383" s="25" t="str">
        <x:f>IF(I383&lt;70,"Superficial (&lt;70 km)",IF(I383&lt;=300,"Intermedio (70-300 km)","Profundo (&gt;300 km)"))</x:f>
        <x:v>Intermedio (70-300 km)</x:v>
      </x:c>
      <x:c r="M383" s="25" t="str">
        <x:f>IF(J383&gt;=5,"Sí","No")</x:f>
        <x:v>No</x:v>
      </x:c>
      <x:c r="N383" s="25" t="str">
        <x:f>IF(J383&gt;=6,"Sí","No")</x:f>
        <x:v>No</x:v>
      </x:c>
      <x:c r="O383" s="25" t="str">
        <x:v>Pendiente: asignar con R/sf</x:v>
      </x:c>
    </x:row>
    <x:row r="384">
      <x:c r="A384" s="25" t="n">
        <x:v>383</x:v>
      </x:c>
      <x:c r="B384" s="26" t="n">
        <x:v>44343.00861111111</x:v>
      </x:c>
      <x:c r="C384" s="27" t="n">
        <x:f>INT(B384)</x:f>
        <x:v>44343</x:v>
      </x:c>
      <x:c r="D384" s="28" t="n">
        <x:f>MOD(B384,1)</x:f>
        <x:v>0.008611111108621117</x:v>
      </x:c>
      <x:c r="E384" s="29" t="n">
        <x:f>YEAR(B384)</x:f>
        <x:v>2021</x:v>
      </x:c>
      <x:c r="F384" s="29" t="n">
        <x:f>MONTH(B384)</x:f>
        <x:v>5</x:v>
      </x:c>
      <x:c r="G384" s="30" t="n">
        <x:v>-19.19</x:v>
      </x:c>
      <x:c r="H384" s="30" t="n">
        <x:v>-69.46</x:v>
      </x:c>
      <x:c r="I384" s="29" t="n">
        <x:v>100</x:v>
      </x:c>
      <x:c r="J384" s="31" t="n">
        <x:v>4.1</x:v>
      </x:c>
      <x:c r="K384" s="25" t="str">
        <x:f>IF(J384&gt;=7,"Muy fuerte (&gt;=7)",IF(J384&gt;=6,"Fuerte (6-6.9)",IF(J384&gt;=5,"Moderado alto (5-5.9)",IF(J384&gt;=4,"Moderado (4-4.9)","Menor a 4"))))</x:f>
        <x:v>Moderado (4-4.9)</x:v>
      </x:c>
      <x:c r="L384" s="25" t="str">
        <x:f>IF(I384&lt;70,"Superficial (&lt;70 km)",IF(I384&lt;=300,"Intermedio (70-300 km)","Profundo (&gt;300 km)"))</x:f>
        <x:v>Intermedio (70-300 km)</x:v>
      </x:c>
      <x:c r="M384" s="25" t="str">
        <x:f>IF(J384&gt;=5,"Sí","No")</x:f>
        <x:v>No</x:v>
      </x:c>
      <x:c r="N384" s="25" t="str">
        <x:f>IF(J384&gt;=6,"Sí","No")</x:f>
        <x:v>No</x:v>
      </x:c>
      <x:c r="O384" s="25" t="str">
        <x:v>Pendiente: asignar con R/sf</x:v>
      </x:c>
    </x:row>
    <x:row r="385">
      <x:c r="A385" s="25" t="n">
        <x:v>384</x:v>
      </x:c>
      <x:c r="B385" s="26" t="n">
        <x:v>44226.03586805556</x:v>
      </x:c>
      <x:c r="C385" s="27" t="n">
        <x:f>INT(B385)</x:f>
        <x:v>44226</x:v>
      </x:c>
      <x:c r="D385" s="28" t="n">
        <x:f>MOD(B385,1)</x:f>
        <x:v>0.035868055558239575</x:v>
      </x:c>
      <x:c r="E385" s="29" t="n">
        <x:f>YEAR(B385)</x:f>
        <x:v>2021</x:v>
      </x:c>
      <x:c r="F385" s="29" t="n">
        <x:f>MONTH(B385)</x:f>
        <x:v>1</x:v>
      </x:c>
      <x:c r="G385" s="30" t="n">
        <x:v>-32.3</x:v>
      </x:c>
      <x:c r="H385" s="30" t="n">
        <x:v>-71.58</x:v>
      </x:c>
      <x:c r="I385" s="29" t="n">
        <x:v>58</x:v>
      </x:c>
      <x:c r="J385" s="31" t="n">
        <x:v>4.2</x:v>
      </x:c>
      <x:c r="K385" s="25" t="str">
        <x:f>IF(J385&gt;=7,"Muy fuerte (&gt;=7)",IF(J385&gt;=6,"Fuerte (6-6.9)",IF(J385&gt;=5,"Moderado alto (5-5.9)",IF(J385&gt;=4,"Moderado (4-4.9)","Menor a 4"))))</x:f>
        <x:v>Moderado (4-4.9)</x:v>
      </x:c>
      <x:c r="L385" s="25" t="str">
        <x:f>IF(I385&lt;70,"Superficial (&lt;70 km)",IF(I385&lt;=300,"Intermedio (70-300 km)","Profundo (&gt;300 km)"))</x:f>
        <x:v>Superficial (&lt;70 km)</x:v>
      </x:c>
      <x:c r="M385" s="25" t="str">
        <x:f>IF(J385&gt;=5,"Sí","No")</x:f>
        <x:v>No</x:v>
      </x:c>
      <x:c r="N385" s="25" t="str">
        <x:f>IF(J385&gt;=6,"Sí","No")</x:f>
        <x:v>No</x:v>
      </x:c>
      <x:c r="O385" s="25" t="str">
        <x:v>Pendiente: asignar con R/sf</x:v>
      </x:c>
    </x:row>
    <x:row r="386">
      <x:c r="A386" s="25" t="n">
        <x:v>385</x:v>
      </x:c>
      <x:c r="B386" s="26" t="n">
        <x:v>44281.3809375</x:v>
      </x:c>
      <x:c r="C386" s="27" t="n">
        <x:f>INT(B386)</x:f>
        <x:v>44281</x:v>
      </x:c>
      <x:c r="D386" s="28" t="n">
        <x:f>MOD(B386,1)</x:f>
        <x:v>0.38093749999825377</x:v>
      </x:c>
      <x:c r="E386" s="29" t="n">
        <x:f>YEAR(B386)</x:f>
        <x:v>2021</x:v>
      </x:c>
      <x:c r="F386" s="29" t="n">
        <x:f>MONTH(B386)</x:f>
        <x:v>3</x:v>
      </x:c>
      <x:c r="G386" s="30" t="n">
        <x:v>-32.13</x:v>
      </x:c>
      <x:c r="H386" s="30" t="n">
        <x:v>-71.68</x:v>
      </x:c>
      <x:c r="I386" s="29" t="n">
        <x:v>34</x:v>
      </x:c>
      <x:c r="J386" s="31" t="n">
        <x:v>4.1</x:v>
      </x:c>
      <x:c r="K386" s="25" t="str">
        <x:f>IF(J386&gt;=7,"Muy fuerte (&gt;=7)",IF(J386&gt;=6,"Fuerte (6-6.9)",IF(J386&gt;=5,"Moderado alto (5-5.9)",IF(J386&gt;=4,"Moderado (4-4.9)","Menor a 4"))))</x:f>
        <x:v>Moderado (4-4.9)</x:v>
      </x:c>
      <x:c r="L386" s="25" t="str">
        <x:f>IF(I386&lt;70,"Superficial (&lt;70 km)",IF(I386&lt;=300,"Intermedio (70-300 km)","Profundo (&gt;300 km)"))</x:f>
        <x:v>Superficial (&lt;70 km)</x:v>
      </x:c>
      <x:c r="M386" s="25" t="str">
        <x:f>IF(J386&gt;=5,"Sí","No")</x:f>
        <x:v>No</x:v>
      </x:c>
      <x:c r="N386" s="25" t="str">
        <x:f>IF(J386&gt;=6,"Sí","No")</x:f>
        <x:v>No</x:v>
      </x:c>
      <x:c r="O386" s="25" t="str">
        <x:v>Pendiente: asignar con R/sf</x:v>
      </x:c>
    </x:row>
    <x:row r="387">
      <x:c r="A387" s="25" t="n">
        <x:v>386</x:v>
      </x:c>
      <x:c r="B387" s="26" t="n">
        <x:v>43700.3019212963</x:v>
      </x:c>
      <x:c r="C387" s="27" t="n">
        <x:f>INT(B387)</x:f>
        <x:v>43700</x:v>
      </x:c>
      <x:c r="D387" s="28" t="n">
        <x:f>MOD(B387,1)</x:f>
        <x:v>0.3019212962972233</x:v>
      </x:c>
      <x:c r="E387" s="29" t="n">
        <x:f>YEAR(B387)</x:f>
        <x:v>2019</x:v>
      </x:c>
      <x:c r="F387" s="29" t="n">
        <x:f>MONTH(B387)</x:f>
        <x:v>8</x:v>
      </x:c>
      <x:c r="G387" s="30" t="n">
        <x:v>-30.16</x:v>
      </x:c>
      <x:c r="H387" s="30" t="n">
        <x:v>-71.3</x:v>
      </x:c>
      <x:c r="I387" s="29" t="n">
        <x:v>66</x:v>
      </x:c>
      <x:c r="J387" s="31" t="n">
        <x:v>3.5</x:v>
      </x:c>
      <x:c r="K387" s="25" t="str">
        <x:f>IF(J387&gt;=7,"Muy fuerte (&gt;=7)",IF(J387&gt;=6,"Fuerte (6-6.9)",IF(J387&gt;=5,"Moderado alto (5-5.9)",IF(J387&gt;=4,"Moderado (4-4.9)","Menor a 4"))))</x:f>
        <x:v>Menor a 4</x:v>
      </x:c>
      <x:c r="L387" s="25" t="str">
        <x:f>IF(I387&lt;70,"Superficial (&lt;70 km)",IF(I387&lt;=300,"Intermedio (70-300 km)","Profundo (&gt;300 km)"))</x:f>
        <x:v>Superficial (&lt;70 km)</x:v>
      </x:c>
      <x:c r="M387" s="25" t="str">
        <x:f>IF(J387&gt;=5,"Sí","No")</x:f>
        <x:v>No</x:v>
      </x:c>
      <x:c r="N387" s="25" t="str">
        <x:f>IF(J387&gt;=6,"Sí","No")</x:f>
        <x:v>No</x:v>
      </x:c>
      <x:c r="O387" s="25" t="str">
        <x:v>Pendiente: asignar con R/sf</x:v>
      </x:c>
    </x:row>
    <x:row r="388">
      <x:c r="A388" s="25" t="n">
        <x:v>387</x:v>
      </x:c>
      <x:c r="B388" s="26" t="n">
        <x:v>44342.94403935185</x:v>
      </x:c>
      <x:c r="C388" s="27" t="n">
        <x:f>INT(B388)</x:f>
        <x:v>44342</x:v>
      </x:c>
      <x:c r="D388" s="28" t="n">
        <x:f>MOD(B388,1)</x:f>
        <x:v>0.9440393518525525</x:v>
      </x:c>
      <x:c r="E388" s="29" t="n">
        <x:f>YEAR(B388)</x:f>
        <x:v>2021</x:v>
      </x:c>
      <x:c r="F388" s="29" t="n">
        <x:f>MONTH(B388)</x:f>
        <x:v>5</x:v>
      </x:c>
      <x:c r="G388" s="30" t="n">
        <x:v>-20</x:v>
      </x:c>
      <x:c r="H388" s="30" t="n">
        <x:v>-69.15</x:v>
      </x:c>
      <x:c r="I388" s="29" t="n">
        <x:v>96</x:v>
      </x:c>
      <x:c r="J388" s="31" t="n">
        <x:v>3.8</x:v>
      </x:c>
      <x:c r="K388" s="25" t="str">
        <x:f>IF(J388&gt;=7,"Muy fuerte (&gt;=7)",IF(J388&gt;=6,"Fuerte (6-6.9)",IF(J388&gt;=5,"Moderado alto (5-5.9)",IF(J388&gt;=4,"Moderado (4-4.9)","Menor a 4"))))</x:f>
        <x:v>Menor a 4</x:v>
      </x:c>
      <x:c r="L388" s="25" t="str">
        <x:f>IF(I388&lt;70,"Superficial (&lt;70 km)",IF(I388&lt;=300,"Intermedio (70-300 km)","Profundo (&gt;300 km)"))</x:f>
        <x:v>Intermedio (70-300 km)</x:v>
      </x:c>
      <x:c r="M388" s="25" t="str">
        <x:f>IF(J388&gt;=5,"Sí","No")</x:f>
        <x:v>No</x:v>
      </x:c>
      <x:c r="N388" s="25" t="str">
        <x:f>IF(J388&gt;=6,"Sí","No")</x:f>
        <x:v>No</x:v>
      </x:c>
      <x:c r="O388" s="25" t="str">
        <x:v>Pendiente: asignar con R/sf</x:v>
      </x:c>
    </x:row>
    <x:row r="389">
      <x:c r="A389" s="25" t="n">
        <x:v>388</x:v>
      </x:c>
      <x:c r="B389" s="26" t="n">
        <x:v>43698.022939814815</x:v>
      </x:c>
      <x:c r="C389" s="27" t="n">
        <x:f>INT(B389)</x:f>
        <x:v>43698</x:v>
      </x:c>
      <x:c r="D389" s="28" t="n">
        <x:f>MOD(B389,1)</x:f>
        <x:v>0.02293981481489027</x:v>
      </x:c>
      <x:c r="E389" s="29" t="n">
        <x:f>YEAR(B389)</x:f>
        <x:v>2019</x:v>
      </x:c>
      <x:c r="F389" s="29" t="n">
        <x:f>MONTH(B389)</x:f>
        <x:v>8</x:v>
      </x:c>
      <x:c r="G389" s="30" t="n">
        <x:v>-19.46</x:v>
      </x:c>
      <x:c r="H389" s="30" t="n">
        <x:v>-69.62</x:v>
      </x:c>
      <x:c r="I389" s="29" t="n">
        <x:v>17</x:v>
      </x:c>
      <x:c r="J389" s="31" t="n">
        <x:v>3.5</x:v>
      </x:c>
      <x:c r="K389" s="25" t="str">
        <x:f>IF(J389&gt;=7,"Muy fuerte (&gt;=7)",IF(J389&gt;=6,"Fuerte (6-6.9)",IF(J389&gt;=5,"Moderado alto (5-5.9)",IF(J389&gt;=4,"Moderado (4-4.9)","Menor a 4"))))</x:f>
        <x:v>Menor a 4</x:v>
      </x:c>
      <x:c r="L389" s="25" t="str">
        <x:f>IF(I389&lt;70,"Superficial (&lt;70 km)",IF(I389&lt;=300,"Intermedio (70-300 km)","Profundo (&gt;300 km)"))</x:f>
        <x:v>Superficial (&lt;70 km)</x:v>
      </x:c>
      <x:c r="M389" s="25" t="str">
        <x:f>IF(J389&gt;=5,"Sí","No")</x:f>
        <x:v>No</x:v>
      </x:c>
      <x:c r="N389" s="25" t="str">
        <x:f>IF(J389&gt;=6,"Sí","No")</x:f>
        <x:v>No</x:v>
      </x:c>
      <x:c r="O389" s="25" t="str">
        <x:v>Pendiente: asignar con R/sf</x:v>
      </x:c>
    </x:row>
    <x:row r="390">
      <x:c r="A390" s="25" t="n">
        <x:v>389</x:v>
      </x:c>
      <x:c r="B390" s="26" t="n">
        <x:v>44476.41409722222</x:v>
      </x:c>
      <x:c r="C390" s="27" t="n">
        <x:f>INT(B390)</x:f>
        <x:v>44476</x:v>
      </x:c>
      <x:c r="D390" s="28" t="n">
        <x:f>MOD(B390,1)</x:f>
        <x:v>0.414097222223063</x:v>
      </x:c>
      <x:c r="E390" s="29" t="n">
        <x:f>YEAR(B390)</x:f>
        <x:v>2021</x:v>
      </x:c>
      <x:c r="F390" s="29" t="n">
        <x:f>MONTH(B390)</x:f>
        <x:v>10</x:v>
      </x:c>
      <x:c r="G390" s="30" t="n">
        <x:v>-29.38</x:v>
      </x:c>
      <x:c r="H390" s="30" t="n">
        <x:v>-71.08</x:v>
      </x:c>
      <x:c r="I390" s="29" t="n">
        <x:v>80</x:v>
      </x:c>
      <x:c r="J390" s="31" t="n">
        <x:v>3.9</x:v>
      </x:c>
      <x:c r="K390" s="25" t="str">
        <x:f>IF(J390&gt;=7,"Muy fuerte (&gt;=7)",IF(J390&gt;=6,"Fuerte (6-6.9)",IF(J390&gt;=5,"Moderado alto (5-5.9)",IF(J390&gt;=4,"Moderado (4-4.9)","Menor a 4"))))</x:f>
        <x:v>Menor a 4</x:v>
      </x:c>
      <x:c r="L390" s="25" t="str">
        <x:f>IF(I390&lt;70,"Superficial (&lt;70 km)",IF(I390&lt;=300,"Intermedio (70-300 km)","Profundo (&gt;300 km)"))</x:f>
        <x:v>Intermedio (70-300 km)</x:v>
      </x:c>
      <x:c r="M390" s="25" t="str">
        <x:f>IF(J390&gt;=5,"Sí","No")</x:f>
        <x:v>No</x:v>
      </x:c>
      <x:c r="N390" s="25" t="str">
        <x:f>IF(J390&gt;=6,"Sí","No")</x:f>
        <x:v>No</x:v>
      </x:c>
      <x:c r="O390" s="25" t="str">
        <x:v>Pendiente: asignar con R/sf</x:v>
      </x:c>
    </x:row>
    <x:row r="391">
      <x:c r="A391" s="25" t="n">
        <x:v>390</x:v>
      </x:c>
      <x:c r="B391" s="26" t="n">
        <x:v>43827.54278935185</x:v>
      </x:c>
      <x:c r="C391" s="27" t="n">
        <x:f>INT(B391)</x:f>
        <x:v>43827</x:v>
      </x:c>
      <x:c r="D391" s="28" t="n">
        <x:f>MOD(B391,1)</x:f>
        <x:v>0.5427893518499332</x:v>
      </x:c>
      <x:c r="E391" s="29" t="n">
        <x:f>YEAR(B391)</x:f>
        <x:v>2019</x:v>
      </x:c>
      <x:c r="F391" s="29" t="n">
        <x:f>MONTH(B391)</x:f>
        <x:v>12</x:v>
      </x:c>
      <x:c r="G391" s="30" t="n">
        <x:v>-29.85</x:v>
      </x:c>
      <x:c r="H391" s="30" t="n">
        <x:v>-71.42</x:v>
      </x:c>
      <x:c r="I391" s="29" t="n">
        <x:v>42</x:v>
      </x:c>
      <x:c r="J391" s="31" t="n">
        <x:v>3.6</x:v>
      </x:c>
      <x:c r="K391" s="25" t="str">
        <x:f>IF(J391&gt;=7,"Muy fuerte (&gt;=7)",IF(J391&gt;=6,"Fuerte (6-6.9)",IF(J391&gt;=5,"Moderado alto (5-5.9)",IF(J391&gt;=4,"Moderado (4-4.9)","Menor a 4"))))</x:f>
        <x:v>Menor a 4</x:v>
      </x:c>
      <x:c r="L391" s="25" t="str">
        <x:f>IF(I391&lt;70,"Superficial (&lt;70 km)",IF(I391&lt;=300,"Intermedio (70-300 km)","Profundo (&gt;300 km)"))</x:f>
        <x:v>Superficial (&lt;70 km)</x:v>
      </x:c>
      <x:c r="M391" s="25" t="str">
        <x:f>IF(J391&gt;=5,"Sí","No")</x:f>
        <x:v>No</x:v>
      </x:c>
      <x:c r="N391" s="25" t="str">
        <x:f>IF(J391&gt;=6,"Sí","No")</x:f>
        <x:v>No</x:v>
      </x:c>
      <x:c r="O391" s="25" t="str">
        <x:v>Pendiente: asignar con R/sf</x:v>
      </x:c>
    </x:row>
    <x:row r="392">
      <x:c r="A392" s="25" t="n">
        <x:v>391</x:v>
      </x:c>
      <x:c r="B392" s="26" t="n">
        <x:v>44333.81508101852</x:v>
      </x:c>
      <x:c r="C392" s="27" t="n">
        <x:f>INT(B392)</x:f>
        <x:v>44333</x:v>
      </x:c>
      <x:c r="D392" s="28" t="n">
        <x:f>MOD(B392,1)</x:f>
        <x:v>0.815081018517958</x:v>
      </x:c>
      <x:c r="E392" s="29" t="n">
        <x:f>YEAR(B392)</x:f>
        <x:v>2021</x:v>
      </x:c>
      <x:c r="F392" s="29" t="n">
        <x:f>MONTH(B392)</x:f>
        <x:v>5</x:v>
      </x:c>
      <x:c r="G392" s="30" t="n">
        <x:v>-30.19</x:v>
      </x:c>
      <x:c r="H392" s="30" t="n">
        <x:v>-71.3</x:v>
      </x:c>
      <x:c r="I392" s="29" t="n">
        <x:v>64</x:v>
      </x:c>
      <x:c r="J392" s="31" t="n">
        <x:v>3.4</x:v>
      </x:c>
      <x:c r="K392" s="25" t="str">
        <x:f>IF(J392&gt;=7,"Muy fuerte (&gt;=7)",IF(J392&gt;=6,"Fuerte (6-6.9)",IF(J392&gt;=5,"Moderado alto (5-5.9)",IF(J392&gt;=4,"Moderado (4-4.9)","Menor a 4"))))</x:f>
        <x:v>Menor a 4</x:v>
      </x:c>
      <x:c r="L392" s="25" t="str">
        <x:f>IF(I392&lt;70,"Superficial (&lt;70 km)",IF(I392&lt;=300,"Intermedio (70-300 km)","Profundo (&gt;300 km)"))</x:f>
        <x:v>Superficial (&lt;70 km)</x:v>
      </x:c>
      <x:c r="M392" s="25" t="str">
        <x:f>IF(J392&gt;=5,"Sí","No")</x:f>
        <x:v>No</x:v>
      </x:c>
      <x:c r="N392" s="25" t="str">
        <x:f>IF(J392&gt;=6,"Sí","No")</x:f>
        <x:v>No</x:v>
      </x:c>
      <x:c r="O392" s="25" t="str">
        <x:v>Pendiente: asignar con R/sf</x:v>
      </x:c>
    </x:row>
    <x:row r="393">
      <x:c r="A393" s="25" t="n">
        <x:v>392</x:v>
      </x:c>
      <x:c r="B393" s="26" t="n">
        <x:v>43485.14396990741</x:v>
      </x:c>
      <x:c r="C393" s="27" t="n">
        <x:f>INT(B393)</x:f>
        <x:v>43485</x:v>
      </x:c>
      <x:c r="D393" s="28" t="n">
        <x:f>MOD(B393,1)</x:f>
        <x:v>0.14396990741079208</x:v>
      </x:c>
      <x:c r="E393" s="29" t="n">
        <x:f>YEAR(B393)</x:f>
        <x:v>2019</x:v>
      </x:c>
      <x:c r="F393" s="29" t="n">
        <x:f>MONTH(B393)</x:f>
        <x:v>1</x:v>
      </x:c>
      <x:c r="G393" s="30" t="n">
        <x:v>-30.26</x:v>
      </x:c>
      <x:c r="H393" s="30" t="n">
        <x:v>-71.24</x:v>
      </x:c>
      <x:c r="I393" s="29" t="n">
        <x:v>60</x:v>
      </x:c>
      <x:c r="J393" s="31" t="n">
        <x:v>3.9</x:v>
      </x:c>
      <x:c r="K393" s="25" t="str">
        <x:f>IF(J393&gt;=7,"Muy fuerte (&gt;=7)",IF(J393&gt;=6,"Fuerte (6-6.9)",IF(J393&gt;=5,"Moderado alto (5-5.9)",IF(J393&gt;=4,"Moderado (4-4.9)","Menor a 4"))))</x:f>
        <x:v>Menor a 4</x:v>
      </x:c>
      <x:c r="L393" s="25" t="str">
        <x:f>IF(I393&lt;70,"Superficial (&lt;70 km)",IF(I393&lt;=300,"Intermedio (70-300 km)","Profundo (&gt;300 km)"))</x:f>
        <x:v>Superficial (&lt;70 km)</x:v>
      </x:c>
      <x:c r="M393" s="25" t="str">
        <x:f>IF(J393&gt;=5,"Sí","No")</x:f>
        <x:v>No</x:v>
      </x:c>
      <x:c r="N393" s="25" t="str">
        <x:f>IF(J393&gt;=6,"Sí","No")</x:f>
        <x:v>No</x:v>
      </x:c>
      <x:c r="O393" s="25" t="str">
        <x:v>Pendiente: asignar con R/sf</x:v>
      </x:c>
    </x:row>
    <x:row r="394">
      <x:c r="A394" s="25" t="n">
        <x:v>393</x:v>
      </x:c>
      <x:c r="B394" s="26" t="n">
        <x:v>44685.499710648146</x:v>
      </x:c>
      <x:c r="C394" s="27" t="n">
        <x:f>INT(B394)</x:f>
        <x:v>44685</x:v>
      </x:c>
      <x:c r="D394" s="28" t="n">
        <x:f>MOD(B394,1)</x:f>
        <x:v>0.4997106481459923</x:v>
      </x:c>
      <x:c r="E394" s="29" t="n">
        <x:f>YEAR(B394)</x:f>
        <x:v>2022</x:v>
      </x:c>
      <x:c r="F394" s="29" t="n">
        <x:f>MONTH(B394)</x:f>
        <x:v>5</x:v>
      </x:c>
      <x:c r="G394" s="30" t="n">
        <x:v>-32.23</x:v>
      </x:c>
      <x:c r="H394" s="30" t="n">
        <x:v>-71.85</x:v>
      </x:c>
      <x:c r="I394" s="29" t="n">
        <x:v>33</x:v>
      </x:c>
      <x:c r="J394" s="31" t="n">
        <x:v>5.3</x:v>
      </x:c>
      <x:c r="K394" s="25" t="str">
        <x:f>IF(J394&gt;=7,"Muy fuerte (&gt;=7)",IF(J394&gt;=6,"Fuerte (6-6.9)",IF(J394&gt;=5,"Moderado alto (5-5.9)",IF(J394&gt;=4,"Moderado (4-4.9)","Menor a 4"))))</x:f>
        <x:v>Moderado alto (5-5.9)</x:v>
      </x:c>
      <x:c r="L394" s="25" t="str">
        <x:f>IF(I394&lt;70,"Superficial (&lt;70 km)",IF(I394&lt;=300,"Intermedio (70-300 km)","Profundo (&gt;300 km)"))</x:f>
        <x:v>Superficial (&lt;70 km)</x:v>
      </x:c>
      <x:c r="M394" s="25" t="str">
        <x:f>IF(J394&gt;=5,"Sí","No")</x:f>
        <x:v>Sí</x:v>
      </x:c>
      <x:c r="N394" s="25" t="str">
        <x:f>IF(J394&gt;=6,"Sí","No")</x:f>
        <x:v>No</x:v>
      </x:c>
      <x:c r="O394" s="25" t="str">
        <x:v>Pendiente: asignar con R/sf</x:v>
      </x:c>
    </x:row>
    <x:row r="395">
      <x:c r="A395" s="25" t="n">
        <x:v>394</x:v>
      </x:c>
      <x:c r="B395" s="26" t="n">
        <x:v>44727.08892361111</x:v>
      </x:c>
      <x:c r="C395" s="27" t="n">
        <x:f>INT(B395)</x:f>
        <x:v>44727</x:v>
      </x:c>
      <x:c r="D395" s="28" t="n">
        <x:f>MOD(B395,1)</x:f>
        <x:v>0.08892361111065838</x:v>
      </x:c>
      <x:c r="E395" s="29" t="n">
        <x:f>YEAR(B395)</x:f>
        <x:v>2022</x:v>
      </x:c>
      <x:c r="F395" s="29" t="n">
        <x:f>MONTH(B395)</x:f>
        <x:v>6</x:v>
      </x:c>
      <x:c r="G395" s="30" t="n">
        <x:v>-20.4</x:v>
      </x:c>
      <x:c r="H395" s="30" t="n">
        <x:v>-69.07</x:v>
      </x:c>
      <x:c r="I395" s="29" t="n">
        <x:v>97</x:v>
      </x:c>
      <x:c r="J395" s="31" t="n">
        <x:v>3.8</x:v>
      </x:c>
      <x:c r="K395" s="25" t="str">
        <x:f>IF(J395&gt;=7,"Muy fuerte (&gt;=7)",IF(J395&gt;=6,"Fuerte (6-6.9)",IF(J395&gt;=5,"Moderado alto (5-5.9)",IF(J395&gt;=4,"Moderado (4-4.9)","Menor a 4"))))</x:f>
        <x:v>Menor a 4</x:v>
      </x:c>
      <x:c r="L395" s="25" t="str">
        <x:f>IF(I395&lt;70,"Superficial (&lt;70 km)",IF(I395&lt;=300,"Intermedio (70-300 km)","Profundo (&gt;300 km)"))</x:f>
        <x:v>Intermedio (70-300 km)</x:v>
      </x:c>
      <x:c r="M395" s="25" t="str">
        <x:f>IF(J395&gt;=5,"Sí","No")</x:f>
        <x:v>No</x:v>
      </x:c>
      <x:c r="N395" s="25" t="str">
        <x:f>IF(J395&gt;=6,"Sí","No")</x:f>
        <x:v>No</x:v>
      </x:c>
      <x:c r="O395" s="25" t="str">
        <x:v>Pendiente: asignar con R/sf</x:v>
      </x:c>
    </x:row>
    <x:row r="396">
      <x:c r="A396" s="25" t="n">
        <x:v>395</x:v>
      </x:c>
      <x:c r="B396" s="26" t="n">
        <x:v>43479.46944444445</x:v>
      </x:c>
      <x:c r="C396" s="27" t="n">
        <x:f>INT(B396)</x:f>
        <x:v>43479</x:v>
      </x:c>
      <x:c r="D396" s="28" t="n">
        <x:f>MOD(B396,1)</x:f>
        <x:v>0.4694444444467081</x:v>
      </x:c>
      <x:c r="E396" s="29" t="n">
        <x:f>YEAR(B396)</x:f>
        <x:v>2019</x:v>
      </x:c>
      <x:c r="F396" s="29" t="n">
        <x:f>MONTH(B396)</x:f>
        <x:v>1</x:v>
      </x:c>
      <x:c r="G396" s="30" t="n">
        <x:v>-29.69</x:v>
      </x:c>
      <x:c r="H396" s="30" t="n">
        <x:v>-71.59</x:v>
      </x:c>
      <x:c r="I396" s="29" t="n">
        <x:v>31</x:v>
      </x:c>
      <x:c r="J396" s="31" t="n">
        <x:v>3.8</x:v>
      </x:c>
      <x:c r="K396" s="25" t="str">
        <x:f>IF(J396&gt;=7,"Muy fuerte (&gt;=7)",IF(J396&gt;=6,"Fuerte (6-6.9)",IF(J396&gt;=5,"Moderado alto (5-5.9)",IF(J396&gt;=4,"Moderado (4-4.9)","Menor a 4"))))</x:f>
        <x:v>Menor a 4</x:v>
      </x:c>
      <x:c r="L396" s="25" t="str">
        <x:f>IF(I396&lt;70,"Superficial (&lt;70 km)",IF(I396&lt;=300,"Intermedio (70-300 km)","Profundo (&gt;300 km)"))</x:f>
        <x:v>Superficial (&lt;70 km)</x:v>
      </x:c>
      <x:c r="M396" s="25" t="str">
        <x:f>IF(J396&gt;=5,"Sí","No")</x:f>
        <x:v>No</x:v>
      </x:c>
      <x:c r="N396" s="25" t="str">
        <x:f>IF(J396&gt;=6,"Sí","No")</x:f>
        <x:v>No</x:v>
      </x:c>
      <x:c r="O396" s="25" t="str">
        <x:v>Pendiente: asignar con R/sf</x:v>
      </x:c>
    </x:row>
    <x:row r="397">
      <x:c r="A397" s="25" t="n">
        <x:v>396</x:v>
      </x:c>
      <x:c r="B397" s="26" t="n">
        <x:v>44010.64821759259</x:v>
      </x:c>
      <x:c r="C397" s="27" t="n">
        <x:f>INT(B397)</x:f>
        <x:v>44010</x:v>
      </x:c>
      <x:c r="D397" s="28" t="n">
        <x:f>MOD(B397,1)</x:f>
        <x:v>0.6482175925921183</x:v>
      </x:c>
      <x:c r="E397" s="29" t="n">
        <x:f>YEAR(B397)</x:f>
        <x:v>2020</x:v>
      </x:c>
      <x:c r="F397" s="29" t="n">
        <x:f>MONTH(B397)</x:f>
        <x:v>6</x:v>
      </x:c>
      <x:c r="G397" s="30" t="n">
        <x:v>-18.93</x:v>
      </x:c>
      <x:c r="H397" s="30" t="n">
        <x:v>-69.63</x:v>
      </x:c>
      <x:c r="I397" s="29" t="n">
        <x:v>112</x:v>
      </x:c>
      <x:c r="J397" s="31" t="n">
        <x:v>3.9</x:v>
      </x:c>
      <x:c r="K397" s="25" t="str">
        <x:f>IF(J397&gt;=7,"Muy fuerte (&gt;=7)",IF(J397&gt;=6,"Fuerte (6-6.9)",IF(J397&gt;=5,"Moderado alto (5-5.9)",IF(J397&gt;=4,"Moderado (4-4.9)","Menor a 4"))))</x:f>
        <x:v>Menor a 4</x:v>
      </x:c>
      <x:c r="L397" s="25" t="str">
        <x:f>IF(I397&lt;70,"Superficial (&lt;70 km)",IF(I397&lt;=300,"Intermedio (70-300 km)","Profundo (&gt;300 km)"))</x:f>
        <x:v>Intermedio (70-300 km)</x:v>
      </x:c>
      <x:c r="M397" s="25" t="str">
        <x:f>IF(J397&gt;=5,"Sí","No")</x:f>
        <x:v>No</x:v>
      </x:c>
      <x:c r="N397" s="25" t="str">
        <x:f>IF(J397&gt;=6,"Sí","No")</x:f>
        <x:v>No</x:v>
      </x:c>
      <x:c r="O397" s="25" t="str">
        <x:v>Pendiente: asignar con R/sf</x:v>
      </x:c>
    </x:row>
    <x:row r="398">
      <x:c r="A398" s="25" t="n">
        <x:v>397</x:v>
      </x:c>
      <x:c r="B398" s="26" t="n">
        <x:v>43491.325636574074</x:v>
      </x:c>
      <x:c r="C398" s="27" t="n">
        <x:f>INT(B398)</x:f>
        <x:v>43491</x:v>
      </x:c>
      <x:c r="D398" s="28" t="n">
        <x:f>MOD(B398,1)</x:f>
        <x:v>0.32563657407445135</x:v>
      </x:c>
      <x:c r="E398" s="29" t="n">
        <x:f>YEAR(B398)</x:f>
        <x:v>2019</x:v>
      </x:c>
      <x:c r="F398" s="29" t="n">
        <x:f>MONTH(B398)</x:f>
        <x:v>1</x:v>
      </x:c>
      <x:c r="G398" s="30" t="n">
        <x:v>-30.09</x:v>
      </x:c>
      <x:c r="H398" s="30" t="n">
        <x:v>-71.29</x:v>
      </x:c>
      <x:c r="I398" s="29" t="n">
        <x:v>71</x:v>
      </x:c>
      <x:c r="J398" s="31" t="n">
        <x:v>3.8</x:v>
      </x:c>
      <x:c r="K398" s="25" t="str">
        <x:f>IF(J398&gt;=7,"Muy fuerte (&gt;=7)",IF(J398&gt;=6,"Fuerte (6-6.9)",IF(J398&gt;=5,"Moderado alto (5-5.9)",IF(J398&gt;=4,"Moderado (4-4.9)","Menor a 4"))))</x:f>
        <x:v>Menor a 4</x:v>
      </x:c>
      <x:c r="L398" s="25" t="str">
        <x:f>IF(I398&lt;70,"Superficial (&lt;70 km)",IF(I398&lt;=300,"Intermedio (70-300 km)","Profundo (&gt;300 km)"))</x:f>
        <x:v>Intermedio (70-300 km)</x:v>
      </x:c>
      <x:c r="M398" s="25" t="str">
        <x:f>IF(J398&gt;=5,"Sí","No")</x:f>
        <x:v>No</x:v>
      </x:c>
      <x:c r="N398" s="25" t="str">
        <x:f>IF(J398&gt;=6,"Sí","No")</x:f>
        <x:v>No</x:v>
      </x:c>
      <x:c r="O398" s="25" t="str">
        <x:v>Pendiente: asignar con R/sf</x:v>
      </x:c>
    </x:row>
    <x:row r="399">
      <x:c r="A399" s="25" t="n">
        <x:v>398</x:v>
      </x:c>
      <x:c r="B399" s="26" t="n">
        <x:v>43823.783634259256</x:v>
      </x:c>
      <x:c r="C399" s="27" t="n">
        <x:f>INT(B399)</x:f>
        <x:v>43823</x:v>
      </x:c>
      <x:c r="D399" s="28" t="n">
        <x:f>MOD(B399,1)</x:f>
        <x:v>0.7836342592563597</x:v>
      </x:c>
      <x:c r="E399" s="29" t="n">
        <x:f>YEAR(B399)</x:f>
        <x:v>2019</x:v>
      </x:c>
      <x:c r="F399" s="29" t="n">
        <x:f>MONTH(B399)</x:f>
        <x:v>12</x:v>
      </x:c>
      <x:c r="G399" s="30" t="n">
        <x:v>-18.7</x:v>
      </x:c>
      <x:c r="H399" s="30" t="n">
        <x:v>-69.24</x:v>
      </x:c>
      <x:c r="I399" s="29" t="n">
        <x:v>128</x:v>
      </x:c>
      <x:c r="J399" s="31" t="n">
        <x:v>4.6</x:v>
      </x:c>
      <x:c r="K399" s="25" t="str">
        <x:f>IF(J399&gt;=7,"Muy fuerte (&gt;=7)",IF(J399&gt;=6,"Fuerte (6-6.9)",IF(J399&gt;=5,"Moderado alto (5-5.9)",IF(J399&gt;=4,"Moderado (4-4.9)","Menor a 4"))))</x:f>
        <x:v>Moderado (4-4.9)</x:v>
      </x:c>
      <x:c r="L399" s="25" t="str">
        <x:f>IF(I399&lt;70,"Superficial (&lt;70 km)",IF(I399&lt;=300,"Intermedio (70-300 km)","Profundo (&gt;300 km)"))</x:f>
        <x:v>Intermedio (70-300 km)</x:v>
      </x:c>
      <x:c r="M399" s="25" t="str">
        <x:f>IF(J399&gt;=5,"Sí","No")</x:f>
        <x:v>No</x:v>
      </x:c>
      <x:c r="N399" s="25" t="str">
        <x:f>IF(J399&gt;=6,"Sí","No")</x:f>
        <x:v>No</x:v>
      </x:c>
      <x:c r="O399" s="25" t="str">
        <x:v>Pendiente: asignar con R/sf</x:v>
      </x:c>
    </x:row>
    <x:row r="400">
      <x:c r="A400" s="25" t="n">
        <x:v>399</x:v>
      </x:c>
      <x:c r="B400" s="26" t="n">
        <x:v>43541.03724537037</x:v>
      </x:c>
      <x:c r="C400" s="27" t="n">
        <x:f>INT(B400)</x:f>
        <x:v>43541</x:v>
      </x:c>
      <x:c r="D400" s="28" t="n">
        <x:f>MOD(B400,1)</x:f>
        <x:v>0.03724537036760012</x:v>
      </x:c>
      <x:c r="E400" s="29" t="n">
        <x:f>YEAR(B400)</x:f>
        <x:v>2019</x:v>
      </x:c>
      <x:c r="F400" s="29" t="n">
        <x:f>MONTH(B400)</x:f>
        <x:v>3</x:v>
      </x:c>
      <x:c r="G400" s="30" t="n">
        <x:v>-20.37</x:v>
      </x:c>
      <x:c r="H400" s="30" t="n">
        <x:v>-68.51</x:v>
      </x:c>
      <x:c r="I400" s="29" t="n">
        <x:v>129</x:v>
      </x:c>
      <x:c r="J400" s="31" t="n">
        <x:v>4.9</x:v>
      </x:c>
      <x:c r="K400" s="25" t="str">
        <x:f>IF(J400&gt;=7,"Muy fuerte (&gt;=7)",IF(J400&gt;=6,"Fuerte (6-6.9)",IF(J400&gt;=5,"Moderado alto (5-5.9)",IF(J400&gt;=4,"Moderado (4-4.9)","Menor a 4"))))</x:f>
        <x:v>Moderado (4-4.9)</x:v>
      </x:c>
      <x:c r="L400" s="25" t="str">
        <x:f>IF(I400&lt;70,"Superficial (&lt;70 km)",IF(I400&lt;=300,"Intermedio (70-300 km)","Profundo (&gt;300 km)"))</x:f>
        <x:v>Intermedio (70-300 km)</x:v>
      </x:c>
      <x:c r="M400" s="25" t="str">
        <x:f>IF(J400&gt;=5,"Sí","No")</x:f>
        <x:v>No</x:v>
      </x:c>
      <x:c r="N400" s="25" t="str">
        <x:f>IF(J400&gt;=6,"Sí","No")</x:f>
        <x:v>No</x:v>
      </x:c>
      <x:c r="O400" s="25" t="str">
        <x:v>Pendiente: asignar con R/sf</x:v>
      </x:c>
    </x:row>
    <x:row r="401">
      <x:c r="A401" s="25" t="n">
        <x:v>400</x:v>
      </x:c>
      <x:c r="B401" s="26" t="n">
        <x:v>43657.56619212963</x:v>
      </x:c>
      <x:c r="C401" s="27" t="n">
        <x:f>INT(B401)</x:f>
        <x:v>43657</x:v>
      </x:c>
      <x:c r="D401" s="28" t="n">
        <x:f>MOD(B401,1)</x:f>
        <x:v>0.5661921296268702</x:v>
      </x:c>
      <x:c r="E401" s="29" t="n">
        <x:f>YEAR(B401)</x:f>
        <x:v>2019</x:v>
      </x:c>
      <x:c r="F401" s="29" t="n">
        <x:f>MONTH(B401)</x:f>
        <x:v>7</x:v>
      </x:c>
      <x:c r="G401" s="30" t="n">
        <x:v>-29.82</x:v>
      </x:c>
      <x:c r="H401" s="30" t="n">
        <x:v>-71.57</x:v>
      </x:c>
      <x:c r="I401" s="29" t="n">
        <x:v>38</x:v>
      </x:c>
      <x:c r="J401" s="31" t="n">
        <x:v>4.4</x:v>
      </x:c>
      <x:c r="K401" s="25" t="str">
        <x:f>IF(J401&gt;=7,"Muy fuerte (&gt;=7)",IF(J401&gt;=6,"Fuerte (6-6.9)",IF(J401&gt;=5,"Moderado alto (5-5.9)",IF(J401&gt;=4,"Moderado (4-4.9)","Menor a 4"))))</x:f>
        <x:v>Moderado (4-4.9)</x:v>
      </x:c>
      <x:c r="L401" s="25" t="str">
        <x:f>IF(I401&lt;70,"Superficial (&lt;70 km)",IF(I401&lt;=300,"Intermedio (70-300 km)","Profundo (&gt;300 km)"))</x:f>
        <x:v>Superficial (&lt;70 km)</x:v>
      </x:c>
      <x:c r="M401" s="25" t="str">
        <x:f>IF(J401&gt;=5,"Sí","No")</x:f>
        <x:v>No</x:v>
      </x:c>
      <x:c r="N401" s="25" t="str">
        <x:f>IF(J401&gt;=6,"Sí","No")</x:f>
        <x:v>No</x:v>
      </x:c>
      <x:c r="O401" s="25" t="str">
        <x:v>Pendiente: asignar con R/sf</x:v>
      </x:c>
    </x:row>
    <x:row r="402">
      <x:c r="A402" s="25" t="n">
        <x:v>401</x:v>
      </x:c>
      <x:c r="B402" s="26" t="n">
        <x:v>44702.13475694445</x:v>
      </x:c>
      <x:c r="C402" s="27" t="n">
        <x:f>INT(B402)</x:f>
        <x:v>44702</x:v>
      </x:c>
      <x:c r="D402" s="28" t="n">
        <x:f>MOD(B402,1)</x:f>
        <x:v>0.13475694444787223</x:v>
      </x:c>
      <x:c r="E402" s="29" t="n">
        <x:f>YEAR(B402)</x:f>
        <x:v>2022</x:v>
      </x:c>
      <x:c r="F402" s="29" t="n">
        <x:f>MONTH(B402)</x:f>
        <x:v>5</x:v>
      </x:c>
      <x:c r="G402" s="30" t="n">
        <x:v>-18.83</x:v>
      </x:c>
      <x:c r="H402" s="30" t="n">
        <x:v>-69.76</x:v>
      </x:c>
      <x:c r="I402" s="29" t="n">
        <x:v>59</x:v>
      </x:c>
      <x:c r="J402" s="31" t="n">
        <x:v>3</x:v>
      </x:c>
      <x:c r="K402" s="25" t="str">
        <x:f>IF(J402&gt;=7,"Muy fuerte (&gt;=7)",IF(J402&gt;=6,"Fuerte (6-6.9)",IF(J402&gt;=5,"Moderado alto (5-5.9)",IF(J402&gt;=4,"Moderado (4-4.9)","Menor a 4"))))</x:f>
        <x:v>Menor a 4</x:v>
      </x:c>
      <x:c r="L402" s="25" t="str">
        <x:f>IF(I402&lt;70,"Superficial (&lt;70 km)",IF(I402&lt;=300,"Intermedio (70-300 km)","Profundo (&gt;300 km)"))</x:f>
        <x:v>Superficial (&lt;70 km)</x:v>
      </x:c>
      <x:c r="M402" s="25" t="str">
        <x:f>IF(J402&gt;=5,"Sí","No")</x:f>
        <x:v>No</x:v>
      </x:c>
      <x:c r="N402" s="25" t="str">
        <x:f>IF(J402&gt;=6,"Sí","No")</x:f>
        <x:v>No</x:v>
      </x:c>
      <x:c r="O402" s="25" t="str">
        <x:v>Pendiente: asignar con R/sf</x:v>
      </x:c>
    </x:row>
    <x:row r="403">
      <x:c r="A403" s="25" t="n">
        <x:v>402</x:v>
      </x:c>
      <x:c r="B403" s="26" t="n">
        <x:v>44723.15993055556</x:v>
      </x:c>
      <x:c r="C403" s="27" t="n">
        <x:f>INT(B403)</x:f>
        <x:v>44723</x:v>
      </x:c>
      <x:c r="D403" s="28" t="n">
        <x:f>MOD(B403,1)</x:f>
        <x:v>0.15993055555736646</x:v>
      </x:c>
      <x:c r="E403" s="29" t="n">
        <x:f>YEAR(B403)</x:f>
        <x:v>2022</x:v>
      </x:c>
      <x:c r="F403" s="29" t="n">
        <x:f>MONTH(B403)</x:f>
        <x:v>6</x:v>
      </x:c>
      <x:c r="G403" s="30" t="n">
        <x:v>-20.22</x:v>
      </x:c>
      <x:c r="H403" s="30" t="n">
        <x:v>-69.13</x:v>
      </x:c>
      <x:c r="I403" s="29" t="n">
        <x:v>104</x:v>
      </x:c>
      <x:c r="J403" s="31" t="n">
        <x:v>4.3</x:v>
      </x:c>
      <x:c r="K403" s="25" t="str">
        <x:f>IF(J403&gt;=7,"Muy fuerte (&gt;=7)",IF(J403&gt;=6,"Fuerte (6-6.9)",IF(J403&gt;=5,"Moderado alto (5-5.9)",IF(J403&gt;=4,"Moderado (4-4.9)","Menor a 4"))))</x:f>
        <x:v>Moderado (4-4.9)</x:v>
      </x:c>
      <x:c r="L403" s="25" t="str">
        <x:f>IF(I403&lt;70,"Superficial (&lt;70 km)",IF(I403&lt;=300,"Intermedio (70-300 km)","Profundo (&gt;300 km)"))</x:f>
        <x:v>Intermedio (70-300 km)</x:v>
      </x:c>
      <x:c r="M403" s="25" t="str">
        <x:f>IF(J403&gt;=5,"Sí","No")</x:f>
        <x:v>No</x:v>
      </x:c>
      <x:c r="N403" s="25" t="str">
        <x:f>IF(J403&gt;=6,"Sí","No")</x:f>
        <x:v>No</x:v>
      </x:c>
      <x:c r="O403" s="25" t="str">
        <x:v>Pendiente: asignar con R/sf</x:v>
      </x:c>
    </x:row>
    <x:row r="404">
      <x:c r="A404" s="25" t="n">
        <x:v>403</x:v>
      </x:c>
      <x:c r="B404" s="26" t="n">
        <x:v>44675.80087962963</x:v>
      </x:c>
      <x:c r="C404" s="27" t="n">
        <x:f>INT(B404)</x:f>
        <x:v>44675</x:v>
      </x:c>
      <x:c r="D404" s="28" t="n">
        <x:f>MOD(B404,1)</x:f>
        <x:v>0.8008796296271612</x:v>
      </x:c>
      <x:c r="E404" s="29" t="n">
        <x:f>YEAR(B404)</x:f>
        <x:v>2022</x:v>
      </x:c>
      <x:c r="F404" s="29" t="n">
        <x:f>MONTH(B404)</x:f>
        <x:v>4</x:v>
      </x:c>
      <x:c r="G404" s="30" t="n">
        <x:v>-31.22</x:v>
      </x:c>
      <x:c r="H404" s="30" t="n">
        <x:v>-71.49</x:v>
      </x:c>
      <x:c r="I404" s="29" t="n">
        <x:v>52</x:v>
      </x:c>
      <x:c r="J404" s="31" t="n">
        <x:v>3.4</x:v>
      </x:c>
      <x:c r="K404" s="25" t="str">
        <x:f>IF(J404&gt;=7,"Muy fuerte (&gt;=7)",IF(J404&gt;=6,"Fuerte (6-6.9)",IF(J404&gt;=5,"Moderado alto (5-5.9)",IF(J404&gt;=4,"Moderado (4-4.9)","Menor a 4"))))</x:f>
        <x:v>Menor a 4</x:v>
      </x:c>
      <x:c r="L404" s="25" t="str">
        <x:f>IF(I404&lt;70,"Superficial (&lt;70 km)",IF(I404&lt;=300,"Intermedio (70-300 km)","Profundo (&gt;300 km)"))</x:f>
        <x:v>Superficial (&lt;70 km)</x:v>
      </x:c>
      <x:c r="M404" s="25" t="str">
        <x:f>IF(J404&gt;=5,"Sí","No")</x:f>
        <x:v>No</x:v>
      </x:c>
      <x:c r="N404" s="25" t="str">
        <x:f>IF(J404&gt;=6,"Sí","No")</x:f>
        <x:v>No</x:v>
      </x:c>
      <x:c r="O404" s="25" t="str">
        <x:v>Pendiente: asignar con R/sf</x:v>
      </x:c>
    </x:row>
    <x:row r="405">
      <x:c r="A405" s="25" t="n">
        <x:v>404</x:v>
      </x:c>
      <x:c r="B405" s="26" t="n">
        <x:v>44551.91758101852</x:v>
      </x:c>
      <x:c r="C405" s="27" t="n">
        <x:f>INT(B405)</x:f>
        <x:v>44551</x:v>
      </x:c>
      <x:c r="D405" s="28" t="n">
        <x:f>MOD(B405,1)</x:f>
        <x:v>0.9175810185188311</x:v>
      </x:c>
      <x:c r="E405" s="29" t="n">
        <x:f>YEAR(B405)</x:f>
        <x:v>2021</x:v>
      </x:c>
      <x:c r="F405" s="29" t="n">
        <x:f>MONTH(B405)</x:f>
        <x:v>12</x:v>
      </x:c>
      <x:c r="G405" s="30" t="n">
        <x:v>-19.53</x:v>
      </x:c>
      <x:c r="H405" s="30" t="n">
        <x:v>-69.24</x:v>
      </x:c>
      <x:c r="I405" s="29" t="n">
        <x:v>7</x:v>
      </x:c>
      <x:c r="J405" s="31" t="n">
        <x:v>3</x:v>
      </x:c>
      <x:c r="K405" s="25" t="str">
        <x:f>IF(J405&gt;=7,"Muy fuerte (&gt;=7)",IF(J405&gt;=6,"Fuerte (6-6.9)",IF(J405&gt;=5,"Moderado alto (5-5.9)",IF(J405&gt;=4,"Moderado (4-4.9)","Menor a 4"))))</x:f>
        <x:v>Menor a 4</x:v>
      </x:c>
      <x:c r="L405" s="25" t="str">
        <x:f>IF(I405&lt;70,"Superficial (&lt;70 km)",IF(I405&lt;=300,"Intermedio (70-300 km)","Profundo (&gt;300 km)"))</x:f>
        <x:v>Superficial (&lt;70 km)</x:v>
      </x:c>
      <x:c r="M405" s="25" t="str">
        <x:f>IF(J405&gt;=5,"Sí","No")</x:f>
        <x:v>No</x:v>
      </x:c>
      <x:c r="N405" s="25" t="str">
        <x:f>IF(J405&gt;=6,"Sí","No")</x:f>
        <x:v>No</x:v>
      </x:c>
      <x:c r="O405" s="25" t="str">
        <x:v>Pendiente: asignar con R/sf</x:v>
      </x:c>
    </x:row>
    <x:row r="406">
      <x:c r="A406" s="25" t="n">
        <x:v>405</x:v>
      </x:c>
      <x:c r="B406" s="26" t="n">
        <x:v>44312.08252314815</x:v>
      </x:c>
      <x:c r="C406" s="27" t="n">
        <x:f>INT(B406)</x:f>
        <x:v>44312</x:v>
      </x:c>
      <x:c r="D406" s="28" t="n">
        <x:f>MOD(B406,1)</x:f>
        <x:v>0.08252314815035788</x:v>
      </x:c>
      <x:c r="E406" s="29" t="n">
        <x:f>YEAR(B406)</x:f>
        <x:v>2021</x:v>
      </x:c>
      <x:c r="F406" s="29" t="n">
        <x:f>MONTH(B406)</x:f>
        <x:v>4</x:v>
      </x:c>
      <x:c r="G406" s="30" t="n">
        <x:v>-30.34</x:v>
      </x:c>
      <x:c r="H406" s="30" t="n">
        <x:v>-71.25</x:v>
      </x:c>
      <x:c r="I406" s="29" t="n">
        <x:v>28</x:v>
      </x:c>
      <x:c r="J406" s="31" t="n">
        <x:v>3.3</x:v>
      </x:c>
      <x:c r="K406" s="25" t="str">
        <x:f>IF(J406&gt;=7,"Muy fuerte (&gt;=7)",IF(J406&gt;=6,"Fuerte (6-6.9)",IF(J406&gt;=5,"Moderado alto (5-5.9)",IF(J406&gt;=4,"Moderado (4-4.9)","Menor a 4"))))</x:f>
        <x:v>Menor a 4</x:v>
      </x:c>
      <x:c r="L406" s="25" t="str">
        <x:f>IF(I406&lt;70,"Superficial (&lt;70 km)",IF(I406&lt;=300,"Intermedio (70-300 km)","Profundo (&gt;300 km)"))</x:f>
        <x:v>Superficial (&lt;70 km)</x:v>
      </x:c>
      <x:c r="M406" s="25" t="str">
        <x:f>IF(J406&gt;=5,"Sí","No")</x:f>
        <x:v>No</x:v>
      </x:c>
      <x:c r="N406" s="25" t="str">
        <x:f>IF(J406&gt;=6,"Sí","No")</x:f>
        <x:v>No</x:v>
      </x:c>
      <x:c r="O406" s="25" t="str">
        <x:v>Pendiente: asignar con R/sf</x:v>
      </x:c>
    </x:row>
    <x:row r="407">
      <x:c r="A407" s="25" t="n">
        <x:v>406</x:v>
      </x:c>
      <x:c r="B407" s="26" t="n">
        <x:v>43556.430439814816</x:v>
      </x:c>
      <x:c r="C407" s="27" t="n">
        <x:f>INT(B407)</x:f>
        <x:v>43556</x:v>
      </x:c>
      <x:c r="D407" s="28" t="n">
        <x:f>MOD(B407,1)</x:f>
        <x:v>0.4304398148160544</x:v>
      </x:c>
      <x:c r="E407" s="29" t="n">
        <x:f>YEAR(B407)</x:f>
        <x:v>2019</x:v>
      </x:c>
      <x:c r="F407" s="29" t="n">
        <x:f>MONTH(B407)</x:f>
        <x:v>4</x:v>
      </x:c>
      <x:c r="G407" s="30" t="n">
        <x:v>-18.16</x:v>
      </x:c>
      <x:c r="H407" s="30" t="n">
        <x:v>-67.57</x:v>
      </x:c>
      <x:c r="I407" s="29" t="n">
        <x:v>323</x:v>
      </x:c>
      <x:c r="J407" s="31" t="n">
        <x:v>4.8</x:v>
      </x:c>
      <x:c r="K407" s="25" t="str">
        <x:f>IF(J407&gt;=7,"Muy fuerte (&gt;=7)",IF(J407&gt;=6,"Fuerte (6-6.9)",IF(J407&gt;=5,"Moderado alto (5-5.9)",IF(J407&gt;=4,"Moderado (4-4.9)","Menor a 4"))))</x:f>
        <x:v>Moderado (4-4.9)</x:v>
      </x:c>
      <x:c r="L407" s="25" t="str">
        <x:f>IF(I407&lt;70,"Superficial (&lt;70 km)",IF(I407&lt;=300,"Intermedio (70-300 km)","Profundo (&gt;300 km)"))</x:f>
        <x:v>Profundo (&gt;300 km)</x:v>
      </x:c>
      <x:c r="M407" s="25" t="str">
        <x:f>IF(J407&gt;=5,"Sí","No")</x:f>
        <x:v>No</x:v>
      </x:c>
      <x:c r="N407" s="25" t="str">
        <x:f>IF(J407&gt;=6,"Sí","No")</x:f>
        <x:v>No</x:v>
      </x:c>
      <x:c r="O407" s="25" t="str">
        <x:v>Pendiente: asignar con R/sf</x:v>
      </x:c>
    </x:row>
    <x:row r="408">
      <x:c r="A408" s="25" t="n">
        <x:v>407</x:v>
      </x:c>
      <x:c r="B408" s="26" t="n">
        <x:v>44333.74758101852</x:v>
      </x:c>
      <x:c r="C408" s="27" t="n">
        <x:f>INT(B408)</x:f>
        <x:v>44333</x:v>
      </x:c>
      <x:c r="D408" s="28" t="n">
        <x:f>MOD(B408,1)</x:f>
        <x:v>0.7475810185205773</x:v>
      </x:c>
      <x:c r="E408" s="29" t="n">
        <x:f>YEAR(B408)</x:f>
        <x:v>2021</x:v>
      </x:c>
      <x:c r="F408" s="29" t="n">
        <x:f>MONTH(B408)</x:f>
        <x:v>5</x:v>
      </x:c>
      <x:c r="G408" s="30" t="n">
        <x:v>-20.02</x:v>
      </x:c>
      <x:c r="H408" s="30" t="n">
        <x:v>-69.31</x:v>
      </x:c>
      <x:c r="I408" s="29" t="n">
        <x:v>100</x:v>
      </x:c>
      <x:c r="J408" s="31" t="n">
        <x:v>3.5</x:v>
      </x:c>
      <x:c r="K408" s="25" t="str">
        <x:f>IF(J408&gt;=7,"Muy fuerte (&gt;=7)",IF(J408&gt;=6,"Fuerte (6-6.9)",IF(J408&gt;=5,"Moderado alto (5-5.9)",IF(J408&gt;=4,"Moderado (4-4.9)","Menor a 4"))))</x:f>
        <x:v>Menor a 4</x:v>
      </x:c>
      <x:c r="L408" s="25" t="str">
        <x:f>IF(I408&lt;70,"Superficial (&lt;70 km)",IF(I408&lt;=300,"Intermedio (70-300 km)","Profundo (&gt;300 km)"))</x:f>
        <x:v>Intermedio (70-300 km)</x:v>
      </x:c>
      <x:c r="M408" s="25" t="str">
        <x:f>IF(J408&gt;=5,"Sí","No")</x:f>
        <x:v>No</x:v>
      </x:c>
      <x:c r="N408" s="25" t="str">
        <x:f>IF(J408&gt;=6,"Sí","No")</x:f>
        <x:v>No</x:v>
      </x:c>
      <x:c r="O408" s="25" t="str">
        <x:v>Pendiente: asignar con R/sf</x:v>
      </x:c>
    </x:row>
    <x:row r="409">
      <x:c r="A409" s="25" t="n">
        <x:v>408</x:v>
      </x:c>
      <x:c r="B409" s="26" t="n">
        <x:v>44378.742685185185</x:v>
      </x:c>
      <x:c r="C409" s="27" t="n">
        <x:f>INT(B409)</x:f>
        <x:v>44378</x:v>
      </x:c>
      <x:c r="D409" s="28" t="n">
        <x:f>MOD(B409,1)</x:f>
        <x:v>0.7426851851851097</x:v>
      </x:c>
      <x:c r="E409" s="29" t="n">
        <x:f>YEAR(B409)</x:f>
        <x:v>2021</x:v>
      </x:c>
      <x:c r="F409" s="29" t="n">
        <x:f>MONTH(B409)</x:f>
        <x:v>7</x:v>
      </x:c>
      <x:c r="G409" s="30" t="n">
        <x:v>-32.31</x:v>
      </x:c>
      <x:c r="H409" s="30" t="n">
        <x:v>-71.5</x:v>
      </x:c>
      <x:c r="I409" s="29" t="n">
        <x:v>39</x:v>
      </x:c>
      <x:c r="J409" s="31" t="n">
        <x:v>4</x:v>
      </x:c>
      <x:c r="K409" s="25" t="str">
        <x:f>IF(J409&gt;=7,"Muy fuerte (&gt;=7)",IF(J409&gt;=6,"Fuerte (6-6.9)",IF(J409&gt;=5,"Moderado alto (5-5.9)",IF(J409&gt;=4,"Moderado (4-4.9)","Menor a 4"))))</x:f>
        <x:v>Moderado (4-4.9)</x:v>
      </x:c>
      <x:c r="L409" s="25" t="str">
        <x:f>IF(I409&lt;70,"Superficial (&lt;70 km)",IF(I409&lt;=300,"Intermedio (70-300 km)","Profundo (&gt;300 km)"))</x:f>
        <x:v>Superficial (&lt;70 km)</x:v>
      </x:c>
      <x:c r="M409" s="25" t="str">
        <x:f>IF(J409&gt;=5,"Sí","No")</x:f>
        <x:v>No</x:v>
      </x:c>
      <x:c r="N409" s="25" t="str">
        <x:f>IF(J409&gt;=6,"Sí","No")</x:f>
        <x:v>No</x:v>
      </x:c>
      <x:c r="O409" s="25" t="str">
        <x:v>Pendiente: asignar con R/sf</x:v>
      </x:c>
    </x:row>
    <x:row r="410">
      <x:c r="A410" s="25" t="n">
        <x:v>409</x:v>
      </x:c>
      <x:c r="B410" s="26" t="n">
        <x:v>44137.013020833336</x:v>
      </x:c>
      <x:c r="C410" s="27" t="n">
        <x:f>INT(B410)</x:f>
        <x:v>44137</x:v>
      </x:c>
      <x:c r="D410" s="28" t="n">
        <x:f>MOD(B410,1)</x:f>
        <x:v>0.013020833335758653</x:v>
      </x:c>
      <x:c r="E410" s="29" t="n">
        <x:f>YEAR(B410)</x:f>
        <x:v>2020</x:v>
      </x:c>
      <x:c r="F410" s="29" t="n">
        <x:f>MONTH(B410)</x:f>
        <x:v>11</x:v>
      </x:c>
      <x:c r="G410" s="30" t="n">
        <x:v>-29.7</x:v>
      </x:c>
      <x:c r="H410" s="30" t="n">
        <x:v>-71.19</x:v>
      </x:c>
      <x:c r="I410" s="29" t="n">
        <x:v>62</x:v>
      </x:c>
      <x:c r="J410" s="31" t="n">
        <x:v>3.1</x:v>
      </x:c>
      <x:c r="K410" s="25" t="str">
        <x:f>IF(J410&gt;=7,"Muy fuerte (&gt;=7)",IF(J410&gt;=6,"Fuerte (6-6.9)",IF(J410&gt;=5,"Moderado alto (5-5.9)",IF(J410&gt;=4,"Moderado (4-4.9)","Menor a 4"))))</x:f>
        <x:v>Menor a 4</x:v>
      </x:c>
      <x:c r="L410" s="25" t="str">
        <x:f>IF(I410&lt;70,"Superficial (&lt;70 km)",IF(I410&lt;=300,"Intermedio (70-300 km)","Profundo (&gt;300 km)"))</x:f>
        <x:v>Superficial (&lt;70 km)</x:v>
      </x:c>
      <x:c r="M410" s="25" t="str">
        <x:f>IF(J410&gt;=5,"Sí","No")</x:f>
        <x:v>No</x:v>
      </x:c>
      <x:c r="N410" s="25" t="str">
        <x:f>IF(J410&gt;=6,"Sí","No")</x:f>
        <x:v>No</x:v>
      </x:c>
      <x:c r="O410" s="25" t="str">
        <x:v>Pendiente: asignar con R/sf</x:v>
      </x:c>
    </x:row>
    <x:row r="411">
      <x:c r="A411" s="25" t="n">
        <x:v>410</x:v>
      </x:c>
      <x:c r="B411" s="26" t="n">
        <x:v>44715.380428240744</x:v>
      </x:c>
      <x:c r="C411" s="27" t="n">
        <x:f>INT(B411)</x:f>
        <x:v>44715</x:v>
      </x:c>
      <x:c r="D411" s="28" t="n">
        <x:f>MOD(B411,1)</x:f>
        <x:v>0.38042824074364034</x:v>
      </x:c>
      <x:c r="E411" s="29" t="n">
        <x:f>YEAR(B411)</x:f>
        <x:v>2022</x:v>
      </x:c>
      <x:c r="F411" s="29" t="n">
        <x:f>MONTH(B411)</x:f>
        <x:v>6</x:v>
      </x:c>
      <x:c r="G411" s="30" t="n">
        <x:v>-19.17</x:v>
      </x:c>
      <x:c r="H411" s="30" t="n">
        <x:v>-69.31</x:v>
      </x:c>
      <x:c r="I411" s="29" t="n">
        <x:v>107</x:v>
      </x:c>
      <x:c r="J411" s="31" t="n">
        <x:v>4.2</x:v>
      </x:c>
      <x:c r="K411" s="25" t="str">
        <x:f>IF(J411&gt;=7,"Muy fuerte (&gt;=7)",IF(J411&gt;=6,"Fuerte (6-6.9)",IF(J411&gt;=5,"Moderado alto (5-5.9)",IF(J411&gt;=4,"Moderado (4-4.9)","Menor a 4"))))</x:f>
        <x:v>Moderado (4-4.9)</x:v>
      </x:c>
      <x:c r="L411" s="25" t="str">
        <x:f>IF(I411&lt;70,"Superficial (&lt;70 km)",IF(I411&lt;=300,"Intermedio (70-300 km)","Profundo (&gt;300 km)"))</x:f>
        <x:v>Intermedio (70-300 km)</x:v>
      </x:c>
      <x:c r="M411" s="25" t="str">
        <x:f>IF(J411&gt;=5,"Sí","No")</x:f>
        <x:v>No</x:v>
      </x:c>
      <x:c r="N411" s="25" t="str">
        <x:f>IF(J411&gt;=6,"Sí","No")</x:f>
        <x:v>No</x:v>
      </x:c>
      <x:c r="O411" s="25" t="str">
        <x:v>Pendiente: asignar con R/sf</x:v>
      </x:c>
    </x:row>
    <x:row r="412">
      <x:c r="A412" s="25" t="n">
        <x:v>411</x:v>
      </x:c>
      <x:c r="B412" s="26" t="n">
        <x:v>44421.79357638889</x:v>
      </x:c>
      <x:c r="C412" s="27" t="n">
        <x:f>INT(B412)</x:f>
        <x:v>44421</x:v>
      </x:c>
      <x:c r="D412" s="28" t="n">
        <x:f>MOD(B412,1)</x:f>
        <x:v>0.7935763888890506</x:v>
      </x:c>
      <x:c r="E412" s="29" t="n">
        <x:f>YEAR(B412)</x:f>
        <x:v>2021</x:v>
      </x:c>
      <x:c r="F412" s="29" t="n">
        <x:f>MONTH(B412)</x:f>
        <x:v>8</x:v>
      </x:c>
      <x:c r="G412" s="30" t="n">
        <x:v>-19.86</x:v>
      </x:c>
      <x:c r="H412" s="30" t="n">
        <x:v>-69.9</x:v>
      </x:c>
      <x:c r="I412" s="29" t="n">
        <x:v>62</x:v>
      </x:c>
      <x:c r="J412" s="31" t="n">
        <x:v>4</x:v>
      </x:c>
      <x:c r="K412" s="25" t="str">
        <x:f>IF(J412&gt;=7,"Muy fuerte (&gt;=7)",IF(J412&gt;=6,"Fuerte (6-6.9)",IF(J412&gt;=5,"Moderado alto (5-5.9)",IF(J412&gt;=4,"Moderado (4-4.9)","Menor a 4"))))</x:f>
        <x:v>Moderado (4-4.9)</x:v>
      </x:c>
      <x:c r="L412" s="25" t="str">
        <x:f>IF(I412&lt;70,"Superficial (&lt;70 km)",IF(I412&lt;=300,"Intermedio (70-300 km)","Profundo (&gt;300 km)"))</x:f>
        <x:v>Superficial (&lt;70 km)</x:v>
      </x:c>
      <x:c r="M412" s="25" t="str">
        <x:f>IF(J412&gt;=5,"Sí","No")</x:f>
        <x:v>No</x:v>
      </x:c>
      <x:c r="N412" s="25" t="str">
        <x:f>IF(J412&gt;=6,"Sí","No")</x:f>
        <x:v>No</x:v>
      </x:c>
      <x:c r="O412" s="25" t="str">
        <x:v>Pendiente: asignar con R/sf</x:v>
      </x:c>
    </x:row>
    <x:row r="413">
      <x:c r="A413" s="25" t="n">
        <x:v>412</x:v>
      </x:c>
      <x:c r="B413" s="26" t="n">
        <x:v>44463.378541666665</x:v>
      </x:c>
      <x:c r="C413" s="27" t="n">
        <x:f>INT(B413)</x:f>
        <x:v>44463</x:v>
      </x:c>
      <x:c r="D413" s="28" t="n">
        <x:f>MOD(B413,1)</x:f>
        <x:v>0.37854166666511446</x:v>
      </x:c>
      <x:c r="E413" s="29" t="n">
        <x:f>YEAR(B413)</x:f>
        <x:v>2021</x:v>
      </x:c>
      <x:c r="F413" s="29" t="n">
        <x:f>MONTH(B413)</x:f>
        <x:v>9</x:v>
      </x:c>
      <x:c r="G413" s="30" t="n">
        <x:v>-19.33</x:v>
      </x:c>
      <x:c r="H413" s="30" t="n">
        <x:v>-70.07</x:v>
      </x:c>
      <x:c r="I413" s="29" t="n">
        <x:v>56</x:v>
      </x:c>
      <x:c r="J413" s="31" t="n">
        <x:v>3.8</x:v>
      </x:c>
      <x:c r="K413" s="25" t="str">
        <x:f>IF(J413&gt;=7,"Muy fuerte (&gt;=7)",IF(J413&gt;=6,"Fuerte (6-6.9)",IF(J413&gt;=5,"Moderado alto (5-5.9)",IF(J413&gt;=4,"Moderado (4-4.9)","Menor a 4"))))</x:f>
        <x:v>Menor a 4</x:v>
      </x:c>
      <x:c r="L413" s="25" t="str">
        <x:f>IF(I413&lt;70,"Superficial (&lt;70 km)",IF(I413&lt;=300,"Intermedio (70-300 km)","Profundo (&gt;300 km)"))</x:f>
        <x:v>Superficial (&lt;70 km)</x:v>
      </x:c>
      <x:c r="M413" s="25" t="str">
        <x:f>IF(J413&gt;=5,"Sí","No")</x:f>
        <x:v>No</x:v>
      </x:c>
      <x:c r="N413" s="25" t="str">
        <x:f>IF(J413&gt;=6,"Sí","No")</x:f>
        <x:v>No</x:v>
      </x:c>
      <x:c r="O413" s="25" t="str">
        <x:v>Pendiente: asignar con R/sf</x:v>
      </x:c>
    </x:row>
    <x:row r="414">
      <x:c r="A414" s="25" t="n">
        <x:v>413</x:v>
      </x:c>
      <x:c r="B414" s="26" t="n">
        <x:v>44546.56170138889</x:v>
      </x:c>
      <x:c r="C414" s="27" t="n">
        <x:f>INT(B414)</x:f>
        <x:v>44546</x:v>
      </x:c>
      <x:c r="D414" s="28" t="n">
        <x:f>MOD(B414,1)</x:f>
        <x:v>0.5617013888913789</x:v>
      </x:c>
      <x:c r="E414" s="29" t="n">
        <x:f>YEAR(B414)</x:f>
        <x:v>2021</x:v>
      </x:c>
      <x:c r="F414" s="29" t="n">
        <x:f>MONTH(B414)</x:f>
        <x:v>12</x:v>
      </x:c>
      <x:c r="G414" s="30" t="n">
        <x:v>-20.77</x:v>
      </x:c>
      <x:c r="H414" s="30" t="n">
        <x:v>-69.18</x:v>
      </x:c>
      <x:c r="I414" s="29" t="n">
        <x:v>108</x:v>
      </x:c>
      <x:c r="J414" s="31" t="n">
        <x:v>4.2</x:v>
      </x:c>
      <x:c r="K414" s="25" t="str">
        <x:f>IF(J414&gt;=7,"Muy fuerte (&gt;=7)",IF(J414&gt;=6,"Fuerte (6-6.9)",IF(J414&gt;=5,"Moderado alto (5-5.9)",IF(J414&gt;=4,"Moderado (4-4.9)","Menor a 4"))))</x:f>
        <x:v>Moderado (4-4.9)</x:v>
      </x:c>
      <x:c r="L414" s="25" t="str">
        <x:f>IF(I414&lt;70,"Superficial (&lt;70 km)",IF(I414&lt;=300,"Intermedio (70-300 km)","Profundo (&gt;300 km)"))</x:f>
        <x:v>Intermedio (70-300 km)</x:v>
      </x:c>
      <x:c r="M414" s="25" t="str">
        <x:f>IF(J414&gt;=5,"Sí","No")</x:f>
        <x:v>No</x:v>
      </x:c>
      <x:c r="N414" s="25" t="str">
        <x:f>IF(J414&gt;=6,"Sí","No")</x:f>
        <x:v>No</x:v>
      </x:c>
      <x:c r="O414" s="25" t="str">
        <x:v>Pendiente: asignar con R/sf</x:v>
      </x:c>
    </x:row>
    <x:row r="415">
      <x:c r="A415" s="25" t="n">
        <x:v>414</x:v>
      </x:c>
      <x:c r="B415" s="26" t="n">
        <x:v>44138.62255787037</x:v>
      </x:c>
      <x:c r="C415" s="27" t="n">
        <x:f>INT(B415)</x:f>
        <x:v>44138</x:v>
      </x:c>
      <x:c r="D415" s="28" t="n">
        <x:f>MOD(B415,1)</x:f>
        <x:v>0.622557870367018</x:v>
      </x:c>
      <x:c r="E415" s="29" t="n">
        <x:f>YEAR(B415)</x:f>
        <x:v>2020</x:v>
      </x:c>
      <x:c r="F415" s="29" t="n">
        <x:f>MONTH(B415)</x:f>
        <x:v>11</x:v>
      </x:c>
      <x:c r="G415" s="30" t="n">
        <x:v>-32.02</x:v>
      </x:c>
      <x:c r="H415" s="30" t="n">
        <x:v>-71.65</x:v>
      </x:c>
      <x:c r="I415" s="29" t="n">
        <x:v>35</x:v>
      </x:c>
      <x:c r="J415" s="31" t="n">
        <x:v>3.8</x:v>
      </x:c>
      <x:c r="K415" s="25" t="str">
        <x:f>IF(J415&gt;=7,"Muy fuerte (&gt;=7)",IF(J415&gt;=6,"Fuerte (6-6.9)",IF(J415&gt;=5,"Moderado alto (5-5.9)",IF(J415&gt;=4,"Moderado (4-4.9)","Menor a 4"))))</x:f>
        <x:v>Menor a 4</x:v>
      </x:c>
      <x:c r="L415" s="25" t="str">
        <x:f>IF(I415&lt;70,"Superficial (&lt;70 km)",IF(I415&lt;=300,"Intermedio (70-300 km)","Profundo (&gt;300 km)"))</x:f>
        <x:v>Superficial (&lt;70 km)</x:v>
      </x:c>
      <x:c r="M415" s="25" t="str">
        <x:f>IF(J415&gt;=5,"Sí","No")</x:f>
        <x:v>No</x:v>
      </x:c>
      <x:c r="N415" s="25" t="str">
        <x:f>IF(J415&gt;=6,"Sí","No")</x:f>
        <x:v>No</x:v>
      </x:c>
      <x:c r="O415" s="25" t="str">
        <x:v>Pendiente: asignar con R/sf</x:v>
      </x:c>
    </x:row>
    <x:row r="416">
      <x:c r="A416" s="25" t="n">
        <x:v>415</x:v>
      </x:c>
      <x:c r="B416" s="26" t="n">
        <x:v>44120.17832175926</x:v>
      </x:c>
      <x:c r="C416" s="27" t="n">
        <x:f>INT(B416)</x:f>
        <x:v>44120</x:v>
      </x:c>
      <x:c r="D416" s="28" t="n">
        <x:f>MOD(B416,1)</x:f>
        <x:v>0.17832175926014315</x:v>
      </x:c>
      <x:c r="E416" s="29" t="n">
        <x:f>YEAR(B416)</x:f>
        <x:v>2020</x:v>
      </x:c>
      <x:c r="F416" s="29" t="n">
        <x:f>MONTH(B416)</x:f>
        <x:v>10</x:v>
      </x:c>
      <x:c r="G416" s="30" t="n">
        <x:v>-30.36</x:v>
      </x:c>
      <x:c r="H416" s="30" t="n">
        <x:v>-71.23</x:v>
      </x:c>
      <x:c r="I416" s="29" t="n">
        <x:v>25</x:v>
      </x:c>
      <x:c r="J416" s="31" t="n">
        <x:v>3.5</x:v>
      </x:c>
      <x:c r="K416" s="25" t="str">
        <x:f>IF(J416&gt;=7,"Muy fuerte (&gt;=7)",IF(J416&gt;=6,"Fuerte (6-6.9)",IF(J416&gt;=5,"Moderado alto (5-5.9)",IF(J416&gt;=4,"Moderado (4-4.9)","Menor a 4"))))</x:f>
        <x:v>Menor a 4</x:v>
      </x:c>
      <x:c r="L416" s="25" t="str">
        <x:f>IF(I416&lt;70,"Superficial (&lt;70 km)",IF(I416&lt;=300,"Intermedio (70-300 km)","Profundo (&gt;300 km)"))</x:f>
        <x:v>Superficial (&lt;70 km)</x:v>
      </x:c>
      <x:c r="M416" s="25" t="str">
        <x:f>IF(J416&gt;=5,"Sí","No")</x:f>
        <x:v>No</x:v>
      </x:c>
      <x:c r="N416" s="25" t="str">
        <x:f>IF(J416&gt;=6,"Sí","No")</x:f>
        <x:v>No</x:v>
      </x:c>
      <x:c r="O416" s="25" t="str">
        <x:v>Pendiente: asignar con R/sf</x:v>
      </x:c>
    </x:row>
    <x:row r="417">
      <x:c r="A417" s="25" t="n">
        <x:v>416</x:v>
      </x:c>
      <x:c r="B417" s="26" t="n">
        <x:v>44636.58349537037</x:v>
      </x:c>
      <x:c r="C417" s="27" t="n">
        <x:f>INT(B417)</x:f>
        <x:v>44636</x:v>
      </x:c>
      <x:c r="D417" s="28" t="n">
        <x:f>MOD(B417,1)</x:f>
        <x:v>0.583495370367018</x:v>
      </x:c>
      <x:c r="E417" s="29" t="n">
        <x:f>YEAR(B417)</x:f>
        <x:v>2022</x:v>
      </x:c>
      <x:c r="F417" s="29" t="n">
        <x:f>MONTH(B417)</x:f>
        <x:v>3</x:v>
      </x:c>
      <x:c r="G417" s="30" t="n">
        <x:v>-20.14</x:v>
      </x:c>
      <x:c r="H417" s="30" t="n">
        <x:v>-69.19</x:v>
      </x:c>
      <x:c r="I417" s="29" t="n">
        <x:v>97</x:v>
      </x:c>
      <x:c r="J417" s="31" t="n">
        <x:v>4.2</x:v>
      </x:c>
      <x:c r="K417" s="25" t="str">
        <x:f>IF(J417&gt;=7,"Muy fuerte (&gt;=7)",IF(J417&gt;=6,"Fuerte (6-6.9)",IF(J417&gt;=5,"Moderado alto (5-5.9)",IF(J417&gt;=4,"Moderado (4-4.9)","Menor a 4"))))</x:f>
        <x:v>Moderado (4-4.9)</x:v>
      </x:c>
      <x:c r="L417" s="25" t="str">
        <x:f>IF(I417&lt;70,"Superficial (&lt;70 km)",IF(I417&lt;=300,"Intermedio (70-300 km)","Profundo (&gt;300 km)"))</x:f>
        <x:v>Intermedio (70-300 km)</x:v>
      </x:c>
      <x:c r="M417" s="25" t="str">
        <x:f>IF(J417&gt;=5,"Sí","No")</x:f>
        <x:v>No</x:v>
      </x:c>
      <x:c r="N417" s="25" t="str">
        <x:f>IF(J417&gt;=6,"Sí","No")</x:f>
        <x:v>No</x:v>
      </x:c>
      <x:c r="O417" s="25" t="str">
        <x:v>Pendiente: asignar con R/sf</x:v>
      </x:c>
    </x:row>
    <x:row r="418">
      <x:c r="A418" s="25" t="n">
        <x:v>417</x:v>
      </x:c>
      <x:c r="B418" s="26" t="n">
        <x:v>44685.533587962964</x:v>
      </x:c>
      <x:c r="C418" s="27" t="n">
        <x:f>INT(B418)</x:f>
        <x:v>44685</x:v>
      </x:c>
      <x:c r="D418" s="28" t="n">
        <x:f>MOD(B418,1)</x:f>
        <x:v>0.533587962963793</x:v>
      </x:c>
      <x:c r="E418" s="29" t="n">
        <x:f>YEAR(B418)</x:f>
        <x:v>2022</x:v>
      </x:c>
      <x:c r="F418" s="29" t="n">
        <x:f>MONTH(B418)</x:f>
        <x:v>5</x:v>
      </x:c>
      <x:c r="G418" s="30" t="n">
        <x:v>-32.23</x:v>
      </x:c>
      <x:c r="H418" s="30" t="n">
        <x:v>-71.9</x:v>
      </x:c>
      <x:c r="I418" s="29" t="n">
        <x:v>32</x:v>
      </x:c>
      <x:c r="J418" s="31" t="n">
        <x:v>4.9</x:v>
      </x:c>
      <x:c r="K418" s="25" t="str">
        <x:f>IF(J418&gt;=7,"Muy fuerte (&gt;=7)",IF(J418&gt;=6,"Fuerte (6-6.9)",IF(J418&gt;=5,"Moderado alto (5-5.9)",IF(J418&gt;=4,"Moderado (4-4.9)","Menor a 4"))))</x:f>
        <x:v>Moderado (4-4.9)</x:v>
      </x:c>
      <x:c r="L418" s="25" t="str">
        <x:f>IF(I418&lt;70,"Superficial (&lt;70 km)",IF(I418&lt;=300,"Intermedio (70-300 km)","Profundo (&gt;300 km)"))</x:f>
        <x:v>Superficial (&lt;70 km)</x:v>
      </x:c>
      <x:c r="M418" s="25" t="str">
        <x:f>IF(J418&gt;=5,"Sí","No")</x:f>
        <x:v>No</x:v>
      </x:c>
      <x:c r="N418" s="25" t="str">
        <x:f>IF(J418&gt;=6,"Sí","No")</x:f>
        <x:v>No</x:v>
      </x:c>
      <x:c r="O418" s="25" t="str">
        <x:v>Pendiente: asignar con R/sf</x:v>
      </x:c>
    </x:row>
    <x:row r="419">
      <x:c r="A419" s="25" t="n">
        <x:v>418</x:v>
      </x:c>
      <x:c r="B419" s="26" t="n">
        <x:v>44714.65615740741</x:v>
      </x:c>
      <x:c r="C419" s="27" t="n">
        <x:f>INT(B419)</x:f>
        <x:v>44714</x:v>
      </x:c>
      <x:c r="D419" s="28" t="n">
        <x:f>MOD(B419,1)</x:f>
        <x:v>0.6561574074075907</x:v>
      </x:c>
      <x:c r="E419" s="29" t="n">
        <x:f>YEAR(B419)</x:f>
        <x:v>2022</x:v>
      </x:c>
      <x:c r="F419" s="29" t="n">
        <x:f>MONTH(B419)</x:f>
        <x:v>6</x:v>
      </x:c>
      <x:c r="G419" s="30" t="n">
        <x:v>-21.82</x:v>
      </x:c>
      <x:c r="H419" s="30" t="n">
        <x:v>-69.92</x:v>
      </x:c>
      <x:c r="I419" s="29" t="n">
        <x:v>58</x:v>
      </x:c>
      <x:c r="J419" s="31" t="n">
        <x:v>4.7</x:v>
      </x:c>
      <x:c r="K419" s="25" t="str">
        <x:f>IF(J419&gt;=7,"Muy fuerte (&gt;=7)",IF(J419&gt;=6,"Fuerte (6-6.9)",IF(J419&gt;=5,"Moderado alto (5-5.9)",IF(J419&gt;=4,"Moderado (4-4.9)","Menor a 4"))))</x:f>
        <x:v>Moderado (4-4.9)</x:v>
      </x:c>
      <x:c r="L419" s="25" t="str">
        <x:f>IF(I419&lt;70,"Superficial (&lt;70 km)",IF(I419&lt;=300,"Intermedio (70-300 km)","Profundo (&gt;300 km)"))</x:f>
        <x:v>Superficial (&lt;70 km)</x:v>
      </x:c>
      <x:c r="M419" s="25" t="str">
        <x:f>IF(J419&gt;=5,"Sí","No")</x:f>
        <x:v>No</x:v>
      </x:c>
      <x:c r="N419" s="25" t="str">
        <x:f>IF(J419&gt;=6,"Sí","No")</x:f>
        <x:v>No</x:v>
      </x:c>
      <x:c r="O419" s="25" t="str">
        <x:v>Pendiente: asignar con R/sf</x:v>
      </x:c>
    </x:row>
    <x:row r="420">
      <x:c r="A420" s="25" t="n">
        <x:v>419</x:v>
      </x:c>
      <x:c r="B420" s="26" t="n">
        <x:v>44670.77369212963</x:v>
      </x:c>
      <x:c r="C420" s="27" t="n">
        <x:f>INT(B420)</x:f>
        <x:v>44670</x:v>
      </x:c>
      <x:c r="D420" s="28" t="n">
        <x:f>MOD(B420,1)</x:f>
        <x:v>0.7736921296309447</x:v>
      </x:c>
      <x:c r="E420" s="29" t="n">
        <x:f>YEAR(B420)</x:f>
        <x:v>2022</x:v>
      </x:c>
      <x:c r="F420" s="29" t="n">
        <x:f>MONTH(B420)</x:f>
        <x:v>4</x:v>
      </x:c>
      <x:c r="G420" s="30" t="n">
        <x:v>-20.07</x:v>
      </x:c>
      <x:c r="H420" s="30" t="n">
        <x:v>-69.36</x:v>
      </x:c>
      <x:c r="I420" s="29" t="n">
        <x:v>112</x:v>
      </x:c>
      <x:c r="J420" s="31" t="n">
        <x:v>3.7</x:v>
      </x:c>
      <x:c r="K420" s="25" t="str">
        <x:f>IF(J420&gt;=7,"Muy fuerte (&gt;=7)",IF(J420&gt;=6,"Fuerte (6-6.9)",IF(J420&gt;=5,"Moderado alto (5-5.9)",IF(J420&gt;=4,"Moderado (4-4.9)","Menor a 4"))))</x:f>
        <x:v>Menor a 4</x:v>
      </x:c>
      <x:c r="L420" s="25" t="str">
        <x:f>IF(I420&lt;70,"Superficial (&lt;70 km)",IF(I420&lt;=300,"Intermedio (70-300 km)","Profundo (&gt;300 km)"))</x:f>
        <x:v>Intermedio (70-300 km)</x:v>
      </x:c>
      <x:c r="M420" s="25" t="str">
        <x:f>IF(J420&gt;=5,"Sí","No")</x:f>
        <x:v>No</x:v>
      </x:c>
      <x:c r="N420" s="25" t="str">
        <x:f>IF(J420&gt;=6,"Sí","No")</x:f>
        <x:v>No</x:v>
      </x:c>
      <x:c r="O420" s="25" t="str">
        <x:v>Pendiente: asignar con R/sf</x:v>
      </x:c>
    </x:row>
    <x:row r="421">
      <x:c r="A421" s="25" t="n">
        <x:v>420</x:v>
      </x:c>
      <x:c r="B421" s="26" t="n">
        <x:v>44442.75225694444</x:v>
      </x:c>
      <x:c r="C421" s="27" t="n">
        <x:f>INT(B421)</x:f>
        <x:v>44442</x:v>
      </x:c>
      <x:c r="D421" s="28" t="n">
        <x:f>MOD(B421,1)</x:f>
        <x:v>0.7522569444408873</x:v>
      </x:c>
      <x:c r="E421" s="29" t="n">
        <x:f>YEAR(B421)</x:f>
        <x:v>2021</x:v>
      </x:c>
      <x:c r="F421" s="29" t="n">
        <x:f>MONTH(B421)</x:f>
        <x:v>9</x:v>
      </x:c>
      <x:c r="G421" s="30" t="n">
        <x:v>-19.51</x:v>
      </x:c>
      <x:c r="H421" s="30" t="n">
        <x:v>-69.37</x:v>
      </x:c>
      <x:c r="I421" s="29" t="n">
        <x:v>96</x:v>
      </x:c>
      <x:c r="J421" s="31" t="n">
        <x:v>3.6</x:v>
      </x:c>
      <x:c r="K421" s="25" t="str">
        <x:f>IF(J421&gt;=7,"Muy fuerte (&gt;=7)",IF(J421&gt;=6,"Fuerte (6-6.9)",IF(J421&gt;=5,"Moderado alto (5-5.9)",IF(J421&gt;=4,"Moderado (4-4.9)","Menor a 4"))))</x:f>
        <x:v>Menor a 4</x:v>
      </x:c>
      <x:c r="L421" s="25" t="str">
        <x:f>IF(I421&lt;70,"Superficial (&lt;70 km)",IF(I421&lt;=300,"Intermedio (70-300 km)","Profundo (&gt;300 km)"))</x:f>
        <x:v>Intermedio (70-300 km)</x:v>
      </x:c>
      <x:c r="M421" s="25" t="str">
        <x:f>IF(J421&gt;=5,"Sí","No")</x:f>
        <x:v>No</x:v>
      </x:c>
      <x:c r="N421" s="25" t="str">
        <x:f>IF(J421&gt;=6,"Sí","No")</x:f>
        <x:v>No</x:v>
      </x:c>
      <x:c r="O421" s="25" t="str">
        <x:v>Pendiente: asignar con R/sf</x:v>
      </x:c>
    </x:row>
    <x:row r="422">
      <x:c r="A422" s="25" t="n">
        <x:v>421</x:v>
      </x:c>
      <x:c r="B422" s="26" t="n">
        <x:v>43894.90876157407</x:v>
      </x:c>
      <x:c r="C422" s="27" t="n">
        <x:f>INT(B422)</x:f>
        <x:v>43894</x:v>
      </x:c>
      <x:c r="D422" s="28" t="n">
        <x:f>MOD(B422,1)</x:f>
        <x:v>0.908761574071832</x:v>
      </x:c>
      <x:c r="E422" s="29" t="n">
        <x:f>YEAR(B422)</x:f>
        <x:v>2020</x:v>
      </x:c>
      <x:c r="F422" s="29" t="n">
        <x:f>MONTH(B422)</x:f>
        <x:v>3</x:v>
      </x:c>
      <x:c r="G422" s="30" t="n">
        <x:v>-20.33</x:v>
      </x:c>
      <x:c r="H422" s="30" t="n">
        <x:v>-69.15</x:v>
      </x:c>
      <x:c r="I422" s="29" t="n">
        <x:v>114</x:v>
      </x:c>
      <x:c r="J422" s="31" t="n">
        <x:v>3.9</x:v>
      </x:c>
      <x:c r="K422" s="25" t="str">
        <x:f>IF(J422&gt;=7,"Muy fuerte (&gt;=7)",IF(J422&gt;=6,"Fuerte (6-6.9)",IF(J422&gt;=5,"Moderado alto (5-5.9)",IF(J422&gt;=4,"Moderado (4-4.9)","Menor a 4"))))</x:f>
        <x:v>Menor a 4</x:v>
      </x:c>
      <x:c r="L422" s="25" t="str">
        <x:f>IF(I422&lt;70,"Superficial (&lt;70 km)",IF(I422&lt;=300,"Intermedio (70-300 km)","Profundo (&gt;300 km)"))</x:f>
        <x:v>Intermedio (70-300 km)</x:v>
      </x:c>
      <x:c r="M422" s="25" t="str">
        <x:f>IF(J422&gt;=5,"Sí","No")</x:f>
        <x:v>No</x:v>
      </x:c>
      <x:c r="N422" s="25" t="str">
        <x:f>IF(J422&gt;=6,"Sí","No")</x:f>
        <x:v>No</x:v>
      </x:c>
      <x:c r="O422" s="25" t="str">
        <x:v>Pendiente: asignar con R/sf</x:v>
      </x:c>
    </x:row>
    <x:row r="423">
      <x:c r="A423" s="25" t="n">
        <x:v>422</x:v>
      </x:c>
      <x:c r="B423" s="26" t="n">
        <x:v>43486.06329861111</x:v>
      </x:c>
      <x:c r="C423" s="27" t="n">
        <x:f>INT(B423)</x:f>
        <x:v>43486</x:v>
      </x:c>
      <x:c r="D423" s="28" t="n">
        <x:f>MOD(B423,1)</x:f>
        <x:v>0.06329861110862112</x:v>
      </x:c>
      <x:c r="E423" s="29" t="n">
        <x:f>YEAR(B423)</x:f>
        <x:v>2019</x:v>
      </x:c>
      <x:c r="F423" s="29" t="n">
        <x:f>MONTH(B423)</x:f>
        <x:v>1</x:v>
      </x:c>
      <x:c r="G423" s="30" t="n">
        <x:v>-30.15</x:v>
      </x:c>
      <x:c r="H423" s="30" t="n">
        <x:v>-71.22</x:v>
      </x:c>
      <x:c r="I423" s="29" t="n">
        <x:v>61</x:v>
      </x:c>
      <x:c r="J423" s="31" t="n">
        <x:v>3.9</x:v>
      </x:c>
      <x:c r="K423" s="25" t="str">
        <x:f>IF(J423&gt;=7,"Muy fuerte (&gt;=7)",IF(J423&gt;=6,"Fuerte (6-6.9)",IF(J423&gt;=5,"Moderado alto (5-5.9)",IF(J423&gt;=4,"Moderado (4-4.9)","Menor a 4"))))</x:f>
        <x:v>Menor a 4</x:v>
      </x:c>
      <x:c r="L423" s="25" t="str">
        <x:f>IF(I423&lt;70,"Superficial (&lt;70 km)",IF(I423&lt;=300,"Intermedio (70-300 km)","Profundo (&gt;300 km)"))</x:f>
        <x:v>Superficial (&lt;70 km)</x:v>
      </x:c>
      <x:c r="M423" s="25" t="str">
        <x:f>IF(J423&gt;=5,"Sí","No")</x:f>
        <x:v>No</x:v>
      </x:c>
      <x:c r="N423" s="25" t="str">
        <x:f>IF(J423&gt;=6,"Sí","No")</x:f>
        <x:v>No</x:v>
      </x:c>
      <x:c r="O423" s="25" t="str">
        <x:v>Pendiente: asignar con R/sf</x:v>
      </x:c>
    </x:row>
    <x:row r="424">
      <x:c r="A424" s="25" t="n">
        <x:v>423</x:v>
      </x:c>
      <x:c r="B424" s="26" t="n">
        <x:v>44181.776238425926</x:v>
      </x:c>
      <x:c r="C424" s="27" t="n">
        <x:f>INT(B424)</x:f>
        <x:v>44181</x:v>
      </x:c>
      <x:c r="D424" s="28" t="n">
        <x:f>MOD(B424,1)</x:f>
        <x:v>0.7762384259258397</x:v>
      </x:c>
      <x:c r="E424" s="29" t="n">
        <x:f>YEAR(B424)</x:f>
        <x:v>2020</x:v>
      </x:c>
      <x:c r="F424" s="29" t="n">
        <x:f>MONTH(B424)</x:f>
        <x:v>12</x:v>
      </x:c>
      <x:c r="G424" s="30" t="n">
        <x:v>-30.74</x:v>
      </x:c>
      <x:c r="H424" s="30" t="n">
        <x:v>-71.42</x:v>
      </x:c>
      <x:c r="I424" s="29" t="n">
        <x:v>52</x:v>
      </x:c>
      <x:c r="J424" s="31" t="n">
        <x:v>4.6</x:v>
      </x:c>
      <x:c r="K424" s="25" t="str">
        <x:f>IF(J424&gt;=7,"Muy fuerte (&gt;=7)",IF(J424&gt;=6,"Fuerte (6-6.9)",IF(J424&gt;=5,"Moderado alto (5-5.9)",IF(J424&gt;=4,"Moderado (4-4.9)","Menor a 4"))))</x:f>
        <x:v>Moderado (4-4.9)</x:v>
      </x:c>
      <x:c r="L424" s="25" t="str">
        <x:f>IF(I424&lt;70,"Superficial (&lt;70 km)",IF(I424&lt;=300,"Intermedio (70-300 km)","Profundo (&gt;300 km)"))</x:f>
        <x:v>Superficial (&lt;70 km)</x:v>
      </x:c>
      <x:c r="M424" s="25" t="str">
        <x:f>IF(J424&gt;=5,"Sí","No")</x:f>
        <x:v>No</x:v>
      </x:c>
      <x:c r="N424" s="25" t="str">
        <x:f>IF(J424&gt;=6,"Sí","No")</x:f>
        <x:v>No</x:v>
      </x:c>
      <x:c r="O424" s="25" t="str">
        <x:v>Pendiente: asignar con R/sf</x:v>
      </x:c>
    </x:row>
    <x:row r="425">
      <x:c r="A425" s="25" t="n">
        <x:v>424</x:v>
      </x:c>
      <x:c r="B425" s="26" t="n">
        <x:v>44544.285775462966</x:v>
      </x:c>
      <x:c r="C425" s="27" t="n">
        <x:f>INT(B425)</x:f>
        <x:v>44544</x:v>
      </x:c>
      <x:c r="D425" s="28" t="n">
        <x:f>MOD(B425,1)</x:f>
        <x:v>0.28577546296583023</x:v>
      </x:c>
      <x:c r="E425" s="29" t="n">
        <x:f>YEAR(B425)</x:f>
        <x:v>2021</x:v>
      </x:c>
      <x:c r="F425" s="29" t="n">
        <x:f>MONTH(B425)</x:f>
        <x:v>12</x:v>
      </x:c>
      <x:c r="G425" s="30" t="n">
        <x:v>-29.65</x:v>
      </x:c>
      <x:c r="H425" s="30" t="n">
        <x:v>-71.17</x:v>
      </x:c>
      <x:c r="I425" s="29" t="n">
        <x:v>56</x:v>
      </x:c>
      <x:c r="J425" s="31" t="n">
        <x:v>3.5</x:v>
      </x:c>
      <x:c r="K425" s="25" t="str">
        <x:f>IF(J425&gt;=7,"Muy fuerte (&gt;=7)",IF(J425&gt;=6,"Fuerte (6-6.9)",IF(J425&gt;=5,"Moderado alto (5-5.9)",IF(J425&gt;=4,"Moderado (4-4.9)","Menor a 4"))))</x:f>
        <x:v>Menor a 4</x:v>
      </x:c>
      <x:c r="L425" s="25" t="str">
        <x:f>IF(I425&lt;70,"Superficial (&lt;70 km)",IF(I425&lt;=300,"Intermedio (70-300 km)","Profundo (&gt;300 km)"))</x:f>
        <x:v>Superficial (&lt;70 km)</x:v>
      </x:c>
      <x:c r="M425" s="25" t="str">
        <x:f>IF(J425&gt;=5,"Sí","No")</x:f>
        <x:v>No</x:v>
      </x:c>
      <x:c r="N425" s="25" t="str">
        <x:f>IF(J425&gt;=6,"Sí","No")</x:f>
        <x:v>No</x:v>
      </x:c>
      <x:c r="O425" s="25" t="str">
        <x:v>Pendiente: asignar con R/sf</x:v>
      </x:c>
    </x:row>
    <x:row r="426">
      <x:c r="A426" s="25" t="n">
        <x:v>425</x:v>
      </x:c>
      <x:c r="B426" s="26" t="n">
        <x:v>44518.76541666667</x:v>
      </x:c>
      <x:c r="C426" s="27" t="n">
        <x:f>INT(B426)</x:f>
        <x:v>44518</x:v>
      </x:c>
      <x:c r="D426" s="28" t="n">
        <x:f>MOD(B426,1)</x:f>
        <x:v>0.765416666668898</x:v>
      </x:c>
      <x:c r="E426" s="29" t="n">
        <x:f>YEAR(B426)</x:f>
        <x:v>2021</x:v>
      </x:c>
      <x:c r="F426" s="29" t="n">
        <x:f>MONTH(B426)</x:f>
        <x:v>11</x:v>
      </x:c>
      <x:c r="G426" s="30" t="n">
        <x:v>-29.57</x:v>
      </x:c>
      <x:c r="H426" s="30" t="n">
        <x:v>-71.25</x:v>
      </x:c>
      <x:c r="I426" s="29" t="n">
        <x:v>55</x:v>
      </x:c>
      <x:c r="J426" s="31" t="n">
        <x:v>3.9</x:v>
      </x:c>
      <x:c r="K426" s="25" t="str">
        <x:f>IF(J426&gt;=7,"Muy fuerte (&gt;=7)",IF(J426&gt;=6,"Fuerte (6-6.9)",IF(J426&gt;=5,"Moderado alto (5-5.9)",IF(J426&gt;=4,"Moderado (4-4.9)","Menor a 4"))))</x:f>
        <x:v>Menor a 4</x:v>
      </x:c>
      <x:c r="L426" s="25" t="str">
        <x:f>IF(I426&lt;70,"Superficial (&lt;70 km)",IF(I426&lt;=300,"Intermedio (70-300 km)","Profundo (&gt;300 km)"))</x:f>
        <x:v>Superficial (&lt;70 km)</x:v>
      </x:c>
      <x:c r="M426" s="25" t="str">
        <x:f>IF(J426&gt;=5,"Sí","No")</x:f>
        <x:v>No</x:v>
      </x:c>
      <x:c r="N426" s="25" t="str">
        <x:f>IF(J426&gt;=6,"Sí","No")</x:f>
        <x:v>No</x:v>
      </x:c>
      <x:c r="O426" s="25" t="str">
        <x:v>Pendiente: asignar con R/sf</x:v>
      </x:c>
    </x:row>
    <x:row r="427">
      <x:c r="A427" s="25" t="n">
        <x:v>426</x:v>
      </x:c>
      <x:c r="B427" s="26" t="n">
        <x:v>44552.16075231481</x:v>
      </x:c>
      <x:c r="C427" s="27" t="n">
        <x:f>INT(B427)</x:f>
        <x:v>44552</x:v>
      </x:c>
      <x:c r="D427" s="28" t="n">
        <x:f>MOD(B427,1)</x:f>
        <x:v>0.16075231481227092</x:v>
      </x:c>
      <x:c r="E427" s="29" t="n">
        <x:f>YEAR(B427)</x:f>
        <x:v>2021</x:v>
      </x:c>
      <x:c r="F427" s="29" t="n">
        <x:f>MONTH(B427)</x:f>
        <x:v>12</x:v>
      </x:c>
      <x:c r="G427" s="30" t="n">
        <x:v>-30.08</x:v>
      </x:c>
      <x:c r="H427" s="30" t="n">
        <x:v>-71.57</x:v>
      </x:c>
      <x:c r="I427" s="29" t="n">
        <x:v>33</x:v>
      </x:c>
      <x:c r="J427" s="31" t="n">
        <x:v>3.7</x:v>
      </x:c>
      <x:c r="K427" s="25" t="str">
        <x:f>IF(J427&gt;=7,"Muy fuerte (&gt;=7)",IF(J427&gt;=6,"Fuerte (6-6.9)",IF(J427&gt;=5,"Moderado alto (5-5.9)",IF(J427&gt;=4,"Moderado (4-4.9)","Menor a 4"))))</x:f>
        <x:v>Menor a 4</x:v>
      </x:c>
      <x:c r="L427" s="25" t="str">
        <x:f>IF(I427&lt;70,"Superficial (&lt;70 km)",IF(I427&lt;=300,"Intermedio (70-300 km)","Profundo (&gt;300 km)"))</x:f>
        <x:v>Superficial (&lt;70 km)</x:v>
      </x:c>
      <x:c r="M427" s="25" t="str">
        <x:f>IF(J427&gt;=5,"Sí","No")</x:f>
        <x:v>No</x:v>
      </x:c>
      <x:c r="N427" s="25" t="str">
        <x:f>IF(J427&gt;=6,"Sí","No")</x:f>
        <x:v>No</x:v>
      </x:c>
      <x:c r="O427" s="25" t="str">
        <x:v>Pendiente: asignar con R/sf</x:v>
      </x:c>
    </x:row>
    <x:row r="428">
      <x:c r="A428" s="25" t="n">
        <x:v>427</x:v>
      </x:c>
      <x:c r="B428" s="26" t="n">
        <x:v>44019.391689814816</x:v>
      </x:c>
      <x:c r="C428" s="27" t="n">
        <x:f>INT(B428)</x:f>
        <x:v>44019</x:v>
      </x:c>
      <x:c r="D428" s="28" t="n">
        <x:f>MOD(B428,1)</x:f>
        <x:v>0.39168981481634546</x:v>
      </x:c>
      <x:c r="E428" s="29" t="n">
        <x:f>YEAR(B428)</x:f>
        <x:v>2020</x:v>
      </x:c>
      <x:c r="F428" s="29" t="n">
        <x:f>MONTH(B428)</x:f>
        <x:v>7</x:v>
      </x:c>
      <x:c r="G428" s="30" t="n">
        <x:v>-19.08</x:v>
      </x:c>
      <x:c r="H428" s="30" t="n">
        <x:v>-69.5</x:v>
      </x:c>
      <x:c r="I428" s="29" t="n">
        <x:v>120</x:v>
      </x:c>
      <x:c r="J428" s="31" t="n">
        <x:v>4.3</x:v>
      </x:c>
      <x:c r="K428" s="25" t="str">
        <x:f>IF(J428&gt;=7,"Muy fuerte (&gt;=7)",IF(J428&gt;=6,"Fuerte (6-6.9)",IF(J428&gt;=5,"Moderado alto (5-5.9)",IF(J428&gt;=4,"Moderado (4-4.9)","Menor a 4"))))</x:f>
        <x:v>Moderado (4-4.9)</x:v>
      </x:c>
      <x:c r="L428" s="25" t="str">
        <x:f>IF(I428&lt;70,"Superficial (&lt;70 km)",IF(I428&lt;=300,"Intermedio (70-300 km)","Profundo (&gt;300 km)"))</x:f>
        <x:v>Intermedio (70-300 km)</x:v>
      </x:c>
      <x:c r="M428" s="25" t="str">
        <x:f>IF(J428&gt;=5,"Sí","No")</x:f>
        <x:v>No</x:v>
      </x:c>
      <x:c r="N428" s="25" t="str">
        <x:f>IF(J428&gt;=6,"Sí","No")</x:f>
        <x:v>No</x:v>
      </x:c>
      <x:c r="O428" s="25" t="str">
        <x:v>Pendiente: asignar con R/sf</x:v>
      </x:c>
    </x:row>
    <x:row r="429">
      <x:c r="A429" s="25" t="n">
        <x:v>428</x:v>
      </x:c>
      <x:c r="B429" s="26" t="n">
        <x:v>44537.40252314815</x:v>
      </x:c>
      <x:c r="C429" s="27" t="n">
        <x:f>INT(B429)</x:f>
        <x:v>44537</x:v>
      </x:c>
      <x:c r="D429" s="28" t="n">
        <x:f>MOD(B429,1)</x:f>
        <x:v>0.40252314815006685</x:v>
      </x:c>
      <x:c r="E429" s="29" t="n">
        <x:f>YEAR(B429)</x:f>
        <x:v>2021</x:v>
      </x:c>
      <x:c r="F429" s="29" t="n">
        <x:f>MONTH(B429)</x:f>
        <x:v>12</x:v>
      </x:c>
      <x:c r="G429" s="30" t="n">
        <x:v>-18.57</x:v>
      </x:c>
      <x:c r="H429" s="30" t="n">
        <x:v>-71.02</x:v>
      </x:c>
      <x:c r="I429" s="29" t="n">
        <x:v>31</x:v>
      </x:c>
      <x:c r="J429" s="31" t="n">
        <x:v>5.1</x:v>
      </x:c>
      <x:c r="K429" s="25" t="str">
        <x:f>IF(J429&gt;=7,"Muy fuerte (&gt;=7)",IF(J429&gt;=6,"Fuerte (6-6.9)",IF(J429&gt;=5,"Moderado alto (5-5.9)",IF(J429&gt;=4,"Moderado (4-4.9)","Menor a 4"))))</x:f>
        <x:v>Moderado alto (5-5.9)</x:v>
      </x:c>
      <x:c r="L429" s="25" t="str">
        <x:f>IF(I429&lt;70,"Superficial (&lt;70 km)",IF(I429&lt;=300,"Intermedio (70-300 km)","Profundo (&gt;300 km)"))</x:f>
        <x:v>Superficial (&lt;70 km)</x:v>
      </x:c>
      <x:c r="M429" s="25" t="str">
        <x:f>IF(J429&gt;=5,"Sí","No")</x:f>
        <x:v>Sí</x:v>
      </x:c>
      <x:c r="N429" s="25" t="str">
        <x:f>IF(J429&gt;=6,"Sí","No")</x:f>
        <x:v>No</x:v>
      </x:c>
      <x:c r="O429" s="25" t="str">
        <x:v>Pendiente: asignar con R/sf</x:v>
      </x:c>
    </x:row>
    <x:row r="430">
      <x:c r="A430" s="25" t="n">
        <x:v>429</x:v>
      </x:c>
      <x:c r="B430" s="26" t="n">
        <x:v>44043.30993055556</x:v>
      </x:c>
      <x:c r="C430" s="27" t="n">
        <x:f>INT(B430)</x:f>
        <x:v>44043</x:v>
      </x:c>
      <x:c r="D430" s="28" t="n">
        <x:f>MOD(B430,1)</x:f>
        <x:v>0.30993055555882165</x:v>
      </x:c>
      <x:c r="E430" s="29" t="n">
        <x:f>YEAR(B430)</x:f>
        <x:v>2020</x:v>
      </x:c>
      <x:c r="F430" s="29" t="n">
        <x:f>MONTH(B430)</x:f>
        <x:v>7</x:v>
      </x:c>
      <x:c r="G430" s="30" t="n">
        <x:v>-30.31</x:v>
      </x:c>
      <x:c r="H430" s="30" t="n">
        <x:v>-71.58</x:v>
      </x:c>
      <x:c r="I430" s="29" t="n">
        <x:v>39</x:v>
      </x:c>
      <x:c r="J430" s="31" t="n">
        <x:v>4</x:v>
      </x:c>
      <x:c r="K430" s="25" t="str">
        <x:f>IF(J430&gt;=7,"Muy fuerte (&gt;=7)",IF(J430&gt;=6,"Fuerte (6-6.9)",IF(J430&gt;=5,"Moderado alto (5-5.9)",IF(J430&gt;=4,"Moderado (4-4.9)","Menor a 4"))))</x:f>
        <x:v>Moderado (4-4.9)</x:v>
      </x:c>
      <x:c r="L430" s="25" t="str">
        <x:f>IF(I430&lt;70,"Superficial (&lt;70 km)",IF(I430&lt;=300,"Intermedio (70-300 km)","Profundo (&gt;300 km)"))</x:f>
        <x:v>Superficial (&lt;70 km)</x:v>
      </x:c>
      <x:c r="M430" s="25" t="str">
        <x:f>IF(J430&gt;=5,"Sí","No")</x:f>
        <x:v>No</x:v>
      </x:c>
      <x:c r="N430" s="25" t="str">
        <x:f>IF(J430&gt;=6,"Sí","No")</x:f>
        <x:v>No</x:v>
      </x:c>
      <x:c r="O430" s="25" t="str">
        <x:v>Pendiente: asignar con R/sf</x:v>
      </x:c>
    </x:row>
    <x:row r="431">
      <x:c r="A431" s="25" t="n">
        <x:v>430</x:v>
      </x:c>
      <x:c r="B431" s="26" t="n">
        <x:v>44443.1456712963</x:v>
      </x:c>
      <x:c r="C431" s="27" t="n">
        <x:f>INT(B431)</x:f>
        <x:v>44443</x:v>
      </x:c>
      <x:c r="D431" s="28" t="n">
        <x:f>MOD(B431,1)</x:f>
        <x:v>0.1456712962972233</x:v>
      </x:c>
      <x:c r="E431" s="29" t="n">
        <x:f>YEAR(B431)</x:f>
        <x:v>2021</x:v>
      </x:c>
      <x:c r="F431" s="29" t="n">
        <x:f>MONTH(B431)</x:f>
        <x:v>9</x:v>
      </x:c>
      <x:c r="G431" s="30" t="n">
        <x:v>-29.86</x:v>
      </x:c>
      <x:c r="H431" s="30" t="n">
        <x:v>-71.18</x:v>
      </x:c>
      <x:c r="I431" s="29" t="n">
        <x:v>63</x:v>
      </x:c>
      <x:c r="J431" s="31" t="n">
        <x:v>3.8</x:v>
      </x:c>
      <x:c r="K431" s="25" t="str">
        <x:f>IF(J431&gt;=7,"Muy fuerte (&gt;=7)",IF(J431&gt;=6,"Fuerte (6-6.9)",IF(J431&gt;=5,"Moderado alto (5-5.9)",IF(J431&gt;=4,"Moderado (4-4.9)","Menor a 4"))))</x:f>
        <x:v>Menor a 4</x:v>
      </x:c>
      <x:c r="L431" s="25" t="str">
        <x:f>IF(I431&lt;70,"Superficial (&lt;70 km)",IF(I431&lt;=300,"Intermedio (70-300 km)","Profundo (&gt;300 km)"))</x:f>
        <x:v>Superficial (&lt;70 km)</x:v>
      </x:c>
      <x:c r="M431" s="25" t="str">
        <x:f>IF(J431&gt;=5,"Sí","No")</x:f>
        <x:v>No</x:v>
      </x:c>
      <x:c r="N431" s="25" t="str">
        <x:f>IF(J431&gt;=6,"Sí","No")</x:f>
        <x:v>No</x:v>
      </x:c>
      <x:c r="O431" s="25" t="str">
        <x:v>Pendiente: asignar con R/sf</x:v>
      </x:c>
    </x:row>
    <x:row r="432">
      <x:c r="A432" s="25" t="n">
        <x:v>431</x:v>
      </x:c>
      <x:c r="B432" s="26" t="n">
        <x:v>44528.77585648148</x:v>
      </x:c>
      <x:c r="C432" s="27" t="n">
        <x:f>INT(B432)</x:f>
        <x:v>44528</x:v>
      </x:c>
      <x:c r="D432" s="28" t="n">
        <x:f>MOD(B432,1)</x:f>
        <x:v>0.7758564814794227</x:v>
      </x:c>
      <x:c r="E432" s="29" t="n">
        <x:f>YEAR(B432)</x:f>
        <x:v>2021</x:v>
      </x:c>
      <x:c r="F432" s="29" t="n">
        <x:f>MONTH(B432)</x:f>
        <x:v>11</x:v>
      </x:c>
      <x:c r="G432" s="30" t="n">
        <x:v>-32.13</x:v>
      </x:c>
      <x:c r="H432" s="30" t="n">
        <x:v>-71.62</x:v>
      </x:c>
      <x:c r="I432" s="29" t="n">
        <x:v>35</x:v>
      </x:c>
      <x:c r="J432" s="31" t="n">
        <x:v>3.9</x:v>
      </x:c>
      <x:c r="K432" s="25" t="str">
        <x:f>IF(J432&gt;=7,"Muy fuerte (&gt;=7)",IF(J432&gt;=6,"Fuerte (6-6.9)",IF(J432&gt;=5,"Moderado alto (5-5.9)",IF(J432&gt;=4,"Moderado (4-4.9)","Menor a 4"))))</x:f>
        <x:v>Menor a 4</x:v>
      </x:c>
      <x:c r="L432" s="25" t="str">
        <x:f>IF(I432&lt;70,"Superficial (&lt;70 km)",IF(I432&lt;=300,"Intermedio (70-300 km)","Profundo (&gt;300 km)"))</x:f>
        <x:v>Superficial (&lt;70 km)</x:v>
      </x:c>
      <x:c r="M432" s="25" t="str">
        <x:f>IF(J432&gt;=5,"Sí","No")</x:f>
        <x:v>No</x:v>
      </x:c>
      <x:c r="N432" s="25" t="str">
        <x:f>IF(J432&gt;=6,"Sí","No")</x:f>
        <x:v>No</x:v>
      </x:c>
      <x:c r="O432" s="25" t="str">
        <x:v>Pendiente: asignar con R/sf</x:v>
      </x:c>
    </x:row>
    <x:row r="433">
      <x:c r="A433" s="25" t="n">
        <x:v>432</x:v>
      </x:c>
      <x:c r="B433" s="26" t="n">
        <x:v>43541.59646990741</x:v>
      </x:c>
      <x:c r="C433" s="27" t="n">
        <x:f>INT(B433)</x:f>
        <x:v>43541</x:v>
      </x:c>
      <x:c r="D433" s="28" t="n">
        <x:f>MOD(B433,1)</x:f>
        <x:v>0.59646990741021</x:v>
      </x:c>
      <x:c r="E433" s="29" t="n">
        <x:f>YEAR(B433)</x:f>
        <x:v>2019</x:v>
      </x:c>
      <x:c r="F433" s="29" t="n">
        <x:f>MONTH(B433)</x:f>
        <x:v>3</x:v>
      </x:c>
      <x:c r="G433" s="30" t="n">
        <x:v>-29.96</x:v>
      </x:c>
      <x:c r="H433" s="30" t="n">
        <x:v>-71.94</x:v>
      </x:c>
      <x:c r="I433" s="29" t="n">
        <x:v>34</x:v>
      </x:c>
      <x:c r="J433" s="31" t="n">
        <x:v>4</x:v>
      </x:c>
      <x:c r="K433" s="25" t="str">
        <x:f>IF(J433&gt;=7,"Muy fuerte (&gt;=7)",IF(J433&gt;=6,"Fuerte (6-6.9)",IF(J433&gt;=5,"Moderado alto (5-5.9)",IF(J433&gt;=4,"Moderado (4-4.9)","Menor a 4"))))</x:f>
        <x:v>Moderado (4-4.9)</x:v>
      </x:c>
      <x:c r="L433" s="25" t="str">
        <x:f>IF(I433&lt;70,"Superficial (&lt;70 km)",IF(I433&lt;=300,"Intermedio (70-300 km)","Profundo (&gt;300 km)"))</x:f>
        <x:v>Superficial (&lt;70 km)</x:v>
      </x:c>
      <x:c r="M433" s="25" t="str">
        <x:f>IF(J433&gt;=5,"Sí","No")</x:f>
        <x:v>No</x:v>
      </x:c>
      <x:c r="N433" s="25" t="str">
        <x:f>IF(J433&gt;=6,"Sí","No")</x:f>
        <x:v>No</x:v>
      </x:c>
      <x:c r="O433" s="25" t="str">
        <x:v>Pendiente: asignar con R/sf</x:v>
      </x:c>
    </x:row>
    <x:row r="434">
      <x:c r="A434" s="25" t="n">
        <x:v>433</x:v>
      </x:c>
      <x:c r="B434" s="26" t="n">
        <x:v>44678.592997685184</x:v>
      </x:c>
      <x:c r="C434" s="27" t="n">
        <x:f>INT(B434)</x:f>
        <x:v>44678</x:v>
      </x:c>
      <x:c r="D434" s="28" t="n">
        <x:f>MOD(B434,1)</x:f>
        <x:v>0.5929976851839456</x:v>
      </x:c>
      <x:c r="E434" s="29" t="n">
        <x:f>YEAR(B434)</x:f>
        <x:v>2022</x:v>
      </x:c>
      <x:c r="F434" s="29" t="n">
        <x:f>MONTH(B434)</x:f>
        <x:v>4</x:v>
      </x:c>
      <x:c r="G434" s="30" t="n">
        <x:v>-19.87</x:v>
      </x:c>
      <x:c r="H434" s="30" t="n">
        <x:v>-69.14</x:v>
      </x:c>
      <x:c r="I434" s="29" t="n">
        <x:v>101</x:v>
      </x:c>
      <x:c r="J434" s="31" t="n">
        <x:v>4.5</x:v>
      </x:c>
      <x:c r="K434" s="25" t="str">
        <x:f>IF(J434&gt;=7,"Muy fuerte (&gt;=7)",IF(J434&gt;=6,"Fuerte (6-6.9)",IF(J434&gt;=5,"Moderado alto (5-5.9)",IF(J434&gt;=4,"Moderado (4-4.9)","Menor a 4"))))</x:f>
        <x:v>Moderado (4-4.9)</x:v>
      </x:c>
      <x:c r="L434" s="25" t="str">
        <x:f>IF(I434&lt;70,"Superficial (&lt;70 km)",IF(I434&lt;=300,"Intermedio (70-300 km)","Profundo (&gt;300 km)"))</x:f>
        <x:v>Intermedio (70-300 km)</x:v>
      </x:c>
      <x:c r="M434" s="25" t="str">
        <x:f>IF(J434&gt;=5,"Sí","No")</x:f>
        <x:v>No</x:v>
      </x:c>
      <x:c r="N434" s="25" t="str">
        <x:f>IF(J434&gt;=6,"Sí","No")</x:f>
        <x:v>No</x:v>
      </x:c>
      <x:c r="O434" s="25" t="str">
        <x:v>Pendiente: asignar con R/sf</x:v>
      </x:c>
    </x:row>
    <x:row r="435">
      <x:c r="A435" s="25" t="n">
        <x:v>434</x:v>
      </x:c>
      <x:c r="B435" s="26" t="n">
        <x:v>43826.197430555556</x:v>
      </x:c>
      <x:c r="C435" s="27" t="n">
        <x:f>INT(B435)</x:f>
        <x:v>43826</x:v>
      </x:c>
      <x:c r="D435" s="28" t="n">
        <x:f>MOD(B435,1)</x:f>
        <x:v>0.19743055555591127</x:v>
      </x:c>
      <x:c r="E435" s="29" t="n">
        <x:f>YEAR(B435)</x:f>
        <x:v>2019</x:v>
      </x:c>
      <x:c r="F435" s="29" t="n">
        <x:f>MONTH(B435)</x:f>
        <x:v>12</x:v>
      </x:c>
      <x:c r="G435" s="30" t="n">
        <x:v>-19.13</x:v>
      </x:c>
      <x:c r="H435" s="30" t="n">
        <x:v>-69.48</x:v>
      </x:c>
      <x:c r="I435" s="29" t="n">
        <x:v>97</x:v>
      </x:c>
      <x:c r="J435" s="31" t="n">
        <x:v>4</x:v>
      </x:c>
      <x:c r="K435" s="25" t="str">
        <x:f>IF(J435&gt;=7,"Muy fuerte (&gt;=7)",IF(J435&gt;=6,"Fuerte (6-6.9)",IF(J435&gt;=5,"Moderado alto (5-5.9)",IF(J435&gt;=4,"Moderado (4-4.9)","Menor a 4"))))</x:f>
        <x:v>Moderado (4-4.9)</x:v>
      </x:c>
      <x:c r="L435" s="25" t="str">
        <x:f>IF(I435&lt;70,"Superficial (&lt;70 km)",IF(I435&lt;=300,"Intermedio (70-300 km)","Profundo (&gt;300 km)"))</x:f>
        <x:v>Intermedio (70-300 km)</x:v>
      </x:c>
      <x:c r="M435" s="25" t="str">
        <x:f>IF(J435&gt;=5,"Sí","No")</x:f>
        <x:v>No</x:v>
      </x:c>
      <x:c r="N435" s="25" t="str">
        <x:f>IF(J435&gt;=6,"Sí","No")</x:f>
        <x:v>No</x:v>
      </x:c>
      <x:c r="O435" s="25" t="str">
        <x:v>Pendiente: asignar con R/sf</x:v>
      </x:c>
    </x:row>
    <x:row r="436">
      <x:c r="A436" s="25" t="n">
        <x:v>435</x:v>
      </x:c>
      <x:c r="B436" s="26" t="n">
        <x:v>43369.672581018516</x:v>
      </x:c>
      <x:c r="C436" s="27" t="n">
        <x:f>INT(B436)</x:f>
        <x:v>43369</x:v>
      </x:c>
      <x:c r="D436" s="28" t="n">
        <x:f>MOD(B436,1)</x:f>
        <x:v>0.6725810185162118</x:v>
      </x:c>
      <x:c r="E436" s="29" t="n">
        <x:f>YEAR(B436)</x:f>
        <x:v>2018</x:v>
      </x:c>
      <x:c r="F436" s="29" t="n">
        <x:f>MONTH(B436)</x:f>
        <x:v>9</x:v>
      </x:c>
      <x:c r="G436" s="30" t="n">
        <x:v>-30.11</x:v>
      </x:c>
      <x:c r="H436" s="30" t="n">
        <x:v>-71.25</x:v>
      </x:c>
      <x:c r="I436" s="29" t="n">
        <x:v>45</x:v>
      </x:c>
      <x:c r="J436" s="31" t="n">
        <x:v>3.6</x:v>
      </x:c>
      <x:c r="K436" s="25" t="str">
        <x:f>IF(J436&gt;=7,"Muy fuerte (&gt;=7)",IF(J436&gt;=6,"Fuerte (6-6.9)",IF(J436&gt;=5,"Moderado alto (5-5.9)",IF(J436&gt;=4,"Moderado (4-4.9)","Menor a 4"))))</x:f>
        <x:v>Menor a 4</x:v>
      </x:c>
      <x:c r="L436" s="25" t="str">
        <x:f>IF(I436&lt;70,"Superficial (&lt;70 km)",IF(I436&lt;=300,"Intermedio (70-300 km)","Profundo (&gt;300 km)"))</x:f>
        <x:v>Superficial (&lt;70 km)</x:v>
      </x:c>
      <x:c r="M436" s="25" t="str">
        <x:f>IF(J436&gt;=5,"Sí","No")</x:f>
        <x:v>No</x:v>
      </x:c>
      <x:c r="N436" s="25" t="str">
        <x:f>IF(J436&gt;=6,"Sí","No")</x:f>
        <x:v>No</x:v>
      </x:c>
      <x:c r="O436" s="25" t="str">
        <x:v>Pendiente: asignar con R/sf</x:v>
      </x:c>
    </x:row>
    <x:row r="437">
      <x:c r="A437" s="25" t="n">
        <x:v>436</x:v>
      </x:c>
      <x:c r="B437" s="26" t="n">
        <x:v>44307.023414351854</x:v>
      </x:c>
      <x:c r="C437" s="27" t="n">
        <x:f>INT(B437)</x:f>
        <x:v>44307</x:v>
      </x:c>
      <x:c r="D437" s="28" t="n">
        <x:f>MOD(B437,1)</x:f>
        <x:v>0.023414351853716653</x:v>
      </x:c>
      <x:c r="E437" s="29" t="n">
        <x:f>YEAR(B437)</x:f>
        <x:v>2021</x:v>
      </x:c>
      <x:c r="F437" s="29" t="n">
        <x:f>MONTH(B437)</x:f>
        <x:v>4</x:v>
      </x:c>
      <x:c r="G437" s="30" t="n">
        <x:v>-19.79</x:v>
      </x:c>
      <x:c r="H437" s="30" t="n">
        <x:v>-69.06</x:v>
      </x:c>
      <x:c r="I437" s="29" t="n">
        <x:v>106</x:v>
      </x:c>
      <x:c r="J437" s="31" t="n">
        <x:v>3.9</x:v>
      </x:c>
      <x:c r="K437" s="25" t="str">
        <x:f>IF(J437&gt;=7,"Muy fuerte (&gt;=7)",IF(J437&gt;=6,"Fuerte (6-6.9)",IF(J437&gt;=5,"Moderado alto (5-5.9)",IF(J437&gt;=4,"Moderado (4-4.9)","Menor a 4"))))</x:f>
        <x:v>Menor a 4</x:v>
      </x:c>
      <x:c r="L437" s="25" t="str">
        <x:f>IF(I437&lt;70,"Superficial (&lt;70 km)",IF(I437&lt;=300,"Intermedio (70-300 km)","Profundo (&gt;300 km)"))</x:f>
        <x:v>Intermedio (70-300 km)</x:v>
      </x:c>
      <x:c r="M437" s="25" t="str">
        <x:f>IF(J437&gt;=5,"Sí","No")</x:f>
        <x:v>No</x:v>
      </x:c>
      <x:c r="N437" s="25" t="str">
        <x:f>IF(J437&gt;=6,"Sí","No")</x:f>
        <x:v>No</x:v>
      </x:c>
      <x:c r="O437" s="25" t="str">
        <x:v>Pendiente: asignar con R/sf</x:v>
      </x:c>
    </x:row>
    <x:row r="438">
      <x:c r="A438" s="25" t="n">
        <x:v>437</x:v>
      </x:c>
      <x:c r="B438" s="26" t="n">
        <x:v>44652.308958333335</x:v>
      </x:c>
      <x:c r="C438" s="27" t="n">
        <x:f>INT(B438)</x:f>
        <x:v>44652</x:v>
      </x:c>
      <x:c r="D438" s="28" t="n">
        <x:f>MOD(B438,1)</x:f>
        <x:v>0.30895833333488554</x:v>
      </x:c>
      <x:c r="E438" s="29" t="n">
        <x:f>YEAR(B438)</x:f>
        <x:v>2022</x:v>
      </x:c>
      <x:c r="F438" s="29" t="n">
        <x:f>MONTH(B438)</x:f>
        <x:v>4</x:v>
      </x:c>
      <x:c r="G438" s="30" t="n">
        <x:v>-29.53</x:v>
      </x:c>
      <x:c r="H438" s="30" t="n">
        <x:v>-71.25</x:v>
      </x:c>
      <x:c r="I438" s="29" t="n">
        <x:v>54</x:v>
      </x:c>
      <x:c r="J438" s="31" t="n">
        <x:v>3.4</x:v>
      </x:c>
      <x:c r="K438" s="25" t="str">
        <x:f>IF(J438&gt;=7,"Muy fuerte (&gt;=7)",IF(J438&gt;=6,"Fuerte (6-6.9)",IF(J438&gt;=5,"Moderado alto (5-5.9)",IF(J438&gt;=4,"Moderado (4-4.9)","Menor a 4"))))</x:f>
        <x:v>Menor a 4</x:v>
      </x:c>
      <x:c r="L438" s="25" t="str">
        <x:f>IF(I438&lt;70,"Superficial (&lt;70 km)",IF(I438&lt;=300,"Intermedio (70-300 km)","Profundo (&gt;300 km)"))</x:f>
        <x:v>Superficial (&lt;70 km)</x:v>
      </x:c>
      <x:c r="M438" s="25" t="str">
        <x:f>IF(J438&gt;=5,"Sí","No")</x:f>
        <x:v>No</x:v>
      </x:c>
      <x:c r="N438" s="25" t="str">
        <x:f>IF(J438&gt;=6,"Sí","No")</x:f>
        <x:v>No</x:v>
      </x:c>
      <x:c r="O438" s="25" t="str">
        <x:v>Pendiente: asignar con R/sf</x:v>
      </x:c>
    </x:row>
    <x:row r="439">
      <x:c r="A439" s="25" t="n">
        <x:v>438</x:v>
      </x:c>
      <x:c r="B439" s="26" t="n">
        <x:v>43995.218518518515</x:v>
      </x:c>
      <x:c r="C439" s="27" t="n">
        <x:f>INT(B439)</x:f>
        <x:v>43995</x:v>
      </x:c>
      <x:c r="D439" s="28" t="n">
        <x:f>MOD(B439,1)</x:f>
        <x:v>0.21851851851533866</x:v>
      </x:c>
      <x:c r="E439" s="29" t="n">
        <x:f>YEAR(B439)</x:f>
        <x:v>2020</x:v>
      </x:c>
      <x:c r="F439" s="29" t="n">
        <x:f>MONTH(B439)</x:f>
        <x:v>6</x:v>
      </x:c>
      <x:c r="G439" s="30" t="n">
        <x:v>-20.52</x:v>
      </x:c>
      <x:c r="H439" s="30" t="n">
        <x:v>-69.1</x:v>
      </x:c>
      <x:c r="I439" s="29" t="n">
        <x:v>96</x:v>
      </x:c>
      <x:c r="J439" s="31" t="n">
        <x:v>3.7</x:v>
      </x:c>
      <x:c r="K439" s="25" t="str">
        <x:f>IF(J439&gt;=7,"Muy fuerte (&gt;=7)",IF(J439&gt;=6,"Fuerte (6-6.9)",IF(J439&gt;=5,"Moderado alto (5-5.9)",IF(J439&gt;=4,"Moderado (4-4.9)","Menor a 4"))))</x:f>
        <x:v>Menor a 4</x:v>
      </x:c>
      <x:c r="L439" s="25" t="str">
        <x:f>IF(I439&lt;70,"Superficial (&lt;70 km)",IF(I439&lt;=300,"Intermedio (70-300 km)","Profundo (&gt;300 km)"))</x:f>
        <x:v>Intermedio (70-300 km)</x:v>
      </x:c>
      <x:c r="M439" s="25" t="str">
        <x:f>IF(J439&gt;=5,"Sí","No")</x:f>
        <x:v>No</x:v>
      </x:c>
      <x:c r="N439" s="25" t="str">
        <x:f>IF(J439&gt;=6,"Sí","No")</x:f>
        <x:v>No</x:v>
      </x:c>
      <x:c r="O439" s="25" t="str">
        <x:v>Pendiente: asignar con R/sf</x:v>
      </x:c>
    </x:row>
    <x:row r="440">
      <x:c r="A440" s="25" t="n">
        <x:v>439</x:v>
      </x:c>
      <x:c r="B440" s="26" t="n">
        <x:v>43771.556180555555</x:v>
      </x:c>
      <x:c r="C440" s="27" t="n">
        <x:f>INT(B440)</x:f>
        <x:v>43771</x:v>
      </x:c>
      <x:c r="D440" s="28" t="n">
        <x:f>MOD(B440,1)</x:f>
        <x:v>0.5561805555553292</x:v>
      </x:c>
      <x:c r="E440" s="29" t="n">
        <x:f>YEAR(B440)</x:f>
        <x:v>2019</x:v>
      </x:c>
      <x:c r="F440" s="29" t="n">
        <x:f>MONTH(B440)</x:f>
        <x:v>11</x:v>
      </x:c>
      <x:c r="G440" s="30" t="n">
        <x:v>-21.11</x:v>
      </x:c>
      <x:c r="H440" s="30" t="n">
        <x:v>-68.89</x:v>
      </x:c>
      <x:c r="I440" s="29" t="n">
        <x:v>108</x:v>
      </x:c>
      <x:c r="J440" s="31" t="n">
        <x:v>4.3</x:v>
      </x:c>
      <x:c r="K440" s="25" t="str">
        <x:f>IF(J440&gt;=7,"Muy fuerte (&gt;=7)",IF(J440&gt;=6,"Fuerte (6-6.9)",IF(J440&gt;=5,"Moderado alto (5-5.9)",IF(J440&gt;=4,"Moderado (4-4.9)","Menor a 4"))))</x:f>
        <x:v>Moderado (4-4.9)</x:v>
      </x:c>
      <x:c r="L440" s="25" t="str">
        <x:f>IF(I440&lt;70,"Superficial (&lt;70 km)",IF(I440&lt;=300,"Intermedio (70-300 km)","Profundo (&gt;300 km)"))</x:f>
        <x:v>Intermedio (70-300 km)</x:v>
      </x:c>
      <x:c r="M440" s="25" t="str">
        <x:f>IF(J440&gt;=5,"Sí","No")</x:f>
        <x:v>No</x:v>
      </x:c>
      <x:c r="N440" s="25" t="str">
        <x:f>IF(J440&gt;=6,"Sí","No")</x:f>
        <x:v>No</x:v>
      </x:c>
      <x:c r="O440" s="25" t="str">
        <x:v>Pendiente: asignar con R/sf</x:v>
      </x:c>
    </x:row>
    <x:row r="441">
      <x:c r="A441" s="25" t="n">
        <x:v>440</x:v>
      </x:c>
      <x:c r="B441" s="26" t="n">
        <x:v>44662.82283564815</x:v>
      </x:c>
      <x:c r="C441" s="27" t="n">
        <x:f>INT(B441)</x:f>
        <x:v>44662</x:v>
      </x:c>
      <x:c r="D441" s="28" t="n">
        <x:f>MOD(B441,1)</x:f>
        <x:v>0.8228356481486117</x:v>
      </x:c>
      <x:c r="E441" s="29" t="n">
        <x:f>YEAR(B441)</x:f>
        <x:v>2022</x:v>
      </x:c>
      <x:c r="F441" s="29" t="n">
        <x:f>MONTH(B441)</x:f>
        <x:v>4</x:v>
      </x:c>
      <x:c r="G441" s="30" t="n">
        <x:v>-19.16</x:v>
      </x:c>
      <x:c r="H441" s="30" t="n">
        <x:v>-70.06</x:v>
      </x:c>
      <x:c r="I441" s="29" t="n">
        <x:v>59</x:v>
      </x:c>
      <x:c r="J441" s="31" t="n">
        <x:v>4.4</x:v>
      </x:c>
      <x:c r="K441" s="25" t="str">
        <x:f>IF(J441&gt;=7,"Muy fuerte (&gt;=7)",IF(J441&gt;=6,"Fuerte (6-6.9)",IF(J441&gt;=5,"Moderado alto (5-5.9)",IF(J441&gt;=4,"Moderado (4-4.9)","Menor a 4"))))</x:f>
        <x:v>Moderado (4-4.9)</x:v>
      </x:c>
      <x:c r="L441" s="25" t="str">
        <x:f>IF(I441&lt;70,"Superficial (&lt;70 km)",IF(I441&lt;=300,"Intermedio (70-300 km)","Profundo (&gt;300 km)"))</x:f>
        <x:v>Superficial (&lt;70 km)</x:v>
      </x:c>
      <x:c r="M441" s="25" t="str">
        <x:f>IF(J441&gt;=5,"Sí","No")</x:f>
        <x:v>No</x:v>
      </x:c>
      <x:c r="N441" s="25" t="str">
        <x:f>IF(J441&gt;=6,"Sí","No")</x:f>
        <x:v>No</x:v>
      </x:c>
      <x:c r="O441" s="25" t="str">
        <x:v>Pendiente: asignar con R/sf</x:v>
      </x:c>
    </x:row>
    <x:row r="442">
      <x:c r="A442" s="25" t="n">
        <x:v>441</x:v>
      </x:c>
      <x:c r="B442" s="26" t="n">
        <x:v>44587.62144675926</x:v>
      </x:c>
      <x:c r="C442" s="27" t="n">
        <x:f>INT(B442)</x:f>
        <x:v>44587</x:v>
      </x:c>
      <x:c r="D442" s="28" t="n">
        <x:f>MOD(B442,1)</x:f>
        <x:v>0.6214467592581059</x:v>
      </x:c>
      <x:c r="E442" s="29" t="n">
        <x:f>YEAR(B442)</x:f>
        <x:v>2022</x:v>
      </x:c>
      <x:c r="F442" s="29" t="n">
        <x:f>MONTH(B442)</x:f>
        <x:v>1</x:v>
      </x:c>
      <x:c r="G442" s="30" t="n">
        <x:v>-18.86</x:v>
      </x:c>
      <x:c r="H442" s="30" t="n">
        <x:v>-70.13</x:v>
      </x:c>
      <x:c r="I442" s="29" t="n">
        <x:v>80</x:v>
      </x:c>
      <x:c r="J442" s="31" t="n">
        <x:v>4.2</x:v>
      </x:c>
      <x:c r="K442" s="25" t="str">
        <x:f>IF(J442&gt;=7,"Muy fuerte (&gt;=7)",IF(J442&gt;=6,"Fuerte (6-6.9)",IF(J442&gt;=5,"Moderado alto (5-5.9)",IF(J442&gt;=4,"Moderado (4-4.9)","Menor a 4"))))</x:f>
        <x:v>Moderado (4-4.9)</x:v>
      </x:c>
      <x:c r="L442" s="25" t="str">
        <x:f>IF(I442&lt;70,"Superficial (&lt;70 km)",IF(I442&lt;=300,"Intermedio (70-300 km)","Profundo (&gt;300 km)"))</x:f>
        <x:v>Intermedio (70-300 km)</x:v>
      </x:c>
      <x:c r="M442" s="25" t="str">
        <x:f>IF(J442&gt;=5,"Sí","No")</x:f>
        <x:v>No</x:v>
      </x:c>
      <x:c r="N442" s="25" t="str">
        <x:f>IF(J442&gt;=6,"Sí","No")</x:f>
        <x:v>No</x:v>
      </x:c>
      <x:c r="O442" s="25" t="str">
        <x:v>Pendiente: asignar con R/sf</x:v>
      </x:c>
    </x:row>
    <x:row r="443">
      <x:c r="A443" s="25" t="n">
        <x:v>442</x:v>
      </x:c>
      <x:c r="B443" s="26" t="n">
        <x:v>44509.614965277775</x:v>
      </x:c>
      <x:c r="C443" s="27" t="n">
        <x:f>INT(B443)</x:f>
        <x:v>44509</x:v>
      </x:c>
      <x:c r="D443" s="28" t="n">
        <x:f>MOD(B443,1)</x:f>
        <x:v>0.6149652777748997</x:v>
      </x:c>
      <x:c r="E443" s="29" t="n">
        <x:f>YEAR(B443)</x:f>
        <x:v>2021</x:v>
      </x:c>
      <x:c r="F443" s="29" t="n">
        <x:f>MONTH(B443)</x:f>
        <x:v>11</x:v>
      </x:c>
      <x:c r="G443" s="30" t="n">
        <x:v>-19.64</x:v>
      </x:c>
      <x:c r="H443" s="30" t="n">
        <x:v>-69.42</x:v>
      </x:c>
      <x:c r="I443" s="29" t="n">
        <x:v>106</x:v>
      </x:c>
      <x:c r="J443" s="31" t="n">
        <x:v>3.8</x:v>
      </x:c>
      <x:c r="K443" s="25" t="str">
        <x:f>IF(J443&gt;=7,"Muy fuerte (&gt;=7)",IF(J443&gt;=6,"Fuerte (6-6.9)",IF(J443&gt;=5,"Moderado alto (5-5.9)",IF(J443&gt;=4,"Moderado (4-4.9)","Menor a 4"))))</x:f>
        <x:v>Menor a 4</x:v>
      </x:c>
      <x:c r="L443" s="25" t="str">
        <x:f>IF(I443&lt;70,"Superficial (&lt;70 km)",IF(I443&lt;=300,"Intermedio (70-300 km)","Profundo (&gt;300 km)"))</x:f>
        <x:v>Intermedio (70-300 km)</x:v>
      </x:c>
      <x:c r="M443" s="25" t="str">
        <x:f>IF(J443&gt;=5,"Sí","No")</x:f>
        <x:v>No</x:v>
      </x:c>
      <x:c r="N443" s="25" t="str">
        <x:f>IF(J443&gt;=6,"Sí","No")</x:f>
        <x:v>No</x:v>
      </x:c>
      <x:c r="O443" s="25" t="str">
        <x:v>Pendiente: asignar con R/sf</x:v>
      </x:c>
    </x:row>
    <x:row r="444">
      <x:c r="A444" s="25" t="n">
        <x:v>443</x:v>
      </x:c>
      <x:c r="B444" s="26" t="n">
        <x:v>43778.403078703705</x:v>
      </x:c>
      <x:c r="C444" s="27" t="n">
        <x:f>INT(B444)</x:f>
        <x:v>43778</x:v>
      </x:c>
      <x:c r="D444" s="28" t="n">
        <x:f>MOD(B444,1)</x:f>
        <x:v>0.4030787037045229</x:v>
      </x:c>
      <x:c r="E444" s="29" t="n">
        <x:f>YEAR(B444)</x:f>
        <x:v>2019</x:v>
      </x:c>
      <x:c r="F444" s="29" t="n">
        <x:f>MONTH(B444)</x:f>
        <x:v>11</x:v>
      </x:c>
      <x:c r="G444" s="30" t="n">
        <x:v>-19.31</x:v>
      </x:c>
      <x:c r="H444" s="30" t="n">
        <x:v>-69.39</x:v>
      </x:c>
      <x:c r="I444" s="29" t="n">
        <x:v>95</x:v>
      </x:c>
      <x:c r="J444" s="31" t="n">
        <x:v>3.8</x:v>
      </x:c>
      <x:c r="K444" s="25" t="str">
        <x:f>IF(J444&gt;=7,"Muy fuerte (&gt;=7)",IF(J444&gt;=6,"Fuerte (6-6.9)",IF(J444&gt;=5,"Moderado alto (5-5.9)",IF(J444&gt;=4,"Moderado (4-4.9)","Menor a 4"))))</x:f>
        <x:v>Menor a 4</x:v>
      </x:c>
      <x:c r="L444" s="25" t="str">
        <x:f>IF(I444&lt;70,"Superficial (&lt;70 km)",IF(I444&lt;=300,"Intermedio (70-300 km)","Profundo (&gt;300 km)"))</x:f>
        <x:v>Intermedio (70-300 km)</x:v>
      </x:c>
      <x:c r="M444" s="25" t="str">
        <x:f>IF(J444&gt;=5,"Sí","No")</x:f>
        <x:v>No</x:v>
      </x:c>
      <x:c r="N444" s="25" t="str">
        <x:f>IF(J444&gt;=6,"Sí","No")</x:f>
        <x:v>No</x:v>
      </x:c>
      <x:c r="O444" s="25" t="str">
        <x:v>Pendiente: asignar con R/sf</x:v>
      </x:c>
    </x:row>
    <x:row r="445">
      <x:c r="A445" s="25" t="n">
        <x:v>444</x:v>
      </x:c>
      <x:c r="B445" s="26" t="n">
        <x:v>44136.11636574074</x:v>
      </x:c>
      <x:c r="C445" s="27" t="n">
        <x:f>INT(B445)</x:f>
        <x:v>44136</x:v>
      </x:c>
      <x:c r="D445" s="28" t="n">
        <x:f>MOD(B445,1)</x:f>
        <x:v>0.11636574073781958</x:v>
      </x:c>
      <x:c r="E445" s="29" t="n">
        <x:f>YEAR(B445)</x:f>
        <x:v>2020</x:v>
      </x:c>
      <x:c r="F445" s="29" t="n">
        <x:f>MONTH(B445)</x:f>
        <x:v>11</x:v>
      </x:c>
      <x:c r="G445" s="30" t="n">
        <x:v>-18.61</x:v>
      </x:c>
      <x:c r="H445" s="30" t="n">
        <x:v>-69.81</x:v>
      </x:c>
      <x:c r="I445" s="29" t="n">
        <x:v>79</x:v>
      </x:c>
      <x:c r="J445" s="31" t="n">
        <x:v>4.4</x:v>
      </x:c>
      <x:c r="K445" s="25" t="str">
        <x:f>IF(J445&gt;=7,"Muy fuerte (&gt;=7)",IF(J445&gt;=6,"Fuerte (6-6.9)",IF(J445&gt;=5,"Moderado alto (5-5.9)",IF(J445&gt;=4,"Moderado (4-4.9)","Menor a 4"))))</x:f>
        <x:v>Moderado (4-4.9)</x:v>
      </x:c>
      <x:c r="L445" s="25" t="str">
        <x:f>IF(I445&lt;70,"Superficial (&lt;70 km)",IF(I445&lt;=300,"Intermedio (70-300 km)","Profundo (&gt;300 km)"))</x:f>
        <x:v>Intermedio (70-300 km)</x:v>
      </x:c>
      <x:c r="M445" s="25" t="str">
        <x:f>IF(J445&gt;=5,"Sí","No")</x:f>
        <x:v>No</x:v>
      </x:c>
      <x:c r="N445" s="25" t="str">
        <x:f>IF(J445&gt;=6,"Sí","No")</x:f>
        <x:v>No</x:v>
      </x:c>
      <x:c r="O445" s="25" t="str">
        <x:v>Pendiente: asignar con R/sf</x:v>
      </x:c>
    </x:row>
    <x:row r="446">
      <x:c r="A446" s="25" t="n">
        <x:v>445</x:v>
      </x:c>
      <x:c r="B446" s="26" t="n">
        <x:v>43624.554918981485</x:v>
      </x:c>
      <x:c r="C446" s="27" t="n">
        <x:f>INT(B446)</x:f>
        <x:v>43624</x:v>
      </x:c>
      <x:c r="D446" s="28" t="n">
        <x:f>MOD(B446,1)</x:f>
        <x:v>0.5549189814846613</x:v>
      </x:c>
      <x:c r="E446" s="29" t="n">
        <x:f>YEAR(B446)</x:f>
        <x:v>2019</x:v>
      </x:c>
      <x:c r="F446" s="29" t="n">
        <x:f>MONTH(B446)</x:f>
        <x:v>6</x:v>
      </x:c>
      <x:c r="G446" s="30" t="n">
        <x:v>-19.55</x:v>
      </x:c>
      <x:c r="H446" s="30" t="n">
        <x:v>-69.39</x:v>
      </x:c>
      <x:c r="I446" s="29" t="n">
        <x:v>112</x:v>
      </x:c>
      <x:c r="J446" s="31" t="n">
        <x:v>3.5</x:v>
      </x:c>
      <x:c r="K446" s="25" t="str">
        <x:f>IF(J446&gt;=7,"Muy fuerte (&gt;=7)",IF(J446&gt;=6,"Fuerte (6-6.9)",IF(J446&gt;=5,"Moderado alto (5-5.9)",IF(J446&gt;=4,"Moderado (4-4.9)","Menor a 4"))))</x:f>
        <x:v>Menor a 4</x:v>
      </x:c>
      <x:c r="L446" s="25" t="str">
        <x:f>IF(I446&lt;70,"Superficial (&lt;70 km)",IF(I446&lt;=300,"Intermedio (70-300 km)","Profundo (&gt;300 km)"))</x:f>
        <x:v>Intermedio (70-300 km)</x:v>
      </x:c>
      <x:c r="M446" s="25" t="str">
        <x:f>IF(J446&gt;=5,"Sí","No")</x:f>
        <x:v>No</x:v>
      </x:c>
      <x:c r="N446" s="25" t="str">
        <x:f>IF(J446&gt;=6,"Sí","No")</x:f>
        <x:v>No</x:v>
      </x:c>
      <x:c r="O446" s="25" t="str">
        <x:v>Pendiente: asignar con R/sf</x:v>
      </x:c>
    </x:row>
    <x:row r="447">
      <x:c r="A447" s="25" t="n">
        <x:v>446</x:v>
      </x:c>
      <x:c r="B447" s="26" t="n">
        <x:v>43329.43568287037</x:v>
      </x:c>
      <x:c r="C447" s="27" t="n">
        <x:f>INT(B447)</x:f>
        <x:v>43329</x:v>
      </x:c>
      <x:c r="D447" s="28" t="n">
        <x:f>MOD(B447,1)</x:f>
        <x:v>0.4356828703676001</x:v>
      </x:c>
      <x:c r="E447" s="29" t="n">
        <x:f>YEAR(B447)</x:f>
        <x:v>2018</x:v>
      </x:c>
      <x:c r="F447" s="29" t="n">
        <x:f>MONTH(B447)</x:f>
        <x:v>8</x:v>
      </x:c>
      <x:c r="G447" s="30" t="n">
        <x:v>-30.14</x:v>
      </x:c>
      <x:c r="H447" s="30" t="n">
        <x:v>-71.59</x:v>
      </x:c>
      <x:c r="I447" s="29" t="n">
        <x:v>37</x:v>
      </x:c>
      <x:c r="J447" s="31" t="n">
        <x:v>3.7</x:v>
      </x:c>
      <x:c r="K447" s="25" t="str">
        <x:f>IF(J447&gt;=7,"Muy fuerte (&gt;=7)",IF(J447&gt;=6,"Fuerte (6-6.9)",IF(J447&gt;=5,"Moderado alto (5-5.9)",IF(J447&gt;=4,"Moderado (4-4.9)","Menor a 4"))))</x:f>
        <x:v>Menor a 4</x:v>
      </x:c>
      <x:c r="L447" s="25" t="str">
        <x:f>IF(I447&lt;70,"Superficial (&lt;70 km)",IF(I447&lt;=300,"Intermedio (70-300 km)","Profundo (&gt;300 km)"))</x:f>
        <x:v>Superficial (&lt;70 km)</x:v>
      </x:c>
      <x:c r="M447" s="25" t="str">
        <x:f>IF(J447&gt;=5,"Sí","No")</x:f>
        <x:v>No</x:v>
      </x:c>
      <x:c r="N447" s="25" t="str">
        <x:f>IF(J447&gt;=6,"Sí","No")</x:f>
        <x:v>No</x:v>
      </x:c>
      <x:c r="O447" s="25" t="str">
        <x:v>Pendiente: asignar con R/sf</x:v>
      </x:c>
    </x:row>
    <x:row r="448">
      <x:c r="A448" s="25" t="n">
        <x:v>447</x:v>
      </x:c>
      <x:c r="B448" s="26" t="n">
        <x:v>44927.513194444444</x:v>
      </x:c>
      <x:c r="C448" s="27" t="n">
        <x:f>INT(B448)</x:f>
        <x:v>44927</x:v>
      </x:c>
      <x:c r="D448" s="28" t="n">
        <x:f>MOD(B448,1)</x:f>
        <x:v>0.5131944444437977</x:v>
      </x:c>
      <x:c r="E448" s="29" t="n">
        <x:f>YEAR(B448)</x:f>
        <x:v>2023</x:v>
      </x:c>
      <x:c r="F448" s="29" t="n">
        <x:f>MONTH(B448)</x:f>
        <x:v>1</x:v>
      </x:c>
      <x:c r="G448" s="30" t="n">
        <x:v>-22.99</x:v>
      </x:c>
      <x:c r="H448" s="30" t="n">
        <x:v>-68.96</x:v>
      </x:c>
      <x:c r="I448" s="29" t="n">
        <x:v>106</x:v>
      </x:c>
      <x:c r="J448" s="31" t="n">
        <x:v>5.2</x:v>
      </x:c>
      <x:c r="K448" s="25" t="str">
        <x:f>IF(J448&gt;=7,"Muy fuerte (&gt;=7)",IF(J448&gt;=6,"Fuerte (6-6.9)",IF(J448&gt;=5,"Moderado alto (5-5.9)",IF(J448&gt;=4,"Moderado (4-4.9)","Menor a 4"))))</x:f>
        <x:v>Moderado alto (5-5.9)</x:v>
      </x:c>
      <x:c r="L448" s="25" t="str">
        <x:f>IF(I448&lt;70,"Superficial (&lt;70 km)",IF(I448&lt;=300,"Intermedio (70-300 km)","Profundo (&gt;300 km)"))</x:f>
        <x:v>Intermedio (70-300 km)</x:v>
      </x:c>
      <x:c r="M448" s="25" t="str">
        <x:f>IF(J448&gt;=5,"Sí","No")</x:f>
        <x:v>Sí</x:v>
      </x:c>
      <x:c r="N448" s="25" t="str">
        <x:f>IF(J448&gt;=6,"Sí","No")</x:f>
        <x:v>No</x:v>
      </x:c>
      <x:c r="O448" s="25" t="str">
        <x:v>Pendiente: asignar con R/sf</x:v>
      </x:c>
    </x:row>
    <x:row r="449">
      <x:c r="A449" s="25" t="n">
        <x:v>448</x:v>
      </x:c>
      <x:c r="B449" s="26" t="n">
        <x:v>44930.97484953704</x:v>
      </x:c>
      <x:c r="C449" s="27" t="n">
        <x:f>INT(B449)</x:f>
        <x:v>44930</x:v>
      </x:c>
      <x:c r="D449" s="28" t="n">
        <x:f>MOD(B449,1)</x:f>
        <x:v>0.9748495370367891</x:v>
      </x:c>
      <x:c r="E449" s="29" t="n">
        <x:f>YEAR(B449)</x:f>
        <x:v>2023</x:v>
      </x:c>
      <x:c r="F449" s="29" t="n">
        <x:f>MONTH(B449)</x:f>
        <x:v>1</x:v>
      </x:c>
      <x:c r="G449" s="30" t="n">
        <x:v>-19.18</x:v>
      </x:c>
      <x:c r="H449" s="30" t="n">
        <x:v>-69.08</x:v>
      </x:c>
      <x:c r="I449" s="29" t="n">
        <x:v>126</x:v>
      </x:c>
      <x:c r="J449" s="31" t="n">
        <x:v>5.1</x:v>
      </x:c>
      <x:c r="K449" s="25" t="str">
        <x:f>IF(J449&gt;=7,"Muy fuerte (&gt;=7)",IF(J449&gt;=6,"Fuerte (6-6.9)",IF(J449&gt;=5,"Moderado alto (5-5.9)",IF(J449&gt;=4,"Moderado (4-4.9)","Menor a 4"))))</x:f>
        <x:v>Moderado alto (5-5.9)</x:v>
      </x:c>
      <x:c r="L449" s="25" t="str">
        <x:f>IF(I449&lt;70,"Superficial (&lt;70 km)",IF(I449&lt;=300,"Intermedio (70-300 km)","Profundo (&gt;300 km)"))</x:f>
        <x:v>Intermedio (70-300 km)</x:v>
      </x:c>
      <x:c r="M449" s="25" t="str">
        <x:f>IF(J449&gt;=5,"Sí","No")</x:f>
        <x:v>Sí</x:v>
      </x:c>
      <x:c r="N449" s="25" t="str">
        <x:f>IF(J449&gt;=6,"Sí","No")</x:f>
        <x:v>No</x:v>
      </x:c>
      <x:c r="O449" s="25" t="str">
        <x:v>Pendiente: asignar con R/sf</x:v>
      </x:c>
    </x:row>
    <x:row r="450">
      <x:c r="A450" s="25" t="n">
        <x:v>449</x:v>
      </x:c>
      <x:c r="B450" s="26" t="n">
        <x:v>44938.26331018518</x:v>
      </x:c>
      <x:c r="C450" s="27" t="n">
        <x:f>INT(B450)</x:f>
        <x:v>44938</x:v>
      </x:c>
      <x:c r="D450" s="28" t="n">
        <x:f>MOD(B450,1)</x:f>
        <x:v>0.2633101851824904</x:v>
      </x:c>
      <x:c r="E450" s="29" t="n">
        <x:f>YEAR(B450)</x:f>
        <x:v>2023</x:v>
      </x:c>
      <x:c r="F450" s="29" t="n">
        <x:f>MONTH(B450)</x:f>
        <x:v>1</x:v>
      </x:c>
      <x:c r="G450" s="30" t="n">
        <x:v>-30.64</x:v>
      </x:c>
      <x:c r="H450" s="30" t="n">
        <x:v>-71.31</x:v>
      </x:c>
      <x:c r="I450" s="29" t="n">
        <x:v>54</x:v>
      </x:c>
      <x:c r="J450" s="31" t="n">
        <x:v>5.8</x:v>
      </x:c>
      <x:c r="K450" s="25" t="str">
        <x:f>IF(J450&gt;=7,"Muy fuerte (&gt;=7)",IF(J450&gt;=6,"Fuerte (6-6.9)",IF(J450&gt;=5,"Moderado alto (5-5.9)",IF(J450&gt;=4,"Moderado (4-4.9)","Menor a 4"))))</x:f>
        <x:v>Moderado alto (5-5.9)</x:v>
      </x:c>
      <x:c r="L450" s="25" t="str">
        <x:f>IF(I450&lt;70,"Superficial (&lt;70 km)",IF(I450&lt;=300,"Intermedio (70-300 km)","Profundo (&gt;300 km)"))</x:f>
        <x:v>Superficial (&lt;70 km)</x:v>
      </x:c>
      <x:c r="M450" s="25" t="str">
        <x:f>IF(J450&gt;=5,"Sí","No")</x:f>
        <x:v>Sí</x:v>
      </x:c>
      <x:c r="N450" s="25" t="str">
        <x:f>IF(J450&gt;=6,"Sí","No")</x:f>
        <x:v>No</x:v>
      </x:c>
      <x:c r="O450" s="25" t="str">
        <x:v>Pendiente: asignar con R/sf</x:v>
      </x:c>
    </x:row>
    <x:row r="451">
      <x:c r="A451" s="25" t="n">
        <x:v>450</x:v>
      </x:c>
      <x:c r="B451" s="26" t="n">
        <x:v>43722.565625</x:v>
      </x:c>
      <x:c r="C451" s="27" t="n">
        <x:f>INT(B451)</x:f>
        <x:v>43722</x:v>
      </x:c>
      <x:c r="D451" s="28" t="n">
        <x:f>MOD(B451,1)</x:f>
        <x:v>0.5656250000029104</x:v>
      </x:c>
      <x:c r="E451" s="29" t="n">
        <x:f>YEAR(B451)</x:f>
        <x:v>2019</x:v>
      </x:c>
      <x:c r="F451" s="29" t="n">
        <x:f>MONTH(B451)</x:f>
        <x:v>9</x:v>
      </x:c>
      <x:c r="G451" s="30" t="n">
        <x:v>-36.41</x:v>
      </x:c>
      <x:c r="H451" s="30" t="n">
        <x:v>-72.92</x:v>
      </x:c>
      <x:c r="I451" s="29" t="n">
        <x:v>29</x:v>
      </x:c>
      <x:c r="J451" s="31" t="n">
        <x:v>3.9</x:v>
      </x:c>
      <x:c r="K451" s="25" t="str">
        <x:f>IF(J451&gt;=7,"Muy fuerte (&gt;=7)",IF(J451&gt;=6,"Fuerte (6-6.9)",IF(J451&gt;=5,"Moderado alto (5-5.9)",IF(J451&gt;=4,"Moderado (4-4.9)","Menor a 4"))))</x:f>
        <x:v>Menor a 4</x:v>
      </x:c>
      <x:c r="L451" s="25" t="str">
        <x:f>IF(I451&lt;70,"Superficial (&lt;70 km)",IF(I451&lt;=300,"Intermedio (70-300 km)","Profundo (&gt;300 km)"))</x:f>
        <x:v>Superficial (&lt;70 km)</x:v>
      </x:c>
      <x:c r="M451" s="25" t="str">
        <x:f>IF(J451&gt;=5,"Sí","No")</x:f>
        <x:v>No</x:v>
      </x:c>
      <x:c r="N451" s="25" t="str">
        <x:f>IF(J451&gt;=6,"Sí","No")</x:f>
        <x:v>No</x:v>
      </x:c>
      <x:c r="O451" s="25" t="str">
        <x:v>Pendiente: asignar con R/sf</x:v>
      </x:c>
    </x:row>
    <x:row r="452">
      <x:c r="A452" s="25" t="n">
        <x:v>451</x:v>
      </x:c>
      <x:c r="B452" s="26" t="n">
        <x:v>44067.01460648148</x:v>
      </x:c>
      <x:c r="C452" s="27" t="n">
        <x:f>INT(B452)</x:f>
        <x:v>44067</x:v>
      </x:c>
      <x:c r="D452" s="28" t="n">
        <x:f>MOD(B452,1)</x:f>
        <x:v>0.014606481483497191</x:v>
      </x:c>
      <x:c r="E452" s="29" t="n">
        <x:f>YEAR(B452)</x:f>
        <x:v>2020</x:v>
      </x:c>
      <x:c r="F452" s="29" t="n">
        <x:f>MONTH(B452)</x:f>
        <x:v>8</x:v>
      </x:c>
      <x:c r="G452" s="30" t="n">
        <x:v>-36.66</x:v>
      </x:c>
      <x:c r="H452" s="30" t="n">
        <x:v>-73.08</x:v>
      </x:c>
      <x:c r="I452" s="29" t="n">
        <x:v>21</x:v>
      </x:c>
      <x:c r="J452" s="31" t="n">
        <x:v>3.6</x:v>
      </x:c>
      <x:c r="K452" s="25" t="str">
        <x:f>IF(J452&gt;=7,"Muy fuerte (&gt;=7)",IF(J452&gt;=6,"Fuerte (6-6.9)",IF(J452&gt;=5,"Moderado alto (5-5.9)",IF(J452&gt;=4,"Moderado (4-4.9)","Menor a 4"))))</x:f>
        <x:v>Menor a 4</x:v>
      </x:c>
      <x:c r="L452" s="25" t="str">
        <x:f>IF(I452&lt;70,"Superficial (&lt;70 km)",IF(I452&lt;=300,"Intermedio (70-300 km)","Profundo (&gt;300 km)"))</x:f>
        <x:v>Superficial (&lt;70 km)</x:v>
      </x:c>
      <x:c r="M452" s="25" t="str">
        <x:f>IF(J452&gt;=5,"Sí","No")</x:f>
        <x:v>No</x:v>
      </x:c>
      <x:c r="N452" s="25" t="str">
        <x:f>IF(J452&gt;=6,"Sí","No")</x:f>
        <x:v>No</x:v>
      </x:c>
      <x:c r="O452" s="25" t="str">
        <x:v>Pendiente: asignar con R/sf</x:v>
      </x:c>
    </x:row>
    <x:row r="453">
      <x:c r="A453" s="25" t="n">
        <x:v>452</x:v>
      </x:c>
      <x:c r="B453" s="26" t="n">
        <x:v>44247.299791666665</x:v>
      </x:c>
      <x:c r="C453" s="27" t="n">
        <x:f>INT(B453)</x:f>
        <x:v>44247</x:v>
      </x:c>
      <x:c r="D453" s="28" t="n">
        <x:f>MOD(B453,1)</x:f>
        <x:v>0.2997916666645324</x:v>
      </x:c>
      <x:c r="E453" s="29" t="n">
        <x:f>YEAR(B453)</x:f>
        <x:v>2021</x:v>
      </x:c>
      <x:c r="F453" s="29" t="n">
        <x:f>MONTH(B453)</x:f>
        <x:v>2</x:v>
      </x:c>
      <x:c r="G453" s="30" t="n">
        <x:v>-37.47</x:v>
      </x:c>
      <x:c r="H453" s="30" t="n">
        <x:v>-72.28</x:v>
      </x:c>
      <x:c r="I453" s="29" t="n">
        <x:v>94</x:v>
      </x:c>
      <x:c r="J453" s="31" t="n">
        <x:v>4.6</x:v>
      </x:c>
      <x:c r="K453" s="25" t="str">
        <x:f>IF(J453&gt;=7,"Muy fuerte (&gt;=7)",IF(J453&gt;=6,"Fuerte (6-6.9)",IF(J453&gt;=5,"Moderado alto (5-5.9)",IF(J453&gt;=4,"Moderado (4-4.9)","Menor a 4"))))</x:f>
        <x:v>Moderado (4-4.9)</x:v>
      </x:c>
      <x:c r="L453" s="25" t="str">
        <x:f>IF(I453&lt;70,"Superficial (&lt;70 km)",IF(I453&lt;=300,"Intermedio (70-300 km)","Profundo (&gt;300 km)"))</x:f>
        <x:v>Intermedio (70-300 km)</x:v>
      </x:c>
      <x:c r="M453" s="25" t="str">
        <x:f>IF(J453&gt;=5,"Sí","No")</x:f>
        <x:v>No</x:v>
      </x:c>
      <x:c r="N453" s="25" t="str">
        <x:f>IF(J453&gt;=6,"Sí","No")</x:f>
        <x:v>No</x:v>
      </x:c>
      <x:c r="O453" s="25" t="str">
        <x:v>Pendiente: asignar con R/sf</x:v>
      </x:c>
    </x:row>
    <x:row r="454">
      <x:c r="A454" s="25" t="n">
        <x:v>453</x:v>
      </x:c>
      <x:c r="B454" s="26" t="n">
        <x:v>44585.53445601852</x:v>
      </x:c>
      <x:c r="C454" s="27" t="n">
        <x:f>INT(B454)</x:f>
        <x:v>44585</x:v>
      </x:c>
      <x:c r="D454" s="28" t="n">
        <x:f>MOD(B454,1)</x:f>
        <x:v>0.5344560185185401</x:v>
      </x:c>
      <x:c r="E454" s="29" t="n">
        <x:f>YEAR(B454)</x:f>
        <x:v>2022</x:v>
      </x:c>
      <x:c r="F454" s="29" t="n">
        <x:f>MONTH(B454)</x:f>
        <x:v>1</x:v>
      </x:c>
      <x:c r="G454" s="30" t="n">
        <x:v>-36.76</x:v>
      </x:c>
      <x:c r="H454" s="30" t="n">
        <x:v>-71.73</x:v>
      </x:c>
      <x:c r="I454" s="29" t="n">
        <x:v>21</x:v>
      </x:c>
      <x:c r="J454" s="31" t="n">
        <x:v>3.8</x:v>
      </x:c>
      <x:c r="K454" s="25" t="str">
        <x:f>IF(J454&gt;=7,"Muy fuerte (&gt;=7)",IF(J454&gt;=6,"Fuerte (6-6.9)",IF(J454&gt;=5,"Moderado alto (5-5.9)",IF(J454&gt;=4,"Moderado (4-4.9)","Menor a 4"))))</x:f>
        <x:v>Menor a 4</x:v>
      </x:c>
      <x:c r="L454" s="25" t="str">
        <x:f>IF(I454&lt;70,"Superficial (&lt;70 km)",IF(I454&lt;=300,"Intermedio (70-300 km)","Profundo (&gt;300 km)"))</x:f>
        <x:v>Superficial (&lt;70 km)</x:v>
      </x:c>
      <x:c r="M454" s="25" t="str">
        <x:f>IF(J454&gt;=5,"Sí","No")</x:f>
        <x:v>No</x:v>
      </x:c>
      <x:c r="N454" s="25" t="str">
        <x:f>IF(J454&gt;=6,"Sí","No")</x:f>
        <x:v>No</x:v>
      </x:c>
      <x:c r="O454" s="25" t="str">
        <x:v>Pendiente: asignar con R/sf</x:v>
      </x:c>
    </x:row>
    <x:row r="455">
      <x:c r="A455" s="25" t="n">
        <x:v>454</x:v>
      </x:c>
      <x:c r="B455" s="26" t="n">
        <x:v>44758.93958333333</x:v>
      </x:c>
      <x:c r="C455" s="27" t="n">
        <x:f>INT(B455)</x:f>
        <x:v>44758</x:v>
      </x:c>
      <x:c r="D455" s="28" t="n">
        <x:f>MOD(B455,1)</x:f>
        <x:v>0.9395833333328483</x:v>
      </x:c>
      <x:c r="E455" s="29" t="n">
        <x:f>YEAR(B455)</x:f>
        <x:v>2022</x:v>
      </x:c>
      <x:c r="F455" s="29" t="n">
        <x:f>MONTH(B455)</x:f>
        <x:v>7</x:v>
      </x:c>
      <x:c r="G455" s="30" t="n">
        <x:v>-37.5</x:v>
      </x:c>
      <x:c r="H455" s="30" t="n">
        <x:v>-72.15</x:v>
      </x:c>
      <x:c r="I455" s="29" t="n">
        <x:v>76</x:v>
      </x:c>
      <x:c r="J455" s="31" t="n">
        <x:v>4.5</x:v>
      </x:c>
      <x:c r="K455" s="25" t="str">
        <x:f>IF(J455&gt;=7,"Muy fuerte (&gt;=7)",IF(J455&gt;=6,"Fuerte (6-6.9)",IF(J455&gt;=5,"Moderado alto (5-5.9)",IF(J455&gt;=4,"Moderado (4-4.9)","Menor a 4"))))</x:f>
        <x:v>Moderado (4-4.9)</x:v>
      </x:c>
      <x:c r="L455" s="25" t="str">
        <x:f>IF(I455&lt;70,"Superficial (&lt;70 km)",IF(I455&lt;=300,"Intermedio (70-300 km)","Profundo (&gt;300 km)"))</x:f>
        <x:v>Intermedio (70-300 km)</x:v>
      </x:c>
      <x:c r="M455" s="25" t="str">
        <x:f>IF(J455&gt;=5,"Sí","No")</x:f>
        <x:v>No</x:v>
      </x:c>
      <x:c r="N455" s="25" t="str">
        <x:f>IF(J455&gt;=6,"Sí","No")</x:f>
        <x:v>No</x:v>
      </x:c>
      <x:c r="O455" s="25" t="str">
        <x:v>Pendiente: asignar con R/sf</x:v>
      </x:c>
    </x:row>
    <x:row r="456">
      <x:c r="A456" s="25" t="n">
        <x:v>455</x:v>
      </x:c>
      <x:c r="B456" s="26" t="n">
        <x:v>44698.30521990741</x:v>
      </x:c>
      <x:c r="C456" s="27" t="n">
        <x:f>INT(B456)</x:f>
        <x:v>44698</x:v>
      </x:c>
      <x:c r="D456" s="28" t="n">
        <x:f>MOD(B456,1)</x:f>
        <x:v>0.30521990740817273</x:v>
      </x:c>
      <x:c r="E456" s="29" t="n">
        <x:f>YEAR(B456)</x:f>
        <x:v>2022</x:v>
      </x:c>
      <x:c r="F456" s="29" t="n">
        <x:f>MONTH(B456)</x:f>
        <x:v>5</x:v>
      </x:c>
      <x:c r="G456" s="30" t="n">
        <x:v>-36.86</x:v>
      </x:c>
      <x:c r="H456" s="30" t="n">
        <x:v>-71.38</x:v>
      </x:c>
      <x:c r="I456" s="29" t="n">
        <x:v>17</x:v>
      </x:c>
      <x:c r="J456" s="31" t="n">
        <x:v>4</x:v>
      </x:c>
      <x:c r="K456" s="25" t="str">
        <x:f>IF(J456&gt;=7,"Muy fuerte (&gt;=7)",IF(J456&gt;=6,"Fuerte (6-6.9)",IF(J456&gt;=5,"Moderado alto (5-5.9)",IF(J456&gt;=4,"Moderado (4-4.9)","Menor a 4"))))</x:f>
        <x:v>Moderado (4-4.9)</x:v>
      </x:c>
      <x:c r="L456" s="25" t="str">
        <x:f>IF(I456&lt;70,"Superficial (&lt;70 km)",IF(I456&lt;=300,"Intermedio (70-300 km)","Profundo (&gt;300 km)"))</x:f>
        <x:v>Superficial (&lt;70 km)</x:v>
      </x:c>
      <x:c r="M456" s="25" t="str">
        <x:f>IF(J456&gt;=5,"Sí","No")</x:f>
        <x:v>No</x:v>
      </x:c>
      <x:c r="N456" s="25" t="str">
        <x:f>IF(J456&gt;=6,"Sí","No")</x:f>
        <x:v>No</x:v>
      </x:c>
      <x:c r="O456" s="25" t="str">
        <x:v>Pendiente: asignar con R/sf</x:v>
      </x:c>
    </x:row>
    <x:row r="457">
      <x:c r="A457" s="25" t="n">
        <x:v>456</x:v>
      </x:c>
      <x:c r="B457" s="26" t="n">
        <x:v>44236.49282407408</x:v>
      </x:c>
      <x:c r="C457" s="27" t="n">
        <x:f>INT(B457)</x:f>
        <x:v>44236</x:v>
      </x:c>
      <x:c r="D457" s="28" t="n">
        <x:f>MOD(B457,1)</x:f>
        <x:v>0.49282407407736173</x:v>
      </x:c>
      <x:c r="E457" s="29" t="n">
        <x:f>YEAR(B457)</x:f>
        <x:v>2021</x:v>
      </x:c>
      <x:c r="F457" s="29" t="n">
        <x:f>MONTH(B457)</x:f>
        <x:v>2</x:v>
      </x:c>
      <x:c r="G457" s="30" t="n">
        <x:v>-37.47</x:v>
      </x:c>
      <x:c r="H457" s="30" t="n">
        <x:v>-72.28</x:v>
      </x:c>
      <x:c r="I457" s="29" t="n">
        <x:v>68</x:v>
      </x:c>
      <x:c r="J457" s="31" t="n">
        <x:v>3.7</x:v>
      </x:c>
      <x:c r="K457" s="25" t="str">
        <x:f>IF(J457&gt;=7,"Muy fuerte (&gt;=7)",IF(J457&gt;=6,"Fuerte (6-6.9)",IF(J457&gt;=5,"Moderado alto (5-5.9)",IF(J457&gt;=4,"Moderado (4-4.9)","Menor a 4"))))</x:f>
        <x:v>Menor a 4</x:v>
      </x:c>
      <x:c r="L457" s="25" t="str">
        <x:f>IF(I457&lt;70,"Superficial (&lt;70 km)",IF(I457&lt;=300,"Intermedio (70-300 km)","Profundo (&gt;300 km)"))</x:f>
        <x:v>Superficial (&lt;70 km)</x:v>
      </x:c>
      <x:c r="M457" s="25" t="str">
        <x:f>IF(J457&gt;=5,"Sí","No")</x:f>
        <x:v>No</x:v>
      </x:c>
      <x:c r="N457" s="25" t="str">
        <x:f>IF(J457&gt;=6,"Sí","No")</x:f>
        <x:v>No</x:v>
      </x:c>
      <x:c r="O457" s="25" t="str">
        <x:v>Pendiente: asignar con R/sf</x:v>
      </x:c>
    </x:row>
    <x:row r="458">
      <x:c r="A458" s="25" t="n">
        <x:v>457</x:v>
      </x:c>
      <x:c r="B458" s="26" t="n">
        <x:v>44878.12550925926</x:v>
      </x:c>
      <x:c r="C458" s="27" t="n">
        <x:f>INT(B458)</x:f>
        <x:v>44878</x:v>
      </x:c>
      <x:c r="D458" s="28" t="n">
        <x:f>MOD(B458,1)</x:f>
        <x:v>0.12550925926188938</x:v>
      </x:c>
      <x:c r="E458" s="29" t="n">
        <x:f>YEAR(B458)</x:f>
        <x:v>2022</x:v>
      </x:c>
      <x:c r="F458" s="29" t="n">
        <x:f>MONTH(B458)</x:f>
        <x:v>11</x:v>
      </x:c>
      <x:c r="G458" s="30" t="n">
        <x:v>-37.55</x:v>
      </x:c>
      <x:c r="H458" s="30" t="n">
        <x:v>-73.69</x:v>
      </x:c>
      <x:c r="I458" s="29" t="n">
        <x:v>27</x:v>
      </x:c>
      <x:c r="J458" s="31" t="n">
        <x:v>5</x:v>
      </x:c>
      <x:c r="K458" s="25" t="str">
        <x:f>IF(J458&gt;=7,"Muy fuerte (&gt;=7)",IF(J458&gt;=6,"Fuerte (6-6.9)",IF(J458&gt;=5,"Moderado alto (5-5.9)",IF(J458&gt;=4,"Moderado (4-4.9)","Menor a 4"))))</x:f>
        <x:v>Moderado alto (5-5.9)</x:v>
      </x:c>
      <x:c r="L458" s="25" t="str">
        <x:f>IF(I458&lt;70,"Superficial (&lt;70 km)",IF(I458&lt;=300,"Intermedio (70-300 km)","Profundo (&gt;300 km)"))</x:f>
        <x:v>Superficial (&lt;70 km)</x:v>
      </x:c>
      <x:c r="M458" s="25" t="str">
        <x:f>IF(J458&gt;=5,"Sí","No")</x:f>
        <x:v>Sí</x:v>
      </x:c>
      <x:c r="N458" s="25" t="str">
        <x:f>IF(J458&gt;=6,"Sí","No")</x:f>
        <x:v>No</x:v>
      </x:c>
      <x:c r="O458" s="25" t="str">
        <x:v>Pendiente: asignar con R/sf</x:v>
      </x:c>
    </x:row>
    <x:row r="459">
      <x:c r="A459" s="25" t="n">
        <x:v>458</x:v>
      </x:c>
      <x:c r="B459" s="26" t="n">
        <x:v>44509.12488425926</x:v>
      </x:c>
      <x:c r="C459" s="27" t="n">
        <x:f>INT(B459)</x:f>
        <x:v>44509</x:v>
      </x:c>
      <x:c r="D459" s="28" t="n">
        <x:f>MOD(B459,1)</x:f>
        <x:v>0.1248842592613073</x:v>
      </x:c>
      <x:c r="E459" s="29" t="n">
        <x:f>YEAR(B459)</x:f>
        <x:v>2021</x:v>
      </x:c>
      <x:c r="F459" s="29" t="n">
        <x:f>MONTH(B459)</x:f>
        <x:v>11</x:v>
      </x:c>
      <x:c r="G459" s="30" t="n">
        <x:v>-38.45</x:v>
      </x:c>
      <x:c r="H459" s="30" t="n">
        <x:v>-72.41</x:v>
      </x:c>
      <x:c r="I459" s="29" t="n">
        <x:v>55</x:v>
      </x:c>
      <x:c r="J459" s="31" t="n">
        <x:v>4.1</x:v>
      </x:c>
      <x:c r="K459" s="25" t="str">
        <x:f>IF(J459&gt;=7,"Muy fuerte (&gt;=7)",IF(J459&gt;=6,"Fuerte (6-6.9)",IF(J459&gt;=5,"Moderado alto (5-5.9)",IF(J459&gt;=4,"Moderado (4-4.9)","Menor a 4"))))</x:f>
        <x:v>Moderado (4-4.9)</x:v>
      </x:c>
      <x:c r="L459" s="25" t="str">
        <x:f>IF(I459&lt;70,"Superficial (&lt;70 km)",IF(I459&lt;=300,"Intermedio (70-300 km)","Profundo (&gt;300 km)"))</x:f>
        <x:v>Superficial (&lt;70 km)</x:v>
      </x:c>
      <x:c r="M459" s="25" t="str">
        <x:f>IF(J459&gt;=5,"Sí","No")</x:f>
        <x:v>No</x:v>
      </x:c>
      <x:c r="N459" s="25" t="str">
        <x:f>IF(J459&gt;=6,"Sí","No")</x:f>
        <x:v>No</x:v>
      </x:c>
      <x:c r="O459" s="25" t="str">
        <x:v>Pendiente: asignar con R/sf</x:v>
      </x:c>
    </x:row>
    <x:row r="460">
      <x:c r="A460" s="25" t="n">
        <x:v>459</x:v>
      </x:c>
      <x:c r="B460" s="26" t="n">
        <x:v>44642.33128472222</x:v>
      </x:c>
      <x:c r="C460" s="27" t="n">
        <x:f>INT(B460)</x:f>
        <x:v>44642</x:v>
      </x:c>
      <x:c r="D460" s="28" t="n">
        <x:f>MOD(B460,1)</x:f>
        <x:v>0.3312847222186974</x:v>
      </x:c>
      <x:c r="E460" s="29" t="n">
        <x:f>YEAR(B460)</x:f>
        <x:v>2022</x:v>
      </x:c>
      <x:c r="F460" s="29" t="n">
        <x:f>MONTH(B460)</x:f>
        <x:v>3</x:v>
      </x:c>
      <x:c r="G460" s="30" t="n">
        <x:v>-36.86</x:v>
      </x:c>
      <x:c r="H460" s="30" t="n">
        <x:v>-72.81</x:v>
      </x:c>
      <x:c r="I460" s="29" t="n">
        <x:v>35</x:v>
      </x:c>
      <x:c r="J460" s="31" t="n">
        <x:v>3.1</x:v>
      </x:c>
      <x:c r="K460" s="25" t="str">
        <x:f>IF(J460&gt;=7,"Muy fuerte (&gt;=7)",IF(J460&gt;=6,"Fuerte (6-6.9)",IF(J460&gt;=5,"Moderado alto (5-5.9)",IF(J460&gt;=4,"Moderado (4-4.9)","Menor a 4"))))</x:f>
        <x:v>Menor a 4</x:v>
      </x:c>
      <x:c r="L460" s="25" t="str">
        <x:f>IF(I460&lt;70,"Superficial (&lt;70 km)",IF(I460&lt;=300,"Intermedio (70-300 km)","Profundo (&gt;300 km)"))</x:f>
        <x:v>Superficial (&lt;70 km)</x:v>
      </x:c>
      <x:c r="M460" s="25" t="str">
        <x:f>IF(J460&gt;=5,"Sí","No")</x:f>
        <x:v>No</x:v>
      </x:c>
      <x:c r="N460" s="25" t="str">
        <x:f>IF(J460&gt;=6,"Sí","No")</x:f>
        <x:v>No</x:v>
      </x:c>
      <x:c r="O460" s="25" t="str">
        <x:v>Pendiente: asignar con R/sf</x:v>
      </x:c>
    </x:row>
    <x:row r="461">
      <x:c r="A461" s="25" t="n">
        <x:v>460</x:v>
      </x:c>
      <x:c r="B461" s="26" t="n">
        <x:v>44962.04357638889</x:v>
      </x:c>
      <x:c r="C461" s="27" t="n">
        <x:f>INT(B461)</x:f>
        <x:v>44962</x:v>
      </x:c>
      <x:c r="D461" s="28" t="n">
        <x:f>MOD(B461,1)</x:f>
        <x:v>0.04357638888905058</x:v>
      </x:c>
      <x:c r="E461" s="29" t="n">
        <x:f>YEAR(B461)</x:f>
        <x:v>2023</x:v>
      </x:c>
      <x:c r="F461" s="29" t="n">
        <x:f>MONTH(B461)</x:f>
        <x:v>2</x:v>
      </x:c>
      <x:c r="G461" s="30" t="n">
        <x:v>-29.69</x:v>
      </x:c>
      <x:c r="H461" s="30" t="n">
        <x:v>-71.25</x:v>
      </x:c>
      <x:c r="I461" s="29" t="n">
        <x:v>78</x:v>
      </x:c>
      <x:c r="J461" s="31" t="n">
        <x:v>5.5</x:v>
      </x:c>
      <x:c r="K461" s="25" t="str">
        <x:f>IF(J461&gt;=7,"Muy fuerte (&gt;=7)",IF(J461&gt;=6,"Fuerte (6-6.9)",IF(J461&gt;=5,"Moderado alto (5-5.9)",IF(J461&gt;=4,"Moderado (4-4.9)","Menor a 4"))))</x:f>
        <x:v>Moderado alto (5-5.9)</x:v>
      </x:c>
      <x:c r="L461" s="25" t="str">
        <x:f>IF(I461&lt;70,"Superficial (&lt;70 km)",IF(I461&lt;=300,"Intermedio (70-300 km)","Profundo (&gt;300 km)"))</x:f>
        <x:v>Intermedio (70-300 km)</x:v>
      </x:c>
      <x:c r="M461" s="25" t="str">
        <x:f>IF(J461&gt;=5,"Sí","No")</x:f>
        <x:v>Sí</x:v>
      </x:c>
      <x:c r="N461" s="25" t="str">
        <x:f>IF(J461&gt;=6,"Sí","No")</x:f>
        <x:v>No</x:v>
      </x:c>
      <x:c r="O461" s="25" t="str">
        <x:v>Pendiente: asignar con R/sf</x:v>
      </x:c>
    </x:row>
    <x:row r="462">
      <x:c r="A462" s="25" t="n">
        <x:v>461</x:v>
      </x:c>
      <x:c r="B462" s="26" t="n">
        <x:v>44362.581666666665</x:v>
      </x:c>
      <x:c r="C462" s="27" t="n">
        <x:f>INT(B462)</x:f>
        <x:v>44362</x:v>
      </x:c>
      <x:c r="D462" s="28" t="n">
        <x:f>MOD(B462,1)</x:f>
        <x:v>0.5816666666651145</x:v>
      </x:c>
      <x:c r="E462" s="29" t="n">
        <x:f>YEAR(B462)</x:f>
        <x:v>2021</x:v>
      </x:c>
      <x:c r="F462" s="29" t="n">
        <x:f>MONTH(B462)</x:f>
        <x:v>6</x:v>
      </x:c>
      <x:c r="G462" s="30" t="n">
        <x:v>-34</x:v>
      </x:c>
      <x:c r="H462" s="30" t="n">
        <x:v>-72.11</x:v>
      </x:c>
      <x:c r="I462" s="29" t="n">
        <x:v>27</x:v>
      </x:c>
      <x:c r="J462" s="31" t="n">
        <x:v>4.6</x:v>
      </x:c>
      <x:c r="K462" s="25" t="str">
        <x:f>IF(J462&gt;=7,"Muy fuerte (&gt;=7)",IF(J462&gt;=6,"Fuerte (6-6.9)",IF(J462&gt;=5,"Moderado alto (5-5.9)",IF(J462&gt;=4,"Moderado (4-4.9)","Menor a 4"))))</x:f>
        <x:v>Moderado (4-4.9)</x:v>
      </x:c>
      <x:c r="L462" s="25" t="str">
        <x:f>IF(I462&lt;70,"Superficial (&lt;70 km)",IF(I462&lt;=300,"Intermedio (70-300 km)","Profundo (&gt;300 km)"))</x:f>
        <x:v>Superficial (&lt;70 km)</x:v>
      </x:c>
      <x:c r="M462" s="25" t="str">
        <x:f>IF(J462&gt;=5,"Sí","No")</x:f>
        <x:v>No</x:v>
      </x:c>
      <x:c r="N462" s="25" t="str">
        <x:f>IF(J462&gt;=6,"Sí","No")</x:f>
        <x:v>No</x:v>
      </x:c>
      <x:c r="O462" s="25" t="str">
        <x:v>Pendiente: asignar con R/sf</x:v>
      </x:c>
    </x:row>
    <x:row r="463">
      <x:c r="A463" s="25" t="n">
        <x:v>462</x:v>
      </x:c>
      <x:c r="B463" s="26" t="n">
        <x:v>44647.77434027778</x:v>
      </x:c>
      <x:c r="C463" s="27" t="n">
        <x:f>INT(B463)</x:f>
        <x:v>44647</x:v>
      </x:c>
      <x:c r="D463" s="28" t="n">
        <x:f>MOD(B463,1)</x:f>
        <x:v>0.7743402777778101</x:v>
      </x:c>
      <x:c r="E463" s="29" t="n">
        <x:f>YEAR(B463)</x:f>
        <x:v>2022</x:v>
      </x:c>
      <x:c r="F463" s="29" t="n">
        <x:f>MONTH(B463)</x:f>
        <x:v>3</x:v>
      </x:c>
      <x:c r="G463" s="30" t="n">
        <x:v>-33.55</x:v>
      </x:c>
      <x:c r="H463" s="30" t="n">
        <x:v>-72.19</x:v>
      </x:c>
      <x:c r="I463" s="29" t="n">
        <x:v>16</x:v>
      </x:c>
      <x:c r="J463" s="31" t="n">
        <x:v>4.3</x:v>
      </x:c>
      <x:c r="K463" s="25" t="str">
        <x:f>IF(J463&gt;=7,"Muy fuerte (&gt;=7)",IF(J463&gt;=6,"Fuerte (6-6.9)",IF(J463&gt;=5,"Moderado alto (5-5.9)",IF(J463&gt;=4,"Moderado (4-4.9)","Menor a 4"))))</x:f>
        <x:v>Moderado (4-4.9)</x:v>
      </x:c>
      <x:c r="L463" s="25" t="str">
        <x:f>IF(I463&lt;70,"Superficial (&lt;70 km)",IF(I463&lt;=300,"Intermedio (70-300 km)","Profundo (&gt;300 km)"))</x:f>
        <x:v>Superficial (&lt;70 km)</x:v>
      </x:c>
      <x:c r="M463" s="25" t="str">
        <x:f>IF(J463&gt;=5,"Sí","No")</x:f>
        <x:v>No</x:v>
      </x:c>
      <x:c r="N463" s="25" t="str">
        <x:f>IF(J463&gt;=6,"Sí","No")</x:f>
        <x:v>No</x:v>
      </x:c>
      <x:c r="O463" s="25" t="str">
        <x:v>Pendiente: asignar con R/sf</x:v>
      </x:c>
    </x:row>
    <x:row r="464">
      <x:c r="A464" s="25" t="n">
        <x:v>463</x:v>
      </x:c>
      <x:c r="B464" s="26" t="n">
        <x:v>45755.93802083333</x:v>
      </x:c>
      <x:c r="C464" s="27" t="n">
        <x:f>INT(B464)</x:f>
        <x:v>45755</x:v>
      </x:c>
      <x:c r="D464" s="28" t="n">
        <x:f>MOD(B464,1)</x:f>
        <x:v>0.9380208333313931</x:v>
      </x:c>
      <x:c r="E464" s="29" t="n">
        <x:f>YEAR(B464)</x:f>
        <x:v>2025</x:v>
      </x:c>
      <x:c r="F464" s="29" t="n">
        <x:f>MONTH(B464)</x:f>
        <x:v>4</x:v>
      </x:c>
      <x:c r="G464" s="30" t="n">
        <x:v>-21.05</x:v>
      </x:c>
      <x:c r="H464" s="30" t="n">
        <x:v>-68.56</x:v>
      </x:c>
      <x:c r="I464" s="29" t="n">
        <x:v>126</x:v>
      </x:c>
      <x:c r="J464" s="31" t="n">
        <x:v>5.2</x:v>
      </x:c>
      <x:c r="K464" s="25" t="str">
        <x:f>IF(J464&gt;=7,"Muy fuerte (&gt;=7)",IF(J464&gt;=6,"Fuerte (6-6.9)",IF(J464&gt;=5,"Moderado alto (5-5.9)",IF(J464&gt;=4,"Moderado (4-4.9)","Menor a 4"))))</x:f>
        <x:v>Moderado alto (5-5.9)</x:v>
      </x:c>
      <x:c r="L464" s="25" t="str">
        <x:f>IF(I464&lt;70,"Superficial (&lt;70 km)",IF(I464&lt;=300,"Intermedio (70-300 km)","Profundo (&gt;300 km)"))</x:f>
        <x:v>Intermedio (70-300 km)</x:v>
      </x:c>
      <x:c r="M464" s="25" t="str">
        <x:f>IF(J464&gt;=5,"Sí","No")</x:f>
        <x:v>Sí</x:v>
      </x:c>
      <x:c r="N464" s="25" t="str">
        <x:f>IF(J464&gt;=6,"Sí","No")</x:f>
        <x:v>No</x:v>
      </x:c>
      <x:c r="O464" s="25" t="str">
        <x:v>Pendiente: asignar con R/sf</x:v>
      </x:c>
    </x:row>
    <x:row r="465">
      <x:c r="A465" s="25" t="n">
        <x:v>464</x:v>
      </x:c>
      <x:c r="B465" s="26" t="n">
        <x:v>45765.007152777776</x:v>
      </x:c>
      <x:c r="C465" s="27" t="n">
        <x:f>INT(B465)</x:f>
        <x:v>45765</x:v>
      </x:c>
      <x:c r="D465" s="28" t="n">
        <x:f>MOD(B465,1)</x:f>
        <x:v>0.007152777776354924</x:v>
      </x:c>
      <x:c r="E465" s="29" t="n">
        <x:f>YEAR(B465)</x:f>
        <x:v>2025</x:v>
      </x:c>
      <x:c r="F465" s="29" t="n">
        <x:f>MONTH(B465)</x:f>
        <x:v>4</x:v>
      </x:c>
      <x:c r="G465" s="30" t="n">
        <x:v>-23.47</x:v>
      </x:c>
      <x:c r="H465" s="30" t="n">
        <x:v>-68.22</x:v>
      </x:c>
      <x:c r="I465" s="29" t="n">
        <x:v>139</x:v>
      </x:c>
      <x:c r="J465" s="31" t="n">
        <x:v>6</x:v>
      </x:c>
      <x:c r="K465" s="25" t="str">
        <x:f>IF(J465&gt;=7,"Muy fuerte (&gt;=7)",IF(J465&gt;=6,"Fuerte (6-6.9)",IF(J465&gt;=5,"Moderado alto (5-5.9)",IF(J465&gt;=4,"Moderado (4-4.9)","Menor a 4"))))</x:f>
        <x:v>Fuerte (6-6.9)</x:v>
      </x:c>
      <x:c r="L465" s="25" t="str">
        <x:f>IF(I465&lt;70,"Superficial (&lt;70 km)",IF(I465&lt;=300,"Intermedio (70-300 km)","Profundo (&gt;300 km)"))</x:f>
        <x:v>Intermedio (70-300 km)</x:v>
      </x:c>
      <x:c r="M465" s="25" t="str">
        <x:f>IF(J465&gt;=5,"Sí","No")</x:f>
        <x:v>Sí</x:v>
      </x:c>
      <x:c r="N465" s="25" t="str">
        <x:f>IF(J465&gt;=6,"Sí","No")</x:f>
        <x:v>Sí</x:v>
      </x:c>
      <x:c r="O465" s="25" t="str">
        <x:v>Pendiente: asignar con R/sf</x:v>
      </x:c>
    </x:row>
    <x:row r="466">
      <x:c r="A466" s="25" t="n">
        <x:v>465</x:v>
      </x:c>
      <x:c r="B466" s="26" t="n">
        <x:v>45771.13898148148</x:v>
      </x:c>
      <x:c r="C466" s="27" t="n">
        <x:f>INT(B466)</x:f>
        <x:v>45771</x:v>
      </x:c>
      <x:c r="D466" s="28" t="n">
        <x:f>MOD(B466,1)</x:f>
        <x:v>0.13898148148291511</x:v>
      </x:c>
      <x:c r="E466" s="29" t="n">
        <x:f>YEAR(B466)</x:f>
        <x:v>2025</x:v>
      </x:c>
      <x:c r="F466" s="29" t="n">
        <x:f>MONTH(B466)</x:f>
        <x:v>4</x:v>
      </x:c>
      <x:c r="G466" s="30" t="n">
        <x:v>-30.76</x:v>
      </x:c>
      <x:c r="H466" s="30" t="n">
        <x:v>-71.9</x:v>
      </x:c>
      <x:c r="I466" s="29" t="n">
        <x:v>31</x:v>
      </x:c>
      <x:c r="J466" s="31" t="n">
        <x:v>5.4</x:v>
      </x:c>
      <x:c r="K466" s="25" t="str">
        <x:f>IF(J466&gt;=7,"Muy fuerte (&gt;=7)",IF(J466&gt;=6,"Fuerte (6-6.9)",IF(J466&gt;=5,"Moderado alto (5-5.9)",IF(J466&gt;=4,"Moderado (4-4.9)","Menor a 4"))))</x:f>
        <x:v>Moderado alto (5-5.9)</x:v>
      </x:c>
      <x:c r="L466" s="25" t="str">
        <x:f>IF(I466&lt;70,"Superficial (&lt;70 km)",IF(I466&lt;=300,"Intermedio (70-300 km)","Profundo (&gt;300 km)"))</x:f>
        <x:v>Superficial (&lt;70 km)</x:v>
      </x:c>
      <x:c r="M466" s="25" t="str">
        <x:f>IF(J466&gt;=5,"Sí","No")</x:f>
        <x:v>Sí</x:v>
      </x:c>
      <x:c r="N466" s="25" t="str">
        <x:f>IF(J466&gt;=6,"Sí","No")</x:f>
        <x:v>No</x:v>
      </x:c>
      <x:c r="O466" s="25" t="str">
        <x:v>Pendiente: asignar con R/sf</x:v>
      </x:c>
    </x:row>
    <x:row r="467">
      <x:c r="A467" s="25" t="n">
        <x:v>466</x:v>
      </x:c>
      <x:c r="B467" s="26" t="n">
        <x:v>45707.2821412037</x:v>
      </x:c>
      <x:c r="C467" s="27" t="n">
        <x:f>INT(B467)</x:f>
        <x:v>45707</x:v>
      </x:c>
      <x:c r="D467" s="28" t="n">
        <x:f>MOD(B467,1)</x:f>
        <x:v>0.28214120370103046</x:v>
      </x:c>
      <x:c r="E467" s="29" t="n">
        <x:f>YEAR(B467)</x:f>
        <x:v>2025</x:v>
      </x:c>
      <x:c r="F467" s="29" t="n">
        <x:f>MONTH(B467)</x:f>
        <x:v>2</x:v>
      </x:c>
      <x:c r="G467" s="30" t="n">
        <x:v>-19.31</x:v>
      </x:c>
      <x:c r="H467" s="30" t="n">
        <x:v>-70.15</x:v>
      </x:c>
      <x:c r="I467" s="29" t="n">
        <x:v>54</x:v>
      </x:c>
      <x:c r="J467" s="31" t="n">
        <x:v>4.9</x:v>
      </x:c>
      <x:c r="K467" s="25" t="str">
        <x:f>IF(J467&gt;=7,"Muy fuerte (&gt;=7)",IF(J467&gt;=6,"Fuerte (6-6.9)",IF(J467&gt;=5,"Moderado alto (5-5.9)",IF(J467&gt;=4,"Moderado (4-4.9)","Menor a 4"))))</x:f>
        <x:v>Moderado (4-4.9)</x:v>
      </x:c>
      <x:c r="L467" s="25" t="str">
        <x:f>IF(I467&lt;70,"Superficial (&lt;70 km)",IF(I467&lt;=300,"Intermedio (70-300 km)","Profundo (&gt;300 km)"))</x:f>
        <x:v>Superficial (&lt;70 km)</x:v>
      </x:c>
      <x:c r="M467" s="25" t="str">
        <x:f>IF(J467&gt;=5,"Sí","No")</x:f>
        <x:v>No</x:v>
      </x:c>
      <x:c r="N467" s="25" t="str">
        <x:f>IF(J467&gt;=6,"Sí","No")</x:f>
        <x:v>No</x:v>
      </x:c>
      <x:c r="O467" s="25" t="str">
        <x:v>Pendiente: asignar con R/sf</x:v>
      </x:c>
    </x:row>
    <x:row r="468">
      <x:c r="A468" s="25" t="n">
        <x:v>467</x:v>
      </x:c>
      <x:c r="B468" s="26" t="n">
        <x:v>45674.70556712963</x:v>
      </x:c>
      <x:c r="C468" s="27" t="n">
        <x:f>INT(B468)</x:f>
        <x:v>45674</x:v>
      </x:c>
      <x:c r="D468" s="28" t="n">
        <x:f>MOD(B468,1)</x:f>
        <x:v>0.705567129632982</x:v>
      </x:c>
      <x:c r="E468" s="29" t="n">
        <x:f>YEAR(B468)</x:f>
        <x:v>2025</x:v>
      </x:c>
      <x:c r="F468" s="29" t="n">
        <x:f>MONTH(B468)</x:f>
        <x:v>1</x:v>
      </x:c>
      <x:c r="G468" s="30" t="n">
        <x:v>-35.15</x:v>
      </x:c>
      <x:c r="H468" s="30" t="n">
        <x:v>-72.17</x:v>
      </x:c>
      <x:c r="I468" s="29" t="n">
        <x:v>38</x:v>
      </x:c>
      <x:c r="J468" s="31" t="n">
        <x:v>4.6</x:v>
      </x:c>
      <x:c r="K468" s="25" t="str">
        <x:f>IF(J468&gt;=7,"Muy fuerte (&gt;=7)",IF(J468&gt;=6,"Fuerte (6-6.9)",IF(J468&gt;=5,"Moderado alto (5-5.9)",IF(J468&gt;=4,"Moderado (4-4.9)","Menor a 4"))))</x:f>
        <x:v>Moderado (4-4.9)</x:v>
      </x:c>
      <x:c r="L468" s="25" t="str">
        <x:f>IF(I468&lt;70,"Superficial (&lt;70 km)",IF(I468&lt;=300,"Intermedio (70-300 km)","Profundo (&gt;300 km)"))</x:f>
        <x:v>Superficial (&lt;70 km)</x:v>
      </x:c>
      <x:c r="M468" s="25" t="str">
        <x:f>IF(J468&gt;=5,"Sí","No")</x:f>
        <x:v>No</x:v>
      </x:c>
      <x:c r="N468" s="25" t="str">
        <x:f>IF(J468&gt;=6,"Sí","No")</x:f>
        <x:v>No</x:v>
      </x:c>
      <x:c r="O468" s="25" t="str">
        <x:v>Pendiente: asignar con R/sf</x:v>
      </x:c>
    </x:row>
    <x:row r="469">
      <x:c r="A469" s="25" t="n">
        <x:v>468</x:v>
      </x:c>
      <x:c r="B469" s="26" t="n">
        <x:v>45166.975694444445</x:v>
      </x:c>
      <x:c r="C469" s="27" t="n">
        <x:f>INT(B469)</x:f>
        <x:v>45166</x:v>
      </x:c>
      <x:c r="D469" s="28" t="n">
        <x:f>MOD(B469,1)</x:f>
        <x:v>0.9756944444452529</x:v>
      </x:c>
      <x:c r="E469" s="29" t="n">
        <x:f>YEAR(B469)</x:f>
        <x:v>2023</x:v>
      </x:c>
      <x:c r="F469" s="29" t="n">
        <x:f>MONTH(B469)</x:f>
        <x:v>8</x:v>
      </x:c>
      <x:c r="G469" s="30" t="n">
        <x:v>-43.77</x:v>
      </x:c>
      <x:c r="H469" s="30" t="n">
        <x:v>-73.65</x:v>
      </x:c>
      <x:c r="I469" s="29" t="n">
        <x:v>52</x:v>
      </x:c>
      <x:c r="J469" s="31" t="n">
        <x:v>5</x:v>
      </x:c>
      <x:c r="K469" s="25" t="str">
        <x:f>IF(J469&gt;=7,"Muy fuerte (&gt;=7)",IF(J469&gt;=6,"Fuerte (6-6.9)",IF(J469&gt;=5,"Moderado alto (5-5.9)",IF(J469&gt;=4,"Moderado (4-4.9)","Menor a 4"))))</x:f>
        <x:v>Moderado alto (5-5.9)</x:v>
      </x:c>
      <x:c r="L469" s="25" t="str">
        <x:f>IF(I469&lt;70,"Superficial (&lt;70 km)",IF(I469&lt;=300,"Intermedio (70-300 km)","Profundo (&gt;300 km)"))</x:f>
        <x:v>Superficial (&lt;70 km)</x:v>
      </x:c>
      <x:c r="M469" s="25" t="str">
        <x:f>IF(J469&gt;=5,"Sí","No")</x:f>
        <x:v>Sí</x:v>
      </x:c>
      <x:c r="N469" s="25" t="str">
        <x:f>IF(J469&gt;=6,"Sí","No")</x:f>
        <x:v>No</x:v>
      </x:c>
      <x:c r="O469" s="25" t="str">
        <x:v>Pendiente: asignar con R/sf</x:v>
      </x:c>
    </x:row>
    <x:row r="470">
      <x:c r="A470" s="25" t="n">
        <x:v>469</x:v>
      </x:c>
      <x:c r="B470" s="26" t="n">
        <x:v>45530.6818287037</x:v>
      </x:c>
      <x:c r="C470" s="27" t="n">
        <x:f>INT(B470)</x:f>
        <x:v>45530</x:v>
      </x:c>
      <x:c r="D470" s="28" t="n">
        <x:f>MOD(B470,1)</x:f>
        <x:v>0.6818287037021946</x:v>
      </x:c>
      <x:c r="E470" s="29" t="n">
        <x:f>YEAR(B470)</x:f>
        <x:v>2024</x:v>
      </x:c>
      <x:c r="F470" s="29" t="n">
        <x:f>MONTH(B470)</x:f>
        <x:v>8</x:v>
      </x:c>
      <x:c r="G470" s="30" t="n">
        <x:v>-44.87</x:v>
      </x:c>
      <x:c r="H470" s="30" t="n">
        <x:v>-73.92</x:v>
      </x:c>
      <x:c r="I470" s="29" t="n">
        <x:v>49</x:v>
      </x:c>
      <x:c r="J470" s="31" t="n">
        <x:v>5.1</x:v>
      </x:c>
      <x:c r="K470" s="25" t="str">
        <x:f>IF(J470&gt;=7,"Muy fuerte (&gt;=7)",IF(J470&gt;=6,"Fuerte (6-6.9)",IF(J470&gt;=5,"Moderado alto (5-5.9)",IF(J470&gt;=4,"Moderado (4-4.9)","Menor a 4"))))</x:f>
        <x:v>Moderado alto (5-5.9)</x:v>
      </x:c>
      <x:c r="L470" s="25" t="str">
        <x:f>IF(I470&lt;70,"Superficial (&lt;70 km)",IF(I470&lt;=300,"Intermedio (70-300 km)","Profundo (&gt;300 km)"))</x:f>
        <x:v>Superficial (&lt;70 km)</x:v>
      </x:c>
      <x:c r="M470" s="25" t="str">
        <x:f>IF(J470&gt;=5,"Sí","No")</x:f>
        <x:v>Sí</x:v>
      </x:c>
      <x:c r="N470" s="25" t="str">
        <x:f>IF(J470&gt;=6,"Sí","No")</x:f>
        <x:v>No</x:v>
      </x:c>
      <x:c r="O470" s="25" t="str">
        <x:v>Pendiente: asignar con R/sf</x:v>
      </x:c>
    </x:row>
    <x:row r="471">
      <x:c r="A471" s="25" t="n">
        <x:v>470</x:v>
      </x:c>
      <x:c r="B471" s="26" t="n">
        <x:v>45462.75650462963</x:v>
      </x:c>
      <x:c r="C471" s="27" t="n">
        <x:f>INT(B471)</x:f>
        <x:v>45462</x:v>
      </x:c>
      <x:c r="D471" s="28" t="n">
        <x:f>MOD(B471,1)</x:f>
        <x:v>0.7565046296294895</x:v>
      </x:c>
      <x:c r="E471" s="29" t="n">
        <x:f>YEAR(B471)</x:f>
        <x:v>2024</x:v>
      </x:c>
      <x:c r="F471" s="29" t="n">
        <x:f>MONTH(B471)</x:f>
        <x:v>6</x:v>
      </x:c>
      <x:c r="G471" s="30" t="n">
        <x:v>-24.61</x:v>
      </x:c>
      <x:c r="H471" s="30" t="n">
        <x:v>-70.09</x:v>
      </x:c>
      <x:c r="I471" s="29" t="n">
        <x:v>49</x:v>
      </x:c>
      <x:c r="J471" s="31" t="n">
        <x:v>4.4</x:v>
      </x:c>
      <x:c r="K471" s="25" t="str">
        <x:f>IF(J471&gt;=7,"Muy fuerte (&gt;=7)",IF(J471&gt;=6,"Fuerte (6-6.9)",IF(J471&gt;=5,"Moderado alto (5-5.9)",IF(J471&gt;=4,"Moderado (4-4.9)","Menor a 4"))))</x:f>
        <x:v>Moderado (4-4.9)</x:v>
      </x:c>
      <x:c r="L471" s="25" t="str">
        <x:f>IF(I471&lt;70,"Superficial (&lt;70 km)",IF(I471&lt;=300,"Intermedio (70-300 km)","Profundo (&gt;300 km)"))</x:f>
        <x:v>Superficial (&lt;70 km)</x:v>
      </x:c>
      <x:c r="M471" s="25" t="str">
        <x:f>IF(J471&gt;=5,"Sí","No")</x:f>
        <x:v>No</x:v>
      </x:c>
      <x:c r="N471" s="25" t="str">
        <x:f>IF(J471&gt;=6,"Sí","No")</x:f>
        <x:v>No</x:v>
      </x:c>
      <x:c r="O471" s="25" t="str">
        <x:v>Pendiente: asignar con R/sf</x:v>
      </x:c>
    </x:row>
    <x:row r="472">
      <x:c r="A472" s="25" t="n">
        <x:v>471</x:v>
      </x:c>
      <x:c r="B472" s="26" t="n">
        <x:v>45509.00287037037</x:v>
      </x:c>
      <x:c r="C472" s="27" t="n">
        <x:f>INT(B472)</x:f>
        <x:v>45509</x:v>
      </x:c>
      <x:c r="D472" s="28" t="n">
        <x:f>MOD(B472,1)</x:f>
        <x:v>0.0028703703719656914</x:v>
      </x:c>
      <x:c r="E472" s="29" t="n">
        <x:f>YEAR(B472)</x:f>
        <x:v>2024</x:v>
      </x:c>
      <x:c r="F472" s="29" t="n">
        <x:f>MONTH(B472)</x:f>
        <x:v>8</x:v>
      </x:c>
      <x:c r="G472" s="30" t="n">
        <x:v>-25.8</x:v>
      </x:c>
      <x:c r="H472" s="30" t="n">
        <x:v>-70.4</x:v>
      </x:c>
      <x:c r="I472" s="29" t="n">
        <x:v>49</x:v>
      </x:c>
      <x:c r="J472" s="31" t="n">
        <x:v>4.1</x:v>
      </x:c>
      <x:c r="K472" s="25" t="str">
        <x:f>IF(J472&gt;=7,"Muy fuerte (&gt;=7)",IF(J472&gt;=6,"Fuerte (6-6.9)",IF(J472&gt;=5,"Moderado alto (5-5.9)",IF(J472&gt;=4,"Moderado (4-4.9)","Menor a 4"))))</x:f>
        <x:v>Moderado (4-4.9)</x:v>
      </x:c>
      <x:c r="L472" s="25" t="str">
        <x:f>IF(I472&lt;70,"Superficial (&lt;70 km)",IF(I472&lt;=300,"Intermedio (70-300 km)","Profundo (&gt;300 km)"))</x:f>
        <x:v>Superficial (&lt;70 km)</x:v>
      </x:c>
      <x:c r="M472" s="25" t="str">
        <x:f>IF(J472&gt;=5,"Sí","No")</x:f>
        <x:v>No</x:v>
      </x:c>
      <x:c r="N472" s="25" t="str">
        <x:f>IF(J472&gt;=6,"Sí","No")</x:f>
        <x:v>No</x:v>
      </x:c>
      <x:c r="O472" s="25" t="str">
        <x:v>Pendiente: asignar con R/sf</x:v>
      </x:c>
    </x:row>
    <x:row r="473">
      <x:c r="A473" s="25" t="n">
        <x:v>472</x:v>
      </x:c>
      <x:c r="B473" s="26" t="n">
        <x:v>45584.934907407405</x:v>
      </x:c>
      <x:c r="C473" s="27" t="n">
        <x:f>INT(B473)</x:f>
        <x:v>45584</x:v>
      </x:c>
      <x:c r="D473" s="28" t="n">
        <x:f>MOD(B473,1)</x:f>
        <x:v>0.9349074074052623</x:v>
      </x:c>
      <x:c r="E473" s="29" t="n">
        <x:f>YEAR(B473)</x:f>
        <x:v>2024</x:v>
      </x:c>
      <x:c r="F473" s="29" t="n">
        <x:f>MONTH(B473)</x:f>
        <x:v>10</x:v>
      </x:c>
      <x:c r="G473" s="30" t="n">
        <x:v>-26.27</x:v>
      </x:c>
      <x:c r="H473" s="30" t="n">
        <x:v>-69.17</x:v>
      </x:c>
      <x:c r="I473" s="29" t="n">
        <x:v>145</x:v>
      </x:c>
      <x:c r="J473" s="31" t="n">
        <x:v>4.6</x:v>
      </x:c>
      <x:c r="K473" s="25" t="str">
        <x:f>IF(J473&gt;=7,"Muy fuerte (&gt;=7)",IF(J473&gt;=6,"Fuerte (6-6.9)",IF(J473&gt;=5,"Moderado alto (5-5.9)",IF(J473&gt;=4,"Moderado (4-4.9)","Menor a 4"))))</x:f>
        <x:v>Moderado (4-4.9)</x:v>
      </x:c>
      <x:c r="L473" s="25" t="str">
        <x:f>IF(I473&lt;70,"Superficial (&lt;70 km)",IF(I473&lt;=300,"Intermedio (70-300 km)","Profundo (&gt;300 km)"))</x:f>
        <x:v>Intermedio (70-300 km)</x:v>
      </x:c>
      <x:c r="M473" s="25" t="str">
        <x:f>IF(J473&gt;=5,"Sí","No")</x:f>
        <x:v>No</x:v>
      </x:c>
      <x:c r="N473" s="25" t="str">
        <x:f>IF(J473&gt;=6,"Sí","No")</x:f>
        <x:v>No</x:v>
      </x:c>
      <x:c r="O473" s="25" t="str">
        <x:v>Pendiente: asignar con R/sf</x:v>
      </x:c>
    </x:row>
    <x:row r="474">
      <x:c r="A474" s="25" t="n">
        <x:v>473</x:v>
      </x:c>
      <x:c r="B474" s="26" t="n">
        <x:v>45607.36072916666</x:v>
      </x:c>
      <x:c r="C474" s="27" t="n">
        <x:f>INT(B474)</x:f>
        <x:v>45607</x:v>
      </x:c>
      <x:c r="D474" s="28" t="n">
        <x:f>MOD(B474,1)</x:f>
        <x:v>0.3607291666630772</x:v>
      </x:c>
      <x:c r="E474" s="29" t="n">
        <x:f>YEAR(B474)</x:f>
        <x:v>2024</x:v>
      </x:c>
      <x:c r="F474" s="29" t="n">
        <x:f>MONTH(B474)</x:f>
        <x:v>11</x:v>
      </x:c>
      <x:c r="G474" s="30" t="n">
        <x:v>-25.68</x:v>
      </x:c>
      <x:c r="H474" s="30" t="n">
        <x:v>-69.88</x:v>
      </x:c>
      <x:c r="I474" s="29" t="n">
        <x:v>85</x:v>
      </x:c>
      <x:c r="J474" s="31" t="n">
        <x:v>3.9</x:v>
      </x:c>
      <x:c r="K474" s="25" t="str">
        <x:f>IF(J474&gt;=7,"Muy fuerte (&gt;=7)",IF(J474&gt;=6,"Fuerte (6-6.9)",IF(J474&gt;=5,"Moderado alto (5-5.9)",IF(J474&gt;=4,"Moderado (4-4.9)","Menor a 4"))))</x:f>
        <x:v>Menor a 4</x:v>
      </x:c>
      <x:c r="L474" s="25" t="str">
        <x:f>IF(I474&lt;70,"Superficial (&lt;70 km)",IF(I474&lt;=300,"Intermedio (70-300 km)","Profundo (&gt;300 km)"))</x:f>
        <x:v>Intermedio (70-300 km)</x:v>
      </x:c>
      <x:c r="M474" s="25" t="str">
        <x:f>IF(J474&gt;=5,"Sí","No")</x:f>
        <x:v>No</x:v>
      </x:c>
      <x:c r="N474" s="25" t="str">
        <x:f>IF(J474&gt;=6,"Sí","No")</x:f>
        <x:v>No</x:v>
      </x:c>
      <x:c r="O474" s="25" t="str">
        <x:v>Pendiente: asignar con R/sf</x:v>
      </x:c>
    </x:row>
    <x:row r="475">
      <x:c r="A475" s="25" t="n">
        <x:v>474</x:v>
      </x:c>
      <x:c r="B475" s="26" t="n">
        <x:v>45692.218206018515</x:v>
      </x:c>
      <x:c r="C475" s="27" t="n">
        <x:f>INT(B475)</x:f>
        <x:v>45692</x:v>
      </x:c>
      <x:c r="D475" s="28" t="n">
        <x:f>MOD(B475,1)</x:f>
        <x:v>0.21820601851504762</x:v>
      </x:c>
      <x:c r="E475" s="29" t="n">
        <x:f>YEAR(B475)</x:f>
        <x:v>2025</x:v>
      </x:c>
      <x:c r="F475" s="29" t="n">
        <x:f>MONTH(B475)</x:f>
        <x:v>2</x:v>
      </x:c>
      <x:c r="G475" s="30" t="n">
        <x:v>-25.01</x:v>
      </x:c>
      <x:c r="H475" s="30" t="n">
        <x:v>-70.89</x:v>
      </x:c>
      <x:c r="I475" s="29" t="n">
        <x:v>46</x:v>
      </x:c>
      <x:c r="J475" s="31" t="n">
        <x:v>4.1</x:v>
      </x:c>
      <x:c r="K475" s="25" t="str">
        <x:f>IF(J475&gt;=7,"Muy fuerte (&gt;=7)",IF(J475&gt;=6,"Fuerte (6-6.9)",IF(J475&gt;=5,"Moderado alto (5-5.9)",IF(J475&gt;=4,"Moderado (4-4.9)","Menor a 4"))))</x:f>
        <x:v>Moderado (4-4.9)</x:v>
      </x:c>
      <x:c r="L475" s="25" t="str">
        <x:f>IF(I475&lt;70,"Superficial (&lt;70 km)",IF(I475&lt;=300,"Intermedio (70-300 km)","Profundo (&gt;300 km)"))</x:f>
        <x:v>Superficial (&lt;70 km)</x:v>
      </x:c>
      <x:c r="M475" s="25" t="str">
        <x:f>IF(J475&gt;=5,"Sí","No")</x:f>
        <x:v>No</x:v>
      </x:c>
      <x:c r="N475" s="25" t="str">
        <x:f>IF(J475&gt;=6,"Sí","No")</x:f>
        <x:v>No</x:v>
      </x:c>
      <x:c r="O475" s="25" t="str">
        <x:v>Pendiente: asignar con R/sf</x:v>
      </x:c>
    </x:row>
    <x:row r="476">
      <x:c r="A476" s="25" t="n">
        <x:v>475</x:v>
      </x:c>
      <x:c r="B476" s="26" t="n">
        <x:v>45701.44930555556</x:v>
      </x:c>
      <x:c r="C476" s="27" t="n">
        <x:f>INT(B476)</x:f>
        <x:v>45701</x:v>
      </x:c>
      <x:c r="D476" s="28" t="n">
        <x:f>MOD(B476,1)</x:f>
        <x:v>0.4493055555576575</x:v>
      </x:c>
      <x:c r="E476" s="29" t="n">
        <x:f>YEAR(B476)</x:f>
        <x:v>2025</x:v>
      </x:c>
      <x:c r="F476" s="29" t="n">
        <x:f>MONTH(B476)</x:f>
        <x:v>2</x:v>
      </x:c>
      <x:c r="G476" s="30" t="n">
        <x:v>-24.95</x:v>
      </x:c>
      <x:c r="H476" s="30" t="n">
        <x:v>-70.73</x:v>
      </x:c>
      <x:c r="I476" s="29" t="n">
        <x:v>48</x:v>
      </x:c>
      <x:c r="J476" s="31" t="n">
        <x:v>4.6</x:v>
      </x:c>
      <x:c r="K476" s="25" t="str">
        <x:f>IF(J476&gt;=7,"Muy fuerte (&gt;=7)",IF(J476&gt;=6,"Fuerte (6-6.9)",IF(J476&gt;=5,"Moderado alto (5-5.9)",IF(J476&gt;=4,"Moderado (4-4.9)","Menor a 4"))))</x:f>
        <x:v>Moderado (4-4.9)</x:v>
      </x:c>
      <x:c r="L476" s="25" t="str">
        <x:f>IF(I476&lt;70,"Superficial (&lt;70 km)",IF(I476&lt;=300,"Intermedio (70-300 km)","Profundo (&gt;300 km)"))</x:f>
        <x:v>Superficial (&lt;70 km)</x:v>
      </x:c>
      <x:c r="M476" s="25" t="str">
        <x:f>IF(J476&gt;=5,"Sí","No")</x:f>
        <x:v>No</x:v>
      </x:c>
      <x:c r="N476" s="25" t="str">
        <x:f>IF(J476&gt;=6,"Sí","No")</x:f>
        <x:v>No</x:v>
      </x:c>
      <x:c r="O476" s="25" t="str">
        <x:v>Pendiente: asignar con R/sf</x:v>
      </x:c>
    </x:row>
    <x:row r="477">
      <x:c r="A477" s="25" t="n">
        <x:v>476</x:v>
      </x:c>
      <x:c r="B477" s="26" t="n">
        <x:v>45643.68305555556</x:v>
      </x:c>
      <x:c r="C477" s="27" t="n">
        <x:f>INT(B477)</x:f>
        <x:v>45643</x:v>
      </x:c>
      <x:c r="D477" s="28" t="n">
        <x:f>MOD(B477,1)</x:f>
        <x:v>0.6830555555570754</x:v>
      </x:c>
      <x:c r="E477" s="29" t="n">
        <x:f>YEAR(B477)</x:f>
        <x:v>2024</x:v>
      </x:c>
      <x:c r="F477" s="29" t="n">
        <x:f>MONTH(B477)</x:f>
        <x:v>12</x:v>
      </x:c>
      <x:c r="G477" s="30" t="n">
        <x:v>-26.14</x:v>
      </x:c>
      <x:c r="H477" s="30" t="n">
        <x:v>-69.92</x:v>
      </x:c>
      <x:c r="I477" s="29" t="n">
        <x:v>52</x:v>
      </x:c>
      <x:c r="J477" s="31" t="n">
        <x:v>4.5</x:v>
      </x:c>
      <x:c r="K477" s="25" t="str">
        <x:f>IF(J477&gt;=7,"Muy fuerte (&gt;=7)",IF(J477&gt;=6,"Fuerte (6-6.9)",IF(J477&gt;=5,"Moderado alto (5-5.9)",IF(J477&gt;=4,"Moderado (4-4.9)","Menor a 4"))))</x:f>
        <x:v>Moderado (4-4.9)</x:v>
      </x:c>
      <x:c r="L477" s="25" t="str">
        <x:f>IF(I477&lt;70,"Superficial (&lt;70 km)",IF(I477&lt;=300,"Intermedio (70-300 km)","Profundo (&gt;300 km)"))</x:f>
        <x:v>Superficial (&lt;70 km)</x:v>
      </x:c>
      <x:c r="M477" s="25" t="str">
        <x:f>IF(J477&gt;=5,"Sí","No")</x:f>
        <x:v>No</x:v>
      </x:c>
      <x:c r="N477" s="25" t="str">
        <x:f>IF(J477&gt;=6,"Sí","No")</x:f>
        <x:v>No</x:v>
      </x:c>
      <x:c r="O477" s="25" t="str">
        <x:v>Pendiente: asignar con R/sf</x:v>
      </x:c>
    </x:row>
    <x:row r="478">
      <x:c r="A478" s="25" t="n">
        <x:v>477</x:v>
      </x:c>
      <x:c r="B478" s="26" t="n">
        <x:v>45472.84459490741</x:v>
      </x:c>
      <x:c r="C478" s="27" t="n">
        <x:f>INT(B478)</x:f>
        <x:v>45472</x:v>
      </x:c>
      <x:c r="D478" s="28" t="n">
        <x:f>MOD(B478,1)</x:f>
        <x:v>0.8445949074084638</x:v>
      </x:c>
      <x:c r="E478" s="29" t="n">
        <x:f>YEAR(B478)</x:f>
        <x:v>2024</x:v>
      </x:c>
      <x:c r="F478" s="29" t="n">
        <x:f>MONTH(B478)</x:f>
        <x:v>6</x:v>
      </x:c>
      <x:c r="G478" s="30" t="n">
        <x:v>-24.96</x:v>
      </x:c>
      <x:c r="H478" s="30" t="n">
        <x:v>-70.65</x:v>
      </x:c>
      <x:c r="I478" s="29" t="n">
        <x:v>66</x:v>
      </x:c>
      <x:c r="J478" s="31" t="n">
        <x:v>3.4</x:v>
      </x:c>
      <x:c r="K478" s="25" t="str">
        <x:f>IF(J478&gt;=7,"Muy fuerte (&gt;=7)",IF(J478&gt;=6,"Fuerte (6-6.9)",IF(J478&gt;=5,"Moderado alto (5-5.9)",IF(J478&gt;=4,"Moderado (4-4.9)","Menor a 4"))))</x:f>
        <x:v>Menor a 4</x:v>
      </x:c>
      <x:c r="L478" s="25" t="str">
        <x:f>IF(I478&lt;70,"Superficial (&lt;70 km)",IF(I478&lt;=300,"Intermedio (70-300 km)","Profundo (&gt;300 km)"))</x:f>
        <x:v>Superficial (&lt;70 km)</x:v>
      </x:c>
      <x:c r="M478" s="25" t="str">
        <x:f>IF(J478&gt;=5,"Sí","No")</x:f>
        <x:v>No</x:v>
      </x:c>
      <x:c r="N478" s="25" t="str">
        <x:f>IF(J478&gt;=6,"Sí","No")</x:f>
        <x:v>No</x:v>
      </x:c>
      <x:c r="O478" s="25" t="str">
        <x:v>Pendiente: asignar con R/sf</x:v>
      </x:c>
    </x:row>
    <x:row r="479">
      <x:c r="A479" s="25" t="n">
        <x:v>478</x:v>
      </x:c>
      <x:c r="B479" s="26" t="n">
        <x:v>45565.27943287037</x:v>
      </x:c>
      <x:c r="C479" s="27" t="n">
        <x:f>INT(B479)</x:f>
        <x:v>45565</x:v>
      </x:c>
      <x:c r="D479" s="28" t="n">
        <x:f>MOD(B479,1)</x:f>
        <x:v>0.2794328703676001</x:v>
      </x:c>
      <x:c r="E479" s="29" t="n">
        <x:f>YEAR(B479)</x:f>
        <x:v>2024</x:v>
      </x:c>
      <x:c r="F479" s="29" t="n">
        <x:f>MONTH(B479)</x:f>
        <x:v>9</x:v>
      </x:c>
      <x:c r="G479" s="30" t="n">
        <x:v>-25.19</x:v>
      </x:c>
      <x:c r="H479" s="30" t="n">
        <x:v>-70.48</x:v>
      </x:c>
      <x:c r="I479" s="29" t="n">
        <x:v>34</x:v>
      </x:c>
      <x:c r="J479" s="31" t="n">
        <x:v>3.9</x:v>
      </x:c>
      <x:c r="K479" s="25" t="str">
        <x:f>IF(J479&gt;=7,"Muy fuerte (&gt;=7)",IF(J479&gt;=6,"Fuerte (6-6.9)",IF(J479&gt;=5,"Moderado alto (5-5.9)",IF(J479&gt;=4,"Moderado (4-4.9)","Menor a 4"))))</x:f>
        <x:v>Menor a 4</x:v>
      </x:c>
      <x:c r="L479" s="25" t="str">
        <x:f>IF(I479&lt;70,"Superficial (&lt;70 km)",IF(I479&lt;=300,"Intermedio (70-300 km)","Profundo (&gt;300 km)"))</x:f>
        <x:v>Superficial (&lt;70 km)</x:v>
      </x:c>
      <x:c r="M479" s="25" t="str">
        <x:f>IF(J479&gt;=5,"Sí","No")</x:f>
        <x:v>No</x:v>
      </x:c>
      <x:c r="N479" s="25" t="str">
        <x:f>IF(J479&gt;=6,"Sí","No")</x:f>
        <x:v>No</x:v>
      </x:c>
      <x:c r="O479" s="25" t="str">
        <x:v>Pendiente: asignar con R/sf</x:v>
      </x:c>
    </x:row>
    <x:row r="480">
      <x:c r="A480" s="25" t="n">
        <x:v>479</x:v>
      </x:c>
      <x:c r="B480" s="26" t="n">
        <x:v>43678.83435185185</x:v>
      </x:c>
      <x:c r="C480" s="27" t="n">
        <x:f>INT(B480)</x:f>
        <x:v>43678</x:v>
      </x:c>
      <x:c r="D480" s="28" t="n">
        <x:f>MOD(B480,1)</x:f>
        <x:v>0.8343518518522615</x:v>
      </x:c>
      <x:c r="E480" s="29" t="n">
        <x:f>YEAR(B480)</x:f>
        <x:v>2019</x:v>
      </x:c>
      <x:c r="F480" s="29" t="n">
        <x:f>MONTH(B480)</x:f>
        <x:v>8</x:v>
      </x:c>
      <x:c r="G480" s="30" t="n">
        <x:v>-34.31</x:v>
      </x:c>
      <x:c r="H480" s="30" t="n">
        <x:v>-72.42</x:v>
      </x:c>
      <x:c r="I480" s="29" t="n">
        <x:v>21</x:v>
      </x:c>
      <x:c r="J480" s="31" t="n">
        <x:v>5.4</x:v>
      </x:c>
      <x:c r="K480" s="25" t="str">
        <x:f>IF(J480&gt;=7,"Muy fuerte (&gt;=7)",IF(J480&gt;=6,"Fuerte (6-6.9)",IF(J480&gt;=5,"Moderado alto (5-5.9)",IF(J480&gt;=4,"Moderado (4-4.9)","Menor a 4"))))</x:f>
        <x:v>Moderado alto (5-5.9)</x:v>
      </x:c>
      <x:c r="L480" s="25" t="str">
        <x:f>IF(I480&lt;70,"Superficial (&lt;70 km)",IF(I480&lt;=300,"Intermedio (70-300 km)","Profundo (&gt;300 km)"))</x:f>
        <x:v>Superficial (&lt;70 km)</x:v>
      </x:c>
      <x:c r="M480" s="25" t="str">
        <x:f>IF(J480&gt;=5,"Sí","No")</x:f>
        <x:v>Sí</x:v>
      </x:c>
      <x:c r="N480" s="25" t="str">
        <x:f>IF(J480&gt;=6,"Sí","No")</x:f>
        <x:v>No</x:v>
      </x:c>
      <x:c r="O480" s="25" t="str">
        <x:v>Pendiente: asignar con R/sf</x:v>
      </x:c>
    </x:row>
    <x:row r="481">
      <x:c r="A481" s="25" t="n">
        <x:v>480</x:v>
      </x:c>
      <x:c r="B481" s="26" t="n">
        <x:v>43678.769479166665</x:v>
      </x:c>
      <x:c r="C481" s="27" t="n">
        <x:f>INT(B481)</x:f>
        <x:v>43678</x:v>
      </x:c>
      <x:c r="D481" s="28" t="n">
        <x:f>MOD(B481,1)</x:f>
        <x:v>0.7694791666654055</x:v>
      </x:c>
      <x:c r="E481" s="29" t="n">
        <x:f>YEAR(B481)</x:f>
        <x:v>2019</x:v>
      </x:c>
      <x:c r="F481" s="29" t="n">
        <x:f>MONTH(B481)</x:f>
        <x:v>8</x:v>
      </x:c>
      <x:c r="G481" s="30" t="n">
        <x:v>-34.28</x:v>
      </x:c>
      <x:c r="H481" s="30" t="n">
        <x:v>-72.51</x:v>
      </x:c>
      <x:c r="I481" s="29" t="n">
        <x:v>13</x:v>
      </x:c>
      <x:c r="J481" s="31" t="n">
        <x:v>6.6</x:v>
      </x:c>
      <x:c r="K481" s="25" t="str">
        <x:f>IF(J481&gt;=7,"Muy fuerte (&gt;=7)",IF(J481&gt;=6,"Fuerte (6-6.9)",IF(J481&gt;=5,"Moderado alto (5-5.9)",IF(J481&gt;=4,"Moderado (4-4.9)","Menor a 4"))))</x:f>
        <x:v>Fuerte (6-6.9)</x:v>
      </x:c>
      <x:c r="L481" s="25" t="str">
        <x:f>IF(I481&lt;70,"Superficial (&lt;70 km)",IF(I481&lt;=300,"Intermedio (70-300 km)","Profundo (&gt;300 km)"))</x:f>
        <x:v>Superficial (&lt;70 km)</x:v>
      </x:c>
      <x:c r="M481" s="25" t="str">
        <x:f>IF(J481&gt;=5,"Sí","No")</x:f>
        <x:v>Sí</x:v>
      </x:c>
      <x:c r="N481" s="25" t="str">
        <x:f>IF(J481&gt;=6,"Sí","No")</x:f>
        <x:v>Sí</x:v>
      </x:c>
      <x:c r="O481" s="25" t="str">
        <x:v>Pendiente: asignar con R/sf</x:v>
      </x:c>
    </x:row>
    <x:row r="482">
      <x:c r="A482" s="25" t="n">
        <x:v>481</x:v>
      </x:c>
      <x:c r="B482" s="26" t="n">
        <x:v>43679.03839120371</x:v>
      </x:c>
      <x:c r="C482" s="27" t="n">
        <x:f>INT(B482)</x:f>
        <x:v>43679</x:v>
      </x:c>
      <x:c r="D482" s="28" t="n">
        <x:f>MOD(B482,1)</x:f>
        <x:v>0.03839120370685123</x:v>
      </x:c>
      <x:c r="E482" s="29" t="n">
        <x:f>YEAR(B482)</x:f>
        <x:v>2019</x:v>
      </x:c>
      <x:c r="F482" s="29" t="n">
        <x:f>MONTH(B482)</x:f>
        <x:v>8</x:v>
      </x:c>
      <x:c r="G482" s="30" t="n">
        <x:v>-34.17</x:v>
      </x:c>
      <x:c r="H482" s="30" t="n">
        <x:v>-72.12</x:v>
      </x:c>
      <x:c r="I482" s="29" t="n">
        <x:v>21</x:v>
      </x:c>
      <x:c r="J482" s="31" t="n">
        <x:v>5.4</x:v>
      </x:c>
      <x:c r="K482" s="25" t="str">
        <x:f>IF(J482&gt;=7,"Muy fuerte (&gt;=7)",IF(J482&gt;=6,"Fuerte (6-6.9)",IF(J482&gt;=5,"Moderado alto (5-5.9)",IF(J482&gt;=4,"Moderado (4-4.9)","Menor a 4"))))</x:f>
        <x:v>Moderado alto (5-5.9)</x:v>
      </x:c>
      <x:c r="L482" s="25" t="str">
        <x:f>IF(I482&lt;70,"Superficial (&lt;70 km)",IF(I482&lt;=300,"Intermedio (70-300 km)","Profundo (&gt;300 km)"))</x:f>
        <x:v>Superficial (&lt;70 km)</x:v>
      </x:c>
      <x:c r="M482" s="25" t="str">
        <x:f>IF(J482&gt;=5,"Sí","No")</x:f>
        <x:v>Sí</x:v>
      </x:c>
      <x:c r="N482" s="25" t="str">
        <x:f>IF(J482&gt;=6,"Sí","No")</x:f>
        <x:v>No</x:v>
      </x:c>
      <x:c r="O482" s="25" t="str">
        <x:v>Pendiente: asignar con R/sf</x:v>
      </x:c>
    </x:row>
    <x:row r="483">
      <x:c r="A483" s="25" t="n">
        <x:v>482</x:v>
      </x:c>
      <x:c r="B483" s="26" t="n">
        <x:v>43705.53037037037</x:v>
      </x:c>
      <x:c r="C483" s="27" t="n">
        <x:f>INT(B483)</x:f>
        <x:v>43705</x:v>
      </x:c>
      <x:c r="D483" s="28" t="n">
        <x:f>MOD(B483,1)</x:f>
        <x:v>0.5303703703684732</x:v>
      </x:c>
      <x:c r="E483" s="29" t="n">
        <x:f>YEAR(B483)</x:f>
        <x:v>2019</x:v>
      </x:c>
      <x:c r="F483" s="29" t="n">
        <x:f>MONTH(B483)</x:f>
        <x:v>8</x:v>
      </x:c>
      <x:c r="G483" s="30" t="n">
        <x:v>-23.13</x:v>
      </x:c>
      <x:c r="H483" s="30" t="n">
        <x:v>-69.23</x:v>
      </x:c>
      <x:c r="I483" s="29" t="n">
        <x:v>108</x:v>
      </x:c>
      <x:c r="J483" s="31" t="n">
        <x:v>5.2</x:v>
      </x:c>
      <x:c r="K483" s="25" t="str">
        <x:f>IF(J483&gt;=7,"Muy fuerte (&gt;=7)",IF(J483&gt;=6,"Fuerte (6-6.9)",IF(J483&gt;=5,"Moderado alto (5-5.9)",IF(J483&gt;=4,"Moderado (4-4.9)","Menor a 4"))))</x:f>
        <x:v>Moderado alto (5-5.9)</x:v>
      </x:c>
      <x:c r="L483" s="25" t="str">
        <x:f>IF(I483&lt;70,"Superficial (&lt;70 km)",IF(I483&lt;=300,"Intermedio (70-300 km)","Profundo (&gt;300 km)"))</x:f>
        <x:v>Intermedio (70-300 km)</x:v>
      </x:c>
      <x:c r="M483" s="25" t="str">
        <x:f>IF(J483&gt;=5,"Sí","No")</x:f>
        <x:v>Sí</x:v>
      </x:c>
      <x:c r="N483" s="25" t="str">
        <x:f>IF(J483&gt;=6,"Sí","No")</x:f>
        <x:v>No</x:v>
      </x:c>
      <x:c r="O483" s="25" t="str">
        <x:v>Pendiente: asignar con R/sf</x:v>
      </x:c>
    </x:row>
    <x:row r="484">
      <x:c r="A484" s="25" t="n">
        <x:v>483</x:v>
      </x:c>
      <x:c r="B484" s="26" t="n">
        <x:v>43691.89805555555</x:v>
      </x:c>
      <x:c r="C484" s="27" t="n">
        <x:f>INT(B484)</x:f>
        <x:v>43691</x:v>
      </x:c>
      <x:c r="D484" s="28" t="n">
        <x:f>MOD(B484,1)</x:f>
        <x:v>0.898055555553583</x:v>
      </x:c>
      <x:c r="E484" s="29" t="n">
        <x:f>YEAR(B484)</x:f>
        <x:v>2019</x:v>
      </x:c>
      <x:c r="F484" s="29" t="n">
        <x:f>MONTH(B484)</x:f>
        <x:v>8</x:v>
      </x:c>
      <x:c r="G484" s="30" t="n">
        <x:v>-20.74</x:v>
      </x:c>
      <x:c r="H484" s="30" t="n">
        <x:v>-70.11</x:v>
      </x:c>
      <x:c r="I484" s="29" t="n">
        <x:v>30</x:v>
      </x:c>
      <x:c r="J484" s="31" t="n">
        <x:v>4.2</x:v>
      </x:c>
      <x:c r="K484" s="25" t="str">
        <x:f>IF(J484&gt;=7,"Muy fuerte (&gt;=7)",IF(J484&gt;=6,"Fuerte (6-6.9)",IF(J484&gt;=5,"Moderado alto (5-5.9)",IF(J484&gt;=4,"Moderado (4-4.9)","Menor a 4"))))</x:f>
        <x:v>Moderado (4-4.9)</x:v>
      </x:c>
      <x:c r="L484" s="25" t="str">
        <x:f>IF(I484&lt;70,"Superficial (&lt;70 km)",IF(I484&lt;=300,"Intermedio (70-300 km)","Profundo (&gt;300 km)"))</x:f>
        <x:v>Superficial (&lt;70 km)</x:v>
      </x:c>
      <x:c r="M484" s="25" t="str">
        <x:f>IF(J484&gt;=5,"Sí","No")</x:f>
        <x:v>No</x:v>
      </x:c>
      <x:c r="N484" s="25" t="str">
        <x:f>IF(J484&gt;=6,"Sí","No")</x:f>
        <x:v>No</x:v>
      </x:c>
      <x:c r="O484" s="25" t="str">
        <x:v>Pendiente: asignar con R/sf</x:v>
      </x:c>
    </x:row>
    <x:row r="485">
      <x:c r="A485" s="25" t="n">
        <x:v>484</x:v>
      </x:c>
      <x:c r="B485" s="26" t="n">
        <x:v>43686.09</x:v>
      </x:c>
      <x:c r="C485" s="27" t="n">
        <x:f>INT(B485)</x:f>
        <x:v>43686</x:v>
      </x:c>
      <x:c r="D485" s="28" t="n">
        <x:f>MOD(B485,1)</x:f>
        <x:v>0.08999999999650754</x:v>
      </x:c>
      <x:c r="E485" s="29" t="n">
        <x:f>YEAR(B485)</x:f>
        <x:v>2019</x:v>
      </x:c>
      <x:c r="F485" s="29" t="n">
        <x:f>MONTH(B485)</x:f>
        <x:v>8</x:v>
      </x:c>
      <x:c r="G485" s="30" t="n">
        <x:v>-32.14</x:v>
      </x:c>
      <x:c r="H485" s="30" t="n">
        <x:v>-70.96</x:v>
      </x:c>
      <x:c r="I485" s="29" t="n">
        <x:v>92</x:v>
      </x:c>
      <x:c r="J485" s="31" t="n">
        <x:v>5.1</x:v>
      </x:c>
      <x:c r="K485" s="25" t="str">
        <x:f>IF(J485&gt;=7,"Muy fuerte (&gt;=7)",IF(J485&gt;=6,"Fuerte (6-6.9)",IF(J485&gt;=5,"Moderado alto (5-5.9)",IF(J485&gt;=4,"Moderado (4-4.9)","Menor a 4"))))</x:f>
        <x:v>Moderado alto (5-5.9)</x:v>
      </x:c>
      <x:c r="L485" s="25" t="str">
        <x:f>IF(I485&lt;70,"Superficial (&lt;70 km)",IF(I485&lt;=300,"Intermedio (70-300 km)","Profundo (&gt;300 km)"))</x:f>
        <x:v>Intermedio (70-300 km)</x:v>
      </x:c>
      <x:c r="M485" s="25" t="str">
        <x:f>IF(J485&gt;=5,"Sí","No")</x:f>
        <x:v>Sí</x:v>
      </x:c>
      <x:c r="N485" s="25" t="str">
        <x:f>IF(J485&gt;=6,"Sí","No")</x:f>
        <x:v>No</x:v>
      </x:c>
      <x:c r="O485" s="25" t="str">
        <x:v>Pendiente: asignar con R/sf</x:v>
      </x:c>
    </x:row>
    <x:row r="486">
      <x:c r="A486" s="25" t="n">
        <x:v>485</x:v>
      </x:c>
      <x:c r="B486" s="26" t="n">
        <x:v>43689.90300925926</x:v>
      </x:c>
      <x:c r="C486" s="27" t="n">
        <x:f>INT(B486)</x:f>
        <x:v>43689</x:v>
      </x:c>
      <x:c r="D486" s="28" t="n">
        <x:f>MOD(B486,1)</x:f>
        <x:v>0.9030092592583969</x:v>
      </x:c>
      <x:c r="E486" s="29" t="n">
        <x:f>YEAR(B486)</x:f>
        <x:v>2019</x:v>
      </x:c>
      <x:c r="F486" s="29" t="n">
        <x:f>MONTH(B486)</x:f>
        <x:v>8</x:v>
      </x:c>
      <x:c r="G486" s="30" t="n">
        <x:v>-19.23</x:v>
      </x:c>
      <x:c r="H486" s="30" t="n">
        <x:v>-69.73</x:v>
      </x:c>
      <x:c r="I486" s="29" t="n">
        <x:v>86</x:v>
      </x:c>
      <x:c r="J486" s="31" t="n">
        <x:v>4.2</x:v>
      </x:c>
      <x:c r="K486" s="25" t="str">
        <x:f>IF(J486&gt;=7,"Muy fuerte (&gt;=7)",IF(J486&gt;=6,"Fuerte (6-6.9)",IF(J486&gt;=5,"Moderado alto (5-5.9)",IF(J486&gt;=4,"Moderado (4-4.9)","Menor a 4"))))</x:f>
        <x:v>Moderado (4-4.9)</x:v>
      </x:c>
      <x:c r="L486" s="25" t="str">
        <x:f>IF(I486&lt;70,"Superficial (&lt;70 km)",IF(I486&lt;=300,"Intermedio (70-300 km)","Profundo (&gt;300 km)"))</x:f>
        <x:v>Intermedio (70-300 km)</x:v>
      </x:c>
      <x:c r="M486" s="25" t="str">
        <x:f>IF(J486&gt;=5,"Sí","No")</x:f>
        <x:v>No</x:v>
      </x:c>
      <x:c r="N486" s="25" t="str">
        <x:f>IF(J486&gt;=6,"Sí","No")</x:f>
        <x:v>No</x:v>
      </x:c>
      <x:c r="O486" s="25" t="str">
        <x:v>Pendiente: asignar con R/sf</x:v>
      </x:c>
    </x:row>
    <x:row r="487">
      <x:c r="A487" s="25" t="n">
        <x:v>486</x:v>
      </x:c>
      <x:c r="B487" s="26" t="n">
        <x:v>43701.10625</x:v>
      </x:c>
      <x:c r="C487" s="27" t="n">
        <x:f>INT(B487)</x:f>
        <x:v>43701</x:v>
      </x:c>
      <x:c r="D487" s="28" t="n">
        <x:f>MOD(B487,1)</x:f>
        <x:v>0.10624999999708962</x:v>
      </x:c>
      <x:c r="E487" s="29" t="n">
        <x:f>YEAR(B487)</x:f>
        <x:v>2019</x:v>
      </x:c>
      <x:c r="F487" s="29" t="n">
        <x:f>MONTH(B487)</x:f>
        <x:v>8</x:v>
      </x:c>
      <x:c r="G487" s="30" t="n">
        <x:v>-31.11</x:v>
      </x:c>
      <x:c r="H487" s="30" t="n">
        <x:v>-71.39</x:v>
      </x:c>
      <x:c r="I487" s="29" t="n">
        <x:v>67</x:v>
      </x:c>
      <x:c r="J487" s="31" t="n">
        <x:v>5.3</x:v>
      </x:c>
      <x:c r="K487" s="25" t="str">
        <x:f>IF(J487&gt;=7,"Muy fuerte (&gt;=7)",IF(J487&gt;=6,"Fuerte (6-6.9)",IF(J487&gt;=5,"Moderado alto (5-5.9)",IF(J487&gt;=4,"Moderado (4-4.9)","Menor a 4"))))</x:f>
        <x:v>Moderado alto (5-5.9)</x:v>
      </x:c>
      <x:c r="L487" s="25" t="str">
        <x:f>IF(I487&lt;70,"Superficial (&lt;70 km)",IF(I487&lt;=300,"Intermedio (70-300 km)","Profundo (&gt;300 km)"))</x:f>
        <x:v>Superficial (&lt;70 km)</x:v>
      </x:c>
      <x:c r="M487" s="25" t="str">
        <x:f>IF(J487&gt;=5,"Sí","No")</x:f>
        <x:v>Sí</x:v>
      </x:c>
      <x:c r="N487" s="25" t="str">
        <x:f>IF(J487&gt;=6,"Sí","No")</x:f>
        <x:v>No</x:v>
      </x:c>
      <x:c r="O487" s="25" t="str">
        <x:v>Pendiente: asignar con R/sf</x:v>
      </x:c>
    </x:row>
    <x:row r="488">
      <x:c r="A488" s="25" t="n">
        <x:v>487</x:v>
      </x:c>
      <x:c r="B488" s="26" t="n">
        <x:v>43496.826273148145</x:v>
      </x:c>
      <x:c r="C488" s="27" t="n">
        <x:f>INT(B488)</x:f>
        <x:v>43496</x:v>
      </x:c>
      <x:c r="D488" s="28" t="n">
        <x:f>MOD(B488,1)</x:f>
        <x:v>0.8262731481445371</x:v>
      </x:c>
      <x:c r="E488" s="29" t="n">
        <x:f>YEAR(B488)</x:f>
        <x:v>2019</x:v>
      </x:c>
      <x:c r="F488" s="29" t="n">
        <x:f>MONTH(B488)</x:f>
        <x:v>1</x:v>
      </x:c>
      <x:c r="G488" s="30" t="n">
        <x:v>-20.46</x:v>
      </x:c>
      <x:c r="H488" s="30" t="n">
        <x:v>-69</x:v>
      </x:c>
      <x:c r="I488" s="29" t="n">
        <x:v>102</x:v>
      </x:c>
      <x:c r="J488" s="31" t="n">
        <x:v>4</x:v>
      </x:c>
      <x:c r="K488" s="25" t="str">
        <x:f>IF(J488&gt;=7,"Muy fuerte (&gt;=7)",IF(J488&gt;=6,"Fuerte (6-6.9)",IF(J488&gt;=5,"Moderado alto (5-5.9)",IF(J488&gt;=4,"Moderado (4-4.9)","Menor a 4"))))</x:f>
        <x:v>Moderado (4-4.9)</x:v>
      </x:c>
      <x:c r="L488" s="25" t="str">
        <x:f>IF(I488&lt;70,"Superficial (&lt;70 km)",IF(I488&lt;=300,"Intermedio (70-300 km)","Profundo (&gt;300 km)"))</x:f>
        <x:v>Intermedio (70-300 km)</x:v>
      </x:c>
      <x:c r="M488" s="25" t="str">
        <x:f>IF(J488&gt;=5,"Sí","No")</x:f>
        <x:v>No</x:v>
      </x:c>
      <x:c r="N488" s="25" t="str">
        <x:f>IF(J488&gt;=6,"Sí","No")</x:f>
        <x:v>No</x:v>
      </x:c>
      <x:c r="O488" s="25" t="str">
        <x:v>Pendiente: asignar con R/sf</x:v>
      </x:c>
    </x:row>
    <x:row r="489">
      <x:c r="A489" s="25" t="n">
        <x:v>488</x:v>
      </x:c>
      <x:c r="B489" s="26" t="n">
        <x:v>43283.114953703705</x:v>
      </x:c>
      <x:c r="C489" s="27" t="n">
        <x:f>INT(B489)</x:f>
        <x:v>43283</x:v>
      </x:c>
      <x:c r="D489" s="28" t="n">
        <x:f>MOD(B489,1)</x:f>
        <x:v>0.11495370370539604</x:v>
      </x:c>
      <x:c r="E489" s="29" t="n">
        <x:f>YEAR(B489)</x:f>
        <x:v>2018</x:v>
      </x:c>
      <x:c r="F489" s="29" t="n">
        <x:f>MONTH(B489)</x:f>
        <x:v>7</x:v>
      </x:c>
      <x:c r="G489" s="30" t="n">
        <x:v>-37.75</x:v>
      </x:c>
      <x:c r="H489" s="30" t="n">
        <x:v>-72.74</x:v>
      </x:c>
      <x:c r="I489" s="29" t="n">
        <x:v>40</x:v>
      </x:c>
      <x:c r="J489" s="31" t="n">
        <x:v>4.3</x:v>
      </x:c>
      <x:c r="K489" s="25" t="str">
        <x:f>IF(J489&gt;=7,"Muy fuerte (&gt;=7)",IF(J489&gt;=6,"Fuerte (6-6.9)",IF(J489&gt;=5,"Moderado alto (5-5.9)",IF(J489&gt;=4,"Moderado (4-4.9)","Menor a 4"))))</x:f>
        <x:v>Moderado (4-4.9)</x:v>
      </x:c>
      <x:c r="L489" s="25" t="str">
        <x:f>IF(I489&lt;70,"Superficial (&lt;70 km)",IF(I489&lt;=300,"Intermedio (70-300 km)","Profundo (&gt;300 km)"))</x:f>
        <x:v>Superficial (&lt;70 km)</x:v>
      </x:c>
      <x:c r="M489" s="25" t="str">
        <x:f>IF(J489&gt;=5,"Sí","No")</x:f>
        <x:v>No</x:v>
      </x:c>
      <x:c r="N489" s="25" t="str">
        <x:f>IF(J489&gt;=6,"Sí","No")</x:f>
        <x:v>No</x:v>
      </x:c>
      <x:c r="O489" s="25" t="str">
        <x:v>Pendiente: asignar con R/sf</x:v>
      </x:c>
    </x:row>
    <x:row r="490">
      <x:c r="A490" s="25" t="n">
        <x:v>489</x:v>
      </x:c>
      <x:c r="B490" s="26" t="n">
        <x:v>43121.61311342593</x:v>
      </x:c>
      <x:c r="C490" s="27" t="n">
        <x:f>INT(B490)</x:f>
        <x:v>43121</x:v>
      </x:c>
      <x:c r="D490" s="28" t="n">
        <x:f>MOD(B490,1)</x:f>
        <x:v>0.6131134259267128</x:v>
      </x:c>
      <x:c r="E490" s="29" t="n">
        <x:f>YEAR(B490)</x:f>
        <x:v>2018</x:v>
      </x:c>
      <x:c r="F490" s="29" t="n">
        <x:f>MONTH(B490)</x:f>
        <x:v>1</x:v>
      </x:c>
      <x:c r="G490" s="30" t="n">
        <x:v>-36.07</x:v>
      </x:c>
      <x:c r="H490" s="30" t="n">
        <x:v>-73.29</x:v>
      </x:c>
      <x:c r="I490" s="29" t="n">
        <x:v>32</x:v>
      </x:c>
      <x:c r="J490" s="31" t="n">
        <x:v>4.2</x:v>
      </x:c>
      <x:c r="K490" s="25" t="str">
        <x:f>IF(J490&gt;=7,"Muy fuerte (&gt;=7)",IF(J490&gt;=6,"Fuerte (6-6.9)",IF(J490&gt;=5,"Moderado alto (5-5.9)",IF(J490&gt;=4,"Moderado (4-4.9)","Menor a 4"))))</x:f>
        <x:v>Moderado (4-4.9)</x:v>
      </x:c>
      <x:c r="L490" s="25" t="str">
        <x:f>IF(I490&lt;70,"Superficial (&lt;70 km)",IF(I490&lt;=300,"Intermedio (70-300 km)","Profundo (&gt;300 km)"))</x:f>
        <x:v>Superficial (&lt;70 km)</x:v>
      </x:c>
      <x:c r="M490" s="25" t="str">
        <x:f>IF(J490&gt;=5,"Sí","No")</x:f>
        <x:v>No</x:v>
      </x:c>
      <x:c r="N490" s="25" t="str">
        <x:f>IF(J490&gt;=6,"Sí","No")</x:f>
        <x:v>No</x:v>
      </x:c>
      <x:c r="O490" s="25" t="str">
        <x:v>Pendiente: asignar con R/sf</x:v>
      </x:c>
    </x:row>
    <x:row r="491">
      <x:c r="A491" s="25" t="n">
        <x:v>490</x:v>
      </x:c>
      <x:c r="B491" s="26" t="n">
        <x:v>43734.69186342593</x:v>
      </x:c>
      <x:c r="C491" s="27" t="n">
        <x:f>INT(B491)</x:f>
        <x:v>43734</x:v>
      </x:c>
      <x:c r="D491" s="28" t="n">
        <x:f>MOD(B491,1)</x:f>
        <x:v>0.6918634259272949</x:v>
      </x:c>
      <x:c r="E491" s="29" t="n">
        <x:f>YEAR(B491)</x:f>
        <x:v>2019</x:v>
      </x:c>
      <x:c r="F491" s="29" t="n">
        <x:f>MONTH(B491)</x:f>
        <x:v>9</x:v>
      </x:c>
      <x:c r="G491" s="30" t="n">
        <x:v>-40.83</x:v>
      </x:c>
      <x:c r="H491" s="30" t="n">
        <x:v>-72.29</x:v>
      </x:c>
      <x:c r="I491" s="29" t="n">
        <x:v>140</x:v>
      </x:c>
      <x:c r="J491" s="31" t="n">
        <x:v>6</x:v>
      </x:c>
      <x:c r="K491" s="25" t="str">
        <x:f>IF(J491&gt;=7,"Muy fuerte (&gt;=7)",IF(J491&gt;=6,"Fuerte (6-6.9)",IF(J491&gt;=5,"Moderado alto (5-5.9)",IF(J491&gt;=4,"Moderado (4-4.9)","Menor a 4"))))</x:f>
        <x:v>Fuerte (6-6.9)</x:v>
      </x:c>
      <x:c r="L491" s="25" t="str">
        <x:f>IF(I491&lt;70,"Superficial (&lt;70 km)",IF(I491&lt;=300,"Intermedio (70-300 km)","Profundo (&gt;300 km)"))</x:f>
        <x:v>Intermedio (70-300 km)</x:v>
      </x:c>
      <x:c r="M491" s="25" t="str">
        <x:f>IF(J491&gt;=5,"Sí","No")</x:f>
        <x:v>Sí</x:v>
      </x:c>
      <x:c r="N491" s="25" t="str">
        <x:f>IF(J491&gt;=6,"Sí","No")</x:f>
        <x:v>Sí</x:v>
      </x:c>
      <x:c r="O491" s="25" t="str">
        <x:v>Pendiente: asignar con R/sf</x:v>
      </x:c>
    </x:row>
    <x:row r="492">
      <x:c r="A492" s="25" t="n">
        <x:v>491</x:v>
      </x:c>
      <x:c r="B492" s="26" t="n">
        <x:v>43375.508125</x:v>
      </x:c>
      <x:c r="C492" s="27" t="n">
        <x:f>INT(B492)</x:f>
        <x:v>43375</x:v>
      </x:c>
      <x:c r="D492" s="28" t="n">
        <x:f>MOD(B492,1)</x:f>
        <x:v>0.508125000000291</x:v>
      </x:c>
      <x:c r="E492" s="29" t="n">
        <x:f>YEAR(B492)</x:f>
        <x:v>2018</x:v>
      </x:c>
      <x:c r="F492" s="29" t="n">
        <x:f>MONTH(B492)</x:f>
        <x:v>10</x:v>
      </x:c>
      <x:c r="G492" s="30" t="n">
        <x:v>-20.28</x:v>
      </x:c>
      <x:c r="H492" s="30" t="n">
        <x:v>-69.3</x:v>
      </x:c>
      <x:c r="I492" s="29" t="n">
        <x:v>89</x:v>
      </x:c>
      <x:c r="J492" s="31" t="n">
        <x:v>4.1</x:v>
      </x:c>
      <x:c r="K492" s="25" t="str">
        <x:f>IF(J492&gt;=7,"Muy fuerte (&gt;=7)",IF(J492&gt;=6,"Fuerte (6-6.9)",IF(J492&gt;=5,"Moderado alto (5-5.9)",IF(J492&gt;=4,"Moderado (4-4.9)","Menor a 4"))))</x:f>
        <x:v>Moderado (4-4.9)</x:v>
      </x:c>
      <x:c r="L492" s="25" t="str">
        <x:f>IF(I492&lt;70,"Superficial (&lt;70 km)",IF(I492&lt;=300,"Intermedio (70-300 km)","Profundo (&gt;300 km)"))</x:f>
        <x:v>Intermedio (70-300 km)</x:v>
      </x:c>
      <x:c r="M492" s="25" t="str">
        <x:f>IF(J492&gt;=5,"Sí","No")</x:f>
        <x:v>No</x:v>
      </x:c>
      <x:c r="N492" s="25" t="str">
        <x:f>IF(J492&gt;=6,"Sí","No")</x:f>
        <x:v>No</x:v>
      </x:c>
      <x:c r="O492" s="25" t="str">
        <x:v>Pendiente: asignar con R/sf</x:v>
      </x:c>
    </x:row>
    <x:row r="493">
      <x:c r="A493" s="25" t="n">
        <x:v>492</x:v>
      </x:c>
      <x:c r="B493" s="26" t="n">
        <x:v>43713.2371412037</x:v>
      </x:c>
      <x:c r="C493" s="27" t="n">
        <x:f>INT(B493)</x:f>
        <x:v>43713</x:v>
      </x:c>
      <x:c r="D493" s="28" t="n">
        <x:f>MOD(B493,1)</x:f>
        <x:v>0.2371412037027767</x:v>
      </x:c>
      <x:c r="E493" s="29" t="n">
        <x:f>YEAR(B493)</x:f>
        <x:v>2019</x:v>
      </x:c>
      <x:c r="F493" s="29" t="n">
        <x:f>MONTH(B493)</x:f>
        <x:v>9</x:v>
      </x:c>
      <x:c r="G493" s="30" t="n">
        <x:v>-36.09</x:v>
      </x:c>
      <x:c r="H493" s="30" t="n">
        <x:v>-73.99</x:v>
      </x:c>
      <x:c r="I493" s="29" t="n">
        <x:v>20</x:v>
      </x:c>
      <x:c r="J493" s="31" t="n">
        <x:v>5</x:v>
      </x:c>
      <x:c r="K493" s="25" t="str">
        <x:f>IF(J493&gt;=7,"Muy fuerte (&gt;=7)",IF(J493&gt;=6,"Fuerte (6-6.9)",IF(J493&gt;=5,"Moderado alto (5-5.9)",IF(J493&gt;=4,"Moderado (4-4.9)","Menor a 4"))))</x:f>
        <x:v>Moderado alto (5-5.9)</x:v>
      </x:c>
      <x:c r="L493" s="25" t="str">
        <x:f>IF(I493&lt;70,"Superficial (&lt;70 km)",IF(I493&lt;=300,"Intermedio (70-300 km)","Profundo (&gt;300 km)"))</x:f>
        <x:v>Superficial (&lt;70 km)</x:v>
      </x:c>
      <x:c r="M493" s="25" t="str">
        <x:f>IF(J493&gt;=5,"Sí","No")</x:f>
        <x:v>Sí</x:v>
      </x:c>
      <x:c r="N493" s="25" t="str">
        <x:f>IF(J493&gt;=6,"Sí","No")</x:f>
        <x:v>No</x:v>
      </x:c>
      <x:c r="O493" s="25" t="str">
        <x:v>Pendiente: asignar con R/sf</x:v>
      </x:c>
    </x:row>
    <x:row r="494">
      <x:c r="A494" s="25" t="n">
        <x:v>493</x:v>
      </x:c>
      <x:c r="B494" s="26" t="n">
        <x:v>43121.752974537034</x:v>
      </x:c>
      <x:c r="C494" s="27" t="n">
        <x:f>INT(B494)</x:f>
        <x:v>43121</x:v>
      </x:c>
      <x:c r="D494" s="28" t="n">
        <x:f>MOD(B494,1)</x:f>
        <x:v>0.7529745370338787</x:v>
      </x:c>
      <x:c r="E494" s="29" t="n">
        <x:f>YEAR(B494)</x:f>
        <x:v>2018</x:v>
      </x:c>
      <x:c r="F494" s="29" t="n">
        <x:f>MONTH(B494)</x:f>
        <x:v>1</x:v>
      </x:c>
      <x:c r="G494" s="30" t="n">
        <x:v>-35.98</x:v>
      </x:c>
      <x:c r="H494" s="30" t="n">
        <x:v>-73.46</x:v>
      </x:c>
      <x:c r="I494" s="29" t="n">
        <x:v>19</x:v>
      </x:c>
      <x:c r="J494" s="31" t="n">
        <x:v>4.7</x:v>
      </x:c>
      <x:c r="K494" s="25" t="str">
        <x:f>IF(J494&gt;=7,"Muy fuerte (&gt;=7)",IF(J494&gt;=6,"Fuerte (6-6.9)",IF(J494&gt;=5,"Moderado alto (5-5.9)",IF(J494&gt;=4,"Moderado (4-4.9)","Menor a 4"))))</x:f>
        <x:v>Moderado (4-4.9)</x:v>
      </x:c>
      <x:c r="L494" s="25" t="str">
        <x:f>IF(I494&lt;70,"Superficial (&lt;70 km)",IF(I494&lt;=300,"Intermedio (70-300 km)","Profundo (&gt;300 km)"))</x:f>
        <x:v>Superficial (&lt;70 km)</x:v>
      </x:c>
      <x:c r="M494" s="25" t="str">
        <x:f>IF(J494&gt;=5,"Sí","No")</x:f>
        <x:v>No</x:v>
      </x:c>
      <x:c r="N494" s="25" t="str">
        <x:f>IF(J494&gt;=6,"Sí","No")</x:f>
        <x:v>No</x:v>
      </x:c>
      <x:c r="O494" s="25" t="str">
        <x:v>Pendiente: asignar con R/sf</x:v>
      </x:c>
    </x:row>
    <x:row r="495">
      <x:c r="A495" s="25" t="n">
        <x:v>494</x:v>
      </x:c>
      <x:c r="B495" s="26" t="n">
        <x:v>43449.50890046296</x:v>
      </x:c>
      <x:c r="C495" s="27" t="n">
        <x:f>INT(B495)</x:f>
        <x:v>43449</x:v>
      </x:c>
      <x:c r="D495" s="28" t="n">
        <x:f>MOD(B495,1)</x:f>
        <x:v>0.5089004629626288</x:v>
      </x:c>
      <x:c r="E495" s="29" t="n">
        <x:f>YEAR(B495)</x:f>
        <x:v>2018</x:v>
      </x:c>
      <x:c r="F495" s="29" t="n">
        <x:f>MONTH(B495)</x:f>
        <x:v>12</x:v>
      </x:c>
      <x:c r="G495" s="30" t="n">
        <x:v>-19.88</x:v>
      </x:c>
      <x:c r="H495" s="30" t="n">
        <x:v>-71.01</x:v>
      </x:c>
      <x:c r="I495" s="29" t="n">
        <x:v>35</x:v>
      </x:c>
      <x:c r="J495" s="31" t="n">
        <x:v>4.7</x:v>
      </x:c>
      <x:c r="K495" s="25" t="str">
        <x:f>IF(J495&gt;=7,"Muy fuerte (&gt;=7)",IF(J495&gt;=6,"Fuerte (6-6.9)",IF(J495&gt;=5,"Moderado alto (5-5.9)",IF(J495&gt;=4,"Moderado (4-4.9)","Menor a 4"))))</x:f>
        <x:v>Moderado (4-4.9)</x:v>
      </x:c>
      <x:c r="L495" s="25" t="str">
        <x:f>IF(I495&lt;70,"Superficial (&lt;70 km)",IF(I495&lt;=300,"Intermedio (70-300 km)","Profundo (&gt;300 km)"))</x:f>
        <x:v>Superficial (&lt;70 km)</x:v>
      </x:c>
      <x:c r="M495" s="25" t="str">
        <x:f>IF(J495&gt;=5,"Sí","No")</x:f>
        <x:v>No</x:v>
      </x:c>
      <x:c r="N495" s="25" t="str">
        <x:f>IF(J495&gt;=6,"Sí","No")</x:f>
        <x:v>No</x:v>
      </x:c>
      <x:c r="O495" s="25" t="str">
        <x:v>Pendiente: asignar con R/sf</x:v>
      </x:c>
    </x:row>
    <x:row r="496">
      <x:c r="A496" s="25" t="n">
        <x:v>495</x:v>
      </x:c>
      <x:c r="B496" s="26" t="n">
        <x:v>43579.78996527778</x:v>
      </x:c>
      <x:c r="C496" s="27" t="n">
        <x:f>INT(B496)</x:f>
        <x:v>43579</x:v>
      </x:c>
      <x:c r="D496" s="28" t="n">
        <x:f>MOD(B496,1)</x:f>
        <x:v>0.7899652777778101</x:v>
      </x:c>
      <x:c r="E496" s="29" t="n">
        <x:f>YEAR(B496)</x:f>
        <x:v>2019</x:v>
      </x:c>
      <x:c r="F496" s="29" t="n">
        <x:f>MONTH(B496)</x:f>
        <x:v>4</x:v>
      </x:c>
      <x:c r="G496" s="30" t="n">
        <x:v>-21.49</x:v>
      </x:c>
      <x:c r="H496" s="30" t="n">
        <x:v>-68.52</x:v>
      </x:c>
      <x:c r="I496" s="29" t="n">
        <x:v>137</x:v>
      </x:c>
      <x:c r="J496" s="31" t="n">
        <x:v>5.3</x:v>
      </x:c>
      <x:c r="K496" s="25" t="str">
        <x:f>IF(J496&gt;=7,"Muy fuerte (&gt;=7)",IF(J496&gt;=6,"Fuerte (6-6.9)",IF(J496&gt;=5,"Moderado alto (5-5.9)",IF(J496&gt;=4,"Moderado (4-4.9)","Menor a 4"))))</x:f>
        <x:v>Moderado alto (5-5.9)</x:v>
      </x:c>
      <x:c r="L496" s="25" t="str">
        <x:f>IF(I496&lt;70,"Superficial (&lt;70 km)",IF(I496&lt;=300,"Intermedio (70-300 km)","Profundo (&gt;300 km)"))</x:f>
        <x:v>Intermedio (70-300 km)</x:v>
      </x:c>
      <x:c r="M496" s="25" t="str">
        <x:f>IF(J496&gt;=5,"Sí","No")</x:f>
        <x:v>Sí</x:v>
      </x:c>
      <x:c r="N496" s="25" t="str">
        <x:f>IF(J496&gt;=6,"Sí","No")</x:f>
        <x:v>No</x:v>
      </x:c>
      <x:c r="O496" s="25" t="str">
        <x:v>Pendiente: asignar con R/sf</x:v>
      </x:c>
    </x:row>
    <x:row r="497">
      <x:c r="A497" s="25" t="n">
        <x:v>496</x:v>
      </x:c>
      <x:c r="B497" s="26" t="n">
        <x:v>43283.681597222225</x:v>
      </x:c>
      <x:c r="C497" s="27" t="n">
        <x:f>INT(B497)</x:f>
        <x:v>43283</x:v>
      </x:c>
      <x:c r="D497" s="28" t="n">
        <x:f>MOD(B497,1)</x:f>
        <x:v>0.6815972222248092</x:v>
      </x:c>
      <x:c r="E497" s="29" t="n">
        <x:f>YEAR(B497)</x:f>
        <x:v>2018</x:v>
      </x:c>
      <x:c r="F497" s="29" t="n">
        <x:f>MONTH(B497)</x:f>
        <x:v>7</x:v>
      </x:c>
      <x:c r="G497" s="30" t="n">
        <x:v>-36.8</x:v>
      </x:c>
      <x:c r="H497" s="30" t="n">
        <x:v>-73.6</x:v>
      </x:c>
      <x:c r="I497" s="29" t="n">
        <x:v>28</x:v>
      </x:c>
      <x:c r="J497" s="31" t="n">
        <x:v>4.3</x:v>
      </x:c>
      <x:c r="K497" s="25" t="str">
        <x:f>IF(J497&gt;=7,"Muy fuerte (&gt;=7)",IF(J497&gt;=6,"Fuerte (6-6.9)",IF(J497&gt;=5,"Moderado alto (5-5.9)",IF(J497&gt;=4,"Moderado (4-4.9)","Menor a 4"))))</x:f>
        <x:v>Moderado (4-4.9)</x:v>
      </x:c>
      <x:c r="L497" s="25" t="str">
        <x:f>IF(I497&lt;70,"Superficial (&lt;70 km)",IF(I497&lt;=300,"Intermedio (70-300 km)","Profundo (&gt;300 km)"))</x:f>
        <x:v>Superficial (&lt;70 km)</x:v>
      </x:c>
      <x:c r="M497" s="25" t="str">
        <x:f>IF(J497&gt;=5,"Sí","No")</x:f>
        <x:v>No</x:v>
      </x:c>
      <x:c r="N497" s="25" t="str">
        <x:f>IF(J497&gt;=6,"Sí","No")</x:f>
        <x:v>No</x:v>
      </x:c>
      <x:c r="O497" s="25" t="str">
        <x:v>Pendiente: asignar con R/sf</x:v>
      </x:c>
    </x:row>
    <x:row r="498">
      <x:c r="A498" s="25" t="n">
        <x:v>497</x:v>
      </x:c>
      <x:c r="B498" s="26" t="n">
        <x:v>43734.85519675926</x:v>
      </x:c>
      <x:c r="C498" s="27" t="n">
        <x:f>INT(B498)</x:f>
        <x:v>43734</x:v>
      </x:c>
      <x:c r="D498" s="28" t="n">
        <x:f>MOD(B498,1)</x:f>
        <x:v>0.8551967592575238</x:v>
      </x:c>
      <x:c r="E498" s="29" t="n">
        <x:f>YEAR(B498)</x:f>
        <x:v>2019</x:v>
      </x:c>
      <x:c r="F498" s="29" t="n">
        <x:f>MONTH(B498)</x:f>
        <x:v>9</x:v>
      </x:c>
      <x:c r="G498" s="30" t="n">
        <x:v>-29.88</x:v>
      </x:c>
      <x:c r="H498" s="30" t="n">
        <x:v>-71.31</x:v>
      </x:c>
      <x:c r="I498" s="29" t="n">
        <x:v>46</x:v>
      </x:c>
      <x:c r="J498" s="31" t="n">
        <x:v>5.4</x:v>
      </x:c>
      <x:c r="K498" s="25" t="str">
        <x:f>IF(J498&gt;=7,"Muy fuerte (&gt;=7)",IF(J498&gt;=6,"Fuerte (6-6.9)",IF(J498&gt;=5,"Moderado alto (5-5.9)",IF(J498&gt;=4,"Moderado (4-4.9)","Menor a 4"))))</x:f>
        <x:v>Moderado alto (5-5.9)</x:v>
      </x:c>
      <x:c r="L498" s="25" t="str">
        <x:f>IF(I498&lt;70,"Superficial (&lt;70 km)",IF(I498&lt;=300,"Intermedio (70-300 km)","Profundo (&gt;300 km)"))</x:f>
        <x:v>Superficial (&lt;70 km)</x:v>
      </x:c>
      <x:c r="M498" s="25" t="str">
        <x:f>IF(J498&gt;=5,"Sí","No")</x:f>
        <x:v>Sí</x:v>
      </x:c>
      <x:c r="N498" s="25" t="str">
        <x:f>IF(J498&gt;=6,"Sí","No")</x:f>
        <x:v>No</x:v>
      </x:c>
      <x:c r="O498" s="25" t="str">
        <x:v>Pendiente: asignar con R/sf</x:v>
      </x:c>
    </x:row>
    <x:row r="499">
      <x:c r="A499" s="25" t="n">
        <x:v>498</x:v>
      </x:c>
      <x:c r="B499" s="26" t="n">
        <x:v>43493.375543981485</x:v>
      </x:c>
      <x:c r="C499" s="27" t="n">
        <x:f>INT(B499)</x:f>
        <x:v>43493</x:v>
      </x:c>
      <x:c r="D499" s="28" t="n">
        <x:f>MOD(B499,1)</x:f>
        <x:v>0.3755439814849524</x:v>
      </x:c>
      <x:c r="E499" s="29" t="n">
        <x:f>YEAR(B499)</x:f>
        <x:v>2019</x:v>
      </x:c>
      <x:c r="F499" s="29" t="n">
        <x:f>MONTH(B499)</x:f>
        <x:v>1</x:v>
      </x:c>
      <x:c r="G499" s="30" t="n">
        <x:v>-35.62</x:v>
      </x:c>
      <x:c r="H499" s="30" t="n">
        <x:v>-72.97</x:v>
      </x:c>
      <x:c r="I499" s="29" t="n">
        <x:v>28</x:v>
      </x:c>
      <x:c r="J499" s="31" t="n">
        <x:v>5</x:v>
      </x:c>
      <x:c r="K499" s="25" t="str">
        <x:f>IF(J499&gt;=7,"Muy fuerte (&gt;=7)",IF(J499&gt;=6,"Fuerte (6-6.9)",IF(J499&gt;=5,"Moderado alto (5-5.9)",IF(J499&gt;=4,"Moderado (4-4.9)","Menor a 4"))))</x:f>
        <x:v>Moderado alto (5-5.9)</x:v>
      </x:c>
      <x:c r="L499" s="25" t="str">
        <x:f>IF(I499&lt;70,"Superficial (&lt;70 km)",IF(I499&lt;=300,"Intermedio (70-300 km)","Profundo (&gt;300 km)"))</x:f>
        <x:v>Superficial (&lt;70 km)</x:v>
      </x:c>
      <x:c r="M499" s="25" t="str">
        <x:f>IF(J499&gt;=5,"Sí","No")</x:f>
        <x:v>Sí</x:v>
      </x:c>
      <x:c r="N499" s="25" t="str">
        <x:f>IF(J499&gt;=6,"Sí","No")</x:f>
        <x:v>No</x:v>
      </x:c>
      <x:c r="O499" s="25" t="str">
        <x:v>Pendiente: asignar con R/sf</x:v>
      </x:c>
    </x:row>
    <x:row r="500">
      <x:c r="A500" s="25" t="n">
        <x:v>499</x:v>
      </x:c>
      <x:c r="B500" s="26" t="n">
        <x:v>43156.83252314815</x:v>
      </x:c>
      <x:c r="C500" s="27" t="n">
        <x:f>INT(B500)</x:f>
        <x:v>43156</x:v>
      </x:c>
      <x:c r="D500" s="28" t="n">
        <x:f>MOD(B500,1)</x:f>
        <x:v>0.8325231481503579</x:v>
      </x:c>
      <x:c r="E500" s="29" t="n">
        <x:f>YEAR(B500)</x:f>
        <x:v>2018</x:v>
      </x:c>
      <x:c r="F500" s="29" t="n">
        <x:f>MONTH(B500)</x:f>
        <x:v>2</x:v>
      </x:c>
      <x:c r="G500" s="30" t="n">
        <x:v>-37.72</x:v>
      </x:c>
      <x:c r="H500" s="30" t="n">
        <x:v>-73.03</x:v>
      </x:c>
      <x:c r="I500" s="29" t="n">
        <x:v>45</x:v>
      </x:c>
      <x:c r="J500" s="31" t="n">
        <x:v>4.5</x:v>
      </x:c>
      <x:c r="K500" s="25" t="str">
        <x:f>IF(J500&gt;=7,"Muy fuerte (&gt;=7)",IF(J500&gt;=6,"Fuerte (6-6.9)",IF(J500&gt;=5,"Moderado alto (5-5.9)",IF(J500&gt;=4,"Moderado (4-4.9)","Menor a 4"))))</x:f>
        <x:v>Moderado (4-4.9)</x:v>
      </x:c>
      <x:c r="L500" s="25" t="str">
        <x:f>IF(I500&lt;70,"Superficial (&lt;70 km)",IF(I500&lt;=300,"Intermedio (70-300 km)","Profundo (&gt;300 km)"))</x:f>
        <x:v>Superficial (&lt;70 km)</x:v>
      </x:c>
      <x:c r="M500" s="25" t="str">
        <x:f>IF(J500&gt;=5,"Sí","No")</x:f>
        <x:v>No</x:v>
      </x:c>
      <x:c r="N500" s="25" t="str">
        <x:f>IF(J500&gt;=6,"Sí","No")</x:f>
        <x:v>No</x:v>
      </x:c>
      <x:c r="O500" s="25" t="str">
        <x:v>Pendiente: asignar con R/sf</x:v>
      </x:c>
    </x:row>
    <x:row r="501">
      <x:c r="A501" s="25" t="n">
        <x:v>500</x:v>
      </x:c>
      <x:c r="B501" s="26" t="n">
        <x:v>43545.85734953704</x:v>
      </x:c>
      <x:c r="C501" s="27" t="n">
        <x:f>INT(B501)</x:f>
        <x:v>43545</x:v>
      </x:c>
      <x:c r="D501" s="28" t="n">
        <x:f>MOD(B501,1)</x:f>
        <x:v>0.8573495370364981</x:v>
      </x:c>
      <x:c r="E501" s="29" t="n">
        <x:f>YEAR(B501)</x:f>
        <x:v>2019</x:v>
      </x:c>
      <x:c r="F501" s="29" t="n">
        <x:f>MONTH(B501)</x:f>
        <x:v>3</x:v>
      </x:c>
      <x:c r="G501" s="30" t="n">
        <x:v>-36.19</x:v>
      </x:c>
      <x:c r="H501" s="30" t="n">
        <x:v>-72.7</x:v>
      </x:c>
      <x:c r="I501" s="29" t="n">
        <x:v>67</x:v>
      </x:c>
      <x:c r="J501" s="31" t="n">
        <x:v>4.4</x:v>
      </x:c>
      <x:c r="K501" s="25" t="str">
        <x:f>IF(J501&gt;=7,"Muy fuerte (&gt;=7)",IF(J501&gt;=6,"Fuerte (6-6.9)",IF(J501&gt;=5,"Moderado alto (5-5.9)",IF(J501&gt;=4,"Moderado (4-4.9)","Menor a 4"))))</x:f>
        <x:v>Moderado (4-4.9)</x:v>
      </x:c>
      <x:c r="L501" s="25" t="str">
        <x:f>IF(I501&lt;70,"Superficial (&lt;70 km)",IF(I501&lt;=300,"Intermedio (70-300 km)","Profundo (&gt;300 km)"))</x:f>
        <x:v>Superficial (&lt;70 km)</x:v>
      </x:c>
      <x:c r="M501" s="25" t="str">
        <x:f>IF(J501&gt;=5,"Sí","No")</x:f>
        <x:v>No</x:v>
      </x:c>
      <x:c r="N501" s="25" t="str">
        <x:f>IF(J501&gt;=6,"Sí","No")</x:f>
        <x:v>No</x:v>
      </x:c>
      <x:c r="O501" s="25" t="str">
        <x:v>Pendiente: asignar con R/sf</x:v>
      </x:c>
    </x:row>
    <x:row r="502">
      <x:c r="A502" s="25" t="n">
        <x:v>501</x:v>
      </x:c>
      <x:c r="B502" s="26" t="n">
        <x:v>43551.02422453704</x:v>
      </x:c>
      <x:c r="C502" s="27" t="n">
        <x:f>INT(B502)</x:f>
        <x:v>43551</x:v>
      </x:c>
      <x:c r="D502" s="28" t="n">
        <x:f>MOD(B502,1)</x:f>
        <x:v>0.024224537039117422</x:v>
      </x:c>
      <x:c r="E502" s="29" t="n">
        <x:f>YEAR(B502)</x:f>
        <x:v>2019</x:v>
      </x:c>
      <x:c r="F502" s="29" t="n">
        <x:f>MONTH(B502)</x:f>
        <x:v>3</x:v>
      </x:c>
      <x:c r="G502" s="30" t="n">
        <x:v>-19.27</x:v>
      </x:c>
      <x:c r="H502" s="30" t="n">
        <x:v>-70.28</x:v>
      </x:c>
      <x:c r="I502" s="29" t="n">
        <x:v>35</x:v>
      </x:c>
      <x:c r="J502" s="31" t="n">
        <x:v>4.2</x:v>
      </x:c>
      <x:c r="K502" s="25" t="str">
        <x:f>IF(J502&gt;=7,"Muy fuerte (&gt;=7)",IF(J502&gt;=6,"Fuerte (6-6.9)",IF(J502&gt;=5,"Moderado alto (5-5.9)",IF(J502&gt;=4,"Moderado (4-4.9)","Menor a 4"))))</x:f>
        <x:v>Moderado (4-4.9)</x:v>
      </x:c>
      <x:c r="L502" s="25" t="str">
        <x:f>IF(I502&lt;70,"Superficial (&lt;70 km)",IF(I502&lt;=300,"Intermedio (70-300 km)","Profundo (&gt;300 km)"))</x:f>
        <x:v>Superficial (&lt;70 km)</x:v>
      </x:c>
      <x:c r="M502" s="25" t="str">
        <x:f>IF(J502&gt;=5,"Sí","No")</x:f>
        <x:v>No</x:v>
      </x:c>
      <x:c r="N502" s="25" t="str">
        <x:f>IF(J502&gt;=6,"Sí","No")</x:f>
        <x:v>No</x:v>
      </x:c>
      <x:c r="O502" s="25" t="str">
        <x:v>Pendiente: asignar con R/sf</x:v>
      </x:c>
    </x:row>
    <x:row r="503">
      <x:c r="A503" s="25" t="n">
        <x:v>502</x:v>
      </x:c>
      <x:c r="B503" s="26" t="n">
        <x:v>43502.74780092593</x:v>
      </x:c>
      <x:c r="C503" s="27" t="n">
        <x:f>INT(B503)</x:f>
        <x:v>43502</x:v>
      </x:c>
      <x:c r="D503" s="28" t="n">
        <x:f>MOD(B503,1)</x:f>
        <x:v>0.747800925928459</x:v>
      </x:c>
      <x:c r="E503" s="29" t="n">
        <x:f>YEAR(B503)</x:f>
        <x:v>2019</x:v>
      </x:c>
      <x:c r="F503" s="29" t="n">
        <x:f>MONTH(B503)</x:f>
        <x:v>2</x:v>
      </x:c>
      <x:c r="G503" s="30" t="n">
        <x:v>-19.89</x:v>
      </x:c>
      <x:c r="H503" s="30" t="n">
        <x:v>-71.14</x:v>
      </x:c>
      <x:c r="I503" s="29" t="n">
        <x:v>37</x:v>
      </x:c>
      <x:c r="J503" s="31" t="n">
        <x:v>5</x:v>
      </x:c>
      <x:c r="K503" s="25" t="str">
        <x:f>IF(J503&gt;=7,"Muy fuerte (&gt;=7)",IF(J503&gt;=6,"Fuerte (6-6.9)",IF(J503&gt;=5,"Moderado alto (5-5.9)",IF(J503&gt;=4,"Moderado (4-4.9)","Menor a 4"))))</x:f>
        <x:v>Moderado alto (5-5.9)</x:v>
      </x:c>
      <x:c r="L503" s="25" t="str">
        <x:f>IF(I503&lt;70,"Superficial (&lt;70 km)",IF(I503&lt;=300,"Intermedio (70-300 km)","Profundo (&gt;300 km)"))</x:f>
        <x:v>Superficial (&lt;70 km)</x:v>
      </x:c>
      <x:c r="M503" s="25" t="str">
        <x:f>IF(J503&gt;=5,"Sí","No")</x:f>
        <x:v>Sí</x:v>
      </x:c>
      <x:c r="N503" s="25" t="str">
        <x:f>IF(J503&gt;=6,"Sí","No")</x:f>
        <x:v>No</x:v>
      </x:c>
      <x:c r="O503" s="25" t="str">
        <x:v>Pendiente: asignar con R/sf</x:v>
      </x:c>
    </x:row>
    <x:row r="504">
      <x:c r="A504" s="25" t="n">
        <x:v>503</x:v>
      </x:c>
      <x:c r="B504" s="26" t="n">
        <x:v>43286.73701388889</x:v>
      </x:c>
      <x:c r="C504" s="27" t="n">
        <x:f>INT(B504)</x:f>
        <x:v>43286</x:v>
      </x:c>
      <x:c r="D504" s="28" t="n">
        <x:f>MOD(B504,1)</x:f>
        <x:v>0.7370138888873043</x:v>
      </x:c>
      <x:c r="E504" s="29" t="n">
        <x:f>YEAR(B504)</x:f>
        <x:v>2018</x:v>
      </x:c>
      <x:c r="F504" s="29" t="n">
        <x:f>MONTH(B504)</x:f>
        <x:v>7</x:v>
      </x:c>
      <x:c r="G504" s="30" t="n">
        <x:v>-36.47</x:v>
      </x:c>
      <x:c r="H504" s="30" t="n">
        <x:v>-73.24</x:v>
      </x:c>
      <x:c r="I504" s="29" t="n">
        <x:v>11</x:v>
      </x:c>
      <x:c r="J504" s="31" t="n">
        <x:v>4</x:v>
      </x:c>
      <x:c r="K504" s="25" t="str">
        <x:f>IF(J504&gt;=7,"Muy fuerte (&gt;=7)",IF(J504&gt;=6,"Fuerte (6-6.9)",IF(J504&gt;=5,"Moderado alto (5-5.9)",IF(J504&gt;=4,"Moderado (4-4.9)","Menor a 4"))))</x:f>
        <x:v>Moderado (4-4.9)</x:v>
      </x:c>
      <x:c r="L504" s="25" t="str">
        <x:f>IF(I504&lt;70,"Superficial (&lt;70 km)",IF(I504&lt;=300,"Intermedio (70-300 km)","Profundo (&gt;300 km)"))</x:f>
        <x:v>Superficial (&lt;70 km)</x:v>
      </x:c>
      <x:c r="M504" s="25" t="str">
        <x:f>IF(J504&gt;=5,"Sí","No")</x:f>
        <x:v>No</x:v>
      </x:c>
      <x:c r="N504" s="25" t="str">
        <x:f>IF(J504&gt;=6,"Sí","No")</x:f>
        <x:v>No</x:v>
      </x:c>
      <x:c r="O504" s="25" t="str">
        <x:v>Pendiente: asignar con R/sf</x:v>
      </x:c>
    </x:row>
    <x:row r="505">
      <x:c r="A505" s="25" t="n">
        <x:v>504</x:v>
      </x:c>
      <x:c r="B505" s="26" t="n">
        <x:v>43455.0684375</x:v>
      </x:c>
      <x:c r="C505" s="27" t="n">
        <x:f>INT(B505)</x:f>
        <x:v>43455</x:v>
      </x:c>
      <x:c r="D505" s="28" t="n">
        <x:f>MOD(B505,1)</x:f>
        <x:v>0.06843749999825377</x:v>
      </x:c>
      <x:c r="E505" s="29" t="n">
        <x:f>YEAR(B505)</x:f>
        <x:v>2018</x:v>
      </x:c>
      <x:c r="F505" s="29" t="n">
        <x:f>MONTH(B505)</x:f>
        <x:v>12</x:v>
      </x:c>
      <x:c r="G505" s="30" t="n">
        <x:v>-21.05</x:v>
      </x:c>
      <x:c r="H505" s="30" t="n">
        <x:v>-68.94</x:v>
      </x:c>
      <x:c r="I505" s="29" t="n">
        <x:v>103</x:v>
      </x:c>
      <x:c r="J505" s="31" t="n">
        <x:v>4.6</x:v>
      </x:c>
      <x:c r="K505" s="25" t="str">
        <x:f>IF(J505&gt;=7,"Muy fuerte (&gt;=7)",IF(J505&gt;=6,"Fuerte (6-6.9)",IF(J505&gt;=5,"Moderado alto (5-5.9)",IF(J505&gt;=4,"Moderado (4-4.9)","Menor a 4"))))</x:f>
        <x:v>Moderado (4-4.9)</x:v>
      </x:c>
      <x:c r="L505" s="25" t="str">
        <x:f>IF(I505&lt;70,"Superficial (&lt;70 km)",IF(I505&lt;=300,"Intermedio (70-300 km)","Profundo (&gt;300 km)"))</x:f>
        <x:v>Intermedio (70-300 km)</x:v>
      </x:c>
      <x:c r="M505" s="25" t="str">
        <x:f>IF(J505&gt;=5,"Sí","No")</x:f>
        <x:v>No</x:v>
      </x:c>
      <x:c r="N505" s="25" t="str">
        <x:f>IF(J505&gt;=6,"Sí","No")</x:f>
        <x:v>No</x:v>
      </x:c>
      <x:c r="O505" s="25" t="str">
        <x:v>Pendiente: asignar con R/sf</x:v>
      </x:c>
    </x:row>
    <x:row r="506">
      <x:c r="A506" s="25" t="n">
        <x:v>505</x:v>
      </x:c>
      <x:c r="B506" s="26" t="n">
        <x:v>43719.61980324074</x:v>
      </x:c>
      <x:c r="C506" s="27" t="n">
        <x:f>INT(B506)</x:f>
        <x:v>43719</x:v>
      </x:c>
      <x:c r="D506" s="28" t="n">
        <x:f>MOD(B506,1)</x:f>
        <x:v>0.619803240741021</x:v>
      </x:c>
      <x:c r="E506" s="29" t="n">
        <x:f>YEAR(B506)</x:f>
        <x:v>2019</x:v>
      </x:c>
      <x:c r="F506" s="29" t="n">
        <x:f>MONTH(B506)</x:f>
        <x:v>9</x:v>
      </x:c>
      <x:c r="G506" s="30" t="n">
        <x:v>-18.11</x:v>
      </x:c>
      <x:c r="H506" s="30" t="n">
        <x:v>-70.13</x:v>
      </x:c>
      <x:c r="I506" s="29" t="n">
        <x:v>71</x:v>
      </x:c>
      <x:c r="J506" s="31" t="n">
        <x:v>4.5</x:v>
      </x:c>
      <x:c r="K506" s="25" t="str">
        <x:f>IF(J506&gt;=7,"Muy fuerte (&gt;=7)",IF(J506&gt;=6,"Fuerte (6-6.9)",IF(J506&gt;=5,"Moderado alto (5-5.9)",IF(J506&gt;=4,"Moderado (4-4.9)","Menor a 4"))))</x:f>
        <x:v>Moderado (4-4.9)</x:v>
      </x:c>
      <x:c r="L506" s="25" t="str">
        <x:f>IF(I506&lt;70,"Superficial (&lt;70 km)",IF(I506&lt;=300,"Intermedio (70-300 km)","Profundo (&gt;300 km)"))</x:f>
        <x:v>Intermedio (70-300 km)</x:v>
      </x:c>
      <x:c r="M506" s="25" t="str">
        <x:f>IF(J506&gt;=5,"Sí","No")</x:f>
        <x:v>No</x:v>
      </x:c>
      <x:c r="N506" s="25" t="str">
        <x:f>IF(J506&gt;=6,"Sí","No")</x:f>
        <x:v>No</x:v>
      </x:c>
      <x:c r="O506" s="25" t="str">
        <x:v>Pendiente: asignar con R/sf</x:v>
      </x:c>
    </x:row>
    <x:row r="507">
      <x:c r="A507" s="25" t="n">
        <x:v>506</x:v>
      </x:c>
      <x:c r="B507" s="26" t="n">
        <x:v>43503.77936342593</x:v>
      </x:c>
      <x:c r="C507" s="27" t="n">
        <x:f>INT(B507)</x:f>
        <x:v>43503</x:v>
      </x:c>
      <x:c r="D507" s="28" t="n">
        <x:f>MOD(B507,1)</x:f>
        <x:v>0.7793634259287501</x:v>
      </x:c>
      <x:c r="E507" s="29" t="n">
        <x:f>YEAR(B507)</x:f>
        <x:v>2019</x:v>
      </x:c>
      <x:c r="F507" s="29" t="n">
        <x:f>MONTH(B507)</x:f>
        <x:v>2</x:v>
      </x:c>
      <x:c r="G507" s="30" t="n">
        <x:v>-37.24</x:v>
      </x:c>
      <x:c r="H507" s="30" t="n">
        <x:v>-72.78</x:v>
      </x:c>
      <x:c r="I507" s="29" t="n">
        <x:v>56</x:v>
      </x:c>
      <x:c r="J507" s="31" t="n">
        <x:v>4.3</x:v>
      </x:c>
      <x:c r="K507" s="25" t="str">
        <x:f>IF(J507&gt;=7,"Muy fuerte (&gt;=7)",IF(J507&gt;=6,"Fuerte (6-6.9)",IF(J507&gt;=5,"Moderado alto (5-5.9)",IF(J507&gt;=4,"Moderado (4-4.9)","Menor a 4"))))</x:f>
        <x:v>Moderado (4-4.9)</x:v>
      </x:c>
      <x:c r="L507" s="25" t="str">
        <x:f>IF(I507&lt;70,"Superficial (&lt;70 km)",IF(I507&lt;=300,"Intermedio (70-300 km)","Profundo (&gt;300 km)"))</x:f>
        <x:v>Superficial (&lt;70 km)</x:v>
      </x:c>
      <x:c r="M507" s="25" t="str">
        <x:f>IF(J507&gt;=5,"Sí","No")</x:f>
        <x:v>No</x:v>
      </x:c>
      <x:c r="N507" s="25" t="str">
        <x:f>IF(J507&gt;=6,"Sí","No")</x:f>
        <x:v>No</x:v>
      </x:c>
      <x:c r="O507" s="25" t="str">
        <x:v>Pendiente: asignar con R/sf</x:v>
      </x:c>
    </x:row>
    <x:row r="508">
      <x:c r="A508" s="25" t="n">
        <x:v>507</x:v>
      </x:c>
      <x:c r="B508" s="26" t="n">
        <x:v>43139.88847222222</x:v>
      </x:c>
      <x:c r="C508" s="27" t="n">
        <x:f>INT(B508)</x:f>
        <x:v>43139</x:v>
      </x:c>
      <x:c r="D508" s="28" t="n">
        <x:f>MOD(B508,1)</x:f>
        <x:v>0.8884722222210257</x:v>
      </x:c>
      <x:c r="E508" s="29" t="n">
        <x:f>YEAR(B508)</x:f>
        <x:v>2018</x:v>
      </x:c>
      <x:c r="F508" s="29" t="n">
        <x:f>MONTH(B508)</x:f>
        <x:v>2</x:v>
      </x:c>
      <x:c r="G508" s="30" t="n">
        <x:v>-37.45</x:v>
      </x:c>
      <x:c r="H508" s="30" t="n">
        <x:v>-74.22</x:v>
      </x:c>
      <x:c r="I508" s="29" t="n">
        <x:v>32</x:v>
      </x:c>
      <x:c r="J508" s="31" t="n">
        <x:v>5.1</x:v>
      </x:c>
      <x:c r="K508" s="25" t="str">
        <x:f>IF(J508&gt;=7,"Muy fuerte (&gt;=7)",IF(J508&gt;=6,"Fuerte (6-6.9)",IF(J508&gt;=5,"Moderado alto (5-5.9)",IF(J508&gt;=4,"Moderado (4-4.9)","Menor a 4"))))</x:f>
        <x:v>Moderado alto (5-5.9)</x:v>
      </x:c>
      <x:c r="L508" s="25" t="str">
        <x:f>IF(I508&lt;70,"Superficial (&lt;70 km)",IF(I508&lt;=300,"Intermedio (70-300 km)","Profundo (&gt;300 km)"))</x:f>
        <x:v>Superficial (&lt;70 km)</x:v>
      </x:c>
      <x:c r="M508" s="25" t="str">
        <x:f>IF(J508&gt;=5,"Sí","No")</x:f>
        <x:v>Sí</x:v>
      </x:c>
      <x:c r="N508" s="25" t="str">
        <x:f>IF(J508&gt;=6,"Sí","No")</x:f>
        <x:v>No</x:v>
      </x:c>
      <x:c r="O508" s="25" t="str">
        <x:v>Pendiente: asignar con R/sf</x:v>
      </x:c>
    </x:row>
    <x:row r="509">
      <x:c r="A509" s="25" t="n">
        <x:v>508</x:v>
      </x:c>
      <x:c r="B509" s="26" t="n">
        <x:v>43399.659849537034</x:v>
      </x:c>
      <x:c r="C509" s="27" t="n">
        <x:f>INT(B509)</x:f>
        <x:v>43399</x:v>
      </x:c>
      <x:c r="D509" s="28" t="n">
        <x:f>MOD(B509,1)</x:f>
        <x:v>0.6598495370344608</x:v>
      </x:c>
      <x:c r="E509" s="29" t="n">
        <x:f>YEAR(B509)</x:f>
        <x:v>2018</x:v>
      </x:c>
      <x:c r="F509" s="29" t="n">
        <x:f>MONTH(B509)</x:f>
        <x:v>10</x:v>
      </x:c>
      <x:c r="G509" s="30" t="n">
        <x:v>-35.64</x:v>
      </x:c>
      <x:c r="H509" s="30" t="n">
        <x:v>-73.1</x:v>
      </x:c>
      <x:c r="I509" s="29" t="n">
        <x:v>33</x:v>
      </x:c>
      <x:c r="J509" s="31" t="n">
        <x:v>4.5</x:v>
      </x:c>
      <x:c r="K509" s="25" t="str">
        <x:f>IF(J509&gt;=7,"Muy fuerte (&gt;=7)",IF(J509&gt;=6,"Fuerte (6-6.9)",IF(J509&gt;=5,"Moderado alto (5-5.9)",IF(J509&gt;=4,"Moderado (4-4.9)","Menor a 4"))))</x:f>
        <x:v>Moderado (4-4.9)</x:v>
      </x:c>
      <x:c r="L509" s="25" t="str">
        <x:f>IF(I509&lt;70,"Superficial (&lt;70 km)",IF(I509&lt;=300,"Intermedio (70-300 km)","Profundo (&gt;300 km)"))</x:f>
        <x:v>Superficial (&lt;70 km)</x:v>
      </x:c>
      <x:c r="M509" s="25" t="str">
        <x:f>IF(J509&gt;=5,"Sí","No")</x:f>
        <x:v>No</x:v>
      </x:c>
      <x:c r="N509" s="25" t="str">
        <x:f>IF(J509&gt;=6,"Sí","No")</x:f>
        <x:v>No</x:v>
      </x:c>
      <x:c r="O509" s="25" t="str">
        <x:v>Pendiente: asignar con R/sf</x:v>
      </x:c>
    </x:row>
    <x:row r="510">
      <x:c r="A510" s="25" t="n">
        <x:v>509</x:v>
      </x:c>
      <x:c r="B510" s="26" t="n">
        <x:v>43444.68591435185</x:v>
      </x:c>
      <x:c r="C510" s="27" t="n">
        <x:f>INT(B510)</x:f>
        <x:v>43444</x:v>
      </x:c>
      <x:c r="D510" s="28" t="n">
        <x:f>MOD(B510,1)</x:f>
        <x:v>0.6859143518522615</x:v>
      </x:c>
      <x:c r="E510" s="29" t="n">
        <x:f>YEAR(B510)</x:f>
        <x:v>2018</x:v>
      </x:c>
      <x:c r="F510" s="29" t="n">
        <x:f>MONTH(B510)</x:f>
        <x:v>12</x:v>
      </x:c>
      <x:c r="G510" s="30" t="n">
        <x:v>-19.13</x:v>
      </x:c>
      <x:c r="H510" s="30" t="n">
        <x:v>-70.42</x:v>
      </x:c>
      <x:c r="I510" s="29" t="n">
        <x:v>30</x:v>
      </x:c>
      <x:c r="J510" s="31" t="n">
        <x:v>4</x:v>
      </x:c>
      <x:c r="K510" s="25" t="str">
        <x:f>IF(J510&gt;=7,"Muy fuerte (&gt;=7)",IF(J510&gt;=6,"Fuerte (6-6.9)",IF(J510&gt;=5,"Moderado alto (5-5.9)",IF(J510&gt;=4,"Moderado (4-4.9)","Menor a 4"))))</x:f>
        <x:v>Moderado (4-4.9)</x:v>
      </x:c>
      <x:c r="L510" s="25" t="str">
        <x:f>IF(I510&lt;70,"Superficial (&lt;70 km)",IF(I510&lt;=300,"Intermedio (70-300 km)","Profundo (&gt;300 km)"))</x:f>
        <x:v>Superficial (&lt;70 km)</x:v>
      </x:c>
      <x:c r="M510" s="25" t="str">
        <x:f>IF(J510&gt;=5,"Sí","No")</x:f>
        <x:v>No</x:v>
      </x:c>
      <x:c r="N510" s="25" t="str">
        <x:f>IF(J510&gt;=6,"Sí","No")</x:f>
        <x:v>No</x:v>
      </x:c>
      <x:c r="O510" s="25" t="str">
        <x:v>Pendiente: asignar con R/sf</x:v>
      </x:c>
    </x:row>
    <x:row r="511">
      <x:c r="A511" s="25" t="n">
        <x:v>510</x:v>
      </x:c>
      <x:c r="B511" s="26" t="n">
        <x:v>43395.93450231481</x:v>
      </x:c>
      <x:c r="C511" s="27" t="n">
        <x:f>INT(B511)</x:f>
        <x:v>43395</x:v>
      </x:c>
      <x:c r="D511" s="28" t="n">
        <x:f>MOD(B511,1)</x:f>
        <x:v>0.934502314812562</x:v>
      </x:c>
      <x:c r="E511" s="29" t="n">
        <x:f>YEAR(B511)</x:f>
        <x:v>2018</x:v>
      </x:c>
      <x:c r="F511" s="29" t="n">
        <x:f>MONTH(B511)</x:f>
        <x:v>10</x:v>
      </x:c>
      <x:c r="G511" s="30" t="n">
        <x:v>-20.55</x:v>
      </x:c>
      <x:c r="H511" s="30" t="n">
        <x:v>-69.09</x:v>
      </x:c>
      <x:c r="I511" s="29" t="n">
        <x:v>100</x:v>
      </x:c>
      <x:c r="J511" s="31" t="n">
        <x:v>4.1</x:v>
      </x:c>
      <x:c r="K511" s="25" t="str">
        <x:f>IF(J511&gt;=7,"Muy fuerte (&gt;=7)",IF(J511&gt;=6,"Fuerte (6-6.9)",IF(J511&gt;=5,"Moderado alto (5-5.9)",IF(J511&gt;=4,"Moderado (4-4.9)","Menor a 4"))))</x:f>
        <x:v>Moderado (4-4.9)</x:v>
      </x:c>
      <x:c r="L511" s="25" t="str">
        <x:f>IF(I511&lt;70,"Superficial (&lt;70 km)",IF(I511&lt;=300,"Intermedio (70-300 km)","Profundo (&gt;300 km)"))</x:f>
        <x:v>Intermedio (70-300 km)</x:v>
      </x:c>
      <x:c r="M511" s="25" t="str">
        <x:f>IF(J511&gt;=5,"Sí","No")</x:f>
        <x:v>No</x:v>
      </x:c>
      <x:c r="N511" s="25" t="str">
        <x:f>IF(J511&gt;=6,"Sí","No")</x:f>
        <x:v>No</x:v>
      </x:c>
      <x:c r="O511" s="25" t="str">
        <x:v>Pendiente: asignar con R/sf</x:v>
      </x:c>
    </x:row>
    <x:row r="512">
      <x:c r="A512" s="25" t="n">
        <x:v>511</x:v>
      </x:c>
      <x:c r="B512" s="26" t="n">
        <x:v>43738.495405092595</x:v>
      </x:c>
      <x:c r="C512" s="27" t="n">
        <x:f>INT(B512)</x:f>
        <x:v>43738</x:v>
      </x:c>
      <x:c r="D512" s="28" t="n">
        <x:f>MOD(B512,1)</x:f>
        <x:v>0.49540509259531973</x:v>
      </x:c>
      <x:c r="E512" s="29" t="n">
        <x:f>YEAR(B512)</x:f>
        <x:v>2019</x:v>
      </x:c>
      <x:c r="F512" s="29" t="n">
        <x:f>MONTH(B512)</x:f>
        <x:v>9</x:v>
      </x:c>
      <x:c r="G512" s="30" t="n">
        <x:v>-22.19</x:v>
      </x:c>
      <x:c r="H512" s="30" t="n">
        <x:v>-68.82</x:v>
      </x:c>
      <x:c r="I512" s="29" t="n">
        <x:v>116</x:v>
      </x:c>
      <x:c r="J512" s="31" t="n">
        <x:v>5.6</x:v>
      </x:c>
      <x:c r="K512" s="25" t="str">
        <x:f>IF(J512&gt;=7,"Muy fuerte (&gt;=7)",IF(J512&gt;=6,"Fuerte (6-6.9)",IF(J512&gt;=5,"Moderado alto (5-5.9)",IF(J512&gt;=4,"Moderado (4-4.9)","Menor a 4"))))</x:f>
        <x:v>Moderado alto (5-5.9)</x:v>
      </x:c>
      <x:c r="L512" s="25" t="str">
        <x:f>IF(I512&lt;70,"Superficial (&lt;70 km)",IF(I512&lt;=300,"Intermedio (70-300 km)","Profundo (&gt;300 km)"))</x:f>
        <x:v>Intermedio (70-300 km)</x:v>
      </x:c>
      <x:c r="M512" s="25" t="str">
        <x:f>IF(J512&gt;=5,"Sí","No")</x:f>
        <x:v>Sí</x:v>
      </x:c>
      <x:c r="N512" s="25" t="str">
        <x:f>IF(J512&gt;=6,"Sí","No")</x:f>
        <x:v>No</x:v>
      </x:c>
      <x:c r="O512" s="25" t="str">
        <x:v>Pendiente: asignar con R/sf</x:v>
      </x:c>
    </x:row>
    <x:row r="513">
      <x:c r="A513" s="25" t="n">
        <x:v>512</x:v>
      </x:c>
      <x:c r="B513" s="26" t="n">
        <x:v>43284.186631944445</x:v>
      </x:c>
      <x:c r="C513" s="27" t="n">
        <x:f>INT(B513)</x:f>
        <x:v>43284</x:v>
      </x:c>
      <x:c r="D513" s="28" t="n">
        <x:f>MOD(B513,1)</x:f>
        <x:v>0.18663194444525288</x:v>
      </x:c>
      <x:c r="E513" s="29" t="n">
        <x:f>YEAR(B513)</x:f>
        <x:v>2018</x:v>
      </x:c>
      <x:c r="F513" s="29" t="n">
        <x:f>MONTH(B513)</x:f>
        <x:v>7</x:v>
      </x:c>
      <x:c r="G513" s="30" t="n">
        <x:v>-37.55</x:v>
      </x:c>
      <x:c r="H513" s="30" t="n">
        <x:v>-73</x:v>
      </x:c>
      <x:c r="I513" s="29" t="n">
        <x:v>25</x:v>
      </x:c>
      <x:c r="J513" s="31" t="n">
        <x:v>4.4</x:v>
      </x:c>
      <x:c r="K513" s="25" t="str">
        <x:f>IF(J513&gt;=7,"Muy fuerte (&gt;=7)",IF(J513&gt;=6,"Fuerte (6-6.9)",IF(J513&gt;=5,"Moderado alto (5-5.9)",IF(J513&gt;=4,"Moderado (4-4.9)","Menor a 4"))))</x:f>
        <x:v>Moderado (4-4.9)</x:v>
      </x:c>
      <x:c r="L513" s="25" t="str">
        <x:f>IF(I513&lt;70,"Superficial (&lt;70 km)",IF(I513&lt;=300,"Intermedio (70-300 km)","Profundo (&gt;300 km)"))</x:f>
        <x:v>Superficial (&lt;70 km)</x:v>
      </x:c>
      <x:c r="M513" s="25" t="str">
        <x:f>IF(J513&gt;=5,"Sí","No")</x:f>
        <x:v>No</x:v>
      </x:c>
      <x:c r="N513" s="25" t="str">
        <x:f>IF(J513&gt;=6,"Sí","No")</x:f>
        <x:v>No</x:v>
      </x:c>
      <x:c r="O513" s="25" t="str">
        <x:v>Pendiente: asignar con R/sf</x:v>
      </x:c>
    </x:row>
    <x:row r="514">
      <x:c r="A514" s="25" t="n">
        <x:v>513</x:v>
      </x:c>
      <x:c r="B514" s="26" t="n">
        <x:v>43715.03675925926</x:v>
      </x:c>
      <x:c r="C514" s="27" t="n">
        <x:f>INT(B514)</x:f>
        <x:v>43715</x:v>
      </x:c>
      <x:c r="D514" s="28" t="n">
        <x:f>MOD(B514,1)</x:f>
        <x:v>0.03675925925927004</x:v>
      </x:c>
      <x:c r="E514" s="29" t="n">
        <x:f>YEAR(B514)</x:f>
        <x:v>2019</x:v>
      </x:c>
      <x:c r="F514" s="29" t="n">
        <x:f>MONTH(B514)</x:f>
        <x:v>9</x:v>
      </x:c>
      <x:c r="G514" s="30" t="n">
        <x:v>-19.77</x:v>
      </x:c>
      <x:c r="H514" s="30" t="n">
        <x:v>-69.29</x:v>
      </x:c>
      <x:c r="I514" s="29" t="n">
        <x:v>94</x:v>
      </x:c>
      <x:c r="J514" s="31" t="n">
        <x:v>4.1</x:v>
      </x:c>
      <x:c r="K514" s="25" t="str">
        <x:f>IF(J514&gt;=7,"Muy fuerte (&gt;=7)",IF(J514&gt;=6,"Fuerte (6-6.9)",IF(J514&gt;=5,"Moderado alto (5-5.9)",IF(J514&gt;=4,"Moderado (4-4.9)","Menor a 4"))))</x:f>
        <x:v>Moderado (4-4.9)</x:v>
      </x:c>
      <x:c r="L514" s="25" t="str">
        <x:f>IF(I514&lt;70,"Superficial (&lt;70 km)",IF(I514&lt;=300,"Intermedio (70-300 km)","Profundo (&gt;300 km)"))</x:f>
        <x:v>Intermedio (70-300 km)</x:v>
      </x:c>
      <x:c r="M514" s="25" t="str">
        <x:f>IF(J514&gt;=5,"Sí","No")</x:f>
        <x:v>No</x:v>
      </x:c>
      <x:c r="N514" s="25" t="str">
        <x:f>IF(J514&gt;=6,"Sí","No")</x:f>
        <x:v>No</x:v>
      </x:c>
      <x:c r="O514" s="25" t="str">
        <x:v>Pendiente: asignar con R/sf</x:v>
      </x:c>
    </x:row>
    <x:row r="515">
      <x:c r="A515" s="25" t="n">
        <x:v>514</x:v>
      </x:c>
      <x:c r="B515" s="26" t="n">
        <x:v>43737.66519675926</x:v>
      </x:c>
      <x:c r="C515" s="27" t="n">
        <x:f>INT(B515)</x:f>
        <x:v>43737</x:v>
      </x:c>
      <x:c r="D515" s="28" t="n">
        <x:f>MOD(B515,1)</x:f>
        <x:v>0.6651967592624715</x:v>
      </x:c>
      <x:c r="E515" s="29" t="n">
        <x:f>YEAR(B515)</x:f>
        <x:v>2019</x:v>
      </x:c>
      <x:c r="F515" s="29" t="n">
        <x:f>MONTH(B515)</x:f>
        <x:v>9</x:v>
      </x:c>
      <x:c r="G515" s="30" t="n">
        <x:v>-35.47</x:v>
      </x:c>
      <x:c r="H515" s="30" t="n">
        <x:v>-73.18</x:v>
      </x:c>
      <x:c r="I515" s="29" t="n">
        <x:v>31</x:v>
      </x:c>
      <x:c r="J515" s="31" t="n">
        <x:v>6.6</x:v>
      </x:c>
      <x:c r="K515" s="25" t="str">
        <x:f>IF(J515&gt;=7,"Muy fuerte (&gt;=7)",IF(J515&gt;=6,"Fuerte (6-6.9)",IF(J515&gt;=5,"Moderado alto (5-5.9)",IF(J515&gt;=4,"Moderado (4-4.9)","Menor a 4"))))</x:f>
        <x:v>Fuerte (6-6.9)</x:v>
      </x:c>
      <x:c r="L515" s="25" t="str">
        <x:f>IF(I515&lt;70,"Superficial (&lt;70 km)",IF(I515&lt;=300,"Intermedio (70-300 km)","Profundo (&gt;300 km)"))</x:f>
        <x:v>Superficial (&lt;70 km)</x:v>
      </x:c>
      <x:c r="M515" s="25" t="str">
        <x:f>IF(J515&gt;=5,"Sí","No")</x:f>
        <x:v>Sí</x:v>
      </x:c>
      <x:c r="N515" s="25" t="str">
        <x:f>IF(J515&gt;=6,"Sí","No")</x:f>
        <x:v>Sí</x:v>
      </x:c>
      <x:c r="O515" s="25" t="str">
        <x:v>Pendiente: asignar con R/sf</x:v>
      </x:c>
    </x:row>
    <x:row r="516">
      <x:c r="A516" s="25" t="n">
        <x:v>515</x:v>
      </x:c>
      <x:c r="B516" s="26" t="n">
        <x:v>43538.81046296296</x:v>
      </x:c>
      <x:c r="C516" s="27" t="n">
        <x:f>INT(B516)</x:f>
        <x:v>43538</x:v>
      </x:c>
      <x:c r="D516" s="28" t="n">
        <x:f>MOD(B516,1)</x:f>
        <x:v>0.8104629629597184</x:v>
      </x:c>
      <x:c r="E516" s="29" t="n">
        <x:f>YEAR(B516)</x:f>
        <x:v>2019</x:v>
      </x:c>
      <x:c r="F516" s="29" t="n">
        <x:f>MONTH(B516)</x:f>
        <x:v>3</x:v>
      </x:c>
      <x:c r="G516" s="30" t="n">
        <x:v>-20.27</x:v>
      </x:c>
      <x:c r="H516" s="30" t="n">
        <x:v>-69.15</x:v>
      </x:c>
      <x:c r="I516" s="29" t="n">
        <x:v>114</x:v>
      </x:c>
      <x:c r="J516" s="31" t="n">
        <x:v>4.1</x:v>
      </x:c>
      <x:c r="K516" s="25" t="str">
        <x:f>IF(J516&gt;=7,"Muy fuerte (&gt;=7)",IF(J516&gt;=6,"Fuerte (6-6.9)",IF(J516&gt;=5,"Moderado alto (5-5.9)",IF(J516&gt;=4,"Moderado (4-4.9)","Menor a 4"))))</x:f>
        <x:v>Moderado (4-4.9)</x:v>
      </x:c>
      <x:c r="L516" s="25" t="str">
        <x:f>IF(I516&lt;70,"Superficial (&lt;70 km)",IF(I516&lt;=300,"Intermedio (70-300 km)","Profundo (&gt;300 km)"))</x:f>
        <x:v>Intermedio (70-300 km)</x:v>
      </x:c>
      <x:c r="M516" s="25" t="str">
        <x:f>IF(J516&gt;=5,"Sí","No")</x:f>
        <x:v>No</x:v>
      </x:c>
      <x:c r="N516" s="25" t="str">
        <x:f>IF(J516&gt;=6,"Sí","No")</x:f>
        <x:v>No</x:v>
      </x:c>
      <x:c r="O516" s="25" t="str">
        <x:v>Pendiente: asignar con R/sf</x:v>
      </x:c>
    </x:row>
    <x:row r="517">
      <x:c r="A517" s="25" t="n">
        <x:v>516</x:v>
      </x:c>
      <x:c r="B517" s="26" t="n">
        <x:v>43618.13978009259</x:v>
      </x:c>
      <x:c r="C517" s="27" t="n">
        <x:f>INT(B517)</x:f>
        <x:v>43618</x:v>
      </x:c>
      <x:c r="D517" s="28" t="n">
        <x:f>MOD(B517,1)</x:f>
        <x:v>0.13978009259153623</x:v>
      </x:c>
      <x:c r="E517" s="29" t="n">
        <x:f>YEAR(B517)</x:f>
        <x:v>2019</x:v>
      </x:c>
      <x:c r="F517" s="29" t="n">
        <x:f>MONTH(B517)</x:f>
        <x:v>6</x:v>
      </x:c>
      <x:c r="G517" s="30" t="n">
        <x:v>-23.67</x:v>
      </x:c>
      <x:c r="H517" s="30" t="n">
        <x:v>-69.36</x:v>
      </x:c>
      <x:c r="I517" s="29" t="n">
        <x:v>86</x:v>
      </x:c>
      <x:c r="J517" s="31" t="n">
        <x:v>4.5</x:v>
      </x:c>
      <x:c r="K517" s="25" t="str">
        <x:f>IF(J517&gt;=7,"Muy fuerte (&gt;=7)",IF(J517&gt;=6,"Fuerte (6-6.9)",IF(J517&gt;=5,"Moderado alto (5-5.9)",IF(J517&gt;=4,"Moderado (4-4.9)","Menor a 4"))))</x:f>
        <x:v>Moderado (4-4.9)</x:v>
      </x:c>
      <x:c r="L517" s="25" t="str">
        <x:f>IF(I517&lt;70,"Superficial (&lt;70 km)",IF(I517&lt;=300,"Intermedio (70-300 km)","Profundo (&gt;300 km)"))</x:f>
        <x:v>Intermedio (70-300 km)</x:v>
      </x:c>
      <x:c r="M517" s="25" t="str">
        <x:f>IF(J517&gt;=5,"Sí","No")</x:f>
        <x:v>No</x:v>
      </x:c>
      <x:c r="N517" s="25" t="str">
        <x:f>IF(J517&gt;=6,"Sí","No")</x:f>
        <x:v>No</x:v>
      </x:c>
      <x:c r="O517" s="25" t="str">
        <x:v>Pendiente: asignar con R/sf</x:v>
      </x:c>
    </x:row>
    <x:row r="518">
      <x:c r="A518" s="25" t="n">
        <x:v>517</x:v>
      </x:c>
      <x:c r="B518" s="26" t="n">
        <x:v>43315.61505787037</x:v>
      </x:c>
      <x:c r="C518" s="27" t="n">
        <x:f>INT(B518)</x:f>
        <x:v>43315</x:v>
      </x:c>
      <x:c r="D518" s="28" t="n">
        <x:f>MOD(B518,1)</x:f>
        <x:v>0.6150578703673091</x:v>
      </x:c>
      <x:c r="E518" s="29" t="n">
        <x:f>YEAR(B518)</x:f>
        <x:v>2018</x:v>
      </x:c>
      <x:c r="F518" s="29" t="n">
        <x:f>MONTH(B518)</x:f>
        <x:v>8</x:v>
      </x:c>
      <x:c r="G518" s="30" t="n">
        <x:v>-37.53</x:v>
      </x:c>
      <x:c r="H518" s="30" t="n">
        <x:v>-73.83</x:v>
      </x:c>
      <x:c r="I518" s="29" t="n">
        <x:v>26</x:v>
      </x:c>
      <x:c r="J518" s="31" t="n">
        <x:v>4.1</x:v>
      </x:c>
      <x:c r="K518" s="25" t="str">
        <x:f>IF(J518&gt;=7,"Muy fuerte (&gt;=7)",IF(J518&gt;=6,"Fuerte (6-6.9)",IF(J518&gt;=5,"Moderado alto (5-5.9)",IF(J518&gt;=4,"Moderado (4-4.9)","Menor a 4"))))</x:f>
        <x:v>Moderado (4-4.9)</x:v>
      </x:c>
      <x:c r="L518" s="25" t="str">
        <x:f>IF(I518&lt;70,"Superficial (&lt;70 km)",IF(I518&lt;=300,"Intermedio (70-300 km)","Profundo (&gt;300 km)"))</x:f>
        <x:v>Superficial (&lt;70 km)</x:v>
      </x:c>
      <x:c r="M518" s="25" t="str">
        <x:f>IF(J518&gt;=5,"Sí","No")</x:f>
        <x:v>No</x:v>
      </x:c>
      <x:c r="N518" s="25" t="str">
        <x:f>IF(J518&gt;=6,"Sí","No")</x:f>
        <x:v>No</x:v>
      </x:c>
      <x:c r="O518" s="25" t="str">
        <x:v>Pendiente: asignar con R/sf</x:v>
      </x:c>
    </x:row>
    <x:row r="519">
      <x:c r="A519" s="25" t="n">
        <x:v>518</x:v>
      </x:c>
      <x:c r="B519" s="26" t="n">
        <x:v>43678.81696759259</x:v>
      </x:c>
      <x:c r="C519" s="27" t="n">
        <x:f>INT(B519)</x:f>
        <x:v>43678</x:v>
      </x:c>
      <x:c r="D519" s="28" t="n">
        <x:f>MOD(B519,1)</x:f>
        <x:v>0.8169675925892079</x:v>
      </x:c>
      <x:c r="E519" s="29" t="n">
        <x:f>YEAR(B519)</x:f>
        <x:v>2019</x:v>
      </x:c>
      <x:c r="F519" s="29" t="n">
        <x:f>MONTH(B519)</x:f>
        <x:v>8</x:v>
      </x:c>
      <x:c r="G519" s="30" t="n">
        <x:v>-34.2</x:v>
      </x:c>
      <x:c r="H519" s="30" t="n">
        <x:v>-72.19</x:v>
      </x:c>
      <x:c r="I519" s="29" t="n">
        <x:v>18</x:v>
      </x:c>
      <x:c r="J519" s="31" t="n">
        <x:v>4.6</x:v>
      </x:c>
      <x:c r="K519" s="25" t="str">
        <x:f>IF(J519&gt;=7,"Muy fuerte (&gt;=7)",IF(J519&gt;=6,"Fuerte (6-6.9)",IF(J519&gt;=5,"Moderado alto (5-5.9)",IF(J519&gt;=4,"Moderado (4-4.9)","Menor a 4"))))</x:f>
        <x:v>Moderado (4-4.9)</x:v>
      </x:c>
      <x:c r="L519" s="25" t="str">
        <x:f>IF(I519&lt;70,"Superficial (&lt;70 km)",IF(I519&lt;=300,"Intermedio (70-300 km)","Profundo (&gt;300 km)"))</x:f>
        <x:v>Superficial (&lt;70 km)</x:v>
      </x:c>
      <x:c r="M519" s="25" t="str">
        <x:f>IF(J519&gt;=5,"Sí","No")</x:f>
        <x:v>No</x:v>
      </x:c>
      <x:c r="N519" s="25" t="str">
        <x:f>IF(J519&gt;=6,"Sí","No")</x:f>
        <x:v>No</x:v>
      </x:c>
      <x:c r="O519" s="25" t="str">
        <x:v>Pendiente: asignar con R/sf</x:v>
      </x:c>
    </x:row>
    <x:row r="520">
      <x:c r="A520" s="25" t="n">
        <x:v>519</x:v>
      </x:c>
      <x:c r="B520" s="26" t="n">
        <x:v>43196.74916666667</x:v>
      </x:c>
      <x:c r="C520" s="27" t="n">
        <x:f>INT(B520)</x:f>
        <x:v>43196</x:v>
      </x:c>
      <x:c r="D520" s="28" t="n">
        <x:f>MOD(B520,1)</x:f>
        <x:v>0.7491666666683159</x:v>
      </x:c>
      <x:c r="E520" s="29" t="n">
        <x:f>YEAR(B520)</x:f>
        <x:v>2018</x:v>
      </x:c>
      <x:c r="F520" s="29" t="n">
        <x:f>MONTH(B520)</x:f>
        <x:v>4</x:v>
      </x:c>
      <x:c r="G520" s="30" t="n">
        <x:v>-34.47</x:v>
      </x:c>
      <x:c r="H520" s="30" t="n">
        <x:v>-72.54</x:v>
      </x:c>
      <x:c r="I520" s="29" t="n">
        <x:v>39</x:v>
      </x:c>
      <x:c r="J520" s="31" t="n">
        <x:v>4</x:v>
      </x:c>
      <x:c r="K520" s="25" t="str">
        <x:f>IF(J520&gt;=7,"Muy fuerte (&gt;=7)",IF(J520&gt;=6,"Fuerte (6-6.9)",IF(J520&gt;=5,"Moderado alto (5-5.9)",IF(J520&gt;=4,"Moderado (4-4.9)","Menor a 4"))))</x:f>
        <x:v>Moderado (4-4.9)</x:v>
      </x:c>
      <x:c r="L520" s="25" t="str">
        <x:f>IF(I520&lt;70,"Superficial (&lt;70 km)",IF(I520&lt;=300,"Intermedio (70-300 km)","Profundo (&gt;300 km)"))</x:f>
        <x:v>Superficial (&lt;70 km)</x:v>
      </x:c>
      <x:c r="M520" s="25" t="str">
        <x:f>IF(J520&gt;=5,"Sí","No")</x:f>
        <x:v>No</x:v>
      </x:c>
      <x:c r="N520" s="25" t="str">
        <x:f>IF(J520&gt;=6,"Sí","No")</x:f>
        <x:v>No</x:v>
      </x:c>
      <x:c r="O520" s="25" t="str">
        <x:v>Pendiente: asignar con R/sf</x:v>
      </x:c>
    </x:row>
    <x:row r="521">
      <x:c r="A521" s="25" t="n">
        <x:v>520</x:v>
      </x:c>
      <x:c r="B521" s="26" t="n">
        <x:v>43620.440034722225</x:v>
      </x:c>
      <x:c r="C521" s="27" t="n">
        <x:f>INT(B521)</x:f>
        <x:v>43620</x:v>
      </x:c>
      <x:c r="D521" s="28" t="n">
        <x:f>MOD(B521,1)</x:f>
        <x:v>0.4400347222253913</x:v>
      </x:c>
      <x:c r="E521" s="29" t="n">
        <x:f>YEAR(B521)</x:f>
        <x:v>2019</x:v>
      </x:c>
      <x:c r="F521" s="29" t="n">
        <x:f>MONTH(B521)</x:f>
        <x:v>6</x:v>
      </x:c>
      <x:c r="G521" s="30" t="n">
        <x:v>-32.16</x:v>
      </x:c>
      <x:c r="H521" s="30" t="n">
        <x:v>-71.75</x:v>
      </x:c>
      <x:c r="I521" s="29" t="n">
        <x:v>37</x:v>
      </x:c>
      <x:c r="J521" s="31" t="n">
        <x:v>4.6</x:v>
      </x:c>
      <x:c r="K521" s="25" t="str">
        <x:f>IF(J521&gt;=7,"Muy fuerte (&gt;=7)",IF(J521&gt;=6,"Fuerte (6-6.9)",IF(J521&gt;=5,"Moderado alto (5-5.9)",IF(J521&gt;=4,"Moderado (4-4.9)","Menor a 4"))))</x:f>
        <x:v>Moderado (4-4.9)</x:v>
      </x:c>
      <x:c r="L521" s="25" t="str">
        <x:f>IF(I521&lt;70,"Superficial (&lt;70 km)",IF(I521&lt;=300,"Intermedio (70-300 km)","Profundo (&gt;300 km)"))</x:f>
        <x:v>Superficial (&lt;70 km)</x:v>
      </x:c>
      <x:c r="M521" s="25" t="str">
        <x:f>IF(J521&gt;=5,"Sí","No")</x:f>
        <x:v>No</x:v>
      </x:c>
      <x:c r="N521" s="25" t="str">
        <x:f>IF(J521&gt;=6,"Sí","No")</x:f>
        <x:v>No</x:v>
      </x:c>
      <x:c r="O521" s="25" t="str">
        <x:v>Pendiente: asignar con R/sf</x:v>
      </x:c>
    </x:row>
    <x:row r="522">
      <x:c r="A522" s="25" t="n">
        <x:v>521</x:v>
      </x:c>
      <x:c r="B522" s="26" t="n">
        <x:v>42533.71380787037</x:v>
      </x:c>
      <x:c r="C522" s="27" t="n">
        <x:f>INT(B522)</x:f>
        <x:v>42533</x:v>
      </x:c>
      <x:c r="D522" s="28" t="n">
        <x:f>MOD(B522,1)</x:f>
        <x:v>0.7138078703719657</x:v>
      </x:c>
      <x:c r="E522" s="29" t="n">
        <x:f>YEAR(B522)</x:f>
        <x:v>2016</x:v>
      </x:c>
      <x:c r="F522" s="29" t="n">
        <x:f>MONTH(B522)</x:f>
        <x:v>6</x:v>
      </x:c>
      <x:c r="G522" s="30" t="n">
        <x:v>-37.86</x:v>
      </x:c>
      <x:c r="H522" s="30" t="n">
        <x:v>-73.65</x:v>
      </x:c>
      <x:c r="I522" s="29" t="n">
        <x:v>35</x:v>
      </x:c>
      <x:c r="J522" s="31" t="n">
        <x:v>4.5</x:v>
      </x:c>
      <x:c r="K522" s="25" t="str">
        <x:f>IF(J522&gt;=7,"Muy fuerte (&gt;=7)",IF(J522&gt;=6,"Fuerte (6-6.9)",IF(J522&gt;=5,"Moderado alto (5-5.9)",IF(J522&gt;=4,"Moderado (4-4.9)","Menor a 4"))))</x:f>
        <x:v>Moderado (4-4.9)</x:v>
      </x:c>
      <x:c r="L522" s="25" t="str">
        <x:f>IF(I522&lt;70,"Superficial (&lt;70 km)",IF(I522&lt;=300,"Intermedio (70-300 km)","Profundo (&gt;300 km)"))</x:f>
        <x:v>Superficial (&lt;70 km)</x:v>
      </x:c>
      <x:c r="M522" s="25" t="str">
        <x:f>IF(J522&gt;=5,"Sí","No")</x:f>
        <x:v>No</x:v>
      </x:c>
      <x:c r="N522" s="25" t="str">
        <x:f>IF(J522&gt;=6,"Sí","No")</x:f>
        <x:v>No</x:v>
      </x:c>
      <x:c r="O522" s="25" t="str">
        <x:v>Pendiente: asignar con R/sf</x:v>
      </x:c>
    </x:row>
    <x:row r="523">
      <x:c r="A523" s="25" t="n">
        <x:v>522</x:v>
      </x:c>
      <x:c r="B523" s="26" t="n">
        <x:v>42999.300474537034</x:v>
      </x:c>
      <x:c r="C523" s="27" t="n">
        <x:f>INT(B523)</x:f>
        <x:v>42999</x:v>
      </x:c>
      <x:c r="D523" s="28" t="n">
        <x:f>MOD(B523,1)</x:f>
        <x:v>0.3004745370344608</x:v>
      </x:c>
      <x:c r="E523" s="29" t="n">
        <x:f>YEAR(B523)</x:f>
        <x:v>2017</x:v>
      </x:c>
      <x:c r="F523" s="29" t="n">
        <x:f>MONTH(B523)</x:f>
        <x:v>9</x:v>
      </x:c>
      <x:c r="G523" s="30" t="n">
        <x:v>-37.93</x:v>
      </x:c>
      <x:c r="H523" s="30" t="n">
        <x:v>-73.95</x:v>
      </x:c>
      <x:c r="I523" s="29" t="n">
        <x:v>43</x:v>
      </x:c>
      <x:c r="J523" s="31" t="n">
        <x:v>4.7</x:v>
      </x:c>
      <x:c r="K523" s="25" t="str">
        <x:f>IF(J523&gt;=7,"Muy fuerte (&gt;=7)",IF(J523&gt;=6,"Fuerte (6-6.9)",IF(J523&gt;=5,"Moderado alto (5-5.9)",IF(J523&gt;=4,"Moderado (4-4.9)","Menor a 4"))))</x:f>
        <x:v>Moderado (4-4.9)</x:v>
      </x:c>
      <x:c r="L523" s="25" t="str">
        <x:f>IF(I523&lt;70,"Superficial (&lt;70 km)",IF(I523&lt;=300,"Intermedio (70-300 km)","Profundo (&gt;300 km)"))</x:f>
        <x:v>Superficial (&lt;70 km)</x:v>
      </x:c>
      <x:c r="M523" s="25" t="str">
        <x:f>IF(J523&gt;=5,"Sí","No")</x:f>
        <x:v>No</x:v>
      </x:c>
      <x:c r="N523" s="25" t="str">
        <x:f>IF(J523&gt;=6,"Sí","No")</x:f>
        <x:v>No</x:v>
      </x:c>
      <x:c r="O523" s="25" t="str">
        <x:v>Pendiente: asignar con R/sf</x:v>
      </x:c>
    </x:row>
    <x:row r="524">
      <x:c r="A524" s="25" t="n">
        <x:v>523</x:v>
      </x:c>
      <x:c r="B524" s="26" t="n">
        <x:v>43311.78165509259</x:v>
      </x:c>
      <x:c r="C524" s="27" t="n">
        <x:f>INT(B524)</x:f>
        <x:v>43311</x:v>
      </x:c>
      <x:c r="D524" s="28" t="n">
        <x:f>MOD(B524,1)</x:f>
        <x:v>0.7816550925927004</x:v>
      </x:c>
      <x:c r="E524" s="29" t="n">
        <x:f>YEAR(B524)</x:f>
        <x:v>2018</x:v>
      </x:c>
      <x:c r="F524" s="29" t="n">
        <x:f>MONTH(B524)</x:f>
        <x:v>7</x:v>
      </x:c>
      <x:c r="G524" s="30" t="n">
        <x:v>-34.76</x:v>
      </x:c>
      <x:c r="H524" s="30" t="n">
        <x:v>-71.7</x:v>
      </x:c>
      <x:c r="I524" s="29" t="n">
        <x:v>46</x:v>
      </x:c>
      <x:c r="J524" s="31" t="n">
        <x:v>4.5</x:v>
      </x:c>
      <x:c r="K524" s="25" t="str">
        <x:f>IF(J524&gt;=7,"Muy fuerte (&gt;=7)",IF(J524&gt;=6,"Fuerte (6-6.9)",IF(J524&gt;=5,"Moderado alto (5-5.9)",IF(J524&gt;=4,"Moderado (4-4.9)","Menor a 4"))))</x:f>
        <x:v>Moderado (4-4.9)</x:v>
      </x:c>
      <x:c r="L524" s="25" t="str">
        <x:f>IF(I524&lt;70,"Superficial (&lt;70 km)",IF(I524&lt;=300,"Intermedio (70-300 km)","Profundo (&gt;300 km)"))</x:f>
        <x:v>Superficial (&lt;70 km)</x:v>
      </x:c>
      <x:c r="M524" s="25" t="str">
        <x:f>IF(J524&gt;=5,"Sí","No")</x:f>
        <x:v>No</x:v>
      </x:c>
      <x:c r="N524" s="25" t="str">
        <x:f>IF(J524&gt;=6,"Sí","No")</x:f>
        <x:v>No</x:v>
      </x:c>
      <x:c r="O524" s="25" t="str">
        <x:v>Pendiente: asignar con R/sf</x:v>
      </x:c>
    </x:row>
    <x:row r="525">
      <x:c r="A525" s="25" t="n">
        <x:v>524</x:v>
      </x:c>
      <x:c r="B525" s="26" t="n">
        <x:v>43608.04126157407</x:v>
      </x:c>
      <x:c r="C525" s="27" t="n">
        <x:f>INT(B525)</x:f>
        <x:v>43608</x:v>
      </x:c>
      <x:c r="D525" s="28" t="n">
        <x:f>MOD(B525,1)</x:f>
        <x:v>0.04126157407154096</x:v>
      </x:c>
      <x:c r="E525" s="29" t="n">
        <x:f>YEAR(B525)</x:f>
        <x:v>2019</x:v>
      </x:c>
      <x:c r="F525" s="29" t="n">
        <x:f>MONTH(B525)</x:f>
        <x:v>5</x:v>
      </x:c>
      <x:c r="G525" s="30" t="n">
        <x:v>-34.8</x:v>
      </x:c>
      <x:c r="H525" s="30" t="n">
        <x:v>-71.81</x:v>
      </x:c>
      <x:c r="I525" s="29" t="n">
        <x:v>42</x:v>
      </x:c>
      <x:c r="J525" s="31" t="n">
        <x:v>4.2</x:v>
      </x:c>
      <x:c r="K525" s="25" t="str">
        <x:f>IF(J525&gt;=7,"Muy fuerte (&gt;=7)",IF(J525&gt;=6,"Fuerte (6-6.9)",IF(J525&gt;=5,"Moderado alto (5-5.9)",IF(J525&gt;=4,"Moderado (4-4.9)","Menor a 4"))))</x:f>
        <x:v>Moderado (4-4.9)</x:v>
      </x:c>
      <x:c r="L525" s="25" t="str">
        <x:f>IF(I525&lt;70,"Superficial (&lt;70 km)",IF(I525&lt;=300,"Intermedio (70-300 km)","Profundo (&gt;300 km)"))</x:f>
        <x:v>Superficial (&lt;70 km)</x:v>
      </x:c>
      <x:c r="M525" s="25" t="str">
        <x:f>IF(J525&gt;=5,"Sí","No")</x:f>
        <x:v>No</x:v>
      </x:c>
      <x:c r="N525" s="25" t="str">
        <x:f>IF(J525&gt;=6,"Sí","No")</x:f>
        <x:v>No</x:v>
      </x:c>
      <x:c r="O525" s="25" t="str">
        <x:v>Pendiente: asignar con R/sf</x:v>
      </x:c>
    </x:row>
    <x:row r="526">
      <x:c r="A526" s="25" t="n">
        <x:v>525</x:v>
      </x:c>
      <x:c r="B526" s="26" t="n">
        <x:v>43546.76037037037</x:v>
      </x:c>
      <x:c r="C526" s="27" t="n">
        <x:f>INT(B526)</x:f>
        <x:v>43546</x:v>
      </x:c>
      <x:c r="D526" s="28" t="n">
        <x:f>MOD(B526,1)</x:f>
        <x:v>0.7603703703716747</x:v>
      </x:c>
      <x:c r="E526" s="29" t="n">
        <x:f>YEAR(B526)</x:f>
        <x:v>2019</x:v>
      </x:c>
      <x:c r="F526" s="29" t="n">
        <x:f>MONTH(B526)</x:f>
        <x:v>3</x:v>
      </x:c>
      <x:c r="G526" s="30" t="n">
        <x:v>-22.9</x:v>
      </x:c>
      <x:c r="H526" s="30" t="n">
        <x:v>-68.75</x:v>
      </x:c>
      <x:c r="I526" s="29" t="n">
        <x:v>106</x:v>
      </x:c>
      <x:c r="J526" s="31" t="n">
        <x:v>4.3</x:v>
      </x:c>
      <x:c r="K526" s="25" t="str">
        <x:f>IF(J526&gt;=7,"Muy fuerte (&gt;=7)",IF(J526&gt;=6,"Fuerte (6-6.9)",IF(J526&gt;=5,"Moderado alto (5-5.9)",IF(J526&gt;=4,"Moderado (4-4.9)","Menor a 4"))))</x:f>
        <x:v>Moderado (4-4.9)</x:v>
      </x:c>
      <x:c r="L526" s="25" t="str">
        <x:f>IF(I526&lt;70,"Superficial (&lt;70 km)",IF(I526&lt;=300,"Intermedio (70-300 km)","Profundo (&gt;300 km)"))</x:f>
        <x:v>Intermedio (70-300 km)</x:v>
      </x:c>
      <x:c r="M526" s="25" t="str">
        <x:f>IF(J526&gt;=5,"Sí","No")</x:f>
        <x:v>No</x:v>
      </x:c>
      <x:c r="N526" s="25" t="str">
        <x:f>IF(J526&gt;=6,"Sí","No")</x:f>
        <x:v>No</x:v>
      </x:c>
      <x:c r="O526" s="25" t="str">
        <x:v>Pendiente: asignar con R/sf</x:v>
      </x:c>
    </x:row>
    <x:row r="527">
      <x:c r="A527" s="25" t="n">
        <x:v>526</x:v>
      </x:c>
      <x:c r="B527" s="26" t="n">
        <x:v>43442.674675925926</x:v>
      </x:c>
      <x:c r="C527" s="27" t="n">
        <x:f>INT(B527)</x:f>
        <x:v>43442</x:v>
      </x:c>
      <x:c r="D527" s="28" t="n">
        <x:f>MOD(B527,1)</x:f>
        <x:v>0.6746759259258397</x:v>
      </x:c>
      <x:c r="E527" s="29" t="n">
        <x:f>YEAR(B527)</x:f>
        <x:v>2018</x:v>
      </x:c>
      <x:c r="F527" s="29" t="n">
        <x:f>MONTH(B527)</x:f>
        <x:v>12</x:v>
      </x:c>
      <x:c r="G527" s="30" t="n">
        <x:v>-33.31</x:v>
      </x:c>
      <x:c r="H527" s="30" t="n">
        <x:v>-70.36</x:v>
      </x:c>
      <x:c r="I527" s="29" t="n">
        <x:v>96</x:v>
      </x:c>
      <x:c r="J527" s="31" t="n">
        <x:v>4.2</x:v>
      </x:c>
      <x:c r="K527" s="25" t="str">
        <x:f>IF(J527&gt;=7,"Muy fuerte (&gt;=7)",IF(J527&gt;=6,"Fuerte (6-6.9)",IF(J527&gt;=5,"Moderado alto (5-5.9)",IF(J527&gt;=4,"Moderado (4-4.9)","Menor a 4"))))</x:f>
        <x:v>Moderado (4-4.9)</x:v>
      </x:c>
      <x:c r="L527" s="25" t="str">
        <x:f>IF(I527&lt;70,"Superficial (&lt;70 km)",IF(I527&lt;=300,"Intermedio (70-300 km)","Profundo (&gt;300 km)"))</x:f>
        <x:v>Intermedio (70-300 km)</x:v>
      </x:c>
      <x:c r="M527" s="25" t="str">
        <x:f>IF(J527&gt;=5,"Sí","No")</x:f>
        <x:v>No</x:v>
      </x:c>
      <x:c r="N527" s="25" t="str">
        <x:f>IF(J527&gt;=6,"Sí","No")</x:f>
        <x:v>No</x:v>
      </x:c>
      <x:c r="O527" s="25" t="str">
        <x:v>Pendiente: asignar con R/sf</x:v>
      </x:c>
    </x:row>
    <x:row r="528">
      <x:c r="A528" s="25" t="n">
        <x:v>527</x:v>
      </x:c>
      <x:c r="B528" s="26" t="n">
        <x:v>42500.913622685184</x:v>
      </x:c>
      <x:c r="C528" s="27" t="n">
        <x:f>INT(B528)</x:f>
        <x:v>42500</x:v>
      </x:c>
      <x:c r="D528" s="28" t="n">
        <x:f>MOD(B528,1)</x:f>
        <x:v>0.9136226851842366</x:v>
      </x:c>
      <x:c r="E528" s="29" t="n">
        <x:f>YEAR(B528)</x:f>
        <x:v>2016</x:v>
      </x:c>
      <x:c r="F528" s="29" t="n">
        <x:f>MONTH(B528)</x:f>
        <x:v>5</x:v>
      </x:c>
      <x:c r="G528" s="30" t="n">
        <x:v>-37.95</x:v>
      </x:c>
      <x:c r="H528" s="30" t="n">
        <x:v>-74.38</x:v>
      </x:c>
      <x:c r="I528" s="29" t="n">
        <x:v>28</x:v>
      </x:c>
      <x:c r="J528" s="31" t="n">
        <x:v>4.8</x:v>
      </x:c>
      <x:c r="K528" s="25" t="str">
        <x:f>IF(J528&gt;=7,"Muy fuerte (&gt;=7)",IF(J528&gt;=6,"Fuerte (6-6.9)",IF(J528&gt;=5,"Moderado alto (5-5.9)",IF(J528&gt;=4,"Moderado (4-4.9)","Menor a 4"))))</x:f>
        <x:v>Moderado (4-4.9)</x:v>
      </x:c>
      <x:c r="L528" s="25" t="str">
        <x:f>IF(I528&lt;70,"Superficial (&lt;70 km)",IF(I528&lt;=300,"Intermedio (70-300 km)","Profundo (&gt;300 km)"))</x:f>
        <x:v>Superficial (&lt;70 km)</x:v>
      </x:c>
      <x:c r="M528" s="25" t="str">
        <x:f>IF(J528&gt;=5,"Sí","No")</x:f>
        <x:v>No</x:v>
      </x:c>
      <x:c r="N528" s="25" t="str">
        <x:f>IF(J528&gt;=6,"Sí","No")</x:f>
        <x:v>No</x:v>
      </x:c>
      <x:c r="O528" s="25" t="str">
        <x:v>Pendiente: asignar con R/sf</x:v>
      </x:c>
    </x:row>
    <x:row r="529">
      <x:c r="A529" s="25" t="n">
        <x:v>528</x:v>
      </x:c>
      <x:c r="B529" s="26" t="n">
        <x:v>43618.82603009259</x:v>
      </x:c>
      <x:c r="C529" s="27" t="n">
        <x:f>INT(B529)</x:f>
        <x:v>43618</x:v>
      </x:c>
      <x:c r="D529" s="28" t="n">
        <x:f>MOD(B529,1)</x:f>
        <x:v>0.8260300925903721</x:v>
      </x:c>
      <x:c r="E529" s="29" t="n">
        <x:f>YEAR(B529)</x:f>
        <x:v>2019</x:v>
      </x:c>
      <x:c r="F529" s="29" t="n">
        <x:f>MONTH(B529)</x:f>
        <x:v>6</x:v>
      </x:c>
      <x:c r="G529" s="30" t="n">
        <x:v>-32.15</x:v>
      </x:c>
      <x:c r="H529" s="30" t="n">
        <x:v>-71.7</x:v>
      </x:c>
      <x:c r="I529" s="29" t="n">
        <x:v>30</x:v>
      </x:c>
      <x:c r="J529" s="31" t="n">
        <x:v>4.3</x:v>
      </x:c>
      <x:c r="K529" s="25" t="str">
        <x:f>IF(J529&gt;=7,"Muy fuerte (&gt;=7)",IF(J529&gt;=6,"Fuerte (6-6.9)",IF(J529&gt;=5,"Moderado alto (5-5.9)",IF(J529&gt;=4,"Moderado (4-4.9)","Menor a 4"))))</x:f>
        <x:v>Moderado (4-4.9)</x:v>
      </x:c>
      <x:c r="L529" s="25" t="str">
        <x:f>IF(I529&lt;70,"Superficial (&lt;70 km)",IF(I529&lt;=300,"Intermedio (70-300 km)","Profundo (&gt;300 km)"))</x:f>
        <x:v>Superficial (&lt;70 km)</x:v>
      </x:c>
      <x:c r="M529" s="25" t="str">
        <x:f>IF(J529&gt;=5,"Sí","No")</x:f>
        <x:v>No</x:v>
      </x:c>
      <x:c r="N529" s="25" t="str">
        <x:f>IF(J529&gt;=6,"Sí","No")</x:f>
        <x:v>No</x:v>
      </x:c>
      <x:c r="O529" s="25" t="str">
        <x:v>Pendiente: asignar con R/sf</x:v>
      </x:c>
    </x:row>
    <x:row r="530">
      <x:c r="A530" s="25" t="n">
        <x:v>529</x:v>
      </x:c>
      <x:c r="B530" s="26" t="n">
        <x:v>43385.08253472222</x:v>
      </x:c>
      <x:c r="C530" s="27" t="n">
        <x:f>INT(B530)</x:f>
        <x:v>43385</x:v>
      </x:c>
      <x:c r="D530" s="28" t="n">
        <x:f>MOD(B530,1)</x:f>
        <x:v>0.08253472221986158</x:v>
      </x:c>
      <x:c r="E530" s="29" t="n">
        <x:f>YEAR(B530)</x:f>
        <x:v>2018</x:v>
      </x:c>
      <x:c r="F530" s="29" t="n">
        <x:f>MONTH(B530)</x:f>
        <x:v>10</x:v>
      </x:c>
      <x:c r="G530" s="30" t="n">
        <x:v>-34.73</x:v>
      </x:c>
      <x:c r="H530" s="30" t="n">
        <x:v>-71.83</x:v>
      </x:c>
      <x:c r="I530" s="29" t="n">
        <x:v>43</x:v>
      </x:c>
      <x:c r="J530" s="31" t="n">
        <x:v>4.6</x:v>
      </x:c>
      <x:c r="K530" s="25" t="str">
        <x:f>IF(J530&gt;=7,"Muy fuerte (&gt;=7)",IF(J530&gt;=6,"Fuerte (6-6.9)",IF(J530&gt;=5,"Moderado alto (5-5.9)",IF(J530&gt;=4,"Moderado (4-4.9)","Menor a 4"))))</x:f>
        <x:v>Moderado (4-4.9)</x:v>
      </x:c>
      <x:c r="L530" s="25" t="str">
        <x:f>IF(I530&lt;70,"Superficial (&lt;70 km)",IF(I530&lt;=300,"Intermedio (70-300 km)","Profundo (&gt;300 km)"))</x:f>
        <x:v>Superficial (&lt;70 km)</x:v>
      </x:c>
      <x:c r="M530" s="25" t="str">
        <x:f>IF(J530&gt;=5,"Sí","No")</x:f>
        <x:v>No</x:v>
      </x:c>
      <x:c r="N530" s="25" t="str">
        <x:f>IF(J530&gt;=6,"Sí","No")</x:f>
        <x:v>No</x:v>
      </x:c>
      <x:c r="O530" s="25" t="str">
        <x:v>Pendiente: asignar con R/sf</x:v>
      </x:c>
    </x:row>
    <x:row r="531">
      <x:c r="A531" s="25" t="n">
        <x:v>530</x:v>
      </x:c>
      <x:c r="B531" s="26" t="n">
        <x:v>42695.00681712963</x:v>
      </x:c>
      <x:c r="C531" s="27" t="n">
        <x:f>INT(B531)</x:f>
        <x:v>42695</x:v>
      </x:c>
      <x:c r="D531" s="28" t="n">
        <x:f>MOD(B531,1)</x:f>
        <x:v>0.006817129629780538</x:v>
      </x:c>
      <x:c r="E531" s="29" t="n">
        <x:f>YEAR(B531)</x:f>
        <x:v>2016</x:v>
      </x:c>
      <x:c r="F531" s="29" t="n">
        <x:f>MONTH(B531)</x:f>
        <x:v>11</x:v>
      </x:c>
      <x:c r="G531" s="30" t="n">
        <x:v>-37.43</x:v>
      </x:c>
      <x:c r="H531" s="30" t="n">
        <x:v>-73.9</x:v>
      </x:c>
      <x:c r="I531" s="29" t="n">
        <x:v>42</x:v>
      </x:c>
      <x:c r="J531" s="31" t="n">
        <x:v>4.9</x:v>
      </x:c>
      <x:c r="K531" s="25" t="str">
        <x:f>IF(J531&gt;=7,"Muy fuerte (&gt;=7)",IF(J531&gt;=6,"Fuerte (6-6.9)",IF(J531&gt;=5,"Moderado alto (5-5.9)",IF(J531&gt;=4,"Moderado (4-4.9)","Menor a 4"))))</x:f>
        <x:v>Moderado (4-4.9)</x:v>
      </x:c>
      <x:c r="L531" s="25" t="str">
        <x:f>IF(I531&lt;70,"Superficial (&lt;70 km)",IF(I531&lt;=300,"Intermedio (70-300 km)","Profundo (&gt;300 km)"))</x:f>
        <x:v>Superficial (&lt;70 km)</x:v>
      </x:c>
      <x:c r="M531" s="25" t="str">
        <x:f>IF(J531&gt;=5,"Sí","No")</x:f>
        <x:v>No</x:v>
      </x:c>
      <x:c r="N531" s="25" t="str">
        <x:f>IF(J531&gt;=6,"Sí","No")</x:f>
        <x:v>No</x:v>
      </x:c>
      <x:c r="O531" s="25" t="str">
        <x:v>Pendiente: asignar con R/sf</x:v>
      </x:c>
    </x:row>
    <x:row r="532">
      <x:c r="A532" s="25" t="n">
        <x:v>531</x:v>
      </x:c>
      <x:c r="B532" s="26" t="n">
        <x:v>42785.29908564815</x:v>
      </x:c>
      <x:c r="C532" s="27" t="n">
        <x:f>INT(B532)</x:f>
        <x:v>42785</x:v>
      </x:c>
      <x:c r="D532" s="28" t="n">
        <x:f>MOD(B532,1)</x:f>
        <x:v>0.2990856481483206</x:v>
      </x:c>
      <x:c r="E532" s="29" t="n">
        <x:f>YEAR(B532)</x:f>
        <x:v>2017</x:v>
      </x:c>
      <x:c r="F532" s="29" t="n">
        <x:f>MONTH(B532)</x:f>
        <x:v>2</x:v>
      </x:c>
      <x:c r="G532" s="30" t="n">
        <x:v>-37.53</x:v>
      </x:c>
      <x:c r="H532" s="30" t="n">
        <x:v>-74.05</x:v>
      </x:c>
      <x:c r="I532" s="29" t="n">
        <x:v>35</x:v>
      </x:c>
      <x:c r="J532" s="31" t="n">
        <x:v>4.4</x:v>
      </x:c>
      <x:c r="K532" s="25" t="str">
        <x:f>IF(J532&gt;=7,"Muy fuerte (&gt;=7)",IF(J532&gt;=6,"Fuerte (6-6.9)",IF(J532&gt;=5,"Moderado alto (5-5.9)",IF(J532&gt;=4,"Moderado (4-4.9)","Menor a 4"))))</x:f>
        <x:v>Moderado (4-4.9)</x:v>
      </x:c>
      <x:c r="L532" s="25" t="str">
        <x:f>IF(I532&lt;70,"Superficial (&lt;70 km)",IF(I532&lt;=300,"Intermedio (70-300 km)","Profundo (&gt;300 km)"))</x:f>
        <x:v>Superficial (&lt;70 km)</x:v>
      </x:c>
      <x:c r="M532" s="25" t="str">
        <x:f>IF(J532&gt;=5,"Sí","No")</x:f>
        <x:v>No</x:v>
      </x:c>
      <x:c r="N532" s="25" t="str">
        <x:f>IF(J532&gt;=6,"Sí","No")</x:f>
        <x:v>No</x:v>
      </x:c>
      <x:c r="O532" s="25" t="str">
        <x:v>Pendiente: asignar con R/sf</x:v>
      </x:c>
    </x:row>
    <x:row r="533">
      <x:c r="A533" s="25" t="n">
        <x:v>532</x:v>
      </x:c>
      <x:c r="B533" s="26" t="n">
        <x:v>43252.31542824074</x:v>
      </x:c>
      <x:c r="C533" s="27" t="n">
        <x:f>INT(B533)</x:f>
        <x:v>43252</x:v>
      </x:c>
      <x:c r="D533" s="28" t="n">
        <x:f>MOD(B533,1)</x:f>
        <x:v>0.31542824074131204</x:v>
      </x:c>
      <x:c r="E533" s="29" t="n">
        <x:f>YEAR(B533)</x:f>
        <x:v>2018</x:v>
      </x:c>
      <x:c r="F533" s="29" t="n">
        <x:f>MONTH(B533)</x:f>
        <x:v>6</x:v>
      </x:c>
      <x:c r="G533" s="30" t="n">
        <x:v>-34.96</x:v>
      </x:c>
      <x:c r="H533" s="30" t="n">
        <x:v>-71.65</x:v>
      </x:c>
      <x:c r="I533" s="29" t="n">
        <x:v>49</x:v>
      </x:c>
      <x:c r="J533" s="31" t="n">
        <x:v>4.2</x:v>
      </x:c>
      <x:c r="K533" s="25" t="str">
        <x:f>IF(J533&gt;=7,"Muy fuerte (&gt;=7)",IF(J533&gt;=6,"Fuerte (6-6.9)",IF(J533&gt;=5,"Moderado alto (5-5.9)",IF(J533&gt;=4,"Moderado (4-4.9)","Menor a 4"))))</x:f>
        <x:v>Moderado (4-4.9)</x:v>
      </x:c>
      <x:c r="L533" s="25" t="str">
        <x:f>IF(I533&lt;70,"Superficial (&lt;70 km)",IF(I533&lt;=300,"Intermedio (70-300 km)","Profundo (&gt;300 km)"))</x:f>
        <x:v>Superficial (&lt;70 km)</x:v>
      </x:c>
      <x:c r="M533" s="25" t="str">
        <x:f>IF(J533&gt;=5,"Sí","No")</x:f>
        <x:v>No</x:v>
      </x:c>
      <x:c r="N533" s="25" t="str">
        <x:f>IF(J533&gt;=6,"Sí","No")</x:f>
        <x:v>No</x:v>
      </x:c>
      <x:c r="O533" s="25" t="str">
        <x:v>Pendiente: asignar con R/sf</x:v>
      </x:c>
    </x:row>
    <x:row r="534">
      <x:c r="A534" s="25" t="n">
        <x:v>533</x:v>
      </x:c>
      <x:c r="B534" s="26" t="n">
        <x:v>43132.008993055555</x:v>
      </x:c>
      <x:c r="C534" s="27" t="n">
        <x:f>INT(B534)</x:f>
        <x:v>43132</x:v>
      </x:c>
      <x:c r="D534" s="28" t="n">
        <x:f>MOD(B534,1)</x:f>
        <x:v>0.008993055555038154</x:v>
      </x:c>
      <x:c r="E534" s="29" t="n">
        <x:f>YEAR(B534)</x:f>
        <x:v>2018</x:v>
      </x:c>
      <x:c r="F534" s="29" t="n">
        <x:f>MONTH(B534)</x:f>
        <x:v>2</x:v>
      </x:c>
      <x:c r="G534" s="30" t="n">
        <x:v>-37.54</x:v>
      </x:c>
      <x:c r="H534" s="30" t="n">
        <x:v>-73.96</x:v>
      </x:c>
      <x:c r="I534" s="29" t="n">
        <x:v>26</x:v>
      </x:c>
      <x:c r="J534" s="31" t="n">
        <x:v>5.1</x:v>
      </x:c>
      <x:c r="K534" s="25" t="str">
        <x:f>IF(J534&gt;=7,"Muy fuerte (&gt;=7)",IF(J534&gt;=6,"Fuerte (6-6.9)",IF(J534&gt;=5,"Moderado alto (5-5.9)",IF(J534&gt;=4,"Moderado (4-4.9)","Menor a 4"))))</x:f>
        <x:v>Moderado alto (5-5.9)</x:v>
      </x:c>
      <x:c r="L534" s="25" t="str">
        <x:f>IF(I534&lt;70,"Superficial (&lt;70 km)",IF(I534&lt;=300,"Intermedio (70-300 km)","Profundo (&gt;300 km)"))</x:f>
        <x:v>Superficial (&lt;70 km)</x:v>
      </x:c>
      <x:c r="M534" s="25" t="str">
        <x:f>IF(J534&gt;=5,"Sí","No")</x:f>
        <x:v>Sí</x:v>
      </x:c>
      <x:c r="N534" s="25" t="str">
        <x:f>IF(J534&gt;=6,"Sí","No")</x:f>
        <x:v>No</x:v>
      </x:c>
      <x:c r="O534" s="25" t="str">
        <x:v>Pendiente: asignar con R/sf</x:v>
      </x:c>
    </x:row>
    <x:row r="535">
      <x:c r="A535" s="25" t="n">
        <x:v>534</x:v>
      </x:c>
      <x:c r="B535" s="26" t="n">
        <x:v>43535.926574074074</x:v>
      </x:c>
      <x:c r="C535" s="27" t="n">
        <x:f>INT(B535)</x:f>
        <x:v>43535</x:v>
      </x:c>
      <x:c r="D535" s="28" t="n">
        <x:f>MOD(B535,1)</x:f>
        <x:v>0.9265740740738693</x:v>
      </x:c>
      <x:c r="E535" s="29" t="n">
        <x:f>YEAR(B535)</x:f>
        <x:v>2019</x:v>
      </x:c>
      <x:c r="F535" s="29" t="n">
        <x:f>MONTH(B535)</x:f>
        <x:v>3</x:v>
      </x:c>
      <x:c r="G535" s="30" t="n">
        <x:v>-34.34</x:v>
      </x:c>
      <x:c r="H535" s="30" t="n">
        <x:v>-70.58</x:v>
      </x:c>
      <x:c r="I535" s="29" t="n">
        <x:v>108</x:v>
      </x:c>
      <x:c r="J535" s="31" t="n">
        <x:v>4.4</x:v>
      </x:c>
      <x:c r="K535" s="25" t="str">
        <x:f>IF(J535&gt;=7,"Muy fuerte (&gt;=7)",IF(J535&gt;=6,"Fuerte (6-6.9)",IF(J535&gt;=5,"Moderado alto (5-5.9)",IF(J535&gt;=4,"Moderado (4-4.9)","Menor a 4"))))</x:f>
        <x:v>Moderado (4-4.9)</x:v>
      </x:c>
      <x:c r="L535" s="25" t="str">
        <x:f>IF(I535&lt;70,"Superficial (&lt;70 km)",IF(I535&lt;=300,"Intermedio (70-300 km)","Profundo (&gt;300 km)"))</x:f>
        <x:v>Intermedio (70-300 km)</x:v>
      </x:c>
      <x:c r="M535" s="25" t="str">
        <x:f>IF(J535&gt;=5,"Sí","No")</x:f>
        <x:v>No</x:v>
      </x:c>
      <x:c r="N535" s="25" t="str">
        <x:f>IF(J535&gt;=6,"Sí","No")</x:f>
        <x:v>No</x:v>
      </x:c>
      <x:c r="O535" s="25" t="str">
        <x:v>Pendiente: asignar con R/sf</x:v>
      </x:c>
    </x:row>
    <x:row r="536">
      <x:c r="A536" s="25" t="n">
        <x:v>535</x:v>
      </x:c>
      <x:c r="B536" s="26" t="n">
        <x:v>43591.65820601852</x:v>
      </x:c>
      <x:c r="C536" s="27" t="n">
        <x:f>INT(B536)</x:f>
        <x:v>43591</x:v>
      </x:c>
      <x:c r="D536" s="28" t="n">
        <x:f>MOD(B536,1)</x:f>
        <x:v>0.6582060185173759</x:v>
      </x:c>
      <x:c r="E536" s="29" t="n">
        <x:f>YEAR(B536)</x:f>
        <x:v>2019</x:v>
      </x:c>
      <x:c r="F536" s="29" t="n">
        <x:f>MONTH(B536)</x:f>
        <x:v>5</x:v>
      </x:c>
      <x:c r="G536" s="30" t="n">
        <x:v>-22.79</x:v>
      </x:c>
      <x:c r="H536" s="30" t="n">
        <x:v>-69.15</x:v>
      </x:c>
      <x:c r="I536" s="29" t="n">
        <x:v>114</x:v>
      </x:c>
      <x:c r="J536" s="31" t="n">
        <x:v>4.9</x:v>
      </x:c>
      <x:c r="K536" s="25" t="str">
        <x:f>IF(J536&gt;=7,"Muy fuerte (&gt;=7)",IF(J536&gt;=6,"Fuerte (6-6.9)",IF(J536&gt;=5,"Moderado alto (5-5.9)",IF(J536&gt;=4,"Moderado (4-4.9)","Menor a 4"))))</x:f>
        <x:v>Moderado (4-4.9)</x:v>
      </x:c>
      <x:c r="L536" s="25" t="str">
        <x:f>IF(I536&lt;70,"Superficial (&lt;70 km)",IF(I536&lt;=300,"Intermedio (70-300 km)","Profundo (&gt;300 km)"))</x:f>
        <x:v>Intermedio (70-300 km)</x:v>
      </x:c>
      <x:c r="M536" s="25" t="str">
        <x:f>IF(J536&gt;=5,"Sí","No")</x:f>
        <x:v>No</x:v>
      </x:c>
      <x:c r="N536" s="25" t="str">
        <x:f>IF(J536&gt;=6,"Sí","No")</x:f>
        <x:v>No</x:v>
      </x:c>
      <x:c r="O536" s="25" t="str">
        <x:v>Pendiente: asignar con R/sf</x:v>
      </x:c>
    </x:row>
    <x:row r="537">
      <x:c r="A537" s="25" t="n">
        <x:v>536</x:v>
      </x:c>
      <x:c r="B537" s="26" t="n">
        <x:v>42995.275</x:v>
      </x:c>
      <x:c r="C537" s="27" t="n">
        <x:f>INT(B537)</x:f>
        <x:v>42995</x:v>
      </x:c>
      <x:c r="D537" s="28" t="n">
        <x:f>MOD(B537,1)</x:f>
        <x:v>0.2750000000014552</x:v>
      </x:c>
      <x:c r="E537" s="29" t="n">
        <x:f>YEAR(B537)</x:f>
        <x:v>2017</x:v>
      </x:c>
      <x:c r="F537" s="29" t="n">
        <x:f>MONTH(B537)</x:f>
        <x:v>9</x:v>
      </x:c>
      <x:c r="G537" s="30" t="n">
        <x:v>-35.72</x:v>
      </x:c>
      <x:c r="H537" s="30" t="n">
        <x:v>-71.64</x:v>
      </x:c>
      <x:c r="I537" s="29" t="n">
        <x:v>88</x:v>
      </x:c>
      <x:c r="J537" s="31" t="n">
        <x:v>4.2</x:v>
      </x:c>
      <x:c r="K537" s="25" t="str">
        <x:f>IF(J537&gt;=7,"Muy fuerte (&gt;=7)",IF(J537&gt;=6,"Fuerte (6-6.9)",IF(J537&gt;=5,"Moderado alto (5-5.9)",IF(J537&gt;=4,"Moderado (4-4.9)","Menor a 4"))))</x:f>
        <x:v>Moderado (4-4.9)</x:v>
      </x:c>
      <x:c r="L537" s="25" t="str">
        <x:f>IF(I537&lt;70,"Superficial (&lt;70 km)",IF(I537&lt;=300,"Intermedio (70-300 km)","Profundo (&gt;300 km)"))</x:f>
        <x:v>Intermedio (70-300 km)</x:v>
      </x:c>
      <x:c r="M537" s="25" t="str">
        <x:f>IF(J537&gt;=5,"Sí","No")</x:f>
        <x:v>No</x:v>
      </x:c>
      <x:c r="N537" s="25" t="str">
        <x:f>IF(J537&gt;=6,"Sí","No")</x:f>
        <x:v>No</x:v>
      </x:c>
      <x:c r="O537" s="25" t="str">
        <x:v>Pendiente: asignar con R/sf</x:v>
      </x:c>
    </x:row>
    <x:row r="538">
      <x:c r="A538" s="25" t="n">
        <x:v>537</x:v>
      </x:c>
      <x:c r="B538" s="26" t="n">
        <x:v>43567.50200231482</x:v>
      </x:c>
      <x:c r="C538" s="27" t="n">
        <x:f>INT(B538)</x:f>
        <x:v>43567</x:v>
      </x:c>
      <x:c r="D538" s="28" t="n">
        <x:f>MOD(B538,1)</x:f>
        <x:v>0.5020023148172186</x:v>
      </x:c>
      <x:c r="E538" s="29" t="n">
        <x:f>YEAR(B538)</x:f>
        <x:v>2019</x:v>
      </x:c>
      <x:c r="F538" s="29" t="n">
        <x:f>MONTH(B538)</x:f>
        <x:v>4</x:v>
      </x:c>
      <x:c r="G538" s="30" t="n">
        <x:v>-32.24</x:v>
      </x:c>
      <x:c r="H538" s="30" t="n">
        <x:v>-71.63</x:v>
      </x:c>
      <x:c r="I538" s="29" t="n">
        <x:v>61</x:v>
      </x:c>
      <x:c r="J538" s="31" t="n">
        <x:v>4</x:v>
      </x:c>
      <x:c r="K538" s="25" t="str">
        <x:f>IF(J538&gt;=7,"Muy fuerte (&gt;=7)",IF(J538&gt;=6,"Fuerte (6-6.9)",IF(J538&gt;=5,"Moderado alto (5-5.9)",IF(J538&gt;=4,"Moderado (4-4.9)","Menor a 4"))))</x:f>
        <x:v>Moderado (4-4.9)</x:v>
      </x:c>
      <x:c r="L538" s="25" t="str">
        <x:f>IF(I538&lt;70,"Superficial (&lt;70 km)",IF(I538&lt;=300,"Intermedio (70-300 km)","Profundo (&gt;300 km)"))</x:f>
        <x:v>Superficial (&lt;70 km)</x:v>
      </x:c>
      <x:c r="M538" s="25" t="str">
        <x:f>IF(J538&gt;=5,"Sí","No")</x:f>
        <x:v>No</x:v>
      </x:c>
      <x:c r="N538" s="25" t="str">
        <x:f>IF(J538&gt;=6,"Sí","No")</x:f>
        <x:v>No</x:v>
      </x:c>
      <x:c r="O538" s="25" t="str">
        <x:v>Pendiente: asignar con R/sf</x:v>
      </x:c>
    </x:row>
    <x:row r="539">
      <x:c r="A539" s="25" t="n">
        <x:v>538</x:v>
      </x:c>
      <x:c r="B539" s="26" t="n">
        <x:v>43002.29822916666</x:v>
      </x:c>
      <x:c r="C539" s="27" t="n">
        <x:f>INT(B539)</x:f>
        <x:v>43002</x:v>
      </x:c>
      <x:c r="D539" s="28" t="n">
        <x:f>MOD(B539,1)</x:f>
        <x:v>0.2982291666630772</x:v>
      </x:c>
      <x:c r="E539" s="29" t="n">
        <x:f>YEAR(B539)</x:f>
        <x:v>2017</x:v>
      </x:c>
      <x:c r="F539" s="29" t="n">
        <x:f>MONTH(B539)</x:f>
        <x:v>9</x:v>
      </x:c>
      <x:c r="G539" s="30" t="n">
        <x:v>-35.18</x:v>
      </x:c>
      <x:c r="H539" s="30" t="n">
        <x:v>-71.83</x:v>
      </x:c>
      <x:c r="I539" s="29" t="n">
        <x:v>45</x:v>
      </x:c>
      <x:c r="J539" s="31" t="n">
        <x:v>4.6</x:v>
      </x:c>
      <x:c r="K539" s="25" t="str">
        <x:f>IF(J539&gt;=7,"Muy fuerte (&gt;=7)",IF(J539&gt;=6,"Fuerte (6-6.9)",IF(J539&gt;=5,"Moderado alto (5-5.9)",IF(J539&gt;=4,"Moderado (4-4.9)","Menor a 4"))))</x:f>
        <x:v>Moderado (4-4.9)</x:v>
      </x:c>
      <x:c r="L539" s="25" t="str">
        <x:f>IF(I539&lt;70,"Superficial (&lt;70 km)",IF(I539&lt;=300,"Intermedio (70-300 km)","Profundo (&gt;300 km)"))</x:f>
        <x:v>Superficial (&lt;70 km)</x:v>
      </x:c>
      <x:c r="M539" s="25" t="str">
        <x:f>IF(J539&gt;=5,"Sí","No")</x:f>
        <x:v>No</x:v>
      </x:c>
      <x:c r="N539" s="25" t="str">
        <x:f>IF(J539&gt;=6,"Sí","No")</x:f>
        <x:v>No</x:v>
      </x:c>
      <x:c r="O539" s="25" t="str">
        <x:v>Pendiente: asignar con R/sf</x:v>
      </x:c>
    </x:row>
    <x:row r="540">
      <x:c r="A540" s="25" t="n">
        <x:v>539</x:v>
      </x:c>
      <x:c r="B540" s="26" t="n">
        <x:v>43095.545439814814</x:v>
      </x:c>
      <x:c r="C540" s="27" t="n">
        <x:f>INT(B540)</x:f>
        <x:v>43095</x:v>
      </x:c>
      <x:c r="D540" s="28" t="n">
        <x:f>MOD(B540,1)</x:f>
        <x:v>0.5454398148140172</x:v>
      </x:c>
      <x:c r="E540" s="29" t="n">
        <x:f>YEAR(B540)</x:f>
        <x:v>2017</x:v>
      </x:c>
      <x:c r="F540" s="29" t="n">
        <x:f>MONTH(B540)</x:f>
        <x:v>12</x:v>
      </x:c>
      <x:c r="G540" s="30" t="n">
        <x:v>-32.77</x:v>
      </x:c>
      <x:c r="H540" s="30" t="n">
        <x:v>-70.2</x:v>
      </x:c>
      <x:c r="I540" s="29" t="n">
        <x:v>112</x:v>
      </x:c>
      <x:c r="J540" s="31" t="n">
        <x:v>4.2</x:v>
      </x:c>
      <x:c r="K540" s="25" t="str">
        <x:f>IF(J540&gt;=7,"Muy fuerte (&gt;=7)",IF(J540&gt;=6,"Fuerte (6-6.9)",IF(J540&gt;=5,"Moderado alto (5-5.9)",IF(J540&gt;=4,"Moderado (4-4.9)","Menor a 4"))))</x:f>
        <x:v>Moderado (4-4.9)</x:v>
      </x:c>
      <x:c r="L540" s="25" t="str">
        <x:f>IF(I540&lt;70,"Superficial (&lt;70 km)",IF(I540&lt;=300,"Intermedio (70-300 km)","Profundo (&gt;300 km)"))</x:f>
        <x:v>Intermedio (70-300 km)</x:v>
      </x:c>
      <x:c r="M540" s="25" t="str">
        <x:f>IF(J540&gt;=5,"Sí","No")</x:f>
        <x:v>No</x:v>
      </x:c>
      <x:c r="N540" s="25" t="str">
        <x:f>IF(J540&gt;=6,"Sí","No")</x:f>
        <x:v>No</x:v>
      </x:c>
      <x:c r="O540" s="25" t="str">
        <x:v>Pendiente: asignar con R/sf</x:v>
      </x:c>
    </x:row>
    <x:row r="541">
      <x:c r="A541" s="25" t="n">
        <x:v>540</x:v>
      </x:c>
      <x:c r="B541" s="26" t="n">
        <x:v>43584.933541666665</x:v>
      </x:c>
      <x:c r="C541" s="27" t="n">
        <x:f>INT(B541)</x:f>
        <x:v>43584</x:v>
      </x:c>
      <x:c r="D541" s="28" t="n">
        <x:f>MOD(B541,1)</x:f>
        <x:v>0.9335416666654055</x:v>
      </x:c>
      <x:c r="E541" s="29" t="n">
        <x:f>YEAR(B541)</x:f>
        <x:v>2019</x:v>
      </x:c>
      <x:c r="F541" s="29" t="n">
        <x:f>MONTH(B541)</x:f>
        <x:v>4</x:v>
      </x:c>
      <x:c r="G541" s="30" t="n">
        <x:v>-32.65</x:v>
      </x:c>
      <x:c r="H541" s="30" t="n">
        <x:v>-71.68</x:v>
      </x:c>
      <x:c r="I541" s="29" t="n">
        <x:v>29</x:v>
      </x:c>
      <x:c r="J541" s="31" t="n">
        <x:v>4.2</x:v>
      </x:c>
      <x:c r="K541" s="25" t="str">
        <x:f>IF(J541&gt;=7,"Muy fuerte (&gt;=7)",IF(J541&gt;=6,"Fuerte (6-6.9)",IF(J541&gt;=5,"Moderado alto (5-5.9)",IF(J541&gt;=4,"Moderado (4-4.9)","Menor a 4"))))</x:f>
        <x:v>Moderado (4-4.9)</x:v>
      </x:c>
      <x:c r="L541" s="25" t="str">
        <x:f>IF(I541&lt;70,"Superficial (&lt;70 km)",IF(I541&lt;=300,"Intermedio (70-300 km)","Profundo (&gt;300 km)"))</x:f>
        <x:v>Superficial (&lt;70 km)</x:v>
      </x:c>
      <x:c r="M541" s="25" t="str">
        <x:f>IF(J541&gt;=5,"Sí","No")</x:f>
        <x:v>No</x:v>
      </x:c>
      <x:c r="N541" s="25" t="str">
        <x:f>IF(J541&gt;=6,"Sí","No")</x:f>
        <x:v>No</x:v>
      </x:c>
      <x:c r="O541" s="25" t="str">
        <x:v>Pendiente: asignar con R/sf</x:v>
      </x:c>
    </x:row>
    <x:row r="542">
      <x:c r="A542" s="25" t="n">
        <x:v>541</x:v>
      </x:c>
      <x:c r="B542" s="26" t="n">
        <x:v>43482.58261574074</x:v>
      </x:c>
      <x:c r="C542" s="27" t="n">
        <x:f>INT(B542)</x:f>
        <x:v>43482</x:v>
      </x:c>
      <x:c r="D542" s="28" t="n">
        <x:f>MOD(B542,1)</x:f>
        <x:v>0.5826157407427672</x:v>
      </x:c>
      <x:c r="E542" s="29" t="n">
        <x:f>YEAR(B542)</x:f>
        <x:v>2019</x:v>
      </x:c>
      <x:c r="F542" s="29" t="n">
        <x:f>MONTH(B542)</x:f>
        <x:v>1</x:v>
      </x:c>
      <x:c r="G542" s="30" t="n">
        <x:v>-22.19</x:v>
      </x:c>
      <x:c r="H542" s="30" t="n">
        <x:v>-68.86</x:v>
      </x:c>
      <x:c r="I542" s="29" t="n">
        <x:v>95</x:v>
      </x:c>
      <x:c r="J542" s="31" t="n">
        <x:v>4.2</x:v>
      </x:c>
      <x:c r="K542" s="25" t="str">
        <x:f>IF(J542&gt;=7,"Muy fuerte (&gt;=7)",IF(J542&gt;=6,"Fuerte (6-6.9)",IF(J542&gt;=5,"Moderado alto (5-5.9)",IF(J542&gt;=4,"Moderado (4-4.9)","Menor a 4"))))</x:f>
        <x:v>Moderado (4-4.9)</x:v>
      </x:c>
      <x:c r="L542" s="25" t="str">
        <x:f>IF(I542&lt;70,"Superficial (&lt;70 km)",IF(I542&lt;=300,"Intermedio (70-300 km)","Profundo (&gt;300 km)"))</x:f>
        <x:v>Intermedio (70-300 km)</x:v>
      </x:c>
      <x:c r="M542" s="25" t="str">
        <x:f>IF(J542&gt;=5,"Sí","No")</x:f>
        <x:v>No</x:v>
      </x:c>
      <x:c r="N542" s="25" t="str">
        <x:f>IF(J542&gt;=6,"Sí","No")</x:f>
        <x:v>No</x:v>
      </x:c>
      <x:c r="O542" s="25" t="str">
        <x:v>Pendiente: asignar con R/sf</x:v>
      </x:c>
    </x:row>
    <x:row r="543">
      <x:c r="A543" s="25" t="n">
        <x:v>542</x:v>
      </x:c>
      <x:c r="B543" s="26" t="n">
        <x:v>43334.96915509259</x:v>
      </x:c>
      <x:c r="C543" s="27" t="n">
        <x:f>INT(B543)</x:f>
        <x:v>43334</x:v>
      </x:c>
      <x:c r="D543" s="28" t="n">
        <x:f>MOD(B543,1)</x:f>
        <x:v>0.9691550925927004</x:v>
      </x:c>
      <x:c r="E543" s="29" t="n">
        <x:f>YEAR(B543)</x:f>
        <x:v>2018</x:v>
      </x:c>
      <x:c r="F543" s="29" t="n">
        <x:f>MONTH(B543)</x:f>
        <x:v>8</x:v>
      </x:c>
      <x:c r="G543" s="30" t="n">
        <x:v>-23.41</x:v>
      </x:c>
      <x:c r="H543" s="30" t="n">
        <x:v>-69.55</x:v>
      </x:c>
      <x:c r="I543" s="29" t="n">
        <x:v>70</x:v>
      </x:c>
      <x:c r="J543" s="31" t="n">
        <x:v>4.2</x:v>
      </x:c>
      <x:c r="K543" s="25" t="str">
        <x:f>IF(J543&gt;=7,"Muy fuerte (&gt;=7)",IF(J543&gt;=6,"Fuerte (6-6.9)",IF(J543&gt;=5,"Moderado alto (5-5.9)",IF(J543&gt;=4,"Moderado (4-4.9)","Menor a 4"))))</x:f>
        <x:v>Moderado (4-4.9)</x:v>
      </x:c>
      <x:c r="L543" s="25" t="str">
        <x:f>IF(I543&lt;70,"Superficial (&lt;70 km)",IF(I543&lt;=300,"Intermedio (70-300 km)","Profundo (&gt;300 km)"))</x:f>
        <x:v>Intermedio (70-300 km)</x:v>
      </x:c>
      <x:c r="M543" s="25" t="str">
        <x:f>IF(J543&gt;=5,"Sí","No")</x:f>
        <x:v>No</x:v>
      </x:c>
      <x:c r="N543" s="25" t="str">
        <x:f>IF(J543&gt;=6,"Sí","No")</x:f>
        <x:v>No</x:v>
      </x:c>
      <x:c r="O543" s="25" t="str">
        <x:v>Pendiente: asignar con R/sf</x:v>
      </x:c>
    </x:row>
    <x:row r="544">
      <x:c r="A544" s="25" t="n">
        <x:v>543</x:v>
      </x:c>
      <x:c r="B544" s="26" t="n">
        <x:v>43390.49091435185</x:v>
      </x:c>
      <x:c r="C544" s="27" t="n">
        <x:f>INT(B544)</x:f>
        <x:v>43390</x:v>
      </x:c>
      <x:c r="D544" s="28" t="n">
        <x:f>MOD(B544,1)</x:f>
        <x:v>0.4909143518525525</x:v>
      </x:c>
      <x:c r="E544" s="29" t="n">
        <x:f>YEAR(B544)</x:f>
        <x:v>2018</x:v>
      </x:c>
      <x:c r="F544" s="29" t="n">
        <x:f>MONTH(B544)</x:f>
        <x:v>10</x:v>
      </x:c>
      <x:c r="G544" s="30" t="n">
        <x:v>-23.39</x:v>
      </x:c>
      <x:c r="H544" s="30" t="n">
        <x:v>-69.81</x:v>
      </x:c>
      <x:c r="I544" s="29" t="n">
        <x:v>48</x:v>
      </x:c>
      <x:c r="J544" s="31" t="n">
        <x:v>4.4</x:v>
      </x:c>
      <x:c r="K544" s="25" t="str">
        <x:f>IF(J544&gt;=7,"Muy fuerte (&gt;=7)",IF(J544&gt;=6,"Fuerte (6-6.9)",IF(J544&gt;=5,"Moderado alto (5-5.9)",IF(J544&gt;=4,"Moderado (4-4.9)","Menor a 4"))))</x:f>
        <x:v>Moderado (4-4.9)</x:v>
      </x:c>
      <x:c r="L544" s="25" t="str">
        <x:f>IF(I544&lt;70,"Superficial (&lt;70 km)",IF(I544&lt;=300,"Intermedio (70-300 km)","Profundo (&gt;300 km)"))</x:f>
        <x:v>Superficial (&lt;70 km)</x:v>
      </x:c>
      <x:c r="M544" s="25" t="str">
        <x:f>IF(J544&gt;=5,"Sí","No")</x:f>
        <x:v>No</x:v>
      </x:c>
      <x:c r="N544" s="25" t="str">
        <x:f>IF(J544&gt;=6,"Sí","No")</x:f>
        <x:v>No</x:v>
      </x:c>
      <x:c r="O544" s="25" t="str">
        <x:v>Pendiente: asignar con R/sf</x:v>
      </x:c>
    </x:row>
    <x:row r="545">
      <x:c r="A545" s="25" t="n">
        <x:v>544</x:v>
      </x:c>
      <x:c r="B545" s="26" t="n">
        <x:v>42175.09032407407</x:v>
      </x:c>
      <x:c r="C545" s="27" t="n">
        <x:f>INT(B545)</x:f>
        <x:v>42175</x:v>
      </x:c>
      <x:c r="D545" s="28" t="n">
        <x:f>MOD(B545,1)</x:f>
        <x:v>0.09032407407357823</x:v>
      </x:c>
      <x:c r="E545" s="29" t="n">
        <x:f>YEAR(B545)</x:f>
        <x:v>2015</x:v>
      </x:c>
      <x:c r="F545" s="29" t="n">
        <x:f>MONTH(B545)</x:f>
        <x:v>6</x:v>
      </x:c>
      <x:c r="G545" s="30" t="n">
        <x:v>-36.24</x:v>
      </x:c>
      <x:c r="H545" s="30" t="n">
        <x:v>-73.97</x:v>
      </x:c>
      <x:c r="I545" s="29" t="n">
        <x:v>23</x:v>
      </x:c>
      <x:c r="J545" s="31" t="n">
        <x:v>6</x:v>
      </x:c>
      <x:c r="K545" s="25" t="str">
        <x:f>IF(J545&gt;=7,"Muy fuerte (&gt;=7)",IF(J545&gt;=6,"Fuerte (6-6.9)",IF(J545&gt;=5,"Moderado alto (5-5.9)",IF(J545&gt;=4,"Moderado (4-4.9)","Menor a 4"))))</x:f>
        <x:v>Fuerte (6-6.9)</x:v>
      </x:c>
      <x:c r="L545" s="25" t="str">
        <x:f>IF(I545&lt;70,"Superficial (&lt;70 km)",IF(I545&lt;=300,"Intermedio (70-300 km)","Profundo (&gt;300 km)"))</x:f>
        <x:v>Superficial (&lt;70 km)</x:v>
      </x:c>
      <x:c r="M545" s="25" t="str">
        <x:f>IF(J545&gt;=5,"Sí","No")</x:f>
        <x:v>Sí</x:v>
      </x:c>
      <x:c r="N545" s="25" t="str">
        <x:f>IF(J545&gt;=6,"Sí","No")</x:f>
        <x:v>Sí</x:v>
      </x:c>
      <x:c r="O545" s="25" t="str">
        <x:v>Pendiente: asignar con R/sf</x:v>
      </x:c>
    </x:row>
    <x:row r="546">
      <x:c r="A546" s="25" t="n">
        <x:v>545</x:v>
      </x:c>
      <x:c r="B546" s="26" t="n">
        <x:v>42997.76021990741</x:v>
      </x:c>
      <x:c r="C546" s="27" t="n">
        <x:f>INT(B546)</x:f>
        <x:v>42997</x:v>
      </x:c>
      <x:c r="D546" s="28" t="n">
        <x:f>MOD(B546,1)</x:f>
        <x:v>0.760219907409919</x:v>
      </x:c>
      <x:c r="E546" s="29" t="n">
        <x:f>YEAR(B546)</x:f>
        <x:v>2017</x:v>
      </x:c>
      <x:c r="F546" s="29" t="n">
        <x:f>MONTH(B546)</x:f>
        <x:v>9</x:v>
      </x:c>
      <x:c r="G546" s="30" t="n">
        <x:v>-37.22</x:v>
      </x:c>
      <x:c r="H546" s="30" t="n">
        <x:v>-74.26</x:v>
      </x:c>
      <x:c r="I546" s="29" t="n">
        <x:v>26</x:v>
      </x:c>
      <x:c r="J546" s="31" t="n">
        <x:v>4.9</x:v>
      </x:c>
      <x:c r="K546" s="25" t="str">
        <x:f>IF(J546&gt;=7,"Muy fuerte (&gt;=7)",IF(J546&gt;=6,"Fuerte (6-6.9)",IF(J546&gt;=5,"Moderado alto (5-5.9)",IF(J546&gt;=4,"Moderado (4-4.9)","Menor a 4"))))</x:f>
        <x:v>Moderado (4-4.9)</x:v>
      </x:c>
      <x:c r="L546" s="25" t="str">
        <x:f>IF(I546&lt;70,"Superficial (&lt;70 km)",IF(I546&lt;=300,"Intermedio (70-300 km)","Profundo (&gt;300 km)"))</x:f>
        <x:v>Superficial (&lt;70 km)</x:v>
      </x:c>
      <x:c r="M546" s="25" t="str">
        <x:f>IF(J546&gt;=5,"Sí","No")</x:f>
        <x:v>No</x:v>
      </x:c>
      <x:c r="N546" s="25" t="str">
        <x:f>IF(J546&gt;=6,"Sí","No")</x:f>
        <x:v>No</x:v>
      </x:c>
      <x:c r="O546" s="25" t="str">
        <x:v>Pendiente: asignar con R/sf</x:v>
      </x:c>
    </x:row>
    <x:row r="547">
      <x:c r="A547" s="25" t="n">
        <x:v>546</x:v>
      </x:c>
      <x:c r="B547" s="26" t="n">
        <x:v>43047.815462962964</x:v>
      </x:c>
      <x:c r="C547" s="27" t="n">
        <x:f>INT(B547)</x:f>
        <x:v>43047</x:v>
      </x:c>
      <x:c r="D547" s="28" t="n">
        <x:f>MOD(B547,1)</x:f>
        <x:v>0.815462962964375</x:v>
      </x:c>
      <x:c r="E547" s="29" t="n">
        <x:f>YEAR(B547)</x:f>
        <x:v>2017</x:v>
      </x:c>
      <x:c r="F547" s="29" t="n">
        <x:f>MONTH(B547)</x:f>
        <x:v>11</x:v>
      </x:c>
      <x:c r="G547" s="30" t="n">
        <x:v>-33.2</x:v>
      </x:c>
      <x:c r="H547" s="30" t="n">
        <x:v>-70.45</x:v>
      </x:c>
      <x:c r="I547" s="29" t="n">
        <x:v>99</x:v>
      </x:c>
      <x:c r="J547" s="31" t="n">
        <x:v>4</x:v>
      </x:c>
      <x:c r="K547" s="25" t="str">
        <x:f>IF(J547&gt;=7,"Muy fuerte (&gt;=7)",IF(J547&gt;=6,"Fuerte (6-6.9)",IF(J547&gt;=5,"Moderado alto (5-5.9)",IF(J547&gt;=4,"Moderado (4-4.9)","Menor a 4"))))</x:f>
        <x:v>Moderado (4-4.9)</x:v>
      </x:c>
      <x:c r="L547" s="25" t="str">
        <x:f>IF(I547&lt;70,"Superficial (&lt;70 km)",IF(I547&lt;=300,"Intermedio (70-300 km)","Profundo (&gt;300 km)"))</x:f>
        <x:v>Intermedio (70-300 km)</x:v>
      </x:c>
      <x:c r="M547" s="25" t="str">
        <x:f>IF(J547&gt;=5,"Sí","No")</x:f>
        <x:v>No</x:v>
      </x:c>
      <x:c r="N547" s="25" t="str">
        <x:f>IF(J547&gt;=6,"Sí","No")</x:f>
        <x:v>No</x:v>
      </x:c>
      <x:c r="O547" s="25" t="str">
        <x:v>Pendiente: asignar con R/sf</x:v>
      </x:c>
    </x:row>
    <x:row r="548">
      <x:c r="A548" s="25" t="n">
        <x:v>547</x:v>
      </x:c>
      <x:c r="B548" s="26" t="n">
        <x:v>42786.26221064815</x:v>
      </x:c>
      <x:c r="C548" s="27" t="n">
        <x:f>INT(B548)</x:f>
        <x:v>42786</x:v>
      </x:c>
      <x:c r="D548" s="28" t="n">
        <x:f>MOD(B548,1)</x:f>
        <x:v>0.2622106481503579</x:v>
      </x:c>
      <x:c r="E548" s="29" t="n">
        <x:f>YEAR(B548)</x:f>
        <x:v>2017</x:v>
      </x:c>
      <x:c r="F548" s="29" t="n">
        <x:f>MONTH(B548)</x:f>
        <x:v>2</x:v>
      </x:c>
      <x:c r="G548" s="30" t="n">
        <x:v>-37.59</x:v>
      </x:c>
      <x:c r="H548" s="30" t="n">
        <x:v>-73.63</x:v>
      </x:c>
      <x:c r="I548" s="29" t="n">
        <x:v>43</x:v>
      </x:c>
      <x:c r="J548" s="31" t="n">
        <x:v>4</x:v>
      </x:c>
      <x:c r="K548" s="25" t="str">
        <x:f>IF(J548&gt;=7,"Muy fuerte (&gt;=7)",IF(J548&gt;=6,"Fuerte (6-6.9)",IF(J548&gt;=5,"Moderado alto (5-5.9)",IF(J548&gt;=4,"Moderado (4-4.9)","Menor a 4"))))</x:f>
        <x:v>Moderado (4-4.9)</x:v>
      </x:c>
      <x:c r="L548" s="25" t="str">
        <x:f>IF(I548&lt;70,"Superficial (&lt;70 km)",IF(I548&lt;=300,"Intermedio (70-300 km)","Profundo (&gt;300 km)"))</x:f>
        <x:v>Superficial (&lt;70 km)</x:v>
      </x:c>
      <x:c r="M548" s="25" t="str">
        <x:f>IF(J548&gt;=5,"Sí","No")</x:f>
        <x:v>No</x:v>
      </x:c>
      <x:c r="N548" s="25" t="str">
        <x:f>IF(J548&gt;=6,"Sí","No")</x:f>
        <x:v>No</x:v>
      </x:c>
      <x:c r="O548" s="25" t="str">
        <x:v>Pendiente: asignar con R/sf</x:v>
      </x:c>
    </x:row>
    <x:row r="549">
      <x:c r="A549" s="25" t="n">
        <x:v>548</x:v>
      </x:c>
      <x:c r="B549" s="26" t="n">
        <x:v>43075.7655787037</x:v>
      </x:c>
      <x:c r="C549" s="27" t="n">
        <x:f>INT(B549)</x:f>
        <x:v>43075</x:v>
      </x:c>
      <x:c r="D549" s="28" t="n">
        <x:f>MOD(B549,1)</x:f>
        <x:v>0.7655787037001573</x:v>
      </x:c>
      <x:c r="E549" s="29" t="n">
        <x:f>YEAR(B549)</x:f>
        <x:v>2017</x:v>
      </x:c>
      <x:c r="F549" s="29" t="n">
        <x:f>MONTH(B549)</x:f>
        <x:v>12</x:v>
      </x:c>
      <x:c r="G549" s="30" t="n">
        <x:v>-37.43</x:v>
      </x:c>
      <x:c r="H549" s="30" t="n">
        <x:v>-74.35</x:v>
      </x:c>
      <x:c r="I549" s="29" t="n">
        <x:v>22</x:v>
      </x:c>
      <x:c r="J549" s="31" t="n">
        <x:v>4.3</x:v>
      </x:c>
      <x:c r="K549" s="25" t="str">
        <x:f>IF(J549&gt;=7,"Muy fuerte (&gt;=7)",IF(J549&gt;=6,"Fuerte (6-6.9)",IF(J549&gt;=5,"Moderado alto (5-5.9)",IF(J549&gt;=4,"Moderado (4-4.9)","Menor a 4"))))</x:f>
        <x:v>Moderado (4-4.9)</x:v>
      </x:c>
      <x:c r="L549" s="25" t="str">
        <x:f>IF(I549&lt;70,"Superficial (&lt;70 km)",IF(I549&lt;=300,"Intermedio (70-300 km)","Profundo (&gt;300 km)"))</x:f>
        <x:v>Superficial (&lt;70 km)</x:v>
      </x:c>
      <x:c r="M549" s="25" t="str">
        <x:f>IF(J549&gt;=5,"Sí","No")</x:f>
        <x:v>No</x:v>
      </x:c>
      <x:c r="N549" s="25" t="str">
        <x:f>IF(J549&gt;=6,"Sí","No")</x:f>
        <x:v>No</x:v>
      </x:c>
      <x:c r="O549" s="25" t="str">
        <x:v>Pendiente: asignar con R/sf</x:v>
      </x:c>
    </x:row>
    <x:row r="550">
      <x:c r="A550" s="25" t="n">
        <x:v>549</x:v>
      </x:c>
      <x:c r="B550" s="26" t="n">
        <x:v>42785.65925925926</x:v>
      </x:c>
      <x:c r="C550" s="27" t="n">
        <x:f>INT(B550)</x:f>
        <x:v>42785</x:v>
      </x:c>
      <x:c r="D550" s="28" t="n">
        <x:f>MOD(B550,1)</x:f>
        <x:v>0.6592592592569417</x:v>
      </x:c>
      <x:c r="E550" s="29" t="n">
        <x:f>YEAR(B550)</x:f>
        <x:v>2017</x:v>
      </x:c>
      <x:c r="F550" s="29" t="n">
        <x:f>MONTH(B550)</x:f>
        <x:v>2</x:v>
      </x:c>
      <x:c r="G550" s="30" t="n">
        <x:v>-37.47</x:v>
      </x:c>
      <x:c r="H550" s="30" t="n">
        <x:v>-74.05</x:v>
      </x:c>
      <x:c r="I550" s="29" t="n">
        <x:v>38</x:v>
      </x:c>
      <x:c r="J550" s="31" t="n">
        <x:v>4.3</x:v>
      </x:c>
      <x:c r="K550" s="25" t="str">
        <x:f>IF(J550&gt;=7,"Muy fuerte (&gt;=7)",IF(J550&gt;=6,"Fuerte (6-6.9)",IF(J550&gt;=5,"Moderado alto (5-5.9)",IF(J550&gt;=4,"Moderado (4-4.9)","Menor a 4"))))</x:f>
        <x:v>Moderado (4-4.9)</x:v>
      </x:c>
      <x:c r="L550" s="25" t="str">
        <x:f>IF(I550&lt;70,"Superficial (&lt;70 km)",IF(I550&lt;=300,"Intermedio (70-300 km)","Profundo (&gt;300 km)"))</x:f>
        <x:v>Superficial (&lt;70 km)</x:v>
      </x:c>
      <x:c r="M550" s="25" t="str">
        <x:f>IF(J550&gt;=5,"Sí","No")</x:f>
        <x:v>No</x:v>
      </x:c>
      <x:c r="N550" s="25" t="str">
        <x:f>IF(J550&gt;=6,"Sí","No")</x:f>
        <x:v>No</x:v>
      </x:c>
      <x:c r="O550" s="25" t="str">
        <x:v>Pendiente: asignar con R/sf</x:v>
      </x:c>
    </x:row>
    <x:row r="551">
      <x:c r="A551" s="25" t="n">
        <x:v>550</x:v>
      </x:c>
      <x:c r="B551" s="26" t="n">
        <x:v>42824.37939814815</x:v>
      </x:c>
      <x:c r="C551" s="27" t="n">
        <x:f>INT(B551)</x:f>
        <x:v>42824</x:v>
      </x:c>
      <x:c r="D551" s="28" t="n">
        <x:f>MOD(B551,1)</x:f>
        <x:v>0.3793981481503579</x:v>
      </x:c>
      <x:c r="E551" s="29" t="n">
        <x:f>YEAR(B551)</x:f>
        <x:v>2017</x:v>
      </x:c>
      <x:c r="F551" s="29" t="n">
        <x:f>MONTH(B551)</x:f>
        <x:v>3</x:v>
      </x:c>
      <x:c r="G551" s="30" t="n">
        <x:v>-37.07</x:v>
      </x:c>
      <x:c r="H551" s="30" t="n">
        <x:v>-74.21</x:v>
      </x:c>
      <x:c r="I551" s="29" t="n">
        <x:v>19</x:v>
      </x:c>
      <x:c r="J551" s="31" t="n">
        <x:v>4.7</x:v>
      </x:c>
      <x:c r="K551" s="25" t="str">
        <x:f>IF(J551&gt;=7,"Muy fuerte (&gt;=7)",IF(J551&gt;=6,"Fuerte (6-6.9)",IF(J551&gt;=5,"Moderado alto (5-5.9)",IF(J551&gt;=4,"Moderado (4-4.9)","Menor a 4"))))</x:f>
        <x:v>Moderado (4-4.9)</x:v>
      </x:c>
      <x:c r="L551" s="25" t="str">
        <x:f>IF(I551&lt;70,"Superficial (&lt;70 km)",IF(I551&lt;=300,"Intermedio (70-300 km)","Profundo (&gt;300 km)"))</x:f>
        <x:v>Superficial (&lt;70 km)</x:v>
      </x:c>
      <x:c r="M551" s="25" t="str">
        <x:f>IF(J551&gt;=5,"Sí","No")</x:f>
        <x:v>No</x:v>
      </x:c>
      <x:c r="N551" s="25" t="str">
        <x:f>IF(J551&gt;=6,"Sí","No")</x:f>
        <x:v>No</x:v>
      </x:c>
      <x:c r="O551" s="25" t="str">
        <x:v>Pendiente: asignar con R/sf</x:v>
      </x:c>
    </x:row>
    <x:row r="552">
      <x:c r="A552" s="25" t="n">
        <x:v>551</x:v>
      </x:c>
      <x:c r="B552" s="26" t="n">
        <x:v>43548.200208333335</x:v>
      </x:c>
      <x:c r="C552" s="27" t="n">
        <x:f>INT(B552)</x:f>
        <x:v>43548</x:v>
      </x:c>
      <x:c r="D552" s="28" t="n">
        <x:f>MOD(B552,1)</x:f>
        <x:v>0.20020833333546761</x:v>
      </x:c>
      <x:c r="E552" s="29" t="n">
        <x:f>YEAR(B552)</x:f>
        <x:v>2019</x:v>
      </x:c>
      <x:c r="F552" s="29" t="n">
        <x:f>MONTH(B552)</x:f>
        <x:v>3</x:v>
      </x:c>
      <x:c r="G552" s="30" t="n">
        <x:v>-22.79</x:v>
      </x:c>
      <x:c r="H552" s="30" t="n">
        <x:v>-68.86</x:v>
      </x:c>
      <x:c r="I552" s="29" t="n">
        <x:v>105</x:v>
      </x:c>
      <x:c r="J552" s="31" t="n">
        <x:v>4.4</x:v>
      </x:c>
      <x:c r="K552" s="25" t="str">
        <x:f>IF(J552&gt;=7,"Muy fuerte (&gt;=7)",IF(J552&gt;=6,"Fuerte (6-6.9)",IF(J552&gt;=5,"Moderado alto (5-5.9)",IF(J552&gt;=4,"Moderado (4-4.9)","Menor a 4"))))</x:f>
        <x:v>Moderado (4-4.9)</x:v>
      </x:c>
      <x:c r="L552" s="25" t="str">
        <x:f>IF(I552&lt;70,"Superficial (&lt;70 km)",IF(I552&lt;=300,"Intermedio (70-300 km)","Profundo (&gt;300 km)"))</x:f>
        <x:v>Intermedio (70-300 km)</x:v>
      </x:c>
      <x:c r="M552" s="25" t="str">
        <x:f>IF(J552&gt;=5,"Sí","No")</x:f>
        <x:v>No</x:v>
      </x:c>
      <x:c r="N552" s="25" t="str">
        <x:f>IF(J552&gt;=6,"Sí","No")</x:f>
        <x:v>No</x:v>
      </x:c>
      <x:c r="O552" s="25" t="str">
        <x:v>Pendiente: asignar con R/sf</x:v>
      </x:c>
    </x:row>
    <x:row r="553">
      <x:c r="A553" s="25" t="n">
        <x:v>552</x:v>
      </x:c>
      <x:c r="B553" s="26" t="n">
        <x:v>43391.987592592595</x:v>
      </x:c>
      <x:c r="C553" s="27" t="n">
        <x:f>INT(B553)</x:f>
        <x:v>43391</x:v>
      </x:c>
      <x:c r="D553" s="28" t="n">
        <x:f>MOD(B553,1)</x:f>
        <x:v>0.9875925925953197</x:v>
      </x:c>
      <x:c r="E553" s="29" t="n">
        <x:f>YEAR(B553)</x:f>
        <x:v>2018</x:v>
      </x:c>
      <x:c r="F553" s="29" t="n">
        <x:f>MONTH(B553)</x:f>
        <x:v>10</x:v>
      </x:c>
      <x:c r="G553" s="30" t="n">
        <x:v>-22.62</x:v>
      </x:c>
      <x:c r="H553" s="30" t="n">
        <x:v>-68.62</x:v>
      </x:c>
      <x:c r="I553" s="29" t="n">
        <x:v>116</x:v>
      </x:c>
      <x:c r="J553" s="31" t="n">
        <x:v>4.8</x:v>
      </x:c>
      <x:c r="K553" s="25" t="str">
        <x:f>IF(J553&gt;=7,"Muy fuerte (&gt;=7)",IF(J553&gt;=6,"Fuerte (6-6.9)",IF(J553&gt;=5,"Moderado alto (5-5.9)",IF(J553&gt;=4,"Moderado (4-4.9)","Menor a 4"))))</x:f>
        <x:v>Moderado (4-4.9)</x:v>
      </x:c>
      <x:c r="L553" s="25" t="str">
        <x:f>IF(I553&lt;70,"Superficial (&lt;70 km)",IF(I553&lt;=300,"Intermedio (70-300 km)","Profundo (&gt;300 km)"))</x:f>
        <x:v>Intermedio (70-300 km)</x:v>
      </x:c>
      <x:c r="M553" s="25" t="str">
        <x:f>IF(J553&gt;=5,"Sí","No")</x:f>
        <x:v>No</x:v>
      </x:c>
      <x:c r="N553" s="25" t="str">
        <x:f>IF(J553&gt;=6,"Sí","No")</x:f>
        <x:v>No</x:v>
      </x:c>
      <x:c r="O553" s="25" t="str">
        <x:v>Pendiente: asignar con R/sf</x:v>
      </x:c>
    </x:row>
    <x:row r="554">
      <x:c r="A554" s="25" t="n">
        <x:v>553</x:v>
      </x:c>
      <x:c r="B554" s="26" t="n">
        <x:v>42518.14582175926</x:v>
      </x:c>
      <x:c r="C554" s="27" t="n">
        <x:f>INT(B554)</x:f>
        <x:v>42518</x:v>
      </x:c>
      <x:c r="D554" s="28" t="n">
        <x:f>MOD(B554,1)</x:f>
        <x:v>0.145821759258979</x:v>
      </x:c>
      <x:c r="E554" s="29" t="n">
        <x:f>YEAR(B554)</x:f>
        <x:v>2016</x:v>
      </x:c>
      <x:c r="F554" s="29" t="n">
        <x:f>MONTH(B554)</x:f>
        <x:v>5</x:v>
      </x:c>
      <x:c r="G554" s="30" t="n">
        <x:v>-37.52</x:v>
      </x:c>
      <x:c r="H554" s="30" t="n">
        <x:v>-74.03</x:v>
      </x:c>
      <x:c r="I554" s="29" t="n">
        <x:v>36</x:v>
      </x:c>
      <x:c r="J554" s="31" t="n">
        <x:v>4.2</x:v>
      </x:c>
      <x:c r="K554" s="25" t="str">
        <x:f>IF(J554&gt;=7,"Muy fuerte (&gt;=7)",IF(J554&gt;=6,"Fuerte (6-6.9)",IF(J554&gt;=5,"Moderado alto (5-5.9)",IF(J554&gt;=4,"Moderado (4-4.9)","Menor a 4"))))</x:f>
        <x:v>Moderado (4-4.9)</x:v>
      </x:c>
      <x:c r="L554" s="25" t="str">
        <x:f>IF(I554&lt;70,"Superficial (&lt;70 km)",IF(I554&lt;=300,"Intermedio (70-300 km)","Profundo (&gt;300 km)"))</x:f>
        <x:v>Superficial (&lt;70 km)</x:v>
      </x:c>
      <x:c r="M554" s="25" t="str">
        <x:f>IF(J554&gt;=5,"Sí","No")</x:f>
        <x:v>No</x:v>
      </x:c>
      <x:c r="N554" s="25" t="str">
        <x:f>IF(J554&gt;=6,"Sí","No")</x:f>
        <x:v>No</x:v>
      </x:c>
      <x:c r="O554" s="25" t="str">
        <x:v>Pendiente: asignar con R/sf</x:v>
      </x:c>
    </x:row>
    <x:row r="555">
      <x:c r="A555" s="25" t="n">
        <x:v>554</x:v>
      </x:c>
      <x:c r="B555" s="26" t="n">
        <x:v>43486.852476851855</x:v>
      </x:c>
      <x:c r="C555" s="27" t="n">
        <x:f>INT(B555)</x:f>
        <x:v>43486</x:v>
      </x:c>
      <x:c r="D555" s="28" t="n">
        <x:f>MOD(B555,1)</x:f>
        <x:v>0.8524768518545898</x:v>
      </x:c>
      <x:c r="E555" s="29" t="n">
        <x:f>YEAR(B555)</x:f>
        <x:v>2019</x:v>
      </x:c>
      <x:c r="F555" s="29" t="n">
        <x:f>MONTH(B555)</x:f>
        <x:v>1</x:v>
      </x:c>
      <x:c r="G555" s="30" t="n">
        <x:v>-33.87</x:v>
      </x:c>
      <x:c r="H555" s="30" t="n">
        <x:v>-70.36</x:v>
      </x:c>
      <x:c r="I555" s="29" t="n">
        <x:v>116</x:v>
      </x:c>
      <x:c r="J555" s="31" t="n">
        <x:v>4.6</x:v>
      </x:c>
      <x:c r="K555" s="25" t="str">
        <x:f>IF(J555&gt;=7,"Muy fuerte (&gt;=7)",IF(J555&gt;=6,"Fuerte (6-6.9)",IF(J555&gt;=5,"Moderado alto (5-5.9)",IF(J555&gt;=4,"Moderado (4-4.9)","Menor a 4"))))</x:f>
        <x:v>Moderado (4-4.9)</x:v>
      </x:c>
      <x:c r="L555" s="25" t="str">
        <x:f>IF(I555&lt;70,"Superficial (&lt;70 km)",IF(I555&lt;=300,"Intermedio (70-300 km)","Profundo (&gt;300 km)"))</x:f>
        <x:v>Intermedio (70-300 km)</x:v>
      </x:c>
      <x:c r="M555" s="25" t="str">
        <x:f>IF(J555&gt;=5,"Sí","No")</x:f>
        <x:v>No</x:v>
      </x:c>
      <x:c r="N555" s="25" t="str">
        <x:f>IF(J555&gt;=6,"Sí","No")</x:f>
        <x:v>No</x:v>
      </x:c>
      <x:c r="O555" s="25" t="str">
        <x:v>Pendiente: asignar con R/sf</x:v>
      </x:c>
    </x:row>
    <x:row r="556">
      <x:c r="A556" s="25" t="n">
        <x:v>555</x:v>
      </x:c>
      <x:c r="B556" s="26" t="n">
        <x:v>42749.29112268519</x:v>
      </x:c>
      <x:c r="C556" s="27" t="n">
        <x:f>INT(B556)</x:f>
        <x:v>42749</x:v>
      </x:c>
      <x:c r="D556" s="28" t="n">
        <x:f>MOD(B556,1)</x:f>
        <x:v>0.2911226851865649</x:v>
      </x:c>
      <x:c r="E556" s="29" t="n">
        <x:f>YEAR(B556)</x:f>
        <x:v>2017</x:v>
      </x:c>
      <x:c r="F556" s="29" t="n">
        <x:f>MONTH(B556)</x:f>
        <x:v>1</x:v>
      </x:c>
      <x:c r="G556" s="30" t="n">
        <x:v>-37.56</x:v>
      </x:c>
      <x:c r="H556" s="30" t="n">
        <x:v>-73.61</x:v>
      </x:c>
      <x:c r="I556" s="29" t="n">
        <x:v>37</x:v>
      </x:c>
      <x:c r="J556" s="31" t="n">
        <x:v>4.3</x:v>
      </x:c>
      <x:c r="K556" s="25" t="str">
        <x:f>IF(J556&gt;=7,"Muy fuerte (&gt;=7)",IF(J556&gt;=6,"Fuerte (6-6.9)",IF(J556&gt;=5,"Moderado alto (5-5.9)",IF(J556&gt;=4,"Moderado (4-4.9)","Menor a 4"))))</x:f>
        <x:v>Moderado (4-4.9)</x:v>
      </x:c>
      <x:c r="L556" s="25" t="str">
        <x:f>IF(I556&lt;70,"Superficial (&lt;70 km)",IF(I556&lt;=300,"Intermedio (70-300 km)","Profundo (&gt;300 km)"))</x:f>
        <x:v>Superficial (&lt;70 km)</x:v>
      </x:c>
      <x:c r="M556" s="25" t="str">
        <x:f>IF(J556&gt;=5,"Sí","No")</x:f>
        <x:v>No</x:v>
      </x:c>
      <x:c r="N556" s="25" t="str">
        <x:f>IF(J556&gt;=6,"Sí","No")</x:f>
        <x:v>No</x:v>
      </x:c>
      <x:c r="O556" s="25" t="str">
        <x:v>Pendiente: asignar con R/sf</x:v>
      </x:c>
    </x:row>
    <x:row r="557">
      <x:c r="A557" s="25" t="n">
        <x:v>556</x:v>
      </x:c>
      <x:c r="B557" s="26" t="n">
        <x:v>43254.20755787037</x:v>
      </x:c>
      <x:c r="C557" s="27" t="n">
        <x:f>INT(B557)</x:f>
        <x:v>43254</x:v>
      </x:c>
      <x:c r="D557" s="28" t="n">
        <x:f>MOD(B557,1)</x:f>
        <x:v>0.20755787037342088</x:v>
      </x:c>
      <x:c r="E557" s="29" t="n">
        <x:f>YEAR(B557)</x:f>
        <x:v>2018</x:v>
      </x:c>
      <x:c r="F557" s="29" t="n">
        <x:f>MONTH(B557)</x:f>
        <x:v>6</x:v>
      </x:c>
      <x:c r="G557" s="30" t="n">
        <x:v>-34.2</x:v>
      </x:c>
      <x:c r="H557" s="30" t="n">
        <x:v>-72.23</x:v>
      </x:c>
      <x:c r="I557" s="29" t="n">
        <x:v>31</x:v>
      </x:c>
      <x:c r="J557" s="31" t="n">
        <x:v>4.3</x:v>
      </x:c>
      <x:c r="K557" s="25" t="str">
        <x:f>IF(J557&gt;=7,"Muy fuerte (&gt;=7)",IF(J557&gt;=6,"Fuerte (6-6.9)",IF(J557&gt;=5,"Moderado alto (5-5.9)",IF(J557&gt;=4,"Moderado (4-4.9)","Menor a 4"))))</x:f>
        <x:v>Moderado (4-4.9)</x:v>
      </x:c>
      <x:c r="L557" s="25" t="str">
        <x:f>IF(I557&lt;70,"Superficial (&lt;70 km)",IF(I557&lt;=300,"Intermedio (70-300 km)","Profundo (&gt;300 km)"))</x:f>
        <x:v>Superficial (&lt;70 km)</x:v>
      </x:c>
      <x:c r="M557" s="25" t="str">
        <x:f>IF(J557&gt;=5,"Sí","No")</x:f>
        <x:v>No</x:v>
      </x:c>
      <x:c r="N557" s="25" t="str">
        <x:f>IF(J557&gt;=6,"Sí","No")</x:f>
        <x:v>No</x:v>
      </x:c>
      <x:c r="O557" s="25" t="str">
        <x:v>Pendiente: asignar con R/sf</x:v>
      </x:c>
    </x:row>
    <x:row r="558">
      <x:c r="A558" s="25" t="n">
        <x:v>557</x:v>
      </x:c>
      <x:c r="B558" s="26" t="n">
        <x:v>43482.31914351852</x:v>
      </x:c>
      <x:c r="C558" s="27" t="n">
        <x:f>INT(B558)</x:f>
        <x:v>43482</x:v>
      </x:c>
      <x:c r="D558" s="28" t="n">
        <x:f>MOD(B558,1)</x:f>
        <x:v>0.3191435185217415</x:v>
      </x:c>
      <x:c r="E558" s="29" t="n">
        <x:f>YEAR(B558)</x:f>
        <x:v>2019</x:v>
      </x:c>
      <x:c r="F558" s="29" t="n">
        <x:f>MONTH(B558)</x:f>
        <x:v>1</x:v>
      </x:c>
      <x:c r="G558" s="30" t="n">
        <x:v>-33.32</x:v>
      </x:c>
      <x:c r="H558" s="30" t="n">
        <x:v>-70.23</x:v>
      </x:c>
      <x:c r="I558" s="29" t="n">
        <x:v>111</x:v>
      </x:c>
      <x:c r="J558" s="31" t="n">
        <x:v>4.1</x:v>
      </x:c>
      <x:c r="K558" s="25" t="str">
        <x:f>IF(J558&gt;=7,"Muy fuerte (&gt;=7)",IF(J558&gt;=6,"Fuerte (6-6.9)",IF(J558&gt;=5,"Moderado alto (5-5.9)",IF(J558&gt;=4,"Moderado (4-4.9)","Menor a 4"))))</x:f>
        <x:v>Moderado (4-4.9)</x:v>
      </x:c>
      <x:c r="L558" s="25" t="str">
        <x:f>IF(I558&lt;70,"Superficial (&lt;70 km)",IF(I558&lt;=300,"Intermedio (70-300 km)","Profundo (&gt;300 km)"))</x:f>
        <x:v>Intermedio (70-300 km)</x:v>
      </x:c>
      <x:c r="M558" s="25" t="str">
        <x:f>IF(J558&gt;=5,"Sí","No")</x:f>
        <x:v>No</x:v>
      </x:c>
      <x:c r="N558" s="25" t="str">
        <x:f>IF(J558&gt;=6,"Sí","No")</x:f>
        <x:v>No</x:v>
      </x:c>
      <x:c r="O558" s="25" t="str">
        <x:v>Pendiente: asignar con R/sf</x:v>
      </x:c>
    </x:row>
    <x:row r="559">
      <x:c r="A559" s="25" t="n">
        <x:v>558</x:v>
      </x:c>
      <x:c r="B559" s="26" t="n">
        <x:v>43465.72640046296</x:v>
      </x:c>
      <x:c r="C559" s="27" t="n">
        <x:f>INT(B559)</x:f>
        <x:v>43465</x:v>
      </x:c>
      <x:c r="D559" s="28" t="n">
        <x:f>MOD(B559,1)</x:f>
        <x:v>0.7264004629614647</x:v>
      </x:c>
      <x:c r="E559" s="29" t="n">
        <x:f>YEAR(B559)</x:f>
        <x:v>2018</x:v>
      </x:c>
      <x:c r="F559" s="29" t="n">
        <x:f>MONTH(B559)</x:f>
        <x:v>12</x:v>
      </x:c>
      <x:c r="G559" s="30" t="n">
        <x:v>-22.19</x:v>
      </x:c>
      <x:c r="H559" s="30" t="n">
        <x:v>-68.72</x:v>
      </x:c>
      <x:c r="I559" s="29" t="n">
        <x:v>114</x:v>
      </x:c>
      <x:c r="J559" s="31" t="n">
        <x:v>4.5</x:v>
      </x:c>
      <x:c r="K559" s="25" t="str">
        <x:f>IF(J559&gt;=7,"Muy fuerte (&gt;=7)",IF(J559&gt;=6,"Fuerte (6-6.9)",IF(J559&gt;=5,"Moderado alto (5-5.9)",IF(J559&gt;=4,"Moderado (4-4.9)","Menor a 4"))))</x:f>
        <x:v>Moderado (4-4.9)</x:v>
      </x:c>
      <x:c r="L559" s="25" t="str">
        <x:f>IF(I559&lt;70,"Superficial (&lt;70 km)",IF(I559&lt;=300,"Intermedio (70-300 km)","Profundo (&gt;300 km)"))</x:f>
        <x:v>Intermedio (70-300 km)</x:v>
      </x:c>
      <x:c r="M559" s="25" t="str">
        <x:f>IF(J559&gt;=5,"Sí","No")</x:f>
        <x:v>No</x:v>
      </x:c>
      <x:c r="N559" s="25" t="str">
        <x:f>IF(J559&gt;=6,"Sí","No")</x:f>
        <x:v>No</x:v>
      </x:c>
      <x:c r="O559" s="25" t="str">
        <x:v>Pendiente: asignar con R/sf</x:v>
      </x:c>
    </x:row>
    <x:row r="560">
      <x:c r="A560" s="25" t="n">
        <x:v>559</x:v>
      </x:c>
      <x:c r="B560" s="26" t="n">
        <x:v>42858.30025462963</x:v>
      </x:c>
      <x:c r="C560" s="27" t="n">
        <x:f>INT(B560)</x:f>
        <x:v>42858</x:v>
      </x:c>
      <x:c r="D560" s="28" t="n">
        <x:f>MOD(B560,1)</x:f>
        <x:v>0.3002546296265791</x:v>
      </x:c>
      <x:c r="E560" s="29" t="n">
        <x:f>YEAR(B560)</x:f>
        <x:v>2017</x:v>
      </x:c>
      <x:c r="F560" s="29" t="n">
        <x:f>MONTH(B560)</x:f>
        <x:v>5</x:v>
      </x:c>
      <x:c r="G560" s="30" t="n">
        <x:v>-37.74</x:v>
      </x:c>
      <x:c r="H560" s="30" t="n">
        <x:v>-73.9</x:v>
      </x:c>
      <x:c r="I560" s="29" t="n">
        <x:v>15</x:v>
      </x:c>
      <x:c r="J560" s="31" t="n">
        <x:v>4</x:v>
      </x:c>
      <x:c r="K560" s="25" t="str">
        <x:f>IF(J560&gt;=7,"Muy fuerte (&gt;=7)",IF(J560&gt;=6,"Fuerte (6-6.9)",IF(J560&gt;=5,"Moderado alto (5-5.9)",IF(J560&gt;=4,"Moderado (4-4.9)","Menor a 4"))))</x:f>
        <x:v>Moderado (4-4.9)</x:v>
      </x:c>
      <x:c r="L560" s="25" t="str">
        <x:f>IF(I560&lt;70,"Superficial (&lt;70 km)",IF(I560&lt;=300,"Intermedio (70-300 km)","Profundo (&gt;300 km)"))</x:f>
        <x:v>Superficial (&lt;70 km)</x:v>
      </x:c>
      <x:c r="M560" s="25" t="str">
        <x:f>IF(J560&gt;=5,"Sí","No")</x:f>
        <x:v>No</x:v>
      </x:c>
      <x:c r="N560" s="25" t="str">
        <x:f>IF(J560&gt;=6,"Sí","No")</x:f>
        <x:v>No</x:v>
      </x:c>
      <x:c r="O560" s="25" t="str">
        <x:v>Pendiente: asignar con R/sf</x:v>
      </x:c>
    </x:row>
    <x:row r="561">
      <x:c r="A561" s="25" t="n">
        <x:v>560</x:v>
      </x:c>
      <x:c r="B561" s="26" t="n">
        <x:v>42767.496203703704</x:v>
      </x:c>
      <x:c r="C561" s="27" t="n">
        <x:f>INT(B561)</x:f>
        <x:v>42767</x:v>
      </x:c>
      <x:c r="D561" s="28" t="n">
        <x:f>MOD(B561,1)</x:f>
        <x:v>0.49620370370394085</x:v>
      </x:c>
      <x:c r="E561" s="29" t="n">
        <x:f>YEAR(B561)</x:f>
        <x:v>2017</x:v>
      </x:c>
      <x:c r="F561" s="29" t="n">
        <x:f>MONTH(B561)</x:f>
        <x:v>2</x:v>
      </x:c>
      <x:c r="G561" s="30" t="n">
        <x:v>-37.34</x:v>
      </x:c>
      <x:c r="H561" s="30" t="n">
        <x:v>-73.66</x:v>
      </x:c>
      <x:c r="I561" s="29" t="n">
        <x:v>45</x:v>
      </x:c>
      <x:c r="J561" s="31" t="n">
        <x:v>4.4</x:v>
      </x:c>
      <x:c r="K561" s="25" t="str">
        <x:f>IF(J561&gt;=7,"Muy fuerte (&gt;=7)",IF(J561&gt;=6,"Fuerte (6-6.9)",IF(J561&gt;=5,"Moderado alto (5-5.9)",IF(J561&gt;=4,"Moderado (4-4.9)","Menor a 4"))))</x:f>
        <x:v>Moderado (4-4.9)</x:v>
      </x:c>
      <x:c r="L561" s="25" t="str">
        <x:f>IF(I561&lt;70,"Superficial (&lt;70 km)",IF(I561&lt;=300,"Intermedio (70-300 km)","Profundo (&gt;300 km)"))</x:f>
        <x:v>Superficial (&lt;70 km)</x:v>
      </x:c>
      <x:c r="M561" s="25" t="str">
        <x:f>IF(J561&gt;=5,"Sí","No")</x:f>
        <x:v>No</x:v>
      </x:c>
      <x:c r="N561" s="25" t="str">
        <x:f>IF(J561&gt;=6,"Sí","No")</x:f>
        <x:v>No</x:v>
      </x:c>
      <x:c r="O561" s="25" t="str">
        <x:v>Pendiente: asignar con R/sf</x:v>
      </x:c>
    </x:row>
    <x:row r="562">
      <x:c r="A562" s="25" t="n">
        <x:v>561</x:v>
      </x:c>
      <x:c r="B562" s="26" t="n">
        <x:v>43254.86699074074</x:v>
      </x:c>
      <x:c r="C562" s="27" t="n">
        <x:f>INT(B562)</x:f>
        <x:v>43254</x:v>
      </x:c>
      <x:c r="D562" s="28" t="n">
        <x:f>MOD(B562,1)</x:f>
        <x:v>0.8669907407384017</x:v>
      </x:c>
      <x:c r="E562" s="29" t="n">
        <x:f>YEAR(B562)</x:f>
        <x:v>2018</x:v>
      </x:c>
      <x:c r="F562" s="29" t="n">
        <x:f>MONTH(B562)</x:f>
        <x:v>6</x:v>
      </x:c>
      <x:c r="G562" s="30" t="n">
        <x:v>-23.51</x:v>
      </x:c>
      <x:c r="H562" s="30" t="n">
        <x:v>-69.25</x:v>
      </x:c>
      <x:c r="I562" s="29" t="n">
        <x:v>107</x:v>
      </x:c>
      <x:c r="J562" s="31" t="n">
        <x:v>4.4</x:v>
      </x:c>
      <x:c r="K562" s="25" t="str">
        <x:f>IF(J562&gt;=7,"Muy fuerte (&gt;=7)",IF(J562&gt;=6,"Fuerte (6-6.9)",IF(J562&gt;=5,"Moderado alto (5-5.9)",IF(J562&gt;=4,"Moderado (4-4.9)","Menor a 4"))))</x:f>
        <x:v>Moderado (4-4.9)</x:v>
      </x:c>
      <x:c r="L562" s="25" t="str">
        <x:f>IF(I562&lt;70,"Superficial (&lt;70 km)",IF(I562&lt;=300,"Intermedio (70-300 km)","Profundo (&gt;300 km)"))</x:f>
        <x:v>Intermedio (70-300 km)</x:v>
      </x:c>
      <x:c r="M562" s="25" t="str">
        <x:f>IF(J562&gt;=5,"Sí","No")</x:f>
        <x:v>No</x:v>
      </x:c>
      <x:c r="N562" s="25" t="str">
        <x:f>IF(J562&gt;=6,"Sí","No")</x:f>
        <x:v>No</x:v>
      </x:c>
      <x:c r="O562" s="25" t="str">
        <x:v>Pendiente: asignar con R/sf</x:v>
      </x:c>
    </x:row>
    <x:row r="563">
      <x:c r="A563" s="25" t="n">
        <x:v>562</x:v>
      </x:c>
      <x:c r="B563" s="26" t="n">
        <x:v>43447.95947916667</x:v>
      </x:c>
      <x:c r="C563" s="27" t="n">
        <x:f>INT(B563)</x:f>
        <x:v>43447</x:v>
      </x:c>
      <x:c r="D563" s="28" t="n">
        <x:f>MOD(B563,1)</x:f>
        <x:v>0.9594791666677338</x:v>
      </x:c>
      <x:c r="E563" s="29" t="n">
        <x:f>YEAR(B563)</x:f>
        <x:v>2018</x:v>
      </x:c>
      <x:c r="F563" s="29" t="n">
        <x:f>MONTH(B563)</x:f>
        <x:v>12</x:v>
      </x:c>
      <x:c r="G563" s="30" t="n">
        <x:v>-23.2</x:v>
      </x:c>
      <x:c r="H563" s="30" t="n">
        <x:v>-69.26</x:v>
      </x:c>
      <x:c r="I563" s="29" t="n">
        <x:v>86</x:v>
      </x:c>
      <x:c r="J563" s="31" t="n">
        <x:v>4.1</x:v>
      </x:c>
      <x:c r="K563" s="25" t="str">
        <x:f>IF(J563&gt;=7,"Muy fuerte (&gt;=7)",IF(J563&gt;=6,"Fuerte (6-6.9)",IF(J563&gt;=5,"Moderado alto (5-5.9)",IF(J563&gt;=4,"Moderado (4-4.9)","Menor a 4"))))</x:f>
        <x:v>Moderado (4-4.9)</x:v>
      </x:c>
      <x:c r="L563" s="25" t="str">
        <x:f>IF(I563&lt;70,"Superficial (&lt;70 km)",IF(I563&lt;=300,"Intermedio (70-300 km)","Profundo (&gt;300 km)"))</x:f>
        <x:v>Intermedio (70-300 km)</x:v>
      </x:c>
      <x:c r="M563" s="25" t="str">
        <x:f>IF(J563&gt;=5,"Sí","No")</x:f>
        <x:v>No</x:v>
      </x:c>
      <x:c r="N563" s="25" t="str">
        <x:f>IF(J563&gt;=6,"Sí","No")</x:f>
        <x:v>No</x:v>
      </x:c>
      <x:c r="O563" s="25" t="str">
        <x:v>Pendiente: asignar con R/sf</x:v>
      </x:c>
    </x:row>
    <x:row r="564">
      <x:c r="A564" s="25" t="n">
        <x:v>563</x:v>
      </x:c>
      <x:c r="B564" s="26" t="n">
        <x:v>43679.74921296296</x:v>
      </x:c>
      <x:c r="C564" s="27" t="n">
        <x:f>INT(B564)</x:f>
        <x:v>43679</x:v>
      </x:c>
      <x:c r="D564" s="28" t="n">
        <x:f>MOD(B564,1)</x:f>
        <x:v>0.7492129629608826</x:v>
      </x:c>
      <x:c r="E564" s="29" t="n">
        <x:f>YEAR(B564)</x:f>
        <x:v>2019</x:v>
      </x:c>
      <x:c r="F564" s="29" t="n">
        <x:f>MONTH(B564)</x:f>
        <x:v>8</x:v>
      </x:c>
      <x:c r="G564" s="30" t="n">
        <x:v>-34.25</x:v>
      </x:c>
      <x:c r="H564" s="30" t="n">
        <x:v>-72.33</x:v>
      </x:c>
      <x:c r="I564" s="29" t="n">
        <x:v>12</x:v>
      </x:c>
      <x:c r="J564" s="31" t="n">
        <x:v>4.3</x:v>
      </x:c>
      <x:c r="K564" s="25" t="str">
        <x:f>IF(J564&gt;=7,"Muy fuerte (&gt;=7)",IF(J564&gt;=6,"Fuerte (6-6.9)",IF(J564&gt;=5,"Moderado alto (5-5.9)",IF(J564&gt;=4,"Moderado (4-4.9)","Menor a 4"))))</x:f>
        <x:v>Moderado (4-4.9)</x:v>
      </x:c>
      <x:c r="L564" s="25" t="str">
        <x:f>IF(I564&lt;70,"Superficial (&lt;70 km)",IF(I564&lt;=300,"Intermedio (70-300 km)","Profundo (&gt;300 km)"))</x:f>
        <x:v>Superficial (&lt;70 km)</x:v>
      </x:c>
      <x:c r="M564" s="25" t="str">
        <x:f>IF(J564&gt;=5,"Sí","No")</x:f>
        <x:v>No</x:v>
      </x:c>
      <x:c r="N564" s="25" t="str">
        <x:f>IF(J564&gt;=6,"Sí","No")</x:f>
        <x:v>No</x:v>
      </x:c>
      <x:c r="O564" s="25" t="str">
        <x:v>Pendiente: asignar con R/sf</x:v>
      </x:c>
    </x:row>
    <x:row r="565">
      <x:c r="A565" s="25" t="n">
        <x:v>564</x:v>
      </x:c>
      <x:c r="B565" s="26" t="n">
        <x:v>43445.74659722222</x:v>
      </x:c>
      <x:c r="C565" s="27" t="n">
        <x:f>INT(B565)</x:f>
        <x:v>43445</x:v>
      </x:c>
      <x:c r="D565" s="28" t="n">
        <x:f>MOD(B565,1)</x:f>
        <x:v>0.7465972222198616</x:v>
      </x:c>
      <x:c r="E565" s="29" t="n">
        <x:f>YEAR(B565)</x:f>
        <x:v>2018</x:v>
      </x:c>
      <x:c r="F565" s="29" t="n">
        <x:f>MONTH(B565)</x:f>
        <x:v>12</x:v>
      </x:c>
      <x:c r="G565" s="30" t="n">
        <x:v>-34.98</x:v>
      </x:c>
      <x:c r="H565" s="30" t="n">
        <x:v>-71.13</x:v>
      </x:c>
      <x:c r="I565" s="29" t="n">
        <x:v>101</x:v>
      </x:c>
      <x:c r="J565" s="31" t="n">
        <x:v>4.6</x:v>
      </x:c>
      <x:c r="K565" s="25" t="str">
        <x:f>IF(J565&gt;=7,"Muy fuerte (&gt;=7)",IF(J565&gt;=6,"Fuerte (6-6.9)",IF(J565&gt;=5,"Moderado alto (5-5.9)",IF(J565&gt;=4,"Moderado (4-4.9)","Menor a 4"))))</x:f>
        <x:v>Moderado (4-4.9)</x:v>
      </x:c>
      <x:c r="L565" s="25" t="str">
        <x:f>IF(I565&lt;70,"Superficial (&lt;70 km)",IF(I565&lt;=300,"Intermedio (70-300 km)","Profundo (&gt;300 km)"))</x:f>
        <x:v>Intermedio (70-300 km)</x:v>
      </x:c>
      <x:c r="M565" s="25" t="str">
        <x:f>IF(J565&gt;=5,"Sí","No")</x:f>
        <x:v>No</x:v>
      </x:c>
      <x:c r="N565" s="25" t="str">
        <x:f>IF(J565&gt;=6,"Sí","No")</x:f>
        <x:v>No</x:v>
      </x:c>
      <x:c r="O565" s="25" t="str">
        <x:v>Pendiente: asignar con R/sf</x:v>
      </x:c>
    </x:row>
    <x:row r="566">
      <x:c r="A566" s="25" t="n">
        <x:v>565</x:v>
      </x:c>
      <x:c r="B566" s="26" t="n">
        <x:v>42785.923854166664</x:v>
      </x:c>
      <x:c r="C566" s="27" t="n">
        <x:f>INT(B566)</x:f>
        <x:v>42785</x:v>
      </x:c>
      <x:c r="D566" s="28" t="n">
        <x:f>MOD(B566,1)</x:f>
        <x:v>0.9238541666636593</x:v>
      </x:c>
      <x:c r="E566" s="29" t="n">
        <x:f>YEAR(B566)</x:f>
        <x:v>2017</x:v>
      </x:c>
      <x:c r="F566" s="29" t="n">
        <x:f>MONTH(B566)</x:f>
        <x:v>2</x:v>
      </x:c>
      <x:c r="G566" s="30" t="n">
        <x:v>-37.59</x:v>
      </x:c>
      <x:c r="H566" s="30" t="n">
        <x:v>-73.73</x:v>
      </x:c>
      <x:c r="I566" s="29" t="n">
        <x:v>32</x:v>
      </x:c>
      <x:c r="J566" s="31" t="n">
        <x:v>4</x:v>
      </x:c>
      <x:c r="K566" s="25" t="str">
        <x:f>IF(J566&gt;=7,"Muy fuerte (&gt;=7)",IF(J566&gt;=6,"Fuerte (6-6.9)",IF(J566&gt;=5,"Moderado alto (5-5.9)",IF(J566&gt;=4,"Moderado (4-4.9)","Menor a 4"))))</x:f>
        <x:v>Moderado (4-4.9)</x:v>
      </x:c>
      <x:c r="L566" s="25" t="str">
        <x:f>IF(I566&lt;70,"Superficial (&lt;70 km)",IF(I566&lt;=300,"Intermedio (70-300 km)","Profundo (&gt;300 km)"))</x:f>
        <x:v>Superficial (&lt;70 km)</x:v>
      </x:c>
      <x:c r="M566" s="25" t="str">
        <x:f>IF(J566&gt;=5,"Sí","No")</x:f>
        <x:v>No</x:v>
      </x:c>
      <x:c r="N566" s="25" t="str">
        <x:f>IF(J566&gt;=6,"Sí","No")</x:f>
        <x:v>No</x:v>
      </x:c>
      <x:c r="O566" s="25" t="str">
        <x:v>Pendiente: asignar con R/sf</x:v>
      </x:c>
    </x:row>
    <x:row r="567">
      <x:c r="A567" s="25" t="n">
        <x:v>566</x:v>
      </x:c>
      <x:c r="B567" s="26" t="n">
        <x:v>43045.327997685185</x:v>
      </x:c>
      <x:c r="C567" s="27" t="n">
        <x:f>INT(B567)</x:f>
        <x:v>43045</x:v>
      </x:c>
      <x:c r="D567" s="28" t="n">
        <x:f>MOD(B567,1)</x:f>
        <x:v>0.32799768518452765</x:v>
      </x:c>
      <x:c r="E567" s="29" t="n">
        <x:f>YEAR(B567)</x:f>
        <x:v>2017</x:v>
      </x:c>
      <x:c r="F567" s="29" t="n">
        <x:f>MONTH(B567)</x:f>
        <x:v>11</x:v>
      </x:c>
      <x:c r="G567" s="30" t="n">
        <x:v>-34.68</x:v>
      </x:c>
      <x:c r="H567" s="30" t="n">
        <x:v>-70.79</x:v>
      </x:c>
      <x:c r="I567" s="29" t="n">
        <x:v>99</x:v>
      </x:c>
      <x:c r="J567" s="31" t="n">
        <x:v>4.4</x:v>
      </x:c>
      <x:c r="K567" s="25" t="str">
        <x:f>IF(J567&gt;=7,"Muy fuerte (&gt;=7)",IF(J567&gt;=6,"Fuerte (6-6.9)",IF(J567&gt;=5,"Moderado alto (5-5.9)",IF(J567&gt;=4,"Moderado (4-4.9)","Menor a 4"))))</x:f>
        <x:v>Moderado (4-4.9)</x:v>
      </x:c>
      <x:c r="L567" s="25" t="str">
        <x:f>IF(I567&lt;70,"Superficial (&lt;70 km)",IF(I567&lt;=300,"Intermedio (70-300 km)","Profundo (&gt;300 km)"))</x:f>
        <x:v>Intermedio (70-300 km)</x:v>
      </x:c>
      <x:c r="M567" s="25" t="str">
        <x:f>IF(J567&gt;=5,"Sí","No")</x:f>
        <x:v>No</x:v>
      </x:c>
      <x:c r="N567" s="25" t="str">
        <x:f>IF(J567&gt;=6,"Sí","No")</x:f>
        <x:v>No</x:v>
      </x:c>
      <x:c r="O567" s="25" t="str">
        <x:v>Pendiente: asignar con R/sf</x:v>
      </x:c>
    </x:row>
    <x:row r="568">
      <x:c r="A568" s="25" t="n">
        <x:v>567</x:v>
      </x:c>
      <x:c r="B568" s="26" t="n">
        <x:v>43660.66434027778</x:v>
      </x:c>
      <x:c r="C568" s="27" t="n">
        <x:f>INT(B568)</x:f>
        <x:v>43660</x:v>
      </x:c>
      <x:c r="D568" s="28" t="n">
        <x:f>MOD(B568,1)</x:f>
        <x:v>0.664340277777228</x:v>
      </x:c>
      <x:c r="E568" s="29" t="n">
        <x:f>YEAR(B568)</x:f>
        <x:v>2019</x:v>
      </x:c>
      <x:c r="F568" s="29" t="n">
        <x:f>MONTH(B568)</x:f>
        <x:v>7</x:v>
      </x:c>
      <x:c r="G568" s="30" t="n">
        <x:v>-33.13</x:v>
      </x:c>
      <x:c r="H568" s="30" t="n">
        <x:v>-70.56</x:v>
      </x:c>
      <x:c r="I568" s="29" t="n">
        <x:v>97</x:v>
      </x:c>
      <x:c r="J568" s="31" t="n">
        <x:v>4.5</x:v>
      </x:c>
      <x:c r="K568" s="25" t="str">
        <x:f>IF(J568&gt;=7,"Muy fuerte (&gt;=7)",IF(J568&gt;=6,"Fuerte (6-6.9)",IF(J568&gt;=5,"Moderado alto (5-5.9)",IF(J568&gt;=4,"Moderado (4-4.9)","Menor a 4"))))</x:f>
        <x:v>Moderado (4-4.9)</x:v>
      </x:c>
      <x:c r="L568" s="25" t="str">
        <x:f>IF(I568&lt;70,"Superficial (&lt;70 km)",IF(I568&lt;=300,"Intermedio (70-300 km)","Profundo (&gt;300 km)"))</x:f>
        <x:v>Intermedio (70-300 km)</x:v>
      </x:c>
      <x:c r="M568" s="25" t="str">
        <x:f>IF(J568&gt;=5,"Sí","No")</x:f>
        <x:v>No</x:v>
      </x:c>
      <x:c r="N568" s="25" t="str">
        <x:f>IF(J568&gt;=6,"Sí","No")</x:f>
        <x:v>No</x:v>
      </x:c>
      <x:c r="O568" s="25" t="str">
        <x:v>Pendiente: asignar con R/sf</x:v>
      </x:c>
    </x:row>
    <x:row r="569">
      <x:c r="A569" s="25" t="n">
        <x:v>568</x:v>
      </x:c>
      <x:c r="B569" s="26" t="n">
        <x:v>43004.51027777778</x:v>
      </x:c>
      <x:c r="C569" s="27" t="n">
        <x:f>INT(B569)</x:f>
        <x:v>43004</x:v>
      </x:c>
      <x:c r="D569" s="28" t="n">
        <x:f>MOD(B569,1)</x:f>
        <x:v>0.5102777777792653</x:v>
      </x:c>
      <x:c r="E569" s="29" t="n">
        <x:f>YEAR(B569)</x:f>
        <x:v>2017</x:v>
      </x:c>
      <x:c r="F569" s="29" t="n">
        <x:f>MONTH(B569)</x:f>
        <x:v>9</x:v>
      </x:c>
      <x:c r="G569" s="30" t="n">
        <x:v>-37.44</x:v>
      </x:c>
      <x:c r="H569" s="30" t="n">
        <x:v>-74.14</x:v>
      </x:c>
      <x:c r="I569" s="29" t="n">
        <x:v>32</x:v>
      </x:c>
      <x:c r="J569" s="31" t="n">
        <x:v>4.7</x:v>
      </x:c>
      <x:c r="K569" s="25" t="str">
        <x:f>IF(J569&gt;=7,"Muy fuerte (&gt;=7)",IF(J569&gt;=6,"Fuerte (6-6.9)",IF(J569&gt;=5,"Moderado alto (5-5.9)",IF(J569&gt;=4,"Moderado (4-4.9)","Menor a 4"))))</x:f>
        <x:v>Moderado (4-4.9)</x:v>
      </x:c>
      <x:c r="L569" s="25" t="str">
        <x:f>IF(I569&lt;70,"Superficial (&lt;70 km)",IF(I569&lt;=300,"Intermedio (70-300 km)","Profundo (&gt;300 km)"))</x:f>
        <x:v>Superficial (&lt;70 km)</x:v>
      </x:c>
      <x:c r="M569" s="25" t="str">
        <x:f>IF(J569&gt;=5,"Sí","No")</x:f>
        <x:v>No</x:v>
      </x:c>
      <x:c r="N569" s="25" t="str">
        <x:f>IF(J569&gt;=6,"Sí","No")</x:f>
        <x:v>No</x:v>
      </x:c>
      <x:c r="O569" s="25" t="str">
        <x:v>Pendiente: asignar con R/sf</x:v>
      </x:c>
    </x:row>
    <x:row r="570">
      <x:c r="A570" s="25" t="n">
        <x:v>569</x:v>
      </x:c>
      <x:c r="B570" s="26" t="n">
        <x:v>43501.03878472222</x:v>
      </x:c>
      <x:c r="C570" s="27" t="n">
        <x:f>INT(B570)</x:f>
        <x:v>43501</x:v>
      </x:c>
      <x:c r="D570" s="28" t="n">
        <x:f>MOD(B570,1)</x:f>
        <x:v>0.03878472222277196</x:v>
      </x:c>
      <x:c r="E570" s="29" t="n">
        <x:f>YEAR(B570)</x:f>
        <x:v>2019</x:v>
      </x:c>
      <x:c r="F570" s="29" t="n">
        <x:f>MONTH(B570)</x:f>
        <x:v>2</x:v>
      </x:c>
      <x:c r="G570" s="30" t="n">
        <x:v>-23</x:v>
      </x:c>
      <x:c r="H570" s="30" t="n">
        <x:v>-69.36</x:v>
      </x:c>
      <x:c r="I570" s="29" t="n">
        <x:v>87</x:v>
      </x:c>
      <x:c r="J570" s="31" t="n">
        <x:v>4.4</x:v>
      </x:c>
      <x:c r="K570" s="25" t="str">
        <x:f>IF(J570&gt;=7,"Muy fuerte (&gt;=7)",IF(J570&gt;=6,"Fuerte (6-6.9)",IF(J570&gt;=5,"Moderado alto (5-5.9)",IF(J570&gt;=4,"Moderado (4-4.9)","Menor a 4"))))</x:f>
        <x:v>Moderado (4-4.9)</x:v>
      </x:c>
      <x:c r="L570" s="25" t="str">
        <x:f>IF(I570&lt;70,"Superficial (&lt;70 km)",IF(I570&lt;=300,"Intermedio (70-300 km)","Profundo (&gt;300 km)"))</x:f>
        <x:v>Intermedio (70-300 km)</x:v>
      </x:c>
      <x:c r="M570" s="25" t="str">
        <x:f>IF(J570&gt;=5,"Sí","No")</x:f>
        <x:v>No</x:v>
      </x:c>
      <x:c r="N570" s="25" t="str">
        <x:f>IF(J570&gt;=6,"Sí","No")</x:f>
        <x:v>No</x:v>
      </x:c>
      <x:c r="O570" s="25" t="str">
        <x:v>Pendiente: asignar con R/sf</x:v>
      </x:c>
    </x:row>
    <x:row r="571">
      <x:c r="A571" s="25" t="n">
        <x:v>570</x:v>
      </x:c>
      <x:c r="B571" s="26" t="n">
        <x:v>43414.32890046296</x:v>
      </x:c>
      <x:c r="C571" s="27" t="n">
        <x:f>INT(B571)</x:f>
        <x:v>43414</x:v>
      </x:c>
      <x:c r="D571" s="28" t="n">
        <x:f>MOD(B571,1)</x:f>
        <x:v>0.32890046296233777</x:v>
      </x:c>
      <x:c r="E571" s="29" t="n">
        <x:f>YEAR(B571)</x:f>
        <x:v>2018</x:v>
      </x:c>
      <x:c r="F571" s="29" t="n">
        <x:f>MONTH(B571)</x:f>
        <x:v>11</x:v>
      </x:c>
      <x:c r="G571" s="30" t="n">
        <x:v>-24.07</x:v>
      </x:c>
      <x:c r="H571" s="30" t="n">
        <x:v>-69.05</x:v>
      </x:c>
      <x:c r="I571" s="29" t="n">
        <x:v>115</x:v>
      </x:c>
      <x:c r="J571" s="31" t="n">
        <x:v>4.7</x:v>
      </x:c>
      <x:c r="K571" s="25" t="str">
        <x:f>IF(J571&gt;=7,"Muy fuerte (&gt;=7)",IF(J571&gt;=6,"Fuerte (6-6.9)",IF(J571&gt;=5,"Moderado alto (5-5.9)",IF(J571&gt;=4,"Moderado (4-4.9)","Menor a 4"))))</x:f>
        <x:v>Moderado (4-4.9)</x:v>
      </x:c>
      <x:c r="L571" s="25" t="str">
        <x:f>IF(I571&lt;70,"Superficial (&lt;70 km)",IF(I571&lt;=300,"Intermedio (70-300 km)","Profundo (&gt;300 km)"))</x:f>
        <x:v>Intermedio (70-300 km)</x:v>
      </x:c>
      <x:c r="M571" s="25" t="str">
        <x:f>IF(J571&gt;=5,"Sí","No")</x:f>
        <x:v>No</x:v>
      </x:c>
      <x:c r="N571" s="25" t="str">
        <x:f>IF(J571&gt;=6,"Sí","No")</x:f>
        <x:v>No</x:v>
      </x:c>
      <x:c r="O571" s="25" t="str">
        <x:v>Pendiente: asignar con R/sf</x:v>
      </x:c>
    </x:row>
    <x:row r="572">
      <x:c r="A572" s="25" t="n">
        <x:v>571</x:v>
      </x:c>
      <x:c r="B572" s="26" t="n">
        <x:v>43562.45324074074</x:v>
      </x:c>
      <x:c r="C572" s="27" t="n">
        <x:f>INT(B572)</x:f>
        <x:v>43562</x:v>
      </x:c>
      <x:c r="D572" s="28" t="n">
        <x:f>MOD(B572,1)</x:f>
        <x:v>0.4532407407386927</x:v>
      </x:c>
      <x:c r="E572" s="29" t="n">
        <x:f>YEAR(B572)</x:f>
        <x:v>2019</x:v>
      </x:c>
      <x:c r="F572" s="29" t="n">
        <x:f>MONTH(B572)</x:f>
        <x:v>4</x:v>
      </x:c>
      <x:c r="G572" s="30" t="n">
        <x:v>-33.77</x:v>
      </x:c>
      <x:c r="H572" s="30" t="n">
        <x:v>-72.62</x:v>
      </x:c>
      <x:c r="I572" s="29" t="n">
        <x:v>10</x:v>
      </x:c>
      <x:c r="J572" s="31" t="n">
        <x:v>4.8</x:v>
      </x:c>
      <x:c r="K572" s="25" t="str">
        <x:f>IF(J572&gt;=7,"Muy fuerte (&gt;=7)",IF(J572&gt;=6,"Fuerte (6-6.9)",IF(J572&gt;=5,"Moderado alto (5-5.9)",IF(J572&gt;=4,"Moderado (4-4.9)","Menor a 4"))))</x:f>
        <x:v>Moderado (4-4.9)</x:v>
      </x:c>
      <x:c r="L572" s="25" t="str">
        <x:f>IF(I572&lt;70,"Superficial (&lt;70 km)",IF(I572&lt;=300,"Intermedio (70-300 km)","Profundo (&gt;300 km)"))</x:f>
        <x:v>Superficial (&lt;70 km)</x:v>
      </x:c>
      <x:c r="M572" s="25" t="str">
        <x:f>IF(J572&gt;=5,"Sí","No")</x:f>
        <x:v>No</x:v>
      </x:c>
      <x:c r="N572" s="25" t="str">
        <x:f>IF(J572&gt;=6,"Sí","No")</x:f>
        <x:v>No</x:v>
      </x:c>
      <x:c r="O572" s="25" t="str">
        <x:v>Pendiente: asignar con R/sf</x:v>
      </x:c>
    </x:row>
    <x:row r="573">
      <x:c r="A573" s="25" t="n">
        <x:v>572</x:v>
      </x:c>
      <x:c r="B573" s="26" t="n">
        <x:v>43545.70686342593</x:v>
      </x:c>
      <x:c r="C573" s="27" t="n">
        <x:f>INT(B573)</x:f>
        <x:v>43545</x:v>
      </x:c>
      <x:c r="D573" s="28" t="n">
        <x:f>MOD(B573,1)</x:f>
        <x:v>0.7068634259267128</x:v>
      </x:c>
      <x:c r="E573" s="29" t="n">
        <x:f>YEAR(B573)</x:f>
        <x:v>2019</x:v>
      </x:c>
      <x:c r="F573" s="29" t="n">
        <x:f>MONTH(B573)</x:f>
        <x:v>3</x:v>
      </x:c>
      <x:c r="G573" s="30" t="n">
        <x:v>-22.71</x:v>
      </x:c>
      <x:c r="H573" s="30" t="n">
        <x:v>-68.61</x:v>
      </x:c>
      <x:c r="I573" s="29" t="n">
        <x:v>110</x:v>
      </x:c>
      <x:c r="J573" s="31" t="n">
        <x:v>4.4</x:v>
      </x:c>
      <x:c r="K573" s="25" t="str">
        <x:f>IF(J573&gt;=7,"Muy fuerte (&gt;=7)",IF(J573&gt;=6,"Fuerte (6-6.9)",IF(J573&gt;=5,"Moderado alto (5-5.9)",IF(J573&gt;=4,"Moderado (4-4.9)","Menor a 4"))))</x:f>
        <x:v>Moderado (4-4.9)</x:v>
      </x:c>
      <x:c r="L573" s="25" t="str">
        <x:f>IF(I573&lt;70,"Superficial (&lt;70 km)",IF(I573&lt;=300,"Intermedio (70-300 km)","Profundo (&gt;300 km)"))</x:f>
        <x:v>Intermedio (70-300 km)</x:v>
      </x:c>
      <x:c r="M573" s="25" t="str">
        <x:f>IF(J573&gt;=5,"Sí","No")</x:f>
        <x:v>No</x:v>
      </x:c>
      <x:c r="N573" s="25" t="str">
        <x:f>IF(J573&gt;=6,"Sí","No")</x:f>
        <x:v>No</x:v>
      </x:c>
      <x:c r="O573" s="25" t="str">
        <x:v>Pendiente: asignar con R/sf</x:v>
      </x:c>
    </x:row>
    <x:row r="574">
      <x:c r="A574" s="25" t="n">
        <x:v>573</x:v>
      </x:c>
      <x:c r="B574" s="26" t="n">
        <x:v>43126.56048611111</x:v>
      </x:c>
      <x:c r="C574" s="27" t="n">
        <x:f>INT(B574)</x:f>
        <x:v>43126</x:v>
      </x:c>
      <x:c r="D574" s="28" t="n">
        <x:f>MOD(B574,1)</x:f>
        <x:v>0.5604861111132777</x:v>
      </x:c>
      <x:c r="E574" s="29" t="n">
        <x:f>YEAR(B574)</x:f>
        <x:v>2018</x:v>
      </x:c>
      <x:c r="F574" s="29" t="n">
        <x:f>MONTH(B574)</x:f>
        <x:v>1</x:v>
      </x:c>
      <x:c r="G574" s="30" t="n">
        <x:v>-37.49</x:v>
      </x:c>
      <x:c r="H574" s="30" t="n">
        <x:v>-74.26</x:v>
      </x:c>
      <x:c r="I574" s="29" t="n">
        <x:v>22</x:v>
      </x:c>
      <x:c r="J574" s="31" t="n">
        <x:v>5.1</x:v>
      </x:c>
      <x:c r="K574" s="25" t="str">
        <x:f>IF(J574&gt;=7,"Muy fuerte (&gt;=7)",IF(J574&gt;=6,"Fuerte (6-6.9)",IF(J574&gt;=5,"Moderado alto (5-5.9)",IF(J574&gt;=4,"Moderado (4-4.9)","Menor a 4"))))</x:f>
        <x:v>Moderado alto (5-5.9)</x:v>
      </x:c>
      <x:c r="L574" s="25" t="str">
        <x:f>IF(I574&lt;70,"Superficial (&lt;70 km)",IF(I574&lt;=300,"Intermedio (70-300 km)","Profundo (&gt;300 km)"))</x:f>
        <x:v>Superficial (&lt;70 km)</x:v>
      </x:c>
      <x:c r="M574" s="25" t="str">
        <x:f>IF(J574&gt;=5,"Sí","No")</x:f>
        <x:v>Sí</x:v>
      </x:c>
      <x:c r="N574" s="25" t="str">
        <x:f>IF(J574&gt;=6,"Sí","No")</x:f>
        <x:v>No</x:v>
      </x:c>
      <x:c r="O574" s="25" t="str">
        <x:v>Pendiente: asignar con R/sf</x:v>
      </x:c>
    </x:row>
    <x:row r="575">
      <x:c r="A575" s="25" t="n">
        <x:v>574</x:v>
      </x:c>
      <x:c r="B575" s="26" t="n">
        <x:v>43626.22734953704</x:v>
      </x:c>
      <x:c r="C575" s="27" t="n">
        <x:f>INT(B575)</x:f>
        <x:v>43626</x:v>
      </x:c>
      <x:c r="D575" s="28" t="n">
        <x:f>MOD(B575,1)</x:f>
        <x:v>0.22734953703911742</x:v>
      </x:c>
      <x:c r="E575" s="29" t="n">
        <x:f>YEAR(B575)</x:f>
        <x:v>2019</x:v>
      </x:c>
      <x:c r="F575" s="29" t="n">
        <x:f>MONTH(B575)</x:f>
        <x:v>6</x:v>
      </x:c>
      <x:c r="G575" s="30" t="n">
        <x:v>-22.33</x:v>
      </x:c>
      <x:c r="H575" s="30" t="n">
        <x:v>-68.67</x:v>
      </x:c>
      <x:c r="I575" s="29" t="n">
        <x:v>103</x:v>
      </x:c>
      <x:c r="J575" s="31" t="n">
        <x:v>4.6</x:v>
      </x:c>
      <x:c r="K575" s="25" t="str">
        <x:f>IF(J575&gt;=7,"Muy fuerte (&gt;=7)",IF(J575&gt;=6,"Fuerte (6-6.9)",IF(J575&gt;=5,"Moderado alto (5-5.9)",IF(J575&gt;=4,"Moderado (4-4.9)","Menor a 4"))))</x:f>
        <x:v>Moderado (4-4.9)</x:v>
      </x:c>
      <x:c r="L575" s="25" t="str">
        <x:f>IF(I575&lt;70,"Superficial (&lt;70 km)",IF(I575&lt;=300,"Intermedio (70-300 km)","Profundo (&gt;300 km)"))</x:f>
        <x:v>Intermedio (70-300 km)</x:v>
      </x:c>
      <x:c r="M575" s="25" t="str">
        <x:f>IF(J575&gt;=5,"Sí","No")</x:f>
        <x:v>No</x:v>
      </x:c>
      <x:c r="N575" s="25" t="str">
        <x:f>IF(J575&gt;=6,"Sí","No")</x:f>
        <x:v>No</x:v>
      </x:c>
      <x:c r="O575" s="25" t="str">
        <x:v>Pendiente: asignar con R/sf</x:v>
      </x:c>
    </x:row>
    <x:row r="576">
      <x:c r="A576" s="25" t="n">
        <x:v>575</x:v>
      </x:c>
      <x:c r="B576" s="26" t="n">
        <x:v>43490.659421296295</x:v>
      </x:c>
      <x:c r="C576" s="27" t="n">
        <x:f>INT(B576)</x:f>
        <x:v>43490</x:v>
      </x:c>
      <x:c r="D576" s="28" t="n">
        <x:f>MOD(B576,1)</x:f>
        <x:v>0.6594212962954771</x:v>
      </x:c>
      <x:c r="E576" s="29" t="n">
        <x:f>YEAR(B576)</x:f>
        <x:v>2019</x:v>
      </x:c>
      <x:c r="F576" s="29" t="n">
        <x:f>MONTH(B576)</x:f>
        <x:v>1</x:v>
      </x:c>
      <x:c r="G576" s="30" t="n">
        <x:v>-33.55</x:v>
      </x:c>
      <x:c r="H576" s="30" t="n">
        <x:v>-70.3</x:v>
      </x:c>
      <x:c r="I576" s="29" t="n">
        <x:v>113</x:v>
      </x:c>
      <x:c r="J576" s="31" t="n">
        <x:v>4.3</x:v>
      </x:c>
      <x:c r="K576" s="25" t="str">
        <x:f>IF(J576&gt;=7,"Muy fuerte (&gt;=7)",IF(J576&gt;=6,"Fuerte (6-6.9)",IF(J576&gt;=5,"Moderado alto (5-5.9)",IF(J576&gt;=4,"Moderado (4-4.9)","Menor a 4"))))</x:f>
        <x:v>Moderado (4-4.9)</x:v>
      </x:c>
      <x:c r="L576" s="25" t="str">
        <x:f>IF(I576&lt;70,"Superficial (&lt;70 km)",IF(I576&lt;=300,"Intermedio (70-300 km)","Profundo (&gt;300 km)"))</x:f>
        <x:v>Intermedio (70-300 km)</x:v>
      </x:c>
      <x:c r="M576" s="25" t="str">
        <x:f>IF(J576&gt;=5,"Sí","No")</x:f>
        <x:v>No</x:v>
      </x:c>
      <x:c r="N576" s="25" t="str">
        <x:f>IF(J576&gt;=6,"Sí","No")</x:f>
        <x:v>No</x:v>
      </x:c>
      <x:c r="O576" s="25" t="str">
        <x:v>Pendiente: asignar con R/sf</x:v>
      </x:c>
    </x:row>
    <x:row r="577">
      <x:c r="A577" s="25" t="n">
        <x:v>576</x:v>
      </x:c>
      <x:c r="B577" s="26" t="n">
        <x:v>43317.89954861111</x:v>
      </x:c>
      <x:c r="C577" s="27" t="n">
        <x:f>INT(B577)</x:f>
        <x:v>43317</x:v>
      </x:c>
      <x:c r="D577" s="28" t="n">
        <x:f>MOD(B577,1)</x:f>
        <x:v>0.8995486111089122</x:v>
      </x:c>
      <x:c r="E577" s="29" t="n">
        <x:f>YEAR(B577)</x:f>
        <x:v>2018</x:v>
      </x:c>
      <x:c r="F577" s="29" t="n">
        <x:f>MONTH(B577)</x:f>
        <x:v>8</x:v>
      </x:c>
      <x:c r="G577" s="30" t="n">
        <x:v>-34.59</x:v>
      </x:c>
      <x:c r="H577" s="30" t="n">
        <x:v>-71.7</x:v>
      </x:c>
      <x:c r="I577" s="29" t="n">
        <x:v>41</x:v>
      </x:c>
      <x:c r="J577" s="31" t="n">
        <x:v>4.1</x:v>
      </x:c>
      <x:c r="K577" s="25" t="str">
        <x:f>IF(J577&gt;=7,"Muy fuerte (&gt;=7)",IF(J577&gt;=6,"Fuerte (6-6.9)",IF(J577&gt;=5,"Moderado alto (5-5.9)",IF(J577&gt;=4,"Moderado (4-4.9)","Menor a 4"))))</x:f>
        <x:v>Moderado (4-4.9)</x:v>
      </x:c>
      <x:c r="L577" s="25" t="str">
        <x:f>IF(I577&lt;70,"Superficial (&lt;70 km)",IF(I577&lt;=300,"Intermedio (70-300 km)","Profundo (&gt;300 km)"))</x:f>
        <x:v>Superficial (&lt;70 km)</x:v>
      </x:c>
      <x:c r="M577" s="25" t="str">
        <x:f>IF(J577&gt;=5,"Sí","No")</x:f>
        <x:v>No</x:v>
      </x:c>
      <x:c r="N577" s="25" t="str">
        <x:f>IF(J577&gt;=6,"Sí","No")</x:f>
        <x:v>No</x:v>
      </x:c>
      <x:c r="O577" s="25" t="str">
        <x:v>Pendiente: asignar con R/sf</x:v>
      </x:c>
    </x:row>
    <x:row r="578">
      <x:c r="A578" s="25" t="n">
        <x:v>577</x:v>
      </x:c>
      <x:c r="B578" s="26" t="n">
        <x:v>43207.24862268518</x:v>
      </x:c>
      <x:c r="C578" s="27" t="n">
        <x:f>INT(B578)</x:f>
        <x:v>43207</x:v>
      </x:c>
      <x:c r="D578" s="28" t="n">
        <x:f>MOD(B578,1)</x:f>
        <x:v>0.2486226851833635</x:v>
      </x:c>
      <x:c r="E578" s="29" t="n">
        <x:f>YEAR(B578)</x:f>
        <x:v>2018</x:v>
      </x:c>
      <x:c r="F578" s="29" t="n">
        <x:f>MONTH(B578)</x:f>
        <x:v>4</x:v>
      </x:c>
      <x:c r="G578" s="30" t="n">
        <x:v>-34.06</x:v>
      </x:c>
      <x:c r="H578" s="30" t="n">
        <x:v>-70.48</x:v>
      </x:c>
      <x:c r="I578" s="29" t="n">
        <x:v>106</x:v>
      </x:c>
      <x:c r="J578" s="31" t="n">
        <x:v>4.5</x:v>
      </x:c>
      <x:c r="K578" s="25" t="str">
        <x:f>IF(J578&gt;=7,"Muy fuerte (&gt;=7)",IF(J578&gt;=6,"Fuerte (6-6.9)",IF(J578&gt;=5,"Moderado alto (5-5.9)",IF(J578&gt;=4,"Moderado (4-4.9)","Menor a 4"))))</x:f>
        <x:v>Moderado (4-4.9)</x:v>
      </x:c>
      <x:c r="L578" s="25" t="str">
        <x:f>IF(I578&lt;70,"Superficial (&lt;70 km)",IF(I578&lt;=300,"Intermedio (70-300 km)","Profundo (&gt;300 km)"))</x:f>
        <x:v>Intermedio (70-300 km)</x:v>
      </x:c>
      <x:c r="M578" s="25" t="str">
        <x:f>IF(J578&gt;=5,"Sí","No")</x:f>
        <x:v>No</x:v>
      </x:c>
      <x:c r="N578" s="25" t="str">
        <x:f>IF(J578&gt;=6,"Sí","No")</x:f>
        <x:v>No</x:v>
      </x:c>
      <x:c r="O578" s="25" t="str">
        <x:v>Pendiente: asignar con R/sf</x:v>
      </x:c>
    </x:row>
    <x:row r="579">
      <x:c r="A579" s="25" t="n">
        <x:v>578</x:v>
      </x:c>
      <x:c r="B579" s="26" t="n">
        <x:v>42767.47460648148</x:v>
      </x:c>
      <x:c r="C579" s="27" t="n">
        <x:f>INT(B579)</x:f>
        <x:v>42767</x:v>
      </x:c>
      <x:c r="D579" s="28" t="n">
        <x:f>MOD(B579,1)</x:f>
        <x:v>0.4746064814826241</x:v>
      </x:c>
      <x:c r="E579" s="29" t="n">
        <x:f>YEAR(B579)</x:f>
        <x:v>2017</x:v>
      </x:c>
      <x:c r="F579" s="29" t="n">
        <x:f>MONTH(B579)</x:f>
        <x:v>2</x:v>
      </x:c>
      <x:c r="G579" s="30" t="n">
        <x:v>-37.31</x:v>
      </x:c>
      <x:c r="H579" s="30" t="n">
        <x:v>-73.44</x:v>
      </x:c>
      <x:c r="I579" s="29" t="n">
        <x:v>60</x:v>
      </x:c>
      <x:c r="J579" s="31" t="n">
        <x:v>4.9</x:v>
      </x:c>
      <x:c r="K579" s="25" t="str">
        <x:f>IF(J579&gt;=7,"Muy fuerte (&gt;=7)",IF(J579&gt;=6,"Fuerte (6-6.9)",IF(J579&gt;=5,"Moderado alto (5-5.9)",IF(J579&gt;=4,"Moderado (4-4.9)","Menor a 4"))))</x:f>
        <x:v>Moderado (4-4.9)</x:v>
      </x:c>
      <x:c r="L579" s="25" t="str">
        <x:f>IF(I579&lt;70,"Superficial (&lt;70 km)",IF(I579&lt;=300,"Intermedio (70-300 km)","Profundo (&gt;300 km)"))</x:f>
        <x:v>Superficial (&lt;70 km)</x:v>
      </x:c>
      <x:c r="M579" s="25" t="str">
        <x:f>IF(J579&gt;=5,"Sí","No")</x:f>
        <x:v>No</x:v>
      </x:c>
      <x:c r="N579" s="25" t="str">
        <x:f>IF(J579&gt;=6,"Sí","No")</x:f>
        <x:v>No</x:v>
      </x:c>
      <x:c r="O579" s="25" t="str">
        <x:v>Pendiente: asignar con R/sf</x:v>
      </x:c>
    </x:row>
    <x:row r="580">
      <x:c r="A580" s="25" t="n">
        <x:v>579</x:v>
      </x:c>
      <x:c r="B580" s="26" t="n">
        <x:v>43360.68701388889</x:v>
      </x:c>
      <x:c r="C580" s="27" t="n">
        <x:f>INT(B580)</x:f>
        <x:v>43360</x:v>
      </x:c>
      <x:c r="D580" s="28" t="n">
        <x:f>MOD(B580,1)</x:f>
        <x:v>0.6870138888916699</x:v>
      </x:c>
      <x:c r="E580" s="29" t="n">
        <x:f>YEAR(B580)</x:f>
        <x:v>2018</x:v>
      </x:c>
      <x:c r="F580" s="29" t="n">
        <x:f>MONTH(B580)</x:f>
        <x:v>9</x:v>
      </x:c>
      <x:c r="G580" s="30" t="n">
        <x:v>-22.77</x:v>
      </x:c>
      <x:c r="H580" s="30" t="n">
        <x:v>-68.89</x:v>
      </x:c>
      <x:c r="I580" s="29" t="n">
        <x:v>100</x:v>
      </x:c>
      <x:c r="J580" s="31" t="n">
        <x:v>4.2</x:v>
      </x:c>
      <x:c r="K580" s="25" t="str">
        <x:f>IF(J580&gt;=7,"Muy fuerte (&gt;=7)",IF(J580&gt;=6,"Fuerte (6-6.9)",IF(J580&gt;=5,"Moderado alto (5-5.9)",IF(J580&gt;=4,"Moderado (4-4.9)","Menor a 4"))))</x:f>
        <x:v>Moderado (4-4.9)</x:v>
      </x:c>
      <x:c r="L580" s="25" t="str">
        <x:f>IF(I580&lt;70,"Superficial (&lt;70 km)",IF(I580&lt;=300,"Intermedio (70-300 km)","Profundo (&gt;300 km)"))</x:f>
        <x:v>Intermedio (70-300 km)</x:v>
      </x:c>
      <x:c r="M580" s="25" t="str">
        <x:f>IF(J580&gt;=5,"Sí","No")</x:f>
        <x:v>No</x:v>
      </x:c>
      <x:c r="N580" s="25" t="str">
        <x:f>IF(J580&gt;=6,"Sí","No")</x:f>
        <x:v>No</x:v>
      </x:c>
      <x:c r="O580" s="25" t="str">
        <x:v>Pendiente: asignar con R/sf</x:v>
      </x:c>
    </x:row>
    <x:row r="581">
      <x:c r="A581" s="25" t="n">
        <x:v>580</x:v>
      </x:c>
      <x:c r="B581" s="26" t="n">
        <x:v>43075.35459490741</x:v>
      </x:c>
      <x:c r="C581" s="27" t="n">
        <x:f>INT(B581)</x:f>
        <x:v>43075</x:v>
      </x:c>
      <x:c r="D581" s="28" t="n">
        <x:f>MOD(B581,1)</x:f>
        <x:v>0.35459490741050104</x:v>
      </x:c>
      <x:c r="E581" s="29" t="n">
        <x:f>YEAR(B581)</x:f>
        <x:v>2017</x:v>
      </x:c>
      <x:c r="F581" s="29" t="n">
        <x:f>MONTH(B581)</x:f>
        <x:v>12</x:v>
      </x:c>
      <x:c r="G581" s="30" t="n">
        <x:v>-37.49</x:v>
      </x:c>
      <x:c r="H581" s="30" t="n">
        <x:v>-74.62</x:v>
      </x:c>
      <x:c r="I581" s="29" t="n">
        <x:v>35</x:v>
      </x:c>
      <x:c r="J581" s="31" t="n">
        <x:v>4.7</x:v>
      </x:c>
      <x:c r="K581" s="25" t="str">
        <x:f>IF(J581&gt;=7,"Muy fuerte (&gt;=7)",IF(J581&gt;=6,"Fuerte (6-6.9)",IF(J581&gt;=5,"Moderado alto (5-5.9)",IF(J581&gt;=4,"Moderado (4-4.9)","Menor a 4"))))</x:f>
        <x:v>Moderado (4-4.9)</x:v>
      </x:c>
      <x:c r="L581" s="25" t="str">
        <x:f>IF(I581&lt;70,"Superficial (&lt;70 km)",IF(I581&lt;=300,"Intermedio (70-300 km)","Profundo (&gt;300 km)"))</x:f>
        <x:v>Superficial (&lt;70 km)</x:v>
      </x:c>
      <x:c r="M581" s="25" t="str">
        <x:f>IF(J581&gt;=5,"Sí","No")</x:f>
        <x:v>No</x:v>
      </x:c>
      <x:c r="N581" s="25" t="str">
        <x:f>IF(J581&gt;=6,"Sí","No")</x:f>
        <x:v>No</x:v>
      </x:c>
      <x:c r="O581" s="25" t="str">
        <x:v>Pendiente: asignar con R/sf</x:v>
      </x:c>
    </x:row>
    <x:row r="582">
      <x:c r="A582" s="25" t="n">
        <x:v>581</x:v>
      </x:c>
      <x:c r="B582" s="26" t="n">
        <x:v>43489.33761574074</x:v>
      </x:c>
      <x:c r="C582" s="27" t="n">
        <x:f>INT(B582)</x:f>
        <x:v>43489</x:v>
      </x:c>
      <x:c r="D582" s="28" t="n">
        <x:f>MOD(B582,1)</x:f>
        <x:v>0.3376157407401479</x:v>
      </x:c>
      <x:c r="E582" s="29" t="n">
        <x:f>YEAR(B582)</x:f>
        <x:v>2019</x:v>
      </x:c>
      <x:c r="F582" s="29" t="n">
        <x:f>MONTH(B582)</x:f>
        <x:v>1</x:v>
      </x:c>
      <x:c r="G582" s="30" t="n">
        <x:v>-35</x:v>
      </x:c>
      <x:c r="H582" s="30" t="n">
        <x:v>-71.81</x:v>
      </x:c>
      <x:c r="I582" s="29" t="n">
        <x:v>49</x:v>
      </x:c>
      <x:c r="J582" s="31" t="n">
        <x:v>4.1</x:v>
      </x:c>
      <x:c r="K582" s="25" t="str">
        <x:f>IF(J582&gt;=7,"Muy fuerte (&gt;=7)",IF(J582&gt;=6,"Fuerte (6-6.9)",IF(J582&gt;=5,"Moderado alto (5-5.9)",IF(J582&gt;=4,"Moderado (4-4.9)","Menor a 4"))))</x:f>
        <x:v>Moderado (4-4.9)</x:v>
      </x:c>
      <x:c r="L582" s="25" t="str">
        <x:f>IF(I582&lt;70,"Superficial (&lt;70 km)",IF(I582&lt;=300,"Intermedio (70-300 km)","Profundo (&gt;300 km)"))</x:f>
        <x:v>Superficial (&lt;70 km)</x:v>
      </x:c>
      <x:c r="M582" s="25" t="str">
        <x:f>IF(J582&gt;=5,"Sí","No")</x:f>
        <x:v>No</x:v>
      </x:c>
      <x:c r="N582" s="25" t="str">
        <x:f>IF(J582&gt;=6,"Sí","No")</x:f>
        <x:v>No</x:v>
      </x:c>
      <x:c r="O582" s="25" t="str">
        <x:v>Pendiente: asignar con R/sf</x:v>
      </x:c>
    </x:row>
    <x:row r="583">
      <x:c r="A583" s="25" t="n">
        <x:v>582</x:v>
      </x:c>
      <x:c r="B583" s="26" t="n">
        <x:v>43137.17616898148</x:v>
      </x:c>
      <x:c r="C583" s="27" t="n">
        <x:f>INT(B583)</x:f>
        <x:v>43137</x:v>
      </x:c>
      <x:c r="D583" s="28" t="n">
        <x:f>MOD(B583,1)</x:f>
        <x:v>0.17616898148116888</x:v>
      </x:c>
      <x:c r="E583" s="29" t="n">
        <x:f>YEAR(B583)</x:f>
        <x:v>2018</x:v>
      </x:c>
      <x:c r="F583" s="29" t="n">
        <x:f>MONTH(B583)</x:f>
        <x:v>2</x:v>
      </x:c>
      <x:c r="G583" s="30" t="n">
        <x:v>-34.79</x:v>
      </x:c>
      <x:c r="H583" s="30" t="n">
        <x:v>-71.7</x:v>
      </x:c>
      <x:c r="I583" s="29" t="n">
        <x:v>51</x:v>
      </x:c>
      <x:c r="J583" s="31" t="n">
        <x:v>4.4</x:v>
      </x:c>
      <x:c r="K583" s="25" t="str">
        <x:f>IF(J583&gt;=7,"Muy fuerte (&gt;=7)",IF(J583&gt;=6,"Fuerte (6-6.9)",IF(J583&gt;=5,"Moderado alto (5-5.9)",IF(J583&gt;=4,"Moderado (4-4.9)","Menor a 4"))))</x:f>
        <x:v>Moderado (4-4.9)</x:v>
      </x:c>
      <x:c r="L583" s="25" t="str">
        <x:f>IF(I583&lt;70,"Superficial (&lt;70 km)",IF(I583&lt;=300,"Intermedio (70-300 km)","Profundo (&gt;300 km)"))</x:f>
        <x:v>Superficial (&lt;70 km)</x:v>
      </x:c>
      <x:c r="M583" s="25" t="str">
        <x:f>IF(J583&gt;=5,"Sí","No")</x:f>
        <x:v>No</x:v>
      </x:c>
      <x:c r="N583" s="25" t="str">
        <x:f>IF(J583&gt;=6,"Sí","No")</x:f>
        <x:v>No</x:v>
      </x:c>
      <x:c r="O583" s="25" t="str">
        <x:v>Pendiente: asignar con R/sf</x:v>
      </x:c>
    </x:row>
    <x:row r="584">
      <x:c r="A584" s="25" t="n">
        <x:v>583</x:v>
      </x:c>
      <x:c r="B584" s="26" t="n">
        <x:v>42657.45706018519</x:v>
      </x:c>
      <x:c r="C584" s="27" t="n">
        <x:f>INT(B584)</x:f>
        <x:v>42657</x:v>
      </x:c>
      <x:c r="D584" s="28" t="n">
        <x:f>MOD(B584,1)</x:f>
        <x:v>0.45706018518831115</x:v>
      </x:c>
      <x:c r="E584" s="29" t="n">
        <x:f>YEAR(B584)</x:f>
        <x:v>2016</x:v>
      </x:c>
      <x:c r="F584" s="29" t="n">
        <x:f>MONTH(B584)</x:f>
        <x:v>10</x:v>
      </x:c>
      <x:c r="G584" s="30" t="n">
        <x:v>-37.53</x:v>
      </x:c>
      <x:c r="H584" s="30" t="n">
        <x:v>-73.86</x:v>
      </x:c>
      <x:c r="I584" s="29" t="n">
        <x:v>50</x:v>
      </x:c>
      <x:c r="J584" s="31" t="n">
        <x:v>5</x:v>
      </x:c>
      <x:c r="K584" s="25" t="str">
        <x:f>IF(J584&gt;=7,"Muy fuerte (&gt;=7)",IF(J584&gt;=6,"Fuerte (6-6.9)",IF(J584&gt;=5,"Moderado alto (5-5.9)",IF(J584&gt;=4,"Moderado (4-4.9)","Menor a 4"))))</x:f>
        <x:v>Moderado alto (5-5.9)</x:v>
      </x:c>
      <x:c r="L584" s="25" t="str">
        <x:f>IF(I584&lt;70,"Superficial (&lt;70 km)",IF(I584&lt;=300,"Intermedio (70-300 km)","Profundo (&gt;300 km)"))</x:f>
        <x:v>Superficial (&lt;70 km)</x:v>
      </x:c>
      <x:c r="M584" s="25" t="str">
        <x:f>IF(J584&gt;=5,"Sí","No")</x:f>
        <x:v>Sí</x:v>
      </x:c>
      <x:c r="N584" s="25" t="str">
        <x:f>IF(J584&gt;=6,"Sí","No")</x:f>
        <x:v>No</x:v>
      </x:c>
      <x:c r="O584" s="25" t="str">
        <x:v>Pendiente: asignar con R/sf</x:v>
      </x:c>
    </x:row>
    <x:row r="585">
      <x:c r="A585" s="25" t="n">
        <x:v>584</x:v>
      </x:c>
      <x:c r="B585" s="26" t="n">
        <x:v>42785.400972222225</x:v>
      </x:c>
      <x:c r="C585" s="27" t="n">
        <x:f>INT(B585)</x:f>
        <x:v>42785</x:v>
      </x:c>
      <x:c r="D585" s="28" t="n">
        <x:f>MOD(B585,1)</x:f>
        <x:v>0.4009722222253913</x:v>
      </x:c>
      <x:c r="E585" s="29" t="n">
        <x:f>YEAR(B585)</x:f>
        <x:v>2017</x:v>
      </x:c>
      <x:c r="F585" s="29" t="n">
        <x:f>MONTH(B585)</x:f>
        <x:v>2</x:v>
      </x:c>
      <x:c r="G585" s="30" t="n">
        <x:v>-37.55</x:v>
      </x:c>
      <x:c r="H585" s="30" t="n">
        <x:v>-73.95</x:v>
      </x:c>
      <x:c r="I585" s="29" t="n">
        <x:v>40</x:v>
      </x:c>
      <x:c r="J585" s="31" t="n">
        <x:v>4.8</x:v>
      </x:c>
      <x:c r="K585" s="25" t="str">
        <x:f>IF(J585&gt;=7,"Muy fuerte (&gt;=7)",IF(J585&gt;=6,"Fuerte (6-6.9)",IF(J585&gt;=5,"Moderado alto (5-5.9)",IF(J585&gt;=4,"Moderado (4-4.9)","Menor a 4"))))</x:f>
        <x:v>Moderado (4-4.9)</x:v>
      </x:c>
      <x:c r="L585" s="25" t="str">
        <x:f>IF(I585&lt;70,"Superficial (&lt;70 km)",IF(I585&lt;=300,"Intermedio (70-300 km)","Profundo (&gt;300 km)"))</x:f>
        <x:v>Superficial (&lt;70 km)</x:v>
      </x:c>
      <x:c r="M585" s="25" t="str">
        <x:f>IF(J585&gt;=5,"Sí","No")</x:f>
        <x:v>No</x:v>
      </x:c>
      <x:c r="N585" s="25" t="str">
        <x:f>IF(J585&gt;=6,"Sí","No")</x:f>
        <x:v>No</x:v>
      </x:c>
      <x:c r="O585" s="25" t="str">
        <x:v>Pendiente: asignar con R/sf</x:v>
      </x:c>
    </x:row>
    <x:row r="586">
      <x:c r="A586" s="25" t="n">
        <x:v>585</x:v>
      </x:c>
      <x:c r="B586" s="26" t="n">
        <x:v>43322.29589120371</x:v>
      </x:c>
      <x:c r="C586" s="27" t="n">
        <x:f>INT(B586)</x:f>
        <x:v>43322</x:v>
      </x:c>
      <x:c r="D586" s="28" t="n">
        <x:f>MOD(B586,1)</x:f>
        <x:v>0.2958912037065602</x:v>
      </x:c>
      <x:c r="E586" s="29" t="n">
        <x:f>YEAR(B586)</x:f>
        <x:v>2018</x:v>
      </x:c>
      <x:c r="F586" s="29" t="n">
        <x:f>MONTH(B586)</x:f>
        <x:v>8</x:v>
      </x:c>
      <x:c r="G586" s="30" t="n">
        <x:v>-35.63</x:v>
      </x:c>
      <x:c r="H586" s="30" t="n">
        <x:v>-71.49</x:v>
      </x:c>
      <x:c r="I586" s="29" t="n">
        <x:v>87</x:v>
      </x:c>
      <x:c r="J586" s="31" t="n">
        <x:v>4</x:v>
      </x:c>
      <x:c r="K586" s="25" t="str">
        <x:f>IF(J586&gt;=7,"Muy fuerte (&gt;=7)",IF(J586&gt;=6,"Fuerte (6-6.9)",IF(J586&gt;=5,"Moderado alto (5-5.9)",IF(J586&gt;=4,"Moderado (4-4.9)","Menor a 4"))))</x:f>
        <x:v>Moderado (4-4.9)</x:v>
      </x:c>
      <x:c r="L586" s="25" t="str">
        <x:f>IF(I586&lt;70,"Superficial (&lt;70 km)",IF(I586&lt;=300,"Intermedio (70-300 km)","Profundo (&gt;300 km)"))</x:f>
        <x:v>Intermedio (70-300 km)</x:v>
      </x:c>
      <x:c r="M586" s="25" t="str">
        <x:f>IF(J586&gt;=5,"Sí","No")</x:f>
        <x:v>No</x:v>
      </x:c>
      <x:c r="N586" s="25" t="str">
        <x:f>IF(J586&gt;=6,"Sí","No")</x:f>
        <x:v>No</x:v>
      </x:c>
      <x:c r="O586" s="25" t="str">
        <x:v>Pendiente: asignar con R/sf</x:v>
      </x:c>
    </x:row>
    <x:row r="587">
      <x:c r="A587" s="25" t="n">
        <x:v>586</x:v>
      </x:c>
      <x:c r="B587" s="26" t="n">
        <x:v>43574.530173611114</x:v>
      </x:c>
      <x:c r="C587" s="27" t="n">
        <x:f>INT(B587)</x:f>
        <x:v>43574</x:v>
      </x:c>
      <x:c r="D587" s="28" t="n">
        <x:f>MOD(B587,1)</x:f>
        <x:v>0.5301736111141508</x:v>
      </x:c>
      <x:c r="E587" s="29" t="n">
        <x:f>YEAR(B587)</x:f>
        <x:v>2019</x:v>
      </x:c>
      <x:c r="F587" s="29" t="n">
        <x:f>MONTH(B587)</x:f>
        <x:v>4</x:v>
      </x:c>
      <x:c r="G587" s="30" t="n">
        <x:v>-22.91</x:v>
      </x:c>
      <x:c r="H587" s="30" t="n">
        <x:v>-69.02</x:v>
      </x:c>
      <x:c r="I587" s="29" t="n">
        <x:v>90</x:v>
      </x:c>
      <x:c r="J587" s="31" t="n">
        <x:v>4.2</x:v>
      </x:c>
      <x:c r="K587" s="25" t="str">
        <x:f>IF(J587&gt;=7,"Muy fuerte (&gt;=7)",IF(J587&gt;=6,"Fuerte (6-6.9)",IF(J587&gt;=5,"Moderado alto (5-5.9)",IF(J587&gt;=4,"Moderado (4-4.9)","Menor a 4"))))</x:f>
        <x:v>Moderado (4-4.9)</x:v>
      </x:c>
      <x:c r="L587" s="25" t="str">
        <x:f>IF(I587&lt;70,"Superficial (&lt;70 km)",IF(I587&lt;=300,"Intermedio (70-300 km)","Profundo (&gt;300 km)"))</x:f>
        <x:v>Intermedio (70-300 km)</x:v>
      </x:c>
      <x:c r="M587" s="25" t="str">
        <x:f>IF(J587&gt;=5,"Sí","No")</x:f>
        <x:v>No</x:v>
      </x:c>
      <x:c r="N587" s="25" t="str">
        <x:f>IF(J587&gt;=6,"Sí","No")</x:f>
        <x:v>No</x:v>
      </x:c>
      <x:c r="O587" s="25" t="str">
        <x:v>Pendiente: asignar con R/sf</x:v>
      </x:c>
    </x:row>
    <x:row r="588">
      <x:c r="A588" s="25" t="n">
        <x:v>587</x:v>
      </x:c>
      <x:c r="B588" s="26" t="n">
        <x:v>42994.716782407406</x:v>
      </x:c>
      <x:c r="C588" s="27" t="n">
        <x:f>INT(B588)</x:f>
        <x:v>42994</x:v>
      </x:c>
      <x:c r="D588" s="28" t="n">
        <x:f>MOD(B588,1)</x:f>
        <x:v>0.7167824074058444</x:v>
      </x:c>
      <x:c r="E588" s="29" t="n">
        <x:f>YEAR(B588)</x:f>
        <x:v>2017</x:v>
      </x:c>
      <x:c r="F588" s="29" t="n">
        <x:f>MONTH(B588)</x:f>
        <x:v>9</x:v>
      </x:c>
      <x:c r="G588" s="30" t="n">
        <x:v>-37.21</x:v>
      </x:c>
      <x:c r="H588" s="30" t="n">
        <x:v>-74.32</x:v>
      </x:c>
      <x:c r="I588" s="29" t="n">
        <x:v>27</x:v>
      </x:c>
      <x:c r="J588" s="31" t="n">
        <x:v>4.8</x:v>
      </x:c>
      <x:c r="K588" s="25" t="str">
        <x:f>IF(J588&gt;=7,"Muy fuerte (&gt;=7)",IF(J588&gt;=6,"Fuerte (6-6.9)",IF(J588&gt;=5,"Moderado alto (5-5.9)",IF(J588&gt;=4,"Moderado (4-4.9)","Menor a 4"))))</x:f>
        <x:v>Moderado (4-4.9)</x:v>
      </x:c>
      <x:c r="L588" s="25" t="str">
        <x:f>IF(I588&lt;70,"Superficial (&lt;70 km)",IF(I588&lt;=300,"Intermedio (70-300 km)","Profundo (&gt;300 km)"))</x:f>
        <x:v>Superficial (&lt;70 km)</x:v>
      </x:c>
      <x:c r="M588" s="25" t="str">
        <x:f>IF(J588&gt;=5,"Sí","No")</x:f>
        <x:v>No</x:v>
      </x:c>
      <x:c r="N588" s="25" t="str">
        <x:f>IF(J588&gt;=6,"Sí","No")</x:f>
        <x:v>No</x:v>
      </x:c>
      <x:c r="O588" s="25" t="str">
        <x:v>Pendiente: asignar con R/sf</x:v>
      </x:c>
    </x:row>
    <x:row r="589">
      <x:c r="A589" s="25" t="n">
        <x:v>588</x:v>
      </x:c>
      <x:c r="B589" s="26" t="n">
        <x:v>43226.114120370374</x:v>
      </x:c>
      <x:c r="C589" s="27" t="n">
        <x:f>INT(B589)</x:f>
        <x:v>43226</x:v>
      </x:c>
      <x:c r="D589" s="28" t="n">
        <x:f>MOD(B589,1)</x:f>
        <x:v>0.11412037037371192</x:v>
      </x:c>
      <x:c r="E589" s="29" t="n">
        <x:f>YEAR(B589)</x:f>
        <x:v>2018</x:v>
      </x:c>
      <x:c r="F589" s="29" t="n">
        <x:f>MONTH(B589)</x:f>
        <x:v>5</x:v>
      </x:c>
      <x:c r="G589" s="30" t="n">
        <x:v>-34.29</x:v>
      </x:c>
      <x:c r="H589" s="30" t="n">
        <x:v>-72.26</x:v>
      </x:c>
      <x:c r="I589" s="29" t="n">
        <x:v>35</x:v>
      </x:c>
      <x:c r="J589" s="31" t="n">
        <x:v>5</x:v>
      </x:c>
      <x:c r="K589" s="25" t="str">
        <x:f>IF(J589&gt;=7,"Muy fuerte (&gt;=7)",IF(J589&gt;=6,"Fuerte (6-6.9)",IF(J589&gt;=5,"Moderado alto (5-5.9)",IF(J589&gt;=4,"Moderado (4-4.9)","Menor a 4"))))</x:f>
        <x:v>Moderado alto (5-5.9)</x:v>
      </x:c>
      <x:c r="L589" s="25" t="str">
        <x:f>IF(I589&lt;70,"Superficial (&lt;70 km)",IF(I589&lt;=300,"Intermedio (70-300 km)","Profundo (&gt;300 km)"))</x:f>
        <x:v>Superficial (&lt;70 km)</x:v>
      </x:c>
      <x:c r="M589" s="25" t="str">
        <x:f>IF(J589&gt;=5,"Sí","No")</x:f>
        <x:v>Sí</x:v>
      </x:c>
      <x:c r="N589" s="25" t="str">
        <x:f>IF(J589&gt;=6,"Sí","No")</x:f>
        <x:v>No</x:v>
      </x:c>
      <x:c r="O589" s="25" t="str">
        <x:v>Pendiente: asignar con R/sf</x:v>
      </x:c>
    </x:row>
    <x:row r="590">
      <x:c r="A590" s="25" t="n">
        <x:v>589</x:v>
      </x:c>
      <x:c r="B590" s="26" t="n">
        <x:v>42785.29646990741</x:v>
      </x:c>
      <x:c r="C590" s="27" t="n">
        <x:f>INT(B590)</x:f>
        <x:v>42785</x:v>
      </x:c>
      <x:c r="D590" s="28" t="n">
        <x:f>MOD(B590,1)</x:f>
        <x:v>0.2964699074072996</x:v>
      </x:c>
      <x:c r="E590" s="29" t="n">
        <x:f>YEAR(B590)</x:f>
        <x:v>2017</x:v>
      </x:c>
      <x:c r="F590" s="29" t="n">
        <x:f>MONTH(B590)</x:f>
        <x:v>2</x:v>
      </x:c>
      <x:c r="G590" s="30" t="n">
        <x:v>-37.52</x:v>
      </x:c>
      <x:c r="H590" s="30" t="n">
        <x:v>-74.01</x:v>
      </x:c>
      <x:c r="I590" s="29" t="n">
        <x:v>39</x:v>
      </x:c>
      <x:c r="J590" s="31" t="n">
        <x:v>4.7</x:v>
      </x:c>
      <x:c r="K590" s="25" t="str">
        <x:f>IF(J590&gt;=7,"Muy fuerte (&gt;=7)",IF(J590&gt;=6,"Fuerte (6-6.9)",IF(J590&gt;=5,"Moderado alto (5-5.9)",IF(J590&gt;=4,"Moderado (4-4.9)","Menor a 4"))))</x:f>
        <x:v>Moderado (4-4.9)</x:v>
      </x:c>
      <x:c r="L590" s="25" t="str">
        <x:f>IF(I590&lt;70,"Superficial (&lt;70 km)",IF(I590&lt;=300,"Intermedio (70-300 km)","Profundo (&gt;300 km)"))</x:f>
        <x:v>Superficial (&lt;70 km)</x:v>
      </x:c>
      <x:c r="M590" s="25" t="str">
        <x:f>IF(J590&gt;=5,"Sí","No")</x:f>
        <x:v>No</x:v>
      </x:c>
      <x:c r="N590" s="25" t="str">
        <x:f>IF(J590&gt;=6,"Sí","No")</x:f>
        <x:v>No</x:v>
      </x:c>
      <x:c r="O590" s="25" t="str">
        <x:v>Pendiente: asignar con R/sf</x:v>
      </x:c>
    </x:row>
    <x:row r="591">
      <x:c r="A591" s="25" t="n">
        <x:v>590</x:v>
      </x:c>
      <x:c r="B591" s="26" t="n">
        <x:v>43126.64333333333</x:v>
      </x:c>
      <x:c r="C591" s="27" t="n">
        <x:f>INT(B591)</x:f>
        <x:v>43126</x:v>
      </x:c>
      <x:c r="D591" s="28" t="n">
        <x:f>MOD(B591,1)</x:f>
        <x:v>0.6433333333334303</x:v>
      </x:c>
      <x:c r="E591" s="29" t="n">
        <x:f>YEAR(B591)</x:f>
        <x:v>2018</x:v>
      </x:c>
      <x:c r="F591" s="29" t="n">
        <x:f>MONTH(B591)</x:f>
        <x:v>1</x:v>
      </x:c>
      <x:c r="G591" s="30" t="n">
        <x:v>-37.58</x:v>
      </x:c>
      <x:c r="H591" s="30" t="n">
        <x:v>-73.93</x:v>
      </x:c>
      <x:c r="I591" s="29" t="n">
        <x:v>21</x:v>
      </x:c>
      <x:c r="J591" s="31" t="n">
        <x:v>4.8</x:v>
      </x:c>
      <x:c r="K591" s="25" t="str">
        <x:f>IF(J591&gt;=7,"Muy fuerte (&gt;=7)",IF(J591&gt;=6,"Fuerte (6-6.9)",IF(J591&gt;=5,"Moderado alto (5-5.9)",IF(J591&gt;=4,"Moderado (4-4.9)","Menor a 4"))))</x:f>
        <x:v>Moderado (4-4.9)</x:v>
      </x:c>
      <x:c r="L591" s="25" t="str">
        <x:f>IF(I591&lt;70,"Superficial (&lt;70 km)",IF(I591&lt;=300,"Intermedio (70-300 km)","Profundo (&gt;300 km)"))</x:f>
        <x:v>Superficial (&lt;70 km)</x:v>
      </x:c>
      <x:c r="M591" s="25" t="str">
        <x:f>IF(J591&gt;=5,"Sí","No")</x:f>
        <x:v>No</x:v>
      </x:c>
      <x:c r="N591" s="25" t="str">
        <x:f>IF(J591&gt;=6,"Sí","No")</x:f>
        <x:v>No</x:v>
      </x:c>
      <x:c r="O591" s="25" t="str">
        <x:v>Pendiente: asignar con R/sf</x:v>
      </x:c>
    </x:row>
    <x:row r="592">
      <x:c r="A592" s="25" t="n">
        <x:v>591</x:v>
      </x:c>
      <x:c r="B592" s="26" t="n">
        <x:v>43526.84853009259</x:v>
      </x:c>
      <x:c r="C592" s="27" t="n">
        <x:f>INT(B592)</x:f>
        <x:v>43526</x:v>
      </x:c>
      <x:c r="D592" s="28" t="n">
        <x:f>MOD(B592,1)</x:f>
        <x:v>0.848530092589499</x:v>
      </x:c>
      <x:c r="E592" s="29" t="n">
        <x:f>YEAR(B592)</x:f>
        <x:v>2019</x:v>
      </x:c>
      <x:c r="F592" s="29" t="n">
        <x:f>MONTH(B592)</x:f>
        <x:v>3</x:v>
      </x:c>
      <x:c r="G592" s="30" t="n">
        <x:v>-33.67</x:v>
      </x:c>
      <x:c r="H592" s="30" t="n">
        <x:v>-72.5</x:v>
      </x:c>
      <x:c r="I592" s="29" t="n">
        <x:v>16</x:v>
      </x:c>
      <x:c r="J592" s="31" t="n">
        <x:v>5.3</x:v>
      </x:c>
      <x:c r="K592" s="25" t="str">
        <x:f>IF(J592&gt;=7,"Muy fuerte (&gt;=7)",IF(J592&gt;=6,"Fuerte (6-6.9)",IF(J592&gt;=5,"Moderado alto (5-5.9)",IF(J592&gt;=4,"Moderado (4-4.9)","Menor a 4"))))</x:f>
        <x:v>Moderado alto (5-5.9)</x:v>
      </x:c>
      <x:c r="L592" s="25" t="str">
        <x:f>IF(I592&lt;70,"Superficial (&lt;70 km)",IF(I592&lt;=300,"Intermedio (70-300 km)","Profundo (&gt;300 km)"))</x:f>
        <x:v>Superficial (&lt;70 km)</x:v>
      </x:c>
      <x:c r="M592" s="25" t="str">
        <x:f>IF(J592&gt;=5,"Sí","No")</x:f>
        <x:v>Sí</x:v>
      </x:c>
      <x:c r="N592" s="25" t="str">
        <x:f>IF(J592&gt;=6,"Sí","No")</x:f>
        <x:v>No</x:v>
      </x:c>
      <x:c r="O592" s="25" t="str">
        <x:v>Pendiente: asignar con R/sf</x:v>
      </x:c>
    </x:row>
    <x:row r="593">
      <x:c r="A593" s="25" t="n">
        <x:v>592</x:v>
      </x:c>
      <x:c r="B593" s="26" t="n">
        <x:v>43630.17680555556</x:v>
      </x:c>
      <x:c r="C593" s="27" t="n">
        <x:f>INT(B593)</x:f>
        <x:v>43630</x:v>
      </x:c>
      <x:c r="D593" s="28" t="n">
        <x:f>MOD(B593,1)</x:f>
        <x:v>0.1768055555585306</x:v>
      </x:c>
      <x:c r="E593" s="29" t="n">
        <x:f>YEAR(B593)</x:f>
        <x:v>2019</x:v>
      </x:c>
      <x:c r="F593" s="29" t="n">
        <x:f>MONTH(B593)</x:f>
        <x:v>6</x:v>
      </x:c>
      <x:c r="G593" s="30" t="n">
        <x:v>-32.98</x:v>
      </x:c>
      <x:c r="H593" s="30" t="n">
        <x:v>-70.72</x:v>
      </x:c>
      <x:c r="I593" s="29" t="n">
        <x:v>85</x:v>
      </x:c>
      <x:c r="J593" s="31" t="n">
        <x:v>4.4</x:v>
      </x:c>
      <x:c r="K593" s="25" t="str">
        <x:f>IF(J593&gt;=7,"Muy fuerte (&gt;=7)",IF(J593&gt;=6,"Fuerte (6-6.9)",IF(J593&gt;=5,"Moderado alto (5-5.9)",IF(J593&gt;=4,"Moderado (4-4.9)","Menor a 4"))))</x:f>
        <x:v>Moderado (4-4.9)</x:v>
      </x:c>
      <x:c r="L593" s="25" t="str">
        <x:f>IF(I593&lt;70,"Superficial (&lt;70 km)",IF(I593&lt;=300,"Intermedio (70-300 km)","Profundo (&gt;300 km)"))</x:f>
        <x:v>Intermedio (70-300 km)</x:v>
      </x:c>
      <x:c r="M593" s="25" t="str">
        <x:f>IF(J593&gt;=5,"Sí","No")</x:f>
        <x:v>No</x:v>
      </x:c>
      <x:c r="N593" s="25" t="str">
        <x:f>IF(J593&gt;=6,"Sí","No")</x:f>
        <x:v>No</x:v>
      </x:c>
      <x:c r="O593" s="25" t="str">
        <x:v>Pendiente: asignar con R/sf</x:v>
      </x:c>
    </x:row>
    <x:row r="594">
      <x:c r="A594" s="25" t="n">
        <x:v>593</x:v>
      </x:c>
      <x:c r="B594" s="26" t="n">
        <x:v>42785.87934027778</x:v>
      </x:c>
      <x:c r="C594" s="27" t="n">
        <x:f>INT(B594)</x:f>
        <x:v>42785</x:v>
      </x:c>
      <x:c r="D594" s="28" t="n">
        <x:f>MOD(B594,1)</x:f>
        <x:v>0.8793402777810115</x:v>
      </x:c>
      <x:c r="E594" s="29" t="n">
        <x:f>YEAR(B594)</x:f>
        <x:v>2017</x:v>
      </x:c>
      <x:c r="F594" s="29" t="n">
        <x:f>MONTH(B594)</x:f>
        <x:v>2</x:v>
      </x:c>
      <x:c r="G594" s="30" t="n">
        <x:v>-37.44</x:v>
      </x:c>
      <x:c r="H594" s="30" t="n">
        <x:v>-74.18</x:v>
      </x:c>
      <x:c r="I594" s="29" t="n">
        <x:v>24</x:v>
      </x:c>
      <x:c r="J594" s="31" t="n">
        <x:v>4.5</x:v>
      </x:c>
      <x:c r="K594" s="25" t="str">
        <x:f>IF(J594&gt;=7,"Muy fuerte (&gt;=7)",IF(J594&gt;=6,"Fuerte (6-6.9)",IF(J594&gt;=5,"Moderado alto (5-5.9)",IF(J594&gt;=4,"Moderado (4-4.9)","Menor a 4"))))</x:f>
        <x:v>Moderado (4-4.9)</x:v>
      </x:c>
      <x:c r="L594" s="25" t="str">
        <x:f>IF(I594&lt;70,"Superficial (&lt;70 km)",IF(I594&lt;=300,"Intermedio (70-300 km)","Profundo (&gt;300 km)"))</x:f>
        <x:v>Superficial (&lt;70 km)</x:v>
      </x:c>
      <x:c r="M594" s="25" t="str">
        <x:f>IF(J594&gt;=5,"Sí","No")</x:f>
        <x:v>No</x:v>
      </x:c>
      <x:c r="N594" s="25" t="str">
        <x:f>IF(J594&gt;=6,"Sí","No")</x:f>
        <x:v>No</x:v>
      </x:c>
      <x:c r="O594" s="25" t="str">
        <x:v>Pendiente: asignar con R/sf</x:v>
      </x:c>
    </x:row>
    <x:row r="595">
      <x:c r="A595" s="25" t="n">
        <x:v>594</x:v>
      </x:c>
      <x:c r="B595" s="26" t="n">
        <x:v>43601.065405092595</x:v>
      </x:c>
      <x:c r="C595" s="27" t="n">
        <x:f>INT(B595)</x:f>
        <x:v>43601</x:v>
      </x:c>
      <x:c r="D595" s="28" t="n">
        <x:f>MOD(B595,1)</x:f>
        <x:v>0.06540509259502869</x:v>
      </x:c>
      <x:c r="E595" s="29" t="n">
        <x:f>YEAR(B595)</x:f>
        <x:v>2019</x:v>
      </x:c>
      <x:c r="F595" s="29" t="n">
        <x:f>MONTH(B595)</x:f>
        <x:v>5</x:v>
      </x:c>
      <x:c r="G595" s="30" t="n">
        <x:v>-34.47</x:v>
      </x:c>
      <x:c r="H595" s="30" t="n">
        <x:v>-71.96</x:v>
      </x:c>
      <x:c r="I595" s="29" t="n">
        <x:v>28</x:v>
      </x:c>
      <x:c r="J595" s="31" t="n">
        <x:v>4</x:v>
      </x:c>
      <x:c r="K595" s="25" t="str">
        <x:f>IF(J595&gt;=7,"Muy fuerte (&gt;=7)",IF(J595&gt;=6,"Fuerte (6-6.9)",IF(J595&gt;=5,"Moderado alto (5-5.9)",IF(J595&gt;=4,"Moderado (4-4.9)","Menor a 4"))))</x:f>
        <x:v>Moderado (4-4.9)</x:v>
      </x:c>
      <x:c r="L595" s="25" t="str">
        <x:f>IF(I595&lt;70,"Superficial (&lt;70 km)",IF(I595&lt;=300,"Intermedio (70-300 km)","Profundo (&gt;300 km)"))</x:f>
        <x:v>Superficial (&lt;70 km)</x:v>
      </x:c>
      <x:c r="M595" s="25" t="str">
        <x:f>IF(J595&gt;=5,"Sí","No")</x:f>
        <x:v>No</x:v>
      </x:c>
      <x:c r="N595" s="25" t="str">
        <x:f>IF(J595&gt;=6,"Sí","No")</x:f>
        <x:v>No</x:v>
      </x:c>
      <x:c r="O595" s="25" t="str">
        <x:v>Pendiente: asignar con R/sf</x:v>
      </x:c>
    </x:row>
    <x:row r="596">
      <x:c r="A596" s="25" t="n">
        <x:v>595</x:v>
      </x:c>
      <x:c r="B596" s="26" t="n">
        <x:v>43465.32980324074</x:v>
      </x:c>
      <x:c r="C596" s="27" t="n">
        <x:f>INT(B596)</x:f>
        <x:v>43465</x:v>
      </x:c>
      <x:c r="D596" s="28" t="n">
        <x:f>MOD(B596,1)</x:f>
        <x:v>0.3298032407401479</x:v>
      </x:c>
      <x:c r="E596" s="29" t="n">
        <x:f>YEAR(B596)</x:f>
        <x:v>2018</x:v>
      </x:c>
      <x:c r="F596" s="29" t="n">
        <x:f>MONTH(B596)</x:f>
        <x:v>12</x:v>
      </x:c>
      <x:c r="G596" s="30" t="n">
        <x:v>-23.13</x:v>
      </x:c>
      <x:c r="H596" s="30" t="n">
        <x:v>-69.12</x:v>
      </x:c>
      <x:c r="I596" s="29" t="n">
        <x:v>89</x:v>
      </x:c>
      <x:c r="J596" s="31" t="n">
        <x:v>4.1</x:v>
      </x:c>
      <x:c r="K596" s="25" t="str">
        <x:f>IF(J596&gt;=7,"Muy fuerte (&gt;=7)",IF(J596&gt;=6,"Fuerte (6-6.9)",IF(J596&gt;=5,"Moderado alto (5-5.9)",IF(J596&gt;=4,"Moderado (4-4.9)","Menor a 4"))))</x:f>
        <x:v>Moderado (4-4.9)</x:v>
      </x:c>
      <x:c r="L596" s="25" t="str">
        <x:f>IF(I596&lt;70,"Superficial (&lt;70 km)",IF(I596&lt;=300,"Intermedio (70-300 km)","Profundo (&gt;300 km)"))</x:f>
        <x:v>Intermedio (70-300 km)</x:v>
      </x:c>
      <x:c r="M596" s="25" t="str">
        <x:f>IF(J596&gt;=5,"Sí","No")</x:f>
        <x:v>No</x:v>
      </x:c>
      <x:c r="N596" s="25" t="str">
        <x:f>IF(J596&gt;=6,"Sí","No")</x:f>
        <x:v>No</x:v>
      </x:c>
      <x:c r="O596" s="25" t="str">
        <x:v>Pendiente: asignar con R/sf</x:v>
      </x:c>
    </x:row>
    <x:row r="597">
      <x:c r="A597" s="25" t="n">
        <x:v>596</x:v>
      </x:c>
      <x:c r="B597" s="26" t="n">
        <x:v>43558.758784722224</x:v>
      </x:c>
      <x:c r="C597" s="27" t="n">
        <x:f>INT(B597)</x:f>
        <x:v>43558</x:v>
      </x:c>
      <x:c r="D597" s="28" t="n">
        <x:f>MOD(B597,1)</x:f>
        <x:v>0.7587847222239361</x:v>
      </x:c>
      <x:c r="E597" s="29" t="n">
        <x:f>YEAR(B597)</x:f>
        <x:v>2019</x:v>
      </x:c>
      <x:c r="F597" s="29" t="n">
        <x:f>MONTH(B597)</x:f>
        <x:v>4</x:v>
      </x:c>
      <x:c r="G597" s="30" t="n">
        <x:v>-32.89</x:v>
      </x:c>
      <x:c r="H597" s="30" t="n">
        <x:v>-70.39</x:v>
      </x:c>
      <x:c r="I597" s="29" t="n">
        <x:v>97</x:v>
      </x:c>
      <x:c r="J597" s="31" t="n">
        <x:v>4.1</x:v>
      </x:c>
      <x:c r="K597" s="25" t="str">
        <x:f>IF(J597&gt;=7,"Muy fuerte (&gt;=7)",IF(J597&gt;=6,"Fuerte (6-6.9)",IF(J597&gt;=5,"Moderado alto (5-5.9)",IF(J597&gt;=4,"Moderado (4-4.9)","Menor a 4"))))</x:f>
        <x:v>Moderado (4-4.9)</x:v>
      </x:c>
      <x:c r="L597" s="25" t="str">
        <x:f>IF(I597&lt;70,"Superficial (&lt;70 km)",IF(I597&lt;=300,"Intermedio (70-300 km)","Profundo (&gt;300 km)"))</x:f>
        <x:v>Intermedio (70-300 km)</x:v>
      </x:c>
      <x:c r="M597" s="25" t="str">
        <x:f>IF(J597&gt;=5,"Sí","No")</x:f>
        <x:v>No</x:v>
      </x:c>
      <x:c r="N597" s="25" t="str">
        <x:f>IF(J597&gt;=6,"Sí","No")</x:f>
        <x:v>No</x:v>
      </x:c>
      <x:c r="O597" s="25" t="str">
        <x:v>Pendiente: asignar con R/sf</x:v>
      </x:c>
    </x:row>
    <x:row r="598">
      <x:c r="A598" s="25" t="n">
        <x:v>597</x:v>
      </x:c>
      <x:c r="B598" s="26" t="n">
        <x:v>43505.98673611111</x:v>
      </x:c>
      <x:c r="C598" s="27" t="n">
        <x:f>INT(B598)</x:f>
        <x:v>43505</x:v>
      </x:c>
      <x:c r="D598" s="28" t="n">
        <x:f>MOD(B598,1)</x:f>
        <x:v>0.9867361111100763</x:v>
      </x:c>
      <x:c r="E598" s="29" t="n">
        <x:f>YEAR(B598)</x:f>
        <x:v>2019</x:v>
      </x:c>
      <x:c r="F598" s="29" t="n">
        <x:f>MONTH(B598)</x:f>
        <x:v>2</x:v>
      </x:c>
      <x:c r="G598" s="30" t="n">
        <x:v>-22.83</x:v>
      </x:c>
      <x:c r="H598" s="30" t="n">
        <x:v>-68.72</x:v>
      </x:c>
      <x:c r="I598" s="29" t="n">
        <x:v>110</x:v>
      </x:c>
      <x:c r="J598" s="31" t="n">
        <x:v>4.6</x:v>
      </x:c>
      <x:c r="K598" s="25" t="str">
        <x:f>IF(J598&gt;=7,"Muy fuerte (&gt;=7)",IF(J598&gt;=6,"Fuerte (6-6.9)",IF(J598&gt;=5,"Moderado alto (5-5.9)",IF(J598&gt;=4,"Moderado (4-4.9)","Menor a 4"))))</x:f>
        <x:v>Moderado (4-4.9)</x:v>
      </x:c>
      <x:c r="L598" s="25" t="str">
        <x:f>IF(I598&lt;70,"Superficial (&lt;70 km)",IF(I598&lt;=300,"Intermedio (70-300 km)","Profundo (&gt;300 km)"))</x:f>
        <x:v>Intermedio (70-300 km)</x:v>
      </x:c>
      <x:c r="M598" s="25" t="str">
        <x:f>IF(J598&gt;=5,"Sí","No")</x:f>
        <x:v>No</x:v>
      </x:c>
      <x:c r="N598" s="25" t="str">
        <x:f>IF(J598&gt;=6,"Sí","No")</x:f>
        <x:v>No</x:v>
      </x:c>
      <x:c r="O598" s="25" t="str">
        <x:v>Pendiente: asignar con R/sf</x:v>
      </x:c>
    </x:row>
    <x:row r="599">
      <x:c r="A599" s="25" t="n">
        <x:v>598</x:v>
      </x:c>
      <x:c r="B599" s="26" t="n">
        <x:v>42786.56244212963</x:v>
      </x:c>
      <x:c r="C599" s="27" t="n">
        <x:f>INT(B599)</x:f>
        <x:v>42786</x:v>
      </x:c>
      <x:c r="D599" s="28" t="n">
        <x:f>MOD(B599,1)</x:f>
        <x:v>0.5624421296306537</x:v>
      </x:c>
      <x:c r="E599" s="29" t="n">
        <x:f>YEAR(B599)</x:f>
        <x:v>2017</x:v>
      </x:c>
      <x:c r="F599" s="29" t="n">
        <x:f>MONTH(B599)</x:f>
        <x:v>2</x:v>
      </x:c>
      <x:c r="G599" s="30" t="n">
        <x:v>-37.55</x:v>
      </x:c>
      <x:c r="H599" s="30" t="n">
        <x:v>-73.74</x:v>
      </x:c>
      <x:c r="I599" s="29" t="n">
        <x:v>44</x:v>
      </x:c>
      <x:c r="J599" s="31" t="n">
        <x:v>4.2</x:v>
      </x:c>
      <x:c r="K599" s="25" t="str">
        <x:f>IF(J599&gt;=7,"Muy fuerte (&gt;=7)",IF(J599&gt;=6,"Fuerte (6-6.9)",IF(J599&gt;=5,"Moderado alto (5-5.9)",IF(J599&gt;=4,"Moderado (4-4.9)","Menor a 4"))))</x:f>
        <x:v>Moderado (4-4.9)</x:v>
      </x:c>
      <x:c r="L599" s="25" t="str">
        <x:f>IF(I599&lt;70,"Superficial (&lt;70 km)",IF(I599&lt;=300,"Intermedio (70-300 km)","Profundo (&gt;300 km)"))</x:f>
        <x:v>Superficial (&lt;70 km)</x:v>
      </x:c>
      <x:c r="M599" s="25" t="str">
        <x:f>IF(J599&gt;=5,"Sí","No")</x:f>
        <x:v>No</x:v>
      </x:c>
      <x:c r="N599" s="25" t="str">
        <x:f>IF(J599&gt;=6,"Sí","No")</x:f>
        <x:v>No</x:v>
      </x:c>
      <x:c r="O599" s="25" t="str">
        <x:v>Pendiente: asignar con R/sf</x:v>
      </x:c>
    </x:row>
    <x:row r="600">
      <x:c r="A600" s="25" t="n">
        <x:v>599</x:v>
      </x:c>
      <x:c r="B600" s="26" t="n">
        <x:v>43746.262557870374</x:v>
      </x:c>
      <x:c r="C600" s="27" t="n">
        <x:f>INT(B600)</x:f>
        <x:v>43746</x:v>
      </x:c>
      <x:c r="D600" s="28" t="n">
        <x:f>MOD(B600,1)</x:f>
        <x:v>0.2625578703737119</x:v>
      </x:c>
      <x:c r="E600" s="29" t="n">
        <x:f>YEAR(B600)</x:f>
        <x:v>2019</x:v>
      </x:c>
      <x:c r="F600" s="29" t="n">
        <x:f>MONTH(B600)</x:f>
        <x:v>10</x:v>
      </x:c>
      <x:c r="G600" s="30" t="n">
        <x:v>-18.1</x:v>
      </x:c>
      <x:c r="H600" s="30" t="n">
        <x:v>-69.75</x:v>
      </x:c>
      <x:c r="I600" s="29" t="n">
        <x:v>128</x:v>
      </x:c>
      <x:c r="J600" s="31" t="n">
        <x:v>4.6</x:v>
      </x:c>
      <x:c r="K600" s="25" t="str">
        <x:f>IF(J600&gt;=7,"Muy fuerte (&gt;=7)",IF(J600&gt;=6,"Fuerte (6-6.9)",IF(J600&gt;=5,"Moderado alto (5-5.9)",IF(J600&gt;=4,"Moderado (4-4.9)","Menor a 4"))))</x:f>
        <x:v>Moderado (4-4.9)</x:v>
      </x:c>
      <x:c r="L600" s="25" t="str">
        <x:f>IF(I600&lt;70,"Superficial (&lt;70 km)",IF(I600&lt;=300,"Intermedio (70-300 km)","Profundo (&gt;300 km)"))</x:f>
        <x:v>Intermedio (70-300 km)</x:v>
      </x:c>
      <x:c r="M600" s="25" t="str">
        <x:f>IF(J600&gt;=5,"Sí","No")</x:f>
        <x:v>No</x:v>
      </x:c>
      <x:c r="N600" s="25" t="str">
        <x:f>IF(J600&gt;=6,"Sí","No")</x:f>
        <x:v>No</x:v>
      </x:c>
      <x:c r="O600" s="25" t="str">
        <x:v>Pendiente: asignar con R/sf</x:v>
      </x:c>
    </x:row>
    <x:row r="601">
      <x:c r="A601" s="25" t="n">
        <x:v>600</x:v>
      </x:c>
      <x:c r="B601" s="26" t="n">
        <x:v>43759.4002662037</x:v>
      </x:c>
      <x:c r="C601" s="27" t="n">
        <x:f>INT(B601)</x:f>
        <x:v>43759</x:v>
      </x:c>
      <x:c r="D601" s="28" t="n">
        <x:f>MOD(B601,1)</x:f>
        <x:v>0.4002662037019036</x:v>
      </x:c>
      <x:c r="E601" s="29" t="n">
        <x:f>YEAR(B601)</x:f>
        <x:v>2019</x:v>
      </x:c>
      <x:c r="F601" s="29" t="n">
        <x:f>MONTH(B601)</x:f>
        <x:v>10</x:v>
      </x:c>
      <x:c r="G601" s="30" t="n">
        <x:v>-38.95</x:v>
      </x:c>
      <x:c r="H601" s="30" t="n">
        <x:v>-72.85</x:v>
      </x:c>
      <x:c r="I601" s="29" t="n">
        <x:v>60</x:v>
      </x:c>
      <x:c r="J601" s="31" t="n">
        <x:v>5</x:v>
      </x:c>
      <x:c r="K601" s="25" t="str">
        <x:f>IF(J601&gt;=7,"Muy fuerte (&gt;=7)",IF(J601&gt;=6,"Fuerte (6-6.9)",IF(J601&gt;=5,"Moderado alto (5-5.9)",IF(J601&gt;=4,"Moderado (4-4.9)","Menor a 4"))))</x:f>
        <x:v>Moderado alto (5-5.9)</x:v>
      </x:c>
      <x:c r="L601" s="25" t="str">
        <x:f>IF(I601&lt;70,"Superficial (&lt;70 km)",IF(I601&lt;=300,"Intermedio (70-300 km)","Profundo (&gt;300 km)"))</x:f>
        <x:v>Superficial (&lt;70 km)</x:v>
      </x:c>
      <x:c r="M601" s="25" t="str">
        <x:f>IF(J601&gt;=5,"Sí","No")</x:f>
        <x:v>Sí</x:v>
      </x:c>
      <x:c r="N601" s="25" t="str">
        <x:f>IF(J601&gt;=6,"Sí","No")</x:f>
        <x:v>No</x:v>
      </x:c>
      <x:c r="O601" s="25" t="str">
        <x:v>Pendiente: asignar con R/sf</x:v>
      </x:c>
    </x:row>
    <x:row r="602">
      <x:c r="A602" s="25" t="n">
        <x:v>601</x:v>
      </x:c>
      <x:c r="B602" s="26" t="n">
        <x:v>43744.445081018515</x:v>
      </x:c>
      <x:c r="C602" s="27" t="n">
        <x:f>INT(B602)</x:f>
        <x:v>43744</x:v>
      </x:c>
      <x:c r="D602" s="28" t="n">
        <x:f>MOD(B602,1)</x:f>
        <x:v>0.44508101851533866</x:v>
      </x:c>
      <x:c r="E602" s="29" t="n">
        <x:f>YEAR(B602)</x:f>
        <x:v>2019</x:v>
      </x:c>
      <x:c r="F602" s="29" t="n">
        <x:f>MONTH(B602)</x:f>
        <x:v>10</x:v>
      </x:c>
      <x:c r="G602" s="30" t="n">
        <x:v>-21.9</x:v>
      </x:c>
      <x:c r="H602" s="30" t="n">
        <x:v>-68.61</x:v>
      </x:c>
      <x:c r="I602" s="29" t="n">
        <x:v>114</x:v>
      </x:c>
      <x:c r="J602" s="31" t="n">
        <x:v>5.7</x:v>
      </x:c>
      <x:c r="K602" s="25" t="str">
        <x:f>IF(J602&gt;=7,"Muy fuerte (&gt;=7)",IF(J602&gt;=6,"Fuerte (6-6.9)",IF(J602&gt;=5,"Moderado alto (5-5.9)",IF(J602&gt;=4,"Moderado (4-4.9)","Menor a 4"))))</x:f>
        <x:v>Moderado alto (5-5.9)</x:v>
      </x:c>
      <x:c r="L602" s="25" t="str">
        <x:f>IF(I602&lt;70,"Superficial (&lt;70 km)",IF(I602&lt;=300,"Intermedio (70-300 km)","Profundo (&gt;300 km)"))</x:f>
        <x:v>Intermedio (70-300 km)</x:v>
      </x:c>
      <x:c r="M602" s="25" t="str">
        <x:f>IF(J602&gt;=5,"Sí","No")</x:f>
        <x:v>Sí</x:v>
      </x:c>
      <x:c r="N602" s="25" t="str">
        <x:f>IF(J602&gt;=6,"Sí","No")</x:f>
        <x:v>No</x:v>
      </x:c>
      <x:c r="O602" s="25" t="str">
        <x:v>Pendiente: asignar con R/sf</x:v>
      </x:c>
    </x:row>
    <x:row r="603">
      <x:c r="A603" s="25" t="n">
        <x:v>602</x:v>
      </x:c>
      <x:c r="B603" s="26" t="n">
        <x:v>43766.16332175926</x:v>
      </x:c>
      <x:c r="C603" s="27" t="n">
        <x:f>INT(B603)</x:f>
        <x:v>43766</x:v>
      </x:c>
      <x:c r="D603" s="28" t="n">
        <x:f>MOD(B603,1)</x:f>
        <x:v>0.16332175926072523</x:v>
      </x:c>
      <x:c r="E603" s="29" t="n">
        <x:f>YEAR(B603)</x:f>
        <x:v>2019</x:v>
      </x:c>
      <x:c r="F603" s="29" t="n">
        <x:f>MONTH(B603)</x:f>
        <x:v>10</x:v>
      </x:c>
      <x:c r="G603" s="30" t="n">
        <x:v>-30.23</x:v>
      </x:c>
      <x:c r="H603" s="30" t="n">
        <x:v>-69.16</x:v>
      </x:c>
      <x:c r="I603" s="29" t="n">
        <x:v>28</x:v>
      </x:c>
      <x:c r="J603" s="31" t="n">
        <x:v>5.4</x:v>
      </x:c>
      <x:c r="K603" s="25" t="str">
        <x:f>IF(J603&gt;=7,"Muy fuerte (&gt;=7)",IF(J603&gt;=6,"Fuerte (6-6.9)",IF(J603&gt;=5,"Moderado alto (5-5.9)",IF(J603&gt;=4,"Moderado (4-4.9)","Menor a 4"))))</x:f>
        <x:v>Moderado alto (5-5.9)</x:v>
      </x:c>
      <x:c r="L603" s="25" t="str">
        <x:f>IF(I603&lt;70,"Superficial (&lt;70 km)",IF(I603&lt;=300,"Intermedio (70-300 km)","Profundo (&gt;300 km)"))</x:f>
        <x:v>Superficial (&lt;70 km)</x:v>
      </x:c>
      <x:c r="M603" s="25" t="str">
        <x:f>IF(J603&gt;=5,"Sí","No")</x:f>
        <x:v>Sí</x:v>
      </x:c>
      <x:c r="N603" s="25" t="str">
        <x:f>IF(J603&gt;=6,"Sí","No")</x:f>
        <x:v>No</x:v>
      </x:c>
      <x:c r="O603" s="25" t="str">
        <x:v>Pendiente: asignar con R/sf</x:v>
      </x:c>
    </x:row>
    <x:row r="604">
      <x:c r="A604" s="25" t="n">
        <x:v>603</x:v>
      </x:c>
      <x:c r="B604" s="26" t="n">
        <x:v>43242.175520833334</x:v>
      </x:c>
      <x:c r="C604" s="27" t="n">
        <x:f>INT(B604)</x:f>
        <x:v>43242</x:v>
      </x:c>
      <x:c r="D604" s="28" t="n">
        <x:f>MOD(B604,1)</x:f>
        <x:v>0.17552083333430346</x:v>
      </x:c>
      <x:c r="E604" s="29" t="n">
        <x:f>YEAR(B604)</x:f>
        <x:v>2018</x:v>
      </x:c>
      <x:c r="F604" s="29" t="n">
        <x:f>MONTH(B604)</x:f>
        <x:v>5</x:v>
      </x:c>
      <x:c r="G604" s="30" t="n">
        <x:v>-41.38</x:v>
      </x:c>
      <x:c r="H604" s="30" t="n">
        <x:v>-73.75</x:v>
      </x:c>
      <x:c r="I604" s="29" t="n">
        <x:v>50</x:v>
      </x:c>
      <x:c r="J604" s="31" t="n">
        <x:v>4.1</x:v>
      </x:c>
      <x:c r="K604" s="25" t="str">
        <x:f>IF(J604&gt;=7,"Muy fuerte (&gt;=7)",IF(J604&gt;=6,"Fuerte (6-6.9)",IF(J604&gt;=5,"Moderado alto (5-5.9)",IF(J604&gt;=4,"Moderado (4-4.9)","Menor a 4"))))</x:f>
        <x:v>Moderado (4-4.9)</x:v>
      </x:c>
      <x:c r="L604" s="25" t="str">
        <x:f>IF(I604&lt;70,"Superficial (&lt;70 km)",IF(I604&lt;=300,"Intermedio (70-300 km)","Profundo (&gt;300 km)"))</x:f>
        <x:v>Superficial (&lt;70 km)</x:v>
      </x:c>
      <x:c r="M604" s="25" t="str">
        <x:f>IF(J604&gt;=5,"Sí","No")</x:f>
        <x:v>No</x:v>
      </x:c>
      <x:c r="N604" s="25" t="str">
        <x:f>IF(J604&gt;=6,"Sí","No")</x:f>
        <x:v>No</x:v>
      </x:c>
      <x:c r="O604" s="25" t="str">
        <x:v>Pendiente: asignar con R/sf</x:v>
      </x:c>
    </x:row>
    <x:row r="605">
      <x:c r="A605" s="25" t="n">
        <x:v>604</x:v>
      </x:c>
      <x:c r="B605" s="26" t="n">
        <x:v>43798.46255787037</x:v>
      </x:c>
      <x:c r="C605" s="27" t="n">
        <x:f>INT(B605)</x:f>
        <x:v>43798</x:v>
      </x:c>
      <x:c r="D605" s="28" t="n">
        <x:f>MOD(B605,1)</x:f>
        <x:v>0.46255787037080154</x:v>
      </x:c>
      <x:c r="E605" s="29" t="n">
        <x:f>YEAR(B605)</x:f>
        <x:v>2019</x:v>
      </x:c>
      <x:c r="F605" s="29" t="n">
        <x:f>MONTH(B605)</x:f>
        <x:v>11</x:v>
      </x:c>
      <x:c r="G605" s="30" t="n">
        <x:v>-21.34</x:v>
      </x:c>
      <x:c r="H605" s="30" t="n">
        <x:v>-68.93</x:v>
      </x:c>
      <x:c r="I605" s="29" t="n">
        <x:v>121</x:v>
      </x:c>
      <x:c r="J605" s="31" t="n">
        <x:v>5.1</x:v>
      </x:c>
      <x:c r="K605" s="25" t="str">
        <x:f>IF(J605&gt;=7,"Muy fuerte (&gt;=7)",IF(J605&gt;=6,"Fuerte (6-6.9)",IF(J605&gt;=5,"Moderado alto (5-5.9)",IF(J605&gt;=4,"Moderado (4-4.9)","Menor a 4"))))</x:f>
        <x:v>Moderado alto (5-5.9)</x:v>
      </x:c>
      <x:c r="L605" s="25" t="str">
        <x:f>IF(I605&lt;70,"Superficial (&lt;70 km)",IF(I605&lt;=300,"Intermedio (70-300 km)","Profundo (&gt;300 km)"))</x:f>
        <x:v>Intermedio (70-300 km)</x:v>
      </x:c>
      <x:c r="M605" s="25" t="str">
        <x:f>IF(J605&gt;=5,"Sí","No")</x:f>
        <x:v>Sí</x:v>
      </x:c>
      <x:c r="N605" s="25" t="str">
        <x:f>IF(J605&gt;=6,"Sí","No")</x:f>
        <x:v>No</x:v>
      </x:c>
      <x:c r="O605" s="25" t="str">
        <x:v>Pendiente: asignar con R/sf</x:v>
      </x:c>
    </x:row>
    <x:row r="606">
      <x:c r="A606" s="25" t="n">
        <x:v>605</x:v>
      </x:c>
      <x:c r="B606" s="26" t="n">
        <x:v>43772.33761574074</x:v>
      </x:c>
      <x:c r="C606" s="27" t="n">
        <x:f>INT(B606)</x:f>
        <x:v>43772</x:v>
      </x:c>
      <x:c r="D606" s="28" t="n">
        <x:f>MOD(B606,1)</x:f>
        <x:v>0.3376157407401479</x:v>
      </x:c>
      <x:c r="E606" s="29" t="n">
        <x:f>YEAR(B606)</x:f>
        <x:v>2019</x:v>
      </x:c>
      <x:c r="F606" s="29" t="n">
        <x:f>MONTH(B606)</x:f>
        <x:v>11</x:v>
      </x:c>
      <x:c r="G606" s="30" t="n">
        <x:v>-30.73</x:v>
      </x:c>
      <x:c r="H606" s="30" t="n">
        <x:v>-72.11</x:v>
      </x:c>
      <x:c r="I606" s="29" t="n">
        <x:v>14</x:v>
      </x:c>
      <x:c r="J606" s="31" t="n">
        <x:v>5.3</x:v>
      </x:c>
      <x:c r="K606" s="25" t="str">
        <x:f>IF(J606&gt;=7,"Muy fuerte (&gt;=7)",IF(J606&gt;=6,"Fuerte (6-6.9)",IF(J606&gt;=5,"Moderado alto (5-5.9)",IF(J606&gt;=4,"Moderado (4-4.9)","Menor a 4"))))</x:f>
        <x:v>Moderado alto (5-5.9)</x:v>
      </x:c>
      <x:c r="L606" s="25" t="str">
        <x:f>IF(I606&lt;70,"Superficial (&lt;70 km)",IF(I606&lt;=300,"Intermedio (70-300 km)","Profundo (&gt;300 km)"))</x:f>
        <x:v>Superficial (&lt;70 km)</x:v>
      </x:c>
      <x:c r="M606" s="25" t="str">
        <x:f>IF(J606&gt;=5,"Sí","No")</x:f>
        <x:v>Sí</x:v>
      </x:c>
      <x:c r="N606" s="25" t="str">
        <x:f>IF(J606&gt;=6,"Sí","No")</x:f>
        <x:v>No</x:v>
      </x:c>
      <x:c r="O606" s="25" t="str">
        <x:v>Pendiente: asignar con R/sf</x:v>
      </x:c>
    </x:row>
    <x:row r="607">
      <x:c r="A607" s="25" t="n">
        <x:v>606</x:v>
      </x:c>
      <x:c r="B607" s="26" t="n">
        <x:v>42348.011875</x:v>
      </x:c>
      <x:c r="C607" s="27" t="n">
        <x:f>INT(B607)</x:f>
        <x:v>42348</x:v>
      </x:c>
      <x:c r="D607" s="28" t="n">
        <x:f>MOD(B607,1)</x:f>
        <x:v>0.01187499999650754</x:v>
      </x:c>
      <x:c r="E607" s="29" t="n">
        <x:f>YEAR(B607)</x:f>
        <x:v>2015</x:v>
      </x:c>
      <x:c r="F607" s="29" t="n">
        <x:f>MONTH(B607)</x:f>
        <x:v>12</x:v>
      </x:c>
      <x:c r="G607" s="30" t="n">
        <x:v>-35.83</x:v>
      </x:c>
      <x:c r="H607" s="30" t="n">
        <x:v>-73.74</x:v>
      </x:c>
      <x:c r="I607" s="29" t="n">
        <x:v>20</x:v>
      </x:c>
      <x:c r="J607" s="31" t="n">
        <x:v>4</x:v>
      </x:c>
      <x:c r="K607" s="25" t="str">
        <x:f>IF(J607&gt;=7,"Muy fuerte (&gt;=7)",IF(J607&gt;=6,"Fuerte (6-6.9)",IF(J607&gt;=5,"Moderado alto (5-5.9)",IF(J607&gt;=4,"Moderado (4-4.9)","Menor a 4"))))</x:f>
        <x:v>Moderado (4-4.9)</x:v>
      </x:c>
      <x:c r="L607" s="25" t="str">
        <x:f>IF(I607&lt;70,"Superficial (&lt;70 km)",IF(I607&lt;=300,"Intermedio (70-300 km)","Profundo (&gt;300 km)"))</x:f>
        <x:v>Superficial (&lt;70 km)</x:v>
      </x:c>
      <x:c r="M607" s="25" t="str">
        <x:f>IF(J607&gt;=5,"Sí","No")</x:f>
        <x:v>No</x:v>
      </x:c>
      <x:c r="N607" s="25" t="str">
        <x:f>IF(J607&gt;=6,"Sí","No")</x:f>
        <x:v>No</x:v>
      </x:c>
      <x:c r="O607" s="25" t="str">
        <x:v>Pendiente: asignar con R/sf</x:v>
      </x:c>
    </x:row>
    <x:row r="608">
      <x:c r="A608" s="25" t="n">
        <x:v>607</x:v>
      </x:c>
      <x:c r="B608" s="26" t="n">
        <x:v>43773.54421296297</x:v>
      </x:c>
      <x:c r="C608" s="27" t="n">
        <x:f>INT(B608)</x:f>
        <x:v>43773</x:v>
      </x:c>
      <x:c r="D608" s="28" t="n">
        <x:f>MOD(B608,1)</x:f>
        <x:v>0.5442129629664123</x:v>
      </x:c>
      <x:c r="E608" s="29" t="n">
        <x:f>YEAR(B608)</x:f>
        <x:v>2019</x:v>
      </x:c>
      <x:c r="F608" s="29" t="n">
        <x:f>MONTH(B608)</x:f>
        <x:v>11</x:v>
      </x:c>
      <x:c r="G608" s="30" t="n">
        <x:v>-21.39</x:v>
      </x:c>
      <x:c r="H608" s="30" t="n">
        <x:v>-70.44</x:v>
      </x:c>
      <x:c r="I608" s="29" t="n">
        <x:v>42</x:v>
      </x:c>
      <x:c r="J608" s="31" t="n">
        <x:v>4.9</x:v>
      </x:c>
      <x:c r="K608" s="25" t="str">
        <x:f>IF(J608&gt;=7,"Muy fuerte (&gt;=7)",IF(J608&gt;=6,"Fuerte (6-6.9)",IF(J608&gt;=5,"Moderado alto (5-5.9)",IF(J608&gt;=4,"Moderado (4-4.9)","Menor a 4"))))</x:f>
        <x:v>Moderado (4-4.9)</x:v>
      </x:c>
      <x:c r="L608" s="25" t="str">
        <x:f>IF(I608&lt;70,"Superficial (&lt;70 km)",IF(I608&lt;=300,"Intermedio (70-300 km)","Profundo (&gt;300 km)"))</x:f>
        <x:v>Superficial (&lt;70 km)</x:v>
      </x:c>
      <x:c r="M608" s="25" t="str">
        <x:f>IF(J608&gt;=5,"Sí","No")</x:f>
        <x:v>No</x:v>
      </x:c>
      <x:c r="N608" s="25" t="str">
        <x:f>IF(J608&gt;=6,"Sí","No")</x:f>
        <x:v>No</x:v>
      </x:c>
      <x:c r="O608" s="25" t="str">
        <x:v>Pendiente: asignar con R/sf</x:v>
      </x:c>
    </x:row>
    <x:row r="609">
      <x:c r="A609" s="25" t="n">
        <x:v>608</x:v>
      </x:c>
      <x:c r="B609" s="26" t="n">
        <x:v>43773.912083333336</x:v>
      </x:c>
      <x:c r="C609" s="27" t="n">
        <x:f>INT(B609)</x:f>
        <x:v>43773</x:v>
      </x:c>
      <x:c r="D609" s="28" t="n">
        <x:f>MOD(B609,1)</x:f>
        <x:v>0.9120833333363407</x:v>
      </x:c>
      <x:c r="E609" s="29" t="n">
        <x:f>YEAR(B609)</x:f>
        <x:v>2019</x:v>
      </x:c>
      <x:c r="F609" s="29" t="n">
        <x:f>MONTH(B609)</x:f>
        <x:v>11</x:v>
      </x:c>
      <x:c r="G609" s="30" t="n">
        <x:v>-31.81</x:v>
      </x:c>
      <x:c r="H609" s="30" t="n">
        <x:v>-71.34</x:v>
      </x:c>
      <x:c r="I609" s="29" t="n">
        <x:v>56</x:v>
      </x:c>
      <x:c r="J609" s="31" t="n">
        <x:v>6.1</x:v>
      </x:c>
      <x:c r="K609" s="25" t="str">
        <x:f>IF(J609&gt;=7,"Muy fuerte (&gt;=7)",IF(J609&gt;=6,"Fuerte (6-6.9)",IF(J609&gt;=5,"Moderado alto (5-5.9)",IF(J609&gt;=4,"Moderado (4-4.9)","Menor a 4"))))</x:f>
        <x:v>Fuerte (6-6.9)</x:v>
      </x:c>
      <x:c r="L609" s="25" t="str">
        <x:f>IF(I609&lt;70,"Superficial (&lt;70 km)",IF(I609&lt;=300,"Intermedio (70-300 km)","Profundo (&gt;300 km)"))</x:f>
        <x:v>Superficial (&lt;70 km)</x:v>
      </x:c>
      <x:c r="M609" s="25" t="str">
        <x:f>IF(J609&gt;=5,"Sí","No")</x:f>
        <x:v>Sí</x:v>
      </x:c>
      <x:c r="N609" s="25" t="str">
        <x:f>IF(J609&gt;=6,"Sí","No")</x:f>
        <x:v>Sí</x:v>
      </x:c>
      <x:c r="O609" s="25" t="str">
        <x:v>Pendiente: asignar con R/sf</x:v>
      </x:c>
    </x:row>
    <x:row r="610">
      <x:c r="A610" s="25" t="n">
        <x:v>609</x:v>
      </x:c>
      <x:c r="B610" s="26" t="n">
        <x:v>43389.99533564815</x:v>
      </x:c>
      <x:c r="C610" s="27" t="n">
        <x:f>INT(B610)</x:f>
        <x:v>43389</x:v>
      </x:c>
      <x:c r="D610" s="28" t="n">
        <x:f>MOD(B610,1)</x:f>
        <x:v>0.9953356481491937</x:v>
      </x:c>
      <x:c r="E610" s="29" t="n">
        <x:f>YEAR(B610)</x:f>
        <x:v>2018</x:v>
      </x:c>
      <x:c r="F610" s="29" t="n">
        <x:f>MONTH(B610)</x:f>
        <x:v>10</x:v>
      </x:c>
      <x:c r="G610" s="30" t="n">
        <x:v>-42.09</x:v>
      </x:c>
      <x:c r="H610" s="30" t="n">
        <x:v>-72.85</x:v>
      </x:c>
      <x:c r="I610" s="29" t="n">
        <x:v>88</x:v>
      </x:c>
      <x:c r="J610" s="31" t="n">
        <x:v>4.1</x:v>
      </x:c>
      <x:c r="K610" s="25" t="str">
        <x:f>IF(J610&gt;=7,"Muy fuerte (&gt;=7)",IF(J610&gt;=6,"Fuerte (6-6.9)",IF(J610&gt;=5,"Moderado alto (5-5.9)",IF(J610&gt;=4,"Moderado (4-4.9)","Menor a 4"))))</x:f>
        <x:v>Moderado (4-4.9)</x:v>
      </x:c>
      <x:c r="L610" s="25" t="str">
        <x:f>IF(I610&lt;70,"Superficial (&lt;70 km)",IF(I610&lt;=300,"Intermedio (70-300 km)","Profundo (&gt;300 km)"))</x:f>
        <x:v>Intermedio (70-300 km)</x:v>
      </x:c>
      <x:c r="M610" s="25" t="str">
        <x:f>IF(J610&gt;=5,"Sí","No")</x:f>
        <x:v>No</x:v>
      </x:c>
      <x:c r="N610" s="25" t="str">
        <x:f>IF(J610&gt;=6,"Sí","No")</x:f>
        <x:v>No</x:v>
      </x:c>
      <x:c r="O610" s="25" t="str">
        <x:v>Pendiente: asignar con R/sf</x:v>
      </x:c>
    </x:row>
    <x:row r="611">
      <x:c r="A611" s="25" t="n">
        <x:v>610</x:v>
      </x:c>
      <x:c r="B611" s="26" t="n">
        <x:v>43483.52371527778</x:v>
      </x:c>
      <x:c r="C611" s="27" t="n">
        <x:f>INT(B611)</x:f>
        <x:v>43483</x:v>
      </x:c>
      <x:c r="D611" s="28" t="n">
        <x:f>MOD(B611,1)</x:f>
        <x:v>0.523715277777228</x:v>
      </x:c>
      <x:c r="E611" s="29" t="n">
        <x:f>YEAR(B611)</x:f>
        <x:v>2019</x:v>
      </x:c>
      <x:c r="F611" s="29" t="n">
        <x:f>MONTH(B611)</x:f>
        <x:v>1</x:v>
      </x:c>
      <x:c r="G611" s="30" t="n">
        <x:v>-40.57</x:v>
      </x:c>
      <x:c r="H611" s="30" t="n">
        <x:v>-73.05</x:v>
      </x:c>
      <x:c r="I611" s="29" t="n">
        <x:v>51</x:v>
      </x:c>
      <x:c r="J611" s="31" t="n">
        <x:v>4</x:v>
      </x:c>
      <x:c r="K611" s="25" t="str">
        <x:f>IF(J611&gt;=7,"Muy fuerte (&gt;=7)",IF(J611&gt;=6,"Fuerte (6-6.9)",IF(J611&gt;=5,"Moderado alto (5-5.9)",IF(J611&gt;=4,"Moderado (4-4.9)","Menor a 4"))))</x:f>
        <x:v>Moderado (4-4.9)</x:v>
      </x:c>
      <x:c r="L611" s="25" t="str">
        <x:f>IF(I611&lt;70,"Superficial (&lt;70 km)",IF(I611&lt;=300,"Intermedio (70-300 km)","Profundo (&gt;300 km)"))</x:f>
        <x:v>Superficial (&lt;70 km)</x:v>
      </x:c>
      <x:c r="M611" s="25" t="str">
        <x:f>IF(J611&gt;=5,"Sí","No")</x:f>
        <x:v>No</x:v>
      </x:c>
      <x:c r="N611" s="25" t="str">
        <x:f>IF(J611&gt;=6,"Sí","No")</x:f>
        <x:v>No</x:v>
      </x:c>
      <x:c r="O611" s="25" t="str">
        <x:v>Pendiente: asignar con R/sf</x:v>
      </x:c>
    </x:row>
    <x:row r="612">
      <x:c r="A612" s="25" t="n">
        <x:v>611</x:v>
      </x:c>
      <x:c r="B612" s="26" t="n">
        <x:v>42409.91318287037</x:v>
      </x:c>
      <x:c r="C612" s="27" t="n">
        <x:f>INT(B612)</x:f>
        <x:v>42409</x:v>
      </x:c>
      <x:c r="D612" s="28" t="n">
        <x:f>MOD(B612,1)</x:f>
        <x:v>0.9131828703684732</x:v>
      </x:c>
      <x:c r="E612" s="29" t="n">
        <x:f>YEAR(B612)</x:f>
        <x:v>2016</x:v>
      </x:c>
      <x:c r="F612" s="29" t="n">
        <x:f>MONTH(B612)</x:f>
        <x:v>2</x:v>
      </x:c>
      <x:c r="G612" s="30" t="n">
        <x:v>-36.83</x:v>
      </x:c>
      <x:c r="H612" s="30" t="n">
        <x:v>-73.77</x:v>
      </x:c>
      <x:c r="I612" s="29" t="n">
        <x:v>26</x:v>
      </x:c>
      <x:c r="J612" s="31" t="n">
        <x:v>4.3</x:v>
      </x:c>
      <x:c r="K612" s="25" t="str">
        <x:f>IF(J612&gt;=7,"Muy fuerte (&gt;=7)",IF(J612&gt;=6,"Fuerte (6-6.9)",IF(J612&gt;=5,"Moderado alto (5-5.9)",IF(J612&gt;=4,"Moderado (4-4.9)","Menor a 4"))))</x:f>
        <x:v>Moderado (4-4.9)</x:v>
      </x:c>
      <x:c r="L612" s="25" t="str">
        <x:f>IF(I612&lt;70,"Superficial (&lt;70 km)",IF(I612&lt;=300,"Intermedio (70-300 km)","Profundo (&gt;300 km)"))</x:f>
        <x:v>Superficial (&lt;70 km)</x:v>
      </x:c>
      <x:c r="M612" s="25" t="str">
        <x:f>IF(J612&gt;=5,"Sí","No")</x:f>
        <x:v>No</x:v>
      </x:c>
      <x:c r="N612" s="25" t="str">
        <x:f>IF(J612&gt;=6,"Sí","No")</x:f>
        <x:v>No</x:v>
      </x:c>
      <x:c r="O612" s="25" t="str">
        <x:v>Pendiente: asignar con R/sf</x:v>
      </x:c>
    </x:row>
    <x:row r="613">
      <x:c r="A613" s="25" t="n">
        <x:v>612</x:v>
      </x:c>
      <x:c r="B613" s="26" t="n">
        <x:v>43776.801157407404</x:v>
      </x:c>
      <x:c r="C613" s="27" t="n">
        <x:f>INT(B613)</x:f>
        <x:v>43776</x:v>
      </x:c>
      <x:c r="D613" s="28" t="n">
        <x:f>MOD(B613,1)</x:f>
        <x:v>0.8011574074043892</x:v>
      </x:c>
      <x:c r="E613" s="29" t="n">
        <x:f>YEAR(B613)</x:f>
        <x:v>2019</x:v>
      </x:c>
      <x:c r="F613" s="29" t="n">
        <x:f>MONTH(B613)</x:f>
        <x:v>11</x:v>
      </x:c>
      <x:c r="G613" s="30" t="n">
        <x:v>-20.48</x:v>
      </x:c>
      <x:c r="H613" s="30" t="n">
        <x:v>-69.05</x:v>
      </x:c>
      <x:c r="I613" s="29" t="n">
        <x:v>108</x:v>
      </x:c>
      <x:c r="J613" s="31" t="n">
        <x:v>4.4</x:v>
      </x:c>
      <x:c r="K613" s="25" t="str">
        <x:f>IF(J613&gt;=7,"Muy fuerte (&gt;=7)",IF(J613&gt;=6,"Fuerte (6-6.9)",IF(J613&gt;=5,"Moderado alto (5-5.9)",IF(J613&gt;=4,"Moderado (4-4.9)","Menor a 4"))))</x:f>
        <x:v>Moderado (4-4.9)</x:v>
      </x:c>
      <x:c r="L613" s="25" t="str">
        <x:f>IF(I613&lt;70,"Superficial (&lt;70 km)",IF(I613&lt;=300,"Intermedio (70-300 km)","Profundo (&gt;300 km)"))</x:f>
        <x:v>Intermedio (70-300 km)</x:v>
      </x:c>
      <x:c r="M613" s="25" t="str">
        <x:f>IF(J613&gt;=5,"Sí","No")</x:f>
        <x:v>No</x:v>
      </x:c>
      <x:c r="N613" s="25" t="str">
        <x:f>IF(J613&gt;=6,"Sí","No")</x:f>
        <x:v>No</x:v>
      </x:c>
      <x:c r="O613" s="25" t="str">
        <x:v>Pendiente: asignar con R/sf</x:v>
      </x:c>
    </x:row>
    <x:row r="614">
      <x:c r="A614" s="25" t="n">
        <x:v>613</x:v>
      </x:c>
      <x:c r="B614" s="26" t="n">
        <x:v>43362.47787037037</x:v>
      </x:c>
      <x:c r="C614" s="27" t="n">
        <x:f>INT(B614)</x:f>
        <x:v>43362</x:v>
      </x:c>
      <x:c r="D614" s="28" t="n">
        <x:f>MOD(B614,1)</x:f>
        <x:v>0.4778703703705105</x:v>
      </x:c>
      <x:c r="E614" s="29" t="n">
        <x:f>YEAR(B614)</x:f>
        <x:v>2018</x:v>
      </x:c>
      <x:c r="F614" s="29" t="n">
        <x:f>MONTH(B614)</x:f>
        <x:v>9</x:v>
      </x:c>
      <x:c r="G614" s="30" t="n">
        <x:v>-39.8</x:v>
      </x:c>
      <x:c r="H614" s="30" t="n">
        <x:v>-72.99</x:v>
      </x:c>
      <x:c r="I614" s="29" t="n">
        <x:v>65</x:v>
      </x:c>
      <x:c r="J614" s="31" t="n">
        <x:v>4.4</x:v>
      </x:c>
      <x:c r="K614" s="25" t="str">
        <x:f>IF(J614&gt;=7,"Muy fuerte (&gt;=7)",IF(J614&gt;=6,"Fuerte (6-6.9)",IF(J614&gt;=5,"Moderado alto (5-5.9)",IF(J614&gt;=4,"Moderado (4-4.9)","Menor a 4"))))</x:f>
        <x:v>Moderado (4-4.9)</x:v>
      </x:c>
      <x:c r="L614" s="25" t="str">
        <x:f>IF(I614&lt;70,"Superficial (&lt;70 km)",IF(I614&lt;=300,"Intermedio (70-300 km)","Profundo (&gt;300 km)"))</x:f>
        <x:v>Superficial (&lt;70 km)</x:v>
      </x:c>
      <x:c r="M614" s="25" t="str">
        <x:f>IF(J614&gt;=5,"Sí","No")</x:f>
        <x:v>No</x:v>
      </x:c>
      <x:c r="N614" s="25" t="str">
        <x:f>IF(J614&gt;=6,"Sí","No")</x:f>
        <x:v>No</x:v>
      </x:c>
      <x:c r="O614" s="25" t="str">
        <x:v>Pendiente: asignar con R/sf</x:v>
      </x:c>
    </x:row>
    <x:row r="615">
      <x:c r="A615" s="25" t="n">
        <x:v>614</x:v>
      </x:c>
      <x:c r="B615" s="26" t="n">
        <x:v>43319.84069444444</x:v>
      </x:c>
      <x:c r="C615" s="27" t="n">
        <x:f>INT(B615)</x:f>
        <x:v>43319</x:v>
      </x:c>
      <x:c r="D615" s="28" t="n">
        <x:f>MOD(B615,1)</x:f>
        <x:v>0.8406944444432156</x:v>
      </x:c>
      <x:c r="E615" s="29" t="n">
        <x:f>YEAR(B615)</x:f>
        <x:v>2018</x:v>
      </x:c>
      <x:c r="F615" s="29" t="n">
        <x:f>MONTH(B615)</x:f>
        <x:v>8</x:v>
      </x:c>
      <x:c r="G615" s="30" t="n">
        <x:v>-38.3</x:v>
      </x:c>
      <x:c r="H615" s="30" t="n">
        <x:v>-73.65</x:v>
      </x:c>
      <x:c r="I615" s="29" t="n">
        <x:v>54</x:v>
      </x:c>
      <x:c r="J615" s="31" t="n">
        <x:v>4.1</x:v>
      </x:c>
      <x:c r="K615" s="25" t="str">
        <x:f>IF(J615&gt;=7,"Muy fuerte (&gt;=7)",IF(J615&gt;=6,"Fuerte (6-6.9)",IF(J615&gt;=5,"Moderado alto (5-5.9)",IF(J615&gt;=4,"Moderado (4-4.9)","Menor a 4"))))</x:f>
        <x:v>Moderado (4-4.9)</x:v>
      </x:c>
      <x:c r="L615" s="25" t="str">
        <x:f>IF(I615&lt;70,"Superficial (&lt;70 km)",IF(I615&lt;=300,"Intermedio (70-300 km)","Profundo (&gt;300 km)"))</x:f>
        <x:v>Superficial (&lt;70 km)</x:v>
      </x:c>
      <x:c r="M615" s="25" t="str">
        <x:f>IF(J615&gt;=5,"Sí","No")</x:f>
        <x:v>No</x:v>
      </x:c>
      <x:c r="N615" s="25" t="str">
        <x:f>IF(J615&gt;=6,"Sí","No")</x:f>
        <x:v>No</x:v>
      </x:c>
      <x:c r="O615" s="25" t="str">
        <x:v>Pendiente: asignar con R/sf</x:v>
      </x:c>
    </x:row>
    <x:row r="616">
      <x:c r="A616" s="25" t="n">
        <x:v>615</x:v>
      </x:c>
      <x:c r="B616" s="26" t="n">
        <x:v>43791.93578703704</x:v>
      </x:c>
      <x:c r="C616" s="27" t="n">
        <x:f>INT(B616)</x:f>
        <x:v>43791</x:v>
      </x:c>
      <x:c r="D616" s="28" t="n">
        <x:f>MOD(B616,1)</x:f>
        <x:v>0.9357870370367891</x:v>
      </x:c>
      <x:c r="E616" s="29" t="n">
        <x:f>YEAR(B616)</x:f>
        <x:v>2019</x:v>
      </x:c>
      <x:c r="F616" s="29" t="n">
        <x:f>MONTH(B616)</x:f>
        <x:v>11</x:v>
      </x:c>
      <x:c r="G616" s="30" t="n">
        <x:v>-32.72</x:v>
      </x:c>
      <x:c r="H616" s="30" t="n">
        <x:v>-70.17</x:v>
      </x:c>
      <x:c r="I616" s="29" t="n">
        <x:v>113</x:v>
      </x:c>
      <x:c r="J616" s="31" t="n">
        <x:v>5.3</x:v>
      </x:c>
      <x:c r="K616" s="25" t="str">
        <x:f>IF(J616&gt;=7,"Muy fuerte (&gt;=7)",IF(J616&gt;=6,"Fuerte (6-6.9)",IF(J616&gt;=5,"Moderado alto (5-5.9)",IF(J616&gt;=4,"Moderado (4-4.9)","Menor a 4"))))</x:f>
        <x:v>Moderado alto (5-5.9)</x:v>
      </x:c>
      <x:c r="L616" s="25" t="str">
        <x:f>IF(I616&lt;70,"Superficial (&lt;70 km)",IF(I616&lt;=300,"Intermedio (70-300 km)","Profundo (&gt;300 km)"))</x:f>
        <x:v>Intermedio (70-300 km)</x:v>
      </x:c>
      <x:c r="M616" s="25" t="str">
        <x:f>IF(J616&gt;=5,"Sí","No")</x:f>
        <x:v>Sí</x:v>
      </x:c>
      <x:c r="N616" s="25" t="str">
        <x:f>IF(J616&gt;=6,"Sí","No")</x:f>
        <x:v>No</x:v>
      </x:c>
      <x:c r="O616" s="25" t="str">
        <x:v>Pendiente: asignar con R/sf</x:v>
      </x:c>
    </x:row>
    <x:row r="617">
      <x:c r="A617" s="25" t="n">
        <x:v>616</x:v>
      </x:c>
      <x:c r="B617" s="26" t="n">
        <x:v>43347.01398148148</x:v>
      </x:c>
      <x:c r="C617" s="27" t="n">
        <x:f>INT(B617)</x:f>
        <x:v>43347</x:v>
      </x:c>
      <x:c r="D617" s="28" t="n">
        <x:f>MOD(B617,1)</x:f>
        <x:v>0.013981481482915115</x:v>
      </x:c>
      <x:c r="E617" s="29" t="n">
        <x:f>YEAR(B617)</x:f>
        <x:v>2018</x:v>
      </x:c>
      <x:c r="F617" s="29" t="n">
        <x:f>MONTH(B617)</x:f>
        <x:v>9</x:v>
      </x:c>
      <x:c r="G617" s="30" t="n">
        <x:v>-39.79</x:v>
      </x:c>
      <x:c r="H617" s="30" t="n">
        <x:v>-71.76</x:v>
      </x:c>
      <x:c r="I617" s="29" t="n">
        <x:v>142</x:v>
      </x:c>
      <x:c r="J617" s="31" t="n">
        <x:v>4.7</x:v>
      </x:c>
      <x:c r="K617" s="25" t="str">
        <x:f>IF(J617&gt;=7,"Muy fuerte (&gt;=7)",IF(J617&gt;=6,"Fuerte (6-6.9)",IF(J617&gt;=5,"Moderado alto (5-5.9)",IF(J617&gt;=4,"Moderado (4-4.9)","Menor a 4"))))</x:f>
        <x:v>Moderado (4-4.9)</x:v>
      </x:c>
      <x:c r="L617" s="25" t="str">
        <x:f>IF(I617&lt;70,"Superficial (&lt;70 km)",IF(I617&lt;=300,"Intermedio (70-300 km)","Profundo (&gt;300 km)"))</x:f>
        <x:v>Intermedio (70-300 km)</x:v>
      </x:c>
      <x:c r="M617" s="25" t="str">
        <x:f>IF(J617&gt;=5,"Sí","No")</x:f>
        <x:v>No</x:v>
      </x:c>
      <x:c r="N617" s="25" t="str">
        <x:f>IF(J617&gt;=6,"Sí","No")</x:f>
        <x:v>No</x:v>
      </x:c>
      <x:c r="O617" s="25" t="str">
        <x:v>Pendiente: asignar con R/sf</x:v>
      </x:c>
    </x:row>
    <x:row r="618">
      <x:c r="A618" s="25" t="n">
        <x:v>617</x:v>
      </x:c>
      <x:c r="B618" s="26" t="n">
        <x:v>43607.18277777778</x:v>
      </x:c>
      <x:c r="C618" s="27" t="n">
        <x:f>INT(B618)</x:f>
        <x:v>43607</x:v>
      </x:c>
      <x:c r="D618" s="28" t="n">
        <x:f>MOD(B618,1)</x:f>
        <x:v>0.18277777777984738</x:v>
      </x:c>
      <x:c r="E618" s="29" t="n">
        <x:f>YEAR(B618)</x:f>
        <x:v>2019</x:v>
      </x:c>
      <x:c r="F618" s="29" t="n">
        <x:f>MONTH(B618)</x:f>
        <x:v>5</x:v>
      </x:c>
      <x:c r="G618" s="30" t="n">
        <x:v>-40.48</x:v>
      </x:c>
      <x:c r="H618" s="30" t="n">
        <x:v>-72.94</x:v>
      </x:c>
      <x:c r="I618" s="29" t="n">
        <x:v>46</x:v>
      </x:c>
      <x:c r="J618" s="31" t="n">
        <x:v>4.8</x:v>
      </x:c>
      <x:c r="K618" s="25" t="str">
        <x:f>IF(J618&gt;=7,"Muy fuerte (&gt;=7)",IF(J618&gt;=6,"Fuerte (6-6.9)",IF(J618&gt;=5,"Moderado alto (5-5.9)",IF(J618&gt;=4,"Moderado (4-4.9)","Menor a 4"))))</x:f>
        <x:v>Moderado (4-4.9)</x:v>
      </x:c>
      <x:c r="L618" s="25" t="str">
        <x:f>IF(I618&lt;70,"Superficial (&lt;70 km)",IF(I618&lt;=300,"Intermedio (70-300 km)","Profundo (&gt;300 km)"))</x:f>
        <x:v>Superficial (&lt;70 km)</x:v>
      </x:c>
      <x:c r="M618" s="25" t="str">
        <x:f>IF(J618&gt;=5,"Sí","No")</x:f>
        <x:v>No</x:v>
      </x:c>
      <x:c r="N618" s="25" t="str">
        <x:f>IF(J618&gt;=6,"Sí","No")</x:f>
        <x:v>No</x:v>
      </x:c>
      <x:c r="O618" s="25" t="str">
        <x:v>Pendiente: asignar con R/sf</x:v>
      </x:c>
    </x:row>
    <x:row r="619">
      <x:c r="A619" s="25" t="n">
        <x:v>618</x:v>
      </x:c>
      <x:c r="B619" s="26" t="n">
        <x:v>43524.761875</x:v>
      </x:c>
      <x:c r="C619" s="27" t="n">
        <x:f>INT(B619)</x:f>
        <x:v>43524</x:v>
      </x:c>
      <x:c r="D619" s="28" t="n">
        <x:f>MOD(B619,1)</x:f>
        <x:v>0.7618749999965075</x:v>
      </x:c>
      <x:c r="E619" s="29" t="n">
        <x:f>YEAR(B619)</x:f>
        <x:v>2019</x:v>
      </x:c>
      <x:c r="F619" s="29" t="n">
        <x:f>MONTH(B619)</x:f>
        <x:v>2</x:v>
      </x:c>
      <x:c r="G619" s="30" t="n">
        <x:v>-42.75</x:v>
      </x:c>
      <x:c r="H619" s="30" t="n">
        <x:v>-74.32</x:v>
      </x:c>
      <x:c r="I619" s="29" t="n">
        <x:v>39</x:v>
      </x:c>
      <x:c r="J619" s="31" t="n">
        <x:v>4.5</x:v>
      </x:c>
      <x:c r="K619" s="25" t="str">
        <x:f>IF(J619&gt;=7,"Muy fuerte (&gt;=7)",IF(J619&gt;=6,"Fuerte (6-6.9)",IF(J619&gt;=5,"Moderado alto (5-5.9)",IF(J619&gt;=4,"Moderado (4-4.9)","Menor a 4"))))</x:f>
        <x:v>Moderado (4-4.9)</x:v>
      </x:c>
      <x:c r="L619" s="25" t="str">
        <x:f>IF(I619&lt;70,"Superficial (&lt;70 km)",IF(I619&lt;=300,"Intermedio (70-300 km)","Profundo (&gt;300 km)"))</x:f>
        <x:v>Superficial (&lt;70 km)</x:v>
      </x:c>
      <x:c r="M619" s="25" t="str">
        <x:f>IF(J619&gt;=5,"Sí","No")</x:f>
        <x:v>No</x:v>
      </x:c>
      <x:c r="N619" s="25" t="str">
        <x:f>IF(J619&gt;=6,"Sí","No")</x:f>
        <x:v>No</x:v>
      </x:c>
      <x:c r="O619" s="25" t="str">
        <x:v>Pendiente: asignar con R/sf</x:v>
      </x:c>
    </x:row>
    <x:row r="620">
      <x:c r="A620" s="25" t="n">
        <x:v>619</x:v>
      </x:c>
      <x:c r="B620" s="26" t="n">
        <x:v>43701.98373842592</x:v>
      </x:c>
      <x:c r="C620" s="27" t="n">
        <x:f>INT(B620)</x:f>
        <x:v>43701</x:v>
      </x:c>
      <x:c r="D620" s="28" t="n">
        <x:f>MOD(B620,1)</x:f>
        <x:v>0.9837384259226383</x:v>
      </x:c>
      <x:c r="E620" s="29" t="n">
        <x:f>YEAR(B620)</x:f>
        <x:v>2019</x:v>
      </x:c>
      <x:c r="F620" s="29" t="n">
        <x:f>MONTH(B620)</x:f>
        <x:v>8</x:v>
      </x:c>
      <x:c r="G620" s="30" t="n">
        <x:v>-43.24</x:v>
      </x:c>
      <x:c r="H620" s="30" t="n">
        <x:v>-74.18</x:v>
      </x:c>
      <x:c r="I620" s="29" t="n">
        <x:v>36</x:v>
      </x:c>
      <x:c r="J620" s="31" t="n">
        <x:v>4.8</x:v>
      </x:c>
      <x:c r="K620" s="25" t="str">
        <x:f>IF(J620&gt;=7,"Muy fuerte (&gt;=7)",IF(J620&gt;=6,"Fuerte (6-6.9)",IF(J620&gt;=5,"Moderado alto (5-5.9)",IF(J620&gt;=4,"Moderado (4-4.9)","Menor a 4"))))</x:f>
        <x:v>Moderado (4-4.9)</x:v>
      </x:c>
      <x:c r="L620" s="25" t="str">
        <x:f>IF(I620&lt;70,"Superficial (&lt;70 km)",IF(I620&lt;=300,"Intermedio (70-300 km)","Profundo (&gt;300 km)"))</x:f>
        <x:v>Superficial (&lt;70 km)</x:v>
      </x:c>
      <x:c r="M620" s="25" t="str">
        <x:f>IF(J620&gt;=5,"Sí","No")</x:f>
        <x:v>No</x:v>
      </x:c>
      <x:c r="N620" s="25" t="str">
        <x:f>IF(J620&gt;=6,"Sí","No")</x:f>
        <x:v>No</x:v>
      </x:c>
      <x:c r="O620" s="25" t="str">
        <x:v>Pendiente: asignar con R/sf</x:v>
      </x:c>
    </x:row>
    <x:row r="621">
      <x:c r="A621" s="25" t="n">
        <x:v>620</x:v>
      </x:c>
      <x:c r="B621" s="26" t="n">
        <x:v>43077.39496527778</x:v>
      </x:c>
      <x:c r="C621" s="27" t="n">
        <x:f>INT(B621)</x:f>
        <x:v>43077</x:v>
      </x:c>
      <x:c r="D621" s="28" t="n">
        <x:f>MOD(B621,1)</x:f>
        <x:v>0.39496527778101154</x:v>
      </x:c>
      <x:c r="E621" s="29" t="n">
        <x:f>YEAR(B621)</x:f>
        <x:v>2017</x:v>
      </x:c>
      <x:c r="F621" s="29" t="n">
        <x:f>MONTH(B621)</x:f>
        <x:v>12</x:v>
      </x:c>
      <x:c r="G621" s="30" t="n">
        <x:v>-40.34</x:v>
      </x:c>
      <x:c r="H621" s="30" t="n">
        <x:v>-72.59</x:v>
      </x:c>
      <x:c r="I621" s="29" t="n">
        <x:v>81</x:v>
      </x:c>
      <x:c r="J621" s="31" t="n">
        <x:v>4</x:v>
      </x:c>
      <x:c r="K621" s="25" t="str">
        <x:f>IF(J621&gt;=7,"Muy fuerte (&gt;=7)",IF(J621&gt;=6,"Fuerte (6-6.9)",IF(J621&gt;=5,"Moderado alto (5-5.9)",IF(J621&gt;=4,"Moderado (4-4.9)","Menor a 4"))))</x:f>
        <x:v>Moderado (4-4.9)</x:v>
      </x:c>
      <x:c r="L621" s="25" t="str">
        <x:f>IF(I621&lt;70,"Superficial (&lt;70 km)",IF(I621&lt;=300,"Intermedio (70-300 km)","Profundo (&gt;300 km)"))</x:f>
        <x:v>Intermedio (70-300 km)</x:v>
      </x:c>
      <x:c r="M621" s="25" t="str">
        <x:f>IF(J621&gt;=5,"Sí","No")</x:f>
        <x:v>No</x:v>
      </x:c>
      <x:c r="N621" s="25" t="str">
        <x:f>IF(J621&gt;=6,"Sí","No")</x:f>
        <x:v>No</x:v>
      </x:c>
      <x:c r="O621" s="25" t="str">
        <x:v>Pendiente: asignar con R/sf</x:v>
      </x:c>
    </x:row>
    <x:row r="622">
      <x:c r="A622" s="25" t="n">
        <x:v>621</x:v>
      </x:c>
      <x:c r="B622" s="26" t="n">
        <x:v>43729.02508101852</x:v>
      </x:c>
      <x:c r="C622" s="27" t="n">
        <x:f>INT(B622)</x:f>
        <x:v>43729</x:v>
      </x:c>
      <x:c r="D622" s="28" t="n">
        <x:f>MOD(B622,1)</x:f>
        <x:v>0.025081018517084885</x:v>
      </x:c>
      <x:c r="E622" s="29" t="n">
        <x:f>YEAR(B622)</x:f>
        <x:v>2019</x:v>
      </x:c>
      <x:c r="F622" s="29" t="n">
        <x:f>MONTH(B622)</x:f>
        <x:v>9</x:v>
      </x:c>
      <x:c r="G622" s="30" t="n">
        <x:v>-22.11</x:v>
      </x:c>
      <x:c r="H622" s="30" t="n">
        <x:v>-68.61</x:v>
      </x:c>
      <x:c r="I622" s="29" t="n">
        <x:v>125</x:v>
      </x:c>
      <x:c r="J622" s="31" t="n">
        <x:v>4.6</x:v>
      </x:c>
      <x:c r="K622" s="25" t="str">
        <x:f>IF(J622&gt;=7,"Muy fuerte (&gt;=7)",IF(J622&gt;=6,"Fuerte (6-6.9)",IF(J622&gt;=5,"Moderado alto (5-5.9)",IF(J622&gt;=4,"Moderado (4-4.9)","Menor a 4"))))</x:f>
        <x:v>Moderado (4-4.9)</x:v>
      </x:c>
      <x:c r="L622" s="25" t="str">
        <x:f>IF(I622&lt;70,"Superficial (&lt;70 km)",IF(I622&lt;=300,"Intermedio (70-300 km)","Profundo (&gt;300 km)"))</x:f>
        <x:v>Intermedio (70-300 km)</x:v>
      </x:c>
      <x:c r="M622" s="25" t="str">
        <x:f>IF(J622&gt;=5,"Sí","No")</x:f>
        <x:v>No</x:v>
      </x:c>
      <x:c r="N622" s="25" t="str">
        <x:f>IF(J622&gt;=6,"Sí","No")</x:f>
        <x:v>No</x:v>
      </x:c>
      <x:c r="O622" s="25" t="str">
        <x:v>Pendiente: asignar con R/sf</x:v>
      </x:c>
    </x:row>
    <x:row r="623">
      <x:c r="A623" s="25" t="n">
        <x:v>622</x:v>
      </x:c>
      <x:c r="B623" s="26" t="n">
        <x:v>43720.58909722222</x:v>
      </x:c>
      <x:c r="C623" s="27" t="n">
        <x:f>INT(B623)</x:f>
        <x:v>43720</x:v>
      </x:c>
      <x:c r="D623" s="28" t="n">
        <x:f>MOD(B623,1)</x:f>
        <x:v>0.5890972222186974</x:v>
      </x:c>
      <x:c r="E623" s="29" t="n">
        <x:f>YEAR(B623)</x:f>
        <x:v>2019</x:v>
      </x:c>
      <x:c r="F623" s="29" t="n">
        <x:f>MONTH(B623)</x:f>
        <x:v>9</x:v>
      </x:c>
      <x:c r="G623" s="30" t="n">
        <x:v>-22.13</x:v>
      </x:c>
      <x:c r="H623" s="30" t="n">
        <x:v>-68.64</x:v>
      </x:c>
      <x:c r="I623" s="29" t="n">
        <x:v>114</x:v>
      </x:c>
      <x:c r="J623" s="31" t="n">
        <x:v>4.6</x:v>
      </x:c>
      <x:c r="K623" s="25" t="str">
        <x:f>IF(J623&gt;=7,"Muy fuerte (&gt;=7)",IF(J623&gt;=6,"Fuerte (6-6.9)",IF(J623&gt;=5,"Moderado alto (5-5.9)",IF(J623&gt;=4,"Moderado (4-4.9)","Menor a 4"))))</x:f>
        <x:v>Moderado (4-4.9)</x:v>
      </x:c>
      <x:c r="L623" s="25" t="str">
        <x:f>IF(I623&lt;70,"Superficial (&lt;70 km)",IF(I623&lt;=300,"Intermedio (70-300 km)","Profundo (&gt;300 km)"))</x:f>
        <x:v>Intermedio (70-300 km)</x:v>
      </x:c>
      <x:c r="M623" s="25" t="str">
        <x:f>IF(J623&gt;=5,"Sí","No")</x:f>
        <x:v>No</x:v>
      </x:c>
      <x:c r="N623" s="25" t="str">
        <x:f>IF(J623&gt;=6,"Sí","No")</x:f>
        <x:v>No</x:v>
      </x:c>
      <x:c r="O623" s="25" t="str">
        <x:v>Pendiente: asignar con R/sf</x:v>
      </x:c>
    </x:row>
    <x:row r="624">
      <x:c r="A624" s="25" t="n">
        <x:v>623</x:v>
      </x:c>
      <x:c r="B624" s="26" t="n">
        <x:v>43774.47273148148</x:v>
      </x:c>
      <x:c r="C624" s="27" t="n">
        <x:f>INT(B624)</x:f>
        <x:v>43774</x:v>
      </x:c>
      <x:c r="D624" s="28" t="n">
        <x:f>MOD(B624,1)</x:f>
        <x:v>0.47273148148087785</x:v>
      </x:c>
      <x:c r="E624" s="29" t="n">
        <x:f>YEAR(B624)</x:f>
        <x:v>2019</x:v>
      </x:c>
      <x:c r="F624" s="29" t="n">
        <x:f>MONTH(B624)</x:f>
        <x:v>11</x:v>
      </x:c>
      <x:c r="G624" s="30" t="n">
        <x:v>-20.18</x:v>
      </x:c>
      <x:c r="H624" s="30" t="n">
        <x:v>-69.2</x:v>
      </x:c>
      <x:c r="I624" s="29" t="n">
        <x:v>91</x:v>
      </x:c>
      <x:c r="J624" s="31" t="n">
        <x:v>4</x:v>
      </x:c>
      <x:c r="K624" s="25" t="str">
        <x:f>IF(J624&gt;=7,"Muy fuerte (&gt;=7)",IF(J624&gt;=6,"Fuerte (6-6.9)",IF(J624&gt;=5,"Moderado alto (5-5.9)",IF(J624&gt;=4,"Moderado (4-4.9)","Menor a 4"))))</x:f>
        <x:v>Moderado (4-4.9)</x:v>
      </x:c>
      <x:c r="L624" s="25" t="str">
        <x:f>IF(I624&lt;70,"Superficial (&lt;70 km)",IF(I624&lt;=300,"Intermedio (70-300 km)","Profundo (&gt;300 km)"))</x:f>
        <x:v>Intermedio (70-300 km)</x:v>
      </x:c>
      <x:c r="M624" s="25" t="str">
        <x:f>IF(J624&gt;=5,"Sí","No")</x:f>
        <x:v>No</x:v>
      </x:c>
      <x:c r="N624" s="25" t="str">
        <x:f>IF(J624&gt;=6,"Sí","No")</x:f>
        <x:v>No</x:v>
      </x:c>
      <x:c r="O624" s="25" t="str">
        <x:v>Pendiente: asignar con R/sf</x:v>
      </x:c>
    </x:row>
    <x:row r="625">
      <x:c r="A625" s="25" t="n">
        <x:v>624</x:v>
      </x:c>
      <x:c r="B625" s="26" t="n">
        <x:v>43825.39512731481</x:v>
      </x:c>
      <x:c r="C625" s="27" t="n">
        <x:f>INT(B625)</x:f>
        <x:v>43825</x:v>
      </x:c>
      <x:c r="D625" s="28" t="n">
        <x:f>MOD(B625,1)</x:f>
        <x:v>0.3951273148122709</x:v>
      </x:c>
      <x:c r="E625" s="29" t="n">
        <x:f>YEAR(B625)</x:f>
        <x:v>2019</x:v>
      </x:c>
      <x:c r="F625" s="29" t="n">
        <x:f>MONTH(B625)</x:f>
        <x:v>12</x:v>
      </x:c>
      <x:c r="G625" s="30" t="n">
        <x:v>-21.05</x:v>
      </x:c>
      <x:c r="H625" s="30" t="n">
        <x:v>-70.39</x:v>
      </x:c>
      <x:c r="I625" s="29" t="n">
        <x:v>53</x:v>
      </x:c>
      <x:c r="J625" s="31" t="n">
        <x:v>4.2</x:v>
      </x:c>
      <x:c r="K625" s="25" t="str">
        <x:f>IF(J625&gt;=7,"Muy fuerte (&gt;=7)",IF(J625&gt;=6,"Fuerte (6-6.9)",IF(J625&gt;=5,"Moderado alto (5-5.9)",IF(J625&gt;=4,"Moderado (4-4.9)","Menor a 4"))))</x:f>
        <x:v>Moderado (4-4.9)</x:v>
      </x:c>
      <x:c r="L625" s="25" t="str">
        <x:f>IF(I625&lt;70,"Superficial (&lt;70 km)",IF(I625&lt;=300,"Intermedio (70-300 km)","Profundo (&gt;300 km)"))</x:f>
        <x:v>Superficial (&lt;70 km)</x:v>
      </x:c>
      <x:c r="M625" s="25" t="str">
        <x:f>IF(J625&gt;=5,"Sí","No")</x:f>
        <x:v>No</x:v>
      </x:c>
      <x:c r="N625" s="25" t="str">
        <x:f>IF(J625&gt;=6,"Sí","No")</x:f>
        <x:v>No</x:v>
      </x:c>
      <x:c r="O625" s="25" t="str">
        <x:v>Pendiente: asignar con R/sf</x:v>
      </x:c>
    </x:row>
    <x:row r="626">
      <x:c r="A626" s="25" t="n">
        <x:v>625</x:v>
      </x:c>
      <x:c r="B626" s="26" t="n">
        <x:v>43689.345717592594</x:v>
      </x:c>
      <x:c r="C626" s="27" t="n">
        <x:f>INT(B626)</x:f>
        <x:v>43689</x:v>
      </x:c>
      <x:c r="D626" s="28" t="n">
        <x:f>MOD(B626,1)</x:f>
        <x:v>0.3457175925941556</x:v>
      </x:c>
      <x:c r="E626" s="29" t="n">
        <x:f>YEAR(B626)</x:f>
        <x:v>2019</x:v>
      </x:c>
      <x:c r="F626" s="29" t="n">
        <x:f>MONTH(B626)</x:f>
        <x:v>8</x:v>
      </x:c>
      <x:c r="G626" s="30" t="n">
        <x:v>-20.71</x:v>
      </x:c>
      <x:c r="H626" s="30" t="n">
        <x:v>-69.22</x:v>
      </x:c>
      <x:c r="I626" s="29" t="n">
        <x:v>107</x:v>
      </x:c>
      <x:c r="J626" s="31" t="n">
        <x:v>4.9</x:v>
      </x:c>
      <x:c r="K626" s="25" t="str">
        <x:f>IF(J626&gt;=7,"Muy fuerte (&gt;=7)",IF(J626&gt;=6,"Fuerte (6-6.9)",IF(J626&gt;=5,"Moderado alto (5-5.9)",IF(J626&gt;=4,"Moderado (4-4.9)","Menor a 4"))))</x:f>
        <x:v>Moderado (4-4.9)</x:v>
      </x:c>
      <x:c r="L626" s="25" t="str">
        <x:f>IF(I626&lt;70,"Superficial (&lt;70 km)",IF(I626&lt;=300,"Intermedio (70-300 km)","Profundo (&gt;300 km)"))</x:f>
        <x:v>Intermedio (70-300 km)</x:v>
      </x:c>
      <x:c r="M626" s="25" t="str">
        <x:f>IF(J626&gt;=5,"Sí","No")</x:f>
        <x:v>No</x:v>
      </x:c>
      <x:c r="N626" s="25" t="str">
        <x:f>IF(J626&gt;=6,"Sí","No")</x:f>
        <x:v>No</x:v>
      </x:c>
      <x:c r="O626" s="25" t="str">
        <x:v>Pendiente: asignar con R/sf</x:v>
      </x:c>
    </x:row>
    <x:row r="627">
      <x:c r="A627" s="25" t="n">
        <x:v>626</x:v>
      </x:c>
      <x:c r="B627" s="26" t="n">
        <x:v>43802.3656712963</x:v>
      </x:c>
      <x:c r="C627" s="27" t="n">
        <x:f>INT(B627)</x:f>
        <x:v>43802</x:v>
      </x:c>
      <x:c r="D627" s="28" t="n">
        <x:f>MOD(B627,1)</x:f>
        <x:v>0.36567129629838746</x:v>
      </x:c>
      <x:c r="E627" s="29" t="n">
        <x:f>YEAR(B627)</x:f>
        <x:v>2019</x:v>
      </x:c>
      <x:c r="F627" s="29" t="n">
        <x:f>MONTH(B627)</x:f>
        <x:v>12</x:v>
      </x:c>
      <x:c r="G627" s="30" t="n">
        <x:v>-18.53</x:v>
      </x:c>
      <x:c r="H627" s="30" t="n">
        <x:v>-70.72</x:v>
      </x:c>
      <x:c r="I627" s="29" t="n">
        <x:v>44</x:v>
      </x:c>
      <x:c r="J627" s="31" t="n">
        <x:v>6</x:v>
      </x:c>
      <x:c r="K627" s="25" t="str">
        <x:f>IF(J627&gt;=7,"Muy fuerte (&gt;=7)",IF(J627&gt;=6,"Fuerte (6-6.9)",IF(J627&gt;=5,"Moderado alto (5-5.9)",IF(J627&gt;=4,"Moderado (4-4.9)","Menor a 4"))))</x:f>
        <x:v>Fuerte (6-6.9)</x:v>
      </x:c>
      <x:c r="L627" s="25" t="str">
        <x:f>IF(I627&lt;70,"Superficial (&lt;70 km)",IF(I627&lt;=300,"Intermedio (70-300 km)","Profundo (&gt;300 km)"))</x:f>
        <x:v>Superficial (&lt;70 km)</x:v>
      </x:c>
      <x:c r="M627" s="25" t="str">
        <x:f>IF(J627&gt;=5,"Sí","No")</x:f>
        <x:v>Sí</x:v>
      </x:c>
      <x:c r="N627" s="25" t="str">
        <x:f>IF(J627&gt;=6,"Sí","No")</x:f>
        <x:v>Sí</x:v>
      </x:c>
      <x:c r="O627" s="25" t="str">
        <x:v>Pendiente: asignar con R/sf</x:v>
      </x:c>
    </x:row>
    <x:row r="628">
      <x:c r="A628" s="25" t="n">
        <x:v>627</x:v>
      </x:c>
      <x:c r="B628" s="26" t="n">
        <x:v>43767.85564814815</x:v>
      </x:c>
      <x:c r="C628" s="27" t="n">
        <x:f>INT(B628)</x:f>
        <x:v>43767</x:v>
      </x:c>
      <x:c r="D628" s="28" t="n">
        <x:f>MOD(B628,1)</x:f>
        <x:v>0.8556481481500668</x:v>
      </x:c>
      <x:c r="E628" s="29" t="n">
        <x:f>YEAR(B628)</x:f>
        <x:v>2019</x:v>
      </x:c>
      <x:c r="F628" s="29" t="n">
        <x:f>MONTH(B628)</x:f>
        <x:v>10</x:v>
      </x:c>
      <x:c r="G628" s="30" t="n">
        <x:v>-21.25</x:v>
      </x:c>
      <x:c r="H628" s="30" t="n">
        <x:v>-68.87</x:v>
      </x:c>
      <x:c r="I628" s="29" t="n">
        <x:v>119</x:v>
      </x:c>
      <x:c r="J628" s="31" t="n">
        <x:v>4.5</x:v>
      </x:c>
      <x:c r="K628" s="25" t="str">
        <x:f>IF(J628&gt;=7,"Muy fuerte (&gt;=7)",IF(J628&gt;=6,"Fuerte (6-6.9)",IF(J628&gt;=5,"Moderado alto (5-5.9)",IF(J628&gt;=4,"Moderado (4-4.9)","Menor a 4"))))</x:f>
        <x:v>Moderado (4-4.9)</x:v>
      </x:c>
      <x:c r="L628" s="25" t="str">
        <x:f>IF(I628&lt;70,"Superficial (&lt;70 km)",IF(I628&lt;=300,"Intermedio (70-300 km)","Profundo (&gt;300 km)"))</x:f>
        <x:v>Intermedio (70-300 km)</x:v>
      </x:c>
      <x:c r="M628" s="25" t="str">
        <x:f>IF(J628&gt;=5,"Sí","No")</x:f>
        <x:v>No</x:v>
      </x:c>
      <x:c r="N628" s="25" t="str">
        <x:f>IF(J628&gt;=6,"Sí","No")</x:f>
        <x:v>No</x:v>
      </x:c>
      <x:c r="O628" s="25" t="str">
        <x:v>Pendiente: asignar con R/sf</x:v>
      </x:c>
    </x:row>
    <x:row r="629">
      <x:c r="A629" s="25" t="n">
        <x:v>628</x:v>
      </x:c>
      <x:c r="B629" s="26" t="n">
        <x:v>43716.86131944445</x:v>
      </x:c>
      <x:c r="C629" s="27" t="n">
        <x:f>INT(B629)</x:f>
        <x:v>43716</x:v>
      </x:c>
      <x:c r="D629" s="28" t="n">
        <x:f>MOD(B629,1)</x:f>
        <x:v>0.8613194444478722</x:v>
      </x:c>
      <x:c r="E629" s="29" t="n">
        <x:f>YEAR(B629)</x:f>
        <x:v>2019</x:v>
      </x:c>
      <x:c r="F629" s="29" t="n">
        <x:f>MONTH(B629)</x:f>
        <x:v>9</x:v>
      </x:c>
      <x:c r="G629" s="30" t="n">
        <x:v>-20.32</x:v>
      </x:c>
      <x:c r="H629" s="30" t="n">
        <x:v>-70.03</x:v>
      </x:c>
      <x:c r="I629" s="29" t="n">
        <x:v>74</x:v>
      </x:c>
      <x:c r="J629" s="31" t="n">
        <x:v>4.4</x:v>
      </x:c>
      <x:c r="K629" s="25" t="str">
        <x:f>IF(J629&gt;=7,"Muy fuerte (&gt;=7)",IF(J629&gt;=6,"Fuerte (6-6.9)",IF(J629&gt;=5,"Moderado alto (5-5.9)",IF(J629&gt;=4,"Moderado (4-4.9)","Menor a 4"))))</x:f>
        <x:v>Moderado (4-4.9)</x:v>
      </x:c>
      <x:c r="L629" s="25" t="str">
        <x:f>IF(I629&lt;70,"Superficial (&lt;70 km)",IF(I629&lt;=300,"Intermedio (70-300 km)","Profundo (&gt;300 km)"))</x:f>
        <x:v>Intermedio (70-300 km)</x:v>
      </x:c>
      <x:c r="M629" s="25" t="str">
        <x:f>IF(J629&gt;=5,"Sí","No")</x:f>
        <x:v>No</x:v>
      </x:c>
      <x:c r="N629" s="25" t="str">
        <x:f>IF(J629&gt;=6,"Sí","No")</x:f>
        <x:v>No</x:v>
      </x:c>
      <x:c r="O629" s="25" t="str">
        <x:v>Pendiente: asignar con R/sf</x:v>
      </x:c>
    </x:row>
    <x:row r="630">
      <x:c r="A630" s="25" t="n">
        <x:v>629</x:v>
      </x:c>
      <x:c r="B630" s="26" t="n">
        <x:v>43705.661840277775</x:v>
      </x:c>
      <x:c r="C630" s="27" t="n">
        <x:f>INT(B630)</x:f>
        <x:v>43705</x:v>
      </x:c>
      <x:c r="D630" s="28" t="n">
        <x:f>MOD(B630,1)</x:f>
        <x:v>0.6618402777748997</x:v>
      </x:c>
      <x:c r="E630" s="29" t="n">
        <x:f>YEAR(B630)</x:f>
        <x:v>2019</x:v>
      </x:c>
      <x:c r="F630" s="29" t="n">
        <x:f>MONTH(B630)</x:f>
        <x:v>8</x:v>
      </x:c>
      <x:c r="G630" s="30" t="n">
        <x:v>-20.56</x:v>
      </x:c>
      <x:c r="H630" s="30" t="n">
        <x:v>-70.36</x:v>
      </x:c>
      <x:c r="I630" s="29" t="n">
        <x:v>32</x:v>
      </x:c>
      <x:c r="J630" s="31" t="n">
        <x:v>4.9</x:v>
      </x:c>
      <x:c r="K630" s="25" t="str">
        <x:f>IF(J630&gt;=7,"Muy fuerte (&gt;=7)",IF(J630&gt;=6,"Fuerte (6-6.9)",IF(J630&gt;=5,"Moderado alto (5-5.9)",IF(J630&gt;=4,"Moderado (4-4.9)","Menor a 4"))))</x:f>
        <x:v>Moderado (4-4.9)</x:v>
      </x:c>
      <x:c r="L630" s="25" t="str">
        <x:f>IF(I630&lt;70,"Superficial (&lt;70 km)",IF(I630&lt;=300,"Intermedio (70-300 km)","Profundo (&gt;300 km)"))</x:f>
        <x:v>Superficial (&lt;70 km)</x:v>
      </x:c>
      <x:c r="M630" s="25" t="str">
        <x:f>IF(J630&gt;=5,"Sí","No")</x:f>
        <x:v>No</x:v>
      </x:c>
      <x:c r="N630" s="25" t="str">
        <x:f>IF(J630&gt;=6,"Sí","No")</x:f>
        <x:v>No</x:v>
      </x:c>
      <x:c r="O630" s="25" t="str">
        <x:v>Pendiente: asignar con R/sf</x:v>
      </x:c>
    </x:row>
    <x:row r="631">
      <x:c r="A631" s="25" t="n">
        <x:v>630</x:v>
      </x:c>
      <x:c r="B631" s="26" t="n">
        <x:v>43817.34103009259</x:v>
      </x:c>
      <x:c r="C631" s="27" t="n">
        <x:f>INT(B631)</x:f>
        <x:v>43817</x:v>
      </x:c>
      <x:c r="D631" s="28" t="n">
        <x:f>MOD(B631,1)</x:f>
        <x:v>0.34103009258979</x:v>
      </x:c>
      <x:c r="E631" s="29" t="n">
        <x:f>YEAR(B631)</x:f>
        <x:v>2019</x:v>
      </x:c>
      <x:c r="F631" s="29" t="n">
        <x:f>MONTH(B631)</x:f>
        <x:v>12</x:v>
      </x:c>
      <x:c r="G631" s="30" t="n">
        <x:v>-20.25</x:v>
      </x:c>
      <x:c r="H631" s="30" t="n">
        <x:v>-69.16</x:v>
      </x:c>
      <x:c r="I631" s="29" t="n">
        <x:v>95</x:v>
      </x:c>
      <x:c r="J631" s="31" t="n">
        <x:v>5.2</x:v>
      </x:c>
      <x:c r="K631" s="25" t="str">
        <x:f>IF(J631&gt;=7,"Muy fuerte (&gt;=7)",IF(J631&gt;=6,"Fuerte (6-6.9)",IF(J631&gt;=5,"Moderado alto (5-5.9)",IF(J631&gt;=4,"Moderado (4-4.9)","Menor a 4"))))</x:f>
        <x:v>Moderado alto (5-5.9)</x:v>
      </x:c>
      <x:c r="L631" s="25" t="str">
        <x:f>IF(I631&lt;70,"Superficial (&lt;70 km)",IF(I631&lt;=300,"Intermedio (70-300 km)","Profundo (&gt;300 km)"))</x:f>
        <x:v>Intermedio (70-300 km)</x:v>
      </x:c>
      <x:c r="M631" s="25" t="str">
        <x:f>IF(J631&gt;=5,"Sí","No")</x:f>
        <x:v>Sí</x:v>
      </x:c>
      <x:c r="N631" s="25" t="str">
        <x:f>IF(J631&gt;=6,"Sí","No")</x:f>
        <x:v>No</x:v>
      </x:c>
      <x:c r="O631" s="25" t="str">
        <x:v>Pendiente: asignar con R/sf</x:v>
      </x:c>
    </x:row>
    <x:row r="632">
      <x:c r="A632" s="25" t="n">
        <x:v>631</x:v>
      </x:c>
      <x:c r="B632" s="26" t="n">
        <x:v>43796.570497685185</x:v>
      </x:c>
      <x:c r="C632" s="27" t="n">
        <x:f>INT(B632)</x:f>
        <x:v>43796</x:v>
      </x:c>
      <x:c r="D632" s="28" t="n">
        <x:f>MOD(B632,1)</x:f>
        <x:v>0.5704976851848187</x:v>
      </x:c>
      <x:c r="E632" s="29" t="n">
        <x:f>YEAR(B632)</x:f>
        <x:v>2019</x:v>
      </x:c>
      <x:c r="F632" s="29" t="n">
        <x:f>MONTH(B632)</x:f>
        <x:v>11</x:v>
      </x:c>
      <x:c r="G632" s="30" t="n">
        <x:v>-20.35</x:v>
      </x:c>
      <x:c r="H632" s="30" t="n">
        <x:v>-70.41</x:v>
      </x:c>
      <x:c r="I632" s="29" t="n">
        <x:v>43</x:v>
      </x:c>
      <x:c r="J632" s="31" t="n">
        <x:v>4.3</x:v>
      </x:c>
      <x:c r="K632" s="25" t="str">
        <x:f>IF(J632&gt;=7,"Muy fuerte (&gt;=7)",IF(J632&gt;=6,"Fuerte (6-6.9)",IF(J632&gt;=5,"Moderado alto (5-5.9)",IF(J632&gt;=4,"Moderado (4-4.9)","Menor a 4"))))</x:f>
        <x:v>Moderado (4-4.9)</x:v>
      </x:c>
      <x:c r="L632" s="25" t="str">
        <x:f>IF(I632&lt;70,"Superficial (&lt;70 km)",IF(I632&lt;=300,"Intermedio (70-300 km)","Profundo (&gt;300 km)"))</x:f>
        <x:v>Superficial (&lt;70 km)</x:v>
      </x:c>
      <x:c r="M632" s="25" t="str">
        <x:f>IF(J632&gt;=5,"Sí","No")</x:f>
        <x:v>No</x:v>
      </x:c>
      <x:c r="N632" s="25" t="str">
        <x:f>IF(J632&gt;=6,"Sí","No")</x:f>
        <x:v>No</x:v>
      </x:c>
      <x:c r="O632" s="25" t="str">
        <x:v>Pendiente: asignar con R/sf</x:v>
      </x:c>
    </x:row>
    <x:row r="633">
      <x:c r="A633" s="25" t="n">
        <x:v>632</x:v>
      </x:c>
      <x:c r="B633" s="26" t="n">
        <x:v>44838.54790509259</x:v>
      </x:c>
      <x:c r="C633" s="27" t="n">
        <x:f>INT(B633)</x:f>
        <x:v>44838</x:v>
      </x:c>
      <x:c r="D633" s="28" t="n">
        <x:f>MOD(B633,1)</x:f>
        <x:v>0.5479050925932825</x:v>
      </x:c>
      <x:c r="E633" s="29" t="n">
        <x:f>YEAR(B633)</x:f>
        <x:v>2022</x:v>
      </x:c>
      <x:c r="F633" s="29" t="n">
        <x:f>MONTH(B633)</x:f>
        <x:v>10</x:v>
      </x:c>
      <x:c r="G633" s="30" t="n">
        <x:v>-22.22</x:v>
      </x:c>
      <x:c r="H633" s="30" t="n">
        <x:v>-68.8</x:v>
      </x:c>
      <x:c r="I633" s="29" t="n">
        <x:v>111</x:v>
      </x:c>
      <x:c r="J633" s="31" t="n">
        <x:v>5</x:v>
      </x:c>
      <x:c r="K633" s="25" t="str">
        <x:f>IF(J633&gt;=7,"Muy fuerte (&gt;=7)",IF(J633&gt;=6,"Fuerte (6-6.9)",IF(J633&gt;=5,"Moderado alto (5-5.9)",IF(J633&gt;=4,"Moderado (4-4.9)","Menor a 4"))))</x:f>
        <x:v>Moderado alto (5-5.9)</x:v>
      </x:c>
      <x:c r="L633" s="25" t="str">
        <x:f>IF(I633&lt;70,"Superficial (&lt;70 km)",IF(I633&lt;=300,"Intermedio (70-300 km)","Profundo (&gt;300 km)"))</x:f>
        <x:v>Intermedio (70-300 km)</x:v>
      </x:c>
      <x:c r="M633" s="25" t="str">
        <x:f>IF(J633&gt;=5,"Sí","No")</x:f>
        <x:v>Sí</x:v>
      </x:c>
      <x:c r="N633" s="25" t="str">
        <x:f>IF(J633&gt;=6,"Sí","No")</x:f>
        <x:v>No</x:v>
      </x:c>
      <x:c r="O633" s="25" t="str">
        <x:v>Pendiente: asignar con R/sf</x:v>
      </x:c>
    </x:row>
    <x:row r="634">
      <x:c r="A634" s="25" t="n">
        <x:v>633</x:v>
      </x:c>
      <x:c r="B634" s="26" t="n">
        <x:v>44852.316354166665</x:v>
      </x:c>
      <x:c r="C634" s="27" t="n">
        <x:f>INT(B634)</x:f>
        <x:v>44852</x:v>
      </x:c>
      <x:c r="D634" s="28" t="n">
        <x:f>MOD(B634,1)</x:f>
        <x:v>0.3163541666654055</x:v>
      </x:c>
      <x:c r="E634" s="29" t="n">
        <x:f>YEAR(B634)</x:f>
        <x:v>2022</x:v>
      </x:c>
      <x:c r="F634" s="29" t="n">
        <x:f>MONTH(B634)</x:f>
        <x:v>10</x:v>
      </x:c>
      <x:c r="G634" s="30" t="n">
        <x:v>-30.7</x:v>
      </x:c>
      <x:c r="H634" s="30" t="n">
        <x:v>-71.38</x:v>
      </x:c>
      <x:c r="I634" s="29" t="n">
        <x:v>42</x:v>
      </x:c>
      <x:c r="J634" s="31" t="n">
        <x:v>5.5</x:v>
      </x:c>
      <x:c r="K634" s="25" t="str">
        <x:f>IF(J634&gt;=7,"Muy fuerte (&gt;=7)",IF(J634&gt;=6,"Fuerte (6-6.9)",IF(J634&gt;=5,"Moderado alto (5-5.9)",IF(J634&gt;=4,"Moderado (4-4.9)","Menor a 4"))))</x:f>
        <x:v>Moderado alto (5-5.9)</x:v>
      </x:c>
      <x:c r="L634" s="25" t="str">
        <x:f>IF(I634&lt;70,"Superficial (&lt;70 km)",IF(I634&lt;=300,"Intermedio (70-300 km)","Profundo (&gt;300 km)"))</x:f>
        <x:v>Superficial (&lt;70 km)</x:v>
      </x:c>
      <x:c r="M634" s="25" t="str">
        <x:f>IF(J634&gt;=5,"Sí","No")</x:f>
        <x:v>Sí</x:v>
      </x:c>
      <x:c r="N634" s="25" t="str">
        <x:f>IF(J634&gt;=6,"Sí","No")</x:f>
        <x:v>No</x:v>
      </x:c>
      <x:c r="O634" s="25" t="str">
        <x:v>Pendiente: asignar con R/sf</x:v>
      </x:c>
    </x:row>
    <x:row r="635">
      <x:c r="A635" s="25" t="n">
        <x:v>634</x:v>
      </x:c>
      <x:c r="B635" s="26" t="n">
        <x:v>44857.08923611111</x:v>
      </x:c>
      <x:c r="C635" s="27" t="n">
        <x:f>INT(B635)</x:f>
        <x:v>44857</x:v>
      </x:c>
      <x:c r="D635" s="28" t="n">
        <x:f>MOD(B635,1)</x:f>
        <x:v>0.08923611111094942</x:v>
      </x:c>
      <x:c r="E635" s="29" t="n">
        <x:f>YEAR(B635)</x:f>
        <x:v>2022</x:v>
      </x:c>
      <x:c r="F635" s="29" t="n">
        <x:f>MONTH(B635)</x:f>
        <x:v>10</x:v>
      </x:c>
      <x:c r="G635" s="30" t="n">
        <x:v>-21.98</x:v>
      </x:c>
      <x:c r="H635" s="30" t="n">
        <x:v>-68.92</x:v>
      </x:c>
      <x:c r="I635" s="29" t="n">
        <x:v>112</x:v>
      </x:c>
      <x:c r="J635" s="31" t="n">
        <x:v>5.2</x:v>
      </x:c>
      <x:c r="K635" s="25" t="str">
        <x:f>IF(J635&gt;=7,"Muy fuerte (&gt;=7)",IF(J635&gt;=6,"Fuerte (6-6.9)",IF(J635&gt;=5,"Moderado alto (5-5.9)",IF(J635&gt;=4,"Moderado (4-4.9)","Menor a 4"))))</x:f>
        <x:v>Moderado alto (5-5.9)</x:v>
      </x:c>
      <x:c r="L635" s="25" t="str">
        <x:f>IF(I635&lt;70,"Superficial (&lt;70 km)",IF(I635&lt;=300,"Intermedio (70-300 km)","Profundo (&gt;300 km)"))</x:f>
        <x:v>Intermedio (70-300 km)</x:v>
      </x:c>
      <x:c r="M635" s="25" t="str">
        <x:f>IF(J635&gt;=5,"Sí","No")</x:f>
        <x:v>Sí</x:v>
      </x:c>
      <x:c r="N635" s="25" t="str">
        <x:f>IF(J635&gt;=6,"Sí","No")</x:f>
        <x:v>No</x:v>
      </x:c>
      <x:c r="O635" s="25" t="str">
        <x:v>Pendiente: asignar con R/sf</x:v>
      </x:c>
    </x:row>
    <x:row r="636">
      <x:c r="A636" s="25" t="n">
        <x:v>635</x:v>
      </x:c>
      <x:c r="B636" s="26" t="n">
        <x:v>44467.46251157407</x:v>
      </x:c>
      <x:c r="C636" s="27" t="n">
        <x:f>INT(B636)</x:f>
        <x:v>44467</x:v>
      </x:c>
      <x:c r="D636" s="28" t="n">
        <x:f>MOD(B636,1)</x:f>
        <x:v>0.4625115740709589</x:v>
      </x:c>
      <x:c r="E636" s="29" t="n">
        <x:f>YEAR(B636)</x:f>
        <x:v>2021</x:v>
      </x:c>
      <x:c r="F636" s="29" t="n">
        <x:f>MONTH(B636)</x:f>
        <x:v>9</x:v>
      </x:c>
      <x:c r="G636" s="30" t="n">
        <x:v>-29.43</x:v>
      </x:c>
      <x:c r="H636" s="30" t="n">
        <x:v>-71.27</x:v>
      </x:c>
      <x:c r="I636" s="29" t="n">
        <x:v>50</x:v>
      </x:c>
      <x:c r="J636" s="31" t="n">
        <x:v>4</x:v>
      </x:c>
      <x:c r="K636" s="25" t="str">
        <x:f>IF(J636&gt;=7,"Muy fuerte (&gt;=7)",IF(J636&gt;=6,"Fuerte (6-6.9)",IF(J636&gt;=5,"Moderado alto (5-5.9)",IF(J636&gt;=4,"Moderado (4-4.9)","Menor a 4"))))</x:f>
        <x:v>Moderado (4-4.9)</x:v>
      </x:c>
      <x:c r="L636" s="25" t="str">
        <x:f>IF(I636&lt;70,"Superficial (&lt;70 km)",IF(I636&lt;=300,"Intermedio (70-300 km)","Profundo (&gt;300 km)"))</x:f>
        <x:v>Superficial (&lt;70 km)</x:v>
      </x:c>
      <x:c r="M636" s="25" t="str">
        <x:f>IF(J636&gt;=5,"Sí","No")</x:f>
        <x:v>No</x:v>
      </x:c>
      <x:c r="N636" s="25" t="str">
        <x:f>IF(J636&gt;=6,"Sí","No")</x:f>
        <x:v>No</x:v>
      </x:c>
      <x:c r="O636" s="25" t="str">
        <x:v>Pendiente: asignar con R/sf</x:v>
      </x:c>
    </x:row>
    <x:row r="637">
      <x:c r="A637" s="25" t="n">
        <x:v>636</x:v>
      </x:c>
      <x:c r="B637" s="26" t="n">
        <x:v>44499.62599537037</x:v>
      </x:c>
      <x:c r="C637" s="27" t="n">
        <x:f>INT(B637)</x:f>
        <x:v>44499</x:v>
      </x:c>
      <x:c r="D637" s="28" t="n">
        <x:f>MOD(B637,1)</x:f>
        <x:v>0.6259953703702195</x:v>
      </x:c>
      <x:c r="E637" s="29" t="n">
        <x:f>YEAR(B637)</x:f>
        <x:v>2021</x:v>
      </x:c>
      <x:c r="F637" s="29" t="n">
        <x:f>MONTH(B637)</x:f>
        <x:v>10</x:v>
      </x:c>
      <x:c r="G637" s="30" t="n">
        <x:v>-30.27</x:v>
      </x:c>
      <x:c r="H637" s="30" t="n">
        <x:v>-71.28</x:v>
      </x:c>
      <x:c r="I637" s="29" t="n">
        <x:v>63</x:v>
      </x:c>
      <x:c r="J637" s="31" t="n">
        <x:v>3.9</x:v>
      </x:c>
      <x:c r="K637" s="25" t="str">
        <x:f>IF(J637&gt;=7,"Muy fuerte (&gt;=7)",IF(J637&gt;=6,"Fuerte (6-6.9)",IF(J637&gt;=5,"Moderado alto (5-5.9)",IF(J637&gt;=4,"Moderado (4-4.9)","Menor a 4"))))</x:f>
        <x:v>Menor a 4</x:v>
      </x:c>
      <x:c r="L637" s="25" t="str">
        <x:f>IF(I637&lt;70,"Superficial (&lt;70 km)",IF(I637&lt;=300,"Intermedio (70-300 km)","Profundo (&gt;300 km)"))</x:f>
        <x:v>Superficial (&lt;70 km)</x:v>
      </x:c>
      <x:c r="M637" s="25" t="str">
        <x:f>IF(J637&gt;=5,"Sí","No")</x:f>
        <x:v>No</x:v>
      </x:c>
      <x:c r="N637" s="25" t="str">
        <x:f>IF(J637&gt;=6,"Sí","No")</x:f>
        <x:v>No</x:v>
      </x:c>
      <x:c r="O637" s="25" t="str">
        <x:v>Pendiente: asignar con R/sf</x:v>
      </x:c>
    </x:row>
    <x:row r="638">
      <x:c r="A638" s="25" t="n">
        <x:v>637</x:v>
      </x:c>
      <x:c r="B638" s="26" t="n">
        <x:v>44544.529375</x:v>
      </x:c>
      <x:c r="C638" s="27" t="n">
        <x:f>INT(B638)</x:f>
        <x:v>44544</x:v>
      </x:c>
      <x:c r="D638" s="28" t="n">
        <x:f>MOD(B638,1)</x:f>
        <x:v>0.5293749999982538</x:v>
      </x:c>
      <x:c r="E638" s="29" t="n">
        <x:f>YEAR(B638)</x:f>
        <x:v>2021</x:v>
      </x:c>
      <x:c r="F638" s="29" t="n">
        <x:f>MONTH(B638)</x:f>
        <x:v>12</x:v>
      </x:c>
      <x:c r="G638" s="30" t="n">
        <x:v>-29.63</x:v>
      </x:c>
      <x:c r="H638" s="30" t="n">
        <x:v>-71.28</x:v>
      </x:c>
      <x:c r="I638" s="29" t="n">
        <x:v>57</x:v>
      </x:c>
      <x:c r="J638" s="31" t="n">
        <x:v>3.9</x:v>
      </x:c>
      <x:c r="K638" s="25" t="str">
        <x:f>IF(J638&gt;=7,"Muy fuerte (&gt;=7)",IF(J638&gt;=6,"Fuerte (6-6.9)",IF(J638&gt;=5,"Moderado alto (5-5.9)",IF(J638&gt;=4,"Moderado (4-4.9)","Menor a 4"))))</x:f>
        <x:v>Menor a 4</x:v>
      </x:c>
      <x:c r="L638" s="25" t="str">
        <x:f>IF(I638&lt;70,"Superficial (&lt;70 km)",IF(I638&lt;=300,"Intermedio (70-300 km)","Profundo (&gt;300 km)"))</x:f>
        <x:v>Superficial (&lt;70 km)</x:v>
      </x:c>
      <x:c r="M638" s="25" t="str">
        <x:f>IF(J638&gt;=5,"Sí","No")</x:f>
        <x:v>No</x:v>
      </x:c>
      <x:c r="N638" s="25" t="str">
        <x:f>IF(J638&gt;=6,"Sí","No")</x:f>
        <x:v>No</x:v>
      </x:c>
      <x:c r="O638" s="25" t="str">
        <x:v>Pendiente: asignar con R/sf</x:v>
      </x:c>
    </x:row>
    <x:row r="639">
      <x:c r="A639" s="25" t="n">
        <x:v>638</x:v>
      </x:c>
      <x:c r="B639" s="26" t="n">
        <x:v>44592.90020833333</x:v>
      </x:c>
      <x:c r="C639" s="27" t="n">
        <x:f>INT(B639)</x:f>
        <x:v>44592</x:v>
      </x:c>
      <x:c r="D639" s="28" t="n">
        <x:f>MOD(B639,1)</x:f>
        <x:v>0.9002083333325572</x:v>
      </x:c>
      <x:c r="E639" s="29" t="n">
        <x:f>YEAR(B639)</x:f>
        <x:v>2022</x:v>
      </x:c>
      <x:c r="F639" s="29" t="n">
        <x:f>MONTH(B639)</x:f>
        <x:v>1</x:v>
      </x:c>
      <x:c r="G639" s="30" t="n">
        <x:v>-29.95</x:v>
      </x:c>
      <x:c r="H639" s="30" t="n">
        <x:v>-71.94</x:v>
      </x:c>
      <x:c r="I639" s="29" t="n">
        <x:v>35</x:v>
      </x:c>
      <x:c r="J639" s="31" t="n">
        <x:v>4.4</x:v>
      </x:c>
      <x:c r="K639" s="25" t="str">
        <x:f>IF(J639&gt;=7,"Muy fuerte (&gt;=7)",IF(J639&gt;=6,"Fuerte (6-6.9)",IF(J639&gt;=5,"Moderado alto (5-5.9)",IF(J639&gt;=4,"Moderado (4-4.9)","Menor a 4"))))</x:f>
        <x:v>Moderado (4-4.9)</x:v>
      </x:c>
      <x:c r="L639" s="25" t="str">
        <x:f>IF(I639&lt;70,"Superficial (&lt;70 km)",IF(I639&lt;=300,"Intermedio (70-300 km)","Profundo (&gt;300 km)"))</x:f>
        <x:v>Superficial (&lt;70 km)</x:v>
      </x:c>
      <x:c r="M639" s="25" t="str">
        <x:f>IF(J639&gt;=5,"Sí","No")</x:f>
        <x:v>No</x:v>
      </x:c>
      <x:c r="N639" s="25" t="str">
        <x:f>IF(J639&gt;=6,"Sí","No")</x:f>
        <x:v>No</x:v>
      </x:c>
      <x:c r="O639" s="25" t="str">
        <x:v>Pendiente: asignar con R/sf</x:v>
      </x:c>
    </x:row>
    <x:row r="640">
      <x:c r="A640" s="25" t="n">
        <x:v>639</x:v>
      </x:c>
      <x:c r="B640" s="26" t="n">
        <x:v>44737.16307870371</x:v>
      </x:c>
      <x:c r="C640" s="27" t="n">
        <x:f>INT(B640)</x:f>
        <x:v>44737</x:v>
      </x:c>
      <x:c r="D640" s="28" t="n">
        <x:f>MOD(B640,1)</x:f>
        <x:v>0.1630787037065602</x:v>
      </x:c>
      <x:c r="E640" s="29" t="n">
        <x:f>YEAR(B640)</x:f>
        <x:v>2022</x:v>
      </x:c>
      <x:c r="F640" s="29" t="n">
        <x:f>MONTH(B640)</x:f>
        <x:v>6</x:v>
      </x:c>
      <x:c r="G640" s="30" t="n">
        <x:v>-29.57</x:v>
      </x:c>
      <x:c r="H640" s="30" t="n">
        <x:v>-71.36</x:v>
      </x:c>
      <x:c r="I640" s="29" t="n">
        <x:v>70</x:v>
      </x:c>
      <x:c r="J640" s="31" t="n">
        <x:v>4.9</x:v>
      </x:c>
      <x:c r="K640" s="25" t="str">
        <x:f>IF(J640&gt;=7,"Muy fuerte (&gt;=7)",IF(J640&gt;=6,"Fuerte (6-6.9)",IF(J640&gt;=5,"Moderado alto (5-5.9)",IF(J640&gt;=4,"Moderado (4-4.9)","Menor a 4"))))</x:f>
        <x:v>Moderado (4-4.9)</x:v>
      </x:c>
      <x:c r="L640" s="25" t="str">
        <x:f>IF(I640&lt;70,"Superficial (&lt;70 km)",IF(I640&lt;=300,"Intermedio (70-300 km)","Profundo (&gt;300 km)"))</x:f>
        <x:v>Intermedio (70-300 km)</x:v>
      </x:c>
      <x:c r="M640" s="25" t="str">
        <x:f>IF(J640&gt;=5,"Sí","No")</x:f>
        <x:v>No</x:v>
      </x:c>
      <x:c r="N640" s="25" t="str">
        <x:f>IF(J640&gt;=6,"Sí","No")</x:f>
        <x:v>No</x:v>
      </x:c>
      <x:c r="O640" s="25" t="str">
        <x:v>Pendiente: asignar con R/sf</x:v>
      </x:c>
    </x:row>
    <x:row r="641">
      <x:c r="A641" s="25" t="n">
        <x:v>640</x:v>
      </x:c>
      <x:c r="B641" s="26" t="n">
        <x:v>44792.40604166667</x:v>
      </x:c>
      <x:c r="C641" s="27" t="n">
        <x:f>INT(B641)</x:f>
        <x:v>44792</x:v>
      </x:c>
      <x:c r="D641" s="28" t="n">
        <x:f>MOD(B641,1)</x:f>
        <x:v>0.40604166666889796</x:v>
      </x:c>
      <x:c r="E641" s="29" t="n">
        <x:f>YEAR(B641)</x:f>
        <x:v>2022</x:v>
      </x:c>
      <x:c r="F641" s="29" t="n">
        <x:f>MONTH(B641)</x:f>
        <x:v>8</x:v>
      </x:c>
      <x:c r="G641" s="30" t="n">
        <x:v>-28.79</x:v>
      </x:c>
      <x:c r="H641" s="30" t="n">
        <x:v>-71.35</x:v>
      </x:c>
      <x:c r="I641" s="29" t="n">
        <x:v>49</x:v>
      </x:c>
      <x:c r="J641" s="31" t="n">
        <x:v>4.8</x:v>
      </x:c>
      <x:c r="K641" s="25" t="str">
        <x:f>IF(J641&gt;=7,"Muy fuerte (&gt;=7)",IF(J641&gt;=6,"Fuerte (6-6.9)",IF(J641&gt;=5,"Moderado alto (5-5.9)",IF(J641&gt;=4,"Moderado (4-4.9)","Menor a 4"))))</x:f>
        <x:v>Moderado (4-4.9)</x:v>
      </x:c>
      <x:c r="L641" s="25" t="str">
        <x:f>IF(I641&lt;70,"Superficial (&lt;70 km)",IF(I641&lt;=300,"Intermedio (70-300 km)","Profundo (&gt;300 km)"))</x:f>
        <x:v>Superficial (&lt;70 km)</x:v>
      </x:c>
      <x:c r="M641" s="25" t="str">
        <x:f>IF(J641&gt;=5,"Sí","No")</x:f>
        <x:v>No</x:v>
      </x:c>
      <x:c r="N641" s="25" t="str">
        <x:f>IF(J641&gt;=6,"Sí","No")</x:f>
        <x:v>No</x:v>
      </x:c>
      <x:c r="O641" s="25" t="str">
        <x:v>Pendiente: asignar con R/sf</x:v>
      </x:c>
    </x:row>
    <x:row r="642">
      <x:c r="A642" s="25" t="n">
        <x:v>641</x:v>
      </x:c>
      <x:c r="B642" s="26" t="n">
        <x:v>44793.82638888889</x:v>
      </x:c>
      <x:c r="C642" s="27" t="n">
        <x:f>INT(B642)</x:f>
        <x:v>44793</x:v>
      </x:c>
      <x:c r="D642" s="28" t="n">
        <x:f>MOD(B642,1)</x:f>
        <x:v>0.8263888888905058</x:v>
      </x:c>
      <x:c r="E642" s="29" t="n">
        <x:f>YEAR(B642)</x:f>
        <x:v>2022</x:v>
      </x:c>
      <x:c r="F642" s="29" t="n">
        <x:f>MONTH(B642)</x:f>
        <x:v>8</x:v>
      </x:c>
      <x:c r="G642" s="30" t="n">
        <x:v>-30.1</x:v>
      </x:c>
      <x:c r="H642" s="30" t="n">
        <x:v>-71.2</x:v>
      </x:c>
      <x:c r="I642" s="29" t="n">
        <x:v>72</x:v>
      </x:c>
      <x:c r="J642" s="31" t="n">
        <x:v>4.3</x:v>
      </x:c>
      <x:c r="K642" s="25" t="str">
        <x:f>IF(J642&gt;=7,"Muy fuerte (&gt;=7)",IF(J642&gt;=6,"Fuerte (6-6.9)",IF(J642&gt;=5,"Moderado alto (5-5.9)",IF(J642&gt;=4,"Moderado (4-4.9)","Menor a 4"))))</x:f>
        <x:v>Moderado (4-4.9)</x:v>
      </x:c>
      <x:c r="L642" s="25" t="str">
        <x:f>IF(I642&lt;70,"Superficial (&lt;70 km)",IF(I642&lt;=300,"Intermedio (70-300 km)","Profundo (&gt;300 km)"))</x:f>
        <x:v>Intermedio (70-300 km)</x:v>
      </x:c>
      <x:c r="M642" s="25" t="str">
        <x:f>IF(J642&gt;=5,"Sí","No")</x:f>
        <x:v>No</x:v>
      </x:c>
      <x:c r="N642" s="25" t="str">
        <x:f>IF(J642&gt;=6,"Sí","No")</x:f>
        <x:v>No</x:v>
      </x:c>
      <x:c r="O642" s="25" t="str">
        <x:v>Pendiente: asignar con R/sf</x:v>
      </x:c>
    </x:row>
    <x:row r="643">
      <x:c r="A643" s="25" t="n">
        <x:v>642</x:v>
      </x:c>
      <x:c r="B643" s="26" t="n">
        <x:v>44800.615694444445</x:v>
      </x:c>
      <x:c r="C643" s="27" t="n">
        <x:f>INT(B643)</x:f>
        <x:v>44800</x:v>
      </x:c>
      <x:c r="D643" s="28" t="n">
        <x:f>MOD(B643,1)</x:f>
        <x:v>0.6156944444446708</x:v>
      </x:c>
      <x:c r="E643" s="29" t="n">
        <x:f>YEAR(B643)</x:f>
        <x:v>2022</x:v>
      </x:c>
      <x:c r="F643" s="29" t="n">
        <x:f>MONTH(B643)</x:f>
        <x:v>8</x:v>
      </x:c>
      <x:c r="G643" s="30" t="n">
        <x:v>-29.55</x:v>
      </x:c>
      <x:c r="H643" s="30" t="n">
        <x:v>-71.32</x:v>
      </x:c>
      <x:c r="I643" s="29" t="n">
        <x:v>76</x:v>
      </x:c>
      <x:c r="J643" s="31" t="n">
        <x:v>4</x:v>
      </x:c>
      <x:c r="K643" s="25" t="str">
        <x:f>IF(J643&gt;=7,"Muy fuerte (&gt;=7)",IF(J643&gt;=6,"Fuerte (6-6.9)",IF(J643&gt;=5,"Moderado alto (5-5.9)",IF(J643&gt;=4,"Moderado (4-4.9)","Menor a 4"))))</x:f>
        <x:v>Moderado (4-4.9)</x:v>
      </x:c>
      <x:c r="L643" s="25" t="str">
        <x:f>IF(I643&lt;70,"Superficial (&lt;70 km)",IF(I643&lt;=300,"Intermedio (70-300 km)","Profundo (&gt;300 km)"))</x:f>
        <x:v>Intermedio (70-300 km)</x:v>
      </x:c>
      <x:c r="M643" s="25" t="str">
        <x:f>IF(J643&gt;=5,"Sí","No")</x:f>
        <x:v>No</x:v>
      </x:c>
      <x:c r="N643" s="25" t="str">
        <x:f>IF(J643&gt;=6,"Sí","No")</x:f>
        <x:v>No</x:v>
      </x:c>
      <x:c r="O643" s="25" t="str">
        <x:v>Pendiente: asignar con R/sf</x:v>
      </x:c>
    </x:row>
    <x:row r="644">
      <x:c r="A644" s="25" t="n">
        <x:v>643</x:v>
      </x:c>
      <x:c r="B644" s="26" t="n">
        <x:v>44800.92690972222</x:v>
      </x:c>
      <x:c r="C644" s="27" t="n">
        <x:f>INT(B644)</x:f>
        <x:v>44800</x:v>
      </x:c>
      <x:c r="D644" s="28" t="n">
        <x:f>MOD(B644,1)</x:f>
        <x:v>0.9269097222204437</x:v>
      </x:c>
      <x:c r="E644" s="29" t="n">
        <x:f>YEAR(B644)</x:f>
        <x:v>2022</x:v>
      </x:c>
      <x:c r="F644" s="29" t="n">
        <x:f>MONTH(B644)</x:f>
        <x:v>8</x:v>
      </x:c>
      <x:c r="G644" s="30" t="n">
        <x:v>-28.77</x:v>
      </x:c>
      <x:c r="H644" s="30" t="n">
        <x:v>-71.01</x:v>
      </x:c>
      <x:c r="I644" s="29" t="n">
        <x:v>50</x:v>
      </x:c>
      <x:c r="J644" s="31" t="n">
        <x:v>4.7</x:v>
      </x:c>
      <x:c r="K644" s="25" t="str">
        <x:f>IF(J644&gt;=7,"Muy fuerte (&gt;=7)",IF(J644&gt;=6,"Fuerte (6-6.9)",IF(J644&gt;=5,"Moderado alto (5-5.9)",IF(J644&gt;=4,"Moderado (4-4.9)","Menor a 4"))))</x:f>
        <x:v>Moderado (4-4.9)</x:v>
      </x:c>
      <x:c r="L644" s="25" t="str">
        <x:f>IF(I644&lt;70,"Superficial (&lt;70 km)",IF(I644&lt;=300,"Intermedio (70-300 km)","Profundo (&gt;300 km)"))</x:f>
        <x:v>Superficial (&lt;70 km)</x:v>
      </x:c>
      <x:c r="M644" s="25" t="str">
        <x:f>IF(J644&gt;=5,"Sí","No")</x:f>
        <x:v>No</x:v>
      </x:c>
      <x:c r="N644" s="25" t="str">
        <x:f>IF(J644&gt;=6,"Sí","No")</x:f>
        <x:v>No</x:v>
      </x:c>
      <x:c r="O644" s="25" t="str">
        <x:v>Pendiente: asignar con R/sf</x:v>
      </x:c>
    </x:row>
    <x:row r="645">
      <x:c r="A645" s="25" t="n">
        <x:v>644</x:v>
      </x:c>
      <x:c r="B645" s="26" t="n">
        <x:v>44110.437048611115</x:v>
      </x:c>
      <x:c r="C645" s="27" t="n">
        <x:f>INT(B645)</x:f>
        <x:v>44110</x:v>
      </x:c>
      <x:c r="D645" s="28" t="n">
        <x:f>MOD(B645,1)</x:f>
        <x:v>0.4370486111147329</x:v>
      </x:c>
      <x:c r="E645" s="29" t="n">
        <x:f>YEAR(B645)</x:f>
        <x:v>2020</x:v>
      </x:c>
      <x:c r="F645" s="29" t="n">
        <x:f>MONTH(B645)</x:f>
        <x:v>10</x:v>
      </x:c>
      <x:c r="G645" s="30" t="n">
        <x:v>-32.23</x:v>
      </x:c>
      <x:c r="H645" s="30" t="n">
        <x:v>-70.82</x:v>
      </x:c>
      <x:c r="I645" s="29" t="n">
        <x:v>94</x:v>
      </x:c>
      <x:c r="J645" s="31" t="n">
        <x:v>4.2</x:v>
      </x:c>
      <x:c r="K645" s="25" t="str">
        <x:f>IF(J645&gt;=7,"Muy fuerte (&gt;=7)",IF(J645&gt;=6,"Fuerte (6-6.9)",IF(J645&gt;=5,"Moderado alto (5-5.9)",IF(J645&gt;=4,"Moderado (4-4.9)","Menor a 4"))))</x:f>
        <x:v>Moderado (4-4.9)</x:v>
      </x:c>
      <x:c r="L645" s="25" t="str">
        <x:f>IF(I645&lt;70,"Superficial (&lt;70 km)",IF(I645&lt;=300,"Intermedio (70-300 km)","Profundo (&gt;300 km)"))</x:f>
        <x:v>Intermedio (70-300 km)</x:v>
      </x:c>
      <x:c r="M645" s="25" t="str">
        <x:f>IF(J645&gt;=5,"Sí","No")</x:f>
        <x:v>No</x:v>
      </x:c>
      <x:c r="N645" s="25" t="str">
        <x:f>IF(J645&gt;=6,"Sí","No")</x:f>
        <x:v>No</x:v>
      </x:c>
      <x:c r="O645" s="25" t="str">
        <x:v>Pendiente: asignar con R/sf</x:v>
      </x:c>
    </x:row>
    <x:row r="646">
      <x:c r="A646" s="25" t="n">
        <x:v>645</x:v>
      </x:c>
      <x:c r="B646" s="26" t="n">
        <x:v>44781.1562037037</x:v>
      </x:c>
      <x:c r="C646" s="27" t="n">
        <x:f>INT(B646)</x:f>
        <x:v>44781</x:v>
      </x:c>
      <x:c r="D646" s="28" t="n">
        <x:f>MOD(B646,1)</x:f>
        <x:v>0.15620370370015735</x:v>
      </x:c>
      <x:c r="E646" s="29" t="n">
        <x:f>YEAR(B646)</x:f>
        <x:v>2022</x:v>
      </x:c>
      <x:c r="F646" s="29" t="n">
        <x:f>MONTH(B646)</x:f>
        <x:v>8</x:v>
      </x:c>
      <x:c r="G646" s="30" t="n">
        <x:v>-32.68</x:v>
      </x:c>
      <x:c r="H646" s="30" t="n">
        <x:v>-71.88</x:v>
      </x:c>
      <x:c r="I646" s="29" t="n">
        <x:v>32</x:v>
      </x:c>
      <x:c r="J646" s="31" t="n">
        <x:v>4.9</x:v>
      </x:c>
      <x:c r="K646" s="25" t="str">
        <x:f>IF(J646&gt;=7,"Muy fuerte (&gt;=7)",IF(J646&gt;=6,"Fuerte (6-6.9)",IF(J646&gt;=5,"Moderado alto (5-5.9)",IF(J646&gt;=4,"Moderado (4-4.9)","Menor a 4"))))</x:f>
        <x:v>Moderado (4-4.9)</x:v>
      </x:c>
      <x:c r="L646" s="25" t="str">
        <x:f>IF(I646&lt;70,"Superficial (&lt;70 km)",IF(I646&lt;=300,"Intermedio (70-300 km)","Profundo (&gt;300 km)"))</x:f>
        <x:v>Superficial (&lt;70 km)</x:v>
      </x:c>
      <x:c r="M646" s="25" t="str">
        <x:f>IF(J646&gt;=5,"Sí","No")</x:f>
        <x:v>No</x:v>
      </x:c>
      <x:c r="N646" s="25" t="str">
        <x:f>IF(J646&gt;=6,"Sí","No")</x:f>
        <x:v>No</x:v>
      </x:c>
      <x:c r="O646" s="25" t="str">
        <x:v>Pendiente: asignar con R/sf</x:v>
      </x:c>
    </x:row>
    <x:row r="647">
      <x:c r="A647" s="25" t="n">
        <x:v>646</x:v>
      </x:c>
      <x:c r="B647" s="26" t="n">
        <x:v>44802.55370370371</x:v>
      </x:c>
      <x:c r="C647" s="27" t="n">
        <x:f>INT(B647)</x:f>
        <x:v>44802</x:v>
      </x:c>
      <x:c r="D647" s="28" t="n">
        <x:f>MOD(B647,1)</x:f>
        <x:v>0.5537037037065602</x:v>
      </x:c>
      <x:c r="E647" s="29" t="n">
        <x:f>YEAR(B647)</x:f>
        <x:v>2022</x:v>
      </x:c>
      <x:c r="F647" s="29" t="n">
        <x:f>MONTH(B647)</x:f>
        <x:v>8</x:v>
      </x:c>
      <x:c r="G647" s="30" t="n">
        <x:v>-33.57</x:v>
      </x:c>
      <x:c r="H647" s="30" t="n">
        <x:v>-70.8</x:v>
      </x:c>
      <x:c r="I647" s="29" t="n">
        <x:v>91</x:v>
      </x:c>
      <x:c r="J647" s="31" t="n">
        <x:v>4.5</x:v>
      </x:c>
      <x:c r="K647" s="25" t="str">
        <x:f>IF(J647&gt;=7,"Muy fuerte (&gt;=7)",IF(J647&gt;=6,"Fuerte (6-6.9)",IF(J647&gt;=5,"Moderado alto (5-5.9)",IF(J647&gt;=4,"Moderado (4-4.9)","Menor a 4"))))</x:f>
        <x:v>Moderado (4-4.9)</x:v>
      </x:c>
      <x:c r="L647" s="25" t="str">
        <x:f>IF(I647&lt;70,"Superficial (&lt;70 km)",IF(I647&lt;=300,"Intermedio (70-300 km)","Profundo (&gt;300 km)"))</x:f>
        <x:v>Intermedio (70-300 km)</x:v>
      </x:c>
      <x:c r="M647" s="25" t="str">
        <x:f>IF(J647&gt;=5,"Sí","No")</x:f>
        <x:v>No</x:v>
      </x:c>
      <x:c r="N647" s="25" t="str">
        <x:f>IF(J647&gt;=6,"Sí","No")</x:f>
        <x:v>No</x:v>
      </x:c>
      <x:c r="O647" s="25" t="str">
        <x:v>Pendiente: asignar con R/sf</x:v>
      </x:c>
    </x:row>
    <x:row r="648">
      <x:c r="A648" s="25" t="n">
        <x:v>647</x:v>
      </x:c>
      <x:c r="B648" s="26" t="n">
        <x:v>44815.1403587963</x:v>
      </x:c>
      <x:c r="C648" s="27" t="n">
        <x:f>INT(B648)</x:f>
        <x:v>44815</x:v>
      </x:c>
      <x:c r="D648" s="28" t="n">
        <x:f>MOD(B648,1)</x:f>
        <x:v>0.1403587962995516</x:v>
      </x:c>
      <x:c r="E648" s="29" t="n">
        <x:f>YEAR(B648)</x:f>
        <x:v>2022</x:v>
      </x:c>
      <x:c r="F648" s="29" t="n">
        <x:f>MONTH(B648)</x:f>
        <x:v>9</x:v>
      </x:c>
      <x:c r="G648" s="30" t="n">
        <x:v>-33.21</x:v>
      </x:c>
      <x:c r="H648" s="30" t="n">
        <x:v>-70.96</x:v>
      </x:c>
      <x:c r="I648" s="29" t="n">
        <x:v>74</x:v>
      </x:c>
      <x:c r="J648" s="31" t="n">
        <x:v>4.6</x:v>
      </x:c>
      <x:c r="K648" s="25" t="str">
        <x:f>IF(J648&gt;=7,"Muy fuerte (&gt;=7)",IF(J648&gt;=6,"Fuerte (6-6.9)",IF(J648&gt;=5,"Moderado alto (5-5.9)",IF(J648&gt;=4,"Moderado (4-4.9)","Menor a 4"))))</x:f>
        <x:v>Moderado (4-4.9)</x:v>
      </x:c>
      <x:c r="L648" s="25" t="str">
        <x:f>IF(I648&lt;70,"Superficial (&lt;70 km)",IF(I648&lt;=300,"Intermedio (70-300 km)","Profundo (&gt;300 km)"))</x:f>
        <x:v>Intermedio (70-300 km)</x:v>
      </x:c>
      <x:c r="M648" s="25" t="str">
        <x:f>IF(J648&gt;=5,"Sí","No")</x:f>
        <x:v>No</x:v>
      </x:c>
      <x:c r="N648" s="25" t="str">
        <x:f>IF(J648&gt;=6,"Sí","No")</x:f>
        <x:v>No</x:v>
      </x:c>
      <x:c r="O648" s="25" t="str">
        <x:v>Pendiente: asignar con R/sf</x:v>
      </x:c>
    </x:row>
    <x:row r="649">
      <x:c r="A649" s="25" t="n">
        <x:v>648</x:v>
      </x:c>
      <x:c r="B649" s="26" t="n">
        <x:v>44590.099699074075</x:v>
      </x:c>
      <x:c r="C649" s="27" t="n">
        <x:f>INT(B649)</x:f>
        <x:v>44590</x:v>
      </x:c>
      <x:c r="D649" s="28" t="n">
        <x:f>MOD(B649,1)</x:f>
        <x:v>0.09969907407503342</x:v>
      </x:c>
      <x:c r="E649" s="29" t="n">
        <x:f>YEAR(B649)</x:f>
        <x:v>2022</x:v>
      </x:c>
      <x:c r="F649" s="29" t="n">
        <x:f>MONTH(B649)</x:f>
        <x:v>1</x:v>
      </x:c>
      <x:c r="G649" s="30" t="n">
        <x:v>-33.55</x:v>
      </x:c>
      <x:c r="H649" s="30" t="n">
        <x:v>-70.39</x:v>
      </x:c>
      <x:c r="I649" s="29" t="n">
        <x:v>20</x:v>
      </x:c>
      <x:c r="J649" s="31" t="n">
        <x:v>3</x:v>
      </x:c>
      <x:c r="K649" s="25" t="str">
        <x:f>IF(J649&gt;=7,"Muy fuerte (&gt;=7)",IF(J649&gt;=6,"Fuerte (6-6.9)",IF(J649&gt;=5,"Moderado alto (5-5.9)",IF(J649&gt;=4,"Moderado (4-4.9)","Menor a 4"))))</x:f>
        <x:v>Menor a 4</x:v>
      </x:c>
      <x:c r="L649" s="25" t="str">
        <x:f>IF(I649&lt;70,"Superficial (&lt;70 km)",IF(I649&lt;=300,"Intermedio (70-300 km)","Profundo (&gt;300 km)"))</x:f>
        <x:v>Superficial (&lt;70 km)</x:v>
      </x:c>
      <x:c r="M649" s="25" t="str">
        <x:f>IF(J649&gt;=5,"Sí","No")</x:f>
        <x:v>No</x:v>
      </x:c>
      <x:c r="N649" s="25" t="str">
        <x:f>IF(J649&gt;=6,"Sí","No")</x:f>
        <x:v>No</x:v>
      </x:c>
      <x:c r="O649" s="25" t="str">
        <x:v>Pendiente: asignar con R/sf</x:v>
      </x:c>
    </x:row>
    <x:row r="650">
      <x:c r="A650" s="25" t="n">
        <x:v>649</x:v>
      </x:c>
      <x:c r="B650" s="26" t="n">
        <x:v>44623.206030092595</x:v>
      </x:c>
      <x:c r="C650" s="27" t="n">
        <x:f>INT(B650)</x:f>
        <x:v>44623</x:v>
      </x:c>
      <x:c r="D650" s="28" t="n">
        <x:f>MOD(B650,1)</x:f>
        <x:v>0.2060300925950287</x:v>
      </x:c>
      <x:c r="E650" s="29" t="n">
        <x:f>YEAR(B650)</x:f>
        <x:v>2022</x:v>
      </x:c>
      <x:c r="F650" s="29" t="n">
        <x:f>MONTH(B650)</x:f>
        <x:v>3</x:v>
      </x:c>
      <x:c r="G650" s="30" t="n">
        <x:v>-33.49</x:v>
      </x:c>
      <x:c r="H650" s="30" t="n">
        <x:v>-70.47</x:v>
      </x:c>
      <x:c r="I650" s="29" t="n">
        <x:v>105</x:v>
      </x:c>
      <x:c r="J650" s="31" t="n">
        <x:v>4.5</x:v>
      </x:c>
      <x:c r="K650" s="25" t="str">
        <x:f>IF(J650&gt;=7,"Muy fuerte (&gt;=7)",IF(J650&gt;=6,"Fuerte (6-6.9)",IF(J650&gt;=5,"Moderado alto (5-5.9)",IF(J650&gt;=4,"Moderado (4-4.9)","Menor a 4"))))</x:f>
        <x:v>Moderado (4-4.9)</x:v>
      </x:c>
      <x:c r="L650" s="25" t="str">
        <x:f>IF(I650&lt;70,"Superficial (&lt;70 km)",IF(I650&lt;=300,"Intermedio (70-300 km)","Profundo (&gt;300 km)"))</x:f>
        <x:v>Intermedio (70-300 km)</x:v>
      </x:c>
      <x:c r="M650" s="25" t="str">
        <x:f>IF(J650&gt;=5,"Sí","No")</x:f>
        <x:v>No</x:v>
      </x:c>
      <x:c r="N650" s="25" t="str">
        <x:f>IF(J650&gt;=6,"Sí","No")</x:f>
        <x:v>No</x:v>
      </x:c>
      <x:c r="O650" s="25" t="str">
        <x:v>Pendiente: asignar con R/sf</x:v>
      </x:c>
    </x:row>
    <x:row r="651">
      <x:c r="A651" s="25" t="n">
        <x:v>650</x:v>
      </x:c>
      <x:c r="B651" s="26" t="n">
        <x:v>43803.56371527778</x:v>
      </x:c>
      <x:c r="C651" s="27" t="n">
        <x:f>INT(B651)</x:f>
        <x:v>43803</x:v>
      </x:c>
      <x:c r="D651" s="28" t="n">
        <x:f>MOD(B651,1)</x:f>
        <x:v>0.5637152777781012</x:v>
      </x:c>
      <x:c r="E651" s="29" t="n">
        <x:f>YEAR(B651)</x:f>
        <x:v>2019</x:v>
      </x:c>
      <x:c r="F651" s="29" t="n">
        <x:f>MONTH(B651)</x:f>
        <x:v>12</x:v>
      </x:c>
      <x:c r="G651" s="30" t="n">
        <x:v>-33</x:v>
      </x:c>
      <x:c r="H651" s="30" t="n">
        <x:v>-70.05</x:v>
      </x:c>
      <x:c r="I651" s="29" t="n">
        <x:v>9</x:v>
      </x:c>
      <x:c r="J651" s="31" t="n">
        <x:v>3.3</x:v>
      </x:c>
      <x:c r="K651" s="25" t="str">
        <x:f>IF(J651&gt;=7,"Muy fuerte (&gt;=7)",IF(J651&gt;=6,"Fuerte (6-6.9)",IF(J651&gt;=5,"Moderado alto (5-5.9)",IF(J651&gt;=4,"Moderado (4-4.9)","Menor a 4"))))</x:f>
        <x:v>Menor a 4</x:v>
      </x:c>
      <x:c r="L651" s="25" t="str">
        <x:f>IF(I651&lt;70,"Superficial (&lt;70 km)",IF(I651&lt;=300,"Intermedio (70-300 km)","Profundo (&gt;300 km)"))</x:f>
        <x:v>Superficial (&lt;70 km)</x:v>
      </x:c>
      <x:c r="M651" s="25" t="str">
        <x:f>IF(J651&gt;=5,"Sí","No")</x:f>
        <x:v>No</x:v>
      </x:c>
      <x:c r="N651" s="25" t="str">
        <x:f>IF(J651&gt;=6,"Sí","No")</x:f>
        <x:v>No</x:v>
      </x:c>
      <x:c r="O651" s="25" t="str">
        <x:v>Pendiente: asignar con R/sf</x:v>
      </x:c>
    </x:row>
    <x:row r="652">
      <x:c r="A652" s="25" t="n">
        <x:v>651</x:v>
      </x:c>
      <x:c r="B652" s="26" t="n">
        <x:v>44058.50969907407</x:v>
      </x:c>
      <x:c r="C652" s="27" t="n">
        <x:f>INT(B652)</x:f>
        <x:v>44058</x:v>
      </x:c>
      <x:c r="D652" s="28" t="n">
        <x:f>MOD(B652,1)</x:f>
        <x:v>0.5096990740712499</x:v>
      </x:c>
      <x:c r="E652" s="29" t="n">
        <x:f>YEAR(B652)</x:f>
        <x:v>2020</x:v>
      </x:c>
      <x:c r="F652" s="29" t="n">
        <x:f>MONTH(B652)</x:f>
        <x:v>8</x:v>
      </x:c>
      <x:c r="G652" s="30" t="n">
        <x:v>-33.22</x:v>
      </x:c>
      <x:c r="H652" s="30" t="n">
        <x:v>-70.06</x:v>
      </x:c>
      <x:c r="I652" s="29" t="n">
        <x:v>16</x:v>
      </x:c>
      <x:c r="J652" s="31" t="n">
        <x:v>3.4</x:v>
      </x:c>
      <x:c r="K652" s="25" t="str">
        <x:f>IF(J652&gt;=7,"Muy fuerte (&gt;=7)",IF(J652&gt;=6,"Fuerte (6-6.9)",IF(J652&gt;=5,"Moderado alto (5-5.9)",IF(J652&gt;=4,"Moderado (4-4.9)","Menor a 4"))))</x:f>
        <x:v>Menor a 4</x:v>
      </x:c>
      <x:c r="L652" s="25" t="str">
        <x:f>IF(I652&lt;70,"Superficial (&lt;70 km)",IF(I652&lt;=300,"Intermedio (70-300 km)","Profundo (&gt;300 km)"))</x:f>
        <x:v>Superficial (&lt;70 km)</x:v>
      </x:c>
      <x:c r="M652" s="25" t="str">
        <x:f>IF(J652&gt;=5,"Sí","No")</x:f>
        <x:v>No</x:v>
      </x:c>
      <x:c r="N652" s="25" t="str">
        <x:f>IF(J652&gt;=6,"Sí","No")</x:f>
        <x:v>No</x:v>
      </x:c>
      <x:c r="O652" s="25" t="str">
        <x:v>Pendiente: asignar con R/sf</x:v>
      </x:c>
    </x:row>
    <x:row r="653">
      <x:c r="A653" s="25" t="n">
        <x:v>652</x:v>
      </x:c>
      <x:c r="B653" s="26" t="n">
        <x:v>44059.59474537037</x:v>
      </x:c>
      <x:c r="C653" s="27" t="n">
        <x:f>INT(B653)</x:f>
        <x:v>44059</x:v>
      </x:c>
      <x:c r="D653" s="28" t="n">
        <x:f>MOD(B653,1)</x:f>
        <x:v>0.5947453703702195</x:v>
      </x:c>
      <x:c r="E653" s="29" t="n">
        <x:f>YEAR(B653)</x:f>
        <x:v>2020</x:v>
      </x:c>
      <x:c r="F653" s="29" t="n">
        <x:f>MONTH(B653)</x:f>
        <x:v>8</x:v>
      </x:c>
      <x:c r="G653" s="30" t="n">
        <x:v>-33.19</x:v>
      </x:c>
      <x:c r="H653" s="30" t="n">
        <x:v>-70.03</x:v>
      </x:c>
      <x:c r="I653" s="29" t="n">
        <x:v>16</x:v>
      </x:c>
      <x:c r="J653" s="31" t="n">
        <x:v>3.5</x:v>
      </x:c>
      <x:c r="K653" s="25" t="str">
        <x:f>IF(J653&gt;=7,"Muy fuerte (&gt;=7)",IF(J653&gt;=6,"Fuerte (6-6.9)",IF(J653&gt;=5,"Moderado alto (5-5.9)",IF(J653&gt;=4,"Moderado (4-4.9)","Menor a 4"))))</x:f>
        <x:v>Menor a 4</x:v>
      </x:c>
      <x:c r="L653" s="25" t="str">
        <x:f>IF(I653&lt;70,"Superficial (&lt;70 km)",IF(I653&lt;=300,"Intermedio (70-300 km)","Profundo (&gt;300 km)"))</x:f>
        <x:v>Superficial (&lt;70 km)</x:v>
      </x:c>
      <x:c r="M653" s="25" t="str">
        <x:f>IF(J653&gt;=5,"Sí","No")</x:f>
        <x:v>No</x:v>
      </x:c>
      <x:c r="N653" s="25" t="str">
        <x:f>IF(J653&gt;=6,"Sí","No")</x:f>
        <x:v>No</x:v>
      </x:c>
      <x:c r="O653" s="25" t="str">
        <x:v>Pendiente: asignar con R/sf</x:v>
      </x:c>
    </x:row>
    <x:row r="654">
      <x:c r="A654" s="25" t="n">
        <x:v>653</x:v>
      </x:c>
      <x:c r="B654" s="26" t="n">
        <x:v>44060.144583333335</x:v>
      </x:c>
      <x:c r="C654" s="27" t="n">
        <x:f>INT(B654)</x:f>
        <x:v>44060</x:v>
      </x:c>
      <x:c r="D654" s="28" t="n">
        <x:f>MOD(B654,1)</x:f>
        <x:v>0.1445833333345945</x:v>
      </x:c>
      <x:c r="E654" s="29" t="n">
        <x:f>YEAR(B654)</x:f>
        <x:v>2020</x:v>
      </x:c>
      <x:c r="F654" s="29" t="n">
        <x:f>MONTH(B654)</x:f>
        <x:v>8</x:v>
      </x:c>
      <x:c r="G654" s="30" t="n">
        <x:v>-33.19</x:v>
      </x:c>
      <x:c r="H654" s="30" t="n">
        <x:v>-70.02</x:v>
      </x:c>
      <x:c r="I654" s="29" t="n">
        <x:v>20</x:v>
      </x:c>
      <x:c r="J654" s="31" t="n">
        <x:v>3.8</x:v>
      </x:c>
      <x:c r="K654" s="25" t="str">
        <x:f>IF(J654&gt;=7,"Muy fuerte (&gt;=7)",IF(J654&gt;=6,"Fuerte (6-6.9)",IF(J654&gt;=5,"Moderado alto (5-5.9)",IF(J654&gt;=4,"Moderado (4-4.9)","Menor a 4"))))</x:f>
        <x:v>Menor a 4</x:v>
      </x:c>
      <x:c r="L654" s="25" t="str">
        <x:f>IF(I654&lt;70,"Superficial (&lt;70 km)",IF(I654&lt;=300,"Intermedio (70-300 km)","Profundo (&gt;300 km)"))</x:f>
        <x:v>Superficial (&lt;70 km)</x:v>
      </x:c>
      <x:c r="M654" s="25" t="str">
        <x:f>IF(J654&gt;=5,"Sí","No")</x:f>
        <x:v>No</x:v>
      </x:c>
      <x:c r="N654" s="25" t="str">
        <x:f>IF(J654&gt;=6,"Sí","No")</x:f>
        <x:v>No</x:v>
      </x:c>
      <x:c r="O654" s="25" t="str">
        <x:v>Pendiente: asignar con R/sf</x:v>
      </x:c>
    </x:row>
    <x:row r="655">
      <x:c r="A655" s="25" t="n">
        <x:v>654</x:v>
      </x:c>
      <x:c r="B655" s="26" t="n">
        <x:v>44344.986759259256</x:v>
      </x:c>
      <x:c r="C655" s="27" t="n">
        <x:f>INT(B655)</x:f>
        <x:v>44344</x:v>
      </x:c>
      <x:c r="D655" s="28" t="n">
        <x:f>MOD(B655,1)</x:f>
        <x:v>0.9867592592563597</x:v>
      </x:c>
      <x:c r="E655" s="29" t="n">
        <x:f>YEAR(B655)</x:f>
        <x:v>2021</x:v>
      </x:c>
      <x:c r="F655" s="29" t="n">
        <x:f>MONTH(B655)</x:f>
        <x:v>5</x:v>
      </x:c>
      <x:c r="G655" s="30" t="n">
        <x:v>-32.81</x:v>
      </x:c>
      <x:c r="H655" s="30" t="n">
        <x:v>-70.18</x:v>
      </x:c>
      <x:c r="I655" s="29" t="n">
        <x:v>114</x:v>
      </x:c>
      <x:c r="J655" s="31" t="n">
        <x:v>4.4</x:v>
      </x:c>
      <x:c r="K655" s="25" t="str">
        <x:f>IF(J655&gt;=7,"Muy fuerte (&gt;=7)",IF(J655&gt;=6,"Fuerte (6-6.9)",IF(J655&gt;=5,"Moderado alto (5-5.9)",IF(J655&gt;=4,"Moderado (4-4.9)","Menor a 4"))))</x:f>
        <x:v>Moderado (4-4.9)</x:v>
      </x:c>
      <x:c r="L655" s="25" t="str">
        <x:f>IF(I655&lt;70,"Superficial (&lt;70 km)",IF(I655&lt;=300,"Intermedio (70-300 km)","Profundo (&gt;300 km)"))</x:f>
        <x:v>Intermedio (70-300 km)</x:v>
      </x:c>
      <x:c r="M655" s="25" t="str">
        <x:f>IF(J655&gt;=5,"Sí","No")</x:f>
        <x:v>No</x:v>
      </x:c>
      <x:c r="N655" s="25" t="str">
        <x:f>IF(J655&gt;=6,"Sí","No")</x:f>
        <x:v>No</x:v>
      </x:c>
      <x:c r="O655" s="25" t="str">
        <x:v>Pendiente: asignar con R/sf</x:v>
      </x:c>
    </x:row>
    <x:row r="656">
      <x:c r="A656" s="25" t="n">
        <x:v>655</x:v>
      </x:c>
      <x:c r="B656" s="26" t="n">
        <x:v>44809.32638888889</x:v>
      </x:c>
      <x:c r="C656" s="27" t="n">
        <x:f>INT(B656)</x:f>
        <x:v>44809</x:v>
      </x:c>
      <x:c r="D656" s="28" t="n">
        <x:f>MOD(B656,1)</x:f>
        <x:v>0.32638888889050577</x:v>
      </x:c>
      <x:c r="E656" s="29" t="n">
        <x:f>YEAR(B656)</x:f>
        <x:v>2022</x:v>
      </x:c>
      <x:c r="F656" s="29" t="n">
        <x:f>MONTH(B656)</x:f>
        <x:v>9</x:v>
      </x:c>
      <x:c r="G656" s="30" t="n">
        <x:v>-33.48</x:v>
      </x:c>
      <x:c r="H656" s="30" t="n">
        <x:v>-72.21</x:v>
      </x:c>
      <x:c r="I656" s="29" t="n">
        <x:v>23</x:v>
      </x:c>
      <x:c r="J656" s="31" t="n">
        <x:v>4.7</x:v>
      </x:c>
      <x:c r="K656" s="25" t="str">
        <x:f>IF(J656&gt;=7,"Muy fuerte (&gt;=7)",IF(J656&gt;=6,"Fuerte (6-6.9)",IF(J656&gt;=5,"Moderado alto (5-5.9)",IF(J656&gt;=4,"Moderado (4-4.9)","Menor a 4"))))</x:f>
        <x:v>Moderado (4-4.9)</x:v>
      </x:c>
      <x:c r="L656" s="25" t="str">
        <x:f>IF(I656&lt;70,"Superficial (&lt;70 km)",IF(I656&lt;=300,"Intermedio (70-300 km)","Profundo (&gt;300 km)"))</x:f>
        <x:v>Superficial (&lt;70 km)</x:v>
      </x:c>
      <x:c r="M656" s="25" t="str">
        <x:f>IF(J656&gt;=5,"Sí","No")</x:f>
        <x:v>No</x:v>
      </x:c>
      <x:c r="N656" s="25" t="str">
        <x:f>IF(J656&gt;=6,"Sí","No")</x:f>
        <x:v>No</x:v>
      </x:c>
      <x:c r="O656" s="25" t="str">
        <x:v>Pendiente: asignar con R/sf</x:v>
      </x:c>
    </x:row>
    <x:row r="657">
      <x:c r="A657" s="25" t="n">
        <x:v>656</x:v>
      </x:c>
      <x:c r="B657" s="26" t="n">
        <x:v>44823.99674768518</x:v>
      </x:c>
      <x:c r="C657" s="27" t="n">
        <x:f>INT(B657)</x:f>
        <x:v>44823</x:v>
      </x:c>
      <x:c r="D657" s="28" t="n">
        <x:f>MOD(B657,1)</x:f>
        <x:v>0.9967476851816173</x:v>
      </x:c>
      <x:c r="E657" s="29" t="n">
        <x:f>YEAR(B657)</x:f>
        <x:v>2022</x:v>
      </x:c>
      <x:c r="F657" s="29" t="n">
        <x:f>MONTH(B657)</x:f>
        <x:v>9</x:v>
      </x:c>
      <x:c r="G657" s="30" t="n">
        <x:v>-33.31</x:v>
      </x:c>
      <x:c r="H657" s="30" t="n">
        <x:v>-71.72</x:v>
      </x:c>
      <x:c r="I657" s="29" t="n">
        <x:v>40</x:v>
      </x:c>
      <x:c r="J657" s="31" t="n">
        <x:v>4</x:v>
      </x:c>
      <x:c r="K657" s="25" t="str">
        <x:f>IF(J657&gt;=7,"Muy fuerte (&gt;=7)",IF(J657&gt;=6,"Fuerte (6-6.9)",IF(J657&gt;=5,"Moderado alto (5-5.9)",IF(J657&gt;=4,"Moderado (4-4.9)","Menor a 4"))))</x:f>
        <x:v>Moderado (4-4.9)</x:v>
      </x:c>
      <x:c r="L657" s="25" t="str">
        <x:f>IF(I657&lt;70,"Superficial (&lt;70 km)",IF(I657&lt;=300,"Intermedio (70-300 km)","Profundo (&gt;300 km)"))</x:f>
        <x:v>Superficial (&lt;70 km)</x:v>
      </x:c>
      <x:c r="M657" s="25" t="str">
        <x:f>IF(J657&gt;=5,"Sí","No")</x:f>
        <x:v>No</x:v>
      </x:c>
      <x:c r="N657" s="25" t="str">
        <x:f>IF(J657&gt;=6,"Sí","No")</x:f>
        <x:v>No</x:v>
      </x:c>
      <x:c r="O657" s="25" t="str">
        <x:v>Pendiente: asignar con R/sf</x:v>
      </x:c>
    </x:row>
    <x:row r="658">
      <x:c r="A658" s="25" t="n">
        <x:v>657</x:v>
      </x:c>
      <x:c r="B658" s="26" t="n">
        <x:v>44650.221597222226</x:v>
      </x:c>
      <x:c r="C658" s="27" t="n">
        <x:f>INT(B658)</x:f>
        <x:v>44650</x:v>
      </x:c>
      <x:c r="D658" s="28" t="n">
        <x:f>MOD(B658,1)</x:f>
        <x:v>0.22159722222568234</x:v>
      </x:c>
      <x:c r="E658" s="29" t="n">
        <x:f>YEAR(B658)</x:f>
        <x:v>2022</x:v>
      </x:c>
      <x:c r="F658" s="29" t="n">
        <x:f>MONTH(B658)</x:f>
        <x:v>3</x:v>
      </x:c>
      <x:c r="G658" s="30" t="n">
        <x:v>-33.49</x:v>
      </x:c>
      <x:c r="H658" s="30" t="n">
        <x:v>-70.04</x:v>
      </x:c>
      <x:c r="I658" s="29" t="n">
        <x:v>20</x:v>
      </x:c>
      <x:c r="J658" s="31" t="n">
        <x:v>3.7</x:v>
      </x:c>
      <x:c r="K658" s="25" t="str">
        <x:f>IF(J658&gt;=7,"Muy fuerte (&gt;=7)",IF(J658&gt;=6,"Fuerte (6-6.9)",IF(J658&gt;=5,"Moderado alto (5-5.9)",IF(J658&gt;=4,"Moderado (4-4.9)","Menor a 4"))))</x:f>
        <x:v>Menor a 4</x:v>
      </x:c>
      <x:c r="L658" s="25" t="str">
        <x:f>IF(I658&lt;70,"Superficial (&lt;70 km)",IF(I658&lt;=300,"Intermedio (70-300 km)","Profundo (&gt;300 km)"))</x:f>
        <x:v>Superficial (&lt;70 km)</x:v>
      </x:c>
      <x:c r="M658" s="25" t="str">
        <x:f>IF(J658&gt;=5,"Sí","No")</x:f>
        <x:v>No</x:v>
      </x:c>
      <x:c r="N658" s="25" t="str">
        <x:f>IF(J658&gt;=6,"Sí","No")</x:f>
        <x:v>No</x:v>
      </x:c>
      <x:c r="O658" s="25" t="str">
        <x:v>Pendiente: asignar con R/sf</x:v>
      </x:c>
    </x:row>
    <x:row r="659">
      <x:c r="A659" s="25" t="n">
        <x:v>658</x:v>
      </x:c>
      <x:c r="B659" s="26" t="n">
        <x:v>44795.576516203706</x:v>
      </x:c>
      <x:c r="C659" s="27" t="n">
        <x:f>INT(B659)</x:f>
        <x:v>44795</x:v>
      </x:c>
      <x:c r="D659" s="28" t="n">
        <x:f>MOD(B659,1)</x:f>
        <x:v>0.5765162037059781</x:v>
      </x:c>
      <x:c r="E659" s="29" t="n">
        <x:f>YEAR(B659)</x:f>
        <x:v>2022</x:v>
      </x:c>
      <x:c r="F659" s="29" t="n">
        <x:f>MONTH(B659)</x:f>
        <x:v>8</x:v>
      </x:c>
      <x:c r="G659" s="30" t="n">
        <x:v>-34.78</x:v>
      </x:c>
      <x:c r="H659" s="30" t="n">
        <x:v>-71.7</x:v>
      </x:c>
      <x:c r="I659" s="29" t="n">
        <x:v>43</x:v>
      </x:c>
      <x:c r="J659" s="31" t="n">
        <x:v>4.2</x:v>
      </x:c>
      <x:c r="K659" s="25" t="str">
        <x:f>IF(J659&gt;=7,"Muy fuerte (&gt;=7)",IF(J659&gt;=6,"Fuerte (6-6.9)",IF(J659&gt;=5,"Moderado alto (5-5.9)",IF(J659&gt;=4,"Moderado (4-4.9)","Menor a 4"))))</x:f>
        <x:v>Moderado (4-4.9)</x:v>
      </x:c>
      <x:c r="L659" s="25" t="str">
        <x:f>IF(I659&lt;70,"Superficial (&lt;70 km)",IF(I659&lt;=300,"Intermedio (70-300 km)","Profundo (&gt;300 km)"))</x:f>
        <x:v>Superficial (&lt;70 km)</x:v>
      </x:c>
      <x:c r="M659" s="25" t="str">
        <x:f>IF(J659&gt;=5,"Sí","No")</x:f>
        <x:v>No</x:v>
      </x:c>
      <x:c r="N659" s="25" t="str">
        <x:f>IF(J659&gt;=6,"Sí","No")</x:f>
        <x:v>No</x:v>
      </x:c>
      <x:c r="O659" s="25" t="str">
        <x:v>Pendiente: asignar con R/sf</x:v>
      </x:c>
    </x:row>
    <x:row r="660">
      <x:c r="A660" s="25" t="n">
        <x:v>659</x:v>
      </x:c>
      <x:c r="B660" s="26" t="n">
        <x:v>44801.25952546296</x:v>
      </x:c>
      <x:c r="C660" s="27" t="n">
        <x:f>INT(B660)</x:f>
        <x:v>44801</x:v>
      </x:c>
      <x:c r="D660" s="28" t="n">
        <x:f>MOD(B660,1)</x:f>
        <x:v>0.2595254629632109</x:v>
      </x:c>
      <x:c r="E660" s="29" t="n">
        <x:f>YEAR(B660)</x:f>
        <x:v>2022</x:v>
      </x:c>
      <x:c r="F660" s="29" t="n">
        <x:f>MONTH(B660)</x:f>
        <x:v>8</x:v>
      </x:c>
      <x:c r="G660" s="30" t="n">
        <x:v>-35.12</x:v>
      </x:c>
      <x:c r="H660" s="30" t="n">
        <x:v>-71.88</x:v>
      </x:c>
      <x:c r="I660" s="29" t="n">
        <x:v>45</x:v>
      </x:c>
      <x:c r="J660" s="31" t="n">
        <x:v>4.7</x:v>
      </x:c>
      <x:c r="K660" s="25" t="str">
        <x:f>IF(J660&gt;=7,"Muy fuerte (&gt;=7)",IF(J660&gt;=6,"Fuerte (6-6.9)",IF(J660&gt;=5,"Moderado alto (5-5.9)",IF(J660&gt;=4,"Moderado (4-4.9)","Menor a 4"))))</x:f>
        <x:v>Moderado (4-4.9)</x:v>
      </x:c>
      <x:c r="L660" s="25" t="str">
        <x:f>IF(I660&lt;70,"Superficial (&lt;70 km)",IF(I660&lt;=300,"Intermedio (70-300 km)","Profundo (&gt;300 km)"))</x:f>
        <x:v>Superficial (&lt;70 km)</x:v>
      </x:c>
      <x:c r="M660" s="25" t="str">
        <x:f>IF(J660&gt;=5,"Sí","No")</x:f>
        <x:v>No</x:v>
      </x:c>
      <x:c r="N660" s="25" t="str">
        <x:f>IF(J660&gt;=6,"Sí","No")</x:f>
        <x:v>No</x:v>
      </x:c>
      <x:c r="O660" s="25" t="str">
        <x:v>Pendiente: asignar con R/sf</x:v>
      </x:c>
    </x:row>
    <x:row r="661">
      <x:c r="A661" s="25" t="n">
        <x:v>660</x:v>
      </x:c>
      <x:c r="B661" s="26" t="n">
        <x:v>44794.96611111111</x:v>
      </x:c>
      <x:c r="C661" s="27" t="n">
        <x:f>INT(B661)</x:f>
        <x:v>44794</x:v>
      </x:c>
      <x:c r="D661" s="28" t="n">
        <x:f>MOD(B661,1)</x:f>
        <x:v>0.9661111111126957</x:v>
      </x:c>
      <x:c r="E661" s="29" t="n">
        <x:f>YEAR(B661)</x:f>
        <x:v>2022</x:v>
      </x:c>
      <x:c r="F661" s="29" t="n">
        <x:f>MONTH(B661)</x:f>
        <x:v>8</x:v>
      </x:c>
      <x:c r="G661" s="30" t="n">
        <x:v>-35.34</x:v>
      </x:c>
      <x:c r="H661" s="30" t="n">
        <x:v>-72.03</x:v>
      </x:c>
      <x:c r="I661" s="29" t="n">
        <x:v>70</x:v>
      </x:c>
      <x:c r="J661" s="31" t="n">
        <x:v>4.2</x:v>
      </x:c>
      <x:c r="K661" s="25" t="str">
        <x:f>IF(J661&gt;=7,"Muy fuerte (&gt;=7)",IF(J661&gt;=6,"Fuerte (6-6.9)",IF(J661&gt;=5,"Moderado alto (5-5.9)",IF(J661&gt;=4,"Moderado (4-4.9)","Menor a 4"))))</x:f>
        <x:v>Moderado (4-4.9)</x:v>
      </x:c>
      <x:c r="L661" s="25" t="str">
        <x:f>IF(I661&lt;70,"Superficial (&lt;70 km)",IF(I661&lt;=300,"Intermedio (70-300 km)","Profundo (&gt;300 km)"))</x:f>
        <x:v>Intermedio (70-300 km)</x:v>
      </x:c>
      <x:c r="M661" s="25" t="str">
        <x:f>IF(J661&gt;=5,"Sí","No")</x:f>
        <x:v>No</x:v>
      </x:c>
      <x:c r="N661" s="25" t="str">
        <x:f>IF(J661&gt;=6,"Sí","No")</x:f>
        <x:v>No</x:v>
      </x:c>
      <x:c r="O661" s="25" t="str">
        <x:v>Pendiente: asignar con R/sf</x:v>
      </x:c>
    </x:row>
    <x:row r="662">
      <x:c r="A662" s="25" t="n">
        <x:v>661</x:v>
      </x:c>
      <x:c r="B662" s="26" t="n">
        <x:v>44804.66883101852</x:v>
      </x:c>
      <x:c r="C662" s="27" t="n">
        <x:f>INT(B662)</x:f>
        <x:v>44804</x:v>
      </x:c>
      <x:c r="D662" s="28" t="n">
        <x:f>MOD(B662,1)</x:f>
        <x:v>0.6688310185199953</x:v>
      </x:c>
      <x:c r="E662" s="29" t="n">
        <x:f>YEAR(B662)</x:f>
        <x:v>2022</x:v>
      </x:c>
      <x:c r="F662" s="29" t="n">
        <x:f>MONTH(B662)</x:f>
        <x:v>8</x:v>
      </x:c>
      <x:c r="G662" s="30" t="n">
        <x:v>-36.24</x:v>
      </x:c>
      <x:c r="H662" s="30" t="n">
        <x:v>-71.85</x:v>
      </x:c>
      <x:c r="I662" s="29" t="n">
        <x:v>71</x:v>
      </x:c>
      <x:c r="J662" s="31" t="n">
        <x:v>4.7</x:v>
      </x:c>
      <x:c r="K662" s="25" t="str">
        <x:f>IF(J662&gt;=7,"Muy fuerte (&gt;=7)",IF(J662&gt;=6,"Fuerte (6-6.9)",IF(J662&gt;=5,"Moderado alto (5-5.9)",IF(J662&gt;=4,"Moderado (4-4.9)","Menor a 4"))))</x:f>
        <x:v>Moderado (4-4.9)</x:v>
      </x:c>
      <x:c r="L662" s="25" t="str">
        <x:f>IF(I662&lt;70,"Superficial (&lt;70 km)",IF(I662&lt;=300,"Intermedio (70-300 km)","Profundo (&gt;300 km)"))</x:f>
        <x:v>Intermedio (70-300 km)</x:v>
      </x:c>
      <x:c r="M662" s="25" t="str">
        <x:f>IF(J662&gt;=5,"Sí","No")</x:f>
        <x:v>No</x:v>
      </x:c>
      <x:c r="N662" s="25" t="str">
        <x:f>IF(J662&gt;=6,"Sí","No")</x:f>
        <x:v>No</x:v>
      </x:c>
      <x:c r="O662" s="25" t="str">
        <x:v>Pendiente: asignar con R/sf</x:v>
      </x:c>
    </x:row>
    <x:row r="663">
      <x:c r="A663" s="25" t="n">
        <x:v>662</x:v>
      </x:c>
      <x:c r="B663" s="26" t="n">
        <x:v>43810.338587962964</x:v>
      </x:c>
      <x:c r="C663" s="27" t="n">
        <x:f>INT(B663)</x:f>
        <x:v>43810</x:v>
      </x:c>
      <x:c r="D663" s="28" t="n">
        <x:f>MOD(B663,1)</x:f>
        <x:v>0.338587962964084</x:v>
      </x:c>
      <x:c r="E663" s="29" t="n">
        <x:f>YEAR(B663)</x:f>
        <x:v>2019</x:v>
      </x:c>
      <x:c r="F663" s="29" t="n">
        <x:f>MONTH(B663)</x:f>
        <x:v>12</x:v>
      </x:c>
      <x:c r="G663" s="30" t="n">
        <x:v>-34.81</x:v>
      </x:c>
      <x:c r="H663" s="30" t="n">
        <x:v>-72.46</x:v>
      </x:c>
      <x:c r="I663" s="29" t="n">
        <x:v>22</x:v>
      </x:c>
      <x:c r="J663" s="31" t="n">
        <x:v>4.3</x:v>
      </x:c>
      <x:c r="K663" s="25" t="str">
        <x:f>IF(J663&gt;=7,"Muy fuerte (&gt;=7)",IF(J663&gt;=6,"Fuerte (6-6.9)",IF(J663&gt;=5,"Moderado alto (5-5.9)",IF(J663&gt;=4,"Moderado (4-4.9)","Menor a 4"))))</x:f>
        <x:v>Moderado (4-4.9)</x:v>
      </x:c>
      <x:c r="L663" s="25" t="str">
        <x:f>IF(I663&lt;70,"Superficial (&lt;70 km)",IF(I663&lt;=300,"Intermedio (70-300 km)","Profundo (&gt;300 km)"))</x:f>
        <x:v>Superficial (&lt;70 km)</x:v>
      </x:c>
      <x:c r="M663" s="25" t="str">
        <x:f>IF(J663&gt;=5,"Sí","No")</x:f>
        <x:v>No</x:v>
      </x:c>
      <x:c r="N663" s="25" t="str">
        <x:f>IF(J663&gt;=6,"Sí","No")</x:f>
        <x:v>No</x:v>
      </x:c>
      <x:c r="O663" s="25" t="str">
        <x:v>Pendiente: asignar con R/sf</x:v>
      </x:c>
    </x:row>
    <x:row r="664">
      <x:c r="A664" s="25" t="n">
        <x:v>663</x:v>
      </x:c>
      <x:c r="B664" s="26" t="n">
        <x:v>44336.28372685185</x:v>
      </x:c>
      <x:c r="C664" s="27" t="n">
        <x:f>INT(B664)</x:f>
        <x:v>44336</x:v>
      </x:c>
      <x:c r="D664" s="28" t="n">
        <x:f>MOD(B664,1)</x:f>
        <x:v>0.283726851848769</x:v>
      </x:c>
      <x:c r="E664" s="29" t="n">
        <x:f>YEAR(B664)</x:f>
        <x:v>2021</x:v>
      </x:c>
      <x:c r="F664" s="29" t="n">
        <x:f>MONTH(B664)</x:f>
        <x:v>5</x:v>
      </x:c>
      <x:c r="G664" s="30" t="n">
        <x:v>-34.91</x:v>
      </x:c>
      <x:c r="H664" s="30" t="n">
        <x:v>-71.84</x:v>
      </x:c>
      <x:c r="I664" s="29" t="n">
        <x:v>44</x:v>
      </x:c>
      <x:c r="J664" s="31" t="n">
        <x:v>3.8</x:v>
      </x:c>
      <x:c r="K664" s="25" t="str">
        <x:f>IF(J664&gt;=7,"Muy fuerte (&gt;=7)",IF(J664&gt;=6,"Fuerte (6-6.9)",IF(J664&gt;=5,"Moderado alto (5-5.9)",IF(J664&gt;=4,"Moderado (4-4.9)","Menor a 4"))))</x:f>
        <x:v>Menor a 4</x:v>
      </x:c>
      <x:c r="L664" s="25" t="str">
        <x:f>IF(I664&lt;70,"Superficial (&lt;70 km)",IF(I664&lt;=300,"Intermedio (70-300 km)","Profundo (&gt;300 km)"))</x:f>
        <x:v>Superficial (&lt;70 km)</x:v>
      </x:c>
      <x:c r="M664" s="25" t="str">
        <x:f>IF(J664&gt;=5,"Sí","No")</x:f>
        <x:v>No</x:v>
      </x:c>
      <x:c r="N664" s="25" t="str">
        <x:f>IF(J664&gt;=6,"Sí","No")</x:f>
        <x:v>No</x:v>
      </x:c>
      <x:c r="O664" s="25" t="str">
        <x:v>Pendiente: asignar con R/sf</x:v>
      </x:c>
    </x:row>
    <x:row r="665">
      <x:c r="A665" s="25" t="n">
        <x:v>664</x:v>
      </x:c>
      <x:c r="B665" s="26" t="n">
        <x:v>43947.09966435185</x:v>
      </x:c>
      <x:c r="C665" s="27" t="n">
        <x:f>INT(B665)</x:f>
        <x:v>43947</x:v>
      </x:c>
      <x:c r="D665" s="28" t="n">
        <x:f>MOD(B665,1)</x:f>
        <x:v>0.09966435185197042</x:v>
      </x:c>
      <x:c r="E665" s="29" t="n">
        <x:f>YEAR(B665)</x:f>
        <x:v>2020</x:v>
      </x:c>
      <x:c r="F665" s="29" t="n">
        <x:f>MONTH(B665)</x:f>
        <x:v>4</x:v>
      </x:c>
      <x:c r="G665" s="30" t="n">
        <x:v>-35.16</x:v>
      </x:c>
      <x:c r="H665" s="30" t="n">
        <x:v>-70.65</x:v>
      </x:c>
      <x:c r="I665" s="29" t="n">
        <x:v>20</x:v>
      </x:c>
      <x:c r="J665" s="31" t="n">
        <x:v>3.2</x:v>
      </x:c>
      <x:c r="K665" s="25" t="str">
        <x:f>IF(J665&gt;=7,"Muy fuerte (&gt;=7)",IF(J665&gt;=6,"Fuerte (6-6.9)",IF(J665&gt;=5,"Moderado alto (5-5.9)",IF(J665&gt;=4,"Moderado (4-4.9)","Menor a 4"))))</x:f>
        <x:v>Menor a 4</x:v>
      </x:c>
      <x:c r="L665" s="25" t="str">
        <x:f>IF(I665&lt;70,"Superficial (&lt;70 km)",IF(I665&lt;=300,"Intermedio (70-300 km)","Profundo (&gt;300 km)"))</x:f>
        <x:v>Superficial (&lt;70 km)</x:v>
      </x:c>
      <x:c r="M665" s="25" t="str">
        <x:f>IF(J665&gt;=5,"Sí","No")</x:f>
        <x:v>No</x:v>
      </x:c>
      <x:c r="N665" s="25" t="str">
        <x:f>IF(J665&gt;=6,"Sí","No")</x:f>
        <x:v>No</x:v>
      </x:c>
      <x:c r="O665" s="25" t="str">
        <x:v>Pendiente: asignar con R/sf</x:v>
      </x:c>
    </x:row>
    <x:row r="666">
      <x:c r="A666" s="25" t="n">
        <x:v>665</x:v>
      </x:c>
      <x:c r="B666" s="26" t="n">
        <x:v>43526.9008912037</x:v>
      </x:c>
      <x:c r="C666" s="27" t="n">
        <x:f>INT(B666)</x:f>
        <x:v>43526</x:v>
      </x:c>
      <x:c r="D666" s="28" t="n">
        <x:f>MOD(B666,1)</x:f>
        <x:v>0.9008912037024857</x:v>
      </x:c>
      <x:c r="E666" s="29" t="n">
        <x:f>YEAR(B666)</x:f>
        <x:v>2019</x:v>
      </x:c>
      <x:c r="F666" s="29" t="n">
        <x:f>MONTH(B666)</x:f>
        <x:v>3</x:v>
      </x:c>
      <x:c r="G666" s="30" t="n">
        <x:v>-36.07</x:v>
      </x:c>
      <x:c r="H666" s="30" t="n">
        <x:v>-72.19</x:v>
      </x:c>
      <x:c r="I666" s="29" t="n">
        <x:v>60</x:v>
      </x:c>
      <x:c r="J666" s="31" t="n">
        <x:v>3.7</x:v>
      </x:c>
      <x:c r="K666" s="25" t="str">
        <x:f>IF(J666&gt;=7,"Muy fuerte (&gt;=7)",IF(J666&gt;=6,"Fuerte (6-6.9)",IF(J666&gt;=5,"Moderado alto (5-5.9)",IF(J666&gt;=4,"Moderado (4-4.9)","Menor a 4"))))</x:f>
        <x:v>Menor a 4</x:v>
      </x:c>
      <x:c r="L666" s="25" t="str">
        <x:f>IF(I666&lt;70,"Superficial (&lt;70 km)",IF(I666&lt;=300,"Intermedio (70-300 km)","Profundo (&gt;300 km)"))</x:f>
        <x:v>Superficial (&lt;70 km)</x:v>
      </x:c>
      <x:c r="M666" s="25" t="str">
        <x:f>IF(J666&gt;=5,"Sí","No")</x:f>
        <x:v>No</x:v>
      </x:c>
      <x:c r="N666" s="25" t="str">
        <x:f>IF(J666&gt;=6,"Sí","No")</x:f>
        <x:v>No</x:v>
      </x:c>
      <x:c r="O666" s="25" t="str">
        <x:v>Pendiente: asignar con R/sf</x:v>
      </x:c>
    </x:row>
    <x:row r="667">
      <x:c r="A667" s="25" t="n">
        <x:v>666</x:v>
      </x:c>
      <x:c r="B667" s="26" t="n">
        <x:v>44434.35729166667</x:v>
      </x:c>
      <x:c r="C667" s="27" t="n">
        <x:f>INT(B667)</x:f>
        <x:v>44434</x:v>
      </x:c>
      <x:c r="D667" s="28" t="n">
        <x:f>MOD(B667,1)</x:f>
        <x:v>0.35729166666715173</x:v>
      </x:c>
      <x:c r="E667" s="29" t="n">
        <x:f>YEAR(B667)</x:f>
        <x:v>2021</x:v>
      </x:c>
      <x:c r="F667" s="29" t="n">
        <x:f>MONTH(B667)</x:f>
        <x:v>8</x:v>
      </x:c>
      <x:c r="G667" s="30" t="n">
        <x:v>-36.29</x:v>
      </x:c>
      <x:c r="H667" s="30" t="n">
        <x:v>-71.61</x:v>
      </x:c>
      <x:c r="I667" s="29" t="n">
        <x:v>98</x:v>
      </x:c>
      <x:c r="J667" s="31" t="n">
        <x:v>4.4</x:v>
      </x:c>
      <x:c r="K667" s="25" t="str">
        <x:f>IF(J667&gt;=7,"Muy fuerte (&gt;=7)",IF(J667&gt;=6,"Fuerte (6-6.9)",IF(J667&gt;=5,"Moderado alto (5-5.9)",IF(J667&gt;=4,"Moderado (4-4.9)","Menor a 4"))))</x:f>
        <x:v>Moderado (4-4.9)</x:v>
      </x:c>
      <x:c r="L667" s="25" t="str">
        <x:f>IF(I667&lt;70,"Superficial (&lt;70 km)",IF(I667&lt;=300,"Intermedio (70-300 km)","Profundo (&gt;300 km)"))</x:f>
        <x:v>Intermedio (70-300 km)</x:v>
      </x:c>
      <x:c r="M667" s="25" t="str">
        <x:f>IF(J667&gt;=5,"Sí","No")</x:f>
        <x:v>No</x:v>
      </x:c>
      <x:c r="N667" s="25" t="str">
        <x:f>IF(J667&gt;=6,"Sí","No")</x:f>
        <x:v>No</x:v>
      </x:c>
      <x:c r="O667" s="25" t="str">
        <x:v>Pendiente: asignar con R/sf</x:v>
      </x:c>
    </x:row>
    <x:row r="668">
      <x:c r="A668" s="25" t="n">
        <x:v>667</x:v>
      </x:c>
      <x:c r="B668" s="26" t="n">
        <x:v>44411.61424768518</x:v>
      </x:c>
      <x:c r="C668" s="27" t="n">
        <x:f>INT(B668)</x:f>
        <x:v>44411</x:v>
      </x:c>
      <x:c r="D668" s="28" t="n">
        <x:f>MOD(B668,1)</x:f>
        <x:v>0.6142476851819083</x:v>
      </x:c>
      <x:c r="E668" s="29" t="n">
        <x:f>YEAR(B668)</x:f>
        <x:v>2021</x:v>
      </x:c>
      <x:c r="F668" s="29" t="n">
        <x:f>MONTH(B668)</x:f>
        <x:v>8</x:v>
      </x:c>
      <x:c r="G668" s="30" t="n">
        <x:v>-30</x:v>
      </x:c>
      <x:c r="H668" s="30" t="n">
        <x:v>-71.28</x:v>
      </x:c>
      <x:c r="I668" s="29" t="n">
        <x:v>56</x:v>
      </x:c>
      <x:c r="J668" s="31" t="n">
        <x:v>3</x:v>
      </x:c>
      <x:c r="K668" s="25" t="str">
        <x:f>IF(J668&gt;=7,"Muy fuerte (&gt;=7)",IF(J668&gt;=6,"Fuerte (6-6.9)",IF(J668&gt;=5,"Moderado alto (5-5.9)",IF(J668&gt;=4,"Moderado (4-4.9)","Menor a 4"))))</x:f>
        <x:v>Menor a 4</x:v>
      </x:c>
      <x:c r="L668" s="25" t="str">
        <x:f>IF(I668&lt;70,"Superficial (&lt;70 km)",IF(I668&lt;=300,"Intermedio (70-300 km)","Profundo (&gt;300 km)"))</x:f>
        <x:v>Superficial (&lt;70 km)</x:v>
      </x:c>
      <x:c r="M668" s="25" t="str">
        <x:f>IF(J668&gt;=5,"Sí","No")</x:f>
        <x:v>No</x:v>
      </x:c>
      <x:c r="N668" s="25" t="str">
        <x:f>IF(J668&gt;=6,"Sí","No")</x:f>
        <x:v>No</x:v>
      </x:c>
      <x:c r="O668" s="25" t="str">
        <x:v>Pendiente: asignar con R/sf</x:v>
      </x:c>
    </x:row>
    <x:row r="669">
      <x:c r="A669" s="25" t="n">
        <x:v>668</x:v>
      </x:c>
      <x:c r="B669" s="26" t="n">
        <x:v>44440.58943287037</x:v>
      </x:c>
      <x:c r="C669" s="27" t="n">
        <x:f>INT(B669)</x:f>
        <x:v>44440</x:v>
      </x:c>
      <x:c r="D669" s="28" t="n">
        <x:f>MOD(B669,1)</x:f>
        <x:v>0.5894328703725478</x:v>
      </x:c>
      <x:c r="E669" s="29" t="n">
        <x:f>YEAR(B669)</x:f>
        <x:v>2021</x:v>
      </x:c>
      <x:c r="F669" s="29" t="n">
        <x:f>MONTH(B669)</x:f>
        <x:v>9</x:v>
      </x:c>
      <x:c r="G669" s="30" t="n">
        <x:v>-30.06</x:v>
      </x:c>
      <x:c r="H669" s="30" t="n">
        <x:v>-71.3</x:v>
      </x:c>
      <x:c r="I669" s="29" t="n">
        <x:v>64</x:v>
      </x:c>
      <x:c r="J669" s="31" t="n">
        <x:v>3.1</x:v>
      </x:c>
      <x:c r="K669" s="25" t="str">
        <x:f>IF(J669&gt;=7,"Muy fuerte (&gt;=7)",IF(J669&gt;=6,"Fuerte (6-6.9)",IF(J669&gt;=5,"Moderado alto (5-5.9)",IF(J669&gt;=4,"Moderado (4-4.9)","Menor a 4"))))</x:f>
        <x:v>Menor a 4</x:v>
      </x:c>
      <x:c r="L669" s="25" t="str">
        <x:f>IF(I669&lt;70,"Superficial (&lt;70 km)",IF(I669&lt;=300,"Intermedio (70-300 km)","Profundo (&gt;300 km)"))</x:f>
        <x:v>Superficial (&lt;70 km)</x:v>
      </x:c>
      <x:c r="M669" s="25" t="str">
        <x:f>IF(J669&gt;=5,"Sí","No")</x:f>
        <x:v>No</x:v>
      </x:c>
      <x:c r="N669" s="25" t="str">
        <x:f>IF(J669&gt;=6,"Sí","No")</x:f>
        <x:v>No</x:v>
      </x:c>
      <x:c r="O669" s="25" t="str">
        <x:v>Pendiente: asignar con R/sf</x:v>
      </x:c>
    </x:row>
    <x:row r="670">
      <x:c r="A670" s="25" t="n">
        <x:v>669</x:v>
      </x:c>
      <x:c r="B670" s="26" t="n">
        <x:v>44467.24505787037</x:v>
      </x:c>
      <x:c r="C670" s="27" t="n">
        <x:f>INT(B670)</x:f>
        <x:v>44467</x:v>
      </x:c>
      <x:c r="D670" s="28" t="n">
        <x:f>MOD(B670,1)</x:f>
        <x:v>0.2450578703719657</x:v>
      </x:c>
      <x:c r="E670" s="29" t="n">
        <x:f>YEAR(B670)</x:f>
        <x:v>2021</x:v>
      </x:c>
      <x:c r="F670" s="29" t="n">
        <x:f>MONTH(B670)</x:f>
        <x:v>9</x:v>
      </x:c>
      <x:c r="G670" s="30" t="n">
        <x:v>-29.41</x:v>
      </x:c>
      <x:c r="H670" s="30" t="n">
        <x:v>-71.31</x:v>
      </x:c>
      <x:c r="I670" s="29" t="n">
        <x:v>45</x:v>
      </x:c>
      <x:c r="J670" s="31" t="n">
        <x:v>3.5</x:v>
      </x:c>
      <x:c r="K670" s="25" t="str">
        <x:f>IF(J670&gt;=7,"Muy fuerte (&gt;=7)",IF(J670&gt;=6,"Fuerte (6-6.9)",IF(J670&gt;=5,"Moderado alto (5-5.9)",IF(J670&gt;=4,"Moderado (4-4.9)","Menor a 4"))))</x:f>
        <x:v>Menor a 4</x:v>
      </x:c>
      <x:c r="L670" s="25" t="str">
        <x:f>IF(I670&lt;70,"Superficial (&lt;70 km)",IF(I670&lt;=300,"Intermedio (70-300 km)","Profundo (&gt;300 km)"))</x:f>
        <x:v>Superficial (&lt;70 km)</x:v>
      </x:c>
      <x:c r="M670" s="25" t="str">
        <x:f>IF(J670&gt;=5,"Sí","No")</x:f>
        <x:v>No</x:v>
      </x:c>
      <x:c r="N670" s="25" t="str">
        <x:f>IF(J670&gt;=6,"Sí","No")</x:f>
        <x:v>No</x:v>
      </x:c>
      <x:c r="O670" s="25" t="str">
        <x:v>Pendiente: asignar con R/sf</x:v>
      </x:c>
    </x:row>
    <x:row r="671">
      <x:c r="A671" s="25" t="n">
        <x:v>670</x:v>
      </x:c>
      <x:c r="B671" s="26" t="n">
        <x:v>44782.72178240741</x:v>
      </x:c>
      <x:c r="C671" s="27" t="n">
        <x:f>INT(B671)</x:f>
        <x:v>44782</x:v>
      </x:c>
      <x:c r="D671" s="28" t="n">
        <x:f>MOD(B671,1)</x:f>
        <x:v>0.721782407410501</x:v>
      </x:c>
      <x:c r="E671" s="29" t="n">
        <x:f>YEAR(B671)</x:f>
        <x:v>2022</x:v>
      </x:c>
      <x:c r="F671" s="29" t="n">
        <x:f>MONTH(B671)</x:f>
        <x:v>8</x:v>
      </x:c>
      <x:c r="G671" s="30" t="n">
        <x:v>-29.45</x:v>
      </x:c>
      <x:c r="H671" s="30" t="n">
        <x:v>-71.21</x:v>
      </x:c>
      <x:c r="I671" s="29" t="n">
        <x:v>58</x:v>
      </x:c>
      <x:c r="J671" s="31" t="n">
        <x:v>4.2</x:v>
      </x:c>
      <x:c r="K671" s="25" t="str">
        <x:f>IF(J671&gt;=7,"Muy fuerte (&gt;=7)",IF(J671&gt;=6,"Fuerte (6-6.9)",IF(J671&gt;=5,"Moderado alto (5-5.9)",IF(J671&gt;=4,"Moderado (4-4.9)","Menor a 4"))))</x:f>
        <x:v>Moderado (4-4.9)</x:v>
      </x:c>
      <x:c r="L671" s="25" t="str">
        <x:f>IF(I671&lt;70,"Superficial (&lt;70 km)",IF(I671&lt;=300,"Intermedio (70-300 km)","Profundo (&gt;300 km)"))</x:f>
        <x:v>Superficial (&lt;70 km)</x:v>
      </x:c>
      <x:c r="M671" s="25" t="str">
        <x:f>IF(J671&gt;=5,"Sí","No")</x:f>
        <x:v>No</x:v>
      </x:c>
      <x:c r="N671" s="25" t="str">
        <x:f>IF(J671&gt;=6,"Sí","No")</x:f>
        <x:v>No</x:v>
      </x:c>
      <x:c r="O671" s="25" t="str">
        <x:v>Pendiente: asignar con R/sf</x:v>
      </x:c>
    </x:row>
    <x:row r="672">
      <x:c r="A672" s="25" t="n">
        <x:v>671</x:v>
      </x:c>
      <x:c r="B672" s="26" t="n">
        <x:v>44805.108148148145</x:v>
      </x:c>
      <x:c r="C672" s="27" t="n">
        <x:f>INT(B672)</x:f>
        <x:v>44805</x:v>
      </x:c>
      <x:c r="D672" s="28" t="n">
        <x:f>MOD(B672,1)</x:f>
        <x:v>0.1081481481451192</x:v>
      </x:c>
      <x:c r="E672" s="29" t="n">
        <x:f>YEAR(B672)</x:f>
        <x:v>2022</x:v>
      </x:c>
      <x:c r="F672" s="29" t="n">
        <x:f>MONTH(B672)</x:f>
        <x:v>9</x:v>
      </x:c>
      <x:c r="G672" s="30" t="n">
        <x:v>-29.71</x:v>
      </x:c>
      <x:c r="H672" s="30" t="n">
        <x:v>-71.18</x:v>
      </x:c>
      <x:c r="I672" s="29" t="n">
        <x:v>46</x:v>
      </x:c>
      <x:c r="J672" s="31" t="n">
        <x:v>3.1</x:v>
      </x:c>
      <x:c r="K672" s="25" t="str">
        <x:f>IF(J672&gt;=7,"Muy fuerte (&gt;=7)",IF(J672&gt;=6,"Fuerte (6-6.9)",IF(J672&gt;=5,"Moderado alto (5-5.9)",IF(J672&gt;=4,"Moderado (4-4.9)","Menor a 4"))))</x:f>
        <x:v>Menor a 4</x:v>
      </x:c>
      <x:c r="L672" s="25" t="str">
        <x:f>IF(I672&lt;70,"Superficial (&lt;70 km)",IF(I672&lt;=300,"Intermedio (70-300 km)","Profundo (&gt;300 km)"))</x:f>
        <x:v>Superficial (&lt;70 km)</x:v>
      </x:c>
      <x:c r="M672" s="25" t="str">
        <x:f>IF(J672&gt;=5,"Sí","No")</x:f>
        <x:v>No</x:v>
      </x:c>
      <x:c r="N672" s="25" t="str">
        <x:f>IF(J672&gt;=6,"Sí","No")</x:f>
        <x:v>No</x:v>
      </x:c>
      <x:c r="O672" s="25" t="str">
        <x:v>Pendiente: asignar con R/sf</x:v>
      </x:c>
    </x:row>
    <x:row r="673">
      <x:c r="A673" s="25" t="n">
        <x:v>672</x:v>
      </x:c>
      <x:c r="B673" s="26" t="n">
        <x:v>44361.880902777775</x:v>
      </x:c>
      <x:c r="C673" s="27" t="n">
        <x:f>INT(B673)</x:f>
        <x:v>44361</x:v>
      </x:c>
      <x:c r="D673" s="28" t="n">
        <x:f>MOD(B673,1)</x:f>
        <x:v>0.8809027777751908</x:v>
      </x:c>
      <x:c r="E673" s="29" t="n">
        <x:f>YEAR(B673)</x:f>
        <x:v>2021</x:v>
      </x:c>
      <x:c r="F673" s="29" t="n">
        <x:f>MONTH(B673)</x:f>
        <x:v>6</x:v>
      </x:c>
      <x:c r="G673" s="30" t="n">
        <x:v>-33.91</x:v>
      </x:c>
      <x:c r="H673" s="30" t="n">
        <x:v>-71.44</x:v>
      </x:c>
      <x:c r="I673" s="29" t="n">
        <x:v>51</x:v>
      </x:c>
      <x:c r="J673" s="31" t="n">
        <x:v>3.5</x:v>
      </x:c>
      <x:c r="K673" s="25" t="str">
        <x:f>IF(J673&gt;=7,"Muy fuerte (&gt;=7)",IF(J673&gt;=6,"Fuerte (6-6.9)",IF(J673&gt;=5,"Moderado alto (5-5.9)",IF(J673&gt;=4,"Moderado (4-4.9)","Menor a 4"))))</x:f>
        <x:v>Menor a 4</x:v>
      </x:c>
      <x:c r="L673" s="25" t="str">
        <x:f>IF(I673&lt;70,"Superficial (&lt;70 km)",IF(I673&lt;=300,"Intermedio (70-300 km)","Profundo (&gt;300 km)"))</x:f>
        <x:v>Superficial (&lt;70 km)</x:v>
      </x:c>
      <x:c r="M673" s="25" t="str">
        <x:f>IF(J673&gt;=5,"Sí","No")</x:f>
        <x:v>No</x:v>
      </x:c>
      <x:c r="N673" s="25" t="str">
        <x:f>IF(J673&gt;=6,"Sí","No")</x:f>
        <x:v>No</x:v>
      </x:c>
      <x:c r="O673" s="25" t="str">
        <x:v>Pendiente: asignar con R/sf</x:v>
      </x:c>
    </x:row>
    <x:row r="674">
      <x:c r="A674" s="25" t="n">
        <x:v>673</x:v>
      </x:c>
      <x:c r="B674" s="26" t="n">
        <x:v>44351.90872685185</x:v>
      </x:c>
      <x:c r="C674" s="27" t="n">
        <x:f>INT(B674)</x:f>
        <x:v>44351</x:v>
      </x:c>
      <x:c r="D674" s="28" t="n">
        <x:f>MOD(B674,1)</x:f>
        <x:v>0.908726851848769</x:v>
      </x:c>
      <x:c r="E674" s="29" t="n">
        <x:f>YEAR(B674)</x:f>
        <x:v>2021</x:v>
      </x:c>
      <x:c r="F674" s="29" t="n">
        <x:f>MONTH(B674)</x:f>
        <x:v>6</x:v>
      </x:c>
      <x:c r="G674" s="30" t="n">
        <x:v>-35.15</x:v>
      </x:c>
      <x:c r="H674" s="30" t="n">
        <x:v>-70.62</x:v>
      </x:c>
      <x:c r="I674" s="29" t="n">
        <x:v>19</x:v>
      </x:c>
      <x:c r="J674" s="31" t="n">
        <x:v>3</x:v>
      </x:c>
      <x:c r="K674" s="25" t="str">
        <x:f>IF(J674&gt;=7,"Muy fuerte (&gt;=7)",IF(J674&gt;=6,"Fuerte (6-6.9)",IF(J674&gt;=5,"Moderado alto (5-5.9)",IF(J674&gt;=4,"Moderado (4-4.9)","Menor a 4"))))</x:f>
        <x:v>Menor a 4</x:v>
      </x:c>
      <x:c r="L674" s="25" t="str">
        <x:f>IF(I674&lt;70,"Superficial (&lt;70 km)",IF(I674&lt;=300,"Intermedio (70-300 km)","Profundo (&gt;300 km)"))</x:f>
        <x:v>Superficial (&lt;70 km)</x:v>
      </x:c>
      <x:c r="M674" s="25" t="str">
        <x:f>IF(J674&gt;=5,"Sí","No")</x:f>
        <x:v>No</x:v>
      </x:c>
      <x:c r="N674" s="25" t="str">
        <x:f>IF(J674&gt;=6,"Sí","No")</x:f>
        <x:v>No</x:v>
      </x:c>
      <x:c r="O674" s="25" t="str">
        <x:v>Pendiente: asignar con R/sf</x:v>
      </x:c>
    </x:row>
    <x:row r="675">
      <x:c r="A675" s="25" t="n">
        <x:v>674</x:v>
      </x:c>
      <x:c r="B675" s="26" t="n">
        <x:v>44867.10972222222</x:v>
      </x:c>
      <x:c r="C675" s="27" t="n">
        <x:f>INT(B675)</x:f>
        <x:v>44867</x:v>
      </x:c>
      <x:c r="D675" s="28" t="n">
        <x:f>MOD(B675,1)</x:f>
        <x:v>0.10972222222335404</x:v>
      </x:c>
      <x:c r="E675" s="29" t="n">
        <x:f>YEAR(B675)</x:f>
        <x:v>2022</x:v>
      </x:c>
      <x:c r="F675" s="29" t="n">
        <x:f>MONTH(B675)</x:f>
        <x:v>11</x:v>
      </x:c>
      <x:c r="G675" s="30" t="n">
        <x:v>-22.33</x:v>
      </x:c>
      <x:c r="H675" s="30" t="n">
        <x:v>-68.88</x:v>
      </x:c>
      <x:c r="I675" s="29" t="n">
        <x:v>119</x:v>
      </x:c>
      <x:c r="J675" s="31" t="n">
        <x:v>5.3</x:v>
      </x:c>
      <x:c r="K675" s="25" t="str">
        <x:f>IF(J675&gt;=7,"Muy fuerte (&gt;=7)",IF(J675&gt;=6,"Fuerte (6-6.9)",IF(J675&gt;=5,"Moderado alto (5-5.9)",IF(J675&gt;=4,"Moderado (4-4.9)","Menor a 4"))))</x:f>
        <x:v>Moderado alto (5-5.9)</x:v>
      </x:c>
      <x:c r="L675" s="25" t="str">
        <x:f>IF(I675&lt;70,"Superficial (&lt;70 km)",IF(I675&lt;=300,"Intermedio (70-300 km)","Profundo (&gt;300 km)"))</x:f>
        <x:v>Intermedio (70-300 km)</x:v>
      </x:c>
      <x:c r="M675" s="25" t="str">
        <x:f>IF(J675&gt;=5,"Sí","No")</x:f>
        <x:v>Sí</x:v>
      </x:c>
      <x:c r="N675" s="25" t="str">
        <x:f>IF(J675&gt;=6,"Sí","No")</x:f>
        <x:v>No</x:v>
      </x:c>
      <x:c r="O675" s="25" t="str">
        <x:v>Pendiente: asignar con R/sf</x:v>
      </x:c>
    </x:row>
    <x:row r="676">
      <x:c r="A676" s="25" t="n">
        <x:v>675</x:v>
      </x:c>
      <x:c r="B676" s="26" t="n">
        <x:v>44873.368935185186</x:v>
      </x:c>
      <x:c r="C676" s="27" t="n">
        <x:f>INT(B676)</x:f>
        <x:v>44873</x:v>
      </x:c>
      <x:c r="D676" s="28" t="n">
        <x:f>MOD(B676,1)</x:f>
        <x:v>0.3689351851862739</x:v>
      </x:c>
      <x:c r="E676" s="29" t="n">
        <x:f>YEAR(B676)</x:f>
        <x:v>2022</x:v>
      </x:c>
      <x:c r="F676" s="29" t="n">
        <x:f>MONTH(B676)</x:f>
        <x:v>11</x:v>
      </x:c>
      <x:c r="G676" s="30" t="n">
        <x:v>-33.66</x:v>
      </x:c>
      <x:c r="H676" s="30" t="n">
        <x:v>-70.77</x:v>
      </x:c>
      <x:c r="I676" s="29" t="n">
        <x:v>92</x:v>
      </x:c>
      <x:c r="J676" s="31" t="n">
        <x:v>5.3</x:v>
      </x:c>
      <x:c r="K676" s="25" t="str">
        <x:f>IF(J676&gt;=7,"Muy fuerte (&gt;=7)",IF(J676&gt;=6,"Fuerte (6-6.9)",IF(J676&gt;=5,"Moderado alto (5-5.9)",IF(J676&gt;=4,"Moderado (4-4.9)","Menor a 4"))))</x:f>
        <x:v>Moderado alto (5-5.9)</x:v>
      </x:c>
      <x:c r="L676" s="25" t="str">
        <x:f>IF(I676&lt;70,"Superficial (&lt;70 km)",IF(I676&lt;=300,"Intermedio (70-300 km)","Profundo (&gt;300 km)"))</x:f>
        <x:v>Intermedio (70-300 km)</x:v>
      </x:c>
      <x:c r="M676" s="25" t="str">
        <x:f>IF(J676&gt;=5,"Sí","No")</x:f>
        <x:v>Sí</x:v>
      </x:c>
      <x:c r="N676" s="25" t="str">
        <x:f>IF(J676&gt;=6,"Sí","No")</x:f>
        <x:v>No</x:v>
      </x:c>
      <x:c r="O676" s="25" t="str">
        <x:v>Pendiente: asignar con R/sf</x:v>
      </x:c>
    </x:row>
    <x:row r="677">
      <x:c r="A677" s="25" t="n">
        <x:v>676</x:v>
      </x:c>
      <x:c r="B677" s="26" t="n">
        <x:v>44878.100023148145</x:v>
      </x:c>
      <x:c r="C677" s="27" t="n">
        <x:f>INT(B677)</x:f>
        <x:v>44878</x:v>
      </x:c>
      <x:c r="D677" s="28" t="n">
        <x:f>MOD(B677,1)</x:f>
        <x:v>0.10002314814482816</x:v>
      </x:c>
      <x:c r="E677" s="29" t="n">
        <x:f>YEAR(B677)</x:f>
        <x:v>2022</x:v>
      </x:c>
      <x:c r="F677" s="29" t="n">
        <x:f>MONTH(B677)</x:f>
        <x:v>11</x:v>
      </x:c>
      <x:c r="G677" s="30" t="n">
        <x:v>-37.53</x:v>
      </x:c>
      <x:c r="H677" s="30" t="n">
        <x:v>-73.82</x:v>
      </x:c>
      <x:c r="I677" s="29" t="n">
        <x:v>45</x:v>
      </x:c>
      <x:c r="J677" s="31" t="n">
        <x:v>5.3</x:v>
      </x:c>
      <x:c r="K677" s="25" t="str">
        <x:f>IF(J677&gt;=7,"Muy fuerte (&gt;=7)",IF(J677&gt;=6,"Fuerte (6-6.9)",IF(J677&gt;=5,"Moderado alto (5-5.9)",IF(J677&gt;=4,"Moderado (4-4.9)","Menor a 4"))))</x:f>
        <x:v>Moderado alto (5-5.9)</x:v>
      </x:c>
      <x:c r="L677" s="25" t="str">
        <x:f>IF(I677&lt;70,"Superficial (&lt;70 km)",IF(I677&lt;=300,"Intermedio (70-300 km)","Profundo (&gt;300 km)"))</x:f>
        <x:v>Superficial (&lt;70 km)</x:v>
      </x:c>
      <x:c r="M677" s="25" t="str">
        <x:f>IF(J677&gt;=5,"Sí","No")</x:f>
        <x:v>Sí</x:v>
      </x:c>
      <x:c r="N677" s="25" t="str">
        <x:f>IF(J677&gt;=6,"Sí","No")</x:f>
        <x:v>No</x:v>
      </x:c>
      <x:c r="O677" s="25" t="str">
        <x:v>Pendiente: asignar con R/sf</x:v>
      </x:c>
    </x:row>
    <x:row r="678">
      <x:c r="A678" s="25" t="n">
        <x:v>677</x:v>
      </x:c>
      <x:c r="B678" s="26" t="n">
        <x:v>44878.10068287037</x:v>
      </x:c>
      <x:c r="C678" s="27" t="n">
        <x:f>INT(B678)</x:f>
        <x:v>44878</x:v>
      </x:c>
      <x:c r="D678" s="28" t="n">
        <x:f>MOD(B678,1)</x:f>
        <x:v>0.10068287036847323</x:v>
      </x:c>
      <x:c r="E678" s="29" t="n">
        <x:f>YEAR(B678)</x:f>
        <x:v>2022</x:v>
      </x:c>
      <x:c r="F678" s="29" t="n">
        <x:f>MONTH(B678)</x:f>
        <x:v>11</x:v>
      </x:c>
      <x:c r="G678" s="30" t="n">
        <x:v>-37.56</x:v>
      </x:c>
      <x:c r="H678" s="30" t="n">
        <x:v>-73.69</x:v>
      </x:c>
      <x:c r="I678" s="29" t="n">
        <x:v>24</x:v>
      </x:c>
      <x:c r="J678" s="31" t="n">
        <x:v>6.1</x:v>
      </x:c>
      <x:c r="K678" s="25" t="str">
        <x:f>IF(J678&gt;=7,"Muy fuerte (&gt;=7)",IF(J678&gt;=6,"Fuerte (6-6.9)",IF(J678&gt;=5,"Moderado alto (5-5.9)",IF(J678&gt;=4,"Moderado (4-4.9)","Menor a 4"))))</x:f>
        <x:v>Fuerte (6-6.9)</x:v>
      </x:c>
      <x:c r="L678" s="25" t="str">
        <x:f>IF(I678&lt;70,"Superficial (&lt;70 km)",IF(I678&lt;=300,"Intermedio (70-300 km)","Profundo (&gt;300 km)"))</x:f>
        <x:v>Superficial (&lt;70 km)</x:v>
      </x:c>
      <x:c r="M678" s="25" t="str">
        <x:f>IF(J678&gt;=5,"Sí","No")</x:f>
        <x:v>Sí</x:v>
      </x:c>
      <x:c r="N678" s="25" t="str">
        <x:f>IF(J678&gt;=6,"Sí","No")</x:f>
        <x:v>Sí</x:v>
      </x:c>
      <x:c r="O678" s="25" t="str">
        <x:v>Pendiente: asignar con R/sf</x:v>
      </x:c>
    </x:row>
    <x:row r="679">
      <x:c r="A679" s="25" t="n">
        <x:v>678</x:v>
      </x:c>
      <x:c r="B679" s="26" t="n">
        <x:v>44888.37028935185</x:v>
      </x:c>
      <x:c r="C679" s="27" t="n">
        <x:f>INT(B679)</x:f>
        <x:v>44888</x:v>
      </x:c>
      <x:c r="D679" s="28" t="n">
        <x:f>MOD(B679,1)</x:f>
        <x:v>0.3702893518493511</x:v>
      </x:c>
      <x:c r="E679" s="29" t="n">
        <x:f>YEAR(B679)</x:f>
        <x:v>2022</x:v>
      </x:c>
      <x:c r="F679" s="29" t="n">
        <x:f>MONTH(B679)</x:f>
        <x:v>11</x:v>
      </x:c>
      <x:c r="G679" s="30" t="n">
        <x:v>-35.37</x:v>
      </x:c>
      <x:c r="H679" s="30" t="n">
        <x:v>-71.37</x:v>
      </x:c>
      <x:c r="I679" s="29" t="n">
        <x:v>84</x:v>
      </x:c>
      <x:c r="J679" s="31" t="n">
        <x:v>5.1</x:v>
      </x:c>
      <x:c r="K679" s="25" t="str">
        <x:f>IF(J679&gt;=7,"Muy fuerte (&gt;=7)",IF(J679&gt;=6,"Fuerte (6-6.9)",IF(J679&gt;=5,"Moderado alto (5-5.9)",IF(J679&gt;=4,"Moderado (4-4.9)","Menor a 4"))))</x:f>
        <x:v>Moderado alto (5-5.9)</x:v>
      </x:c>
      <x:c r="L679" s="25" t="str">
        <x:f>IF(I679&lt;70,"Superficial (&lt;70 km)",IF(I679&lt;=300,"Intermedio (70-300 km)","Profundo (&gt;300 km)"))</x:f>
        <x:v>Intermedio (70-300 km)</x:v>
      </x:c>
      <x:c r="M679" s="25" t="str">
        <x:f>IF(J679&gt;=5,"Sí","No")</x:f>
        <x:v>Sí</x:v>
      </x:c>
      <x:c r="N679" s="25" t="str">
        <x:f>IF(J679&gt;=6,"Sí","No")</x:f>
        <x:v>No</x:v>
      </x:c>
      <x:c r="O679" s="25" t="str">
        <x:v>Pendiente: asignar con R/sf</x:v>
      </x:c>
    </x:row>
    <x:row r="680">
      <x:c r="A680" s="25" t="n">
        <x:v>679</x:v>
      </x:c>
      <x:c r="B680" s="26" t="n">
        <x:v>44364.41111111111</x:v>
      </x:c>
      <x:c r="C680" s="27" t="n">
        <x:f>INT(B680)</x:f>
        <x:v>44364</x:v>
      </x:c>
      <x:c r="D680" s="28" t="n">
        <x:f>MOD(B680,1)</x:f>
        <x:v>0.4111111111124046</x:v>
      </x:c>
      <x:c r="E680" s="29" t="n">
        <x:f>YEAR(B680)</x:f>
        <x:v>2021</x:v>
      </x:c>
      <x:c r="F680" s="29" t="n">
        <x:f>MONTH(B680)</x:f>
        <x:v>6</x:v>
      </x:c>
      <x:c r="G680" s="30" t="n">
        <x:v>-40.07</x:v>
      </x:c>
      <x:c r="H680" s="30" t="n">
        <x:v>-72.43</x:v>
      </x:c>
      <x:c r="I680" s="29" t="n">
        <x:v>11</x:v>
      </x:c>
      <x:c r="J680" s="31" t="n">
        <x:v>3.4</x:v>
      </x:c>
      <x:c r="K680" s="25" t="str">
        <x:f>IF(J680&gt;=7,"Muy fuerte (&gt;=7)",IF(J680&gt;=6,"Fuerte (6-6.9)",IF(J680&gt;=5,"Moderado alto (5-5.9)",IF(J680&gt;=4,"Moderado (4-4.9)","Menor a 4"))))</x:f>
        <x:v>Menor a 4</x:v>
      </x:c>
      <x:c r="L680" s="25" t="str">
        <x:f>IF(I680&lt;70,"Superficial (&lt;70 km)",IF(I680&lt;=300,"Intermedio (70-300 km)","Profundo (&gt;300 km)"))</x:f>
        <x:v>Superficial (&lt;70 km)</x:v>
      </x:c>
      <x:c r="M680" s="25" t="str">
        <x:f>IF(J680&gt;=5,"Sí","No")</x:f>
        <x:v>No</x:v>
      </x:c>
      <x:c r="N680" s="25" t="str">
        <x:f>IF(J680&gt;=6,"Sí","No")</x:f>
        <x:v>No</x:v>
      </x:c>
      <x:c r="O680" s="25" t="str">
        <x:v>Pendiente: asignar con R/sf</x:v>
      </x:c>
    </x:row>
    <x:row r="681">
      <x:c r="A681" s="25" t="n">
        <x:v>680</x:v>
      </x:c>
      <x:c r="B681" s="26" t="n">
        <x:v>44241.34664351852</x:v>
      </x:c>
      <x:c r="C681" s="27" t="n">
        <x:f>INT(B681)</x:f>
        <x:v>44241</x:v>
      </x:c>
      <x:c r="D681" s="28" t="n">
        <x:f>MOD(B681,1)</x:f>
        <x:v>0.34664351851824904</x:v>
      </x:c>
      <x:c r="E681" s="29" t="n">
        <x:f>YEAR(B681)</x:f>
        <x:v>2021</x:v>
      </x:c>
      <x:c r="F681" s="29" t="n">
        <x:f>MONTH(B681)</x:f>
        <x:v>2</x:v>
      </x:c>
      <x:c r="G681" s="30" t="n">
        <x:v>-39.79</x:v>
      </x:c>
      <x:c r="H681" s="30" t="n">
        <x:v>-71.95</x:v>
      </x:c>
      <x:c r="I681" s="29" t="n">
        <x:v>4</x:v>
      </x:c>
      <x:c r="J681" s="31" t="n">
        <x:v>3.8</x:v>
      </x:c>
      <x:c r="K681" s="25" t="str">
        <x:f>IF(J681&gt;=7,"Muy fuerte (&gt;=7)",IF(J681&gt;=6,"Fuerte (6-6.9)",IF(J681&gt;=5,"Moderado alto (5-5.9)",IF(J681&gt;=4,"Moderado (4-4.9)","Menor a 4"))))</x:f>
        <x:v>Menor a 4</x:v>
      </x:c>
      <x:c r="L681" s="25" t="str">
        <x:f>IF(I681&lt;70,"Superficial (&lt;70 km)",IF(I681&lt;=300,"Intermedio (70-300 km)","Profundo (&gt;300 km)"))</x:f>
        <x:v>Superficial (&lt;70 km)</x:v>
      </x:c>
      <x:c r="M681" s="25" t="str">
        <x:f>IF(J681&gt;=5,"Sí","No")</x:f>
        <x:v>No</x:v>
      </x:c>
      <x:c r="N681" s="25" t="str">
        <x:f>IF(J681&gt;=6,"Sí","No")</x:f>
        <x:v>No</x:v>
      </x:c>
      <x:c r="O681" s="25" t="str">
        <x:v>Pendiente: asignar con R/sf</x:v>
      </x:c>
    </x:row>
    <x:row r="682">
      <x:c r="A682" s="25" t="n">
        <x:v>681</x:v>
      </x:c>
      <x:c r="B682" s="26" t="n">
        <x:v>44241.357824074075</x:v>
      </x:c>
      <x:c r="C682" s="27" t="n">
        <x:f>INT(B682)</x:f>
        <x:v>44241</x:v>
      </x:c>
      <x:c r="D682" s="28" t="n">
        <x:f>MOD(B682,1)</x:f>
        <x:v>0.35782407407532446</x:v>
      </x:c>
      <x:c r="E682" s="29" t="n">
        <x:f>YEAR(B682)</x:f>
        <x:v>2021</x:v>
      </x:c>
      <x:c r="F682" s="29" t="n">
        <x:f>MONTH(B682)</x:f>
        <x:v>2</x:v>
      </x:c>
      <x:c r="G682" s="30" t="n">
        <x:v>-39.78</x:v>
      </x:c>
      <x:c r="H682" s="30" t="n">
        <x:v>-71.94</x:v>
      </x:c>
      <x:c r="I682" s="29" t="n">
        <x:v>4</x:v>
      </x:c>
      <x:c r="J682" s="31" t="n">
        <x:v>3.1</x:v>
      </x:c>
      <x:c r="K682" s="25" t="str">
        <x:f>IF(J682&gt;=7,"Muy fuerte (&gt;=7)",IF(J682&gt;=6,"Fuerte (6-6.9)",IF(J682&gt;=5,"Moderado alto (5-5.9)",IF(J682&gt;=4,"Moderado (4-4.9)","Menor a 4"))))</x:f>
        <x:v>Menor a 4</x:v>
      </x:c>
      <x:c r="L682" s="25" t="str">
        <x:f>IF(I682&lt;70,"Superficial (&lt;70 km)",IF(I682&lt;=300,"Intermedio (70-300 km)","Profundo (&gt;300 km)"))</x:f>
        <x:v>Superficial (&lt;70 km)</x:v>
      </x:c>
      <x:c r="M682" s="25" t="str">
        <x:f>IF(J682&gt;=5,"Sí","No")</x:f>
        <x:v>No</x:v>
      </x:c>
      <x:c r="N682" s="25" t="str">
        <x:f>IF(J682&gt;=6,"Sí","No")</x:f>
        <x:v>No</x:v>
      </x:c>
      <x:c r="O682" s="25" t="str">
        <x:v>Pendiente: asignar con R/sf</x:v>
      </x:c>
    </x:row>
    <x:row r="683">
      <x:c r="A683" s="25" t="n">
        <x:v>682</x:v>
      </x:c>
      <x:c r="B683" s="26" t="n">
        <x:v>44151.06380787037</x:v>
      </x:c>
      <x:c r="C683" s="27" t="n">
        <x:f>INT(B683)</x:f>
        <x:v>44151</x:v>
      </x:c>
      <x:c r="D683" s="28" t="n">
        <x:f>MOD(B683,1)</x:f>
        <x:v>0.0638078703705105</x:v>
      </x:c>
      <x:c r="E683" s="29" t="n">
        <x:f>YEAR(B683)</x:f>
        <x:v>2020</x:v>
      </x:c>
      <x:c r="F683" s="29" t="n">
        <x:f>MONTH(B683)</x:f>
        <x:v>11</x:v>
      </x:c>
      <x:c r="G683" s="30" t="n">
        <x:v>-40.07</x:v>
      </x:c>
      <x:c r="H683" s="30" t="n">
        <x:v>-72.41</x:v>
      </x:c>
      <x:c r="I683" s="29" t="n">
        <x:v>11</x:v>
      </x:c>
      <x:c r="J683" s="31" t="n">
        <x:v>3.1</x:v>
      </x:c>
      <x:c r="K683" s="25" t="str">
        <x:f>IF(J683&gt;=7,"Muy fuerte (&gt;=7)",IF(J683&gt;=6,"Fuerte (6-6.9)",IF(J683&gt;=5,"Moderado alto (5-5.9)",IF(J683&gt;=4,"Moderado (4-4.9)","Menor a 4"))))</x:f>
        <x:v>Menor a 4</x:v>
      </x:c>
      <x:c r="L683" s="25" t="str">
        <x:f>IF(I683&lt;70,"Superficial (&lt;70 km)",IF(I683&lt;=300,"Intermedio (70-300 km)","Profundo (&gt;300 km)"))</x:f>
        <x:v>Superficial (&lt;70 km)</x:v>
      </x:c>
      <x:c r="M683" s="25" t="str">
        <x:f>IF(J683&gt;=5,"Sí","No")</x:f>
        <x:v>No</x:v>
      </x:c>
      <x:c r="N683" s="25" t="str">
        <x:f>IF(J683&gt;=6,"Sí","No")</x:f>
        <x:v>No</x:v>
      </x:c>
      <x:c r="O683" s="25" t="str">
        <x:v>Pendiente: asignar con R/sf</x:v>
      </x:c>
    </x:row>
    <x:row r="684">
      <x:c r="A684" s="25" t="n">
        <x:v>683</x:v>
      </x:c>
      <x:c r="B684" s="26" t="n">
        <x:v>45020.79775462963</x:v>
      </x:c>
      <x:c r="C684" s="27" t="n">
        <x:f>INT(B684)</x:f>
        <x:v>45020</x:v>
      </x:c>
      <x:c r="D684" s="28" t="n">
        <x:f>MOD(B684,1)</x:f>
        <x:v>0.7977546296315268</x:v>
      </x:c>
      <x:c r="E684" s="29" t="n">
        <x:f>YEAR(B684)</x:f>
        <x:v>2023</x:v>
      </x:c>
      <x:c r="F684" s="29" t="n">
        <x:f>MONTH(B684)</x:f>
        <x:v>4</x:v>
      </x:c>
      <x:c r="G684" s="30" t="n">
        <x:v>-27.46</x:v>
      </x:c>
      <x:c r="H684" s="30" t="n">
        <x:v>-71.01</x:v>
      </x:c>
      <x:c r="I684" s="29" t="n">
        <x:v>53</x:v>
      </x:c>
      <x:c r="J684" s="31" t="n">
        <x:v>5.7</x:v>
      </x:c>
      <x:c r="K684" s="25" t="str">
        <x:f>IF(J684&gt;=7,"Muy fuerte (&gt;=7)",IF(J684&gt;=6,"Fuerte (6-6.9)",IF(J684&gt;=5,"Moderado alto (5-5.9)",IF(J684&gt;=4,"Moderado (4-4.9)","Menor a 4"))))</x:f>
        <x:v>Moderado alto (5-5.9)</x:v>
      </x:c>
      <x:c r="L684" s="25" t="str">
        <x:f>IF(I684&lt;70,"Superficial (&lt;70 km)",IF(I684&lt;=300,"Intermedio (70-300 km)","Profundo (&gt;300 km)"))</x:f>
        <x:v>Superficial (&lt;70 km)</x:v>
      </x:c>
      <x:c r="M684" s="25" t="str">
        <x:f>IF(J684&gt;=5,"Sí","No")</x:f>
        <x:v>Sí</x:v>
      </x:c>
      <x:c r="N684" s="25" t="str">
        <x:f>IF(J684&gt;=6,"Sí","No")</x:f>
        <x:v>No</x:v>
      </x:c>
      <x:c r="O684" s="25" t="str">
        <x:v>Pendiente: asignar con R/sf</x:v>
      </x:c>
    </x:row>
    <x:row r="685">
      <x:c r="A685" s="25" t="n">
        <x:v>684</x:v>
      </x:c>
      <x:c r="B685" s="26" t="n">
        <x:v>45043.25502314815</x:v>
      </x:c>
      <x:c r="C685" s="27" t="n">
        <x:f>INT(B685)</x:f>
        <x:v>45043</x:v>
      </x:c>
      <x:c r="D685" s="28" t="n">
        <x:f>MOD(B685,1)</x:f>
        <x:v>0.25502314815093996</x:v>
      </x:c>
      <x:c r="E685" s="29" t="n">
        <x:f>YEAR(B685)</x:f>
        <x:v>2023</x:v>
      </x:c>
      <x:c r="F685" s="29" t="n">
        <x:f>MONTH(B685)</x:f>
        <x:v>4</x:v>
      </x:c>
      <x:c r="G685" s="30" t="n">
        <x:v>-35.61</x:v>
      </x:c>
      <x:c r="H685" s="30" t="n">
        <x:v>-71.45</x:v>
      </x:c>
      <x:c r="I685" s="29" t="n">
        <x:v>93</x:v>
      </x:c>
      <x:c r="J685" s="31" t="n">
        <x:v>5.1</x:v>
      </x:c>
      <x:c r="K685" s="25" t="str">
        <x:f>IF(J685&gt;=7,"Muy fuerte (&gt;=7)",IF(J685&gt;=6,"Fuerte (6-6.9)",IF(J685&gt;=5,"Moderado alto (5-5.9)",IF(J685&gt;=4,"Moderado (4-4.9)","Menor a 4"))))</x:f>
        <x:v>Moderado alto (5-5.9)</x:v>
      </x:c>
      <x:c r="L685" s="25" t="str">
        <x:f>IF(I685&lt;70,"Superficial (&lt;70 km)",IF(I685&lt;=300,"Intermedio (70-300 km)","Profundo (&gt;300 km)"))</x:f>
        <x:v>Intermedio (70-300 km)</x:v>
      </x:c>
      <x:c r="M685" s="25" t="str">
        <x:f>IF(J685&gt;=5,"Sí","No")</x:f>
        <x:v>Sí</x:v>
      </x:c>
      <x:c r="N685" s="25" t="str">
        <x:f>IF(J685&gt;=6,"Sí","No")</x:f>
        <x:v>No</x:v>
      </x:c>
      <x:c r="O685" s="25" t="str">
        <x:v>Pendiente: asignar con R/sf</x:v>
      </x:c>
    </x:row>
    <x:row r="686">
      <x:c r="A686" s="25" t="n">
        <x:v>685</x:v>
      </x:c>
      <x:c r="B686" s="26" t="n">
        <x:v>44775.39078703704</x:v>
      </x:c>
      <x:c r="C686" s="27" t="n">
        <x:f>INT(B686)</x:f>
        <x:v>44775</x:v>
      </x:c>
      <x:c r="D686" s="28" t="n">
        <x:f>MOD(B686,1)</x:f>
        <x:v>0.39078703703853535</x:v>
      </x:c>
      <x:c r="E686" s="29" t="n">
        <x:f>YEAR(B686)</x:f>
        <x:v>2022</x:v>
      </x:c>
      <x:c r="F686" s="29" t="n">
        <x:f>MONTH(B686)</x:f>
        <x:v>8</x:v>
      </x:c>
      <x:c r="G686" s="30" t="n">
        <x:v>-29.96</x:v>
      </x:c>
      <x:c r="H686" s="30" t="n">
        <x:v>-71.98</x:v>
      </x:c>
      <x:c r="I686" s="29" t="n">
        <x:v>38</x:v>
      </x:c>
      <x:c r="J686" s="31" t="n">
        <x:v>4</x:v>
      </x:c>
      <x:c r="K686" s="25" t="str">
        <x:f>IF(J686&gt;=7,"Muy fuerte (&gt;=7)",IF(J686&gt;=6,"Fuerte (6-6.9)",IF(J686&gt;=5,"Moderado alto (5-5.9)",IF(J686&gt;=4,"Moderado (4-4.9)","Menor a 4"))))</x:f>
        <x:v>Moderado (4-4.9)</x:v>
      </x:c>
      <x:c r="L686" s="25" t="str">
        <x:f>IF(I686&lt;70,"Superficial (&lt;70 km)",IF(I686&lt;=300,"Intermedio (70-300 km)","Profundo (&gt;300 km)"))</x:f>
        <x:v>Superficial (&lt;70 km)</x:v>
      </x:c>
      <x:c r="M686" s="25" t="str">
        <x:f>IF(J686&gt;=5,"Sí","No")</x:f>
        <x:v>No</x:v>
      </x:c>
      <x:c r="N686" s="25" t="str">
        <x:f>IF(J686&gt;=6,"Sí","No")</x:f>
        <x:v>No</x:v>
      </x:c>
      <x:c r="O686" s="25" t="str">
        <x:v>Pendiente: asignar con R/sf</x:v>
      </x:c>
    </x:row>
    <x:row r="687">
      <x:c r="A687" s="25" t="n">
        <x:v>686</x:v>
      </x:c>
      <x:c r="B687" s="26" t="n">
        <x:v>44787.37616898148</x:v>
      </x:c>
      <x:c r="C687" s="27" t="n">
        <x:f>INT(B687)</x:f>
        <x:v>44787</x:v>
      </x:c>
      <x:c r="D687" s="28" t="n">
        <x:f>MOD(B687,1)</x:f>
        <x:v>0.3761689814782585</x:v>
      </x:c>
      <x:c r="E687" s="29" t="n">
        <x:f>YEAR(B687)</x:f>
        <x:v>2022</x:v>
      </x:c>
      <x:c r="F687" s="29" t="n">
        <x:f>MONTH(B687)</x:f>
        <x:v>8</x:v>
      </x:c>
      <x:c r="G687" s="30" t="n">
        <x:v>-30.73</x:v>
      </x:c>
      <x:c r="H687" s="30" t="n">
        <x:v>-71.33</x:v>
      </x:c>
      <x:c r="I687" s="29" t="n">
        <x:v>47</x:v>
      </x:c>
      <x:c r="J687" s="31" t="n">
        <x:v>4.6</x:v>
      </x:c>
      <x:c r="K687" s="25" t="str">
        <x:f>IF(J687&gt;=7,"Muy fuerte (&gt;=7)",IF(J687&gt;=6,"Fuerte (6-6.9)",IF(J687&gt;=5,"Moderado alto (5-5.9)",IF(J687&gt;=4,"Moderado (4-4.9)","Menor a 4"))))</x:f>
        <x:v>Moderado (4-4.9)</x:v>
      </x:c>
      <x:c r="L687" s="25" t="str">
        <x:f>IF(I687&lt;70,"Superficial (&lt;70 km)",IF(I687&lt;=300,"Intermedio (70-300 km)","Profundo (&gt;300 km)"))</x:f>
        <x:v>Superficial (&lt;70 km)</x:v>
      </x:c>
      <x:c r="M687" s="25" t="str">
        <x:f>IF(J687&gt;=5,"Sí","No")</x:f>
        <x:v>No</x:v>
      </x:c>
      <x:c r="N687" s="25" t="str">
        <x:f>IF(J687&gt;=6,"Sí","No")</x:f>
        <x:v>No</x:v>
      </x:c>
      <x:c r="O687" s="25" t="str">
        <x:v>Pendiente: asignar con R/sf</x:v>
      </x:c>
    </x:row>
    <x:row r="688">
      <x:c r="A688" s="25" t="n">
        <x:v>687</x:v>
      </x:c>
      <x:c r="B688" s="26" t="n">
        <x:v>44849.611863425926</x:v>
      </x:c>
      <x:c r="C688" s="27" t="n">
        <x:f>INT(B688)</x:f>
        <x:v>44849</x:v>
      </x:c>
      <x:c r="D688" s="28" t="n">
        <x:f>MOD(B688,1)</x:f>
        <x:v>0.6118634259255487</x:v>
      </x:c>
      <x:c r="E688" s="29" t="n">
        <x:f>YEAR(B688)</x:f>
        <x:v>2022</x:v>
      </x:c>
      <x:c r="F688" s="29" t="n">
        <x:f>MONTH(B688)</x:f>
        <x:v>10</x:v>
      </x:c>
      <x:c r="G688" s="30" t="n">
        <x:v>-32.71</x:v>
      </x:c>
      <x:c r="H688" s="30" t="n">
        <x:v>-71.25</x:v>
      </x:c>
      <x:c r="I688" s="29" t="n">
        <x:v>60</x:v>
      </x:c>
      <x:c r="J688" s="31" t="n">
        <x:v>4.8</x:v>
      </x:c>
      <x:c r="K688" s="25" t="str">
        <x:f>IF(J688&gt;=7,"Muy fuerte (&gt;=7)",IF(J688&gt;=6,"Fuerte (6-6.9)",IF(J688&gt;=5,"Moderado alto (5-5.9)",IF(J688&gt;=4,"Moderado (4-4.9)","Menor a 4"))))</x:f>
        <x:v>Moderado (4-4.9)</x:v>
      </x:c>
      <x:c r="L688" s="25" t="str">
        <x:f>IF(I688&lt;70,"Superficial (&lt;70 km)",IF(I688&lt;=300,"Intermedio (70-300 km)","Profundo (&gt;300 km)"))</x:f>
        <x:v>Superficial (&lt;70 km)</x:v>
      </x:c>
      <x:c r="M688" s="25" t="str">
        <x:f>IF(J688&gt;=5,"Sí","No")</x:f>
        <x:v>No</x:v>
      </x:c>
      <x:c r="N688" s="25" t="str">
        <x:f>IF(J688&gt;=6,"Sí","No")</x:f>
        <x:v>No</x:v>
      </x:c>
      <x:c r="O688" s="25" t="str">
        <x:v>Pendiente: asignar con R/sf</x:v>
      </x:c>
    </x:row>
    <x:row r="689">
      <x:c r="A689" s="25" t="n">
        <x:v>688</x:v>
      </x:c>
      <x:c r="B689" s="26" t="n">
        <x:v>44884.21774305555</x:v>
      </x:c>
      <x:c r="C689" s="27" t="n">
        <x:f>INT(B689)</x:f>
        <x:v>44884</x:v>
      </x:c>
      <x:c r="D689" s="28" t="n">
        <x:f>MOD(B689,1)</x:f>
        <x:v>0.21774305555300089</x:v>
      </x:c>
      <x:c r="E689" s="29" t="n">
        <x:f>YEAR(B689)</x:f>
        <x:v>2022</x:v>
      </x:c>
      <x:c r="F689" s="29" t="n">
        <x:f>MONTH(B689)</x:f>
        <x:v>11</x:v>
      </x:c>
      <x:c r="G689" s="30" t="n">
        <x:v>-33.26</x:v>
      </x:c>
      <x:c r="H689" s="30" t="n">
        <x:v>-71.11</x:v>
      </x:c>
      <x:c r="I689" s="29" t="n">
        <x:v>77</x:v>
      </x:c>
      <x:c r="J689" s="31" t="n">
        <x:v>4.4</x:v>
      </x:c>
      <x:c r="K689" s="25" t="str">
        <x:f>IF(J689&gt;=7,"Muy fuerte (&gt;=7)",IF(J689&gt;=6,"Fuerte (6-6.9)",IF(J689&gt;=5,"Moderado alto (5-5.9)",IF(J689&gt;=4,"Moderado (4-4.9)","Menor a 4"))))</x:f>
        <x:v>Moderado (4-4.9)</x:v>
      </x:c>
      <x:c r="L689" s="25" t="str">
        <x:f>IF(I689&lt;70,"Superficial (&lt;70 km)",IF(I689&lt;=300,"Intermedio (70-300 km)","Profundo (&gt;300 km)"))</x:f>
        <x:v>Intermedio (70-300 km)</x:v>
      </x:c>
      <x:c r="M689" s="25" t="str">
        <x:f>IF(J689&gt;=5,"Sí","No")</x:f>
        <x:v>No</x:v>
      </x:c>
      <x:c r="N689" s="25" t="str">
        <x:f>IF(J689&gt;=6,"Sí","No")</x:f>
        <x:v>No</x:v>
      </x:c>
      <x:c r="O689" s="25" t="str">
        <x:v>Pendiente: asignar con R/sf</x:v>
      </x:c>
    </x:row>
    <x:row r="690">
      <x:c r="A690" s="25" t="n">
        <x:v>689</x:v>
      </x:c>
      <x:c r="B690" s="26" t="n">
        <x:v>44884.22493055555</x:v>
      </x:c>
      <x:c r="C690" s="27" t="n">
        <x:f>INT(B690)</x:f>
        <x:v>44884</x:v>
      </x:c>
      <x:c r="D690" s="28" t="n">
        <x:f>MOD(B690,1)</x:f>
        <x:v>0.2249305555524188</x:v>
      </x:c>
      <x:c r="E690" s="29" t="n">
        <x:f>YEAR(B690)</x:f>
        <x:v>2022</x:v>
      </x:c>
      <x:c r="F690" s="29" t="n">
        <x:f>MONTH(B690)</x:f>
        <x:v>11</x:v>
      </x:c>
      <x:c r="G690" s="30" t="n">
        <x:v>-32.4</x:v>
      </x:c>
      <x:c r="H690" s="30" t="n">
        <x:v>-71.73</x:v>
      </x:c>
      <x:c r="I690" s="29" t="n">
        <x:v>29</x:v>
      </x:c>
      <x:c r="J690" s="31" t="n">
        <x:v>4.6</x:v>
      </x:c>
      <x:c r="K690" s="25" t="str">
        <x:f>IF(J690&gt;=7,"Muy fuerte (&gt;=7)",IF(J690&gt;=6,"Fuerte (6-6.9)",IF(J690&gt;=5,"Moderado alto (5-5.9)",IF(J690&gt;=4,"Moderado (4-4.9)","Menor a 4"))))</x:f>
        <x:v>Moderado (4-4.9)</x:v>
      </x:c>
      <x:c r="L690" s="25" t="str">
        <x:f>IF(I690&lt;70,"Superficial (&lt;70 km)",IF(I690&lt;=300,"Intermedio (70-300 km)","Profundo (&gt;300 km)"))</x:f>
        <x:v>Superficial (&lt;70 km)</x:v>
      </x:c>
      <x:c r="M690" s="25" t="str">
        <x:f>IF(J690&gt;=5,"Sí","No")</x:f>
        <x:v>No</x:v>
      </x:c>
      <x:c r="N690" s="25" t="str">
        <x:f>IF(J690&gt;=6,"Sí","No")</x:f>
        <x:v>No</x:v>
      </x:c>
      <x:c r="O690" s="25" t="str">
        <x:v>Pendiente: asignar con R/sf</x:v>
      </x:c>
    </x:row>
    <x:row r="691">
      <x:c r="A691" s="25" t="n">
        <x:v>690</x:v>
      </x:c>
      <x:c r="B691" s="26" t="n">
        <x:v>44898.443819444445</x:v>
      </x:c>
      <x:c r="C691" s="27" t="n">
        <x:f>INT(B691)</x:f>
        <x:v>44898</x:v>
      </x:c>
      <x:c r="D691" s="28" t="n">
        <x:f>MOD(B691,1)</x:f>
        <x:v>0.4438194444446708</x:v>
      </x:c>
      <x:c r="E691" s="29" t="n">
        <x:f>YEAR(B691)</x:f>
        <x:v>2022</x:v>
      </x:c>
      <x:c r="F691" s="29" t="n">
        <x:f>MONTH(B691)</x:f>
        <x:v>12</x:v>
      </x:c>
      <x:c r="G691" s="30" t="n">
        <x:v>-32.83</x:v>
      </x:c>
      <x:c r="H691" s="30" t="n">
        <x:v>-71.85</x:v>
      </x:c>
      <x:c r="I691" s="29" t="n">
        <x:v>40</x:v>
      </x:c>
      <x:c r="J691" s="31" t="n">
        <x:v>4.4</x:v>
      </x:c>
      <x:c r="K691" s="25" t="str">
        <x:f>IF(J691&gt;=7,"Muy fuerte (&gt;=7)",IF(J691&gt;=6,"Fuerte (6-6.9)",IF(J691&gt;=5,"Moderado alto (5-5.9)",IF(J691&gt;=4,"Moderado (4-4.9)","Menor a 4"))))</x:f>
        <x:v>Moderado (4-4.9)</x:v>
      </x:c>
      <x:c r="L691" s="25" t="str">
        <x:f>IF(I691&lt;70,"Superficial (&lt;70 km)",IF(I691&lt;=300,"Intermedio (70-300 km)","Profundo (&gt;300 km)"))</x:f>
        <x:v>Superficial (&lt;70 km)</x:v>
      </x:c>
      <x:c r="M691" s="25" t="str">
        <x:f>IF(J691&gt;=5,"Sí","No")</x:f>
        <x:v>No</x:v>
      </x:c>
      <x:c r="N691" s="25" t="str">
        <x:f>IF(J691&gt;=6,"Sí","No")</x:f>
        <x:v>No</x:v>
      </x:c>
      <x:c r="O691" s="25" t="str">
        <x:v>Pendiente: asignar con R/sf</x:v>
      </x:c>
    </x:row>
    <x:row r="692">
      <x:c r="A692" s="25" t="n">
        <x:v>691</x:v>
      </x:c>
      <x:c r="B692" s="26" t="n">
        <x:v>44926.53329861111</x:v>
      </x:c>
      <x:c r="C692" s="27" t="n">
        <x:f>INT(B692)</x:f>
        <x:v>44926</x:v>
      </x:c>
      <x:c r="D692" s="28" t="n">
        <x:f>MOD(B692,1)</x:f>
        <x:v>0.5332986111097853</x:v>
      </x:c>
      <x:c r="E692" s="29" t="n">
        <x:f>YEAR(B692)</x:f>
        <x:v>2022</x:v>
      </x:c>
      <x:c r="F692" s="29" t="n">
        <x:f>MONTH(B692)</x:f>
        <x:v>12</x:v>
      </x:c>
      <x:c r="G692" s="30" t="n">
        <x:v>-32.28</x:v>
      </x:c>
      <x:c r="H692" s="30" t="n">
        <x:v>-71.52</x:v>
      </x:c>
      <x:c r="I692" s="29" t="n">
        <x:v>49</x:v>
      </x:c>
      <x:c r="J692" s="31" t="n">
        <x:v>4.7</x:v>
      </x:c>
      <x:c r="K692" s="25" t="str">
        <x:f>IF(J692&gt;=7,"Muy fuerte (&gt;=7)",IF(J692&gt;=6,"Fuerte (6-6.9)",IF(J692&gt;=5,"Moderado alto (5-5.9)",IF(J692&gt;=4,"Moderado (4-4.9)","Menor a 4"))))</x:f>
        <x:v>Moderado (4-4.9)</x:v>
      </x:c>
      <x:c r="L692" s="25" t="str">
        <x:f>IF(I692&lt;70,"Superficial (&lt;70 km)",IF(I692&lt;=300,"Intermedio (70-300 km)","Profundo (&gt;300 km)"))</x:f>
        <x:v>Superficial (&lt;70 km)</x:v>
      </x:c>
      <x:c r="M692" s="25" t="str">
        <x:f>IF(J692&gt;=5,"Sí","No")</x:f>
        <x:v>No</x:v>
      </x:c>
      <x:c r="N692" s="25" t="str">
        <x:f>IF(J692&gt;=6,"Sí","No")</x:f>
        <x:v>No</x:v>
      </x:c>
      <x:c r="O692" s="25" t="str">
        <x:v>Pendiente: asignar con R/sf</x:v>
      </x:c>
    </x:row>
    <x:row r="693">
      <x:c r="A693" s="25" t="n">
        <x:v>692</x:v>
      </x:c>
      <x:c r="B693" s="26" t="n">
        <x:v>44931.797430555554</x:v>
      </x:c>
      <x:c r="C693" s="27" t="n">
        <x:f>INT(B693)</x:f>
        <x:v>44931</x:v>
      </x:c>
      <x:c r="D693" s="28" t="n">
        <x:f>MOD(B693,1)</x:f>
        <x:v>0.7974305555544561</x:v>
      </x:c>
      <x:c r="E693" s="29" t="n">
        <x:f>YEAR(B693)</x:f>
        <x:v>2023</x:v>
      </x:c>
      <x:c r="F693" s="29" t="n">
        <x:f>MONTH(B693)</x:f>
        <x:v>1</x:v>
      </x:c>
      <x:c r="G693" s="30" t="n">
        <x:v>-32.7</x:v>
      </x:c>
      <x:c r="H693" s="30" t="n">
        <x:v>-71.24</x:v>
      </x:c>
      <x:c r="I693" s="29" t="n">
        <x:v>62</x:v>
      </x:c>
      <x:c r="J693" s="31" t="n">
        <x:v>4.2</x:v>
      </x:c>
      <x:c r="K693" s="25" t="str">
        <x:f>IF(J693&gt;=7,"Muy fuerte (&gt;=7)",IF(J693&gt;=6,"Fuerte (6-6.9)",IF(J693&gt;=5,"Moderado alto (5-5.9)",IF(J693&gt;=4,"Moderado (4-4.9)","Menor a 4"))))</x:f>
        <x:v>Moderado (4-4.9)</x:v>
      </x:c>
      <x:c r="L693" s="25" t="str">
        <x:f>IF(I693&lt;70,"Superficial (&lt;70 km)",IF(I693&lt;=300,"Intermedio (70-300 km)","Profundo (&gt;300 km)"))</x:f>
        <x:v>Superficial (&lt;70 km)</x:v>
      </x:c>
      <x:c r="M693" s="25" t="str">
        <x:f>IF(J693&gt;=5,"Sí","No")</x:f>
        <x:v>No</x:v>
      </x:c>
      <x:c r="N693" s="25" t="str">
        <x:f>IF(J693&gt;=6,"Sí","No")</x:f>
        <x:v>No</x:v>
      </x:c>
      <x:c r="O693" s="25" t="str">
        <x:v>Pendiente: asignar con R/sf</x:v>
      </x:c>
    </x:row>
    <x:row r="694">
      <x:c r="A694" s="25" t="n">
        <x:v>693</x:v>
      </x:c>
      <x:c r="B694" s="26" t="n">
        <x:v>44940.170625</x:v>
      </x:c>
      <x:c r="C694" s="27" t="n">
        <x:f>INT(B694)</x:f>
        <x:v>44940</x:v>
      </x:c>
      <x:c r="D694" s="28" t="n">
        <x:f>MOD(B694,1)</x:f>
        <x:v>0.17062499999883585</x:v>
      </x:c>
      <x:c r="E694" s="29" t="n">
        <x:f>YEAR(B694)</x:f>
        <x:v>2023</x:v>
      </x:c>
      <x:c r="F694" s="29" t="n">
        <x:f>MONTH(B694)</x:f>
        <x:v>1</x:v>
      </x:c>
      <x:c r="G694" s="30" t="n">
        <x:v>-32.92</x:v>
      </x:c>
      <x:c r="H694" s="30" t="n">
        <x:v>-71.69</x:v>
      </x:c>
      <x:c r="I694" s="29" t="n">
        <x:v>32</x:v>
      </x:c>
      <x:c r="J694" s="31" t="n">
        <x:v>3.2</x:v>
      </x:c>
      <x:c r="K694" s="25" t="str">
        <x:f>IF(J694&gt;=7,"Muy fuerte (&gt;=7)",IF(J694&gt;=6,"Fuerte (6-6.9)",IF(J694&gt;=5,"Moderado alto (5-5.9)",IF(J694&gt;=4,"Moderado (4-4.9)","Menor a 4"))))</x:f>
        <x:v>Menor a 4</x:v>
      </x:c>
      <x:c r="L694" s="25" t="str">
        <x:f>IF(I694&lt;70,"Superficial (&lt;70 km)",IF(I694&lt;=300,"Intermedio (70-300 km)","Profundo (&gt;300 km)"))</x:f>
        <x:v>Superficial (&lt;70 km)</x:v>
      </x:c>
      <x:c r="M694" s="25" t="str">
        <x:f>IF(J694&gt;=5,"Sí","No")</x:f>
        <x:v>No</x:v>
      </x:c>
      <x:c r="N694" s="25" t="str">
        <x:f>IF(J694&gt;=6,"Sí","No")</x:f>
        <x:v>No</x:v>
      </x:c>
      <x:c r="O694" s="25" t="str">
        <x:v>Pendiente: asignar con R/sf</x:v>
      </x:c>
    </x:row>
    <x:row r="695">
      <x:c r="A695" s="25" t="n">
        <x:v>694</x:v>
      </x:c>
      <x:c r="B695" s="26" t="n">
        <x:v>44962.29775462963</x:v>
      </x:c>
      <x:c r="C695" s="27" t="n">
        <x:f>INT(B695)</x:f>
        <x:v>44962</x:v>
      </x:c>
      <x:c r="D695" s="28" t="n">
        <x:f>MOD(B695,1)</x:f>
        <x:v>0.29775462963152677</x:v>
      </x:c>
      <x:c r="E695" s="29" t="n">
        <x:f>YEAR(B695)</x:f>
        <x:v>2023</x:v>
      </x:c>
      <x:c r="F695" s="29" t="n">
        <x:f>MONTH(B695)</x:f>
        <x:v>2</x:v>
      </x:c>
      <x:c r="G695" s="30" t="n">
        <x:v>-32.74</x:v>
      </x:c>
      <x:c r="H695" s="30" t="n">
        <x:v>-71.68</x:v>
      </x:c>
      <x:c r="I695" s="29" t="n">
        <x:v>36</x:v>
      </x:c>
      <x:c r="J695" s="31" t="n">
        <x:v>4</x:v>
      </x:c>
      <x:c r="K695" s="25" t="str">
        <x:f>IF(J695&gt;=7,"Muy fuerte (&gt;=7)",IF(J695&gt;=6,"Fuerte (6-6.9)",IF(J695&gt;=5,"Moderado alto (5-5.9)",IF(J695&gt;=4,"Moderado (4-4.9)","Menor a 4"))))</x:f>
        <x:v>Moderado (4-4.9)</x:v>
      </x:c>
      <x:c r="L695" s="25" t="str">
        <x:f>IF(I695&lt;70,"Superficial (&lt;70 km)",IF(I695&lt;=300,"Intermedio (70-300 km)","Profundo (&gt;300 km)"))</x:f>
        <x:v>Superficial (&lt;70 km)</x:v>
      </x:c>
      <x:c r="M695" s="25" t="str">
        <x:f>IF(J695&gt;=5,"Sí","No")</x:f>
        <x:v>No</x:v>
      </x:c>
      <x:c r="N695" s="25" t="str">
        <x:f>IF(J695&gt;=6,"Sí","No")</x:f>
        <x:v>No</x:v>
      </x:c>
      <x:c r="O695" s="25" t="str">
        <x:v>Pendiente: asignar con R/sf</x:v>
      </x:c>
    </x:row>
    <x:row r="696">
      <x:c r="A696" s="25" t="n">
        <x:v>695</x:v>
      </x:c>
      <x:c r="B696" s="26" t="n">
        <x:v>44781.62452546296</x:v>
      </x:c>
      <x:c r="C696" s="27" t="n">
        <x:f>INT(B696)</x:f>
        <x:v>44781</x:v>
      </x:c>
      <x:c r="D696" s="28" t="n">
        <x:f>MOD(B696,1)</x:f>
        <x:v>0.6245254629611736</x:v>
      </x:c>
      <x:c r="E696" s="29" t="n">
        <x:f>YEAR(B696)</x:f>
        <x:v>2022</x:v>
      </x:c>
      <x:c r="F696" s="29" t="n">
        <x:f>MONTH(B696)</x:f>
        <x:v>8</x:v>
      </x:c>
      <x:c r="G696" s="30" t="n">
        <x:v>-30.14</x:v>
      </x:c>
      <x:c r="H696" s="30" t="n">
        <x:v>-71.32</x:v>
      </x:c>
      <x:c r="I696" s="29" t="n">
        <x:v>64</x:v>
      </x:c>
      <x:c r="J696" s="31" t="n">
        <x:v>3.2</x:v>
      </x:c>
      <x:c r="K696" s="25" t="str">
        <x:f>IF(J696&gt;=7,"Muy fuerte (&gt;=7)",IF(J696&gt;=6,"Fuerte (6-6.9)",IF(J696&gt;=5,"Moderado alto (5-5.9)",IF(J696&gt;=4,"Moderado (4-4.9)","Menor a 4"))))</x:f>
        <x:v>Menor a 4</x:v>
      </x:c>
      <x:c r="L696" s="25" t="str">
        <x:f>IF(I696&lt;70,"Superficial (&lt;70 km)",IF(I696&lt;=300,"Intermedio (70-300 km)","Profundo (&gt;300 km)"))</x:f>
        <x:v>Superficial (&lt;70 km)</x:v>
      </x:c>
      <x:c r="M696" s="25" t="str">
        <x:f>IF(J696&gt;=5,"Sí","No")</x:f>
        <x:v>No</x:v>
      </x:c>
      <x:c r="N696" s="25" t="str">
        <x:f>IF(J696&gt;=6,"Sí","No")</x:f>
        <x:v>No</x:v>
      </x:c>
      <x:c r="O696" s="25" t="str">
        <x:v>Pendiente: asignar con R/sf</x:v>
      </x:c>
    </x:row>
    <x:row r="697">
      <x:c r="A697" s="25" t="n">
        <x:v>696</x:v>
      </x:c>
      <x:c r="B697" s="26" t="n">
        <x:v>44934.81164351852</x:v>
      </x:c>
      <x:c r="C697" s="27" t="n">
        <x:f>INT(B697)</x:f>
        <x:v>44934</x:v>
      </x:c>
      <x:c r="D697" s="28" t="n">
        <x:f>MOD(B697,1)</x:f>
        <x:v>0.8116435185220325</x:v>
      </x:c>
      <x:c r="E697" s="29" t="n">
        <x:f>YEAR(B697)</x:f>
        <x:v>2023</x:v>
      </x:c>
      <x:c r="F697" s="29" t="n">
        <x:f>MONTH(B697)</x:f>
        <x:v>1</x:v>
      </x:c>
      <x:c r="G697" s="30" t="n">
        <x:v>-33.04</x:v>
      </x:c>
      <x:c r="H697" s="30" t="n">
        <x:v>-71.35</x:v>
      </x:c>
      <x:c r="I697" s="29" t="n">
        <x:v>59</x:v>
      </x:c>
      <x:c r="J697" s="31" t="n">
        <x:v>4.2</x:v>
      </x:c>
      <x:c r="K697" s="25" t="str">
        <x:f>IF(J697&gt;=7,"Muy fuerte (&gt;=7)",IF(J697&gt;=6,"Fuerte (6-6.9)",IF(J697&gt;=5,"Moderado alto (5-5.9)",IF(J697&gt;=4,"Moderado (4-4.9)","Menor a 4"))))</x:f>
        <x:v>Moderado (4-4.9)</x:v>
      </x:c>
      <x:c r="L697" s="25" t="str">
        <x:f>IF(I697&lt;70,"Superficial (&lt;70 km)",IF(I697&lt;=300,"Intermedio (70-300 km)","Profundo (&gt;300 km)"))</x:f>
        <x:v>Superficial (&lt;70 km)</x:v>
      </x:c>
      <x:c r="M697" s="25" t="str">
        <x:f>IF(J697&gt;=5,"Sí","No")</x:f>
        <x:v>No</x:v>
      </x:c>
      <x:c r="N697" s="25" t="str">
        <x:f>IF(J697&gt;=6,"Sí","No")</x:f>
        <x:v>No</x:v>
      </x:c>
      <x:c r="O697" s="25" t="str">
        <x:v>Pendiente: asignar con R/sf</x:v>
      </x:c>
    </x:row>
    <x:row r="698">
      <x:c r="A698" s="25" t="n">
        <x:v>697</x:v>
      </x:c>
      <x:c r="B698" s="26" t="n">
        <x:v>43624.57232638889</x:v>
      </x:c>
      <x:c r="C698" s="27" t="n">
        <x:f>INT(B698)</x:f>
        <x:v>43624</x:v>
      </x:c>
      <x:c r="D698" s="28" t="n">
        <x:f>MOD(B698,1)</x:f>
        <x:v>0.5723263888867223</x:v>
      </x:c>
      <x:c r="E698" s="29" t="n">
        <x:f>YEAR(B698)</x:f>
        <x:v>2019</x:v>
      </x:c>
      <x:c r="F698" s="29" t="n">
        <x:f>MONTH(B698)</x:f>
        <x:v>6</x:v>
      </x:c>
      <x:c r="G698" s="30" t="n">
        <x:v>-39.37</x:v>
      </x:c>
      <x:c r="H698" s="30" t="n">
        <x:v>-72.39</x:v>
      </x:c>
      <x:c r="I698" s="29" t="n">
        <x:v>84</x:v>
      </x:c>
      <x:c r="J698" s="31" t="n">
        <x:v>4.4</x:v>
      </x:c>
      <x:c r="K698" s="25" t="str">
        <x:f>IF(J698&gt;=7,"Muy fuerte (&gt;=7)",IF(J698&gt;=6,"Fuerte (6-6.9)",IF(J698&gt;=5,"Moderado alto (5-5.9)",IF(J698&gt;=4,"Moderado (4-4.9)","Menor a 4"))))</x:f>
        <x:v>Moderado (4-4.9)</x:v>
      </x:c>
      <x:c r="L698" s="25" t="str">
        <x:f>IF(I698&lt;70,"Superficial (&lt;70 km)",IF(I698&lt;=300,"Intermedio (70-300 km)","Profundo (&gt;300 km)"))</x:f>
        <x:v>Intermedio (70-300 km)</x:v>
      </x:c>
      <x:c r="M698" s="25" t="str">
        <x:f>IF(J698&gt;=5,"Sí","No")</x:f>
        <x:v>No</x:v>
      </x:c>
      <x:c r="N698" s="25" t="str">
        <x:f>IF(J698&gt;=6,"Sí","No")</x:f>
        <x:v>No</x:v>
      </x:c>
      <x:c r="O698" s="25" t="str">
        <x:v>Pendiente: asignar con R/sf</x:v>
      </x:c>
    </x:row>
    <x:row r="699">
      <x:c r="A699" s="25" t="n">
        <x:v>698</x:v>
      </x:c>
      <x:c r="B699" s="26" t="n">
        <x:v>43846.55065972222</x:v>
      </x:c>
      <x:c r="C699" s="27" t="n">
        <x:f>INT(B699)</x:f>
        <x:v>43846</x:v>
      </x:c>
      <x:c r="D699" s="28" t="n">
        <x:f>MOD(B699,1)</x:f>
        <x:v>0.5506597222192795</x:v>
      </x:c>
      <x:c r="E699" s="29" t="n">
        <x:f>YEAR(B699)</x:f>
        <x:v>2020</x:v>
      </x:c>
      <x:c r="F699" s="29" t="n">
        <x:f>MONTH(B699)</x:f>
        <x:v>1</x:v>
      </x:c>
      <x:c r="G699" s="30" t="n">
        <x:v>-19.89</x:v>
      </x:c>
      <x:c r="H699" s="30" t="n">
        <x:v>-69.24</x:v>
      </x:c>
      <x:c r="I699" s="29" t="n">
        <x:v>96</x:v>
      </x:c>
      <x:c r="J699" s="31" t="n">
        <x:v>4.8</x:v>
      </x:c>
      <x:c r="K699" s="25" t="str">
        <x:f>IF(J699&gt;=7,"Muy fuerte (&gt;=7)",IF(J699&gt;=6,"Fuerte (6-6.9)",IF(J699&gt;=5,"Moderado alto (5-5.9)",IF(J699&gt;=4,"Moderado (4-4.9)","Menor a 4"))))</x:f>
        <x:v>Moderado (4-4.9)</x:v>
      </x:c>
      <x:c r="L699" s="25" t="str">
        <x:f>IF(I699&lt;70,"Superficial (&lt;70 km)",IF(I699&lt;=300,"Intermedio (70-300 km)","Profundo (&gt;300 km)"))</x:f>
        <x:v>Intermedio (70-300 km)</x:v>
      </x:c>
      <x:c r="M699" s="25" t="str">
        <x:f>IF(J699&gt;=5,"Sí","No")</x:f>
        <x:v>No</x:v>
      </x:c>
      <x:c r="N699" s="25" t="str">
        <x:f>IF(J699&gt;=6,"Sí","No")</x:f>
        <x:v>No</x:v>
      </x:c>
      <x:c r="O699" s="25" t="str">
        <x:v>Pendiente: asignar con R/sf</x:v>
      </x:c>
    </x:row>
    <x:row r="700">
      <x:c r="A700" s="25" t="n">
        <x:v>699</x:v>
      </x:c>
      <x:c r="B700" s="26" t="n">
        <x:v>43842.47256944444</x:v>
      </x:c>
      <x:c r="C700" s="27" t="n">
        <x:f>INT(B700)</x:f>
        <x:v>43842</x:v>
      </x:c>
      <x:c r="D700" s="28" t="n">
        <x:f>MOD(B700,1)</x:f>
        <x:v>0.4725694444423425</x:v>
      </x:c>
      <x:c r="E700" s="29" t="n">
        <x:f>YEAR(B700)</x:f>
        <x:v>2020</x:v>
      </x:c>
      <x:c r="F700" s="29" t="n">
        <x:f>MONTH(B700)</x:f>
        <x:v>1</x:v>
      </x:c>
      <x:c r="G700" s="30" t="n">
        <x:v>-20.86</x:v>
      </x:c>
      <x:c r="H700" s="30" t="n">
        <x:v>-70.17</x:v>
      </x:c>
      <x:c r="I700" s="29" t="n">
        <x:v>53</x:v>
      </x:c>
      <x:c r="J700" s="31" t="n">
        <x:v>4.9</x:v>
      </x:c>
      <x:c r="K700" s="25" t="str">
        <x:f>IF(J700&gt;=7,"Muy fuerte (&gt;=7)",IF(J700&gt;=6,"Fuerte (6-6.9)",IF(J700&gt;=5,"Moderado alto (5-5.9)",IF(J700&gt;=4,"Moderado (4-4.9)","Menor a 4"))))</x:f>
        <x:v>Moderado (4-4.9)</x:v>
      </x:c>
      <x:c r="L700" s="25" t="str">
        <x:f>IF(I700&lt;70,"Superficial (&lt;70 km)",IF(I700&lt;=300,"Intermedio (70-300 km)","Profundo (&gt;300 km)"))</x:f>
        <x:v>Superficial (&lt;70 km)</x:v>
      </x:c>
      <x:c r="M700" s="25" t="str">
        <x:f>IF(J700&gt;=5,"Sí","No")</x:f>
        <x:v>No</x:v>
      </x:c>
      <x:c r="N700" s="25" t="str">
        <x:f>IF(J700&gt;=6,"Sí","No")</x:f>
        <x:v>No</x:v>
      </x:c>
      <x:c r="O700" s="25" t="str">
        <x:v>Pendiente: asignar con R/sf</x:v>
      </x:c>
    </x:row>
    <x:row r="701">
      <x:c r="A701" s="25" t="n">
        <x:v>700</x:v>
      </x:c>
      <x:c r="B701" s="26" t="n">
        <x:v>43843.34211805555</x:v>
      </x:c>
      <x:c r="C701" s="27" t="n">
        <x:f>INT(B701)</x:f>
        <x:v>43843</x:v>
      </x:c>
      <x:c r="D701" s="28" t="n">
        <x:f>MOD(B701,1)</x:f>
        <x:v>0.3421180555524188</x:v>
      </x:c>
      <x:c r="E701" s="29" t="n">
        <x:f>YEAR(B701)</x:f>
        <x:v>2020</x:v>
      </x:c>
      <x:c r="F701" s="29" t="n">
        <x:f>MONTH(B701)</x:f>
        <x:v>1</x:v>
      </x:c>
      <x:c r="G701" s="30" t="n">
        <x:v>-26.24</x:v>
      </x:c>
      <x:c r="H701" s="30" t="n">
        <x:v>-70.61</x:v>
      </x:c>
      <x:c r="I701" s="29" t="n">
        <x:v>56</x:v>
      </x:c>
      <x:c r="J701" s="31" t="n">
        <x:v>5</x:v>
      </x:c>
      <x:c r="K701" s="25" t="str">
        <x:f>IF(J701&gt;=7,"Muy fuerte (&gt;=7)",IF(J701&gt;=6,"Fuerte (6-6.9)",IF(J701&gt;=5,"Moderado alto (5-5.9)",IF(J701&gt;=4,"Moderado (4-4.9)","Menor a 4"))))</x:f>
        <x:v>Moderado alto (5-5.9)</x:v>
      </x:c>
      <x:c r="L701" s="25" t="str">
        <x:f>IF(I701&lt;70,"Superficial (&lt;70 km)",IF(I701&lt;=300,"Intermedio (70-300 km)","Profundo (&gt;300 km)"))</x:f>
        <x:v>Superficial (&lt;70 km)</x:v>
      </x:c>
      <x:c r="M701" s="25" t="str">
        <x:f>IF(J701&gt;=5,"Sí","No")</x:f>
        <x:v>Sí</x:v>
      </x:c>
      <x:c r="N701" s="25" t="str">
        <x:f>IF(J701&gt;=6,"Sí","No")</x:f>
        <x:v>No</x:v>
      </x:c>
      <x:c r="O701" s="25" t="str">
        <x:v>Pendiente: asignar con R/sf</x:v>
      </x:c>
    </x:row>
    <x:row r="702">
      <x:c r="A702" s="25" t="n">
        <x:v>701</x:v>
      </x:c>
      <x:c r="B702" s="26" t="n">
        <x:v>43838.36650462963</x:v>
      </x:c>
      <x:c r="C702" s="27" t="n">
        <x:f>INT(B702)</x:f>
        <x:v>43838</x:v>
      </x:c>
      <x:c r="D702" s="28" t="n">
        <x:f>MOD(B702,1)</x:f>
        <x:v>0.3665046296300716</x:v>
      </x:c>
      <x:c r="E702" s="29" t="n">
        <x:f>YEAR(B702)</x:f>
        <x:v>2020</x:v>
      </x:c>
      <x:c r="F702" s="29" t="n">
        <x:f>MONTH(B702)</x:f>
        <x:v>1</x:v>
      </x:c>
      <x:c r="G702" s="30" t="n">
        <x:v>-20.43</x:v>
      </x:c>
      <x:c r="H702" s="30" t="n">
        <x:v>-68.93</x:v>
      </x:c>
      <x:c r="I702" s="29" t="n">
        <x:v>116</x:v>
      </x:c>
      <x:c r="J702" s="31" t="n">
        <x:v>5.2</x:v>
      </x:c>
      <x:c r="K702" s="25" t="str">
        <x:f>IF(J702&gt;=7,"Muy fuerte (&gt;=7)",IF(J702&gt;=6,"Fuerte (6-6.9)",IF(J702&gt;=5,"Moderado alto (5-5.9)",IF(J702&gt;=4,"Moderado (4-4.9)","Menor a 4"))))</x:f>
        <x:v>Moderado alto (5-5.9)</x:v>
      </x:c>
      <x:c r="L702" s="25" t="str">
        <x:f>IF(I702&lt;70,"Superficial (&lt;70 km)",IF(I702&lt;=300,"Intermedio (70-300 km)","Profundo (&gt;300 km)"))</x:f>
        <x:v>Intermedio (70-300 km)</x:v>
      </x:c>
      <x:c r="M702" s="25" t="str">
        <x:f>IF(J702&gt;=5,"Sí","No")</x:f>
        <x:v>Sí</x:v>
      </x:c>
      <x:c r="N702" s="25" t="str">
        <x:f>IF(J702&gt;=6,"Sí","No")</x:f>
        <x:v>No</x:v>
      </x:c>
      <x:c r="O702" s="25" t="str">
        <x:v>Pendiente: asignar con R/sf</x:v>
      </x:c>
    </x:row>
    <x:row r="703">
      <x:c r="A703" s="25" t="n">
        <x:v>702</x:v>
      </x:c>
      <x:c r="B703" s="26" t="n">
        <x:v>43640.19633101852</x:v>
      </x:c>
      <x:c r="C703" s="27" t="n">
        <x:f>INT(B703)</x:f>
        <x:v>43640</x:v>
      </x:c>
      <x:c r="D703" s="28" t="n">
        <x:f>MOD(B703,1)</x:f>
        <x:v>0.1963310185165028</x:v>
      </x:c>
      <x:c r="E703" s="29" t="n">
        <x:f>YEAR(B703)</x:f>
        <x:v>2019</x:v>
      </x:c>
      <x:c r="F703" s="29" t="n">
        <x:f>MONTH(B703)</x:f>
        <x:v>6</x:v>
      </x:c>
      <x:c r="G703" s="30" t="n">
        <x:v>-38.67</x:v>
      </x:c>
      <x:c r="H703" s="30" t="n">
        <x:v>-73.18</x:v>
      </x:c>
      <x:c r="I703" s="29" t="n">
        <x:v>35</x:v>
      </x:c>
      <x:c r="J703" s="31" t="n">
        <x:v>4.4</x:v>
      </x:c>
      <x:c r="K703" s="25" t="str">
        <x:f>IF(J703&gt;=7,"Muy fuerte (&gt;=7)",IF(J703&gt;=6,"Fuerte (6-6.9)",IF(J703&gt;=5,"Moderado alto (5-5.9)",IF(J703&gt;=4,"Moderado (4-4.9)","Menor a 4"))))</x:f>
        <x:v>Moderado (4-4.9)</x:v>
      </x:c>
      <x:c r="L703" s="25" t="str">
        <x:f>IF(I703&lt;70,"Superficial (&lt;70 km)",IF(I703&lt;=300,"Intermedio (70-300 km)","Profundo (&gt;300 km)"))</x:f>
        <x:v>Superficial (&lt;70 km)</x:v>
      </x:c>
      <x:c r="M703" s="25" t="str">
        <x:f>IF(J703&gt;=5,"Sí","No")</x:f>
        <x:v>No</x:v>
      </x:c>
      <x:c r="N703" s="25" t="str">
        <x:f>IF(J703&gt;=6,"Sí","No")</x:f>
        <x:v>No</x:v>
      </x:c>
      <x:c r="O703" s="25" t="str">
        <x:v>Pendiente: asignar con R/sf</x:v>
      </x:c>
    </x:row>
    <x:row r="704">
      <x:c r="A704" s="25" t="n">
        <x:v>703</x:v>
      </x:c>
      <x:c r="B704" s="26" t="n">
        <x:v>43799.313101851854</x:v>
      </x:c>
      <x:c r="C704" s="27" t="n">
        <x:f>INT(B704)</x:f>
        <x:v>43799</x:v>
      </x:c>
      <x:c r="D704" s="28" t="n">
        <x:f>MOD(B704,1)</x:f>
        <x:v>0.31310185185429873</x:v>
      </x:c>
      <x:c r="E704" s="29" t="n">
        <x:f>YEAR(B704)</x:f>
        <x:v>2019</x:v>
      </x:c>
      <x:c r="F704" s="29" t="n">
        <x:f>MONTH(B704)</x:f>
        <x:v>11</x:v>
      </x:c>
      <x:c r="G704" s="30" t="n">
        <x:v>-32.73</x:v>
      </x:c>
      <x:c r="H704" s="30" t="n">
        <x:v>-71.77</x:v>
      </x:c>
      <x:c r="I704" s="29" t="n">
        <x:v>29</x:v>
      </x:c>
      <x:c r="J704" s="31" t="n">
        <x:v>4.1</x:v>
      </x:c>
      <x:c r="K704" s="25" t="str">
        <x:f>IF(J704&gt;=7,"Muy fuerte (&gt;=7)",IF(J704&gt;=6,"Fuerte (6-6.9)",IF(J704&gt;=5,"Moderado alto (5-5.9)",IF(J704&gt;=4,"Moderado (4-4.9)","Menor a 4"))))</x:f>
        <x:v>Moderado (4-4.9)</x:v>
      </x:c>
      <x:c r="L704" s="25" t="str">
        <x:f>IF(I704&lt;70,"Superficial (&lt;70 km)",IF(I704&lt;=300,"Intermedio (70-300 km)","Profundo (&gt;300 km)"))</x:f>
        <x:v>Superficial (&lt;70 km)</x:v>
      </x:c>
      <x:c r="M704" s="25" t="str">
        <x:f>IF(J704&gt;=5,"Sí","No")</x:f>
        <x:v>No</x:v>
      </x:c>
      <x:c r="N704" s="25" t="str">
        <x:f>IF(J704&gt;=6,"Sí","No")</x:f>
        <x:v>No</x:v>
      </x:c>
      <x:c r="O704" s="25" t="str">
        <x:v>Pendiente: asignar con R/sf</x:v>
      </x:c>
    </x:row>
    <x:row r="705">
      <x:c r="A705" s="25" t="n">
        <x:v>704</x:v>
      </x:c>
      <x:c r="B705" s="26" t="n">
        <x:v>43879.90393518518</x:v>
      </x:c>
      <x:c r="C705" s="27" t="n">
        <x:f>INT(B705)</x:f>
        <x:v>43879</x:v>
      </x:c>
      <x:c r="D705" s="28" t="n">
        <x:f>MOD(B705,1)</x:f>
        <x:v>0.9039351851824904</x:v>
      </x:c>
      <x:c r="E705" s="29" t="n">
        <x:f>YEAR(B705)</x:f>
        <x:v>2020</x:v>
      </x:c>
      <x:c r="F705" s="29" t="n">
        <x:f>MONTH(B705)</x:f>
        <x:v>2</x:v>
      </x:c>
      <x:c r="G705" s="30" t="n">
        <x:v>-20.75</x:v>
      </x:c>
      <x:c r="H705" s="30" t="n">
        <x:v>-69.32</x:v>
      </x:c>
      <x:c r="I705" s="29" t="n">
        <x:v>87</x:v>
      </x:c>
      <x:c r="J705" s="31" t="n">
        <x:v>4.7</x:v>
      </x:c>
      <x:c r="K705" s="25" t="str">
        <x:f>IF(J705&gt;=7,"Muy fuerte (&gt;=7)",IF(J705&gt;=6,"Fuerte (6-6.9)",IF(J705&gt;=5,"Moderado alto (5-5.9)",IF(J705&gt;=4,"Moderado (4-4.9)","Menor a 4"))))</x:f>
        <x:v>Moderado (4-4.9)</x:v>
      </x:c>
      <x:c r="L705" s="25" t="str">
        <x:f>IF(I705&lt;70,"Superficial (&lt;70 km)",IF(I705&lt;=300,"Intermedio (70-300 km)","Profundo (&gt;300 km)"))</x:f>
        <x:v>Intermedio (70-300 km)</x:v>
      </x:c>
      <x:c r="M705" s="25" t="str">
        <x:f>IF(J705&gt;=5,"Sí","No")</x:f>
        <x:v>No</x:v>
      </x:c>
      <x:c r="N705" s="25" t="str">
        <x:f>IF(J705&gt;=6,"Sí","No")</x:f>
        <x:v>No</x:v>
      </x:c>
      <x:c r="O705" s="25" t="str">
        <x:v>Pendiente: asignar con R/sf</x:v>
      </x:c>
    </x:row>
    <x:row r="706">
      <x:c r="A706" s="25" t="n">
        <x:v>705</x:v>
      </x:c>
      <x:c r="B706" s="26" t="n">
        <x:v>43886.034525462965</x:v>
      </x:c>
      <x:c r="C706" s="27" t="n">
        <x:f>INT(B706)</x:f>
        <x:v>43886</x:v>
      </x:c>
      <x:c r="D706" s="28" t="n">
        <x:f>MOD(B706,1)</x:f>
        <x:v>0.034525462964666076</x:v>
      </x:c>
      <x:c r="E706" s="29" t="n">
        <x:f>YEAR(B706)</x:f>
        <x:v>2020</x:v>
      </x:c>
      <x:c r="F706" s="29" t="n">
        <x:f>MONTH(B706)</x:f>
        <x:v>2</x:v>
      </x:c>
      <x:c r="G706" s="30" t="n">
        <x:v>-22.96</x:v>
      </x:c>
      <x:c r="H706" s="30" t="n">
        <x:v>-69.44</x:v>
      </x:c>
      <x:c r="I706" s="29" t="n">
        <x:v>85</x:v>
      </x:c>
      <x:c r="J706" s="31" t="n">
        <x:v>4.6</x:v>
      </x:c>
      <x:c r="K706" s="25" t="str">
        <x:f>IF(J706&gt;=7,"Muy fuerte (&gt;=7)",IF(J706&gt;=6,"Fuerte (6-6.9)",IF(J706&gt;=5,"Moderado alto (5-5.9)",IF(J706&gt;=4,"Moderado (4-4.9)","Menor a 4"))))</x:f>
        <x:v>Moderado (4-4.9)</x:v>
      </x:c>
      <x:c r="L706" s="25" t="str">
        <x:f>IF(I706&lt;70,"Superficial (&lt;70 km)",IF(I706&lt;=300,"Intermedio (70-300 km)","Profundo (&gt;300 km)"))</x:f>
        <x:v>Intermedio (70-300 km)</x:v>
      </x:c>
      <x:c r="M706" s="25" t="str">
        <x:f>IF(J706&gt;=5,"Sí","No")</x:f>
        <x:v>No</x:v>
      </x:c>
      <x:c r="N706" s="25" t="str">
        <x:f>IF(J706&gt;=6,"Sí","No")</x:f>
        <x:v>No</x:v>
      </x:c>
      <x:c r="O706" s="25" t="str">
        <x:v>Pendiente: asignar con R/sf</x:v>
      </x:c>
    </x:row>
    <x:row r="707">
      <x:c r="A707" s="25" t="n">
        <x:v>706</x:v>
      </x:c>
      <x:c r="B707" s="26" t="n">
        <x:v>43557.55391203704</x:v>
      </x:c>
      <x:c r="C707" s="27" t="n">
        <x:f>INT(B707)</x:f>
        <x:v>43557</x:v>
      </x:c>
      <x:c r="D707" s="28" t="n">
        <x:f>MOD(B707,1)</x:f>
        <x:v>0.5539120370376622</x:v>
      </x:c>
      <x:c r="E707" s="29" t="n">
        <x:f>YEAR(B707)</x:f>
        <x:v>2019</x:v>
      </x:c>
      <x:c r="F707" s="29" t="n">
        <x:f>MONTH(B707)</x:f>
        <x:v>4</x:v>
      </x:c>
      <x:c r="G707" s="30" t="n">
        <x:v>-51.22</x:v>
      </x:c>
      <x:c r="H707" s="30" t="n">
        <x:v>-72.2</x:v>
      </x:c>
      <x:c r="I707" s="29" t="n">
        <x:v>3</x:v>
      </x:c>
      <x:c r="J707" s="31" t="n">
        <x:v>4.6</x:v>
      </x:c>
      <x:c r="K707" s="25" t="str">
        <x:f>IF(J707&gt;=7,"Muy fuerte (&gt;=7)",IF(J707&gt;=6,"Fuerte (6-6.9)",IF(J707&gt;=5,"Moderado alto (5-5.9)",IF(J707&gt;=4,"Moderado (4-4.9)","Menor a 4"))))</x:f>
        <x:v>Moderado (4-4.9)</x:v>
      </x:c>
      <x:c r="L707" s="25" t="str">
        <x:f>IF(I707&lt;70,"Superficial (&lt;70 km)",IF(I707&lt;=300,"Intermedio (70-300 km)","Profundo (&gt;300 km)"))</x:f>
        <x:v>Superficial (&lt;70 km)</x:v>
      </x:c>
      <x:c r="M707" s="25" t="str">
        <x:f>IF(J707&gt;=5,"Sí","No")</x:f>
        <x:v>No</x:v>
      </x:c>
      <x:c r="N707" s="25" t="str">
        <x:f>IF(J707&gt;=6,"Sí","No")</x:f>
        <x:v>No</x:v>
      </x:c>
      <x:c r="O707" s="25" t="str">
        <x:v>Pendiente: asignar con R/sf</x:v>
      </x:c>
    </x:row>
    <x:row r="708">
      <x:c r="A708" s="25" t="n">
        <x:v>707</x:v>
      </x:c>
      <x:c r="B708" s="26" t="n">
        <x:v>43874.71434027778</x:v>
      </x:c>
      <x:c r="C708" s="27" t="n">
        <x:f>INT(B708)</x:f>
        <x:v>43874</x:v>
      </x:c>
      <x:c r="D708" s="28" t="n">
        <x:f>MOD(B708,1)</x:f>
        <x:v>0.7143402777801384</x:v>
      </x:c>
      <x:c r="E708" s="29" t="n">
        <x:f>YEAR(B708)</x:f>
        <x:v>2020</x:v>
      </x:c>
      <x:c r="F708" s="29" t="n">
        <x:f>MONTH(B708)</x:f>
        <x:v>2</x:v>
      </x:c>
      <x:c r="G708" s="30" t="n">
        <x:v>-29.68</x:v>
      </x:c>
      <x:c r="H708" s="30" t="n">
        <x:v>-71.43</x:v>
      </x:c>
      <x:c r="I708" s="29" t="n">
        <x:v>67</x:v>
      </x:c>
      <x:c r="J708" s="31" t="n">
        <x:v>5</x:v>
      </x:c>
      <x:c r="K708" s="25" t="str">
        <x:f>IF(J708&gt;=7,"Muy fuerte (&gt;=7)",IF(J708&gt;=6,"Fuerte (6-6.9)",IF(J708&gt;=5,"Moderado alto (5-5.9)",IF(J708&gt;=4,"Moderado (4-4.9)","Menor a 4"))))</x:f>
        <x:v>Moderado alto (5-5.9)</x:v>
      </x:c>
      <x:c r="L708" s="25" t="str">
        <x:f>IF(I708&lt;70,"Superficial (&lt;70 km)",IF(I708&lt;=300,"Intermedio (70-300 km)","Profundo (&gt;300 km)"))</x:f>
        <x:v>Superficial (&lt;70 km)</x:v>
      </x:c>
      <x:c r="M708" s="25" t="str">
        <x:f>IF(J708&gt;=5,"Sí","No")</x:f>
        <x:v>Sí</x:v>
      </x:c>
      <x:c r="N708" s="25" t="str">
        <x:f>IF(J708&gt;=6,"Sí","No")</x:f>
        <x:v>No</x:v>
      </x:c>
      <x:c r="O708" s="25" t="str">
        <x:v>Pendiente: asignar con R/sf</x:v>
      </x:c>
    </x:row>
    <x:row r="709">
      <x:c r="A709" s="25" t="n">
        <x:v>708</x:v>
      </x:c>
      <x:c r="B709" s="26" t="n">
        <x:v>42767.36739583333</x:v>
      </x:c>
      <x:c r="C709" s="27" t="n">
        <x:f>INT(B709)</x:f>
        <x:v>42767</x:v>
      </x:c>
      <x:c r="D709" s="28" t="n">
        <x:f>MOD(B709,1)</x:f>
        <x:v>0.36739583333110204</x:v>
      </x:c>
      <x:c r="E709" s="29" t="n">
        <x:f>YEAR(B709)</x:f>
        <x:v>2017</x:v>
      </x:c>
      <x:c r="F709" s="29" t="n">
        <x:f>MONTH(B709)</x:f>
        <x:v>2</x:v>
      </x:c>
      <x:c r="G709" s="30" t="n">
        <x:v>-20.43</x:v>
      </x:c>
      <x:c r="H709" s="30" t="n">
        <x:v>-69.14</x:v>
      </x:c>
      <x:c r="I709" s="29" t="n">
        <x:v>96</x:v>
      </x:c>
      <x:c r="J709" s="31" t="n">
        <x:v>4</x:v>
      </x:c>
      <x:c r="K709" s="25" t="str">
        <x:f>IF(J709&gt;=7,"Muy fuerte (&gt;=7)",IF(J709&gt;=6,"Fuerte (6-6.9)",IF(J709&gt;=5,"Moderado alto (5-5.9)",IF(J709&gt;=4,"Moderado (4-4.9)","Menor a 4"))))</x:f>
        <x:v>Moderado (4-4.9)</x:v>
      </x:c>
      <x:c r="L709" s="25" t="str">
        <x:f>IF(I709&lt;70,"Superficial (&lt;70 km)",IF(I709&lt;=300,"Intermedio (70-300 km)","Profundo (&gt;300 km)"))</x:f>
        <x:v>Intermedio (70-300 km)</x:v>
      </x:c>
      <x:c r="M709" s="25" t="str">
        <x:f>IF(J709&gt;=5,"Sí","No")</x:f>
        <x:v>No</x:v>
      </x:c>
      <x:c r="N709" s="25" t="str">
        <x:f>IF(J709&gt;=6,"Sí","No")</x:f>
        <x:v>No</x:v>
      </x:c>
      <x:c r="O709" s="25" t="str">
        <x:v>Pendiente: asignar con R/sf</x:v>
      </x:c>
    </x:row>
    <x:row r="710">
      <x:c r="A710" s="25" t="n">
        <x:v>709</x:v>
      </x:c>
      <x:c r="B710" s="26" t="n">
        <x:v>42767.130428240744</x:v>
      </x:c>
      <x:c r="C710" s="27" t="n">
        <x:f>INT(B710)</x:f>
        <x:v>42767</x:v>
      </x:c>
      <x:c r="D710" s="28" t="n">
        <x:f>MOD(B710,1)</x:f>
        <x:v>0.13042824074364034</x:v>
      </x:c>
      <x:c r="E710" s="29" t="n">
        <x:f>YEAR(B710)</x:f>
        <x:v>2017</x:v>
      </x:c>
      <x:c r="F710" s="29" t="n">
        <x:f>MONTH(B710)</x:f>
        <x:v>2</x:v>
      </x:c>
      <x:c r="G710" s="30" t="n">
        <x:v>-30.11</x:v>
      </x:c>
      <x:c r="H710" s="30" t="n">
        <x:v>-71.27</x:v>
      </x:c>
      <x:c r="I710" s="29" t="n">
        <x:v>86</x:v>
      </x:c>
      <x:c r="J710" s="31" t="n">
        <x:v>4</x:v>
      </x:c>
      <x:c r="K710" s="25" t="str">
        <x:f>IF(J710&gt;=7,"Muy fuerte (&gt;=7)",IF(J710&gt;=6,"Fuerte (6-6.9)",IF(J710&gt;=5,"Moderado alto (5-5.9)",IF(J710&gt;=4,"Moderado (4-4.9)","Menor a 4"))))</x:f>
        <x:v>Moderado (4-4.9)</x:v>
      </x:c>
      <x:c r="L710" s="25" t="str">
        <x:f>IF(I710&lt;70,"Superficial (&lt;70 km)",IF(I710&lt;=300,"Intermedio (70-300 km)","Profundo (&gt;300 km)"))</x:f>
        <x:v>Intermedio (70-300 km)</x:v>
      </x:c>
      <x:c r="M710" s="25" t="str">
        <x:f>IF(J710&gt;=5,"Sí","No")</x:f>
        <x:v>No</x:v>
      </x:c>
      <x:c r="N710" s="25" t="str">
        <x:f>IF(J710&gt;=6,"Sí","No")</x:f>
        <x:v>No</x:v>
      </x:c>
      <x:c r="O710" s="25" t="str">
        <x:v>Pendiente: asignar con R/sf</x:v>
      </x:c>
    </x:row>
    <x:row r="711">
      <x:c r="A711" s="25" t="n">
        <x:v>710</x:v>
      </x:c>
      <x:c r="B711" s="26" t="n">
        <x:v>43798.879953703705</x:v>
      </x:c>
      <x:c r="C711" s="27" t="n">
        <x:f>INT(B711)</x:f>
        <x:v>43798</x:v>
      </x:c>
      <x:c r="D711" s="28" t="n">
        <x:f>MOD(B711,1)</x:f>
        <x:v>0.879953703704814</x:v>
      </x:c>
      <x:c r="E711" s="29" t="n">
        <x:f>YEAR(B711)</x:f>
        <x:v>2019</x:v>
      </x:c>
      <x:c r="F711" s="29" t="n">
        <x:f>MONTH(B711)</x:f>
        <x:v>11</x:v>
      </x:c>
      <x:c r="G711" s="30" t="n">
        <x:v>-32.73</x:v>
      </x:c>
      <x:c r="H711" s="30" t="n">
        <x:v>-71.77</x:v>
      </x:c>
      <x:c r="I711" s="29" t="n">
        <x:v>37</x:v>
      </x:c>
      <x:c r="J711" s="31" t="n">
        <x:v>4.7</x:v>
      </x:c>
      <x:c r="K711" s="25" t="str">
        <x:f>IF(J711&gt;=7,"Muy fuerte (&gt;=7)",IF(J711&gt;=6,"Fuerte (6-6.9)",IF(J711&gt;=5,"Moderado alto (5-5.9)",IF(J711&gt;=4,"Moderado (4-4.9)","Menor a 4"))))</x:f>
        <x:v>Moderado (4-4.9)</x:v>
      </x:c>
      <x:c r="L711" s="25" t="str">
        <x:f>IF(I711&lt;70,"Superficial (&lt;70 km)",IF(I711&lt;=300,"Intermedio (70-300 km)","Profundo (&gt;300 km)"))</x:f>
        <x:v>Superficial (&lt;70 km)</x:v>
      </x:c>
      <x:c r="M711" s="25" t="str">
        <x:f>IF(J711&gt;=5,"Sí","No")</x:f>
        <x:v>No</x:v>
      </x:c>
      <x:c r="N711" s="25" t="str">
        <x:f>IF(J711&gt;=6,"Sí","No")</x:f>
        <x:v>No</x:v>
      </x:c>
      <x:c r="O711" s="25" t="str">
        <x:v>Pendiente: asignar con R/sf</x:v>
      </x:c>
    </x:row>
    <x:row r="712">
      <x:c r="A712" s="25" t="n">
        <x:v>711</x:v>
      </x:c>
      <x:c r="B712" s="26" t="n">
        <x:v>43884.050405092596</x:v>
      </x:c>
      <x:c r="C712" s="27" t="n">
        <x:f>INT(B712)</x:f>
        <x:v>43884</x:v>
      </x:c>
      <x:c r="D712" s="28" t="n">
        <x:f>MOD(B712,1)</x:f>
        <x:v>0.05040509259561077</x:v>
      </x:c>
      <x:c r="E712" s="29" t="n">
        <x:f>YEAR(B712)</x:f>
        <x:v>2020</x:v>
      </x:c>
      <x:c r="F712" s="29" t="n">
        <x:f>MONTH(B712)</x:f>
        <x:v>2</x:v>
      </x:c>
      <x:c r="G712" s="30" t="n">
        <x:v>-30.44</x:v>
      </x:c>
      <x:c r="H712" s="30" t="n">
        <x:v>-71.63</x:v>
      </x:c>
      <x:c r="I712" s="29" t="n">
        <x:v>36</x:v>
      </x:c>
      <x:c r="J712" s="31" t="n">
        <x:v>5</x:v>
      </x:c>
      <x:c r="K712" s="25" t="str">
        <x:f>IF(J712&gt;=7,"Muy fuerte (&gt;=7)",IF(J712&gt;=6,"Fuerte (6-6.9)",IF(J712&gt;=5,"Moderado alto (5-5.9)",IF(J712&gt;=4,"Moderado (4-4.9)","Menor a 4"))))</x:f>
        <x:v>Moderado alto (5-5.9)</x:v>
      </x:c>
      <x:c r="L712" s="25" t="str">
        <x:f>IF(I712&lt;70,"Superficial (&lt;70 km)",IF(I712&lt;=300,"Intermedio (70-300 km)","Profundo (&gt;300 km)"))</x:f>
        <x:v>Superficial (&lt;70 km)</x:v>
      </x:c>
      <x:c r="M712" s="25" t="str">
        <x:f>IF(J712&gt;=5,"Sí","No")</x:f>
        <x:v>Sí</x:v>
      </x:c>
      <x:c r="N712" s="25" t="str">
        <x:f>IF(J712&gt;=6,"Sí","No")</x:f>
        <x:v>No</x:v>
      </x:c>
      <x:c r="O712" s="25" t="str">
        <x:v>Pendiente: asignar con R/sf</x:v>
      </x:c>
    </x:row>
    <x:row r="713">
      <x:c r="A713" s="25" t="n">
        <x:v>712</x:v>
      </x:c>
      <x:c r="B713" s="26" t="n">
        <x:v>43558.07579861111</x:v>
      </x:c>
      <x:c r="C713" s="27" t="n">
        <x:f>INT(B713)</x:f>
        <x:v>43558</x:v>
      </x:c>
      <x:c r="D713" s="28" t="n">
        <x:f>MOD(B713,1)</x:f>
        <x:v>0.07579861111298669</x:v>
      </x:c>
      <x:c r="E713" s="29" t="n">
        <x:f>YEAR(B713)</x:f>
        <x:v>2019</x:v>
      </x:c>
      <x:c r="F713" s="29" t="n">
        <x:f>MONTH(B713)</x:f>
        <x:v>4</x:v>
      </x:c>
      <x:c r="G713" s="30" t="n">
        <x:v>-51.2</x:v>
      </x:c>
      <x:c r="H713" s="30" t="n">
        <x:v>-72.2</x:v>
      </x:c>
      <x:c r="I713" s="29" t="n">
        <x:v>10</x:v>
      </x:c>
      <x:c r="J713" s="31" t="n">
        <x:v>4</x:v>
      </x:c>
      <x:c r="K713" s="25" t="str">
        <x:f>IF(J713&gt;=7,"Muy fuerte (&gt;=7)",IF(J713&gt;=6,"Fuerte (6-6.9)",IF(J713&gt;=5,"Moderado alto (5-5.9)",IF(J713&gt;=4,"Moderado (4-4.9)","Menor a 4"))))</x:f>
        <x:v>Moderado (4-4.9)</x:v>
      </x:c>
      <x:c r="L713" s="25" t="str">
        <x:f>IF(I713&lt;70,"Superficial (&lt;70 km)",IF(I713&lt;=300,"Intermedio (70-300 km)","Profundo (&gt;300 km)"))</x:f>
        <x:v>Superficial (&lt;70 km)</x:v>
      </x:c>
      <x:c r="M713" s="25" t="str">
        <x:f>IF(J713&gt;=5,"Sí","No")</x:f>
        <x:v>No</x:v>
      </x:c>
      <x:c r="N713" s="25" t="str">
        <x:f>IF(J713&gt;=6,"Sí","No")</x:f>
        <x:v>No</x:v>
      </x:c>
      <x:c r="O713" s="25" t="str">
        <x:v>Pendiente: asignar con R/sf</x:v>
      </x:c>
    </x:row>
    <x:row r="714">
      <x:c r="A714" s="25" t="n">
        <x:v>713</x:v>
      </x:c>
      <x:c r="B714" s="26" t="n">
        <x:v>43888.067349537036</x:v>
      </x:c>
      <x:c r="C714" s="27" t="n">
        <x:f>INT(B714)</x:f>
        <x:v>43888</x:v>
      </x:c>
      <x:c r="D714" s="28" t="n">
        <x:f>MOD(B714,1)</x:f>
        <x:v>0.06734953703562496</x:v>
      </x:c>
      <x:c r="E714" s="29" t="n">
        <x:f>YEAR(B714)</x:f>
        <x:v>2020</x:v>
      </x:c>
      <x:c r="F714" s="29" t="n">
        <x:f>MONTH(B714)</x:f>
        <x:v>2</x:v>
      </x:c>
      <x:c r="G714" s="30" t="n">
        <x:v>-29.52</x:v>
      </x:c>
      <x:c r="H714" s="30" t="n">
        <x:v>-71.06</x:v>
      </x:c>
      <x:c r="I714" s="29" t="n">
        <x:v>74</x:v>
      </x:c>
      <x:c r="J714" s="31" t="n">
        <x:v>5</x:v>
      </x:c>
      <x:c r="K714" s="25" t="str">
        <x:f>IF(J714&gt;=7,"Muy fuerte (&gt;=7)",IF(J714&gt;=6,"Fuerte (6-6.9)",IF(J714&gt;=5,"Moderado alto (5-5.9)",IF(J714&gt;=4,"Moderado (4-4.9)","Menor a 4"))))</x:f>
        <x:v>Moderado alto (5-5.9)</x:v>
      </x:c>
      <x:c r="L714" s="25" t="str">
        <x:f>IF(I714&lt;70,"Superficial (&lt;70 km)",IF(I714&lt;=300,"Intermedio (70-300 km)","Profundo (&gt;300 km)"))</x:f>
        <x:v>Intermedio (70-300 km)</x:v>
      </x:c>
      <x:c r="M714" s="25" t="str">
        <x:f>IF(J714&gt;=5,"Sí","No")</x:f>
        <x:v>Sí</x:v>
      </x:c>
      <x:c r="N714" s="25" t="str">
        <x:f>IF(J714&gt;=6,"Sí","No")</x:f>
        <x:v>No</x:v>
      </x:c>
      <x:c r="O714" s="25" t="str">
        <x:v>Pendiente: asignar con R/sf</x:v>
      </x:c>
    </x:row>
    <x:row r="715">
      <x:c r="A715" s="25" t="n">
        <x:v>714</x:v>
      </x:c>
      <x:c r="B715" s="26" t="n">
        <x:v>43877.92065972222</x:v>
      </x:c>
      <x:c r="C715" s="27" t="n">
        <x:f>INT(B715)</x:f>
        <x:v>43877</x:v>
      </x:c>
      <x:c r="D715" s="28" t="n">
        <x:f>MOD(B715,1)</x:f>
        <x:v>0.9206597222218988</x:v>
      </x:c>
      <x:c r="E715" s="29" t="n">
        <x:f>YEAR(B715)</x:f>
        <x:v>2020</x:v>
      </x:c>
      <x:c r="F715" s="29" t="n">
        <x:f>MONTH(B715)</x:f>
        <x:v>2</x:v>
      </x:c>
      <x:c r="G715" s="30" t="n">
        <x:v>-21.91</x:v>
      </x:c>
      <x:c r="H715" s="30" t="n">
        <x:v>-68.73</x:v>
      </x:c>
      <x:c r="I715" s="29" t="n">
        <x:v>130</x:v>
      </x:c>
      <x:c r="J715" s="31" t="n">
        <x:v>5.4</x:v>
      </x:c>
      <x:c r="K715" s="25" t="str">
        <x:f>IF(J715&gt;=7,"Muy fuerte (&gt;=7)",IF(J715&gt;=6,"Fuerte (6-6.9)",IF(J715&gt;=5,"Moderado alto (5-5.9)",IF(J715&gt;=4,"Moderado (4-4.9)","Menor a 4"))))</x:f>
        <x:v>Moderado alto (5-5.9)</x:v>
      </x:c>
      <x:c r="L715" s="25" t="str">
        <x:f>IF(I715&lt;70,"Superficial (&lt;70 km)",IF(I715&lt;=300,"Intermedio (70-300 km)","Profundo (&gt;300 km)"))</x:f>
        <x:v>Intermedio (70-300 km)</x:v>
      </x:c>
      <x:c r="M715" s="25" t="str">
        <x:f>IF(J715&gt;=5,"Sí","No")</x:f>
        <x:v>Sí</x:v>
      </x:c>
      <x:c r="N715" s="25" t="str">
        <x:f>IF(J715&gt;=6,"Sí","No")</x:f>
        <x:v>No</x:v>
      </x:c>
      <x:c r="O715" s="25" t="str">
        <x:v>Pendiente: asignar con R/sf</x:v>
      </x:c>
    </x:row>
    <x:row r="716">
      <x:c r="A716" s="25" t="n">
        <x:v>715</x:v>
      </x:c>
      <x:c r="B716" s="26" t="n">
        <x:v>43869.26247685185</x:v>
      </x:c>
      <x:c r="C716" s="27" t="n">
        <x:f>INT(B716)</x:f>
        <x:v>43869</x:v>
      </x:c>
      <x:c r="D716" s="28" t="n">
        <x:f>MOD(B716,1)</x:f>
        <x:v>0.26247685185080627</x:v>
      </x:c>
      <x:c r="E716" s="29" t="n">
        <x:f>YEAR(B716)</x:f>
        <x:v>2020</x:v>
      </x:c>
      <x:c r="F716" s="29" t="n">
        <x:f>MONTH(B716)</x:f>
        <x:v>2</x:v>
      </x:c>
      <x:c r="G716" s="30" t="n">
        <x:v>-20.84</x:v>
      </x:c>
      <x:c r="H716" s="30" t="n">
        <x:v>-68.7</x:v>
      </x:c>
      <x:c r="I716" s="29" t="n">
        <x:v>110</x:v>
      </x:c>
      <x:c r="J716" s="31" t="n">
        <x:v>5.2</x:v>
      </x:c>
      <x:c r="K716" s="25" t="str">
        <x:f>IF(J716&gt;=7,"Muy fuerte (&gt;=7)",IF(J716&gt;=6,"Fuerte (6-6.9)",IF(J716&gt;=5,"Moderado alto (5-5.9)",IF(J716&gt;=4,"Moderado (4-4.9)","Menor a 4"))))</x:f>
        <x:v>Moderado alto (5-5.9)</x:v>
      </x:c>
      <x:c r="L716" s="25" t="str">
        <x:f>IF(I716&lt;70,"Superficial (&lt;70 km)",IF(I716&lt;=300,"Intermedio (70-300 km)","Profundo (&gt;300 km)"))</x:f>
        <x:v>Intermedio (70-300 km)</x:v>
      </x:c>
      <x:c r="M716" s="25" t="str">
        <x:f>IF(J716&gt;=5,"Sí","No")</x:f>
        <x:v>Sí</x:v>
      </x:c>
      <x:c r="N716" s="25" t="str">
        <x:f>IF(J716&gt;=6,"Sí","No")</x:f>
        <x:v>No</x:v>
      </x:c>
      <x:c r="O716" s="25" t="str">
        <x:v>Pendiente: asignar con R/sf</x:v>
      </x:c>
    </x:row>
    <x:row r="717">
      <x:c r="A717" s="25" t="n">
        <x:v>716</x:v>
      </x:c>
      <x:c r="B717" s="26" t="n">
        <x:v>43874.93300925926</x:v>
      </x:c>
      <x:c r="C717" s="27" t="n">
        <x:f>INT(B717)</x:f>
        <x:v>43874</x:v>
      </x:c>
      <x:c r="D717" s="28" t="n">
        <x:f>MOD(B717,1)</x:f>
        <x:v>0.9330092592572328</x:v>
      </x:c>
      <x:c r="E717" s="29" t="n">
        <x:f>YEAR(B717)</x:f>
        <x:v>2020</x:v>
      </x:c>
      <x:c r="F717" s="29" t="n">
        <x:f>MONTH(B717)</x:f>
        <x:v>2</x:v>
      </x:c>
      <x:c r="G717" s="30" t="n">
        <x:v>-22.71</x:v>
      </x:c>
      <x:c r="H717" s="30" t="n">
        <x:v>-69.09</x:v>
      </x:c>
      <x:c r="I717" s="29" t="n">
        <x:v>85</x:v>
      </x:c>
      <x:c r="J717" s="31" t="n">
        <x:v>4.5</x:v>
      </x:c>
      <x:c r="K717" s="25" t="str">
        <x:f>IF(J717&gt;=7,"Muy fuerte (&gt;=7)",IF(J717&gt;=6,"Fuerte (6-6.9)",IF(J717&gt;=5,"Moderado alto (5-5.9)",IF(J717&gt;=4,"Moderado (4-4.9)","Menor a 4"))))</x:f>
        <x:v>Moderado (4-4.9)</x:v>
      </x:c>
      <x:c r="L717" s="25" t="str">
        <x:f>IF(I717&lt;70,"Superficial (&lt;70 km)",IF(I717&lt;=300,"Intermedio (70-300 km)","Profundo (&gt;300 km)"))</x:f>
        <x:v>Intermedio (70-300 km)</x:v>
      </x:c>
      <x:c r="M717" s="25" t="str">
        <x:f>IF(J717&gt;=5,"Sí","No")</x:f>
        <x:v>No</x:v>
      </x:c>
      <x:c r="N717" s="25" t="str">
        <x:f>IF(J717&gt;=6,"Sí","No")</x:f>
        <x:v>No</x:v>
      </x:c>
      <x:c r="O717" s="25" t="str">
        <x:v>Pendiente: asignar con R/sf</x:v>
      </x:c>
    </x:row>
    <x:row r="718">
      <x:c r="A718" s="25" t="n">
        <x:v>717</x:v>
      </x:c>
      <x:c r="B718" s="26" t="n">
        <x:v>43903.08892361111</x:v>
      </x:c>
      <x:c r="C718" s="27" t="n">
        <x:f>INT(B718)</x:f>
        <x:v>43903</x:v>
      </x:c>
      <x:c r="D718" s="28" t="n">
        <x:f>MOD(B718,1)</x:f>
        <x:v>0.08892361111065838</x:v>
      </x:c>
      <x:c r="E718" s="29" t="n">
        <x:f>YEAR(B718)</x:f>
        <x:v>2020</x:v>
      </x:c>
      <x:c r="F718" s="29" t="n">
        <x:f>MONTH(B718)</x:f>
        <x:v>3</x:v>
      </x:c>
      <x:c r="G718" s="30" t="n">
        <x:v>-19.96</x:v>
      </x:c>
      <x:c r="H718" s="30" t="n">
        <x:v>-69.44</x:v>
      </x:c>
      <x:c r="I718" s="29" t="n">
        <x:v>112</x:v>
      </x:c>
      <x:c r="J718" s="31" t="n">
        <x:v>5.4</x:v>
      </x:c>
      <x:c r="K718" s="25" t="str">
        <x:f>IF(J718&gt;=7,"Muy fuerte (&gt;=7)",IF(J718&gt;=6,"Fuerte (6-6.9)",IF(J718&gt;=5,"Moderado alto (5-5.9)",IF(J718&gt;=4,"Moderado (4-4.9)","Menor a 4"))))</x:f>
        <x:v>Moderado alto (5-5.9)</x:v>
      </x:c>
      <x:c r="L718" s="25" t="str">
        <x:f>IF(I718&lt;70,"Superficial (&lt;70 km)",IF(I718&lt;=300,"Intermedio (70-300 km)","Profundo (&gt;300 km)"))</x:f>
        <x:v>Intermedio (70-300 km)</x:v>
      </x:c>
      <x:c r="M718" s="25" t="str">
        <x:f>IF(J718&gt;=5,"Sí","No")</x:f>
        <x:v>Sí</x:v>
      </x:c>
      <x:c r="N718" s="25" t="str">
        <x:f>IF(J718&gt;=6,"Sí","No")</x:f>
        <x:v>No</x:v>
      </x:c>
      <x:c r="O718" s="25" t="str">
        <x:v>Pendiente: asignar con R/sf</x:v>
      </x:c>
    </x:row>
    <x:row r="719">
      <x:c r="A719" s="25" t="n">
        <x:v>718</x:v>
      </x:c>
      <x:c r="B719" s="26" t="n">
        <x:v>43508.09054398148</x:v>
      </x:c>
      <x:c r="C719" s="27" t="n">
        <x:f>INT(B719)</x:f>
        <x:v>43508</x:v>
      </x:c>
      <x:c r="D719" s="28" t="n">
        <x:f>MOD(B719,1)</x:f>
        <x:v>0.09054398148145992</x:v>
      </x:c>
      <x:c r="E719" s="29" t="n">
        <x:f>YEAR(B719)</x:f>
        <x:v>2019</x:v>
      </x:c>
      <x:c r="F719" s="29" t="n">
        <x:f>MONTH(B719)</x:f>
        <x:v>2</x:v>
      </x:c>
      <x:c r="G719" s="30" t="n">
        <x:v>-20.27</x:v>
      </x:c>
      <x:c r="H719" s="30" t="n">
        <x:v>-69.93</x:v>
      </x:c>
      <x:c r="I719" s="29" t="n">
        <x:v>53</x:v>
      </x:c>
      <x:c r="J719" s="31" t="n">
        <x:v>3.3</x:v>
      </x:c>
      <x:c r="K719" s="25" t="str">
        <x:f>IF(J719&gt;=7,"Muy fuerte (&gt;=7)",IF(J719&gt;=6,"Fuerte (6-6.9)",IF(J719&gt;=5,"Moderado alto (5-5.9)",IF(J719&gt;=4,"Moderado (4-4.9)","Menor a 4"))))</x:f>
        <x:v>Menor a 4</x:v>
      </x:c>
      <x:c r="L719" s="25" t="str">
        <x:f>IF(I719&lt;70,"Superficial (&lt;70 km)",IF(I719&lt;=300,"Intermedio (70-300 km)","Profundo (&gt;300 km)"))</x:f>
        <x:v>Superficial (&lt;70 km)</x:v>
      </x:c>
      <x:c r="M719" s="25" t="str">
        <x:f>IF(J719&gt;=5,"Sí","No")</x:f>
        <x:v>No</x:v>
      </x:c>
      <x:c r="N719" s="25" t="str">
        <x:f>IF(J719&gt;=6,"Sí","No")</x:f>
        <x:v>No</x:v>
      </x:c>
      <x:c r="O719" s="25" t="str">
        <x:v>Pendiente: asignar con R/sf</x:v>
      </x:c>
    </x:row>
    <x:row r="720">
      <x:c r="A720" s="25" t="n">
        <x:v>719</x:v>
      </x:c>
      <x:c r="B720" s="26" t="n">
        <x:v>43514.88612268519</x:v>
      </x:c>
      <x:c r="C720" s="27" t="n">
        <x:f>INT(B720)</x:f>
        <x:v>43514</x:v>
      </x:c>
      <x:c r="D720" s="28" t="n">
        <x:f>MOD(B720,1)</x:f>
        <x:v>0.8861226851877291</x:v>
      </x:c>
      <x:c r="E720" s="29" t="n">
        <x:f>YEAR(B720)</x:f>
        <x:v>2019</x:v>
      </x:c>
      <x:c r="F720" s="29" t="n">
        <x:f>MONTH(B720)</x:f>
        <x:v>2</x:v>
      </x:c>
      <x:c r="G720" s="30" t="n">
        <x:v>-23.3</x:v>
      </x:c>
      <x:c r="H720" s="30" t="n">
        <x:v>-70.87</x:v>
      </x:c>
      <x:c r="I720" s="29" t="n">
        <x:v>49</x:v>
      </x:c>
      <x:c r="J720" s="31" t="n">
        <x:v>3.7</x:v>
      </x:c>
      <x:c r="K720" s="25" t="str">
        <x:f>IF(J720&gt;=7,"Muy fuerte (&gt;=7)",IF(J720&gt;=6,"Fuerte (6-6.9)",IF(J720&gt;=5,"Moderado alto (5-5.9)",IF(J720&gt;=4,"Moderado (4-4.9)","Menor a 4"))))</x:f>
        <x:v>Menor a 4</x:v>
      </x:c>
      <x:c r="L720" s="25" t="str">
        <x:f>IF(I720&lt;70,"Superficial (&lt;70 km)",IF(I720&lt;=300,"Intermedio (70-300 km)","Profundo (&gt;300 km)"))</x:f>
        <x:v>Superficial (&lt;70 km)</x:v>
      </x:c>
      <x:c r="M720" s="25" t="str">
        <x:f>IF(J720&gt;=5,"Sí","No")</x:f>
        <x:v>No</x:v>
      </x:c>
      <x:c r="N720" s="25" t="str">
        <x:f>IF(J720&gt;=6,"Sí","No")</x:f>
        <x:v>No</x:v>
      </x:c>
      <x:c r="O720" s="25" t="str">
        <x:v>Pendiente: asignar con R/sf</x:v>
      </x:c>
    </x:row>
    <x:row r="721">
      <x:c r="A721" s="25" t="n">
        <x:v>720</x:v>
      </x:c>
      <x:c r="B721" s="26" t="n">
        <x:v>43558.606944444444</x:v>
      </x:c>
      <x:c r="C721" s="27" t="n">
        <x:f>INT(B721)</x:f>
        <x:v>43558</x:v>
      </x:c>
      <x:c r="D721" s="28" t="n">
        <x:f>MOD(B721,1)</x:f>
        <x:v>0.6069444444437977</x:v>
      </x:c>
      <x:c r="E721" s="29" t="n">
        <x:f>YEAR(B721)</x:f>
        <x:v>2019</x:v>
      </x:c>
      <x:c r="F721" s="29" t="n">
        <x:f>MONTH(B721)</x:f>
        <x:v>4</x:v>
      </x:c>
      <x:c r="G721" s="30" t="n">
        <x:v>-20.84</x:v>
      </x:c>
      <x:c r="H721" s="30" t="n">
        <x:v>-69.98</x:v>
      </x:c>
      <x:c r="I721" s="29" t="n">
        <x:v>72</x:v>
      </x:c>
      <x:c r="J721" s="31" t="n">
        <x:v>3.8</x:v>
      </x:c>
      <x:c r="K721" s="25" t="str">
        <x:f>IF(J721&gt;=7,"Muy fuerte (&gt;=7)",IF(J721&gt;=6,"Fuerte (6-6.9)",IF(J721&gt;=5,"Moderado alto (5-5.9)",IF(J721&gt;=4,"Moderado (4-4.9)","Menor a 4"))))</x:f>
        <x:v>Menor a 4</x:v>
      </x:c>
      <x:c r="L721" s="25" t="str">
        <x:f>IF(I721&lt;70,"Superficial (&lt;70 km)",IF(I721&lt;=300,"Intermedio (70-300 km)","Profundo (&gt;300 km)"))</x:f>
        <x:v>Intermedio (70-300 km)</x:v>
      </x:c>
      <x:c r="M721" s="25" t="str">
        <x:f>IF(J721&gt;=5,"Sí","No")</x:f>
        <x:v>No</x:v>
      </x:c>
      <x:c r="N721" s="25" t="str">
        <x:f>IF(J721&gt;=6,"Sí","No")</x:f>
        <x:v>No</x:v>
      </x:c>
      <x:c r="O721" s="25" t="str">
        <x:v>Pendiente: asignar con R/sf</x:v>
      </x:c>
    </x:row>
    <x:row r="722">
      <x:c r="A722" s="25" t="n">
        <x:v>721</x:v>
      </x:c>
      <x:c r="B722" s="26" t="n">
        <x:v>43697.711643518516</x:v>
      </x:c>
      <x:c r="C722" s="27" t="n">
        <x:f>INT(B722)</x:f>
        <x:v>43697</x:v>
      </x:c>
      <x:c r="D722" s="28" t="n">
        <x:f>MOD(B722,1)</x:f>
        <x:v>0.7116435185162118</x:v>
      </x:c>
      <x:c r="E722" s="29" t="n">
        <x:f>YEAR(B722)</x:f>
        <x:v>2019</x:v>
      </x:c>
      <x:c r="F722" s="29" t="n">
        <x:f>MONTH(B722)</x:f>
        <x:v>8</x:v>
      </x:c>
      <x:c r="G722" s="30" t="n">
        <x:v>-23.37</x:v>
      </x:c>
      <x:c r="H722" s="30" t="n">
        <x:v>-69.62</x:v>
      </x:c>
      <x:c r="I722" s="29" t="n">
        <x:v>67</x:v>
      </x:c>
      <x:c r="J722" s="31" t="n">
        <x:v>4.4</x:v>
      </x:c>
      <x:c r="K722" s="25" t="str">
        <x:f>IF(J722&gt;=7,"Muy fuerte (&gt;=7)",IF(J722&gt;=6,"Fuerte (6-6.9)",IF(J722&gt;=5,"Moderado alto (5-5.9)",IF(J722&gt;=4,"Moderado (4-4.9)","Menor a 4"))))</x:f>
        <x:v>Moderado (4-4.9)</x:v>
      </x:c>
      <x:c r="L722" s="25" t="str">
        <x:f>IF(I722&lt;70,"Superficial (&lt;70 km)",IF(I722&lt;=300,"Intermedio (70-300 km)","Profundo (&gt;300 km)"))</x:f>
        <x:v>Superficial (&lt;70 km)</x:v>
      </x:c>
      <x:c r="M722" s="25" t="str">
        <x:f>IF(J722&gt;=5,"Sí","No")</x:f>
        <x:v>No</x:v>
      </x:c>
      <x:c r="N722" s="25" t="str">
        <x:f>IF(J722&gt;=6,"Sí","No")</x:f>
        <x:v>No</x:v>
      </x:c>
      <x:c r="O722" s="25" t="str">
        <x:v>Pendiente: asignar con R/sf</x:v>
      </x:c>
    </x:row>
    <x:row r="723">
      <x:c r="A723" s="25" t="n">
        <x:v>722</x:v>
      </x:c>
      <x:c r="B723" s="26" t="n">
        <x:v>43353.759780092594</x:v>
      </x:c>
      <x:c r="C723" s="27" t="n">
        <x:f>INT(B723)</x:f>
        <x:v>43353</x:v>
      </x:c>
      <x:c r="D723" s="28" t="n">
        <x:f>MOD(B723,1)</x:f>
        <x:v>0.7597800925941556</x:v>
      </x:c>
      <x:c r="E723" s="29" t="n">
        <x:f>YEAR(B723)</x:f>
        <x:v>2018</x:v>
      </x:c>
      <x:c r="F723" s="29" t="n">
        <x:f>MONTH(B723)</x:f>
        <x:v>9</x:v>
      </x:c>
      <x:c r="G723" s="30" t="n">
        <x:v>-20.13</x:v>
      </x:c>
      <x:c r="H723" s="30" t="n">
        <x:v>-70.02</x:v>
      </x:c>
      <x:c r="I723" s="29" t="n">
        <x:v>54</x:v>
      </x:c>
      <x:c r="J723" s="31" t="n">
        <x:v>3.7</x:v>
      </x:c>
      <x:c r="K723" s="25" t="str">
        <x:f>IF(J723&gt;=7,"Muy fuerte (&gt;=7)",IF(J723&gt;=6,"Fuerte (6-6.9)",IF(J723&gt;=5,"Moderado alto (5-5.9)",IF(J723&gt;=4,"Moderado (4-4.9)","Menor a 4"))))</x:f>
        <x:v>Menor a 4</x:v>
      </x:c>
      <x:c r="L723" s="25" t="str">
        <x:f>IF(I723&lt;70,"Superficial (&lt;70 km)",IF(I723&lt;=300,"Intermedio (70-300 km)","Profundo (&gt;300 km)"))</x:f>
        <x:v>Superficial (&lt;70 km)</x:v>
      </x:c>
      <x:c r="M723" s="25" t="str">
        <x:f>IF(J723&gt;=5,"Sí","No")</x:f>
        <x:v>No</x:v>
      </x:c>
      <x:c r="N723" s="25" t="str">
        <x:f>IF(J723&gt;=6,"Sí","No")</x:f>
        <x:v>No</x:v>
      </x:c>
      <x:c r="O723" s="25" t="str">
        <x:v>Pendiente: asignar con R/sf</x:v>
      </x:c>
    </x:row>
    <x:row r="724">
      <x:c r="A724" s="25" t="n">
        <x:v>723</x:v>
      </x:c>
      <x:c r="B724" s="26" t="n">
        <x:v>43913.928298611114</x:v>
      </x:c>
      <x:c r="C724" s="27" t="n">
        <x:f>INT(B724)</x:f>
        <x:v>43913</x:v>
      </x:c>
      <x:c r="D724" s="28" t="n">
        <x:f>MOD(B724,1)</x:f>
        <x:v>0.9282986111138598</x:v>
      </x:c>
      <x:c r="E724" s="29" t="n">
        <x:f>YEAR(B724)</x:f>
        <x:v>2020</x:v>
      </x:c>
      <x:c r="F724" s="29" t="n">
        <x:f>MONTH(B724)</x:f>
        <x:v>3</x:v>
      </x:c>
      <x:c r="G724" s="30" t="n">
        <x:v>-18.86</x:v>
      </x:c>
      <x:c r="H724" s="30" t="n">
        <x:v>-70.04</x:v>
      </x:c>
      <x:c r="I724" s="29" t="n">
        <x:v>67</x:v>
      </x:c>
      <x:c r="J724" s="31" t="n">
        <x:v>4.6</x:v>
      </x:c>
      <x:c r="K724" s="25" t="str">
        <x:f>IF(J724&gt;=7,"Muy fuerte (&gt;=7)",IF(J724&gt;=6,"Fuerte (6-6.9)",IF(J724&gt;=5,"Moderado alto (5-5.9)",IF(J724&gt;=4,"Moderado (4-4.9)","Menor a 4"))))</x:f>
        <x:v>Moderado (4-4.9)</x:v>
      </x:c>
      <x:c r="L724" s="25" t="str">
        <x:f>IF(I724&lt;70,"Superficial (&lt;70 km)",IF(I724&lt;=300,"Intermedio (70-300 km)","Profundo (&gt;300 km)"))</x:f>
        <x:v>Superficial (&lt;70 km)</x:v>
      </x:c>
      <x:c r="M724" s="25" t="str">
        <x:f>IF(J724&gt;=5,"Sí","No")</x:f>
        <x:v>No</x:v>
      </x:c>
      <x:c r="N724" s="25" t="str">
        <x:f>IF(J724&gt;=6,"Sí","No")</x:f>
        <x:v>No</x:v>
      </x:c>
      <x:c r="O724" s="25" t="str">
        <x:v>Pendiente: asignar con R/sf</x:v>
      </x:c>
    </x:row>
    <x:row r="725">
      <x:c r="A725" s="25" t="n">
        <x:v>724</x:v>
      </x:c>
      <x:c r="B725" s="26" t="n">
        <x:v>43803.23403935185</x:v>
      </x:c>
      <x:c r="C725" s="27" t="n">
        <x:f>INT(B725)</x:f>
        <x:v>43803</x:v>
      </x:c>
      <x:c r="D725" s="28" t="n">
        <x:f>MOD(B725,1)</x:f>
        <x:v>0.23403935185342561</x:v>
      </x:c>
      <x:c r="E725" s="29" t="n">
        <x:f>YEAR(B725)</x:f>
        <x:v>2019</x:v>
      </x:c>
      <x:c r="F725" s="29" t="n">
        <x:f>MONTH(B725)</x:f>
        <x:v>12</x:v>
      </x:c>
      <x:c r="G725" s="30" t="n">
        <x:v>-22.54</x:v>
      </x:c>
      <x:c r="H725" s="30" t="n">
        <x:v>-69.19</x:v>
      </x:c>
      <x:c r="I725" s="29" t="n">
        <x:v>81</x:v>
      </x:c>
      <x:c r="J725" s="31" t="n">
        <x:v>4.1</x:v>
      </x:c>
      <x:c r="K725" s="25" t="str">
        <x:f>IF(J725&gt;=7,"Muy fuerte (&gt;=7)",IF(J725&gt;=6,"Fuerte (6-6.9)",IF(J725&gt;=5,"Moderado alto (5-5.9)",IF(J725&gt;=4,"Moderado (4-4.9)","Menor a 4"))))</x:f>
        <x:v>Moderado (4-4.9)</x:v>
      </x:c>
      <x:c r="L725" s="25" t="str">
        <x:f>IF(I725&lt;70,"Superficial (&lt;70 km)",IF(I725&lt;=300,"Intermedio (70-300 km)","Profundo (&gt;300 km)"))</x:f>
        <x:v>Intermedio (70-300 km)</x:v>
      </x:c>
      <x:c r="M725" s="25" t="str">
        <x:f>IF(J725&gt;=5,"Sí","No")</x:f>
        <x:v>No</x:v>
      </x:c>
      <x:c r="N725" s="25" t="str">
        <x:f>IF(J725&gt;=6,"Sí","No")</x:f>
        <x:v>No</x:v>
      </x:c>
      <x:c r="O725" s="25" t="str">
        <x:v>Pendiente: asignar con R/sf</x:v>
      </x:c>
    </x:row>
    <x:row r="726">
      <x:c r="A726" s="25" t="n">
        <x:v>725</x:v>
      </x:c>
      <x:c r="B726" s="26" t="n">
        <x:v>43631.032013888886</x:v>
      </x:c>
      <x:c r="C726" s="27" t="n">
        <x:f>INT(B726)</x:f>
        <x:v>43631</x:v>
      </x:c>
      <x:c r="D726" s="28" t="n">
        <x:f>MOD(B726,1)</x:f>
        <x:v>0.03201388888555812</x:v>
      </x:c>
      <x:c r="E726" s="29" t="n">
        <x:f>YEAR(B726)</x:f>
        <x:v>2019</x:v>
      </x:c>
      <x:c r="F726" s="29" t="n">
        <x:f>MONTH(B726)</x:f>
        <x:v>6</x:v>
      </x:c>
      <x:c r="G726" s="30" t="n">
        <x:v>-20.12</x:v>
      </x:c>
      <x:c r="H726" s="30" t="n">
        <x:v>-69.22</x:v>
      </x:c>
      <x:c r="I726" s="29" t="n">
        <x:v>91</x:v>
      </x:c>
      <x:c r="J726" s="31" t="n">
        <x:v>3.9</x:v>
      </x:c>
      <x:c r="K726" s="25" t="str">
        <x:f>IF(J726&gt;=7,"Muy fuerte (&gt;=7)",IF(J726&gt;=6,"Fuerte (6-6.9)",IF(J726&gt;=5,"Moderado alto (5-5.9)",IF(J726&gt;=4,"Moderado (4-4.9)","Menor a 4"))))</x:f>
        <x:v>Menor a 4</x:v>
      </x:c>
      <x:c r="L726" s="25" t="str">
        <x:f>IF(I726&lt;70,"Superficial (&lt;70 km)",IF(I726&lt;=300,"Intermedio (70-300 km)","Profundo (&gt;300 km)"))</x:f>
        <x:v>Intermedio (70-300 km)</x:v>
      </x:c>
      <x:c r="M726" s="25" t="str">
        <x:f>IF(J726&gt;=5,"Sí","No")</x:f>
        <x:v>No</x:v>
      </x:c>
      <x:c r="N726" s="25" t="str">
        <x:f>IF(J726&gt;=6,"Sí","No")</x:f>
        <x:v>No</x:v>
      </x:c>
      <x:c r="O726" s="25" t="str">
        <x:v>Pendiente: asignar con R/sf</x:v>
      </x:c>
    </x:row>
    <x:row r="727">
      <x:c r="A727" s="25" t="n">
        <x:v>726</x:v>
      </x:c>
      <x:c r="B727" s="26" t="n">
        <x:v>43725.414768518516</x:v>
      </x:c>
      <x:c r="C727" s="27" t="n">
        <x:f>INT(B727)</x:f>
        <x:v>43725</x:v>
      </x:c>
      <x:c r="D727" s="28" t="n">
        <x:f>MOD(B727,1)</x:f>
        <x:v>0.41476851851621177</x:v>
      </x:c>
      <x:c r="E727" s="29" t="n">
        <x:f>YEAR(B727)</x:f>
        <x:v>2019</x:v>
      </x:c>
      <x:c r="F727" s="29" t="n">
        <x:f>MONTH(B727)</x:f>
        <x:v>9</x:v>
      </x:c>
      <x:c r="G727" s="30" t="n">
        <x:v>-19.33</x:v>
      </x:c>
      <x:c r="H727" s="30" t="n">
        <x:v>-70.19</x:v>
      </x:c>
      <x:c r="I727" s="29" t="n">
        <x:v>42</x:v>
      </x:c>
      <x:c r="J727" s="31" t="n">
        <x:v>3.7</x:v>
      </x:c>
      <x:c r="K727" s="25" t="str">
        <x:f>IF(J727&gt;=7,"Muy fuerte (&gt;=7)",IF(J727&gt;=6,"Fuerte (6-6.9)",IF(J727&gt;=5,"Moderado alto (5-5.9)",IF(J727&gt;=4,"Moderado (4-4.9)","Menor a 4"))))</x:f>
        <x:v>Menor a 4</x:v>
      </x:c>
      <x:c r="L727" s="25" t="str">
        <x:f>IF(I727&lt;70,"Superficial (&lt;70 km)",IF(I727&lt;=300,"Intermedio (70-300 km)","Profundo (&gt;300 km)"))</x:f>
        <x:v>Superficial (&lt;70 km)</x:v>
      </x:c>
      <x:c r="M727" s="25" t="str">
        <x:f>IF(J727&gt;=5,"Sí","No")</x:f>
        <x:v>No</x:v>
      </x:c>
      <x:c r="N727" s="25" t="str">
        <x:f>IF(J727&gt;=6,"Sí","No")</x:f>
        <x:v>No</x:v>
      </x:c>
      <x:c r="O727" s="25" t="str">
        <x:v>Pendiente: asignar con R/sf</x:v>
      </x:c>
    </x:row>
    <x:row r="728">
      <x:c r="A728" s="25" t="n">
        <x:v>727</x:v>
      </x:c>
      <x:c r="B728" s="26" t="n">
        <x:v>43356.88753472222</x:v>
      </x:c>
      <x:c r="C728" s="27" t="n">
        <x:f>INT(B728)</x:f>
        <x:v>43356</x:v>
      </x:c>
      <x:c r="D728" s="28" t="n">
        <x:f>MOD(B728,1)</x:f>
        <x:v>0.8875347222201526</x:v>
      </x:c>
      <x:c r="E728" s="29" t="n">
        <x:f>YEAR(B728)</x:f>
        <x:v>2018</x:v>
      </x:c>
      <x:c r="F728" s="29" t="n">
        <x:f>MONTH(B728)</x:f>
        <x:v>9</x:v>
      </x:c>
      <x:c r="G728" s="30" t="n">
        <x:v>-20.82</x:v>
      </x:c>
      <x:c r="H728" s="30" t="n">
        <x:v>-69.44</x:v>
      </x:c>
      <x:c r="I728" s="29" t="n">
        <x:v>90</x:v>
      </x:c>
      <x:c r="J728" s="31" t="n">
        <x:v>3.8</x:v>
      </x:c>
      <x:c r="K728" s="25" t="str">
        <x:f>IF(J728&gt;=7,"Muy fuerte (&gt;=7)",IF(J728&gt;=6,"Fuerte (6-6.9)",IF(J728&gt;=5,"Moderado alto (5-5.9)",IF(J728&gt;=4,"Moderado (4-4.9)","Menor a 4"))))</x:f>
        <x:v>Menor a 4</x:v>
      </x:c>
      <x:c r="L728" s="25" t="str">
        <x:f>IF(I728&lt;70,"Superficial (&lt;70 km)",IF(I728&lt;=300,"Intermedio (70-300 km)","Profundo (&gt;300 km)"))</x:f>
        <x:v>Intermedio (70-300 km)</x:v>
      </x:c>
      <x:c r="M728" s="25" t="str">
        <x:f>IF(J728&gt;=5,"Sí","No")</x:f>
        <x:v>No</x:v>
      </x:c>
      <x:c r="N728" s="25" t="str">
        <x:f>IF(J728&gt;=6,"Sí","No")</x:f>
        <x:v>No</x:v>
      </x:c>
      <x:c r="O728" s="25" t="str">
        <x:v>Pendiente: asignar con R/sf</x:v>
      </x:c>
    </x:row>
    <x:row r="729">
      <x:c r="A729" s="25" t="n">
        <x:v>728</x:v>
      </x:c>
      <x:c r="B729" s="26" t="n">
        <x:v>43878.46962962963</x:v>
      </x:c>
      <x:c r="C729" s="27" t="n">
        <x:f>INT(B729)</x:f>
        <x:v>43878</x:v>
      </x:c>
      <x:c r="D729" s="28" t="n">
        <x:f>MOD(B729,1)</x:f>
        <x:v>0.46962962963152677</x:v>
      </x:c>
      <x:c r="E729" s="29" t="n">
        <x:f>YEAR(B729)</x:f>
        <x:v>2020</x:v>
      </x:c>
      <x:c r="F729" s="29" t="n">
        <x:f>MONTH(B729)</x:f>
        <x:v>2</x:v>
      </x:c>
      <x:c r="G729" s="30" t="n">
        <x:v>-22.59</x:v>
      </x:c>
      <x:c r="H729" s="30" t="n">
        <x:v>-69.9</x:v>
      </x:c>
      <x:c r="I729" s="29" t="n">
        <x:v>42</x:v>
      </x:c>
      <x:c r="J729" s="31" t="n">
        <x:v>3.8</x:v>
      </x:c>
      <x:c r="K729" s="25" t="str">
        <x:f>IF(J729&gt;=7,"Muy fuerte (&gt;=7)",IF(J729&gt;=6,"Fuerte (6-6.9)",IF(J729&gt;=5,"Moderado alto (5-5.9)",IF(J729&gt;=4,"Moderado (4-4.9)","Menor a 4"))))</x:f>
        <x:v>Menor a 4</x:v>
      </x:c>
      <x:c r="L729" s="25" t="str">
        <x:f>IF(I729&lt;70,"Superficial (&lt;70 km)",IF(I729&lt;=300,"Intermedio (70-300 km)","Profundo (&gt;300 km)"))</x:f>
        <x:v>Superficial (&lt;70 km)</x:v>
      </x:c>
      <x:c r="M729" s="25" t="str">
        <x:f>IF(J729&gt;=5,"Sí","No")</x:f>
        <x:v>No</x:v>
      </x:c>
      <x:c r="N729" s="25" t="str">
        <x:f>IF(J729&gt;=6,"Sí","No")</x:f>
        <x:v>No</x:v>
      </x:c>
      <x:c r="O729" s="25" t="str">
        <x:v>Pendiente: asignar con R/sf</x:v>
      </x:c>
    </x:row>
    <x:row r="730">
      <x:c r="A730" s="25" t="n">
        <x:v>729</x:v>
      </x:c>
      <x:c r="B730" s="26" t="n">
        <x:v>43571.28537037037</x:v>
      </x:c>
      <x:c r="C730" s="27" t="n">
        <x:f>INT(B730)</x:f>
        <x:v>43571</x:v>
      </x:c>
      <x:c r="D730" s="28" t="n">
        <x:f>MOD(B730,1)</x:f>
        <x:v>0.28537037037312984</x:v>
      </x:c>
      <x:c r="E730" s="29" t="n">
        <x:f>YEAR(B730)</x:f>
        <x:v>2019</x:v>
      </x:c>
      <x:c r="F730" s="29" t="n">
        <x:f>MONTH(B730)</x:f>
        <x:v>4</x:v>
      </x:c>
      <x:c r="G730" s="30" t="n">
        <x:v>-20.13</x:v>
      </x:c>
      <x:c r="H730" s="30" t="n">
        <x:v>-70.12</x:v>
      </x:c>
      <x:c r="I730" s="29" t="n">
        <x:v>45</x:v>
      </x:c>
      <x:c r="J730" s="31" t="n">
        <x:v>3.3</x:v>
      </x:c>
      <x:c r="K730" s="25" t="str">
        <x:f>IF(J730&gt;=7,"Muy fuerte (&gt;=7)",IF(J730&gt;=6,"Fuerte (6-6.9)",IF(J730&gt;=5,"Moderado alto (5-5.9)",IF(J730&gt;=4,"Moderado (4-4.9)","Menor a 4"))))</x:f>
        <x:v>Menor a 4</x:v>
      </x:c>
      <x:c r="L730" s="25" t="str">
        <x:f>IF(I730&lt;70,"Superficial (&lt;70 km)",IF(I730&lt;=300,"Intermedio (70-300 km)","Profundo (&gt;300 km)"))</x:f>
        <x:v>Superficial (&lt;70 km)</x:v>
      </x:c>
      <x:c r="M730" s="25" t="str">
        <x:f>IF(J730&gt;=5,"Sí","No")</x:f>
        <x:v>No</x:v>
      </x:c>
      <x:c r="N730" s="25" t="str">
        <x:f>IF(J730&gt;=6,"Sí","No")</x:f>
        <x:v>No</x:v>
      </x:c>
      <x:c r="O730" s="25" t="str">
        <x:v>Pendiente: asignar con R/sf</x:v>
      </x:c>
    </x:row>
    <x:row r="731">
      <x:c r="A731" s="25" t="n">
        <x:v>730</x:v>
      </x:c>
      <x:c r="B731" s="26" t="n">
        <x:v>43872.57642361111</x:v>
      </x:c>
      <x:c r="C731" s="27" t="n">
        <x:f>INT(B731)</x:f>
        <x:v>43872</x:v>
      </x:c>
      <x:c r="D731" s="28" t="n">
        <x:f>MOD(B731,1)</x:f>
        <x:v>0.5764236111135688</x:v>
      </x:c>
      <x:c r="E731" s="29" t="n">
        <x:f>YEAR(B731)</x:f>
        <x:v>2020</x:v>
      </x:c>
      <x:c r="F731" s="29" t="n">
        <x:f>MONTH(B731)</x:f>
        <x:v>2</x:v>
      </x:c>
      <x:c r="G731" s="30" t="n">
        <x:v>-24.77</x:v>
      </x:c>
      <x:c r="H731" s="30" t="n">
        <x:v>-70.76</x:v>
      </x:c>
      <x:c r="I731" s="29" t="n">
        <x:v>55</x:v>
      </x:c>
      <x:c r="J731" s="31" t="n">
        <x:v>5.1</x:v>
      </x:c>
      <x:c r="K731" s="25" t="str">
        <x:f>IF(J731&gt;=7,"Muy fuerte (&gt;=7)",IF(J731&gt;=6,"Fuerte (6-6.9)",IF(J731&gt;=5,"Moderado alto (5-5.9)",IF(J731&gt;=4,"Moderado (4-4.9)","Menor a 4"))))</x:f>
        <x:v>Moderado alto (5-5.9)</x:v>
      </x:c>
      <x:c r="L731" s="25" t="str">
        <x:f>IF(I731&lt;70,"Superficial (&lt;70 km)",IF(I731&lt;=300,"Intermedio (70-300 km)","Profundo (&gt;300 km)"))</x:f>
        <x:v>Superficial (&lt;70 km)</x:v>
      </x:c>
      <x:c r="M731" s="25" t="str">
        <x:f>IF(J731&gt;=5,"Sí","No")</x:f>
        <x:v>Sí</x:v>
      </x:c>
      <x:c r="N731" s="25" t="str">
        <x:f>IF(J731&gt;=6,"Sí","No")</x:f>
        <x:v>No</x:v>
      </x:c>
      <x:c r="O731" s="25" t="str">
        <x:v>Pendiente: asignar con R/sf</x:v>
      </x:c>
    </x:row>
    <x:row r="732">
      <x:c r="A732" s="25" t="n">
        <x:v>731</x:v>
      </x:c>
      <x:c r="B732" s="26" t="n">
        <x:v>43768.52689814815</x:v>
      </x:c>
      <x:c r="C732" s="27" t="n">
        <x:f>INT(B732)</x:f>
        <x:v>43768</x:v>
      </x:c>
      <x:c r="D732" s="28" t="n">
        <x:f>MOD(B732,1)</x:f>
        <x:v>0.5268981481494848</x:v>
      </x:c>
      <x:c r="E732" s="29" t="n">
        <x:f>YEAR(B732)</x:f>
        <x:v>2019</x:v>
      </x:c>
      <x:c r="F732" s="29" t="n">
        <x:f>MONTH(B732)</x:f>
        <x:v>10</x:v>
      </x:c>
      <x:c r="G732" s="30" t="n">
        <x:v>-19.2</x:v>
      </x:c>
      <x:c r="H732" s="30" t="n">
        <x:v>-70.15</x:v>
      </x:c>
      <x:c r="I732" s="29" t="n">
        <x:v>56</x:v>
      </x:c>
      <x:c r="J732" s="31" t="n">
        <x:v>3.7</x:v>
      </x:c>
      <x:c r="K732" s="25" t="str">
        <x:f>IF(J732&gt;=7,"Muy fuerte (&gt;=7)",IF(J732&gt;=6,"Fuerte (6-6.9)",IF(J732&gt;=5,"Moderado alto (5-5.9)",IF(J732&gt;=4,"Moderado (4-4.9)","Menor a 4"))))</x:f>
        <x:v>Menor a 4</x:v>
      </x:c>
      <x:c r="L732" s="25" t="str">
        <x:f>IF(I732&lt;70,"Superficial (&lt;70 km)",IF(I732&lt;=300,"Intermedio (70-300 km)","Profundo (&gt;300 km)"))</x:f>
        <x:v>Superficial (&lt;70 km)</x:v>
      </x:c>
      <x:c r="M732" s="25" t="str">
        <x:f>IF(J732&gt;=5,"Sí","No")</x:f>
        <x:v>No</x:v>
      </x:c>
      <x:c r="N732" s="25" t="str">
        <x:f>IF(J732&gt;=6,"Sí","No")</x:f>
        <x:v>No</x:v>
      </x:c>
      <x:c r="O732" s="25" t="str">
        <x:v>Pendiente: asignar con R/sf</x:v>
      </x:c>
    </x:row>
    <x:row r="733">
      <x:c r="A733" s="25" t="n">
        <x:v>732</x:v>
      </x:c>
      <x:c r="B733" s="26" t="n">
        <x:v>43718.31475694444</x:v>
      </x:c>
      <x:c r="C733" s="27" t="n">
        <x:f>INT(B733)</x:f>
        <x:v>43718</x:v>
      </x:c>
      <x:c r="D733" s="28" t="n">
        <x:f>MOD(B733,1)</x:f>
        <x:v>0.3147569444408873</x:v>
      </x:c>
      <x:c r="E733" s="29" t="n">
        <x:f>YEAR(B733)</x:f>
        <x:v>2019</x:v>
      </x:c>
      <x:c r="F733" s="29" t="n">
        <x:f>MONTH(B733)</x:f>
        <x:v>9</x:v>
      </x:c>
      <x:c r="G733" s="30" t="n">
        <x:v>-19.83</x:v>
      </x:c>
      <x:c r="H733" s="30" t="n">
        <x:v>-70.25</x:v>
      </x:c>
      <x:c r="I733" s="29" t="n">
        <x:v>76</x:v>
      </x:c>
      <x:c r="J733" s="31" t="n">
        <x:v>3.9</x:v>
      </x:c>
      <x:c r="K733" s="25" t="str">
        <x:f>IF(J733&gt;=7,"Muy fuerte (&gt;=7)",IF(J733&gt;=6,"Fuerte (6-6.9)",IF(J733&gt;=5,"Moderado alto (5-5.9)",IF(J733&gt;=4,"Moderado (4-4.9)","Menor a 4"))))</x:f>
        <x:v>Menor a 4</x:v>
      </x:c>
      <x:c r="L733" s="25" t="str">
        <x:f>IF(I733&lt;70,"Superficial (&lt;70 km)",IF(I733&lt;=300,"Intermedio (70-300 km)","Profundo (&gt;300 km)"))</x:f>
        <x:v>Intermedio (70-300 km)</x:v>
      </x:c>
      <x:c r="M733" s="25" t="str">
        <x:f>IF(J733&gt;=5,"Sí","No")</x:f>
        <x:v>No</x:v>
      </x:c>
      <x:c r="N733" s="25" t="str">
        <x:f>IF(J733&gt;=6,"Sí","No")</x:f>
        <x:v>No</x:v>
      </x:c>
      <x:c r="O733" s="25" t="str">
        <x:v>Pendiente: asignar con R/sf</x:v>
      </x:c>
    </x:row>
    <x:row r="734">
      <x:c r="A734" s="25" t="n">
        <x:v>733</x:v>
      </x:c>
      <x:c r="B734" s="26" t="n">
        <x:v>43726.233611111114</x:v>
      </x:c>
      <x:c r="C734" s="27" t="n">
        <x:f>INT(B734)</x:f>
        <x:v>43726</x:v>
      </x:c>
      <x:c r="D734" s="28" t="n">
        <x:f>MOD(B734,1)</x:f>
        <x:v>0.23361111111444188</x:v>
      </x:c>
      <x:c r="E734" s="29" t="n">
        <x:f>YEAR(B734)</x:f>
        <x:v>2019</x:v>
      </x:c>
      <x:c r="F734" s="29" t="n">
        <x:f>MONTH(B734)</x:f>
        <x:v>9</x:v>
      </x:c>
      <x:c r="G734" s="30" t="n">
        <x:v>-19.14</x:v>
      </x:c>
      <x:c r="H734" s="30" t="n">
        <x:v>-70.22</x:v>
      </x:c>
      <x:c r="I734" s="29" t="n">
        <x:v>71</x:v>
      </x:c>
      <x:c r="J734" s="31" t="n">
        <x:v>4.5</x:v>
      </x:c>
      <x:c r="K734" s="25" t="str">
        <x:f>IF(J734&gt;=7,"Muy fuerte (&gt;=7)",IF(J734&gt;=6,"Fuerte (6-6.9)",IF(J734&gt;=5,"Moderado alto (5-5.9)",IF(J734&gt;=4,"Moderado (4-4.9)","Menor a 4"))))</x:f>
        <x:v>Moderado (4-4.9)</x:v>
      </x:c>
      <x:c r="L734" s="25" t="str">
        <x:f>IF(I734&lt;70,"Superficial (&lt;70 km)",IF(I734&lt;=300,"Intermedio (70-300 km)","Profundo (&gt;300 km)"))</x:f>
        <x:v>Intermedio (70-300 km)</x:v>
      </x:c>
      <x:c r="M734" s="25" t="str">
        <x:f>IF(J734&gt;=5,"Sí","No")</x:f>
        <x:v>No</x:v>
      </x:c>
      <x:c r="N734" s="25" t="str">
        <x:f>IF(J734&gt;=6,"Sí","No")</x:f>
        <x:v>No</x:v>
      </x:c>
      <x:c r="O734" s="25" t="str">
        <x:v>Pendiente: asignar con R/sf</x:v>
      </x:c>
    </x:row>
    <x:row r="735">
      <x:c r="A735" s="25" t="n">
        <x:v>734</x:v>
      </x:c>
      <x:c r="B735" s="26" t="n">
        <x:v>43788.51563657408</x:v>
      </x:c>
      <x:c r="C735" s="27" t="n">
        <x:f>INT(B735)</x:f>
        <x:v>43788</x:v>
      </x:c>
      <x:c r="D735" s="28" t="n">
        <x:f>MOD(B735,1)</x:f>
        <x:v>0.5156365740767797</x:v>
      </x:c>
      <x:c r="E735" s="29" t="n">
        <x:f>YEAR(B735)</x:f>
        <x:v>2019</x:v>
      </x:c>
      <x:c r="F735" s="29" t="n">
        <x:f>MONTH(B735)</x:f>
        <x:v>11</x:v>
      </x:c>
      <x:c r="G735" s="30" t="n">
        <x:v>-19.47</x:v>
      </x:c>
      <x:c r="H735" s="30" t="n">
        <x:v>-70.12</x:v>
      </x:c>
      <x:c r="I735" s="29" t="n">
        <x:v>37</x:v>
      </x:c>
      <x:c r="J735" s="31" t="n">
        <x:v>3.2</x:v>
      </x:c>
      <x:c r="K735" s="25" t="str">
        <x:f>IF(J735&gt;=7,"Muy fuerte (&gt;=7)",IF(J735&gt;=6,"Fuerte (6-6.9)",IF(J735&gt;=5,"Moderado alto (5-5.9)",IF(J735&gt;=4,"Moderado (4-4.9)","Menor a 4"))))</x:f>
        <x:v>Menor a 4</x:v>
      </x:c>
      <x:c r="L735" s="25" t="str">
        <x:f>IF(I735&lt;70,"Superficial (&lt;70 km)",IF(I735&lt;=300,"Intermedio (70-300 km)","Profundo (&gt;300 km)"))</x:f>
        <x:v>Superficial (&lt;70 km)</x:v>
      </x:c>
      <x:c r="M735" s="25" t="str">
        <x:f>IF(J735&gt;=5,"Sí","No")</x:f>
        <x:v>No</x:v>
      </x:c>
      <x:c r="N735" s="25" t="str">
        <x:f>IF(J735&gt;=6,"Sí","No")</x:f>
        <x:v>No</x:v>
      </x:c>
      <x:c r="O735" s="25" t="str">
        <x:v>Pendiente: asignar con R/sf</x:v>
      </x:c>
    </x:row>
    <x:row r="736">
      <x:c r="A736" s="25" t="n">
        <x:v>735</x:v>
      </x:c>
      <x:c r="B736" s="26" t="n">
        <x:v>43915.005011574074</x:v>
      </x:c>
      <x:c r="C736" s="27" t="n">
        <x:f>INT(B736)</x:f>
        <x:v>43915</x:v>
      </x:c>
      <x:c r="D736" s="28" t="n">
        <x:f>MOD(B736,1)</x:f>
        <x:v>0.005011574074160308</x:v>
      </x:c>
      <x:c r="E736" s="29" t="n">
        <x:f>YEAR(B736)</x:f>
        <x:v>2020</x:v>
      </x:c>
      <x:c r="F736" s="29" t="n">
        <x:f>MONTH(B736)</x:f>
        <x:v>3</x:v>
      </x:c>
      <x:c r="G736" s="30" t="n">
        <x:v>-18.49</x:v>
      </x:c>
      <x:c r="H736" s="30" t="n">
        <x:v>-69.14</x:v>
      </x:c>
      <x:c r="I736" s="29" t="n">
        <x:v>4</x:v>
      </x:c>
      <x:c r="J736" s="31" t="n">
        <x:v>3.1</x:v>
      </x:c>
      <x:c r="K736" s="25" t="str">
        <x:f>IF(J736&gt;=7,"Muy fuerte (&gt;=7)",IF(J736&gt;=6,"Fuerte (6-6.9)",IF(J736&gt;=5,"Moderado alto (5-5.9)",IF(J736&gt;=4,"Moderado (4-4.9)","Menor a 4"))))</x:f>
        <x:v>Menor a 4</x:v>
      </x:c>
      <x:c r="L736" s="25" t="str">
        <x:f>IF(I736&lt;70,"Superficial (&lt;70 km)",IF(I736&lt;=300,"Intermedio (70-300 km)","Profundo (&gt;300 km)"))</x:f>
        <x:v>Superficial (&lt;70 km)</x:v>
      </x:c>
      <x:c r="M736" s="25" t="str">
        <x:f>IF(J736&gt;=5,"Sí","No")</x:f>
        <x:v>No</x:v>
      </x:c>
      <x:c r="N736" s="25" t="str">
        <x:f>IF(J736&gt;=6,"Sí","No")</x:f>
        <x:v>No</x:v>
      </x:c>
      <x:c r="O736" s="25" t="str">
        <x:v>Pendiente: asignar con R/sf</x:v>
      </x:c>
    </x:row>
    <x:row r="737">
      <x:c r="A737" s="25" t="n">
        <x:v>736</x:v>
      </x:c>
      <x:c r="B737" s="26" t="n">
        <x:v>43658.30878472222</x:v>
      </x:c>
      <x:c r="C737" s="27" t="n">
        <x:f>INT(B737)</x:f>
        <x:v>43658</x:v>
      </x:c>
      <x:c r="D737" s="28" t="n">
        <x:f>MOD(B737,1)</x:f>
        <x:v>0.30878472221957054</x:v>
      </x:c>
      <x:c r="E737" s="29" t="n">
        <x:f>YEAR(B737)</x:f>
        <x:v>2019</x:v>
      </x:c>
      <x:c r="F737" s="29" t="n">
        <x:f>MONTH(B737)</x:f>
        <x:v>7</x:v>
      </x:c>
      <x:c r="G737" s="30" t="n">
        <x:v>-20.77</x:v>
      </x:c>
      <x:c r="H737" s="30" t="n">
        <x:v>-70.42</x:v>
      </x:c>
      <x:c r="I737" s="29" t="n">
        <x:v>28</x:v>
      </x:c>
      <x:c r="J737" s="31" t="n">
        <x:v>4.7</x:v>
      </x:c>
      <x:c r="K737" s="25" t="str">
        <x:f>IF(J737&gt;=7,"Muy fuerte (&gt;=7)",IF(J737&gt;=6,"Fuerte (6-6.9)",IF(J737&gt;=5,"Moderado alto (5-5.9)",IF(J737&gt;=4,"Moderado (4-4.9)","Menor a 4"))))</x:f>
        <x:v>Moderado (4-4.9)</x:v>
      </x:c>
      <x:c r="L737" s="25" t="str">
        <x:f>IF(I737&lt;70,"Superficial (&lt;70 km)",IF(I737&lt;=300,"Intermedio (70-300 km)","Profundo (&gt;300 km)"))</x:f>
        <x:v>Superficial (&lt;70 km)</x:v>
      </x:c>
      <x:c r="M737" s="25" t="str">
        <x:f>IF(J737&gt;=5,"Sí","No")</x:f>
        <x:v>No</x:v>
      </x:c>
      <x:c r="N737" s="25" t="str">
        <x:f>IF(J737&gt;=6,"Sí","No")</x:f>
        <x:v>No</x:v>
      </x:c>
      <x:c r="O737" s="25" t="str">
        <x:v>Pendiente: asignar con R/sf</x:v>
      </x:c>
    </x:row>
    <x:row r="738">
      <x:c r="A738" s="25" t="n">
        <x:v>737</x:v>
      </x:c>
      <x:c r="B738" s="26" t="n">
        <x:v>43684.709085648145</x:v>
      </x:c>
      <x:c r="C738" s="27" t="n">
        <x:f>INT(B738)</x:f>
        <x:v>43684</x:v>
      </x:c>
      <x:c r="D738" s="28" t="n">
        <x:f>MOD(B738,1)</x:f>
        <x:v>0.7090856481445371</x:v>
      </x:c>
      <x:c r="E738" s="29" t="n">
        <x:f>YEAR(B738)</x:f>
        <x:v>2019</x:v>
      </x:c>
      <x:c r="F738" s="29" t="n">
        <x:f>MONTH(B738)</x:f>
        <x:v>8</x:v>
      </x:c>
      <x:c r="G738" s="30" t="n">
        <x:v>-20.5</x:v>
      </x:c>
      <x:c r="H738" s="30" t="n">
        <x:v>-68.91</x:v>
      </x:c>
      <x:c r="I738" s="29" t="n">
        <x:v>102</x:v>
      </x:c>
      <x:c r="J738" s="31" t="n">
        <x:v>4.1</x:v>
      </x:c>
      <x:c r="K738" s="25" t="str">
        <x:f>IF(J738&gt;=7,"Muy fuerte (&gt;=7)",IF(J738&gt;=6,"Fuerte (6-6.9)",IF(J738&gt;=5,"Moderado alto (5-5.9)",IF(J738&gt;=4,"Moderado (4-4.9)","Menor a 4"))))</x:f>
        <x:v>Moderado (4-4.9)</x:v>
      </x:c>
      <x:c r="L738" s="25" t="str">
        <x:f>IF(I738&lt;70,"Superficial (&lt;70 km)",IF(I738&lt;=300,"Intermedio (70-300 km)","Profundo (&gt;300 km)"))</x:f>
        <x:v>Intermedio (70-300 km)</x:v>
      </x:c>
      <x:c r="M738" s="25" t="str">
        <x:f>IF(J738&gt;=5,"Sí","No")</x:f>
        <x:v>No</x:v>
      </x:c>
      <x:c r="N738" s="25" t="str">
        <x:f>IF(J738&gt;=6,"Sí","No")</x:f>
        <x:v>No</x:v>
      </x:c>
      <x:c r="O738" s="25" t="str">
        <x:v>Pendiente: asignar con R/sf</x:v>
      </x:c>
    </x:row>
    <x:row r="739">
      <x:c r="A739" s="25" t="n">
        <x:v>738</x:v>
      </x:c>
      <x:c r="B739" s="26" t="n">
        <x:v>43826.78523148148</x:v>
      </x:c>
      <x:c r="C739" s="27" t="n">
        <x:f>INT(B739)</x:f>
        <x:v>43826</x:v>
      </x:c>
      <x:c r="D739" s="28" t="n">
        <x:f>MOD(B739,1)</x:f>
        <x:v>0.7852314814808778</x:v>
      </x:c>
      <x:c r="E739" s="29" t="n">
        <x:f>YEAR(B739)</x:f>
        <x:v>2019</x:v>
      </x:c>
      <x:c r="F739" s="29" t="n">
        <x:f>MONTH(B739)</x:f>
        <x:v>12</x:v>
      </x:c>
      <x:c r="G739" s="30" t="n">
        <x:v>-23.1</x:v>
      </x:c>
      <x:c r="H739" s="30" t="n">
        <x:v>-69.71</x:v>
      </x:c>
      <x:c r="I739" s="29" t="n">
        <x:v>117</x:v>
      </x:c>
      <x:c r="J739" s="31" t="n">
        <x:v>4.4</x:v>
      </x:c>
      <x:c r="K739" s="25" t="str">
        <x:f>IF(J739&gt;=7,"Muy fuerte (&gt;=7)",IF(J739&gt;=6,"Fuerte (6-6.9)",IF(J739&gt;=5,"Moderado alto (5-5.9)",IF(J739&gt;=4,"Moderado (4-4.9)","Menor a 4"))))</x:f>
        <x:v>Moderado (4-4.9)</x:v>
      </x:c>
      <x:c r="L739" s="25" t="str">
        <x:f>IF(I739&lt;70,"Superficial (&lt;70 km)",IF(I739&lt;=300,"Intermedio (70-300 km)","Profundo (&gt;300 km)"))</x:f>
        <x:v>Intermedio (70-300 km)</x:v>
      </x:c>
      <x:c r="M739" s="25" t="str">
        <x:f>IF(J739&gt;=5,"Sí","No")</x:f>
        <x:v>No</x:v>
      </x:c>
      <x:c r="N739" s="25" t="str">
        <x:f>IF(J739&gt;=6,"Sí","No")</x:f>
        <x:v>No</x:v>
      </x:c>
      <x:c r="O739" s="25" t="str">
        <x:v>Pendiente: asignar con R/sf</x:v>
      </x:c>
    </x:row>
    <x:row r="740">
      <x:c r="A740" s="25" t="n">
        <x:v>739</x:v>
      </x:c>
      <x:c r="B740" s="26" t="n">
        <x:v>43768.20344907408</x:v>
      </x:c>
      <x:c r="C740" s="27" t="n">
        <x:f>INT(B740)</x:f>
        <x:v>43768</x:v>
      </x:c>
      <x:c r="D740" s="28" t="n">
        <x:f>MOD(B740,1)</x:f>
        <x:v>0.2034490740770707</x:v>
      </x:c>
      <x:c r="E740" s="29" t="n">
        <x:f>YEAR(B740)</x:f>
        <x:v>2019</x:v>
      </x:c>
      <x:c r="F740" s="29" t="n">
        <x:f>MONTH(B740)</x:f>
        <x:v>10</x:v>
      </x:c>
      <x:c r="G740" s="30" t="n">
        <x:v>-19.02</x:v>
      </x:c>
      <x:c r="H740" s="30" t="n">
        <x:v>-69.31</x:v>
      </x:c>
      <x:c r="I740" s="29" t="n">
        <x:v>115</x:v>
      </x:c>
      <x:c r="J740" s="31" t="n">
        <x:v>4.3</x:v>
      </x:c>
      <x:c r="K740" s="25" t="str">
        <x:f>IF(J740&gt;=7,"Muy fuerte (&gt;=7)",IF(J740&gt;=6,"Fuerte (6-6.9)",IF(J740&gt;=5,"Moderado alto (5-5.9)",IF(J740&gt;=4,"Moderado (4-4.9)","Menor a 4"))))</x:f>
        <x:v>Moderado (4-4.9)</x:v>
      </x:c>
      <x:c r="L740" s="25" t="str">
        <x:f>IF(I740&lt;70,"Superficial (&lt;70 km)",IF(I740&lt;=300,"Intermedio (70-300 km)","Profundo (&gt;300 km)"))</x:f>
        <x:v>Intermedio (70-300 km)</x:v>
      </x:c>
      <x:c r="M740" s="25" t="str">
        <x:f>IF(J740&gt;=5,"Sí","No")</x:f>
        <x:v>No</x:v>
      </x:c>
      <x:c r="N740" s="25" t="str">
        <x:f>IF(J740&gt;=6,"Sí","No")</x:f>
        <x:v>No</x:v>
      </x:c>
      <x:c r="O740" s="25" t="str">
        <x:v>Pendiente: asignar con R/sf</x:v>
      </x:c>
    </x:row>
    <x:row r="741">
      <x:c r="A741" s="25" t="n">
        <x:v>740</x:v>
      </x:c>
      <x:c r="B741" s="26" t="n">
        <x:v>43844.08159722222</x:v>
      </x:c>
      <x:c r="C741" s="27" t="n">
        <x:f>INT(B741)</x:f>
        <x:v>43844</x:v>
      </x:c>
      <x:c r="D741" s="28" t="n">
        <x:f>MOD(B741,1)</x:f>
        <x:v>0.08159722221898846</x:v>
      </x:c>
      <x:c r="E741" s="29" t="n">
        <x:f>YEAR(B741)</x:f>
        <x:v>2020</x:v>
      </x:c>
      <x:c r="F741" s="29" t="n">
        <x:f>MONTH(B741)</x:f>
        <x:v>1</x:v>
      </x:c>
      <x:c r="G741" s="30" t="n">
        <x:v>-21.73</x:v>
      </x:c>
      <x:c r="H741" s="30" t="n">
        <x:v>-68.48</x:v>
      </x:c>
      <x:c r="I741" s="29" t="n">
        <x:v>124</x:v>
      </x:c>
      <x:c r="J741" s="31" t="n">
        <x:v>5.1</x:v>
      </x:c>
      <x:c r="K741" s="25" t="str">
        <x:f>IF(J741&gt;=7,"Muy fuerte (&gt;=7)",IF(J741&gt;=6,"Fuerte (6-6.9)",IF(J741&gt;=5,"Moderado alto (5-5.9)",IF(J741&gt;=4,"Moderado (4-4.9)","Menor a 4"))))</x:f>
        <x:v>Moderado alto (5-5.9)</x:v>
      </x:c>
      <x:c r="L741" s="25" t="str">
        <x:f>IF(I741&lt;70,"Superficial (&lt;70 km)",IF(I741&lt;=300,"Intermedio (70-300 km)","Profundo (&gt;300 km)"))</x:f>
        <x:v>Intermedio (70-300 km)</x:v>
      </x:c>
      <x:c r="M741" s="25" t="str">
        <x:f>IF(J741&gt;=5,"Sí","No")</x:f>
        <x:v>Sí</x:v>
      </x:c>
      <x:c r="N741" s="25" t="str">
        <x:f>IF(J741&gt;=6,"Sí","No")</x:f>
        <x:v>No</x:v>
      </x:c>
      <x:c r="O741" s="25" t="str">
        <x:v>Pendiente: asignar con R/sf</x:v>
      </x:c>
    </x:row>
    <x:row r="742">
      <x:c r="A742" s="25" t="n">
        <x:v>741</x:v>
      </x:c>
      <x:c r="B742" s="26" t="n">
        <x:v>43896.24344907407</x:v>
      </x:c>
      <x:c r="C742" s="27" t="n">
        <x:f>INT(B742)</x:f>
        <x:v>43896</x:v>
      </x:c>
      <x:c r="D742" s="28" t="n">
        <x:f>MOD(B742,1)</x:f>
        <x:v>0.24344907407066785</x:v>
      </x:c>
      <x:c r="E742" s="29" t="n">
        <x:f>YEAR(B742)</x:f>
        <x:v>2020</x:v>
      </x:c>
      <x:c r="F742" s="29" t="n">
        <x:f>MONTH(B742)</x:f>
        <x:v>3</x:v>
      </x:c>
      <x:c r="G742" s="30" t="n">
        <x:v>-21.29</x:v>
      </x:c>
      <x:c r="H742" s="30" t="n">
        <x:v>-69.88</x:v>
      </x:c>
      <x:c r="I742" s="29" t="n">
        <x:v>53</x:v>
      </x:c>
      <x:c r="J742" s="31" t="n">
        <x:v>4.6</x:v>
      </x:c>
      <x:c r="K742" s="25" t="str">
        <x:f>IF(J742&gt;=7,"Muy fuerte (&gt;=7)",IF(J742&gt;=6,"Fuerte (6-6.9)",IF(J742&gt;=5,"Moderado alto (5-5.9)",IF(J742&gt;=4,"Moderado (4-4.9)","Menor a 4"))))</x:f>
        <x:v>Moderado (4-4.9)</x:v>
      </x:c>
      <x:c r="L742" s="25" t="str">
        <x:f>IF(I742&lt;70,"Superficial (&lt;70 km)",IF(I742&lt;=300,"Intermedio (70-300 km)","Profundo (&gt;300 km)"))</x:f>
        <x:v>Superficial (&lt;70 km)</x:v>
      </x:c>
      <x:c r="M742" s="25" t="str">
        <x:f>IF(J742&gt;=5,"Sí","No")</x:f>
        <x:v>No</x:v>
      </x:c>
      <x:c r="N742" s="25" t="str">
        <x:f>IF(J742&gt;=6,"Sí","No")</x:f>
        <x:v>No</x:v>
      </x:c>
      <x:c r="O742" s="25" t="str">
        <x:v>Pendiente: asignar con R/sf</x:v>
      </x:c>
    </x:row>
    <x:row r="743">
      <x:c r="A743" s="25" t="n">
        <x:v>742</x:v>
      </x:c>
      <x:c r="B743" s="26" t="n">
        <x:v>43724.777592592596</x:v>
      </x:c>
      <x:c r="C743" s="27" t="n">
        <x:f>INT(B743)</x:f>
        <x:v>43724</x:v>
      </x:c>
      <x:c r="D743" s="28" t="n">
        <x:f>MOD(B743,1)</x:f>
        <x:v>0.7775925925961928</x:v>
      </x:c>
      <x:c r="E743" s="29" t="n">
        <x:f>YEAR(B743)</x:f>
        <x:v>2019</x:v>
      </x:c>
      <x:c r="F743" s="29" t="n">
        <x:f>MONTH(B743)</x:f>
        <x:v>9</x:v>
      </x:c>
      <x:c r="G743" s="30" t="n">
        <x:v>-19.06</x:v>
      </x:c>
      <x:c r="H743" s="30" t="n">
        <x:v>-69.54</x:v>
      </x:c>
      <x:c r="I743" s="29" t="n">
        <x:v>92</x:v>
      </x:c>
      <x:c r="J743" s="31" t="n">
        <x:v>4.4</x:v>
      </x:c>
      <x:c r="K743" s="25" t="str">
        <x:f>IF(J743&gt;=7,"Muy fuerte (&gt;=7)",IF(J743&gt;=6,"Fuerte (6-6.9)",IF(J743&gt;=5,"Moderado alto (5-5.9)",IF(J743&gt;=4,"Moderado (4-4.9)","Menor a 4"))))</x:f>
        <x:v>Moderado (4-4.9)</x:v>
      </x:c>
      <x:c r="L743" s="25" t="str">
        <x:f>IF(I743&lt;70,"Superficial (&lt;70 km)",IF(I743&lt;=300,"Intermedio (70-300 km)","Profundo (&gt;300 km)"))</x:f>
        <x:v>Intermedio (70-300 km)</x:v>
      </x:c>
      <x:c r="M743" s="25" t="str">
        <x:f>IF(J743&gt;=5,"Sí","No")</x:f>
        <x:v>No</x:v>
      </x:c>
      <x:c r="N743" s="25" t="str">
        <x:f>IF(J743&gt;=6,"Sí","No")</x:f>
        <x:v>No</x:v>
      </x:c>
      <x:c r="O743" s="25" t="str">
        <x:v>Pendiente: asignar con R/sf</x:v>
      </x:c>
    </x:row>
    <x:row r="744">
      <x:c r="A744" s="25" t="n">
        <x:v>743</x:v>
      </x:c>
      <x:c r="B744" s="26" t="n">
        <x:v>43677.132731481484</x:v>
      </x:c>
      <x:c r="C744" s="27" t="n">
        <x:f>INT(B744)</x:f>
        <x:v>43677</x:v>
      </x:c>
      <x:c r="D744" s="28" t="n">
        <x:f>MOD(B744,1)</x:f>
        <x:v>0.1327314814843703</x:v>
      </x:c>
      <x:c r="E744" s="29" t="n">
        <x:f>YEAR(B744)</x:f>
        <x:v>2019</x:v>
      </x:c>
      <x:c r="F744" s="29" t="n">
        <x:f>MONTH(B744)</x:f>
        <x:v>7</x:v>
      </x:c>
      <x:c r="G744" s="30" t="n">
        <x:v>-19.37</x:v>
      </x:c>
      <x:c r="H744" s="30" t="n">
        <x:v>-70.06</x:v>
      </x:c>
      <x:c r="I744" s="29" t="n">
        <x:v>74</x:v>
      </x:c>
      <x:c r="J744" s="31" t="n">
        <x:v>3.6</x:v>
      </x:c>
      <x:c r="K744" s="25" t="str">
        <x:f>IF(J744&gt;=7,"Muy fuerte (&gt;=7)",IF(J744&gt;=6,"Fuerte (6-6.9)",IF(J744&gt;=5,"Moderado alto (5-5.9)",IF(J744&gt;=4,"Moderado (4-4.9)","Menor a 4"))))</x:f>
        <x:v>Menor a 4</x:v>
      </x:c>
      <x:c r="L744" s="25" t="str">
        <x:f>IF(I744&lt;70,"Superficial (&lt;70 km)",IF(I744&lt;=300,"Intermedio (70-300 km)","Profundo (&gt;300 km)"))</x:f>
        <x:v>Intermedio (70-300 km)</x:v>
      </x:c>
      <x:c r="M744" s="25" t="str">
        <x:f>IF(J744&gt;=5,"Sí","No")</x:f>
        <x:v>No</x:v>
      </x:c>
      <x:c r="N744" s="25" t="str">
        <x:f>IF(J744&gt;=6,"Sí","No")</x:f>
        <x:v>No</x:v>
      </x:c>
      <x:c r="O744" s="25" t="str">
        <x:v>Pendiente: asignar con R/sf</x:v>
      </x:c>
    </x:row>
    <x:row r="745">
      <x:c r="A745" s="25" t="n">
        <x:v>744</x:v>
      </x:c>
      <x:c r="B745" s="26" t="n">
        <x:v>43859.7299537037</x:v>
      </x:c>
      <x:c r="C745" s="27" t="n">
        <x:f>INT(B745)</x:f>
        <x:v>43859</x:v>
      </x:c>
      <x:c r="D745" s="28" t="n">
        <x:f>MOD(B745,1)</x:f>
        <x:v>0.7299537037033588</x:v>
      </x:c>
      <x:c r="E745" s="29" t="n">
        <x:f>YEAR(B745)</x:f>
        <x:v>2020</x:v>
      </x:c>
      <x:c r="F745" s="29" t="n">
        <x:f>MONTH(B745)</x:f>
        <x:v>1</x:v>
      </x:c>
      <x:c r="G745" s="30" t="n">
        <x:v>-21.56</x:v>
      </x:c>
      <x:c r="H745" s="30" t="n">
        <x:v>-69.62</x:v>
      </x:c>
      <x:c r="I745" s="29" t="n">
        <x:v>48</x:v>
      </x:c>
      <x:c r="J745" s="31" t="n">
        <x:v>3.5</x:v>
      </x:c>
      <x:c r="K745" s="25" t="str">
        <x:f>IF(J745&gt;=7,"Muy fuerte (&gt;=7)",IF(J745&gt;=6,"Fuerte (6-6.9)",IF(J745&gt;=5,"Moderado alto (5-5.9)",IF(J745&gt;=4,"Moderado (4-4.9)","Menor a 4"))))</x:f>
        <x:v>Menor a 4</x:v>
      </x:c>
      <x:c r="L745" s="25" t="str">
        <x:f>IF(I745&lt;70,"Superficial (&lt;70 km)",IF(I745&lt;=300,"Intermedio (70-300 km)","Profundo (&gt;300 km)"))</x:f>
        <x:v>Superficial (&lt;70 km)</x:v>
      </x:c>
      <x:c r="M745" s="25" t="str">
        <x:f>IF(J745&gt;=5,"Sí","No")</x:f>
        <x:v>No</x:v>
      </x:c>
      <x:c r="N745" s="25" t="str">
        <x:f>IF(J745&gt;=6,"Sí","No")</x:f>
        <x:v>No</x:v>
      </x:c>
      <x:c r="O745" s="25" t="str">
        <x:v>Pendiente: asignar con R/sf</x:v>
      </x:c>
    </x:row>
    <x:row r="746">
      <x:c r="A746" s="25" t="n">
        <x:v>745</x:v>
      </x:c>
      <x:c r="B746" s="26" t="n">
        <x:v>43767.344247685185</x:v>
      </x:c>
      <x:c r="C746" s="27" t="n">
        <x:f>INT(B746)</x:f>
        <x:v>43767</x:v>
      </x:c>
      <x:c r="D746" s="28" t="n">
        <x:f>MOD(B746,1)</x:f>
        <x:v>0.34424768518510973</x:v>
      </x:c>
      <x:c r="E746" s="29" t="n">
        <x:f>YEAR(B746)</x:f>
        <x:v>2019</x:v>
      </x:c>
      <x:c r="F746" s="29" t="n">
        <x:f>MONTH(B746)</x:f>
        <x:v>10</x:v>
      </x:c>
      <x:c r="G746" s="30" t="n">
        <x:v>-23.13</x:v>
      </x:c>
      <x:c r="H746" s="30" t="n">
        <x:v>-70.67</x:v>
      </x:c>
      <x:c r="I746" s="29" t="n">
        <x:v>37</x:v>
      </x:c>
      <x:c r="J746" s="31" t="n">
        <x:v>4.8</x:v>
      </x:c>
      <x:c r="K746" s="25" t="str">
        <x:f>IF(J746&gt;=7,"Muy fuerte (&gt;=7)",IF(J746&gt;=6,"Fuerte (6-6.9)",IF(J746&gt;=5,"Moderado alto (5-5.9)",IF(J746&gt;=4,"Moderado (4-4.9)","Menor a 4"))))</x:f>
        <x:v>Moderado (4-4.9)</x:v>
      </x:c>
      <x:c r="L746" s="25" t="str">
        <x:f>IF(I746&lt;70,"Superficial (&lt;70 km)",IF(I746&lt;=300,"Intermedio (70-300 km)","Profundo (&gt;300 km)"))</x:f>
        <x:v>Superficial (&lt;70 km)</x:v>
      </x:c>
      <x:c r="M746" s="25" t="str">
        <x:f>IF(J746&gt;=5,"Sí","No")</x:f>
        <x:v>No</x:v>
      </x:c>
      <x:c r="N746" s="25" t="str">
        <x:f>IF(J746&gt;=6,"Sí","No")</x:f>
        <x:v>No</x:v>
      </x:c>
      <x:c r="O746" s="25" t="str">
        <x:v>Pendiente: asignar con R/sf</x:v>
      </x:c>
    </x:row>
    <x:row r="747">
      <x:c r="A747" s="25" t="n">
        <x:v>746</x:v>
      </x:c>
      <x:c r="B747" s="26" t="n">
        <x:v>43755.274351851855</x:v>
      </x:c>
      <x:c r="C747" s="27" t="n">
        <x:f>INT(B747)</x:f>
        <x:v>43755</x:v>
      </x:c>
      <x:c r="D747" s="28" t="n">
        <x:f>MOD(B747,1)</x:f>
        <x:v>0.27435185185458977</x:v>
      </x:c>
      <x:c r="E747" s="29" t="n">
        <x:f>YEAR(B747)</x:f>
        <x:v>2019</x:v>
      </x:c>
      <x:c r="F747" s="29" t="n">
        <x:f>MONTH(B747)</x:f>
        <x:v>10</x:v>
      </x:c>
      <x:c r="G747" s="30" t="n">
        <x:v>-23.7</x:v>
      </x:c>
      <x:c r="H747" s="30" t="n">
        <x:v>-68.99</x:v>
      </x:c>
      <x:c r="I747" s="29" t="n">
        <x:v>92</x:v>
      </x:c>
      <x:c r="J747" s="31" t="n">
        <x:v>4.3</x:v>
      </x:c>
      <x:c r="K747" s="25" t="str">
        <x:f>IF(J747&gt;=7,"Muy fuerte (&gt;=7)",IF(J747&gt;=6,"Fuerte (6-6.9)",IF(J747&gt;=5,"Moderado alto (5-5.9)",IF(J747&gt;=4,"Moderado (4-4.9)","Menor a 4"))))</x:f>
        <x:v>Moderado (4-4.9)</x:v>
      </x:c>
      <x:c r="L747" s="25" t="str">
        <x:f>IF(I747&lt;70,"Superficial (&lt;70 km)",IF(I747&lt;=300,"Intermedio (70-300 km)","Profundo (&gt;300 km)"))</x:f>
        <x:v>Intermedio (70-300 km)</x:v>
      </x:c>
      <x:c r="M747" s="25" t="str">
        <x:f>IF(J747&gt;=5,"Sí","No")</x:f>
        <x:v>No</x:v>
      </x:c>
      <x:c r="N747" s="25" t="str">
        <x:f>IF(J747&gt;=6,"Sí","No")</x:f>
        <x:v>No</x:v>
      </x:c>
      <x:c r="O747" s="25" t="str">
        <x:v>Pendiente: asignar con R/sf</x:v>
      </x:c>
    </x:row>
    <x:row r="748">
      <x:c r="A748" s="25" t="n">
        <x:v>747</x:v>
      </x:c>
      <x:c r="B748" s="26" t="n">
        <x:v>43907.02737268519</x:v>
      </x:c>
      <x:c r="C748" s="27" t="n">
        <x:f>INT(B748)</x:f>
        <x:v>43907</x:v>
      </x:c>
      <x:c r="D748" s="28" t="n">
        <x:f>MOD(B748,1)</x:f>
        <x:v>0.027372685188311152</x:v>
      </x:c>
      <x:c r="E748" s="29" t="n">
        <x:f>YEAR(B748)</x:f>
        <x:v>2020</x:v>
      </x:c>
      <x:c r="F748" s="29" t="n">
        <x:f>MONTH(B748)</x:f>
        <x:v>3</x:v>
      </x:c>
      <x:c r="G748" s="30" t="n">
        <x:v>-20.14</x:v>
      </x:c>
      <x:c r="H748" s="30" t="n">
        <x:v>-69.23</x:v>
      </x:c>
      <x:c r="I748" s="29" t="n">
        <x:v>94</x:v>
      </x:c>
      <x:c r="J748" s="31" t="n">
        <x:v>4.1</x:v>
      </x:c>
      <x:c r="K748" s="25" t="str">
        <x:f>IF(J748&gt;=7,"Muy fuerte (&gt;=7)",IF(J748&gt;=6,"Fuerte (6-6.9)",IF(J748&gt;=5,"Moderado alto (5-5.9)",IF(J748&gt;=4,"Moderado (4-4.9)","Menor a 4"))))</x:f>
        <x:v>Moderado (4-4.9)</x:v>
      </x:c>
      <x:c r="L748" s="25" t="str">
        <x:f>IF(I748&lt;70,"Superficial (&lt;70 km)",IF(I748&lt;=300,"Intermedio (70-300 km)","Profundo (&gt;300 km)"))</x:f>
        <x:v>Intermedio (70-300 km)</x:v>
      </x:c>
      <x:c r="M748" s="25" t="str">
        <x:f>IF(J748&gt;=5,"Sí","No")</x:f>
        <x:v>No</x:v>
      </x:c>
      <x:c r="N748" s="25" t="str">
        <x:f>IF(J748&gt;=6,"Sí","No")</x:f>
        <x:v>No</x:v>
      </x:c>
      <x:c r="O748" s="25" t="str">
        <x:v>Pendiente: asignar con R/sf</x:v>
      </x:c>
    </x:row>
    <x:row r="749">
      <x:c r="A749" s="25" t="n">
        <x:v>748</x:v>
      </x:c>
      <x:c r="B749" s="26" t="n">
        <x:v>43735.47318287037</x:v>
      </x:c>
      <x:c r="C749" s="27" t="n">
        <x:f>INT(B749)</x:f>
        <x:v>43735</x:v>
      </x:c>
      <x:c r="D749" s="28" t="n">
        <x:f>MOD(B749,1)</x:f>
        <x:v>0.4731828703734209</x:v>
      </x:c>
      <x:c r="E749" s="29" t="n">
        <x:f>YEAR(B749)</x:f>
        <x:v>2019</x:v>
      </x:c>
      <x:c r="F749" s="29" t="n">
        <x:f>MONTH(B749)</x:f>
        <x:v>9</x:v>
      </x:c>
      <x:c r="G749" s="30" t="n">
        <x:v>-23.17</x:v>
      </x:c>
      <x:c r="H749" s="30" t="n">
        <x:v>-69.11</x:v>
      </x:c>
      <x:c r="I749" s="29" t="n">
        <x:v>111</x:v>
      </x:c>
      <x:c r="J749" s="31" t="n">
        <x:v>4.8</x:v>
      </x:c>
      <x:c r="K749" s="25" t="str">
        <x:f>IF(J749&gt;=7,"Muy fuerte (&gt;=7)",IF(J749&gt;=6,"Fuerte (6-6.9)",IF(J749&gt;=5,"Moderado alto (5-5.9)",IF(J749&gt;=4,"Moderado (4-4.9)","Menor a 4"))))</x:f>
        <x:v>Moderado (4-4.9)</x:v>
      </x:c>
      <x:c r="L749" s="25" t="str">
        <x:f>IF(I749&lt;70,"Superficial (&lt;70 km)",IF(I749&lt;=300,"Intermedio (70-300 km)","Profundo (&gt;300 km)"))</x:f>
        <x:v>Intermedio (70-300 km)</x:v>
      </x:c>
      <x:c r="M749" s="25" t="str">
        <x:f>IF(J749&gt;=5,"Sí","No")</x:f>
        <x:v>No</x:v>
      </x:c>
      <x:c r="N749" s="25" t="str">
        <x:f>IF(J749&gt;=6,"Sí","No")</x:f>
        <x:v>No</x:v>
      </x:c>
      <x:c r="O749" s="25" t="str">
        <x:v>Pendiente: asignar con R/sf</x:v>
      </x:c>
    </x:row>
    <x:row r="750">
      <x:c r="A750" s="25" t="n">
        <x:v>749</x:v>
      </x:c>
      <x:c r="B750" s="26" t="n">
        <x:v>43677.82946759259</x:v>
      </x:c>
      <x:c r="C750" s="27" t="n">
        <x:f>INT(B750)</x:f>
        <x:v>43677</x:v>
      </x:c>
      <x:c r="D750" s="28" t="n">
        <x:f>MOD(B750,1)</x:f>
        <x:v>0.8294675925935735</x:v>
      </x:c>
      <x:c r="E750" s="29" t="n">
        <x:f>YEAR(B750)</x:f>
        <x:v>2019</x:v>
      </x:c>
      <x:c r="F750" s="29" t="n">
        <x:f>MONTH(B750)</x:f>
        <x:v>7</x:v>
      </x:c>
      <x:c r="G750" s="30" t="n">
        <x:v>-20.07</x:v>
      </x:c>
      <x:c r="H750" s="30" t="n">
        <x:v>-69.76</x:v>
      </x:c>
      <x:c r="I750" s="29" t="n">
        <x:v>73</x:v>
      </x:c>
      <x:c r="J750" s="31" t="n">
        <x:v>3.8</x:v>
      </x:c>
      <x:c r="K750" s="25" t="str">
        <x:f>IF(J750&gt;=7,"Muy fuerte (&gt;=7)",IF(J750&gt;=6,"Fuerte (6-6.9)",IF(J750&gt;=5,"Moderado alto (5-5.9)",IF(J750&gt;=4,"Moderado (4-4.9)","Menor a 4"))))</x:f>
        <x:v>Menor a 4</x:v>
      </x:c>
      <x:c r="L750" s="25" t="str">
        <x:f>IF(I750&lt;70,"Superficial (&lt;70 km)",IF(I750&lt;=300,"Intermedio (70-300 km)","Profundo (&gt;300 km)"))</x:f>
        <x:v>Intermedio (70-300 km)</x:v>
      </x:c>
      <x:c r="M750" s="25" t="str">
        <x:f>IF(J750&gt;=5,"Sí","No")</x:f>
        <x:v>No</x:v>
      </x:c>
      <x:c r="N750" s="25" t="str">
        <x:f>IF(J750&gt;=6,"Sí","No")</x:f>
        <x:v>No</x:v>
      </x:c>
      <x:c r="O750" s="25" t="str">
        <x:v>Pendiente: asignar con R/sf</x:v>
      </x:c>
    </x:row>
    <x:row r="751">
      <x:c r="A751" s="25" t="n">
        <x:v>750</x:v>
      </x:c>
      <x:c r="B751" s="26" t="n">
        <x:v>43839.423472222225</x:v>
      </x:c>
      <x:c r="C751" s="27" t="n">
        <x:f>INT(B751)</x:f>
        <x:v>43839</x:v>
      </x:c>
      <x:c r="D751" s="28" t="n">
        <x:f>MOD(B751,1)</x:f>
        <x:v>0.4234722222245182</x:v>
      </x:c>
      <x:c r="E751" s="29" t="n">
        <x:f>YEAR(B751)</x:f>
        <x:v>2020</x:v>
      </x:c>
      <x:c r="F751" s="29" t="n">
        <x:f>MONTH(B751)</x:f>
        <x:v>1</x:v>
      </x:c>
      <x:c r="G751" s="30" t="n">
        <x:v>-19.64</x:v>
      </x:c>
      <x:c r="H751" s="30" t="n">
        <x:v>-70.06</x:v>
      </x:c>
      <x:c r="I751" s="29" t="n">
        <x:v>46</x:v>
      </x:c>
      <x:c r="J751" s="31" t="n">
        <x:v>4.3</x:v>
      </x:c>
      <x:c r="K751" s="25" t="str">
        <x:f>IF(J751&gt;=7,"Muy fuerte (&gt;=7)",IF(J751&gt;=6,"Fuerte (6-6.9)",IF(J751&gt;=5,"Moderado alto (5-5.9)",IF(J751&gt;=4,"Moderado (4-4.9)","Menor a 4"))))</x:f>
        <x:v>Moderado (4-4.9)</x:v>
      </x:c>
      <x:c r="L751" s="25" t="str">
        <x:f>IF(I751&lt;70,"Superficial (&lt;70 km)",IF(I751&lt;=300,"Intermedio (70-300 km)","Profundo (&gt;300 km)"))</x:f>
        <x:v>Superficial (&lt;70 km)</x:v>
      </x:c>
      <x:c r="M751" s="25" t="str">
        <x:f>IF(J751&gt;=5,"Sí","No")</x:f>
        <x:v>No</x:v>
      </x:c>
      <x:c r="N751" s="25" t="str">
        <x:f>IF(J751&gt;=6,"Sí","No")</x:f>
        <x:v>No</x:v>
      </x:c>
      <x:c r="O751" s="25" t="str">
        <x:v>Pendiente: asignar con R/sf</x:v>
      </x:c>
    </x:row>
    <x:row r="752">
      <x:c r="A752" s="25" t="n">
        <x:v>751</x:v>
      </x:c>
      <x:c r="B752" s="26" t="n">
        <x:v>43658.01347222222</x:v>
      </x:c>
      <x:c r="C752" s="27" t="n">
        <x:f>INT(B752)</x:f>
        <x:v>43658</x:v>
      </x:c>
      <x:c r="D752" s="28" t="n">
        <x:f>MOD(B752,1)</x:f>
        <x:v>0.013472222221025731</x:v>
      </x:c>
      <x:c r="E752" s="29" t="n">
        <x:f>YEAR(B752)</x:f>
        <x:v>2019</x:v>
      </x:c>
      <x:c r="F752" s="29" t="n">
        <x:f>MONTH(B752)</x:f>
        <x:v>7</x:v>
      </x:c>
      <x:c r="G752" s="30" t="n">
        <x:v>-19.69</x:v>
      </x:c>
      <x:c r="H752" s="30" t="n">
        <x:v>-69.73</x:v>
      </x:c>
      <x:c r="I752" s="29" t="n">
        <x:v>75</x:v>
      </x:c>
      <x:c r="J752" s="31" t="n">
        <x:v>3.3</x:v>
      </x:c>
      <x:c r="K752" s="25" t="str">
        <x:f>IF(J752&gt;=7,"Muy fuerte (&gt;=7)",IF(J752&gt;=6,"Fuerte (6-6.9)",IF(J752&gt;=5,"Moderado alto (5-5.9)",IF(J752&gt;=4,"Moderado (4-4.9)","Menor a 4"))))</x:f>
        <x:v>Menor a 4</x:v>
      </x:c>
      <x:c r="L752" s="25" t="str">
        <x:f>IF(I752&lt;70,"Superficial (&lt;70 km)",IF(I752&lt;=300,"Intermedio (70-300 km)","Profundo (&gt;300 km)"))</x:f>
        <x:v>Intermedio (70-300 km)</x:v>
      </x:c>
      <x:c r="M752" s="25" t="str">
        <x:f>IF(J752&gt;=5,"Sí","No")</x:f>
        <x:v>No</x:v>
      </x:c>
      <x:c r="N752" s="25" t="str">
        <x:f>IF(J752&gt;=6,"Sí","No")</x:f>
        <x:v>No</x:v>
      </x:c>
      <x:c r="O752" s="25" t="str">
        <x:v>Pendiente: asignar con R/sf</x:v>
      </x:c>
    </x:row>
    <x:row r="753">
      <x:c r="A753" s="25" t="n">
        <x:v>752</x:v>
      </x:c>
      <x:c r="B753" s="26" t="n">
        <x:v>43879.37902777778</x:v>
      </x:c>
      <x:c r="C753" s="27" t="n">
        <x:f>INT(B753)</x:f>
        <x:v>43879</x:v>
      </x:c>
      <x:c r="D753" s="28" t="n">
        <x:f>MOD(B753,1)</x:f>
        <x:v>0.3790277777807205</x:v>
      </x:c>
      <x:c r="E753" s="29" t="n">
        <x:f>YEAR(B753)</x:f>
        <x:v>2020</x:v>
      </x:c>
      <x:c r="F753" s="29" t="n">
        <x:f>MONTH(B753)</x:f>
        <x:v>2</x:v>
      </x:c>
      <x:c r="G753" s="30" t="n">
        <x:v>-19.12</x:v>
      </x:c>
      <x:c r="H753" s="30" t="n">
        <x:v>-70.44</x:v>
      </x:c>
      <x:c r="I753" s="29" t="n">
        <x:v>63</x:v>
      </x:c>
      <x:c r="J753" s="31" t="n">
        <x:v>3.9</x:v>
      </x:c>
      <x:c r="K753" s="25" t="str">
        <x:f>IF(J753&gt;=7,"Muy fuerte (&gt;=7)",IF(J753&gt;=6,"Fuerte (6-6.9)",IF(J753&gt;=5,"Moderado alto (5-5.9)",IF(J753&gt;=4,"Moderado (4-4.9)","Menor a 4"))))</x:f>
        <x:v>Menor a 4</x:v>
      </x:c>
      <x:c r="L753" s="25" t="str">
        <x:f>IF(I753&lt;70,"Superficial (&lt;70 km)",IF(I753&lt;=300,"Intermedio (70-300 km)","Profundo (&gt;300 km)"))</x:f>
        <x:v>Superficial (&lt;70 km)</x:v>
      </x:c>
      <x:c r="M753" s="25" t="str">
        <x:f>IF(J753&gt;=5,"Sí","No")</x:f>
        <x:v>No</x:v>
      </x:c>
      <x:c r="N753" s="25" t="str">
        <x:f>IF(J753&gt;=6,"Sí","No")</x:f>
        <x:v>No</x:v>
      </x:c>
      <x:c r="O753" s="25" t="str">
        <x:v>Pendiente: asignar con R/sf</x:v>
      </x:c>
    </x:row>
    <x:row r="754">
      <x:c r="A754" s="25" t="n">
        <x:v>753</x:v>
      </x:c>
      <x:c r="B754" s="26" t="n">
        <x:v>43900.57246527778</x:v>
      </x:c>
      <x:c r="C754" s="27" t="n">
        <x:f>INT(B754)</x:f>
        <x:v>43900</x:v>
      </x:c>
      <x:c r="D754" s="28" t="n">
        <x:f>MOD(B754,1)</x:f>
        <x:v>0.5724652777789743</x:v>
      </x:c>
      <x:c r="E754" s="29" t="n">
        <x:f>YEAR(B754)</x:f>
        <x:v>2020</x:v>
      </x:c>
      <x:c r="F754" s="29" t="n">
        <x:f>MONTH(B754)</x:f>
        <x:v>3</x:v>
      </x:c>
      <x:c r="G754" s="30" t="n">
        <x:v>-22.15</x:v>
      </x:c>
      <x:c r="H754" s="30" t="n">
        <x:v>-68.11</x:v>
      </x:c>
      <x:c r="I754" s="29" t="n">
        <x:v>157</x:v>
      </x:c>
      <x:c r="J754" s="31" t="n">
        <x:v>5</x:v>
      </x:c>
      <x:c r="K754" s="25" t="str">
        <x:f>IF(J754&gt;=7,"Muy fuerte (&gt;=7)",IF(J754&gt;=6,"Fuerte (6-6.9)",IF(J754&gt;=5,"Moderado alto (5-5.9)",IF(J754&gt;=4,"Moderado (4-4.9)","Menor a 4"))))</x:f>
        <x:v>Moderado alto (5-5.9)</x:v>
      </x:c>
      <x:c r="L754" s="25" t="str">
        <x:f>IF(I754&lt;70,"Superficial (&lt;70 km)",IF(I754&lt;=300,"Intermedio (70-300 km)","Profundo (&gt;300 km)"))</x:f>
        <x:v>Intermedio (70-300 km)</x:v>
      </x:c>
      <x:c r="M754" s="25" t="str">
        <x:f>IF(J754&gt;=5,"Sí","No")</x:f>
        <x:v>Sí</x:v>
      </x:c>
      <x:c r="N754" s="25" t="str">
        <x:f>IF(J754&gt;=6,"Sí","No")</x:f>
        <x:v>No</x:v>
      </x:c>
      <x:c r="O754" s="25" t="str">
        <x:v>Pendiente: asignar con R/sf</x:v>
      </x:c>
    </x:row>
    <x:row r="755">
      <x:c r="A755" s="25" t="n">
        <x:v>754</x:v>
      </x:c>
      <x:c r="B755" s="26" t="n">
        <x:v>43609.88994212963</x:v>
      </x:c>
      <x:c r="C755" s="27" t="n">
        <x:f>INT(B755)</x:f>
        <x:v>43609</x:v>
      </x:c>
      <x:c r="D755" s="28" t="n">
        <x:f>MOD(B755,1)</x:f>
        <x:v>0.8899421296300716</x:v>
      </x:c>
      <x:c r="E755" s="29" t="n">
        <x:f>YEAR(B755)</x:f>
        <x:v>2019</x:v>
      </x:c>
      <x:c r="F755" s="29" t="n">
        <x:f>MONTH(B755)</x:f>
        <x:v>5</x:v>
      </x:c>
      <x:c r="G755" s="30" t="n">
        <x:v>-20.03</x:v>
      </x:c>
      <x:c r="H755" s="30" t="n">
        <x:v>-69.14</x:v>
      </x:c>
      <x:c r="I755" s="29" t="n">
        <x:v>94</x:v>
      </x:c>
      <x:c r="J755" s="31" t="n">
        <x:v>3.7</x:v>
      </x:c>
      <x:c r="K755" s="25" t="str">
        <x:f>IF(J755&gt;=7,"Muy fuerte (&gt;=7)",IF(J755&gt;=6,"Fuerte (6-6.9)",IF(J755&gt;=5,"Moderado alto (5-5.9)",IF(J755&gt;=4,"Moderado (4-4.9)","Menor a 4"))))</x:f>
        <x:v>Menor a 4</x:v>
      </x:c>
      <x:c r="L755" s="25" t="str">
        <x:f>IF(I755&lt;70,"Superficial (&lt;70 km)",IF(I755&lt;=300,"Intermedio (70-300 km)","Profundo (&gt;300 km)"))</x:f>
        <x:v>Intermedio (70-300 km)</x:v>
      </x:c>
      <x:c r="M755" s="25" t="str">
        <x:f>IF(J755&gt;=5,"Sí","No")</x:f>
        <x:v>No</x:v>
      </x:c>
      <x:c r="N755" s="25" t="str">
        <x:f>IF(J755&gt;=6,"Sí","No")</x:f>
        <x:v>No</x:v>
      </x:c>
      <x:c r="O755" s="25" t="str">
        <x:v>Pendiente: asignar con R/sf</x:v>
      </x:c>
    </x:row>
    <x:row r="756">
      <x:c r="A756" s="25" t="n">
        <x:v>755</x:v>
      </x:c>
      <x:c r="B756" s="26" t="n">
        <x:v>43722.7365162037</x:v>
      </x:c>
      <x:c r="C756" s="27" t="n">
        <x:f>INT(B756)</x:f>
        <x:v>43722</x:v>
      </x:c>
      <x:c r="D756" s="28" t="n">
        <x:f>MOD(B756,1)</x:f>
        <x:v>0.7365162037021946</x:v>
      </x:c>
      <x:c r="E756" s="29" t="n">
        <x:f>YEAR(B756)</x:f>
        <x:v>2019</x:v>
      </x:c>
      <x:c r="F756" s="29" t="n">
        <x:f>MONTH(B756)</x:f>
        <x:v>9</x:v>
      </x:c>
      <x:c r="G756" s="30" t="n">
        <x:v>-25.19</x:v>
      </x:c>
      <x:c r="H756" s="30" t="n">
        <x:v>-70.67</x:v>
      </x:c>
      <x:c r="I756" s="29" t="n">
        <x:v>19</x:v>
      </x:c>
      <x:c r="J756" s="31" t="n">
        <x:v>4.2</x:v>
      </x:c>
      <x:c r="K756" s="25" t="str">
        <x:f>IF(J756&gt;=7,"Muy fuerte (&gt;=7)",IF(J756&gt;=6,"Fuerte (6-6.9)",IF(J756&gt;=5,"Moderado alto (5-5.9)",IF(J756&gt;=4,"Moderado (4-4.9)","Menor a 4"))))</x:f>
        <x:v>Moderado (4-4.9)</x:v>
      </x:c>
      <x:c r="L756" s="25" t="str">
        <x:f>IF(I756&lt;70,"Superficial (&lt;70 km)",IF(I756&lt;=300,"Intermedio (70-300 km)","Profundo (&gt;300 km)"))</x:f>
        <x:v>Superficial (&lt;70 km)</x:v>
      </x:c>
      <x:c r="M756" s="25" t="str">
        <x:f>IF(J756&gt;=5,"Sí","No")</x:f>
        <x:v>No</x:v>
      </x:c>
      <x:c r="N756" s="25" t="str">
        <x:f>IF(J756&gt;=6,"Sí","No")</x:f>
        <x:v>No</x:v>
      </x:c>
      <x:c r="O756" s="25" t="str">
        <x:v>Pendiente: asignar con R/sf</x:v>
      </x:c>
    </x:row>
    <x:row r="757">
      <x:c r="A757" s="25" t="n">
        <x:v>756</x:v>
      </x:c>
      <x:c r="B757" s="26" t="n">
        <x:v>43738.00832175926</x:v>
      </x:c>
      <x:c r="C757" s="27" t="n">
        <x:f>INT(B757)</x:f>
        <x:v>43738</x:v>
      </x:c>
      <x:c r="D757" s="28" t="n">
        <x:f>MOD(B757,1)</x:f>
        <x:v>0.008321759261889383</x:v>
      </x:c>
      <x:c r="E757" s="29" t="n">
        <x:f>YEAR(B757)</x:f>
        <x:v>2019</x:v>
      </x:c>
      <x:c r="F757" s="29" t="n">
        <x:f>MONTH(B757)</x:f>
        <x:v>9</x:v>
      </x:c>
      <x:c r="G757" s="30" t="n">
        <x:v>-20.29</x:v>
      </x:c>
      <x:c r="H757" s="30" t="n">
        <x:v>-70.23</x:v>
      </x:c>
      <x:c r="I757" s="29" t="n">
        <x:v>42</x:v>
      </x:c>
      <x:c r="J757" s="31" t="n">
        <x:v>3.5</x:v>
      </x:c>
      <x:c r="K757" s="25" t="str">
        <x:f>IF(J757&gt;=7,"Muy fuerte (&gt;=7)",IF(J757&gt;=6,"Fuerte (6-6.9)",IF(J757&gt;=5,"Moderado alto (5-5.9)",IF(J757&gt;=4,"Moderado (4-4.9)","Menor a 4"))))</x:f>
        <x:v>Menor a 4</x:v>
      </x:c>
      <x:c r="L757" s="25" t="str">
        <x:f>IF(I757&lt;70,"Superficial (&lt;70 km)",IF(I757&lt;=300,"Intermedio (70-300 km)","Profundo (&gt;300 km)"))</x:f>
        <x:v>Superficial (&lt;70 km)</x:v>
      </x:c>
      <x:c r="M757" s="25" t="str">
        <x:f>IF(J757&gt;=5,"Sí","No")</x:f>
        <x:v>No</x:v>
      </x:c>
      <x:c r="N757" s="25" t="str">
        <x:f>IF(J757&gt;=6,"Sí","No")</x:f>
        <x:v>No</x:v>
      </x:c>
      <x:c r="O757" s="25" t="str">
        <x:v>Pendiente: asignar con R/sf</x:v>
      </x:c>
    </x:row>
    <x:row r="758">
      <x:c r="A758" s="25" t="n">
        <x:v>757</x:v>
      </x:c>
      <x:c r="B758" s="26" t="n">
        <x:v>43892.96380787037</x:v>
      </x:c>
      <x:c r="C758" s="27" t="n">
        <x:f>INT(B758)</x:f>
        <x:v>43892</x:v>
      </x:c>
      <x:c r="D758" s="28" t="n">
        <x:f>MOD(B758,1)</x:f>
        <x:v>0.9638078703719657</x:v>
      </x:c>
      <x:c r="E758" s="29" t="n">
        <x:f>YEAR(B758)</x:f>
        <x:v>2020</x:v>
      </x:c>
      <x:c r="F758" s="29" t="n">
        <x:f>MONTH(B758)</x:f>
        <x:v>3</x:v>
      </x:c>
      <x:c r="G758" s="30" t="n">
        <x:v>-18.2</x:v>
      </x:c>
      <x:c r="H758" s="30" t="n">
        <x:v>-70.41</x:v>
      </x:c>
      <x:c r="I758" s="29" t="n">
        <x:v>57</x:v>
      </x:c>
      <x:c r="J758" s="31" t="n">
        <x:v>4.8</x:v>
      </x:c>
      <x:c r="K758" s="25" t="str">
        <x:f>IF(J758&gt;=7,"Muy fuerte (&gt;=7)",IF(J758&gt;=6,"Fuerte (6-6.9)",IF(J758&gt;=5,"Moderado alto (5-5.9)",IF(J758&gt;=4,"Moderado (4-4.9)","Menor a 4"))))</x:f>
        <x:v>Moderado (4-4.9)</x:v>
      </x:c>
      <x:c r="L758" s="25" t="str">
        <x:f>IF(I758&lt;70,"Superficial (&lt;70 km)",IF(I758&lt;=300,"Intermedio (70-300 km)","Profundo (&gt;300 km)"))</x:f>
        <x:v>Superficial (&lt;70 km)</x:v>
      </x:c>
      <x:c r="M758" s="25" t="str">
        <x:f>IF(J758&gt;=5,"Sí","No")</x:f>
        <x:v>No</x:v>
      </x:c>
      <x:c r="N758" s="25" t="str">
        <x:f>IF(J758&gt;=6,"Sí","No")</x:f>
        <x:v>No</x:v>
      </x:c>
      <x:c r="O758" s="25" t="str">
        <x:v>Pendiente: asignar con R/sf</x:v>
      </x:c>
    </x:row>
    <x:row r="759">
      <x:c r="A759" s="25" t="n">
        <x:v>758</x:v>
      </x:c>
      <x:c r="B759" s="26" t="n">
        <x:v>43767.10990740741</x:v>
      </x:c>
      <x:c r="C759" s="27" t="n">
        <x:f>INT(B759)</x:f>
        <x:v>43767</x:v>
      </x:c>
      <x:c r="D759" s="28" t="n">
        <x:f>MOD(B759,1)</x:f>
        <x:v>0.10990740740817273</x:v>
      </x:c>
      <x:c r="E759" s="29" t="n">
        <x:f>YEAR(B759)</x:f>
        <x:v>2019</x:v>
      </x:c>
      <x:c r="F759" s="29" t="n">
        <x:f>MONTH(B759)</x:f>
        <x:v>10</x:v>
      </x:c>
      <x:c r="G759" s="30" t="n">
        <x:v>-19.55</x:v>
      </x:c>
      <x:c r="H759" s="30" t="n">
        <x:v>-69.38</x:v>
      </x:c>
      <x:c r="I759" s="29" t="n">
        <x:v>98</x:v>
      </x:c>
      <x:c r="J759" s="31" t="n">
        <x:v>4.4</x:v>
      </x:c>
      <x:c r="K759" s="25" t="str">
        <x:f>IF(J759&gt;=7,"Muy fuerte (&gt;=7)",IF(J759&gt;=6,"Fuerte (6-6.9)",IF(J759&gt;=5,"Moderado alto (5-5.9)",IF(J759&gt;=4,"Moderado (4-4.9)","Menor a 4"))))</x:f>
        <x:v>Moderado (4-4.9)</x:v>
      </x:c>
      <x:c r="L759" s="25" t="str">
        <x:f>IF(I759&lt;70,"Superficial (&lt;70 km)",IF(I759&lt;=300,"Intermedio (70-300 km)","Profundo (&gt;300 km)"))</x:f>
        <x:v>Intermedio (70-300 km)</x:v>
      </x:c>
      <x:c r="M759" s="25" t="str">
        <x:f>IF(J759&gt;=5,"Sí","No")</x:f>
        <x:v>No</x:v>
      </x:c>
      <x:c r="N759" s="25" t="str">
        <x:f>IF(J759&gt;=6,"Sí","No")</x:f>
        <x:v>No</x:v>
      </x:c>
      <x:c r="O759" s="25" t="str">
        <x:v>Pendiente: asignar con R/sf</x:v>
      </x:c>
    </x:row>
    <x:row r="760">
      <x:c r="A760" s="25" t="n">
        <x:v>759</x:v>
      </x:c>
      <x:c r="B760" s="26" t="n">
        <x:v>43650.008472222224</x:v>
      </x:c>
      <x:c r="C760" s="27" t="n">
        <x:f>INT(B760)</x:f>
        <x:v>43650</x:v>
      </x:c>
      <x:c r="D760" s="28" t="n">
        <x:f>MOD(B760,1)</x:f>
        <x:v>0.008472222223645076</x:v>
      </x:c>
      <x:c r="E760" s="29" t="n">
        <x:f>YEAR(B760)</x:f>
        <x:v>2019</x:v>
      </x:c>
      <x:c r="F760" s="29" t="n">
        <x:f>MONTH(B760)</x:f>
        <x:v>7</x:v>
      </x:c>
      <x:c r="G760" s="30" t="n">
        <x:v>-19.31</x:v>
      </x:c>
      <x:c r="H760" s="30" t="n">
        <x:v>-69.41</x:v>
      </x:c>
      <x:c r="I760" s="29" t="n">
        <x:v>94</x:v>
      </x:c>
      <x:c r="J760" s="31" t="n">
        <x:v>4.2</x:v>
      </x:c>
      <x:c r="K760" s="25" t="str">
        <x:f>IF(J760&gt;=7,"Muy fuerte (&gt;=7)",IF(J760&gt;=6,"Fuerte (6-6.9)",IF(J760&gt;=5,"Moderado alto (5-5.9)",IF(J760&gt;=4,"Moderado (4-4.9)","Menor a 4"))))</x:f>
        <x:v>Moderado (4-4.9)</x:v>
      </x:c>
      <x:c r="L760" s="25" t="str">
        <x:f>IF(I760&lt;70,"Superficial (&lt;70 km)",IF(I760&lt;=300,"Intermedio (70-300 km)","Profundo (&gt;300 km)"))</x:f>
        <x:v>Intermedio (70-300 km)</x:v>
      </x:c>
      <x:c r="M760" s="25" t="str">
        <x:f>IF(J760&gt;=5,"Sí","No")</x:f>
        <x:v>No</x:v>
      </x:c>
      <x:c r="N760" s="25" t="str">
        <x:f>IF(J760&gt;=6,"Sí","No")</x:f>
        <x:v>No</x:v>
      </x:c>
      <x:c r="O760" s="25" t="str">
        <x:v>Pendiente: asignar con R/sf</x:v>
      </x:c>
    </x:row>
    <x:row r="761">
      <x:c r="A761" s="25" t="n">
        <x:v>760</x:v>
      </x:c>
      <x:c r="B761" s="26" t="n">
        <x:v>43802.31216435185</x:v>
      </x:c>
      <x:c r="C761" s="27" t="n">
        <x:f>INT(B761)</x:f>
        <x:v>43802</x:v>
      </x:c>
      <x:c r="D761" s="28" t="n">
        <x:f>MOD(B761,1)</x:f>
        <x:v>0.3121643518534256</x:v>
      </x:c>
      <x:c r="E761" s="29" t="n">
        <x:f>YEAR(B761)</x:f>
        <x:v>2019</x:v>
      </x:c>
      <x:c r="F761" s="29" t="n">
        <x:f>MONTH(B761)</x:f>
        <x:v>12</x:v>
      </x:c>
      <x:c r="G761" s="30" t="n">
        <x:v>-20.88</x:v>
      </x:c>
      <x:c r="H761" s="30" t="n">
        <x:v>-70.84</x:v>
      </x:c>
      <x:c r="I761" s="29" t="n">
        <x:v>23</x:v>
      </x:c>
      <x:c r="J761" s="31" t="n">
        <x:v>5.2</x:v>
      </x:c>
      <x:c r="K761" s="25" t="str">
        <x:f>IF(J761&gt;=7,"Muy fuerte (&gt;=7)",IF(J761&gt;=6,"Fuerte (6-6.9)",IF(J761&gt;=5,"Moderado alto (5-5.9)",IF(J761&gt;=4,"Moderado (4-4.9)","Menor a 4"))))</x:f>
        <x:v>Moderado alto (5-5.9)</x:v>
      </x:c>
      <x:c r="L761" s="25" t="str">
        <x:f>IF(I761&lt;70,"Superficial (&lt;70 km)",IF(I761&lt;=300,"Intermedio (70-300 km)","Profundo (&gt;300 km)"))</x:f>
        <x:v>Superficial (&lt;70 km)</x:v>
      </x:c>
      <x:c r="M761" s="25" t="str">
        <x:f>IF(J761&gt;=5,"Sí","No")</x:f>
        <x:v>Sí</x:v>
      </x:c>
      <x:c r="N761" s="25" t="str">
        <x:f>IF(J761&gt;=6,"Sí","No")</x:f>
        <x:v>No</x:v>
      </x:c>
      <x:c r="O761" s="25" t="str">
        <x:v>Pendiente: asignar con R/sf</x:v>
      </x:c>
    </x:row>
    <x:row r="762">
      <x:c r="A762" s="25" t="n">
        <x:v>761</x:v>
      </x:c>
      <x:c r="B762" s="26" t="n">
        <x:v>43826.40074074074</x:v>
      </x:c>
      <x:c r="C762" s="27" t="n">
        <x:f>INT(B762)</x:f>
        <x:v>43826</x:v>
      </x:c>
      <x:c r="D762" s="28" t="n">
        <x:f>MOD(B762,1)</x:f>
        <x:v>0.40074074074072996</x:v>
      </x:c>
      <x:c r="E762" s="29" t="n">
        <x:f>YEAR(B762)</x:f>
        <x:v>2019</x:v>
      </x:c>
      <x:c r="F762" s="29" t="n">
        <x:f>MONTH(B762)</x:f>
        <x:v>12</x:v>
      </x:c>
      <x:c r="G762" s="30" t="n">
        <x:v>-19.84</x:v>
      </x:c>
      <x:c r="H762" s="30" t="n">
        <x:v>-70.17</x:v>
      </x:c>
      <x:c r="I762" s="29" t="n">
        <x:v>38</x:v>
      </x:c>
      <x:c r="J762" s="31" t="n">
        <x:v>3.7</x:v>
      </x:c>
      <x:c r="K762" s="25" t="str">
        <x:f>IF(J762&gt;=7,"Muy fuerte (&gt;=7)",IF(J762&gt;=6,"Fuerte (6-6.9)",IF(J762&gt;=5,"Moderado alto (5-5.9)",IF(J762&gt;=4,"Moderado (4-4.9)","Menor a 4"))))</x:f>
        <x:v>Menor a 4</x:v>
      </x:c>
      <x:c r="L762" s="25" t="str">
        <x:f>IF(I762&lt;70,"Superficial (&lt;70 km)",IF(I762&lt;=300,"Intermedio (70-300 km)","Profundo (&gt;300 km)"))</x:f>
        <x:v>Superficial (&lt;70 km)</x:v>
      </x:c>
      <x:c r="M762" s="25" t="str">
        <x:f>IF(J762&gt;=5,"Sí","No")</x:f>
        <x:v>No</x:v>
      </x:c>
      <x:c r="N762" s="25" t="str">
        <x:f>IF(J762&gt;=6,"Sí","No")</x:f>
        <x:v>No</x:v>
      </x:c>
      <x:c r="O762" s="25" t="str">
        <x:v>Pendiente: asignar con R/sf</x:v>
      </x:c>
    </x:row>
    <x:row r="763">
      <x:c r="A763" s="25" t="n">
        <x:v>762</x:v>
      </x:c>
      <x:c r="B763" s="26" t="n">
        <x:v>43920.41746527778</x:v>
      </x:c>
      <x:c r="C763" s="27" t="n">
        <x:f>INT(B763)</x:f>
        <x:v>43920</x:v>
      </x:c>
      <x:c r="D763" s="28" t="n">
        <x:f>MOD(B763,1)</x:f>
        <x:v>0.4174652777801384</x:v>
      </x:c>
      <x:c r="E763" s="29" t="n">
        <x:f>YEAR(B763)</x:f>
        <x:v>2020</x:v>
      </x:c>
      <x:c r="F763" s="29" t="n">
        <x:f>MONTH(B763)</x:f>
        <x:v>3</x:v>
      </x:c>
      <x:c r="G763" s="30" t="n">
        <x:v>-21.42</x:v>
      </x:c>
      <x:c r="H763" s="30" t="n">
        <x:v>-69.47</x:v>
      </x:c>
      <x:c r="I763" s="29" t="n">
        <x:v>28</x:v>
      </x:c>
      <x:c r="J763" s="31" t="n">
        <x:v>4.6</x:v>
      </x:c>
      <x:c r="K763" s="25" t="str">
        <x:f>IF(J763&gt;=7,"Muy fuerte (&gt;=7)",IF(J763&gt;=6,"Fuerte (6-6.9)",IF(J763&gt;=5,"Moderado alto (5-5.9)",IF(J763&gt;=4,"Moderado (4-4.9)","Menor a 4"))))</x:f>
        <x:v>Moderado (4-4.9)</x:v>
      </x:c>
      <x:c r="L763" s="25" t="str">
        <x:f>IF(I763&lt;70,"Superficial (&lt;70 km)",IF(I763&lt;=300,"Intermedio (70-300 km)","Profundo (&gt;300 km)"))</x:f>
        <x:v>Superficial (&lt;70 km)</x:v>
      </x:c>
      <x:c r="M763" s="25" t="str">
        <x:f>IF(J763&gt;=5,"Sí","No")</x:f>
        <x:v>No</x:v>
      </x:c>
      <x:c r="N763" s="25" t="str">
        <x:f>IF(J763&gt;=6,"Sí","No")</x:f>
        <x:v>No</x:v>
      </x:c>
      <x:c r="O763" s="25" t="str">
        <x:v>Pendiente: asignar con R/sf</x:v>
      </x:c>
    </x:row>
    <x:row r="764">
      <x:c r="A764" s="25" t="n">
        <x:v>763</x:v>
      </x:c>
      <x:c r="B764" s="26" t="n">
        <x:v>43578.73275462963</x:v>
      </x:c>
      <x:c r="C764" s="27" t="n">
        <x:f>INT(B764)</x:f>
        <x:v>43578</x:v>
      </x:c>
      <x:c r="D764" s="28" t="n">
        <x:f>MOD(B764,1)</x:f>
        <x:v>0.7327546296291985</x:v>
      </x:c>
      <x:c r="E764" s="29" t="n">
        <x:f>YEAR(B764)</x:f>
        <x:v>2019</x:v>
      </x:c>
      <x:c r="F764" s="29" t="n">
        <x:f>MONTH(B764)</x:f>
        <x:v>4</x:v>
      </x:c>
      <x:c r="G764" s="30" t="n">
        <x:v>-22.16</x:v>
      </x:c>
      <x:c r="H764" s="30" t="n">
        <x:v>-70.44</x:v>
      </x:c>
      <x:c r="I764" s="29" t="n">
        <x:v>34</x:v>
      </x:c>
      <x:c r="J764" s="31" t="n">
        <x:v>3.9</x:v>
      </x:c>
      <x:c r="K764" s="25" t="str">
        <x:f>IF(J764&gt;=7,"Muy fuerte (&gt;=7)",IF(J764&gt;=6,"Fuerte (6-6.9)",IF(J764&gt;=5,"Moderado alto (5-5.9)",IF(J764&gt;=4,"Moderado (4-4.9)","Menor a 4"))))</x:f>
        <x:v>Menor a 4</x:v>
      </x:c>
      <x:c r="L764" s="25" t="str">
        <x:f>IF(I764&lt;70,"Superficial (&lt;70 km)",IF(I764&lt;=300,"Intermedio (70-300 km)","Profundo (&gt;300 km)"))</x:f>
        <x:v>Superficial (&lt;70 km)</x:v>
      </x:c>
      <x:c r="M764" s="25" t="str">
        <x:f>IF(J764&gt;=5,"Sí","No")</x:f>
        <x:v>No</x:v>
      </x:c>
      <x:c r="N764" s="25" t="str">
        <x:f>IF(J764&gt;=6,"Sí","No")</x:f>
        <x:v>No</x:v>
      </x:c>
      <x:c r="O764" s="25" t="str">
        <x:v>Pendiente: asignar con R/sf</x:v>
      </x:c>
    </x:row>
    <x:row r="765">
      <x:c r="A765" s="25" t="n">
        <x:v>764</x:v>
      </x:c>
      <x:c r="B765" s="26" t="n">
        <x:v>43662.38630787037</x:v>
      </x:c>
      <x:c r="C765" s="27" t="n">
        <x:f>INT(B765)</x:f>
        <x:v>43662</x:v>
      </x:c>
      <x:c r="D765" s="28" t="n">
        <x:f>MOD(B765,1)</x:f>
        <x:v>0.38630787037254777</x:v>
      </x:c>
      <x:c r="E765" s="29" t="n">
        <x:f>YEAR(B765)</x:f>
        <x:v>2019</x:v>
      </x:c>
      <x:c r="F765" s="29" t="n">
        <x:f>MONTH(B765)</x:f>
        <x:v>7</x:v>
      </x:c>
      <x:c r="G765" s="30" t="n">
        <x:v>-20.79</x:v>
      </x:c>
      <x:c r="H765" s="30" t="n">
        <x:v>-69.72</x:v>
      </x:c>
      <x:c r="I765" s="29" t="n">
        <x:v>58</x:v>
      </x:c>
      <x:c r="J765" s="31" t="n">
        <x:v>3.7</x:v>
      </x:c>
      <x:c r="K765" s="25" t="str">
        <x:f>IF(J765&gt;=7,"Muy fuerte (&gt;=7)",IF(J765&gt;=6,"Fuerte (6-6.9)",IF(J765&gt;=5,"Moderado alto (5-5.9)",IF(J765&gt;=4,"Moderado (4-4.9)","Menor a 4"))))</x:f>
        <x:v>Menor a 4</x:v>
      </x:c>
      <x:c r="L765" s="25" t="str">
        <x:f>IF(I765&lt;70,"Superficial (&lt;70 km)",IF(I765&lt;=300,"Intermedio (70-300 km)","Profundo (&gt;300 km)"))</x:f>
        <x:v>Superficial (&lt;70 km)</x:v>
      </x:c>
      <x:c r="M765" s="25" t="str">
        <x:f>IF(J765&gt;=5,"Sí","No")</x:f>
        <x:v>No</x:v>
      </x:c>
      <x:c r="N765" s="25" t="str">
        <x:f>IF(J765&gt;=6,"Sí","No")</x:f>
        <x:v>No</x:v>
      </x:c>
      <x:c r="O765" s="25" t="str">
        <x:v>Pendiente: asignar con R/sf</x:v>
      </x:c>
    </x:row>
    <x:row r="766">
      <x:c r="A766" s="25" t="n">
        <x:v>765</x:v>
      </x:c>
      <x:c r="B766" s="26" t="n">
        <x:v>43711.786458333336</x:v>
      </x:c>
      <x:c r="C766" s="27" t="n">
        <x:f>INT(B766)</x:f>
        <x:v>43711</x:v>
      </x:c>
      <x:c r="D766" s="28" t="n">
        <x:f>MOD(B766,1)</x:f>
        <x:v>0.7864583333357587</x:v>
      </x:c>
      <x:c r="E766" s="29" t="n">
        <x:f>YEAR(B766)</x:f>
        <x:v>2019</x:v>
      </x:c>
      <x:c r="F766" s="29" t="n">
        <x:f>MONTH(B766)</x:f>
        <x:v>9</x:v>
      </x:c>
      <x:c r="G766" s="30" t="n">
        <x:v>-19.24</x:v>
      </x:c>
      <x:c r="H766" s="30" t="n">
        <x:v>-70.13</x:v>
      </x:c>
      <x:c r="I766" s="29" t="n">
        <x:v>55</x:v>
      </x:c>
      <x:c r="J766" s="31" t="n">
        <x:v>3.5</x:v>
      </x:c>
      <x:c r="K766" s="25" t="str">
        <x:f>IF(J766&gt;=7,"Muy fuerte (&gt;=7)",IF(J766&gt;=6,"Fuerte (6-6.9)",IF(J766&gt;=5,"Moderado alto (5-5.9)",IF(J766&gt;=4,"Moderado (4-4.9)","Menor a 4"))))</x:f>
        <x:v>Menor a 4</x:v>
      </x:c>
      <x:c r="L766" s="25" t="str">
        <x:f>IF(I766&lt;70,"Superficial (&lt;70 km)",IF(I766&lt;=300,"Intermedio (70-300 km)","Profundo (&gt;300 km)"))</x:f>
        <x:v>Superficial (&lt;70 km)</x:v>
      </x:c>
      <x:c r="M766" s="25" t="str">
        <x:f>IF(J766&gt;=5,"Sí","No")</x:f>
        <x:v>No</x:v>
      </x:c>
      <x:c r="N766" s="25" t="str">
        <x:f>IF(J766&gt;=6,"Sí","No")</x:f>
        <x:v>No</x:v>
      </x:c>
      <x:c r="O766" s="25" t="str">
        <x:v>Pendiente: asignar con R/sf</x:v>
      </x:c>
    </x:row>
    <x:row r="767">
      <x:c r="A767" s="25" t="n">
        <x:v>766</x:v>
      </x:c>
      <x:c r="B767" s="26" t="n">
        <x:v>43925.45947916667</x:v>
      </x:c>
      <x:c r="C767" s="27" t="n">
        <x:f>INT(B767)</x:f>
        <x:v>43925</x:v>
      </x:c>
      <x:c r="D767" s="28" t="n">
        <x:f>MOD(B767,1)</x:f>
        <x:v>0.4594791666677338</x:v>
      </x:c>
      <x:c r="E767" s="29" t="n">
        <x:f>YEAR(B767)</x:f>
        <x:v>2020</x:v>
      </x:c>
      <x:c r="F767" s="29" t="n">
        <x:f>MONTH(B767)</x:f>
        <x:v>4</x:v>
      </x:c>
      <x:c r="G767" s="30" t="n">
        <x:v>-22.07</x:v>
      </x:c>
      <x:c r="H767" s="30" t="n">
        <x:v>-70.13</x:v>
      </x:c>
      <x:c r="I767" s="29" t="n">
        <x:v>72</x:v>
      </x:c>
      <x:c r="J767" s="31" t="n">
        <x:v>3.8</x:v>
      </x:c>
      <x:c r="K767" s="25" t="str">
        <x:f>IF(J767&gt;=7,"Muy fuerte (&gt;=7)",IF(J767&gt;=6,"Fuerte (6-6.9)",IF(J767&gt;=5,"Moderado alto (5-5.9)",IF(J767&gt;=4,"Moderado (4-4.9)","Menor a 4"))))</x:f>
        <x:v>Menor a 4</x:v>
      </x:c>
      <x:c r="L767" s="25" t="str">
        <x:f>IF(I767&lt;70,"Superficial (&lt;70 km)",IF(I767&lt;=300,"Intermedio (70-300 km)","Profundo (&gt;300 km)"))</x:f>
        <x:v>Intermedio (70-300 km)</x:v>
      </x:c>
      <x:c r="M767" s="25" t="str">
        <x:f>IF(J767&gt;=5,"Sí","No")</x:f>
        <x:v>No</x:v>
      </x:c>
      <x:c r="N767" s="25" t="str">
        <x:f>IF(J767&gt;=6,"Sí","No")</x:f>
        <x:v>No</x:v>
      </x:c>
      <x:c r="O767" s="25" t="str">
        <x:v>Pendiente: asignar con R/sf</x:v>
      </x:c>
    </x:row>
    <x:row r="768">
      <x:c r="A768" s="25" t="n">
        <x:v>767</x:v>
      </x:c>
      <x:c r="B768" s="26" t="n">
        <x:v>43936.01321759259</x:v>
      </x:c>
      <x:c r="C768" s="27" t="n">
        <x:f>INT(B768)</x:f>
        <x:v>43936</x:v>
      </x:c>
      <x:c r="D768" s="28" t="n">
        <x:f>MOD(B768,1)</x:f>
        <x:v>0.01321759259008104</x:v>
      </x:c>
      <x:c r="E768" s="29" t="n">
        <x:f>YEAR(B768)</x:f>
        <x:v>2020</x:v>
      </x:c>
      <x:c r="F768" s="29" t="n">
        <x:f>MONTH(B768)</x:f>
        <x:v>4</x:v>
      </x:c>
      <x:c r="G768" s="30" t="n">
        <x:v>-20.2</x:v>
      </x:c>
      <x:c r="H768" s="30" t="n">
        <x:v>-69.19</x:v>
      </x:c>
      <x:c r="I768" s="29" t="n">
        <x:v>97</x:v>
      </x:c>
      <x:c r="J768" s="31" t="n">
        <x:v>4.5</x:v>
      </x:c>
      <x:c r="K768" s="25" t="str">
        <x:f>IF(J768&gt;=7,"Muy fuerte (&gt;=7)",IF(J768&gt;=6,"Fuerte (6-6.9)",IF(J768&gt;=5,"Moderado alto (5-5.9)",IF(J768&gt;=4,"Moderado (4-4.9)","Menor a 4"))))</x:f>
        <x:v>Moderado (4-4.9)</x:v>
      </x:c>
      <x:c r="L768" s="25" t="str">
        <x:f>IF(I768&lt;70,"Superficial (&lt;70 km)",IF(I768&lt;=300,"Intermedio (70-300 km)","Profundo (&gt;300 km)"))</x:f>
        <x:v>Intermedio (70-300 km)</x:v>
      </x:c>
      <x:c r="M768" s="25" t="str">
        <x:f>IF(J768&gt;=5,"Sí","No")</x:f>
        <x:v>No</x:v>
      </x:c>
      <x:c r="N768" s="25" t="str">
        <x:f>IF(J768&gt;=6,"Sí","No")</x:f>
        <x:v>No</x:v>
      </x:c>
      <x:c r="O768" s="25" t="str">
        <x:v>Pendiente: asignar con R/sf</x:v>
      </x:c>
    </x:row>
    <x:row r="769">
      <x:c r="A769" s="25" t="n">
        <x:v>768</x:v>
      </x:c>
      <x:c r="B769" s="26" t="n">
        <x:v>43682.92523148148</x:v>
      </x:c>
      <x:c r="C769" s="27" t="n">
        <x:f>INT(B769)</x:f>
        <x:v>43682</x:v>
      </x:c>
      <x:c r="D769" s="28" t="n">
        <x:f>MOD(B769,1)</x:f>
        <x:v>0.9252314814802958</x:v>
      </x:c>
      <x:c r="E769" s="29" t="n">
        <x:f>YEAR(B769)</x:f>
        <x:v>2019</x:v>
      </x:c>
      <x:c r="F769" s="29" t="n">
        <x:f>MONTH(B769)</x:f>
        <x:v>8</x:v>
      </x:c>
      <x:c r="G769" s="30" t="n">
        <x:v>-25.41</x:v>
      </x:c>
      <x:c r="H769" s="30" t="n">
        <x:v>-70.72</x:v>
      </x:c>
      <x:c r="I769" s="29" t="n">
        <x:v>26</x:v>
      </x:c>
      <x:c r="J769" s="31" t="n">
        <x:v>3.8</x:v>
      </x:c>
      <x:c r="K769" s="25" t="str">
        <x:f>IF(J769&gt;=7,"Muy fuerte (&gt;=7)",IF(J769&gt;=6,"Fuerte (6-6.9)",IF(J769&gt;=5,"Moderado alto (5-5.9)",IF(J769&gt;=4,"Moderado (4-4.9)","Menor a 4"))))</x:f>
        <x:v>Menor a 4</x:v>
      </x:c>
      <x:c r="L769" s="25" t="str">
        <x:f>IF(I769&lt;70,"Superficial (&lt;70 km)",IF(I769&lt;=300,"Intermedio (70-300 km)","Profundo (&gt;300 km)"))</x:f>
        <x:v>Superficial (&lt;70 km)</x:v>
      </x:c>
      <x:c r="M769" s="25" t="str">
        <x:f>IF(J769&gt;=5,"Sí","No")</x:f>
        <x:v>No</x:v>
      </x:c>
      <x:c r="N769" s="25" t="str">
        <x:f>IF(J769&gt;=6,"Sí","No")</x:f>
        <x:v>No</x:v>
      </x:c>
      <x:c r="O769" s="25" t="str">
        <x:v>Pendiente: asignar con R/sf</x:v>
      </x:c>
    </x:row>
    <x:row r="770">
      <x:c r="A770" s="25" t="n">
        <x:v>769</x:v>
      </x:c>
      <x:c r="B770" s="26" t="n">
        <x:v>43936.388090277775</x:v>
      </x:c>
      <x:c r="C770" s="27" t="n">
        <x:f>INT(B770)</x:f>
        <x:v>43936</x:v>
      </x:c>
      <x:c r="D770" s="28" t="n">
        <x:f>MOD(B770,1)</x:f>
        <x:v>0.3880902777746087</x:v>
      </x:c>
      <x:c r="E770" s="29" t="n">
        <x:f>YEAR(B770)</x:f>
        <x:v>2020</x:v>
      </x:c>
      <x:c r="F770" s="29" t="n">
        <x:f>MONTH(B770)</x:f>
        <x:v>4</x:v>
      </x:c>
      <x:c r="G770" s="30" t="n">
        <x:v>-19.63</x:v>
      </x:c>
      <x:c r="H770" s="30" t="n">
        <x:v>-70.38</x:v>
      </x:c>
      <x:c r="I770" s="29" t="n">
        <x:v>64</x:v>
      </x:c>
      <x:c r="J770" s="31" t="n">
        <x:v>4.6</x:v>
      </x:c>
      <x:c r="K770" s="25" t="str">
        <x:f>IF(J770&gt;=7,"Muy fuerte (&gt;=7)",IF(J770&gt;=6,"Fuerte (6-6.9)",IF(J770&gt;=5,"Moderado alto (5-5.9)",IF(J770&gt;=4,"Moderado (4-4.9)","Menor a 4"))))</x:f>
        <x:v>Moderado (4-4.9)</x:v>
      </x:c>
      <x:c r="L770" s="25" t="str">
        <x:f>IF(I770&lt;70,"Superficial (&lt;70 km)",IF(I770&lt;=300,"Intermedio (70-300 km)","Profundo (&gt;300 km)"))</x:f>
        <x:v>Superficial (&lt;70 km)</x:v>
      </x:c>
      <x:c r="M770" s="25" t="str">
        <x:f>IF(J770&gt;=5,"Sí","No")</x:f>
        <x:v>No</x:v>
      </x:c>
      <x:c r="N770" s="25" t="str">
        <x:f>IF(J770&gt;=6,"Sí","No")</x:f>
        <x:v>No</x:v>
      </x:c>
      <x:c r="O770" s="25" t="str">
        <x:v>Pendiente: asignar con R/sf</x:v>
      </x:c>
    </x:row>
    <x:row r="771">
      <x:c r="A771" s="25" t="n">
        <x:v>770</x:v>
      </x:c>
      <x:c r="B771" s="26" t="n">
        <x:v>43923.43172453704</x:v>
      </x:c>
      <x:c r="C771" s="27" t="n">
        <x:f>INT(B771)</x:f>
        <x:v>43923</x:v>
      </x:c>
      <x:c r="D771" s="28" t="n">
        <x:f>MOD(B771,1)</x:f>
        <x:v>0.4317245370402816</x:v>
      </x:c>
      <x:c r="E771" s="29" t="n">
        <x:f>YEAR(B771)</x:f>
        <x:v>2020</x:v>
      </x:c>
      <x:c r="F771" s="29" t="n">
        <x:f>MONTH(B771)</x:f>
        <x:v>4</x:v>
      </x:c>
      <x:c r="G771" s="30" t="n">
        <x:v>-18.52</x:v>
      </x:c>
      <x:c r="H771" s="30" t="n">
        <x:v>-70.46</x:v>
      </x:c>
      <x:c r="I771" s="29" t="n">
        <x:v>38</x:v>
      </x:c>
      <x:c r="J771" s="31" t="n">
        <x:v>4.1</x:v>
      </x:c>
      <x:c r="K771" s="25" t="str">
        <x:f>IF(J771&gt;=7,"Muy fuerte (&gt;=7)",IF(J771&gt;=6,"Fuerte (6-6.9)",IF(J771&gt;=5,"Moderado alto (5-5.9)",IF(J771&gt;=4,"Moderado (4-4.9)","Menor a 4"))))</x:f>
        <x:v>Moderado (4-4.9)</x:v>
      </x:c>
      <x:c r="L771" s="25" t="str">
        <x:f>IF(I771&lt;70,"Superficial (&lt;70 km)",IF(I771&lt;=300,"Intermedio (70-300 km)","Profundo (&gt;300 km)"))</x:f>
        <x:v>Superficial (&lt;70 km)</x:v>
      </x:c>
      <x:c r="M771" s="25" t="str">
        <x:f>IF(J771&gt;=5,"Sí","No")</x:f>
        <x:v>No</x:v>
      </x:c>
      <x:c r="N771" s="25" t="str">
        <x:f>IF(J771&gt;=6,"Sí","No")</x:f>
        <x:v>No</x:v>
      </x:c>
      <x:c r="O771" s="25" t="str">
        <x:v>Pendiente: asignar con R/sf</x:v>
      </x:c>
    </x:row>
    <x:row r="772">
      <x:c r="A772" s="25" t="n">
        <x:v>771</x:v>
      </x:c>
      <x:c r="B772" s="26" t="n">
        <x:v>43930.58810185185</x:v>
      </x:c>
      <x:c r="C772" s="27" t="n">
        <x:f>INT(B772)</x:f>
        <x:v>43930</x:v>
      </x:c>
      <x:c r="D772" s="28" t="n">
        <x:f>MOD(B772,1)</x:f>
        <x:v>0.588101851848478</x:v>
      </x:c>
      <x:c r="E772" s="29" t="n">
        <x:f>YEAR(B772)</x:f>
        <x:v>2020</x:v>
      </x:c>
      <x:c r="F772" s="29" t="n">
        <x:f>MONTH(B772)</x:f>
        <x:v>4</x:v>
      </x:c>
      <x:c r="G772" s="30" t="n">
        <x:v>-18.23</x:v>
      </x:c>
      <x:c r="H772" s="30" t="n">
        <x:v>-69.51</x:v>
      </x:c>
      <x:c r="I772" s="29" t="n">
        <x:v>149</x:v>
      </x:c>
      <x:c r="J772" s="31" t="n">
        <x:v>4.8</x:v>
      </x:c>
      <x:c r="K772" s="25" t="str">
        <x:f>IF(J772&gt;=7,"Muy fuerte (&gt;=7)",IF(J772&gt;=6,"Fuerte (6-6.9)",IF(J772&gt;=5,"Moderado alto (5-5.9)",IF(J772&gt;=4,"Moderado (4-4.9)","Menor a 4"))))</x:f>
        <x:v>Moderado (4-4.9)</x:v>
      </x:c>
      <x:c r="L772" s="25" t="str">
        <x:f>IF(I772&lt;70,"Superficial (&lt;70 km)",IF(I772&lt;=300,"Intermedio (70-300 km)","Profundo (&gt;300 km)"))</x:f>
        <x:v>Intermedio (70-300 km)</x:v>
      </x:c>
      <x:c r="M772" s="25" t="str">
        <x:f>IF(J772&gt;=5,"Sí","No")</x:f>
        <x:v>No</x:v>
      </x:c>
      <x:c r="N772" s="25" t="str">
        <x:f>IF(J772&gt;=6,"Sí","No")</x:f>
        <x:v>No</x:v>
      </x:c>
      <x:c r="O772" s="25" t="str">
        <x:v>Pendiente: asignar con R/sf</x:v>
      </x:c>
    </x:row>
    <x:row r="773">
      <x:c r="A773" s="25" t="n">
        <x:v>772</x:v>
      </x:c>
      <x:c r="B773" s="26" t="n">
        <x:v>43467.68944444445</x:v>
      </x:c>
      <x:c r="C773" s="27" t="n">
        <x:f>INT(B773)</x:f>
        <x:v>43467</x:v>
      </x:c>
      <x:c r="D773" s="28" t="n">
        <x:f>MOD(B773,1)</x:f>
        <x:v>0.6894444444478722</x:v>
      </x:c>
      <x:c r="E773" s="29" t="n">
        <x:f>YEAR(B773)</x:f>
        <x:v>2019</x:v>
      </x:c>
      <x:c r="F773" s="29" t="n">
        <x:f>MONTH(B773)</x:f>
        <x:v>1</x:v>
      </x:c>
      <x:c r="G773" s="30" t="n">
        <x:v>-25.48</x:v>
      </x:c>
      <x:c r="H773" s="30" t="n">
        <x:v>-70.36</x:v>
      </x:c>
      <x:c r="I773" s="29" t="n">
        <x:v>52</x:v>
      </x:c>
      <x:c r="J773" s="31" t="n">
        <x:v>4.1</x:v>
      </x:c>
      <x:c r="K773" s="25" t="str">
        <x:f>IF(J773&gt;=7,"Muy fuerte (&gt;=7)",IF(J773&gt;=6,"Fuerte (6-6.9)",IF(J773&gt;=5,"Moderado alto (5-5.9)",IF(J773&gt;=4,"Moderado (4-4.9)","Menor a 4"))))</x:f>
        <x:v>Moderado (4-4.9)</x:v>
      </x:c>
      <x:c r="L773" s="25" t="str">
        <x:f>IF(I773&lt;70,"Superficial (&lt;70 km)",IF(I773&lt;=300,"Intermedio (70-300 km)","Profundo (&gt;300 km)"))</x:f>
        <x:v>Superficial (&lt;70 km)</x:v>
      </x:c>
      <x:c r="M773" s="25" t="str">
        <x:f>IF(J773&gt;=5,"Sí","No")</x:f>
        <x:v>No</x:v>
      </x:c>
      <x:c r="N773" s="25" t="str">
        <x:f>IF(J773&gt;=6,"Sí","No")</x:f>
        <x:v>No</x:v>
      </x:c>
      <x:c r="O773" s="25" t="str">
        <x:v>Pendiente: asignar con R/sf</x:v>
      </x:c>
    </x:row>
    <x:row r="774">
      <x:c r="A774" s="25" t="n">
        <x:v>773</x:v>
      </x:c>
      <x:c r="B774" s="26" t="n">
        <x:v>43922.687939814816</x:v>
      </x:c>
      <x:c r="C774" s="27" t="n">
        <x:f>INT(B774)</x:f>
        <x:v>43922</x:v>
      </x:c>
      <x:c r="D774" s="28" t="n">
        <x:f>MOD(B774,1)</x:f>
        <x:v>0.6879398148157634</x:v>
      </x:c>
      <x:c r="E774" s="29" t="n">
        <x:f>YEAR(B774)</x:f>
        <x:v>2020</x:v>
      </x:c>
      <x:c r="F774" s="29" t="n">
        <x:f>MONTH(B774)</x:f>
        <x:v>4</x:v>
      </x:c>
      <x:c r="G774" s="30" t="n">
        <x:v>-22.73</x:v>
      </x:c>
      <x:c r="H774" s="30" t="n">
        <x:v>-70.27</x:v>
      </x:c>
      <x:c r="I774" s="29" t="n">
        <x:v>36</x:v>
      </x:c>
      <x:c r="J774" s="31" t="n">
        <x:v>4.2</x:v>
      </x:c>
      <x:c r="K774" s="25" t="str">
        <x:f>IF(J774&gt;=7,"Muy fuerte (&gt;=7)",IF(J774&gt;=6,"Fuerte (6-6.9)",IF(J774&gt;=5,"Moderado alto (5-5.9)",IF(J774&gt;=4,"Moderado (4-4.9)","Menor a 4"))))</x:f>
        <x:v>Moderado (4-4.9)</x:v>
      </x:c>
      <x:c r="L774" s="25" t="str">
        <x:f>IF(I774&lt;70,"Superficial (&lt;70 km)",IF(I774&lt;=300,"Intermedio (70-300 km)","Profundo (&gt;300 km)"))</x:f>
        <x:v>Superficial (&lt;70 km)</x:v>
      </x:c>
      <x:c r="M774" s="25" t="str">
        <x:f>IF(J774&gt;=5,"Sí","No")</x:f>
        <x:v>No</x:v>
      </x:c>
      <x:c r="N774" s="25" t="str">
        <x:f>IF(J774&gt;=6,"Sí","No")</x:f>
        <x:v>No</x:v>
      </x:c>
      <x:c r="O774" s="25" t="str">
        <x:v>Pendiente: asignar con R/sf</x:v>
      </x:c>
    </x:row>
    <x:row r="775">
      <x:c r="A775" s="25" t="n">
        <x:v>774</x:v>
      </x:c>
      <x:c r="B775" s="26" t="n">
        <x:v>43951.391122685185</x:v>
      </x:c>
      <x:c r="C775" s="27" t="n">
        <x:f>INT(B775)</x:f>
        <x:v>43951</x:v>
      </x:c>
      <x:c r="D775" s="28" t="n">
        <x:f>MOD(B775,1)</x:f>
        <x:v>0.39112268518510973</x:v>
      </x:c>
      <x:c r="E775" s="29" t="n">
        <x:f>YEAR(B775)</x:f>
        <x:v>2020</x:v>
      </x:c>
      <x:c r="F775" s="29" t="n">
        <x:f>MONTH(B775)</x:f>
        <x:v>4</x:v>
      </x:c>
      <x:c r="G775" s="30" t="n">
        <x:v>-22.67</x:v>
      </x:c>
      <x:c r="H775" s="30" t="n">
        <x:v>-68.22</x:v>
      </x:c>
      <x:c r="I775" s="29" t="n">
        <x:v>127</x:v>
      </x:c>
      <x:c r="J775" s="31" t="n">
        <x:v>5.3</x:v>
      </x:c>
      <x:c r="K775" s="25" t="str">
        <x:f>IF(J775&gt;=7,"Muy fuerte (&gt;=7)",IF(J775&gt;=6,"Fuerte (6-6.9)",IF(J775&gt;=5,"Moderado alto (5-5.9)",IF(J775&gt;=4,"Moderado (4-4.9)","Menor a 4"))))</x:f>
        <x:v>Moderado alto (5-5.9)</x:v>
      </x:c>
      <x:c r="L775" s="25" t="str">
        <x:f>IF(I775&lt;70,"Superficial (&lt;70 km)",IF(I775&lt;=300,"Intermedio (70-300 km)","Profundo (&gt;300 km)"))</x:f>
        <x:v>Intermedio (70-300 km)</x:v>
      </x:c>
      <x:c r="M775" s="25" t="str">
        <x:f>IF(J775&gt;=5,"Sí","No")</x:f>
        <x:v>Sí</x:v>
      </x:c>
      <x:c r="N775" s="25" t="str">
        <x:f>IF(J775&gt;=6,"Sí","No")</x:f>
        <x:v>No</x:v>
      </x:c>
      <x:c r="O775" s="25" t="str">
        <x:v>Pendiente: asignar con R/sf</x:v>
      </x:c>
    </x:row>
    <x:row r="776">
      <x:c r="A776" s="25" t="n">
        <x:v>775</x:v>
      </x:c>
      <x:c r="B776" s="26" t="n">
        <x:v>43947.20920138889</x:v>
      </x:c>
      <x:c r="C776" s="27" t="n">
        <x:f>INT(B776)</x:f>
        <x:v>43947</x:v>
      </x:c>
      <x:c r="D776" s="28" t="n">
        <x:f>MOD(B776,1)</x:f>
        <x:v>0.20920138889050577</x:v>
      </x:c>
      <x:c r="E776" s="29" t="n">
        <x:f>YEAR(B776)</x:f>
        <x:v>2020</x:v>
      </x:c>
      <x:c r="F776" s="29" t="n">
        <x:f>MONTH(B776)</x:f>
        <x:v>4</x:v>
      </x:c>
      <x:c r="G776" s="30" t="n">
        <x:v>-19.89</x:v>
      </x:c>
      <x:c r="H776" s="30" t="n">
        <x:v>-70.07</x:v>
      </x:c>
      <x:c r="I776" s="29" t="n">
        <x:v>53</x:v>
      </x:c>
      <x:c r="J776" s="31" t="n">
        <x:v>3.7</x:v>
      </x:c>
      <x:c r="K776" s="25" t="str">
        <x:f>IF(J776&gt;=7,"Muy fuerte (&gt;=7)",IF(J776&gt;=6,"Fuerte (6-6.9)",IF(J776&gt;=5,"Moderado alto (5-5.9)",IF(J776&gt;=4,"Moderado (4-4.9)","Menor a 4"))))</x:f>
        <x:v>Menor a 4</x:v>
      </x:c>
      <x:c r="L776" s="25" t="str">
        <x:f>IF(I776&lt;70,"Superficial (&lt;70 km)",IF(I776&lt;=300,"Intermedio (70-300 km)","Profundo (&gt;300 km)"))</x:f>
        <x:v>Superficial (&lt;70 km)</x:v>
      </x:c>
      <x:c r="M776" s="25" t="str">
        <x:f>IF(J776&gt;=5,"Sí","No")</x:f>
        <x:v>No</x:v>
      </x:c>
      <x:c r="N776" s="25" t="str">
        <x:f>IF(J776&gt;=6,"Sí","No")</x:f>
        <x:v>No</x:v>
      </x:c>
      <x:c r="O776" s="25" t="str">
        <x:v>Pendiente: asignar con R/sf</x:v>
      </x:c>
    </x:row>
    <x:row r="777">
      <x:c r="A777" s="25" t="n">
        <x:v>776</x:v>
      </x:c>
      <x:c r="B777" s="26" t="n">
        <x:v>43690.46784722222</x:v>
      </x:c>
      <x:c r="C777" s="27" t="n">
        <x:f>INT(B777)</x:f>
        <x:v>43690</x:v>
      </x:c>
      <x:c r="D777" s="28" t="n">
        <x:f>MOD(B777,1)</x:f>
        <x:v>0.4678472222221899</x:v>
      </x:c>
      <x:c r="E777" s="29" t="n">
        <x:f>YEAR(B777)</x:f>
        <x:v>2019</x:v>
      </x:c>
      <x:c r="F777" s="29" t="n">
        <x:f>MONTH(B777)</x:f>
        <x:v>8</x:v>
      </x:c>
      <x:c r="G777" s="30" t="n">
        <x:v>-25.54</x:v>
      </x:c>
      <x:c r="H777" s="30" t="n">
        <x:v>-70.87</x:v>
      </x:c>
      <x:c r="I777" s="29" t="n">
        <x:v>47</x:v>
      </x:c>
      <x:c r="J777" s="31" t="n">
        <x:v>3.8</x:v>
      </x:c>
      <x:c r="K777" s="25" t="str">
        <x:f>IF(J777&gt;=7,"Muy fuerte (&gt;=7)",IF(J777&gt;=6,"Fuerte (6-6.9)",IF(J777&gt;=5,"Moderado alto (5-5.9)",IF(J777&gt;=4,"Moderado (4-4.9)","Menor a 4"))))</x:f>
        <x:v>Menor a 4</x:v>
      </x:c>
      <x:c r="L777" s="25" t="str">
        <x:f>IF(I777&lt;70,"Superficial (&lt;70 km)",IF(I777&lt;=300,"Intermedio (70-300 km)","Profundo (&gt;300 km)"))</x:f>
        <x:v>Superficial (&lt;70 km)</x:v>
      </x:c>
      <x:c r="M777" s="25" t="str">
        <x:f>IF(J777&gt;=5,"Sí","No")</x:f>
        <x:v>No</x:v>
      </x:c>
      <x:c r="N777" s="25" t="str">
        <x:f>IF(J777&gt;=6,"Sí","No")</x:f>
        <x:v>No</x:v>
      </x:c>
      <x:c r="O777" s="25" t="str">
        <x:v>Pendiente: asignar con R/sf</x:v>
      </x:c>
    </x:row>
    <x:row r="778">
      <x:c r="A778" s="25" t="n">
        <x:v>777</x:v>
      </x:c>
      <x:c r="B778" s="26" t="n">
        <x:v>43556.4050462963</x:v>
      </x:c>
      <x:c r="C778" s="27" t="n">
        <x:f>INT(B778)</x:f>
        <x:v>43556</x:v>
      </x:c>
      <x:c r="D778" s="28" t="n">
        <x:f>MOD(B778,1)</x:f>
        <x:v>0.4050462962986785</x:v>
      </x:c>
      <x:c r="E778" s="29" t="n">
        <x:f>YEAR(B778)</x:f>
        <x:v>2019</x:v>
      </x:c>
      <x:c r="F778" s="29" t="n">
        <x:f>MONTH(B778)</x:f>
        <x:v>4</x:v>
      </x:c>
      <x:c r="G778" s="30" t="n">
        <x:v>-25.36</x:v>
      </x:c>
      <x:c r="H778" s="30" t="n">
        <x:v>-70.87</x:v>
      </x:c>
      <x:c r="I778" s="29" t="n">
        <x:v>55</x:v>
      </x:c>
      <x:c r="J778" s="31" t="n">
        <x:v>3.5</x:v>
      </x:c>
      <x:c r="K778" s="25" t="str">
        <x:f>IF(J778&gt;=7,"Muy fuerte (&gt;=7)",IF(J778&gt;=6,"Fuerte (6-6.9)",IF(J778&gt;=5,"Moderado alto (5-5.9)",IF(J778&gt;=4,"Moderado (4-4.9)","Menor a 4"))))</x:f>
        <x:v>Menor a 4</x:v>
      </x:c>
      <x:c r="L778" s="25" t="str">
        <x:f>IF(I778&lt;70,"Superficial (&lt;70 km)",IF(I778&lt;=300,"Intermedio (70-300 km)","Profundo (&gt;300 km)"))</x:f>
        <x:v>Superficial (&lt;70 km)</x:v>
      </x:c>
      <x:c r="M778" s="25" t="str">
        <x:f>IF(J778&gt;=5,"Sí","No")</x:f>
        <x:v>No</x:v>
      </x:c>
      <x:c r="N778" s="25" t="str">
        <x:f>IF(J778&gt;=6,"Sí","No")</x:f>
        <x:v>No</x:v>
      </x:c>
      <x:c r="O778" s="25" t="str">
        <x:v>Pendiente: asignar con R/sf</x:v>
      </x:c>
    </x:row>
    <x:row r="779">
      <x:c r="A779" s="25" t="n">
        <x:v>778</x:v>
      </x:c>
      <x:c r="B779" s="26" t="n">
        <x:v>43773.38884259259</x:v>
      </x:c>
      <x:c r="C779" s="27" t="n">
        <x:f>INT(B779)</x:f>
        <x:v>43773</x:v>
      </x:c>
      <x:c r="D779" s="28" t="n">
        <x:f>MOD(B779,1)</x:f>
        <x:v>0.3888425925906631</x:v>
      </x:c>
      <x:c r="E779" s="29" t="n">
        <x:f>YEAR(B779)</x:f>
        <x:v>2019</x:v>
      </x:c>
      <x:c r="F779" s="29" t="n">
        <x:f>MONTH(B779)</x:f>
        <x:v>11</x:v>
      </x:c>
      <x:c r="G779" s="30" t="n">
        <x:v>-25.87</x:v>
      </x:c>
      <x:c r="H779" s="30" t="n">
        <x:v>-70.62</x:v>
      </x:c>
      <x:c r="I779" s="29" t="n">
        <x:v>67</x:v>
      </x:c>
      <x:c r="J779" s="31" t="n">
        <x:v>4.1</x:v>
      </x:c>
      <x:c r="K779" s="25" t="str">
        <x:f>IF(J779&gt;=7,"Muy fuerte (&gt;=7)",IF(J779&gt;=6,"Fuerte (6-6.9)",IF(J779&gt;=5,"Moderado alto (5-5.9)",IF(J779&gt;=4,"Moderado (4-4.9)","Menor a 4"))))</x:f>
        <x:v>Moderado (4-4.9)</x:v>
      </x:c>
      <x:c r="L779" s="25" t="str">
        <x:f>IF(I779&lt;70,"Superficial (&lt;70 km)",IF(I779&lt;=300,"Intermedio (70-300 km)","Profundo (&gt;300 km)"))</x:f>
        <x:v>Superficial (&lt;70 km)</x:v>
      </x:c>
      <x:c r="M779" s="25" t="str">
        <x:f>IF(J779&gt;=5,"Sí","No")</x:f>
        <x:v>No</x:v>
      </x:c>
      <x:c r="N779" s="25" t="str">
        <x:f>IF(J779&gt;=6,"Sí","No")</x:f>
        <x:v>No</x:v>
      </x:c>
      <x:c r="O779" s="25" t="str">
        <x:v>Pendiente: asignar con R/sf</x:v>
      </x:c>
    </x:row>
    <x:row r="780">
      <x:c r="A780" s="25" t="n">
        <x:v>779</x:v>
      </x:c>
      <x:c r="B780" s="26" t="n">
        <x:v>43935.668171296296</x:v>
      </x:c>
      <x:c r="C780" s="27" t="n">
        <x:f>INT(B780)</x:f>
        <x:v>43935</x:v>
      </x:c>
      <x:c r="D780" s="28" t="n">
        <x:f>MOD(B780,1)</x:f>
        <x:v>0.6681712962963502</x:v>
      </x:c>
      <x:c r="E780" s="29" t="n">
        <x:f>YEAR(B780)</x:f>
        <x:v>2020</x:v>
      </x:c>
      <x:c r="F780" s="29" t="n">
        <x:f>MONTH(B780)</x:f>
        <x:v>4</x:v>
      </x:c>
      <x:c r="G780" s="30" t="n">
        <x:v>-33.88</x:v>
      </x:c>
      <x:c r="H780" s="30" t="n">
        <x:v>-70.52</x:v>
      </x:c>
      <x:c r="I780" s="29" t="n">
        <x:v>114</x:v>
      </x:c>
      <x:c r="J780" s="31" t="n">
        <x:v>5.1</x:v>
      </x:c>
      <x:c r="K780" s="25" t="str">
        <x:f>IF(J780&gt;=7,"Muy fuerte (&gt;=7)",IF(J780&gt;=6,"Fuerte (6-6.9)",IF(J780&gt;=5,"Moderado alto (5-5.9)",IF(J780&gt;=4,"Moderado (4-4.9)","Menor a 4"))))</x:f>
        <x:v>Moderado alto (5-5.9)</x:v>
      </x:c>
      <x:c r="L780" s="25" t="str">
        <x:f>IF(I780&lt;70,"Superficial (&lt;70 km)",IF(I780&lt;=300,"Intermedio (70-300 km)","Profundo (&gt;300 km)"))</x:f>
        <x:v>Intermedio (70-300 km)</x:v>
      </x:c>
      <x:c r="M780" s="25" t="str">
        <x:f>IF(J780&gt;=5,"Sí","No")</x:f>
        <x:v>Sí</x:v>
      </x:c>
      <x:c r="N780" s="25" t="str">
        <x:f>IF(J780&gt;=6,"Sí","No")</x:f>
        <x:v>No</x:v>
      </x:c>
      <x:c r="O780" s="25" t="str">
        <x:v>Pendiente: asignar con R/sf</x:v>
      </x:c>
    </x:row>
    <x:row r="781">
      <x:c r="A781" s="25" t="n">
        <x:v>780</x:v>
      </x:c>
      <x:c r="B781" s="26" t="n">
        <x:v>43831.00790509259</x:v>
      </x:c>
      <x:c r="C781" s="27" t="n">
        <x:f>INT(B781)</x:f>
        <x:v>43831</x:v>
      </x:c>
      <x:c r="D781" s="28" t="n">
        <x:f>MOD(B781,1)</x:f>
        <x:v>0.007905092592409346</x:v>
      </x:c>
      <x:c r="E781" s="29" t="n">
        <x:f>YEAR(B781)</x:f>
        <x:v>2020</x:v>
      </x:c>
      <x:c r="F781" s="29" t="n">
        <x:f>MONTH(B781)</x:f>
        <x:v>1</x:v>
      </x:c>
      <x:c r="G781" s="30" t="n">
        <x:v>-25.64</x:v>
      </x:c>
      <x:c r="H781" s="30" t="n">
        <x:v>-70.52</x:v>
      </x:c>
      <x:c r="I781" s="29" t="n">
        <x:v>53</x:v>
      </x:c>
      <x:c r="J781" s="31" t="n">
        <x:v>3.5</x:v>
      </x:c>
      <x:c r="K781" s="25" t="str">
        <x:f>IF(J781&gt;=7,"Muy fuerte (&gt;=7)",IF(J781&gt;=6,"Fuerte (6-6.9)",IF(J781&gt;=5,"Moderado alto (5-5.9)",IF(J781&gt;=4,"Moderado (4-4.9)","Menor a 4"))))</x:f>
        <x:v>Menor a 4</x:v>
      </x:c>
      <x:c r="L781" s="25" t="str">
        <x:f>IF(I781&lt;70,"Superficial (&lt;70 km)",IF(I781&lt;=300,"Intermedio (70-300 km)","Profundo (&gt;300 km)"))</x:f>
        <x:v>Superficial (&lt;70 km)</x:v>
      </x:c>
      <x:c r="M781" s="25" t="str">
        <x:f>IF(J781&gt;=5,"Sí","No")</x:f>
        <x:v>No</x:v>
      </x:c>
      <x:c r="N781" s="25" t="str">
        <x:f>IF(J781&gt;=6,"Sí","No")</x:f>
        <x:v>No</x:v>
      </x:c>
      <x:c r="O781" s="25" t="str">
        <x:v>Pendiente: asignar con R/sf</x:v>
      </x:c>
    </x:row>
    <x:row r="782">
      <x:c r="A782" s="25" t="n">
        <x:v>781</x:v>
      </x:c>
      <x:c r="B782" s="26" t="n">
        <x:v>43827.742106481484</x:v>
      </x:c>
      <x:c r="C782" s="27" t="n">
        <x:f>INT(B782)</x:f>
        <x:v>43827</x:v>
      </x:c>
      <x:c r="D782" s="28" t="n">
        <x:f>MOD(B782,1)</x:f>
        <x:v>0.7421064814843703</x:v>
      </x:c>
      <x:c r="E782" s="29" t="n">
        <x:f>YEAR(B782)</x:f>
        <x:v>2019</x:v>
      </x:c>
      <x:c r="F782" s="29" t="n">
        <x:f>MONTH(B782)</x:f>
        <x:v>12</x:v>
      </x:c>
      <x:c r="G782" s="30" t="n">
        <x:v>-25.57</x:v>
      </x:c>
      <x:c r="H782" s="30" t="n">
        <x:v>-70.72</x:v>
      </x:c>
      <x:c r="I782" s="29" t="n">
        <x:v>44</x:v>
      </x:c>
      <x:c r="J782" s="31" t="n">
        <x:v>3.5</x:v>
      </x:c>
      <x:c r="K782" s="25" t="str">
        <x:f>IF(J782&gt;=7,"Muy fuerte (&gt;=7)",IF(J782&gt;=6,"Fuerte (6-6.9)",IF(J782&gt;=5,"Moderado alto (5-5.9)",IF(J782&gt;=4,"Moderado (4-4.9)","Menor a 4"))))</x:f>
        <x:v>Menor a 4</x:v>
      </x:c>
      <x:c r="L782" s="25" t="str">
        <x:f>IF(I782&lt;70,"Superficial (&lt;70 km)",IF(I782&lt;=300,"Intermedio (70-300 km)","Profundo (&gt;300 km)"))</x:f>
        <x:v>Superficial (&lt;70 km)</x:v>
      </x:c>
      <x:c r="M782" s="25" t="str">
        <x:f>IF(J782&gt;=5,"Sí","No")</x:f>
        <x:v>No</x:v>
      </x:c>
      <x:c r="N782" s="25" t="str">
        <x:f>IF(J782&gt;=6,"Sí","No")</x:f>
        <x:v>No</x:v>
      </x:c>
      <x:c r="O782" s="25" t="str">
        <x:v>Pendiente: asignar con R/sf</x:v>
      </x:c>
    </x:row>
    <x:row r="783">
      <x:c r="A783" s="25" t="n">
        <x:v>782</x:v>
      </x:c>
      <x:c r="B783" s="26" t="n">
        <x:v>43942.781701388885</x:v>
      </x:c>
      <x:c r="C783" s="27" t="n">
        <x:f>INT(B783)</x:f>
        <x:v>43942</x:v>
      </x:c>
      <x:c r="D783" s="28" t="n">
        <x:f>MOD(B783,1)</x:f>
        <x:v>0.7817013888852671</x:v>
      </x:c>
      <x:c r="E783" s="29" t="n">
        <x:f>YEAR(B783)</x:f>
        <x:v>2020</x:v>
      </x:c>
      <x:c r="F783" s="29" t="n">
        <x:f>MONTH(B783)</x:f>
        <x:v>4</x:v>
      </x:c>
      <x:c r="G783" s="30" t="n">
        <x:v>-22.06</x:v>
      </x:c>
      <x:c r="H783" s="30" t="n">
        <x:v>-70.44</x:v>
      </x:c>
      <x:c r="I783" s="29" t="n">
        <x:v>31</x:v>
      </x:c>
      <x:c r="J783" s="31" t="n">
        <x:v>4</x:v>
      </x:c>
      <x:c r="K783" s="25" t="str">
        <x:f>IF(J783&gt;=7,"Muy fuerte (&gt;=7)",IF(J783&gt;=6,"Fuerte (6-6.9)",IF(J783&gt;=5,"Moderado alto (5-5.9)",IF(J783&gt;=4,"Moderado (4-4.9)","Menor a 4"))))</x:f>
        <x:v>Moderado (4-4.9)</x:v>
      </x:c>
      <x:c r="L783" s="25" t="str">
        <x:f>IF(I783&lt;70,"Superficial (&lt;70 km)",IF(I783&lt;=300,"Intermedio (70-300 km)","Profundo (&gt;300 km)"))</x:f>
        <x:v>Superficial (&lt;70 km)</x:v>
      </x:c>
      <x:c r="M783" s="25" t="str">
        <x:f>IF(J783&gt;=5,"Sí","No")</x:f>
        <x:v>No</x:v>
      </x:c>
      <x:c r="N783" s="25" t="str">
        <x:f>IF(J783&gt;=6,"Sí","No")</x:f>
        <x:v>No</x:v>
      </x:c>
      <x:c r="O783" s="25" t="str">
        <x:v>Pendiente: asignar con R/sf</x:v>
      </x:c>
    </x:row>
    <x:row r="784">
      <x:c r="A784" s="25" t="n">
        <x:v>783</x:v>
      </x:c>
      <x:c r="B784" s="26" t="n">
        <x:v>43926.687210648146</x:v>
      </x:c>
      <x:c r="C784" s="27" t="n">
        <x:f>INT(B784)</x:f>
        <x:v>43926</x:v>
      </x:c>
      <x:c r="D784" s="28" t="n">
        <x:f>MOD(B784,1)</x:f>
        <x:v>0.6872106481459923</x:v>
      </x:c>
      <x:c r="E784" s="29" t="n">
        <x:f>YEAR(B784)</x:f>
        <x:v>2020</x:v>
      </x:c>
      <x:c r="F784" s="29" t="n">
        <x:f>MONTH(B784)</x:f>
        <x:v>4</x:v>
      </x:c>
      <x:c r="G784" s="30" t="n">
        <x:v>-20.15</x:v>
      </x:c>
      <x:c r="H784" s="30" t="n">
        <x:v>-70.09</x:v>
      </x:c>
      <x:c r="I784" s="29" t="n">
        <x:v>52</x:v>
      </x:c>
      <x:c r="J784" s="31" t="n">
        <x:v>4.4</x:v>
      </x:c>
      <x:c r="K784" s="25" t="str">
        <x:f>IF(J784&gt;=7,"Muy fuerte (&gt;=7)",IF(J784&gt;=6,"Fuerte (6-6.9)",IF(J784&gt;=5,"Moderado alto (5-5.9)",IF(J784&gt;=4,"Moderado (4-4.9)","Menor a 4"))))</x:f>
        <x:v>Moderado (4-4.9)</x:v>
      </x:c>
      <x:c r="L784" s="25" t="str">
        <x:f>IF(I784&lt;70,"Superficial (&lt;70 km)",IF(I784&lt;=300,"Intermedio (70-300 km)","Profundo (&gt;300 km)"))</x:f>
        <x:v>Superficial (&lt;70 km)</x:v>
      </x:c>
      <x:c r="M784" s="25" t="str">
        <x:f>IF(J784&gt;=5,"Sí","No")</x:f>
        <x:v>No</x:v>
      </x:c>
      <x:c r="N784" s="25" t="str">
        <x:f>IF(J784&gt;=6,"Sí","No")</x:f>
        <x:v>No</x:v>
      </x:c>
      <x:c r="O784" s="25" t="str">
        <x:v>Pendiente: asignar con R/sf</x:v>
      </x:c>
    </x:row>
    <x:row r="785">
      <x:c r="A785" s="25" t="n">
        <x:v>784</x:v>
      </x:c>
      <x:c r="B785" s="26" t="n">
        <x:v>43895.75425925926</x:v>
      </x:c>
      <x:c r="C785" s="27" t="n">
        <x:f>INT(B785)</x:f>
        <x:v>43895</x:v>
      </x:c>
      <x:c r="D785" s="28" t="n">
        <x:f>MOD(B785,1)</x:f>
        <x:v>0.7542592592581059</x:v>
      </x:c>
      <x:c r="E785" s="29" t="n">
        <x:f>YEAR(B785)</x:f>
        <x:v>2020</x:v>
      </x:c>
      <x:c r="F785" s="29" t="n">
        <x:f>MONTH(B785)</x:f>
        <x:v>3</x:v>
      </x:c>
      <x:c r="G785" s="30" t="n">
        <x:v>-23.86</x:v>
      </x:c>
      <x:c r="H785" s="30" t="n">
        <x:v>-69.81</x:v>
      </x:c>
      <x:c r="I785" s="29" t="n">
        <x:v>65</x:v>
      </x:c>
      <x:c r="J785" s="31" t="n">
        <x:v>4.9</x:v>
      </x:c>
      <x:c r="K785" s="25" t="str">
        <x:f>IF(J785&gt;=7,"Muy fuerte (&gt;=7)",IF(J785&gt;=6,"Fuerte (6-6.9)",IF(J785&gt;=5,"Moderado alto (5-5.9)",IF(J785&gt;=4,"Moderado (4-4.9)","Menor a 4"))))</x:f>
        <x:v>Moderado (4-4.9)</x:v>
      </x:c>
      <x:c r="L785" s="25" t="str">
        <x:f>IF(I785&lt;70,"Superficial (&lt;70 km)",IF(I785&lt;=300,"Intermedio (70-300 km)","Profundo (&gt;300 km)"))</x:f>
        <x:v>Superficial (&lt;70 km)</x:v>
      </x:c>
      <x:c r="M785" s="25" t="str">
        <x:f>IF(J785&gt;=5,"Sí","No")</x:f>
        <x:v>No</x:v>
      </x:c>
      <x:c r="N785" s="25" t="str">
        <x:f>IF(J785&gt;=6,"Sí","No")</x:f>
        <x:v>No</x:v>
      </x:c>
      <x:c r="O785" s="25" t="str">
        <x:v>Pendiente: asignar con R/sf</x:v>
      </x:c>
    </x:row>
    <x:row r="786">
      <x:c r="A786" s="25" t="n">
        <x:v>785</x:v>
      </x:c>
      <x:c r="B786" s="26" t="n">
        <x:v>43937.634108796294</x:v>
      </x:c>
      <x:c r="C786" s="27" t="n">
        <x:f>INT(B786)</x:f>
        <x:v>43937</x:v>
      </x:c>
      <x:c r="D786" s="28" t="n">
        <x:f>MOD(B786,1)</x:f>
        <x:v>0.6341087962937308</x:v>
      </x:c>
      <x:c r="E786" s="29" t="n">
        <x:f>YEAR(B786)</x:f>
        <x:v>2020</x:v>
      </x:c>
      <x:c r="F786" s="29" t="n">
        <x:f>MONTH(B786)</x:f>
        <x:v>4</x:v>
      </x:c>
      <x:c r="G786" s="30" t="n">
        <x:v>-37.96</x:v>
      </x:c>
      <x:c r="H786" s="30" t="n">
        <x:v>-73.7</x:v>
      </x:c>
      <x:c r="I786" s="29" t="n">
        <x:v>28</x:v>
      </x:c>
      <x:c r="J786" s="31" t="n">
        <x:v>5</x:v>
      </x:c>
      <x:c r="K786" s="25" t="str">
        <x:f>IF(J786&gt;=7,"Muy fuerte (&gt;=7)",IF(J786&gt;=6,"Fuerte (6-6.9)",IF(J786&gt;=5,"Moderado alto (5-5.9)",IF(J786&gt;=4,"Moderado (4-4.9)","Menor a 4"))))</x:f>
        <x:v>Moderado alto (5-5.9)</x:v>
      </x:c>
      <x:c r="L786" s="25" t="str">
        <x:f>IF(I786&lt;70,"Superficial (&lt;70 km)",IF(I786&lt;=300,"Intermedio (70-300 km)","Profundo (&gt;300 km)"))</x:f>
        <x:v>Superficial (&lt;70 km)</x:v>
      </x:c>
      <x:c r="M786" s="25" t="str">
        <x:f>IF(J786&gt;=5,"Sí","No")</x:f>
        <x:v>Sí</x:v>
      </x:c>
      <x:c r="N786" s="25" t="str">
        <x:f>IF(J786&gt;=6,"Sí","No")</x:f>
        <x:v>No</x:v>
      </x:c>
      <x:c r="O786" s="25" t="str">
        <x:v>Pendiente: asignar con R/sf</x:v>
      </x:c>
    </x:row>
    <x:row r="787">
      <x:c r="A787" s="25" t="n">
        <x:v>786</x:v>
      </x:c>
      <x:c r="B787" s="26" t="n">
        <x:v>43688.320439814815</x:v>
      </x:c>
      <x:c r="C787" s="27" t="n">
        <x:f>INT(B787)</x:f>
        <x:v>43688</x:v>
      </x:c>
      <x:c r="D787" s="28" t="n">
        <x:f>MOD(B787,1)</x:f>
        <x:v>0.32043981481547235</x:v>
      </x:c>
      <x:c r="E787" s="29" t="n">
        <x:f>YEAR(B787)</x:f>
        <x:v>2019</x:v>
      </x:c>
      <x:c r="F787" s="29" t="n">
        <x:f>MONTH(B787)</x:f>
        <x:v>8</x:v>
      </x:c>
      <x:c r="G787" s="30" t="n">
        <x:v>-25.05</x:v>
      </x:c>
      <x:c r="H787" s="30" t="n">
        <x:v>-70.81</x:v>
      </x:c>
      <x:c r="I787" s="29" t="n">
        <x:v>32</x:v>
      </x:c>
      <x:c r="J787" s="31" t="n">
        <x:v>3.9</x:v>
      </x:c>
      <x:c r="K787" s="25" t="str">
        <x:f>IF(J787&gt;=7,"Muy fuerte (&gt;=7)",IF(J787&gt;=6,"Fuerte (6-6.9)",IF(J787&gt;=5,"Moderado alto (5-5.9)",IF(J787&gt;=4,"Moderado (4-4.9)","Menor a 4"))))</x:f>
        <x:v>Menor a 4</x:v>
      </x:c>
      <x:c r="L787" s="25" t="str">
        <x:f>IF(I787&lt;70,"Superficial (&lt;70 km)",IF(I787&lt;=300,"Intermedio (70-300 km)","Profundo (&gt;300 km)"))</x:f>
        <x:v>Superficial (&lt;70 km)</x:v>
      </x:c>
      <x:c r="M787" s="25" t="str">
        <x:f>IF(J787&gt;=5,"Sí","No")</x:f>
        <x:v>No</x:v>
      </x:c>
      <x:c r="N787" s="25" t="str">
        <x:f>IF(J787&gt;=6,"Sí","No")</x:f>
        <x:v>No</x:v>
      </x:c>
      <x:c r="O787" s="25" t="str">
        <x:v>Pendiente: asignar con R/sf</x:v>
      </x:c>
    </x:row>
    <x:row r="788">
      <x:c r="A788" s="25" t="n">
        <x:v>787</x:v>
      </x:c>
      <x:c r="B788" s="26" t="n">
        <x:v>43403.94515046296</x:v>
      </x:c>
      <x:c r="C788" s="27" t="n">
        <x:f>INT(B788)</x:f>
        <x:v>43403</x:v>
      </x:c>
      <x:c r="D788" s="28" t="n">
        <x:f>MOD(B788,1)</x:f>
        <x:v>0.9451504629614647</x:v>
      </x:c>
      <x:c r="E788" s="29" t="n">
        <x:f>YEAR(B788)</x:f>
        <x:v>2018</x:v>
      </x:c>
      <x:c r="F788" s="29" t="n">
        <x:f>MONTH(B788)</x:f>
        <x:v>10</x:v>
      </x:c>
      <x:c r="G788" s="30" t="n">
        <x:v>-25.14</x:v>
      </x:c>
      <x:c r="H788" s="30" t="n">
        <x:v>-70.72</x:v>
      </x:c>
      <x:c r="I788" s="29" t="n">
        <x:v>46</x:v>
      </x:c>
      <x:c r="J788" s="31" t="n">
        <x:v>3.7</x:v>
      </x:c>
      <x:c r="K788" s="25" t="str">
        <x:f>IF(J788&gt;=7,"Muy fuerte (&gt;=7)",IF(J788&gt;=6,"Fuerte (6-6.9)",IF(J788&gt;=5,"Moderado alto (5-5.9)",IF(J788&gt;=4,"Moderado (4-4.9)","Menor a 4"))))</x:f>
        <x:v>Menor a 4</x:v>
      </x:c>
      <x:c r="L788" s="25" t="str">
        <x:f>IF(I788&lt;70,"Superficial (&lt;70 km)",IF(I788&lt;=300,"Intermedio (70-300 km)","Profundo (&gt;300 km)"))</x:f>
        <x:v>Superficial (&lt;70 km)</x:v>
      </x:c>
      <x:c r="M788" s="25" t="str">
        <x:f>IF(J788&gt;=5,"Sí","No")</x:f>
        <x:v>No</x:v>
      </x:c>
      <x:c r="N788" s="25" t="str">
        <x:f>IF(J788&gt;=6,"Sí","No")</x:f>
        <x:v>No</x:v>
      </x:c>
      <x:c r="O788" s="25" t="str">
        <x:v>Pendiente: asignar con R/sf</x:v>
      </x:c>
    </x:row>
    <x:row r="789">
      <x:c r="A789" s="25" t="n">
        <x:v>788</x:v>
      </x:c>
      <x:c r="B789" s="26" t="n">
        <x:v>43419.97903935185</x:v>
      </x:c>
      <x:c r="C789" s="27" t="n">
        <x:f>INT(B789)</x:f>
        <x:v>43419</x:v>
      </x:c>
      <x:c r="D789" s="28" t="n">
        <x:f>MOD(B789,1)</x:f>
        <x:v>0.979039351848769</x:v>
      </x:c>
      <x:c r="E789" s="29" t="n">
        <x:f>YEAR(B789)</x:f>
        <x:v>2018</x:v>
      </x:c>
      <x:c r="F789" s="29" t="n">
        <x:f>MONTH(B789)</x:f>
        <x:v>11</x:v>
      </x:c>
      <x:c r="G789" s="30" t="n">
        <x:v>-25.14</x:v>
      </x:c>
      <x:c r="H789" s="30" t="n">
        <x:v>-70.71</x:v>
      </x:c>
      <x:c r="I789" s="29" t="n">
        <x:v>43</x:v>
      </x:c>
      <x:c r="J789" s="31" t="n">
        <x:v>3.5</x:v>
      </x:c>
      <x:c r="K789" s="25" t="str">
        <x:f>IF(J789&gt;=7,"Muy fuerte (&gt;=7)",IF(J789&gt;=6,"Fuerte (6-6.9)",IF(J789&gt;=5,"Moderado alto (5-5.9)",IF(J789&gt;=4,"Moderado (4-4.9)","Menor a 4"))))</x:f>
        <x:v>Menor a 4</x:v>
      </x:c>
      <x:c r="L789" s="25" t="str">
        <x:f>IF(I789&lt;70,"Superficial (&lt;70 km)",IF(I789&lt;=300,"Intermedio (70-300 km)","Profundo (&gt;300 km)"))</x:f>
        <x:v>Superficial (&lt;70 km)</x:v>
      </x:c>
      <x:c r="M789" s="25" t="str">
        <x:f>IF(J789&gt;=5,"Sí","No")</x:f>
        <x:v>No</x:v>
      </x:c>
      <x:c r="N789" s="25" t="str">
        <x:f>IF(J789&gt;=6,"Sí","No")</x:f>
        <x:v>No</x:v>
      </x:c>
      <x:c r="O789" s="25" t="str">
        <x:v>Pendiente: asignar con R/sf</x:v>
      </x:c>
    </x:row>
    <x:row r="790">
      <x:c r="A790" s="25" t="n">
        <x:v>789</x:v>
      </x:c>
      <x:c r="B790" s="26" t="n">
        <x:v>43472.072905092595</x:v>
      </x:c>
      <x:c r="C790" s="27" t="n">
        <x:f>INT(B790)</x:f>
        <x:v>43472</x:v>
      </x:c>
      <x:c r="D790" s="28" t="n">
        <x:f>MOD(B790,1)</x:f>
        <x:v>0.07290509259473765</x:v>
      </x:c>
      <x:c r="E790" s="29" t="n">
        <x:f>YEAR(B790)</x:f>
        <x:v>2019</x:v>
      </x:c>
      <x:c r="F790" s="29" t="n">
        <x:f>MONTH(B790)</x:f>
        <x:v>1</x:v>
      </x:c>
      <x:c r="G790" s="30" t="n">
        <x:v>-25.42</x:v>
      </x:c>
      <x:c r="H790" s="30" t="n">
        <x:v>-70.89</x:v>
      </x:c>
      <x:c r="I790" s="29" t="n">
        <x:v>26</x:v>
      </x:c>
      <x:c r="J790" s="31" t="n">
        <x:v>3.6</x:v>
      </x:c>
      <x:c r="K790" s="25" t="str">
        <x:f>IF(J790&gt;=7,"Muy fuerte (&gt;=7)",IF(J790&gt;=6,"Fuerte (6-6.9)",IF(J790&gt;=5,"Moderado alto (5-5.9)",IF(J790&gt;=4,"Moderado (4-4.9)","Menor a 4"))))</x:f>
        <x:v>Menor a 4</x:v>
      </x:c>
      <x:c r="L790" s="25" t="str">
        <x:f>IF(I790&lt;70,"Superficial (&lt;70 km)",IF(I790&lt;=300,"Intermedio (70-300 km)","Profundo (&gt;300 km)"))</x:f>
        <x:v>Superficial (&lt;70 km)</x:v>
      </x:c>
      <x:c r="M790" s="25" t="str">
        <x:f>IF(J790&gt;=5,"Sí","No")</x:f>
        <x:v>No</x:v>
      </x:c>
      <x:c r="N790" s="25" t="str">
        <x:f>IF(J790&gt;=6,"Sí","No")</x:f>
        <x:v>No</x:v>
      </x:c>
      <x:c r="O790" s="25" t="str">
        <x:v>Pendiente: asignar con R/sf</x:v>
      </x:c>
    </x:row>
    <x:row r="791">
      <x:c r="A791" s="25" t="n">
        <x:v>790</x:v>
      </x:c>
      <x:c r="B791" s="26" t="n">
        <x:v>43554.77310185185</x:v>
      </x:c>
      <x:c r="C791" s="27" t="n">
        <x:f>INT(B791)</x:f>
        <x:v>43554</x:v>
      </x:c>
      <x:c r="D791" s="28" t="n">
        <x:f>MOD(B791,1)</x:f>
        <x:v>0.7731018518534256</x:v>
      </x:c>
      <x:c r="E791" s="29" t="n">
        <x:f>YEAR(B791)</x:f>
        <x:v>2019</x:v>
      </x:c>
      <x:c r="F791" s="29" t="n">
        <x:f>MONTH(B791)</x:f>
        <x:v>3</x:v>
      </x:c>
      <x:c r="G791" s="30" t="n">
        <x:v>-24</x:v>
      </x:c>
      <x:c r="H791" s="30" t="n">
        <x:v>-70.17</x:v>
      </x:c>
      <x:c r="I791" s="29" t="n">
        <x:v>43</x:v>
      </x:c>
      <x:c r="J791" s="31" t="n">
        <x:v>4.4</x:v>
      </x:c>
      <x:c r="K791" s="25" t="str">
        <x:f>IF(J791&gt;=7,"Muy fuerte (&gt;=7)",IF(J791&gt;=6,"Fuerte (6-6.9)",IF(J791&gt;=5,"Moderado alto (5-5.9)",IF(J791&gt;=4,"Moderado (4-4.9)","Menor a 4"))))</x:f>
        <x:v>Moderado (4-4.9)</x:v>
      </x:c>
      <x:c r="L791" s="25" t="str">
        <x:f>IF(I791&lt;70,"Superficial (&lt;70 km)",IF(I791&lt;=300,"Intermedio (70-300 km)","Profundo (&gt;300 km)"))</x:f>
        <x:v>Superficial (&lt;70 km)</x:v>
      </x:c>
      <x:c r="M791" s="25" t="str">
        <x:f>IF(J791&gt;=5,"Sí","No")</x:f>
        <x:v>No</x:v>
      </x:c>
      <x:c r="N791" s="25" t="str">
        <x:f>IF(J791&gt;=6,"Sí","No")</x:f>
        <x:v>No</x:v>
      </x:c>
      <x:c r="O791" s="25" t="str">
        <x:v>Pendiente: asignar con R/sf</x:v>
      </x:c>
    </x:row>
    <x:row r="792">
      <x:c r="A792" s="25" t="n">
        <x:v>791</x:v>
      </x:c>
      <x:c r="B792" s="26" t="n">
        <x:v>43974.549305555556</x:v>
      </x:c>
      <x:c r="C792" s="27" t="n">
        <x:f>INT(B792)</x:f>
        <x:v>43974</x:v>
      </x:c>
      <x:c r="D792" s="28" t="n">
        <x:f>MOD(B792,1)</x:f>
        <x:v>0.5493055555562023</x:v>
      </x:c>
      <x:c r="E792" s="29" t="n">
        <x:f>YEAR(B792)</x:f>
        <x:v>2020</x:v>
      </x:c>
      <x:c r="F792" s="29" t="n">
        <x:f>MONTH(B792)</x:f>
        <x:v>5</x:v>
      </x:c>
      <x:c r="G792" s="30" t="n">
        <x:v>-33.5</x:v>
      </x:c>
      <x:c r="H792" s="30" t="n">
        <x:v>-70.01</x:v>
      </x:c>
      <x:c r="I792" s="29" t="n">
        <x:v>118</x:v>
      </x:c>
      <x:c r="J792" s="31" t="n">
        <x:v>5.2</x:v>
      </x:c>
      <x:c r="K792" s="25" t="str">
        <x:f>IF(J792&gt;=7,"Muy fuerte (&gt;=7)",IF(J792&gt;=6,"Fuerte (6-6.9)",IF(J792&gt;=5,"Moderado alto (5-5.9)",IF(J792&gt;=4,"Moderado (4-4.9)","Menor a 4"))))</x:f>
        <x:v>Moderado alto (5-5.9)</x:v>
      </x:c>
      <x:c r="L792" s="25" t="str">
        <x:f>IF(I792&lt;70,"Superficial (&lt;70 km)",IF(I792&lt;=300,"Intermedio (70-300 km)","Profundo (&gt;300 km)"))</x:f>
        <x:v>Intermedio (70-300 km)</x:v>
      </x:c>
      <x:c r="M792" s="25" t="str">
        <x:f>IF(J792&gt;=5,"Sí","No")</x:f>
        <x:v>Sí</x:v>
      </x:c>
      <x:c r="N792" s="25" t="str">
        <x:f>IF(J792&gt;=6,"Sí","No")</x:f>
        <x:v>No</x:v>
      </x:c>
      <x:c r="O792" s="25" t="str">
        <x:v>Pendiente: asignar con R/sf</x:v>
      </x:c>
    </x:row>
    <x:row r="793">
      <x:c r="A793" s="25" t="n">
        <x:v>792</x:v>
      </x:c>
      <x:c r="B793" s="26" t="n">
        <x:v>43973.6246875</x:v>
      </x:c>
      <x:c r="C793" s="27" t="n">
        <x:f>INT(B793)</x:f>
        <x:v>43973</x:v>
      </x:c>
      <x:c r="D793" s="28" t="n">
        <x:f>MOD(B793,1)</x:f>
        <x:v>0.624687499999709</x:v>
      </x:c>
      <x:c r="E793" s="29" t="n">
        <x:f>YEAR(B793)</x:f>
        <x:v>2020</x:v>
      </x:c>
      <x:c r="F793" s="29" t="n">
        <x:f>MONTH(B793)</x:f>
        <x:v>5</x:v>
      </x:c>
      <x:c r="G793" s="30" t="n">
        <x:v>-22.93</x:v>
      </x:c>
      <x:c r="H793" s="30" t="n">
        <x:v>-69.04</x:v>
      </x:c>
      <x:c r="I793" s="29" t="n">
        <x:v>91</x:v>
      </x:c>
      <x:c r="J793" s="31" t="n">
        <x:v>5.2</x:v>
      </x:c>
      <x:c r="K793" s="25" t="str">
        <x:f>IF(J793&gt;=7,"Muy fuerte (&gt;=7)",IF(J793&gt;=6,"Fuerte (6-6.9)",IF(J793&gt;=5,"Moderado alto (5-5.9)",IF(J793&gt;=4,"Moderado (4-4.9)","Menor a 4"))))</x:f>
        <x:v>Moderado alto (5-5.9)</x:v>
      </x:c>
      <x:c r="L793" s="25" t="str">
        <x:f>IF(I793&lt;70,"Superficial (&lt;70 km)",IF(I793&lt;=300,"Intermedio (70-300 km)","Profundo (&gt;300 km)"))</x:f>
        <x:v>Intermedio (70-300 km)</x:v>
      </x:c>
      <x:c r="M793" s="25" t="str">
        <x:f>IF(J793&gt;=5,"Sí","No")</x:f>
        <x:v>Sí</x:v>
      </x:c>
      <x:c r="N793" s="25" t="str">
        <x:f>IF(J793&gt;=6,"Sí","No")</x:f>
        <x:v>No</x:v>
      </x:c>
      <x:c r="O793" s="25" t="str">
        <x:v>Pendiente: asignar con R/sf</x:v>
      </x:c>
    </x:row>
    <x:row r="794">
      <x:c r="A794" s="25" t="n">
        <x:v>793</x:v>
      </x:c>
      <x:c r="B794" s="26" t="n">
        <x:v>43975.903136574074</x:v>
      </x:c>
      <x:c r="C794" s="27" t="n">
        <x:f>INT(B794)</x:f>
        <x:v>43975</x:v>
      </x:c>
      <x:c r="D794" s="28" t="n">
        <x:f>MOD(B794,1)</x:f>
        <x:v>0.9031365740738693</x:v>
      </x:c>
      <x:c r="E794" s="29" t="n">
        <x:f>YEAR(B794)</x:f>
        <x:v>2020</x:v>
      </x:c>
      <x:c r="F794" s="29" t="n">
        <x:f>MONTH(B794)</x:f>
        <x:v>5</x:v>
      </x:c>
      <x:c r="G794" s="30" t="n">
        <x:v>-19.65</x:v>
      </x:c>
      <x:c r="H794" s="30" t="n">
        <x:v>-69.45</x:v>
      </x:c>
      <x:c r="I794" s="29" t="n">
        <x:v>99</x:v>
      </x:c>
      <x:c r="J794" s="31" t="n">
        <x:v>3.9</x:v>
      </x:c>
      <x:c r="K794" s="25" t="str">
        <x:f>IF(J794&gt;=7,"Muy fuerte (&gt;=7)",IF(J794&gt;=6,"Fuerte (6-6.9)",IF(J794&gt;=5,"Moderado alto (5-5.9)",IF(J794&gt;=4,"Moderado (4-4.9)","Menor a 4"))))</x:f>
        <x:v>Menor a 4</x:v>
      </x:c>
      <x:c r="L794" s="25" t="str">
        <x:f>IF(I794&lt;70,"Superficial (&lt;70 km)",IF(I794&lt;=300,"Intermedio (70-300 km)","Profundo (&gt;300 km)"))</x:f>
        <x:v>Intermedio (70-300 km)</x:v>
      </x:c>
      <x:c r="M794" s="25" t="str">
        <x:f>IF(J794&gt;=5,"Sí","No")</x:f>
        <x:v>No</x:v>
      </x:c>
      <x:c r="N794" s="25" t="str">
        <x:f>IF(J794&gt;=6,"Sí","No")</x:f>
        <x:v>No</x:v>
      </x:c>
      <x:c r="O794" s="25" t="str">
        <x:v>Pendiente: asignar con R/sf</x:v>
      </x:c>
    </x:row>
    <x:row r="795">
      <x:c r="A795" s="25" t="n">
        <x:v>794</x:v>
      </x:c>
      <x:c r="B795" s="26" t="n">
        <x:v>43963.96847222222</x:v>
      </x:c>
      <x:c r="C795" s="27" t="n">
        <x:f>INT(B795)</x:f>
        <x:v>43963</x:v>
      </x:c>
      <x:c r="D795" s="28" t="n">
        <x:f>MOD(B795,1)</x:f>
        <x:v>0.968472222222772</x:v>
      </x:c>
      <x:c r="E795" s="29" t="n">
        <x:f>YEAR(B795)</x:f>
        <x:v>2020</x:v>
      </x:c>
      <x:c r="F795" s="29" t="n">
        <x:f>MONTH(B795)</x:f>
        <x:v>5</x:v>
      </x:c>
      <x:c r="G795" s="30" t="n">
        <x:v>-20.21</x:v>
      </x:c>
      <x:c r="H795" s="30" t="n">
        <x:v>-69.2</x:v>
      </x:c>
      <x:c r="I795" s="29" t="n">
        <x:v>102</x:v>
      </x:c>
      <x:c r="J795" s="31" t="n">
        <x:v>4.5</x:v>
      </x:c>
      <x:c r="K795" s="25" t="str">
        <x:f>IF(J795&gt;=7,"Muy fuerte (&gt;=7)",IF(J795&gt;=6,"Fuerte (6-6.9)",IF(J795&gt;=5,"Moderado alto (5-5.9)",IF(J795&gt;=4,"Moderado (4-4.9)","Menor a 4"))))</x:f>
        <x:v>Moderado (4-4.9)</x:v>
      </x:c>
      <x:c r="L795" s="25" t="str">
        <x:f>IF(I795&lt;70,"Superficial (&lt;70 km)",IF(I795&lt;=300,"Intermedio (70-300 km)","Profundo (&gt;300 km)"))</x:f>
        <x:v>Intermedio (70-300 km)</x:v>
      </x:c>
      <x:c r="M795" s="25" t="str">
        <x:f>IF(J795&gt;=5,"Sí","No")</x:f>
        <x:v>No</x:v>
      </x:c>
      <x:c r="N795" s="25" t="str">
        <x:f>IF(J795&gt;=6,"Sí","No")</x:f>
        <x:v>No</x:v>
      </x:c>
      <x:c r="O795" s="25" t="str">
        <x:v>Pendiente: asignar con R/sf</x:v>
      </x:c>
    </x:row>
    <x:row r="796">
      <x:c r="A796" s="25" t="n">
        <x:v>795</x:v>
      </x:c>
      <x:c r="B796" s="26" t="n">
        <x:v>43955.102060185185</x:v>
      </x:c>
      <x:c r="C796" s="27" t="n">
        <x:f>INT(B796)</x:f>
        <x:v>43955</x:v>
      </x:c>
      <x:c r="D796" s="28" t="n">
        <x:f>MOD(B796,1)</x:f>
        <x:v>0.10206018518510973</x:v>
      </x:c>
      <x:c r="E796" s="29" t="n">
        <x:f>YEAR(B796)</x:f>
        <x:v>2020</x:v>
      </x:c>
      <x:c r="F796" s="29" t="n">
        <x:f>MONTH(B796)</x:f>
        <x:v>5</x:v>
      </x:c>
      <x:c r="G796" s="30" t="n">
        <x:v>-20.53</x:v>
      </x:c>
      <x:c r="H796" s="30" t="n">
        <x:v>-69.21</x:v>
      </x:c>
      <x:c r="I796" s="29" t="n">
        <x:v>95</x:v>
      </x:c>
      <x:c r="J796" s="31" t="n">
        <x:v>4.6</x:v>
      </x:c>
      <x:c r="K796" s="25" t="str">
        <x:f>IF(J796&gt;=7,"Muy fuerte (&gt;=7)",IF(J796&gt;=6,"Fuerte (6-6.9)",IF(J796&gt;=5,"Moderado alto (5-5.9)",IF(J796&gt;=4,"Moderado (4-4.9)","Menor a 4"))))</x:f>
        <x:v>Moderado (4-4.9)</x:v>
      </x:c>
      <x:c r="L796" s="25" t="str">
        <x:f>IF(I796&lt;70,"Superficial (&lt;70 km)",IF(I796&lt;=300,"Intermedio (70-300 km)","Profundo (&gt;300 km)"))</x:f>
        <x:v>Intermedio (70-300 km)</x:v>
      </x:c>
      <x:c r="M796" s="25" t="str">
        <x:f>IF(J796&gt;=5,"Sí","No")</x:f>
        <x:v>No</x:v>
      </x:c>
      <x:c r="N796" s="25" t="str">
        <x:f>IF(J796&gt;=6,"Sí","No")</x:f>
        <x:v>No</x:v>
      </x:c>
      <x:c r="O796" s="25" t="str">
        <x:v>Pendiente: asignar con R/sf</x:v>
      </x:c>
    </x:row>
    <x:row r="797">
      <x:c r="A797" s="25" t="n">
        <x:v>796</x:v>
      </x:c>
      <x:c r="B797" s="26" t="n">
        <x:v>43957.655</x:v>
      </x:c>
      <x:c r="C797" s="27" t="n">
        <x:f>INT(B797)</x:f>
        <x:v>43957</x:v>
      </x:c>
      <x:c r="D797" s="28" t="n">
        <x:f>MOD(B797,1)</x:f>
        <x:v>0.6549999999988358</x:v>
      </x:c>
      <x:c r="E797" s="29" t="n">
        <x:f>YEAR(B797)</x:f>
        <x:v>2020</x:v>
      </x:c>
      <x:c r="F797" s="29" t="n">
        <x:f>MONTH(B797)</x:f>
        <x:v>5</x:v>
      </x:c>
      <x:c r="G797" s="30" t="n">
        <x:v>-19.32</x:v>
      </x:c>
      <x:c r="H797" s="30" t="n">
        <x:v>-70.42</x:v>
      </x:c>
      <x:c r="I797" s="29" t="n">
        <x:v>74</x:v>
      </x:c>
      <x:c r="J797" s="31" t="n">
        <x:v>5.1</x:v>
      </x:c>
      <x:c r="K797" s="25" t="str">
        <x:f>IF(J797&gt;=7,"Muy fuerte (&gt;=7)",IF(J797&gt;=6,"Fuerte (6-6.9)",IF(J797&gt;=5,"Moderado alto (5-5.9)",IF(J797&gt;=4,"Moderado (4-4.9)","Menor a 4"))))</x:f>
        <x:v>Moderado alto (5-5.9)</x:v>
      </x:c>
      <x:c r="L797" s="25" t="str">
        <x:f>IF(I797&lt;70,"Superficial (&lt;70 km)",IF(I797&lt;=300,"Intermedio (70-300 km)","Profundo (&gt;300 km)"))</x:f>
        <x:v>Intermedio (70-300 km)</x:v>
      </x:c>
      <x:c r="M797" s="25" t="str">
        <x:f>IF(J797&gt;=5,"Sí","No")</x:f>
        <x:v>Sí</x:v>
      </x:c>
      <x:c r="N797" s="25" t="str">
        <x:f>IF(J797&gt;=6,"Sí","No")</x:f>
        <x:v>No</x:v>
      </x:c>
      <x:c r="O797" s="25" t="str">
        <x:v>Pendiente: asignar con R/sf</x:v>
      </x:c>
    </x:row>
    <x:row r="798">
      <x:c r="A798" s="25" t="n">
        <x:v>797</x:v>
      </x:c>
      <x:c r="B798" s="26" t="n">
        <x:v>43959.945925925924</x:v>
      </x:c>
      <x:c r="C798" s="27" t="n">
        <x:f>INT(B798)</x:f>
        <x:v>43959</x:v>
      </x:c>
      <x:c r="D798" s="28" t="n">
        <x:f>MOD(B798,1)</x:f>
        <x:v>0.9459259259238024</x:v>
      </x:c>
      <x:c r="E798" s="29" t="n">
        <x:f>YEAR(B798)</x:f>
        <x:v>2020</x:v>
      </x:c>
      <x:c r="F798" s="29" t="n">
        <x:f>MONTH(B798)</x:f>
        <x:v>5</x:v>
      </x:c>
      <x:c r="G798" s="30" t="n">
        <x:v>-23.16</x:v>
      </x:c>
      <x:c r="H798" s="30" t="n">
        <x:v>-68.92</x:v>
      </x:c>
      <x:c r="I798" s="29" t="n">
        <x:v>98</x:v>
      </x:c>
      <x:c r="J798" s="31" t="n">
        <x:v>5</x:v>
      </x:c>
      <x:c r="K798" s="25" t="str">
        <x:f>IF(J798&gt;=7,"Muy fuerte (&gt;=7)",IF(J798&gt;=6,"Fuerte (6-6.9)",IF(J798&gt;=5,"Moderado alto (5-5.9)",IF(J798&gt;=4,"Moderado (4-4.9)","Menor a 4"))))</x:f>
        <x:v>Moderado alto (5-5.9)</x:v>
      </x:c>
      <x:c r="L798" s="25" t="str">
        <x:f>IF(I798&lt;70,"Superficial (&lt;70 km)",IF(I798&lt;=300,"Intermedio (70-300 km)","Profundo (&gt;300 km)"))</x:f>
        <x:v>Intermedio (70-300 km)</x:v>
      </x:c>
      <x:c r="M798" s="25" t="str">
        <x:f>IF(J798&gt;=5,"Sí","No")</x:f>
        <x:v>Sí</x:v>
      </x:c>
      <x:c r="N798" s="25" t="str">
        <x:f>IF(J798&gt;=6,"Sí","No")</x:f>
        <x:v>No</x:v>
      </x:c>
      <x:c r="O798" s="25" t="str">
        <x:v>Pendiente: asignar con R/sf</x:v>
      </x:c>
    </x:row>
    <x:row r="799">
      <x:c r="A799" s="25" t="n">
        <x:v>798</x:v>
      </x:c>
      <x:c r="B799" s="26" t="n">
        <x:v>43957.275613425925</x:v>
      </x:c>
      <x:c r="C799" s="27" t="n">
        <x:f>INT(B799)</x:f>
        <x:v>43957</x:v>
      </x:c>
      <x:c r="D799" s="28" t="n">
        <x:f>MOD(B799,1)</x:f>
        <x:v>0.2756134259252576</x:v>
      </x:c>
      <x:c r="E799" s="29" t="n">
        <x:f>YEAR(B799)</x:f>
        <x:v>2020</x:v>
      </x:c>
      <x:c r="F799" s="29" t="n">
        <x:f>MONTH(B799)</x:f>
        <x:v>5</x:v>
      </x:c>
      <x:c r="G799" s="30" t="n">
        <x:v>-29.58</x:v>
      </x:c>
      <x:c r="H799" s="30" t="n">
        <x:v>-71.11</x:v>
      </x:c>
      <x:c r="I799" s="29" t="n">
        <x:v>68</x:v>
      </x:c>
      <x:c r="J799" s="31" t="n">
        <x:v>5.2</x:v>
      </x:c>
      <x:c r="K799" s="25" t="str">
        <x:f>IF(J799&gt;=7,"Muy fuerte (&gt;=7)",IF(J799&gt;=6,"Fuerte (6-6.9)",IF(J799&gt;=5,"Moderado alto (5-5.9)",IF(J799&gt;=4,"Moderado (4-4.9)","Menor a 4"))))</x:f>
        <x:v>Moderado alto (5-5.9)</x:v>
      </x:c>
      <x:c r="L799" s="25" t="str">
        <x:f>IF(I799&lt;70,"Superficial (&lt;70 km)",IF(I799&lt;=300,"Intermedio (70-300 km)","Profundo (&gt;300 km)"))</x:f>
        <x:v>Superficial (&lt;70 km)</x:v>
      </x:c>
      <x:c r="M799" s="25" t="str">
        <x:f>IF(J799&gt;=5,"Sí","No")</x:f>
        <x:v>Sí</x:v>
      </x:c>
      <x:c r="N799" s="25" t="str">
        <x:f>IF(J799&gt;=6,"Sí","No")</x:f>
        <x:v>No</x:v>
      </x:c>
      <x:c r="O799" s="25" t="str">
        <x:v>Pendiente: asignar con R/sf</x:v>
      </x:c>
    </x:row>
    <x:row r="800">
      <x:c r="A800" s="25" t="n">
        <x:v>799</x:v>
      </x:c>
      <x:c r="B800" s="26" t="n">
        <x:v>43980.68952546296</x:v>
      </x:c>
      <x:c r="C800" s="27" t="n">
        <x:f>INT(B800)</x:f>
        <x:v>43980</x:v>
      </x:c>
      <x:c r="D800" s="28" t="n">
        <x:f>MOD(B800,1)</x:f>
        <x:v>0.6895254629635019</x:v>
      </x:c>
      <x:c r="E800" s="29" t="n">
        <x:f>YEAR(B800)</x:f>
        <x:v>2020</x:v>
      </x:c>
      <x:c r="F800" s="29" t="n">
        <x:f>MONTH(B800)</x:f>
        <x:v>5</x:v>
      </x:c>
      <x:c r="G800" s="30" t="n">
        <x:v>-27.58</x:v>
      </x:c>
      <x:c r="H800" s="30" t="n">
        <x:v>-69.28</x:v>
      </x:c>
      <x:c r="I800" s="29" t="n">
        <x:v>127</x:v>
      </x:c>
      <x:c r="J800" s="31" t="n">
        <x:v>5.2</x:v>
      </x:c>
      <x:c r="K800" s="25" t="str">
        <x:f>IF(J800&gt;=7,"Muy fuerte (&gt;=7)",IF(J800&gt;=6,"Fuerte (6-6.9)",IF(J800&gt;=5,"Moderado alto (5-5.9)",IF(J800&gt;=4,"Moderado (4-4.9)","Menor a 4"))))</x:f>
        <x:v>Moderado alto (5-5.9)</x:v>
      </x:c>
      <x:c r="L800" s="25" t="str">
        <x:f>IF(I800&lt;70,"Superficial (&lt;70 km)",IF(I800&lt;=300,"Intermedio (70-300 km)","Profundo (&gt;300 km)"))</x:f>
        <x:v>Intermedio (70-300 km)</x:v>
      </x:c>
      <x:c r="M800" s="25" t="str">
        <x:f>IF(J800&gt;=5,"Sí","No")</x:f>
        <x:v>Sí</x:v>
      </x:c>
      <x:c r="N800" s="25" t="str">
        <x:f>IF(J800&gt;=6,"Sí","No")</x:f>
        <x:v>No</x:v>
      </x:c>
      <x:c r="O800" s="25" t="str">
        <x:v>Pendiente: asignar con R/sf</x:v>
      </x:c>
    </x:row>
    <x:row r="801">
      <x:c r="A801" s="25" t="n">
        <x:v>800</x:v>
      </x:c>
      <x:c r="B801" s="26" t="n">
        <x:v>43961.75303240741</x:v>
      </x:c>
      <x:c r="C801" s="27" t="n">
        <x:f>INT(B801)</x:f>
        <x:v>43961</x:v>
      </x:c>
      <x:c r="D801" s="28" t="n">
        <x:f>MOD(B801,1)</x:f>
        <x:v>0.753032407410501</x:v>
      </x:c>
      <x:c r="E801" s="29" t="n">
        <x:f>YEAR(B801)</x:f>
        <x:v>2020</x:v>
      </x:c>
      <x:c r="F801" s="29" t="n">
        <x:f>MONTH(B801)</x:f>
        <x:v>5</x:v>
      </x:c>
      <x:c r="G801" s="30" t="n">
        <x:v>-22.76</x:v>
      </x:c>
      <x:c r="H801" s="30" t="n">
        <x:v>-68.22</x:v>
      </x:c>
      <x:c r="I801" s="29" t="n">
        <x:v>139</x:v>
      </x:c>
      <x:c r="J801" s="31" t="n">
        <x:v>5.4</x:v>
      </x:c>
      <x:c r="K801" s="25" t="str">
        <x:f>IF(J801&gt;=7,"Muy fuerte (&gt;=7)",IF(J801&gt;=6,"Fuerte (6-6.9)",IF(J801&gt;=5,"Moderado alto (5-5.9)",IF(J801&gt;=4,"Moderado (4-4.9)","Menor a 4"))))</x:f>
        <x:v>Moderado alto (5-5.9)</x:v>
      </x:c>
      <x:c r="L801" s="25" t="str">
        <x:f>IF(I801&lt;70,"Superficial (&lt;70 km)",IF(I801&lt;=300,"Intermedio (70-300 km)","Profundo (&gt;300 km)"))</x:f>
        <x:v>Intermedio (70-300 km)</x:v>
      </x:c>
      <x:c r="M801" s="25" t="str">
        <x:f>IF(J801&gt;=5,"Sí","No")</x:f>
        <x:v>Sí</x:v>
      </x:c>
      <x:c r="N801" s="25" t="str">
        <x:f>IF(J801&gt;=6,"Sí","No")</x:f>
        <x:v>No</x:v>
      </x:c>
      <x:c r="O801" s="25" t="str">
        <x:v>Pendiente: asignar con R/sf</x:v>
      </x:c>
    </x:row>
    <x:row r="802">
      <x:c r="A802" s="25" t="n">
        <x:v>801</x:v>
      </x:c>
      <x:c r="B802" s="26" t="n">
        <x:v>43969.469201388885</x:v>
      </x:c>
      <x:c r="C802" s="27" t="n">
        <x:f>INT(B802)</x:f>
        <x:v>43969</x:v>
      </x:c>
      <x:c r="D802" s="28" t="n">
        <x:f>MOD(B802,1)</x:f>
        <x:v>0.4692013888852671</x:v>
      </x:c>
      <x:c r="E802" s="29" t="n">
        <x:f>YEAR(B802)</x:f>
        <x:v>2020</x:v>
      </x:c>
      <x:c r="F802" s="29" t="n">
        <x:f>MONTH(B802)</x:f>
        <x:v>5</x:v>
      </x:c>
      <x:c r="G802" s="30" t="n">
        <x:v>-19.91</x:v>
      </x:c>
      <x:c r="H802" s="30" t="n">
        <x:v>-70.05</x:v>
      </x:c>
      <x:c r="I802" s="29" t="n">
        <x:v>51</x:v>
      </x:c>
      <x:c r="J802" s="31" t="n">
        <x:v>4.9</x:v>
      </x:c>
      <x:c r="K802" s="25" t="str">
        <x:f>IF(J802&gt;=7,"Muy fuerte (&gt;=7)",IF(J802&gt;=6,"Fuerte (6-6.9)",IF(J802&gt;=5,"Moderado alto (5-5.9)",IF(J802&gt;=4,"Moderado (4-4.9)","Menor a 4"))))</x:f>
        <x:v>Moderado (4-4.9)</x:v>
      </x:c>
      <x:c r="L802" s="25" t="str">
        <x:f>IF(I802&lt;70,"Superficial (&lt;70 km)",IF(I802&lt;=300,"Intermedio (70-300 km)","Profundo (&gt;300 km)"))</x:f>
        <x:v>Superficial (&lt;70 km)</x:v>
      </x:c>
      <x:c r="M802" s="25" t="str">
        <x:f>IF(J802&gt;=5,"Sí","No")</x:f>
        <x:v>No</x:v>
      </x:c>
      <x:c r="N802" s="25" t="str">
        <x:f>IF(J802&gt;=6,"Sí","No")</x:f>
        <x:v>No</x:v>
      </x:c>
      <x:c r="O802" s="25" t="str">
        <x:v>Pendiente: asignar con R/sf</x:v>
      </x:c>
    </x:row>
    <x:row r="803">
      <x:c r="A803" s="25" t="n">
        <x:v>802</x:v>
      </x:c>
      <x:c r="B803" s="26" t="n">
        <x:v>44271.162453703706</x:v>
      </x:c>
      <x:c r="C803" s="27" t="n">
        <x:f>INT(B803)</x:f>
        <x:v>44271</x:v>
      </x:c>
      <x:c r="D803" s="28" t="n">
        <x:f>MOD(B803,1)</x:f>
        <x:v>0.16245370370597811</x:v>
      </x:c>
      <x:c r="E803" s="29" t="n">
        <x:f>YEAR(B803)</x:f>
        <x:v>2021</x:v>
      </x:c>
      <x:c r="F803" s="29" t="n">
        <x:f>MONTH(B803)</x:f>
        <x:v>3</x:v>
      </x:c>
      <x:c r="G803" s="30" t="n">
        <x:v>-34.8</x:v>
      </x:c>
      <x:c r="H803" s="30" t="n">
        <x:v>-71.8</x:v>
      </x:c>
      <x:c r="I803" s="29" t="n">
        <x:v>42</x:v>
      </x:c>
      <x:c r="J803" s="31" t="n">
        <x:v>5</x:v>
      </x:c>
      <x:c r="K803" s="25" t="str">
        <x:f>IF(J803&gt;=7,"Muy fuerte (&gt;=7)",IF(J803&gt;=6,"Fuerte (6-6.9)",IF(J803&gt;=5,"Moderado alto (5-5.9)",IF(J803&gt;=4,"Moderado (4-4.9)","Menor a 4"))))</x:f>
        <x:v>Moderado alto (5-5.9)</x:v>
      </x:c>
      <x:c r="L803" s="25" t="str">
        <x:f>IF(I803&lt;70,"Superficial (&lt;70 km)",IF(I803&lt;=300,"Intermedio (70-300 km)","Profundo (&gt;300 km)"))</x:f>
        <x:v>Superficial (&lt;70 km)</x:v>
      </x:c>
      <x:c r="M803" s="25" t="str">
        <x:f>IF(J803&gt;=5,"Sí","No")</x:f>
        <x:v>Sí</x:v>
      </x:c>
      <x:c r="N803" s="25" t="str">
        <x:f>IF(J803&gt;=6,"Sí","No")</x:f>
        <x:v>No</x:v>
      </x:c>
      <x:c r="O803" s="25" t="str">
        <x:v>Pendiente: asignar con R/sf</x:v>
      </x:c>
    </x:row>
    <x:row r="804">
      <x:c r="A804" s="25" t="n">
        <x:v>803</x:v>
      </x:c>
      <x:c r="B804" s="26" t="n">
        <x:v>44140.347083333334</x:v>
      </x:c>
      <x:c r="C804" s="27" t="n">
        <x:f>INT(B804)</x:f>
        <x:v>44140</x:v>
      </x:c>
      <x:c r="D804" s="28" t="n">
        <x:f>MOD(B804,1)</x:f>
        <x:v>0.3470833333340124</x:v>
      </x:c>
      <x:c r="E804" s="29" t="n">
        <x:f>YEAR(B804)</x:f>
        <x:v>2020</x:v>
      </x:c>
      <x:c r="F804" s="29" t="n">
        <x:f>MONTH(B804)</x:f>
        <x:v>11</x:v>
      </x:c>
      <x:c r="G804" s="30" t="n">
        <x:v>-40.57</x:v>
      </x:c>
      <x:c r="H804" s="30" t="n">
        <x:v>-73.3</x:v>
      </x:c>
      <x:c r="I804" s="29" t="n">
        <x:v>41</x:v>
      </x:c>
      <x:c r="J804" s="31" t="n">
        <x:v>3.9</x:v>
      </x:c>
      <x:c r="K804" s="25" t="str">
        <x:f>IF(J804&gt;=7,"Muy fuerte (&gt;=7)",IF(J804&gt;=6,"Fuerte (6-6.9)",IF(J804&gt;=5,"Moderado alto (5-5.9)",IF(J804&gt;=4,"Moderado (4-4.9)","Menor a 4"))))</x:f>
        <x:v>Menor a 4</x:v>
      </x:c>
      <x:c r="L804" s="25" t="str">
        <x:f>IF(I804&lt;70,"Superficial (&lt;70 km)",IF(I804&lt;=300,"Intermedio (70-300 km)","Profundo (&gt;300 km)"))</x:f>
        <x:v>Superficial (&lt;70 km)</x:v>
      </x:c>
      <x:c r="M804" s="25" t="str">
        <x:f>IF(J804&gt;=5,"Sí","No")</x:f>
        <x:v>No</x:v>
      </x:c>
      <x:c r="N804" s="25" t="str">
        <x:f>IF(J804&gt;=6,"Sí","No")</x:f>
        <x:v>No</x:v>
      </x:c>
      <x:c r="O804" s="25" t="str">
        <x:v>Pendiente: asignar con R/sf</x:v>
      </x:c>
    </x:row>
    <x:row r="805">
      <x:c r="A805" s="25" t="n">
        <x:v>804</x:v>
      </x:c>
      <x:c r="B805" s="26" t="n">
        <x:v>43843.08451388889</x:v>
      </x:c>
      <x:c r="C805" s="27" t="n">
        <x:f>INT(B805)</x:f>
        <x:v>43843</x:v>
      </x:c>
      <x:c r="D805" s="28" t="n">
        <x:f>MOD(B805,1)</x:f>
        <x:v>0.0845138888907968</x:v>
      </x:c>
      <x:c r="E805" s="29" t="n">
        <x:f>YEAR(B805)</x:f>
        <x:v>2020</x:v>
      </x:c>
      <x:c r="F805" s="29" t="n">
        <x:f>MONTH(B805)</x:f>
        <x:v>1</x:v>
      </x:c>
      <x:c r="G805" s="30" t="n">
        <x:v>-40.25</x:v>
      </x:c>
      <x:c r="H805" s="30" t="n">
        <x:v>-71.52</x:v>
      </x:c>
      <x:c r="I805" s="29" t="n">
        <x:v>174</x:v>
      </x:c>
      <x:c r="J805" s="31" t="n">
        <x:v>4.7</x:v>
      </x:c>
      <x:c r="K805" s="25" t="str">
        <x:f>IF(J805&gt;=7,"Muy fuerte (&gt;=7)",IF(J805&gt;=6,"Fuerte (6-6.9)",IF(J805&gt;=5,"Moderado alto (5-5.9)",IF(J805&gt;=4,"Moderado (4-4.9)","Menor a 4"))))</x:f>
        <x:v>Moderado (4-4.9)</x:v>
      </x:c>
      <x:c r="L805" s="25" t="str">
        <x:f>IF(I805&lt;70,"Superficial (&lt;70 km)",IF(I805&lt;=300,"Intermedio (70-300 km)","Profundo (&gt;300 km)"))</x:f>
        <x:v>Intermedio (70-300 km)</x:v>
      </x:c>
      <x:c r="M805" s="25" t="str">
        <x:f>IF(J805&gt;=5,"Sí","No")</x:f>
        <x:v>No</x:v>
      </x:c>
      <x:c r="N805" s="25" t="str">
        <x:f>IF(J805&gt;=6,"Sí","No")</x:f>
        <x:v>No</x:v>
      </x:c>
      <x:c r="O805" s="25" t="str">
        <x:v>Pendiente: asignar con R/sf</x:v>
      </x:c>
    </x:row>
    <x:row r="806">
      <x:c r="A806" s="25" t="n">
        <x:v>805</x:v>
      </x:c>
      <x:c r="B806" s="26" t="n">
        <x:v>44194.81214120371</x:v>
      </x:c>
      <x:c r="C806" s="27" t="n">
        <x:f>INT(B806)</x:f>
        <x:v>44194</x:v>
      </x:c>
      <x:c r="D806" s="28" t="n">
        <x:f>MOD(B806,1)</x:f>
        <x:v>0.8121412037071423</x:v>
      </x:c>
      <x:c r="E806" s="29" t="n">
        <x:f>YEAR(B806)</x:f>
        <x:v>2020</x:v>
      </x:c>
      <x:c r="F806" s="29" t="n">
        <x:f>MONTH(B806)</x:f>
        <x:v>12</x:v>
      </x:c>
      <x:c r="G806" s="30" t="n">
        <x:v>-39.4</x:v>
      </x:c>
      <x:c r="H806" s="30" t="n">
        <x:v>-72</x:v>
      </x:c>
      <x:c r="I806" s="29" t="n">
        <x:v>103</x:v>
      </x:c>
      <x:c r="J806" s="31" t="n">
        <x:v>5.2</x:v>
      </x:c>
      <x:c r="K806" s="25" t="str">
        <x:f>IF(J806&gt;=7,"Muy fuerte (&gt;=7)",IF(J806&gt;=6,"Fuerte (6-6.9)",IF(J806&gt;=5,"Moderado alto (5-5.9)",IF(J806&gt;=4,"Moderado (4-4.9)","Menor a 4"))))</x:f>
        <x:v>Moderado alto (5-5.9)</x:v>
      </x:c>
      <x:c r="L806" s="25" t="str">
        <x:f>IF(I806&lt;70,"Superficial (&lt;70 km)",IF(I806&lt;=300,"Intermedio (70-300 km)","Profundo (&gt;300 km)"))</x:f>
        <x:v>Intermedio (70-300 km)</x:v>
      </x:c>
      <x:c r="M806" s="25" t="str">
        <x:f>IF(J806&gt;=5,"Sí","No")</x:f>
        <x:v>Sí</x:v>
      </x:c>
      <x:c r="N806" s="25" t="str">
        <x:f>IF(J806&gt;=6,"Sí","No")</x:f>
        <x:v>No</x:v>
      </x:c>
      <x:c r="O806" s="25" t="str">
        <x:v>Pendiente: asignar con R/sf</x:v>
      </x:c>
    </x:row>
    <x:row r="807">
      <x:c r="A807" s="25" t="n">
        <x:v>806</x:v>
      </x:c>
      <x:c r="B807" s="26" t="n">
        <x:v>44263.53340277778</x:v>
      </x:c>
      <x:c r="C807" s="27" t="n">
        <x:f>INT(B807)</x:f>
        <x:v>44263</x:v>
      </x:c>
      <x:c r="D807" s="28" t="n">
        <x:f>MOD(B807,1)</x:f>
        <x:v>0.5334027777789743</x:v>
      </x:c>
      <x:c r="E807" s="29" t="n">
        <x:f>YEAR(B807)</x:f>
        <x:v>2021</x:v>
      </x:c>
      <x:c r="F807" s="29" t="n">
        <x:f>MONTH(B807)</x:f>
        <x:v>3</x:v>
      </x:c>
      <x:c r="G807" s="30" t="n">
        <x:v>-32.22</x:v>
      </x:c>
      <x:c r="H807" s="30" t="n">
        <x:v>-70.09</x:v>
      </x:c>
      <x:c r="I807" s="29" t="n">
        <x:v>128</x:v>
      </x:c>
      <x:c r="J807" s="31" t="n">
        <x:v>5.3</x:v>
      </x:c>
      <x:c r="K807" s="25" t="str">
        <x:f>IF(J807&gt;=7,"Muy fuerte (&gt;=7)",IF(J807&gt;=6,"Fuerte (6-6.9)",IF(J807&gt;=5,"Moderado alto (5-5.9)",IF(J807&gt;=4,"Moderado (4-4.9)","Menor a 4"))))</x:f>
        <x:v>Moderado alto (5-5.9)</x:v>
      </x:c>
      <x:c r="L807" s="25" t="str">
        <x:f>IF(I807&lt;70,"Superficial (&lt;70 km)",IF(I807&lt;=300,"Intermedio (70-300 km)","Profundo (&gt;300 km)"))</x:f>
        <x:v>Intermedio (70-300 km)</x:v>
      </x:c>
      <x:c r="M807" s="25" t="str">
        <x:f>IF(J807&gt;=5,"Sí","No")</x:f>
        <x:v>Sí</x:v>
      </x:c>
      <x:c r="N807" s="25" t="str">
        <x:f>IF(J807&gt;=6,"Sí","No")</x:f>
        <x:v>No</x:v>
      </x:c>
      <x:c r="O807" s="25" t="str">
        <x:v>Pendiente: asignar con R/sf</x:v>
      </x:c>
    </x:row>
    <x:row r="808">
      <x:c r="A808" s="25" t="n">
        <x:v>807</x:v>
      </x:c>
      <x:c r="B808" s="26" t="n">
        <x:v>44296.32833333333</x:v>
      </x:c>
      <x:c r="C808" s="27" t="n">
        <x:f>INT(B808)</x:f>
        <x:v>44296</x:v>
      </x:c>
      <x:c r="D808" s="28" t="n">
        <x:f>MOD(B808,1)</x:f>
        <x:v>0.32833333333110204</x:v>
      </x:c>
      <x:c r="E808" s="29" t="n">
        <x:f>YEAR(B808)</x:f>
        <x:v>2021</x:v>
      </x:c>
      <x:c r="F808" s="29" t="n">
        <x:f>MONTH(B808)</x:f>
        <x:v>4</x:v>
      </x:c>
      <x:c r="G808" s="30" t="n">
        <x:v>-37.95</x:v>
      </x:c>
      <x:c r="H808" s="30" t="n">
        <x:v>-73.72</x:v>
      </x:c>
      <x:c r="I808" s="29" t="n">
        <x:v>39</x:v>
      </x:c>
      <x:c r="J808" s="31" t="n">
        <x:v>5.3</x:v>
      </x:c>
      <x:c r="K808" s="25" t="str">
        <x:f>IF(J808&gt;=7,"Muy fuerte (&gt;=7)",IF(J808&gt;=6,"Fuerte (6-6.9)",IF(J808&gt;=5,"Moderado alto (5-5.9)",IF(J808&gt;=4,"Moderado (4-4.9)","Menor a 4"))))</x:f>
        <x:v>Moderado alto (5-5.9)</x:v>
      </x:c>
      <x:c r="L808" s="25" t="str">
        <x:f>IF(I808&lt;70,"Superficial (&lt;70 km)",IF(I808&lt;=300,"Intermedio (70-300 km)","Profundo (&gt;300 km)"))</x:f>
        <x:v>Superficial (&lt;70 km)</x:v>
      </x:c>
      <x:c r="M808" s="25" t="str">
        <x:f>IF(J808&gt;=5,"Sí","No")</x:f>
        <x:v>Sí</x:v>
      </x:c>
      <x:c r="N808" s="25" t="str">
        <x:f>IF(J808&gt;=6,"Sí","No")</x:f>
        <x:v>No</x:v>
      </x:c>
      <x:c r="O808" s="25" t="str">
        <x:v>Pendiente: asignar con R/sf</x:v>
      </x:c>
    </x:row>
    <x:row r="809">
      <x:c r="A809" s="25" t="n">
        <x:v>808</x:v>
      </x:c>
      <x:c r="B809" s="26" t="n">
        <x:v>44078.55787037037</x:v>
      </x:c>
      <x:c r="C809" s="27" t="n">
        <x:f>INT(B809)</x:f>
        <x:v>44078</x:v>
      </x:c>
      <x:c r="D809" s="28" t="n">
        <x:f>MOD(B809,1)</x:f>
        <x:v>0.5578703703722567</x:v>
      </x:c>
      <x:c r="E809" s="29" t="n">
        <x:f>YEAR(B809)</x:f>
        <x:v>2020</x:v>
      </x:c>
      <x:c r="F809" s="29" t="n">
        <x:f>MONTH(B809)</x:f>
        <x:v>9</x:v>
      </x:c>
      <x:c r="G809" s="30" t="n">
        <x:v>-33.37</x:v>
      </x:c>
      <x:c r="H809" s="30" t="n">
        <x:v>-71.34</x:v>
      </x:c>
      <x:c r="I809" s="29" t="n">
        <x:v>56</x:v>
      </x:c>
      <x:c r="J809" s="31" t="n">
        <x:v>3.8</x:v>
      </x:c>
      <x:c r="K809" s="25" t="str">
        <x:f>IF(J809&gt;=7,"Muy fuerte (&gt;=7)",IF(J809&gt;=6,"Fuerte (6-6.9)",IF(J809&gt;=5,"Moderado alto (5-5.9)",IF(J809&gt;=4,"Moderado (4-4.9)","Menor a 4"))))</x:f>
        <x:v>Menor a 4</x:v>
      </x:c>
      <x:c r="L809" s="25" t="str">
        <x:f>IF(I809&lt;70,"Superficial (&lt;70 km)",IF(I809&lt;=300,"Intermedio (70-300 km)","Profundo (&gt;300 km)"))</x:f>
        <x:v>Superficial (&lt;70 km)</x:v>
      </x:c>
      <x:c r="M809" s="25" t="str">
        <x:f>IF(J809&gt;=5,"Sí","No")</x:f>
        <x:v>No</x:v>
      </x:c>
      <x:c r="N809" s="25" t="str">
        <x:f>IF(J809&gt;=6,"Sí","No")</x:f>
        <x:v>No</x:v>
      </x:c>
      <x:c r="O809" s="25" t="str">
        <x:v>Pendiente: asignar con R/sf</x:v>
      </x:c>
    </x:row>
    <x:row r="810">
      <x:c r="A810" s="25" t="n">
        <x:v>809</x:v>
      </x:c>
      <x:c r="B810" s="26" t="n">
        <x:v>44159.07271990741</x:v>
      </x:c>
      <x:c r="C810" s="27" t="n">
        <x:f>INT(B810)</x:f>
        <x:v>44159</x:v>
      </x:c>
      <x:c r="D810" s="28" t="n">
        <x:f>MOD(B810,1)</x:f>
        <x:v>0.07271990740991896</x:v>
      </x:c>
      <x:c r="E810" s="29" t="n">
        <x:f>YEAR(B810)</x:f>
        <x:v>2020</x:v>
      </x:c>
      <x:c r="F810" s="29" t="n">
        <x:f>MONTH(B810)</x:f>
        <x:v>11</x:v>
      </x:c>
      <x:c r="G810" s="30" t="n">
        <x:v>-33.68</x:v>
      </x:c>
      <x:c r="H810" s="30" t="n">
        <x:v>-70.38</x:v>
      </x:c>
      <x:c r="I810" s="29" t="n">
        <x:v>107</x:v>
      </x:c>
      <x:c r="J810" s="31" t="n">
        <x:v>4.3</x:v>
      </x:c>
      <x:c r="K810" s="25" t="str">
        <x:f>IF(J810&gt;=7,"Muy fuerte (&gt;=7)",IF(J810&gt;=6,"Fuerte (6-6.9)",IF(J810&gt;=5,"Moderado alto (5-5.9)",IF(J810&gt;=4,"Moderado (4-4.9)","Menor a 4"))))</x:f>
        <x:v>Moderado (4-4.9)</x:v>
      </x:c>
      <x:c r="L810" s="25" t="str">
        <x:f>IF(I810&lt;70,"Superficial (&lt;70 km)",IF(I810&lt;=300,"Intermedio (70-300 km)","Profundo (&gt;300 km)"))</x:f>
        <x:v>Intermedio (70-300 km)</x:v>
      </x:c>
      <x:c r="M810" s="25" t="str">
        <x:f>IF(J810&gt;=5,"Sí","No")</x:f>
        <x:v>No</x:v>
      </x:c>
      <x:c r="N810" s="25" t="str">
        <x:f>IF(J810&gt;=6,"Sí","No")</x:f>
        <x:v>No</x:v>
      </x:c>
      <x:c r="O810" s="25" t="str">
        <x:v>Pendiente: asignar con R/sf</x:v>
      </x:c>
    </x:row>
    <x:row r="811">
      <x:c r="A811" s="25" t="n">
        <x:v>810</x:v>
      </x:c>
      <x:c r="B811" s="26" t="n">
        <x:v>44246.49240740741</x:v>
      </x:c>
      <x:c r="C811" s="27" t="n">
        <x:f>INT(B811)</x:f>
        <x:v>44246</x:v>
      </x:c>
      <x:c r="D811" s="28" t="n">
        <x:f>MOD(B811,1)</x:f>
        <x:v>0.4924074074078817</x:v>
      </x:c>
      <x:c r="E811" s="29" t="n">
        <x:f>YEAR(B811)</x:f>
        <x:v>2021</x:v>
      </x:c>
      <x:c r="F811" s="29" t="n">
        <x:f>MONTH(B811)</x:f>
        <x:v>2</x:v>
      </x:c>
      <x:c r="G811" s="30" t="n">
        <x:v>-33.24</x:v>
      </x:c>
      <x:c r="H811" s="30" t="n">
        <x:v>-70.22</x:v>
      </x:c>
      <x:c r="I811" s="29" t="n">
        <x:v>115</x:v>
      </x:c>
      <x:c r="J811" s="31" t="n">
        <x:v>4.7</x:v>
      </x:c>
      <x:c r="K811" s="25" t="str">
        <x:f>IF(J811&gt;=7,"Muy fuerte (&gt;=7)",IF(J811&gt;=6,"Fuerte (6-6.9)",IF(J811&gt;=5,"Moderado alto (5-5.9)",IF(J811&gt;=4,"Moderado (4-4.9)","Menor a 4"))))</x:f>
        <x:v>Moderado (4-4.9)</x:v>
      </x:c>
      <x:c r="L811" s="25" t="str">
        <x:f>IF(I811&lt;70,"Superficial (&lt;70 km)",IF(I811&lt;=300,"Intermedio (70-300 km)","Profundo (&gt;300 km)"))</x:f>
        <x:v>Intermedio (70-300 km)</x:v>
      </x:c>
      <x:c r="M811" s="25" t="str">
        <x:f>IF(J811&gt;=5,"Sí","No")</x:f>
        <x:v>No</x:v>
      </x:c>
      <x:c r="N811" s="25" t="str">
        <x:f>IF(J811&gt;=6,"Sí","No")</x:f>
        <x:v>No</x:v>
      </x:c>
      <x:c r="O811" s="25" t="str">
        <x:v>Pendiente: asignar con R/sf</x:v>
      </x:c>
    </x:row>
    <x:row r="812">
      <x:c r="A812" s="25" t="n">
        <x:v>811</x:v>
      </x:c>
      <x:c r="B812" s="26" t="n">
        <x:v>44158.760150462964</x:v>
      </x:c>
      <x:c r="C812" s="27" t="n">
        <x:f>INT(B812)</x:f>
        <x:v>44158</x:v>
      </x:c>
      <x:c r="D812" s="28" t="n">
        <x:f>MOD(B812,1)</x:f>
        <x:v>0.760150462963793</x:v>
      </x:c>
      <x:c r="E812" s="29" t="n">
        <x:f>YEAR(B812)</x:f>
        <x:v>2020</x:v>
      </x:c>
      <x:c r="F812" s="29" t="n">
        <x:f>MONTH(B812)</x:f>
        <x:v>11</x:v>
      </x:c>
      <x:c r="G812" s="30" t="n">
        <x:v>-27.32</x:v>
      </x:c>
      <x:c r="H812" s="30" t="n">
        <x:v>-70.66</x:v>
      </x:c>
      <x:c r="I812" s="29" t="n">
        <x:v>61</x:v>
      </x:c>
      <x:c r="J812" s="31" t="n">
        <x:v>3.4</x:v>
      </x:c>
      <x:c r="K812" s="25" t="str">
        <x:f>IF(J812&gt;=7,"Muy fuerte (&gt;=7)",IF(J812&gt;=6,"Fuerte (6-6.9)",IF(J812&gt;=5,"Moderado alto (5-5.9)",IF(J812&gt;=4,"Moderado (4-4.9)","Menor a 4"))))</x:f>
        <x:v>Menor a 4</x:v>
      </x:c>
      <x:c r="L812" s="25" t="str">
        <x:f>IF(I812&lt;70,"Superficial (&lt;70 km)",IF(I812&lt;=300,"Intermedio (70-300 km)","Profundo (&gt;300 km)"))</x:f>
        <x:v>Superficial (&lt;70 km)</x:v>
      </x:c>
      <x:c r="M812" s="25" t="str">
        <x:f>IF(J812&gt;=5,"Sí","No")</x:f>
        <x:v>No</x:v>
      </x:c>
      <x:c r="N812" s="25" t="str">
        <x:f>IF(J812&gt;=6,"Sí","No")</x:f>
        <x:v>No</x:v>
      </x:c>
      <x:c r="O812" s="25" t="str">
        <x:v>Pendiente: asignar con R/sf</x:v>
      </x:c>
    </x:row>
    <x:row r="813">
      <x:c r="A813" s="25" t="n">
        <x:v>812</x:v>
      </x:c>
      <x:c r="B813" s="26" t="n">
        <x:v>43963.74596064815</x:v>
      </x:c>
      <x:c r="C813" s="27" t="n">
        <x:f>INT(B813)</x:f>
        <x:v>43963</x:v>
      </x:c>
      <x:c r="D813" s="28" t="n">
        <x:f>MOD(B813,1)</x:f>
        <x:v>0.7459606481497758</x:v>
      </x:c>
      <x:c r="E813" s="29" t="n">
        <x:f>YEAR(B813)</x:f>
        <x:v>2020</x:v>
      </x:c>
      <x:c r="F813" s="29" t="n">
        <x:f>MONTH(B813)</x:f>
        <x:v>5</x:v>
      </x:c>
      <x:c r="G813" s="30" t="n">
        <x:v>-33.76</x:v>
      </x:c>
      <x:c r="H813" s="30" t="n">
        <x:v>-70.12</x:v>
      </x:c>
      <x:c r="I813" s="29" t="n">
        <x:v>15</x:v>
      </x:c>
      <x:c r="J813" s="31" t="n">
        <x:v>3</x:v>
      </x:c>
      <x:c r="K813" s="25" t="str">
        <x:f>IF(J813&gt;=7,"Muy fuerte (&gt;=7)",IF(J813&gt;=6,"Fuerte (6-6.9)",IF(J813&gt;=5,"Moderado alto (5-5.9)",IF(J813&gt;=4,"Moderado (4-4.9)","Menor a 4"))))</x:f>
        <x:v>Menor a 4</x:v>
      </x:c>
      <x:c r="L813" s="25" t="str">
        <x:f>IF(I813&lt;70,"Superficial (&lt;70 km)",IF(I813&lt;=300,"Intermedio (70-300 km)","Profundo (&gt;300 km)"))</x:f>
        <x:v>Superficial (&lt;70 km)</x:v>
      </x:c>
      <x:c r="M813" s="25" t="str">
        <x:f>IF(J813&gt;=5,"Sí","No")</x:f>
        <x:v>No</x:v>
      </x:c>
      <x:c r="N813" s="25" t="str">
        <x:f>IF(J813&gt;=6,"Sí","No")</x:f>
        <x:v>No</x:v>
      </x:c>
      <x:c r="O813" s="25" t="str">
        <x:v>Pendiente: asignar con R/sf</x:v>
      </x:c>
    </x:row>
    <x:row r="814">
      <x:c r="A814" s="25" t="n">
        <x:v>813</x:v>
      </x:c>
      <x:c r="B814" s="26" t="n">
        <x:v>44114.454884259256</x:v>
      </x:c>
      <x:c r="C814" s="27" t="n">
        <x:f>INT(B814)</x:f>
        <x:v>44114</x:v>
      </x:c>
      <x:c r="D814" s="28" t="n">
        <x:f>MOD(B814,1)</x:f>
        <x:v>0.4548842592557776</x:v>
      </x:c>
      <x:c r="E814" s="29" t="n">
        <x:f>YEAR(B814)</x:f>
        <x:v>2020</x:v>
      </x:c>
      <x:c r="F814" s="29" t="n">
        <x:f>MONTH(B814)</x:f>
        <x:v>10</x:v>
      </x:c>
      <x:c r="G814" s="30" t="n">
        <x:v>-26.7</x:v>
      </x:c>
      <x:c r="H814" s="30" t="n">
        <x:v>-70.66</x:v>
      </x:c>
      <x:c r="I814" s="29" t="n">
        <x:v>55</x:v>
      </x:c>
      <x:c r="J814" s="31" t="n">
        <x:v>3.8</x:v>
      </x:c>
      <x:c r="K814" s="25" t="str">
        <x:f>IF(J814&gt;=7,"Muy fuerte (&gt;=7)",IF(J814&gt;=6,"Fuerte (6-6.9)",IF(J814&gt;=5,"Moderado alto (5-5.9)",IF(J814&gt;=4,"Moderado (4-4.9)","Menor a 4"))))</x:f>
        <x:v>Menor a 4</x:v>
      </x:c>
      <x:c r="L814" s="25" t="str">
        <x:f>IF(I814&lt;70,"Superficial (&lt;70 km)",IF(I814&lt;=300,"Intermedio (70-300 km)","Profundo (&gt;300 km)"))</x:f>
        <x:v>Superficial (&lt;70 km)</x:v>
      </x:c>
      <x:c r="M814" s="25" t="str">
        <x:f>IF(J814&gt;=5,"Sí","No")</x:f>
        <x:v>No</x:v>
      </x:c>
      <x:c r="N814" s="25" t="str">
        <x:f>IF(J814&gt;=6,"Sí","No")</x:f>
        <x:v>No</x:v>
      </x:c>
      <x:c r="O814" s="25" t="str">
        <x:v>Pendiente: asignar con R/sf</x:v>
      </x:c>
    </x:row>
    <x:row r="815">
      <x:c r="A815" s="25" t="n">
        <x:v>814</x:v>
      </x:c>
      <x:c r="B815" s="26" t="n">
        <x:v>44117.7196412037</x:v>
      </x:c>
      <x:c r="C815" s="27" t="n">
        <x:f>INT(B815)</x:f>
        <x:v>44117</x:v>
      </x:c>
      <x:c r="D815" s="28" t="n">
        <x:f>MOD(B815,1)</x:f>
        <x:v>0.7196412037010305</x:v>
      </x:c>
      <x:c r="E815" s="29" t="n">
        <x:f>YEAR(B815)</x:f>
        <x:v>2020</x:v>
      </x:c>
      <x:c r="F815" s="29" t="n">
        <x:f>MONTH(B815)</x:f>
        <x:v>10</x:v>
      </x:c>
      <x:c r="G815" s="30" t="n">
        <x:v>-26.16</x:v>
      </x:c>
      <x:c r="H815" s="30" t="n">
        <x:v>-71.05</x:v>
      </x:c>
      <x:c r="I815" s="29" t="n">
        <x:v>30</x:v>
      </x:c>
      <x:c r="J815" s="31" t="n">
        <x:v>4.9</x:v>
      </x:c>
      <x:c r="K815" s="25" t="str">
        <x:f>IF(J815&gt;=7,"Muy fuerte (&gt;=7)",IF(J815&gt;=6,"Fuerte (6-6.9)",IF(J815&gt;=5,"Moderado alto (5-5.9)",IF(J815&gt;=4,"Moderado (4-4.9)","Menor a 4"))))</x:f>
        <x:v>Moderado (4-4.9)</x:v>
      </x:c>
      <x:c r="L815" s="25" t="str">
        <x:f>IF(I815&lt;70,"Superficial (&lt;70 km)",IF(I815&lt;=300,"Intermedio (70-300 km)","Profundo (&gt;300 km)"))</x:f>
        <x:v>Superficial (&lt;70 km)</x:v>
      </x:c>
      <x:c r="M815" s="25" t="str">
        <x:f>IF(J815&gt;=5,"Sí","No")</x:f>
        <x:v>No</x:v>
      </x:c>
      <x:c r="N815" s="25" t="str">
        <x:f>IF(J815&gt;=6,"Sí","No")</x:f>
        <x:v>No</x:v>
      </x:c>
      <x:c r="O815" s="25" t="str">
        <x:v>Pendiente: asignar con R/sf</x:v>
      </x:c>
    </x:row>
    <x:row r="816">
      <x:c r="A816" s="25" t="n">
        <x:v>815</x:v>
      </x:c>
      <x:c r="B816" s="26" t="n">
        <x:v>44222.57650462963</x:v>
      </x:c>
      <x:c r="C816" s="27" t="n">
        <x:f>INT(B816)</x:f>
        <x:v>44222</x:v>
      </x:c>
      <x:c r="D816" s="28" t="n">
        <x:f>MOD(B816,1)</x:f>
        <x:v>0.5765046296291985</x:v>
      </x:c>
      <x:c r="E816" s="29" t="n">
        <x:f>YEAR(B816)</x:f>
        <x:v>2021</x:v>
      </x:c>
      <x:c r="F816" s="29" t="n">
        <x:f>MONTH(B816)</x:f>
        <x:v>1</x:v>
      </x:c>
      <x:c r="G816" s="30" t="n">
        <x:v>-25.83</x:v>
      </x:c>
      <x:c r="H816" s="30" t="n">
        <x:v>-70.8</x:v>
      </x:c>
      <x:c r="I816" s="29" t="n">
        <x:v>40</x:v>
      </x:c>
      <x:c r="J816" s="31" t="n">
        <x:v>4.7</x:v>
      </x:c>
      <x:c r="K816" s="25" t="str">
        <x:f>IF(J816&gt;=7,"Muy fuerte (&gt;=7)",IF(J816&gt;=6,"Fuerte (6-6.9)",IF(J816&gt;=5,"Moderado alto (5-5.9)",IF(J816&gt;=4,"Moderado (4-4.9)","Menor a 4"))))</x:f>
        <x:v>Moderado (4-4.9)</x:v>
      </x:c>
      <x:c r="L816" s="25" t="str">
        <x:f>IF(I816&lt;70,"Superficial (&lt;70 km)",IF(I816&lt;=300,"Intermedio (70-300 km)","Profundo (&gt;300 km)"))</x:f>
        <x:v>Superficial (&lt;70 km)</x:v>
      </x:c>
      <x:c r="M816" s="25" t="str">
        <x:f>IF(J816&gt;=5,"Sí","No")</x:f>
        <x:v>No</x:v>
      </x:c>
      <x:c r="N816" s="25" t="str">
        <x:f>IF(J816&gt;=6,"Sí","No")</x:f>
        <x:v>No</x:v>
      </x:c>
      <x:c r="O816" s="25" t="str">
        <x:v>Pendiente: asignar con R/sf</x:v>
      </x:c>
    </x:row>
    <x:row r="817">
      <x:c r="A817" s="25" t="n">
        <x:v>816</x:v>
      </x:c>
      <x:c r="B817" s="26" t="n">
        <x:v>44122.70423611111</x:v>
      </x:c>
      <x:c r="C817" s="27" t="n">
        <x:f>INT(B817)</x:f>
        <x:v>44122</x:v>
      </x:c>
      <x:c r="D817" s="28" t="n">
        <x:f>MOD(B817,1)</x:f>
        <x:v>0.7042361111089122</x:v>
      </x:c>
      <x:c r="E817" s="29" t="n">
        <x:f>YEAR(B817)</x:f>
        <x:v>2020</x:v>
      </x:c>
      <x:c r="F817" s="29" t="n">
        <x:f>MONTH(B817)</x:f>
        <x:v>10</x:v>
      </x:c>
      <x:c r="G817" s="30" t="n">
        <x:v>-27.35</x:v>
      </x:c>
      <x:c r="H817" s="30" t="n">
        <x:v>-70.84</x:v>
      </x:c>
      <x:c r="I817" s="29" t="n">
        <x:v>42</x:v>
      </x:c>
      <x:c r="J817" s="31" t="n">
        <x:v>4.4</x:v>
      </x:c>
      <x:c r="K817" s="25" t="str">
        <x:f>IF(J817&gt;=7,"Muy fuerte (&gt;=7)",IF(J817&gt;=6,"Fuerte (6-6.9)",IF(J817&gt;=5,"Moderado alto (5-5.9)",IF(J817&gt;=4,"Moderado (4-4.9)","Menor a 4"))))</x:f>
        <x:v>Moderado (4-4.9)</x:v>
      </x:c>
      <x:c r="L817" s="25" t="str">
        <x:f>IF(I817&lt;70,"Superficial (&lt;70 km)",IF(I817&lt;=300,"Intermedio (70-300 km)","Profundo (&gt;300 km)"))</x:f>
        <x:v>Superficial (&lt;70 km)</x:v>
      </x:c>
      <x:c r="M817" s="25" t="str">
        <x:f>IF(J817&gt;=5,"Sí","No")</x:f>
        <x:v>No</x:v>
      </x:c>
      <x:c r="N817" s="25" t="str">
        <x:f>IF(J817&gt;=6,"Sí","No")</x:f>
        <x:v>No</x:v>
      </x:c>
      <x:c r="O817" s="25" t="str">
        <x:v>Pendiente: asignar con R/sf</x:v>
      </x:c>
    </x:row>
    <x:row r="818">
      <x:c r="A818" s="25" t="n">
        <x:v>817</x:v>
      </x:c>
      <x:c r="B818" s="26" t="n">
        <x:v>44305.1381712963</x:v>
      </x:c>
      <x:c r="C818" s="27" t="n">
        <x:f>INT(B818)</x:f>
        <x:v>44305</x:v>
      </x:c>
      <x:c r="D818" s="28" t="n">
        <x:f>MOD(B818,1)</x:f>
        <x:v>0.13817129629751435</x:v>
      </x:c>
      <x:c r="E818" s="29" t="n">
        <x:f>YEAR(B818)</x:f>
        <x:v>2021</x:v>
      </x:c>
      <x:c r="F818" s="29" t="n">
        <x:f>MONTH(B818)</x:f>
        <x:v>4</x:v>
      </x:c>
      <x:c r="G818" s="30" t="n">
        <x:v>-34.02</x:v>
      </x:c>
      <x:c r="H818" s="30" t="n">
        <x:v>-72.42</x:v>
      </x:c>
      <x:c r="I818" s="29" t="n">
        <x:v>39</x:v>
      </x:c>
      <x:c r="J818" s="31" t="n">
        <x:v>5.3</x:v>
      </x:c>
      <x:c r="K818" s="25" t="str">
        <x:f>IF(J818&gt;=7,"Muy fuerte (&gt;=7)",IF(J818&gt;=6,"Fuerte (6-6.9)",IF(J818&gt;=5,"Moderado alto (5-5.9)",IF(J818&gt;=4,"Moderado (4-4.9)","Menor a 4"))))</x:f>
        <x:v>Moderado alto (5-5.9)</x:v>
      </x:c>
      <x:c r="L818" s="25" t="str">
        <x:f>IF(I818&lt;70,"Superficial (&lt;70 km)",IF(I818&lt;=300,"Intermedio (70-300 km)","Profundo (&gt;300 km)"))</x:f>
        <x:v>Superficial (&lt;70 km)</x:v>
      </x:c>
      <x:c r="M818" s="25" t="str">
        <x:f>IF(J818&gt;=5,"Sí","No")</x:f>
        <x:v>Sí</x:v>
      </x:c>
      <x:c r="N818" s="25" t="str">
        <x:f>IF(J818&gt;=6,"Sí","No")</x:f>
        <x:v>No</x:v>
      </x:c>
      <x:c r="O818" s="25" t="str">
        <x:v>Pendiente: asignar con R/sf</x:v>
      </x:c>
    </x:row>
    <x:row r="819">
      <x:c r="A819" s="25" t="n">
        <x:v>818</x:v>
      </x:c>
      <x:c r="B819" s="26" t="n">
        <x:v>44174.43116898148</x:v>
      </x:c>
      <x:c r="C819" s="27" t="n">
        <x:f>INT(B819)</x:f>
        <x:v>44174</x:v>
      </x:c>
      <x:c r="D819" s="28" t="n">
        <x:f>MOD(B819,1)</x:f>
        <x:v>0.43116898147854954</x:v>
      </x:c>
      <x:c r="E819" s="29" t="n">
        <x:f>YEAR(B819)</x:f>
        <x:v>2020</x:v>
      </x:c>
      <x:c r="F819" s="29" t="n">
        <x:f>MONTH(B819)</x:f>
        <x:v>12</x:v>
      </x:c>
      <x:c r="G819" s="30" t="n">
        <x:v>-21.12</x:v>
      </x:c>
      <x:c r="H819" s="30" t="n">
        <x:v>-68.86</x:v>
      </x:c>
      <x:c r="I819" s="29" t="n">
        <x:v>118</x:v>
      </x:c>
      <x:c r="J819" s="31" t="n">
        <x:v>4.6</x:v>
      </x:c>
      <x:c r="K819" s="25" t="str">
        <x:f>IF(J819&gt;=7,"Muy fuerte (&gt;=7)",IF(J819&gt;=6,"Fuerte (6-6.9)",IF(J819&gt;=5,"Moderado alto (5-5.9)",IF(J819&gt;=4,"Moderado (4-4.9)","Menor a 4"))))</x:f>
        <x:v>Moderado (4-4.9)</x:v>
      </x:c>
      <x:c r="L819" s="25" t="str">
        <x:f>IF(I819&lt;70,"Superficial (&lt;70 km)",IF(I819&lt;=300,"Intermedio (70-300 km)","Profundo (&gt;300 km)"))</x:f>
        <x:v>Intermedio (70-300 km)</x:v>
      </x:c>
      <x:c r="M819" s="25" t="str">
        <x:f>IF(J819&gt;=5,"Sí","No")</x:f>
        <x:v>No</x:v>
      </x:c>
      <x:c r="N819" s="25" t="str">
        <x:f>IF(J819&gt;=6,"Sí","No")</x:f>
        <x:v>No</x:v>
      </x:c>
      <x:c r="O819" s="25" t="str">
        <x:v>Pendiente: asignar con R/sf</x:v>
      </x:c>
    </x:row>
    <x:row r="820">
      <x:c r="A820" s="25" t="n">
        <x:v>819</x:v>
      </x:c>
      <x:c r="B820" s="26" t="n">
        <x:v>44276.60655092593</x:v>
      </x:c>
      <x:c r="C820" s="27" t="n">
        <x:f>INT(B820)</x:f>
        <x:v>44276</x:v>
      </x:c>
      <x:c r="D820" s="28" t="n">
        <x:f>MOD(B820,1)</x:f>
        <x:v>0.606550925927877</x:v>
      </x:c>
      <x:c r="E820" s="29" t="n">
        <x:f>YEAR(B820)</x:f>
        <x:v>2021</x:v>
      </x:c>
      <x:c r="F820" s="29" t="n">
        <x:f>MONTH(B820)</x:f>
        <x:v>3</x:v>
      </x:c>
      <x:c r="G820" s="30" t="n">
        <x:v>-22.03</x:v>
      </x:c>
      <x:c r="H820" s="30" t="n">
        <x:v>-70.35</x:v>
      </x:c>
      <x:c r="I820" s="29" t="n">
        <x:v>25</x:v>
      </x:c>
      <x:c r="J820" s="31" t="n">
        <x:v>3.1</x:v>
      </x:c>
      <x:c r="K820" s="25" t="str">
        <x:f>IF(J820&gt;=7,"Muy fuerte (&gt;=7)",IF(J820&gt;=6,"Fuerte (6-6.9)",IF(J820&gt;=5,"Moderado alto (5-5.9)",IF(J820&gt;=4,"Moderado (4-4.9)","Menor a 4"))))</x:f>
        <x:v>Menor a 4</x:v>
      </x:c>
      <x:c r="L820" s="25" t="str">
        <x:f>IF(I820&lt;70,"Superficial (&lt;70 km)",IF(I820&lt;=300,"Intermedio (70-300 km)","Profundo (&gt;300 km)"))</x:f>
        <x:v>Superficial (&lt;70 km)</x:v>
      </x:c>
      <x:c r="M820" s="25" t="str">
        <x:f>IF(J820&gt;=5,"Sí","No")</x:f>
        <x:v>No</x:v>
      </x:c>
      <x:c r="N820" s="25" t="str">
        <x:f>IF(J820&gt;=6,"Sí","No")</x:f>
        <x:v>No</x:v>
      </x:c>
      <x:c r="O820" s="25" t="str">
        <x:v>Pendiente: asignar con R/sf</x:v>
      </x:c>
    </x:row>
    <x:row r="821">
      <x:c r="A821" s="25" t="n">
        <x:v>820</x:v>
      </x:c>
      <x:c r="B821" s="26" t="n">
        <x:v>43691.51605324074</x:v>
      </x:c>
      <x:c r="C821" s="27" t="n">
        <x:f>INT(B821)</x:f>
        <x:v>43691</x:v>
      </x:c>
      <x:c r="D821" s="28" t="n">
        <x:f>MOD(B821,1)</x:f>
        <x:v>0.5160532407389837</x:v>
      </x:c>
      <x:c r="E821" s="29" t="n">
        <x:f>YEAR(B821)</x:f>
        <x:v>2019</x:v>
      </x:c>
      <x:c r="F821" s="29" t="n">
        <x:f>MONTH(B821)</x:f>
        <x:v>8</x:v>
      </x:c>
      <x:c r="G821" s="30" t="n">
        <x:v>-18.62</x:v>
      </x:c>
      <x:c r="H821" s="30" t="n">
        <x:v>-69.48</x:v>
      </x:c>
      <x:c r="I821" s="29" t="n">
        <x:v>114</x:v>
      </x:c>
      <x:c r="J821" s="31" t="n">
        <x:v>4</x:v>
      </x:c>
      <x:c r="K821" s="25" t="str">
        <x:f>IF(J821&gt;=7,"Muy fuerte (&gt;=7)",IF(J821&gt;=6,"Fuerte (6-6.9)",IF(J821&gt;=5,"Moderado alto (5-5.9)",IF(J821&gt;=4,"Moderado (4-4.9)","Menor a 4"))))</x:f>
        <x:v>Moderado (4-4.9)</x:v>
      </x:c>
      <x:c r="L821" s="25" t="str">
        <x:f>IF(I821&lt;70,"Superficial (&lt;70 km)",IF(I821&lt;=300,"Intermedio (70-300 km)","Profundo (&gt;300 km)"))</x:f>
        <x:v>Intermedio (70-300 km)</x:v>
      </x:c>
      <x:c r="M821" s="25" t="str">
        <x:f>IF(J821&gt;=5,"Sí","No")</x:f>
        <x:v>No</x:v>
      </x:c>
      <x:c r="N821" s="25" t="str">
        <x:f>IF(J821&gt;=6,"Sí","No")</x:f>
        <x:v>No</x:v>
      </x:c>
      <x:c r="O821" s="25" t="str">
        <x:v>Pendiente: asignar con R/sf</x:v>
      </x:c>
    </x:row>
    <x:row r="822">
      <x:c r="A822" s="25" t="n">
        <x:v>821</x:v>
      </x:c>
      <x:c r="B822" s="26" t="n">
        <x:v>44250.80212962963</x:v>
      </x:c>
      <x:c r="C822" s="27" t="n">
        <x:f>INT(B822)</x:f>
        <x:v>44250</x:v>
      </x:c>
      <x:c r="D822" s="28" t="n">
        <x:f>MOD(B822,1)</x:f>
        <x:v>0.8021296296283253</x:v>
      </x:c>
      <x:c r="E822" s="29" t="n">
        <x:f>YEAR(B822)</x:f>
        <x:v>2021</x:v>
      </x:c>
      <x:c r="F822" s="29" t="n">
        <x:f>MONTH(B822)</x:f>
        <x:v>2</x:v>
      </x:c>
      <x:c r="G822" s="30" t="n">
        <x:v>-20.11</x:v>
      </x:c>
      <x:c r="H822" s="30" t="n">
        <x:v>-68.95</x:v>
      </x:c>
      <x:c r="I822" s="29" t="n">
        <x:v>96</x:v>
      </x:c>
      <x:c r="J822" s="31" t="n">
        <x:v>4</x:v>
      </x:c>
      <x:c r="K822" s="25" t="str">
        <x:f>IF(J822&gt;=7,"Muy fuerte (&gt;=7)",IF(J822&gt;=6,"Fuerte (6-6.9)",IF(J822&gt;=5,"Moderado alto (5-5.9)",IF(J822&gt;=4,"Moderado (4-4.9)","Menor a 4"))))</x:f>
        <x:v>Moderado (4-4.9)</x:v>
      </x:c>
      <x:c r="L822" s="25" t="str">
        <x:f>IF(I822&lt;70,"Superficial (&lt;70 km)",IF(I822&lt;=300,"Intermedio (70-300 km)","Profundo (&gt;300 km)"))</x:f>
        <x:v>Intermedio (70-300 km)</x:v>
      </x:c>
      <x:c r="M822" s="25" t="str">
        <x:f>IF(J822&gt;=5,"Sí","No")</x:f>
        <x:v>No</x:v>
      </x:c>
      <x:c r="N822" s="25" t="str">
        <x:f>IF(J822&gt;=6,"Sí","No")</x:f>
        <x:v>No</x:v>
      </x:c>
      <x:c r="O822" s="25" t="str">
        <x:v>Pendiente: asignar con R/sf</x:v>
      </x:c>
    </x:row>
    <x:row r="823">
      <x:c r="A823" s="25" t="n">
        <x:v>822</x:v>
      </x:c>
      <x:c r="B823" s="26" t="n">
        <x:v>43578.42796296296</x:v>
      </x:c>
      <x:c r="C823" s="27" t="n">
        <x:f>INT(B823)</x:f>
        <x:v>43578</x:v>
      </x:c>
      <x:c r="D823" s="28" t="n">
        <x:f>MOD(B823,1)</x:f>
        <x:v>0.42796296296000946</x:v>
      </x:c>
      <x:c r="E823" s="29" t="n">
        <x:f>YEAR(B823)</x:f>
        <x:v>2019</x:v>
      </x:c>
      <x:c r="F823" s="29" t="n">
        <x:f>MONTH(B823)</x:f>
        <x:v>4</x:v>
      </x:c>
      <x:c r="G823" s="30" t="n">
        <x:v>-18.38</x:v>
      </x:c>
      <x:c r="H823" s="30" t="n">
        <x:v>-70.13</x:v>
      </x:c>
      <x:c r="I823" s="29" t="n">
        <x:v>73</x:v>
      </x:c>
      <x:c r="J823" s="31" t="n">
        <x:v>3.9</x:v>
      </x:c>
      <x:c r="K823" s="25" t="str">
        <x:f>IF(J823&gt;=7,"Muy fuerte (&gt;=7)",IF(J823&gt;=6,"Fuerte (6-6.9)",IF(J823&gt;=5,"Moderado alto (5-5.9)",IF(J823&gt;=4,"Moderado (4-4.9)","Menor a 4"))))</x:f>
        <x:v>Menor a 4</x:v>
      </x:c>
      <x:c r="L823" s="25" t="str">
        <x:f>IF(I823&lt;70,"Superficial (&lt;70 km)",IF(I823&lt;=300,"Intermedio (70-300 km)","Profundo (&gt;300 km)"))</x:f>
        <x:v>Intermedio (70-300 km)</x:v>
      </x:c>
      <x:c r="M823" s="25" t="str">
        <x:f>IF(J823&gt;=5,"Sí","No")</x:f>
        <x:v>No</x:v>
      </x:c>
      <x:c r="N823" s="25" t="str">
        <x:f>IF(J823&gt;=6,"Sí","No")</x:f>
        <x:v>No</x:v>
      </x:c>
      <x:c r="O823" s="25" t="str">
        <x:v>Pendiente: asignar con R/sf</x:v>
      </x:c>
    </x:row>
    <x:row r="824">
      <x:c r="A824" s="25" t="n">
        <x:v>823</x:v>
      </x:c>
      <x:c r="B824" s="26" t="n">
        <x:v>44327.47483796296</x:v>
      </x:c>
      <x:c r="C824" s="27" t="n">
        <x:f>INT(B824)</x:f>
        <x:v>44327</x:v>
      </x:c>
      <x:c r="D824" s="28" t="n">
        <x:f>MOD(B824,1)</x:f>
        <x:v>0.47483796296000946</x:v>
      </x:c>
      <x:c r="E824" s="29" t="n">
        <x:f>YEAR(B824)</x:f>
        <x:v>2021</x:v>
      </x:c>
      <x:c r="F824" s="29" t="n">
        <x:f>MONTH(B824)</x:f>
        <x:v>5</x:v>
      </x:c>
      <x:c r="G824" s="30" t="n">
        <x:v>-20.15</x:v>
      </x:c>
      <x:c r="H824" s="30" t="n">
        <x:v>-69.12</x:v>
      </x:c>
      <x:c r="I824" s="29" t="n">
        <x:v>101</x:v>
      </x:c>
      <x:c r="J824" s="31" t="n">
        <x:v>3.8</x:v>
      </x:c>
      <x:c r="K824" s="25" t="str">
        <x:f>IF(J824&gt;=7,"Muy fuerte (&gt;=7)",IF(J824&gt;=6,"Fuerte (6-6.9)",IF(J824&gt;=5,"Moderado alto (5-5.9)",IF(J824&gt;=4,"Moderado (4-4.9)","Menor a 4"))))</x:f>
        <x:v>Menor a 4</x:v>
      </x:c>
      <x:c r="L824" s="25" t="str">
        <x:f>IF(I824&lt;70,"Superficial (&lt;70 km)",IF(I824&lt;=300,"Intermedio (70-300 km)","Profundo (&gt;300 km)"))</x:f>
        <x:v>Intermedio (70-300 km)</x:v>
      </x:c>
      <x:c r="M824" s="25" t="str">
        <x:f>IF(J824&gt;=5,"Sí","No")</x:f>
        <x:v>No</x:v>
      </x:c>
      <x:c r="N824" s="25" t="str">
        <x:f>IF(J824&gt;=6,"Sí","No")</x:f>
        <x:v>No</x:v>
      </x:c>
      <x:c r="O824" s="25" t="str">
        <x:v>Pendiente: asignar con R/sf</x:v>
      </x:c>
    </x:row>
    <x:row r="825">
      <x:c r="A825" s="25" t="n">
        <x:v>824</x:v>
      </x:c>
      <x:c r="B825" s="26" t="n">
        <x:v>44096.495208333334</x:v>
      </x:c>
      <x:c r="C825" s="27" t="n">
        <x:f>INT(B825)</x:f>
        <x:v>44096</x:v>
      </x:c>
      <x:c r="D825" s="28" t="n">
        <x:f>MOD(B825,1)</x:f>
        <x:v>0.4952083333337214</x:v>
      </x:c>
      <x:c r="E825" s="29" t="n">
        <x:f>YEAR(B825)</x:f>
        <x:v>2020</x:v>
      </x:c>
      <x:c r="F825" s="29" t="n">
        <x:f>MONTH(B825)</x:f>
        <x:v>9</x:v>
      </x:c>
      <x:c r="G825" s="30" t="n">
        <x:v>-21.91</x:v>
      </x:c>
      <x:c r="H825" s="30" t="n">
        <x:v>-68.41</x:v>
      </x:c>
      <x:c r="I825" s="29" t="n">
        <x:v>126</x:v>
      </x:c>
      <x:c r="J825" s="31" t="n">
        <x:v>4.7</x:v>
      </x:c>
      <x:c r="K825" s="25" t="str">
        <x:f>IF(J825&gt;=7,"Muy fuerte (&gt;=7)",IF(J825&gt;=6,"Fuerte (6-6.9)",IF(J825&gt;=5,"Moderado alto (5-5.9)",IF(J825&gt;=4,"Moderado (4-4.9)","Menor a 4"))))</x:f>
        <x:v>Moderado (4-4.9)</x:v>
      </x:c>
      <x:c r="L825" s="25" t="str">
        <x:f>IF(I825&lt;70,"Superficial (&lt;70 km)",IF(I825&lt;=300,"Intermedio (70-300 km)","Profundo (&gt;300 km)"))</x:f>
        <x:v>Intermedio (70-300 km)</x:v>
      </x:c>
      <x:c r="M825" s="25" t="str">
        <x:f>IF(J825&gt;=5,"Sí","No")</x:f>
        <x:v>No</x:v>
      </x:c>
      <x:c r="N825" s="25" t="str">
        <x:f>IF(J825&gt;=6,"Sí","No")</x:f>
        <x:v>No</x:v>
      </x:c>
      <x:c r="O825" s="25" t="str">
        <x:v>Pendiente: asignar con R/sf</x:v>
      </x:c>
    </x:row>
    <x:row r="826">
      <x:c r="A826" s="25" t="n">
        <x:v>825</x:v>
      </x:c>
      <x:c r="B826" s="26" t="n">
        <x:v>44242.946608796294</x:v>
      </x:c>
      <x:c r="C826" s="27" t="n">
        <x:f>INT(B826)</x:f>
        <x:v>44242</x:v>
      </x:c>
      <x:c r="D826" s="28" t="n">
        <x:f>MOD(B826,1)</x:f>
        <x:v>0.9466087962937308</x:v>
      </x:c>
      <x:c r="E826" s="29" t="n">
        <x:f>YEAR(B826)</x:f>
        <x:v>2021</x:v>
      </x:c>
      <x:c r="F826" s="29" t="n">
        <x:f>MONTH(B826)</x:f>
        <x:v>2</x:v>
      </x:c>
      <x:c r="G826" s="30" t="n">
        <x:v>-20.07</x:v>
      </x:c>
      <x:c r="H826" s="30" t="n">
        <x:v>-70.26</x:v>
      </x:c>
      <x:c r="I826" s="29" t="n">
        <x:v>44</x:v>
      </x:c>
      <x:c r="J826" s="31" t="n">
        <x:v>3.4</x:v>
      </x:c>
      <x:c r="K826" s="25" t="str">
        <x:f>IF(J826&gt;=7,"Muy fuerte (&gt;=7)",IF(J826&gt;=6,"Fuerte (6-6.9)",IF(J826&gt;=5,"Moderado alto (5-5.9)",IF(J826&gt;=4,"Moderado (4-4.9)","Menor a 4"))))</x:f>
        <x:v>Menor a 4</x:v>
      </x:c>
      <x:c r="L826" s="25" t="str">
        <x:f>IF(I826&lt;70,"Superficial (&lt;70 km)",IF(I826&lt;=300,"Intermedio (70-300 km)","Profundo (&gt;300 km)"))</x:f>
        <x:v>Superficial (&lt;70 km)</x:v>
      </x:c>
      <x:c r="M826" s="25" t="str">
        <x:f>IF(J826&gt;=5,"Sí","No")</x:f>
        <x:v>No</x:v>
      </x:c>
      <x:c r="N826" s="25" t="str">
        <x:f>IF(J826&gt;=6,"Sí","No")</x:f>
        <x:v>No</x:v>
      </x:c>
      <x:c r="O826" s="25" t="str">
        <x:v>Pendiente: asignar con R/sf</x:v>
      </x:c>
    </x:row>
    <x:row r="827">
      <x:c r="A827" s="25" t="n">
        <x:v>826</x:v>
      </x:c>
      <x:c r="B827" s="26" t="n">
        <x:v>44093.39363425926</x:v>
      </x:c>
      <x:c r="C827" s="27" t="n">
        <x:f>INT(B827)</x:f>
        <x:v>44093</x:v>
      </x:c>
      <x:c r="D827" s="28" t="n">
        <x:f>MOD(B827,1)</x:f>
        <x:v>0.39363425925694173</x:v>
      </x:c>
      <x:c r="E827" s="29" t="n">
        <x:f>YEAR(B827)</x:f>
        <x:v>2020</x:v>
      </x:c>
      <x:c r="F827" s="29" t="n">
        <x:f>MONTH(B827)</x:f>
        <x:v>9</x:v>
      </x:c>
      <x:c r="G827" s="30" t="n">
        <x:v>-21</x:v>
      </x:c>
      <x:c r="H827" s="30" t="n">
        <x:v>-68.73</x:v>
      </x:c>
      <x:c r="I827" s="29" t="n">
        <x:v>129</x:v>
      </x:c>
      <x:c r="J827" s="31" t="n">
        <x:v>4.9</x:v>
      </x:c>
      <x:c r="K827" s="25" t="str">
        <x:f>IF(J827&gt;=7,"Muy fuerte (&gt;=7)",IF(J827&gt;=6,"Fuerte (6-6.9)",IF(J827&gt;=5,"Moderado alto (5-5.9)",IF(J827&gt;=4,"Moderado (4-4.9)","Menor a 4"))))</x:f>
        <x:v>Moderado (4-4.9)</x:v>
      </x:c>
      <x:c r="L827" s="25" t="str">
        <x:f>IF(I827&lt;70,"Superficial (&lt;70 km)",IF(I827&lt;=300,"Intermedio (70-300 km)","Profundo (&gt;300 km)"))</x:f>
        <x:v>Intermedio (70-300 km)</x:v>
      </x:c>
      <x:c r="M827" s="25" t="str">
        <x:f>IF(J827&gt;=5,"Sí","No")</x:f>
        <x:v>No</x:v>
      </x:c>
      <x:c r="N827" s="25" t="str">
        <x:f>IF(J827&gt;=6,"Sí","No")</x:f>
        <x:v>No</x:v>
      </x:c>
      <x:c r="O827" s="25" t="str">
        <x:v>Pendiente: asignar con R/sf</x:v>
      </x:c>
    </x:row>
    <x:row r="828">
      <x:c r="A828" s="25" t="n">
        <x:v>827</x:v>
      </x:c>
      <x:c r="B828" s="26" t="n">
        <x:v>44185.98339120371</x:v>
      </x:c>
      <x:c r="C828" s="27" t="n">
        <x:f>INT(B828)</x:f>
        <x:v>44185</x:v>
      </x:c>
      <x:c r="D828" s="28" t="n">
        <x:f>MOD(B828,1)</x:f>
        <x:v>0.9833912037065602</x:v>
      </x:c>
      <x:c r="E828" s="29" t="n">
        <x:f>YEAR(B828)</x:f>
        <x:v>2020</x:v>
      </x:c>
      <x:c r="F828" s="29" t="n">
        <x:f>MONTH(B828)</x:f>
        <x:v>12</x:v>
      </x:c>
      <x:c r="G828" s="30" t="n">
        <x:v>-22.66</x:v>
      </x:c>
      <x:c r="H828" s="30" t="n">
        <x:v>-68.81</x:v>
      </x:c>
      <x:c r="I828" s="29" t="n">
        <x:v>111</x:v>
      </x:c>
      <x:c r="J828" s="31" t="n">
        <x:v>4.9</x:v>
      </x:c>
      <x:c r="K828" s="25" t="str">
        <x:f>IF(J828&gt;=7,"Muy fuerte (&gt;=7)",IF(J828&gt;=6,"Fuerte (6-6.9)",IF(J828&gt;=5,"Moderado alto (5-5.9)",IF(J828&gt;=4,"Moderado (4-4.9)","Menor a 4"))))</x:f>
        <x:v>Moderado (4-4.9)</x:v>
      </x:c>
      <x:c r="L828" s="25" t="str">
        <x:f>IF(I828&lt;70,"Superficial (&lt;70 km)",IF(I828&lt;=300,"Intermedio (70-300 km)","Profundo (&gt;300 km)"))</x:f>
        <x:v>Intermedio (70-300 km)</x:v>
      </x:c>
      <x:c r="M828" s="25" t="str">
        <x:f>IF(J828&gt;=5,"Sí","No")</x:f>
        <x:v>No</x:v>
      </x:c>
      <x:c r="N828" s="25" t="str">
        <x:f>IF(J828&gt;=6,"Sí","No")</x:f>
        <x:v>No</x:v>
      </x:c>
      <x:c r="O828" s="25" t="str">
        <x:v>Pendiente: asignar con R/sf</x:v>
      </x:c>
    </x:row>
    <x:row r="829">
      <x:c r="A829" s="25" t="n">
        <x:v>828</x:v>
      </x:c>
      <x:c r="B829" s="26" t="n">
        <x:v>43372.601805555554</x:v>
      </x:c>
      <x:c r="C829" s="27" t="n">
        <x:f>INT(B829)</x:f>
        <x:v>43372</x:v>
      </x:c>
      <x:c r="D829" s="28" t="n">
        <x:f>MOD(B829,1)</x:f>
        <x:v>0.601805555554165</x:v>
      </x:c>
      <x:c r="E829" s="29" t="n">
        <x:f>YEAR(B829)</x:f>
        <x:v>2018</x:v>
      </x:c>
      <x:c r="F829" s="29" t="n">
        <x:f>MONTH(B829)</x:f>
        <x:v>9</x:v>
      </x:c>
      <x:c r="G829" s="30" t="n">
        <x:v>-19</x:v>
      </x:c>
      <x:c r="H829" s="30" t="n">
        <x:v>-69.53</x:v>
      </x:c>
      <x:c r="I829" s="29" t="n">
        <x:v>96</x:v>
      </x:c>
      <x:c r="J829" s="31" t="n">
        <x:v>4.3</x:v>
      </x:c>
      <x:c r="K829" s="25" t="str">
        <x:f>IF(J829&gt;=7,"Muy fuerte (&gt;=7)",IF(J829&gt;=6,"Fuerte (6-6.9)",IF(J829&gt;=5,"Moderado alto (5-5.9)",IF(J829&gt;=4,"Moderado (4-4.9)","Menor a 4"))))</x:f>
        <x:v>Moderado (4-4.9)</x:v>
      </x:c>
      <x:c r="L829" s="25" t="str">
        <x:f>IF(I829&lt;70,"Superficial (&lt;70 km)",IF(I829&lt;=300,"Intermedio (70-300 km)","Profundo (&gt;300 km)"))</x:f>
        <x:v>Intermedio (70-300 km)</x:v>
      </x:c>
      <x:c r="M829" s="25" t="str">
        <x:f>IF(J829&gt;=5,"Sí","No")</x:f>
        <x:v>No</x:v>
      </x:c>
      <x:c r="N829" s="25" t="str">
        <x:f>IF(J829&gt;=6,"Sí","No")</x:f>
        <x:v>No</x:v>
      </x:c>
      <x:c r="O829" s="25" t="str">
        <x:v>Pendiente: asignar con R/sf</x:v>
      </x:c>
    </x:row>
    <x:row r="830">
      <x:c r="A830" s="25" t="n">
        <x:v>829</x:v>
      </x:c>
      <x:c r="B830" s="26" t="n">
        <x:v>44208.461539351854</x:v>
      </x:c>
      <x:c r="C830" s="27" t="n">
        <x:f>INT(B830)</x:f>
        <x:v>44208</x:v>
      </x:c>
      <x:c r="D830" s="28" t="n">
        <x:f>MOD(B830,1)</x:f>
        <x:v>0.46153935185429873</x:v>
      </x:c>
      <x:c r="E830" s="29" t="n">
        <x:f>YEAR(B830)</x:f>
        <x:v>2021</x:v>
      </x:c>
      <x:c r="F830" s="29" t="n">
        <x:f>MONTH(B830)</x:f>
        <x:v>1</x:v>
      </x:c>
      <x:c r="G830" s="30" t="n">
        <x:v>-21.76</x:v>
      </x:c>
      <x:c r="H830" s="30" t="n">
        <x:v>-68.69</x:v>
      </x:c>
      <x:c r="I830" s="29" t="n">
        <x:v>110</x:v>
      </x:c>
      <x:c r="J830" s="31" t="n">
        <x:v>4.6</x:v>
      </x:c>
      <x:c r="K830" s="25" t="str">
        <x:f>IF(J830&gt;=7,"Muy fuerte (&gt;=7)",IF(J830&gt;=6,"Fuerte (6-6.9)",IF(J830&gt;=5,"Moderado alto (5-5.9)",IF(J830&gt;=4,"Moderado (4-4.9)","Menor a 4"))))</x:f>
        <x:v>Moderado (4-4.9)</x:v>
      </x:c>
      <x:c r="L830" s="25" t="str">
        <x:f>IF(I830&lt;70,"Superficial (&lt;70 km)",IF(I830&lt;=300,"Intermedio (70-300 km)","Profundo (&gt;300 km)"))</x:f>
        <x:v>Intermedio (70-300 km)</x:v>
      </x:c>
      <x:c r="M830" s="25" t="str">
        <x:f>IF(J830&gt;=5,"Sí","No")</x:f>
        <x:v>No</x:v>
      </x:c>
      <x:c r="N830" s="25" t="str">
        <x:f>IF(J830&gt;=6,"Sí","No")</x:f>
        <x:v>No</x:v>
      </x:c>
      <x:c r="O830" s="25" t="str">
        <x:v>Pendiente: asignar con R/sf</x:v>
      </x:c>
    </x:row>
    <x:row r="831">
      <x:c r="A831" s="25" t="n">
        <x:v>830</x:v>
      </x:c>
      <x:c r="B831" s="26" t="n">
        <x:v>44282.845289351855</x:v>
      </x:c>
      <x:c r="C831" s="27" t="n">
        <x:f>INT(B831)</x:f>
        <x:v>44282</x:v>
      </x:c>
      <x:c r="D831" s="28" t="n">
        <x:f>MOD(B831,1)</x:f>
        <x:v>0.8452893518551718</x:v>
      </x:c>
      <x:c r="E831" s="29" t="n">
        <x:f>YEAR(B831)</x:f>
        <x:v>2021</x:v>
      </x:c>
      <x:c r="F831" s="29" t="n">
        <x:f>MONTH(B831)</x:f>
        <x:v>3</x:v>
      </x:c>
      <x:c r="G831" s="30" t="n">
        <x:v>-19.85</x:v>
      </x:c>
      <x:c r="H831" s="30" t="n">
        <x:v>-69.91</x:v>
      </x:c>
      <x:c r="I831" s="29" t="n">
        <x:v>64</x:v>
      </x:c>
      <x:c r="J831" s="31" t="n">
        <x:v>4.6</x:v>
      </x:c>
      <x:c r="K831" s="25" t="str">
        <x:f>IF(J831&gt;=7,"Muy fuerte (&gt;=7)",IF(J831&gt;=6,"Fuerte (6-6.9)",IF(J831&gt;=5,"Moderado alto (5-5.9)",IF(J831&gt;=4,"Moderado (4-4.9)","Menor a 4"))))</x:f>
        <x:v>Moderado (4-4.9)</x:v>
      </x:c>
      <x:c r="L831" s="25" t="str">
        <x:f>IF(I831&lt;70,"Superficial (&lt;70 km)",IF(I831&lt;=300,"Intermedio (70-300 km)","Profundo (&gt;300 km)"))</x:f>
        <x:v>Superficial (&lt;70 km)</x:v>
      </x:c>
      <x:c r="M831" s="25" t="str">
        <x:f>IF(J831&gt;=5,"Sí","No")</x:f>
        <x:v>No</x:v>
      </x:c>
      <x:c r="N831" s="25" t="str">
        <x:f>IF(J831&gt;=6,"Sí","No")</x:f>
        <x:v>No</x:v>
      </x:c>
      <x:c r="O831" s="25" t="str">
        <x:v>Pendiente: asignar con R/sf</x:v>
      </x:c>
    </x:row>
    <x:row r="832">
      <x:c r="A832" s="25" t="n">
        <x:v>831</x:v>
      </x:c>
      <x:c r="B832" s="26" t="n">
        <x:v>43406.588125</x:v>
      </x:c>
      <x:c r="C832" s="27" t="n">
        <x:f>INT(B832)</x:f>
        <x:v>43406</x:v>
      </x:c>
      <x:c r="D832" s="28" t="n">
        <x:f>MOD(B832,1)</x:f>
        <x:v>0.5881250000020373</x:v>
      </x:c>
      <x:c r="E832" s="29" t="n">
        <x:f>YEAR(B832)</x:f>
        <x:v>2018</x:v>
      </x:c>
      <x:c r="F832" s="29" t="n">
        <x:f>MONTH(B832)</x:f>
        <x:v>11</x:v>
      </x:c>
      <x:c r="G832" s="30" t="n">
        <x:v>-18.23</x:v>
      </x:c>
      <x:c r="H832" s="30" t="n">
        <x:v>-70.03</x:v>
      </x:c>
      <x:c r="I832" s="29" t="n">
        <x:v>105</x:v>
      </x:c>
      <x:c r="J832" s="31" t="n">
        <x:v>3.9</x:v>
      </x:c>
      <x:c r="K832" s="25" t="str">
        <x:f>IF(J832&gt;=7,"Muy fuerte (&gt;=7)",IF(J832&gt;=6,"Fuerte (6-6.9)",IF(J832&gt;=5,"Moderado alto (5-5.9)",IF(J832&gt;=4,"Moderado (4-4.9)","Menor a 4"))))</x:f>
        <x:v>Menor a 4</x:v>
      </x:c>
      <x:c r="L832" s="25" t="str">
        <x:f>IF(I832&lt;70,"Superficial (&lt;70 km)",IF(I832&lt;=300,"Intermedio (70-300 km)","Profundo (&gt;300 km)"))</x:f>
        <x:v>Intermedio (70-300 km)</x:v>
      </x:c>
      <x:c r="M832" s="25" t="str">
        <x:f>IF(J832&gt;=5,"Sí","No")</x:f>
        <x:v>No</x:v>
      </x:c>
      <x:c r="N832" s="25" t="str">
        <x:f>IF(J832&gt;=6,"Sí","No")</x:f>
        <x:v>No</x:v>
      </x:c>
      <x:c r="O832" s="25" t="str">
        <x:v>Pendiente: asignar con R/sf</x:v>
      </x:c>
    </x:row>
    <x:row r="833">
      <x:c r="A833" s="25" t="n">
        <x:v>832</x:v>
      </x:c>
      <x:c r="B833" s="26" t="n">
        <x:v>44241.881875</x:v>
      </x:c>
      <x:c r="C833" s="27" t="n">
        <x:f>INT(B833)</x:f>
        <x:v>44241</x:v>
      </x:c>
      <x:c r="D833" s="28" t="n">
        <x:f>MOD(B833,1)</x:f>
        <x:v>0.8818749999991269</x:v>
      </x:c>
      <x:c r="E833" s="29" t="n">
        <x:f>YEAR(B833)</x:f>
        <x:v>2021</x:v>
      </x:c>
      <x:c r="F833" s="29" t="n">
        <x:f>MONTH(B833)</x:f>
        <x:v>2</x:v>
      </x:c>
      <x:c r="G833" s="30" t="n">
        <x:v>-21.4</x:v>
      </x:c>
      <x:c r="H833" s="30" t="n">
        <x:v>-69.78</x:v>
      </x:c>
      <x:c r="I833" s="29" t="n">
        <x:v>49</x:v>
      </x:c>
      <x:c r="J833" s="31" t="n">
        <x:v>3.9</x:v>
      </x:c>
      <x:c r="K833" s="25" t="str">
        <x:f>IF(J833&gt;=7,"Muy fuerte (&gt;=7)",IF(J833&gt;=6,"Fuerte (6-6.9)",IF(J833&gt;=5,"Moderado alto (5-5.9)",IF(J833&gt;=4,"Moderado (4-4.9)","Menor a 4"))))</x:f>
        <x:v>Menor a 4</x:v>
      </x:c>
      <x:c r="L833" s="25" t="str">
        <x:f>IF(I833&lt;70,"Superficial (&lt;70 km)",IF(I833&lt;=300,"Intermedio (70-300 km)","Profundo (&gt;300 km)"))</x:f>
        <x:v>Superficial (&lt;70 km)</x:v>
      </x:c>
      <x:c r="M833" s="25" t="str">
        <x:f>IF(J833&gt;=5,"Sí","No")</x:f>
        <x:v>No</x:v>
      </x:c>
      <x:c r="N833" s="25" t="str">
        <x:f>IF(J833&gt;=6,"Sí","No")</x:f>
        <x:v>No</x:v>
      </x:c>
      <x:c r="O833" s="25" t="str">
        <x:v>Pendiente: asignar con R/sf</x:v>
      </x:c>
    </x:row>
    <x:row r="834">
      <x:c r="A834" s="25" t="n">
        <x:v>833</x:v>
      </x:c>
      <x:c r="B834" s="26" t="n">
        <x:v>44143.14894675926</x:v>
      </x:c>
      <x:c r="C834" s="27" t="n">
        <x:f>INT(B834)</x:f>
        <x:v>44143</x:v>
      </x:c>
      <x:c r="D834" s="28" t="n">
        <x:f>MOD(B834,1)</x:f>
        <x:v>0.14894675926188938</x:v>
      </x:c>
      <x:c r="E834" s="29" t="n">
        <x:f>YEAR(B834)</x:f>
        <x:v>2020</x:v>
      </x:c>
      <x:c r="F834" s="29" t="n">
        <x:f>MONTH(B834)</x:f>
        <x:v>11</x:v>
      </x:c>
      <x:c r="G834" s="30" t="n">
        <x:v>-27.82</x:v>
      </x:c>
      <x:c r="H834" s="30" t="n">
        <x:v>-71.11</x:v>
      </x:c>
      <x:c r="I834" s="29" t="n">
        <x:v>28</x:v>
      </x:c>
      <x:c r="J834" s="31" t="n">
        <x:v>4.2</x:v>
      </x:c>
      <x:c r="K834" s="25" t="str">
        <x:f>IF(J834&gt;=7,"Muy fuerte (&gt;=7)",IF(J834&gt;=6,"Fuerte (6-6.9)",IF(J834&gt;=5,"Moderado alto (5-5.9)",IF(J834&gt;=4,"Moderado (4-4.9)","Menor a 4"))))</x:f>
        <x:v>Moderado (4-4.9)</x:v>
      </x:c>
      <x:c r="L834" s="25" t="str">
        <x:f>IF(I834&lt;70,"Superficial (&lt;70 km)",IF(I834&lt;=300,"Intermedio (70-300 km)","Profundo (&gt;300 km)"))</x:f>
        <x:v>Superficial (&lt;70 km)</x:v>
      </x:c>
      <x:c r="M834" s="25" t="str">
        <x:f>IF(J834&gt;=5,"Sí","No")</x:f>
        <x:v>No</x:v>
      </x:c>
      <x:c r="N834" s="25" t="str">
        <x:f>IF(J834&gt;=6,"Sí","No")</x:f>
        <x:v>No</x:v>
      </x:c>
      <x:c r="O834" s="25" t="str">
        <x:v>Pendiente: asignar con R/sf</x:v>
      </x:c>
    </x:row>
    <x:row r="835">
      <x:c r="A835" s="25" t="n">
        <x:v>834</x:v>
      </x:c>
      <x:c r="B835" s="26" t="n">
        <x:v>44242.41395833333</x:v>
      </x:c>
      <x:c r="C835" s="27" t="n">
        <x:f>INT(B835)</x:f>
        <x:v>44242</x:v>
      </x:c>
      <x:c r="D835" s="28" t="n">
        <x:f>MOD(B835,1)</x:f>
        <x:v>0.413958333330811</x:v>
      </x:c>
      <x:c r="E835" s="29" t="n">
        <x:f>YEAR(B835)</x:f>
        <x:v>2021</x:v>
      </x:c>
      <x:c r="F835" s="29" t="n">
        <x:f>MONTH(B835)</x:f>
        <x:v>2</x:v>
      </x:c>
      <x:c r="G835" s="30" t="n">
        <x:v>-19.76</x:v>
      </x:c>
      <x:c r="H835" s="30" t="n">
        <x:v>-69.38</x:v>
      </x:c>
      <x:c r="I835" s="29" t="n">
        <x:v>95</x:v>
      </x:c>
      <x:c r="J835" s="31" t="n">
        <x:v>4.3</x:v>
      </x:c>
      <x:c r="K835" s="25" t="str">
        <x:f>IF(J835&gt;=7,"Muy fuerte (&gt;=7)",IF(J835&gt;=6,"Fuerte (6-6.9)",IF(J835&gt;=5,"Moderado alto (5-5.9)",IF(J835&gt;=4,"Moderado (4-4.9)","Menor a 4"))))</x:f>
        <x:v>Moderado (4-4.9)</x:v>
      </x:c>
      <x:c r="L835" s="25" t="str">
        <x:f>IF(I835&lt;70,"Superficial (&lt;70 km)",IF(I835&lt;=300,"Intermedio (70-300 km)","Profundo (&gt;300 km)"))</x:f>
        <x:v>Intermedio (70-300 km)</x:v>
      </x:c>
      <x:c r="M835" s="25" t="str">
        <x:f>IF(J835&gt;=5,"Sí","No")</x:f>
        <x:v>No</x:v>
      </x:c>
      <x:c r="N835" s="25" t="str">
        <x:f>IF(J835&gt;=6,"Sí","No")</x:f>
        <x:v>No</x:v>
      </x:c>
      <x:c r="O835" s="25" t="str">
        <x:v>Pendiente: asignar con R/sf</x:v>
      </x:c>
    </x:row>
    <x:row r="836">
      <x:c r="A836" s="25" t="n">
        <x:v>835</x:v>
      </x:c>
      <x:c r="B836" s="26" t="n">
        <x:v>44126.880011574074</x:v>
      </x:c>
      <x:c r="C836" s="27" t="n">
        <x:f>INT(B836)</x:f>
        <x:v>44126</x:v>
      </x:c>
      <x:c r="D836" s="28" t="n">
        <x:f>MOD(B836,1)</x:f>
        <x:v>0.8800115740741603</x:v>
      </x:c>
      <x:c r="E836" s="29" t="n">
        <x:f>YEAR(B836)</x:f>
        <x:v>2020</x:v>
      </x:c>
      <x:c r="F836" s="29" t="n">
        <x:f>MONTH(B836)</x:f>
        <x:v>10</x:v>
      </x:c>
      <x:c r="G836" s="30" t="n">
        <x:v>-21.36</x:v>
      </x:c>
      <x:c r="H836" s="30" t="n">
        <x:v>-69.84</x:v>
      </x:c>
      <x:c r="I836" s="29" t="n">
        <x:v>50</x:v>
      </x:c>
      <x:c r="J836" s="31" t="n">
        <x:v>4.1</x:v>
      </x:c>
      <x:c r="K836" s="25" t="str">
        <x:f>IF(J836&gt;=7,"Muy fuerte (&gt;=7)",IF(J836&gt;=6,"Fuerte (6-6.9)",IF(J836&gt;=5,"Moderado alto (5-5.9)",IF(J836&gt;=4,"Moderado (4-4.9)","Menor a 4"))))</x:f>
        <x:v>Moderado (4-4.9)</x:v>
      </x:c>
      <x:c r="L836" s="25" t="str">
        <x:f>IF(I836&lt;70,"Superficial (&lt;70 km)",IF(I836&lt;=300,"Intermedio (70-300 km)","Profundo (&gt;300 km)"))</x:f>
        <x:v>Superficial (&lt;70 km)</x:v>
      </x:c>
      <x:c r="M836" s="25" t="str">
        <x:f>IF(J836&gt;=5,"Sí","No")</x:f>
        <x:v>No</x:v>
      </x:c>
      <x:c r="N836" s="25" t="str">
        <x:f>IF(J836&gt;=6,"Sí","No")</x:f>
        <x:v>No</x:v>
      </x:c>
      <x:c r="O836" s="25" t="str">
        <x:v>Pendiente: asignar con R/sf</x:v>
      </x:c>
    </x:row>
    <x:row r="837">
      <x:c r="A837" s="25" t="n">
        <x:v>836</x:v>
      </x:c>
      <x:c r="B837" s="26" t="n">
        <x:v>44170.83530092592</x:v>
      </x:c>
      <x:c r="C837" s="27" t="n">
        <x:f>INT(B837)</x:f>
        <x:v>44170</x:v>
      </x:c>
      <x:c r="D837" s="28" t="n">
        <x:f>MOD(B837,1)</x:f>
        <x:v>0.8353009259226383</x:v>
      </x:c>
      <x:c r="E837" s="29" t="n">
        <x:f>YEAR(B837)</x:f>
        <x:v>2020</x:v>
      </x:c>
      <x:c r="F837" s="29" t="n">
        <x:f>MONTH(B837)</x:f>
        <x:v>12</x:v>
      </x:c>
      <x:c r="G837" s="30" t="n">
        <x:v>-21.42</x:v>
      </x:c>
      <x:c r="H837" s="30" t="n">
        <x:v>-68.8</x:v>
      </x:c>
      <x:c r="I837" s="29" t="n">
        <x:v>120</x:v>
      </x:c>
      <x:c r="J837" s="31" t="n">
        <x:v>4.2</x:v>
      </x:c>
      <x:c r="K837" s="25" t="str">
        <x:f>IF(J837&gt;=7,"Muy fuerte (&gt;=7)",IF(J837&gt;=6,"Fuerte (6-6.9)",IF(J837&gt;=5,"Moderado alto (5-5.9)",IF(J837&gt;=4,"Moderado (4-4.9)","Menor a 4"))))</x:f>
        <x:v>Moderado (4-4.9)</x:v>
      </x:c>
      <x:c r="L837" s="25" t="str">
        <x:f>IF(I837&lt;70,"Superficial (&lt;70 km)",IF(I837&lt;=300,"Intermedio (70-300 km)","Profundo (&gt;300 km)"))</x:f>
        <x:v>Intermedio (70-300 km)</x:v>
      </x:c>
      <x:c r="M837" s="25" t="str">
        <x:f>IF(J837&gt;=5,"Sí","No")</x:f>
        <x:v>No</x:v>
      </x:c>
      <x:c r="N837" s="25" t="str">
        <x:f>IF(J837&gt;=6,"Sí","No")</x:f>
        <x:v>No</x:v>
      </x:c>
      <x:c r="O837" s="25" t="str">
        <x:v>Pendiente: asignar con R/sf</x:v>
      </x:c>
    </x:row>
    <x:row r="838">
      <x:c r="A838" s="25" t="n">
        <x:v>837</x:v>
      </x:c>
      <x:c r="B838" s="26" t="n">
        <x:v>44318.29002314815</x:v>
      </x:c>
      <x:c r="C838" s="27" t="n">
        <x:f>INT(B838)</x:f>
        <x:v>44318</x:v>
      </x:c>
      <x:c r="D838" s="28" t="n">
        <x:f>MOD(B838,1)</x:f>
        <x:v>0.29002314814715646</x:v>
      </x:c>
      <x:c r="E838" s="29" t="n">
        <x:f>YEAR(B838)</x:f>
        <x:v>2021</x:v>
      </x:c>
      <x:c r="F838" s="29" t="n">
        <x:f>MONTH(B838)</x:f>
        <x:v>5</x:v>
      </x:c>
      <x:c r="G838" s="30" t="n">
        <x:v>-30.12</x:v>
      </x:c>
      <x:c r="H838" s="30" t="n">
        <x:v>-71.56</x:v>
      </x:c>
      <x:c r="I838" s="29" t="n">
        <x:v>38</x:v>
      </x:c>
      <x:c r="J838" s="31" t="n">
        <x:v>5.9</x:v>
      </x:c>
      <x:c r="K838" s="25" t="str">
        <x:f>IF(J838&gt;=7,"Muy fuerte (&gt;=7)",IF(J838&gt;=6,"Fuerte (6-6.9)",IF(J838&gt;=5,"Moderado alto (5-5.9)",IF(J838&gt;=4,"Moderado (4-4.9)","Menor a 4"))))</x:f>
        <x:v>Moderado alto (5-5.9)</x:v>
      </x:c>
      <x:c r="L838" s="25" t="str">
        <x:f>IF(I838&lt;70,"Superficial (&lt;70 km)",IF(I838&lt;=300,"Intermedio (70-300 km)","Profundo (&gt;300 km)"))</x:f>
        <x:v>Superficial (&lt;70 km)</x:v>
      </x:c>
      <x:c r="M838" s="25" t="str">
        <x:f>IF(J838&gt;=5,"Sí","No")</x:f>
        <x:v>Sí</x:v>
      </x:c>
      <x:c r="N838" s="25" t="str">
        <x:f>IF(J838&gt;=6,"Sí","No")</x:f>
        <x:v>No</x:v>
      </x:c>
      <x:c r="O838" s="25" t="str">
        <x:v>Pendiente: asignar con R/sf</x:v>
      </x:c>
    </x:row>
    <x:row r="839">
      <x:c r="A839" s="25" t="n">
        <x:v>838</x:v>
      </x:c>
      <x:c r="B839" s="26" t="n">
        <x:v>44313.47143518519</x:v>
      </x:c>
      <x:c r="C839" s="27" t="n">
        <x:f>INT(B839)</x:f>
        <x:v>44313</x:v>
      </x:c>
      <x:c r="D839" s="28" t="n">
        <x:f>MOD(B839,1)</x:f>
        <x:v>0.471435185187147</x:v>
      </x:c>
      <x:c r="E839" s="29" t="n">
        <x:f>YEAR(B839)</x:f>
        <x:v>2021</x:v>
      </x:c>
      <x:c r="F839" s="29" t="n">
        <x:f>MONTH(B839)</x:f>
        <x:v>4</x:v>
      </x:c>
      <x:c r="G839" s="30" t="n">
        <x:v>-20.04</x:v>
      </x:c>
      <x:c r="H839" s="30" t="n">
        <x:v>-69.31</x:v>
      </x:c>
      <x:c r="I839" s="29" t="n">
        <x:v>100</x:v>
      </x:c>
      <x:c r="J839" s="31" t="n">
        <x:v>4</x:v>
      </x:c>
      <x:c r="K839" s="25" t="str">
        <x:f>IF(J839&gt;=7,"Muy fuerte (&gt;=7)",IF(J839&gt;=6,"Fuerte (6-6.9)",IF(J839&gt;=5,"Moderado alto (5-5.9)",IF(J839&gt;=4,"Moderado (4-4.9)","Menor a 4"))))</x:f>
        <x:v>Moderado (4-4.9)</x:v>
      </x:c>
      <x:c r="L839" s="25" t="str">
        <x:f>IF(I839&lt;70,"Superficial (&lt;70 km)",IF(I839&lt;=300,"Intermedio (70-300 km)","Profundo (&gt;300 km)"))</x:f>
        <x:v>Intermedio (70-300 km)</x:v>
      </x:c>
      <x:c r="M839" s="25" t="str">
        <x:f>IF(J839&gt;=5,"Sí","No")</x:f>
        <x:v>No</x:v>
      </x:c>
      <x:c r="N839" s="25" t="str">
        <x:f>IF(J839&gt;=6,"Sí","No")</x:f>
        <x:v>No</x:v>
      </x:c>
      <x:c r="O839" s="25" t="str">
        <x:v>Pendiente: asignar con R/sf</x:v>
      </x:c>
    </x:row>
    <x:row r="840">
      <x:c r="A840" s="25" t="n">
        <x:v>839</x:v>
      </x:c>
      <x:c r="B840" s="26" t="n">
        <x:v>44276.05472222222</x:v>
      </x:c>
      <x:c r="C840" s="27" t="n">
        <x:f>INT(B840)</x:f>
        <x:v>44276</x:v>
      </x:c>
      <x:c r="D840" s="28" t="n">
        <x:f>MOD(B840,1)</x:f>
        <x:v>0.054722222223063</x:v>
      </x:c>
      <x:c r="E840" s="29" t="n">
        <x:f>YEAR(B840)</x:f>
        <x:v>2021</x:v>
      </x:c>
      <x:c r="F840" s="29" t="n">
        <x:f>MONTH(B840)</x:f>
        <x:v>3</x:v>
      </x:c>
      <x:c r="G840" s="30" t="n">
        <x:v>-20.12</x:v>
      </x:c>
      <x:c r="H840" s="30" t="n">
        <x:v>-70.51</x:v>
      </x:c>
      <x:c r="I840" s="29" t="n">
        <x:v>44</x:v>
      </x:c>
      <x:c r="J840" s="31" t="n">
        <x:v>3.9</x:v>
      </x:c>
      <x:c r="K840" s="25" t="str">
        <x:f>IF(J840&gt;=7,"Muy fuerte (&gt;=7)",IF(J840&gt;=6,"Fuerte (6-6.9)",IF(J840&gt;=5,"Moderado alto (5-5.9)",IF(J840&gt;=4,"Moderado (4-4.9)","Menor a 4"))))</x:f>
        <x:v>Menor a 4</x:v>
      </x:c>
      <x:c r="L840" s="25" t="str">
        <x:f>IF(I840&lt;70,"Superficial (&lt;70 km)",IF(I840&lt;=300,"Intermedio (70-300 km)","Profundo (&gt;300 km)"))</x:f>
        <x:v>Superficial (&lt;70 km)</x:v>
      </x:c>
      <x:c r="M840" s="25" t="str">
        <x:f>IF(J840&gt;=5,"Sí","No")</x:f>
        <x:v>No</x:v>
      </x:c>
      <x:c r="N840" s="25" t="str">
        <x:f>IF(J840&gt;=6,"Sí","No")</x:f>
        <x:v>No</x:v>
      </x:c>
      <x:c r="O840" s="25" t="str">
        <x:v>Pendiente: asignar con R/sf</x:v>
      </x:c>
    </x:row>
    <x:row r="841">
      <x:c r="A841" s="25" t="n">
        <x:v>840</x:v>
      </x:c>
      <x:c r="B841" s="26" t="n">
        <x:v>44300.216678240744</x:v>
      </x:c>
      <x:c r="C841" s="27" t="n">
        <x:f>INT(B841)</x:f>
        <x:v>44300</x:v>
      </x:c>
      <x:c r="D841" s="28" t="n">
        <x:f>MOD(B841,1)</x:f>
        <x:v>0.21667824074393138</x:v>
      </x:c>
      <x:c r="E841" s="29" t="n">
        <x:f>YEAR(B841)</x:f>
        <x:v>2021</x:v>
      </x:c>
      <x:c r="F841" s="29" t="n">
        <x:f>MONTH(B841)</x:f>
        <x:v>4</x:v>
      </x:c>
      <x:c r="G841" s="30" t="n">
        <x:v>-20.07</x:v>
      </x:c>
      <x:c r="H841" s="30" t="n">
        <x:v>-69.88</x:v>
      </x:c>
      <x:c r="I841" s="29" t="n">
        <x:v>69</x:v>
      </x:c>
      <x:c r="J841" s="31" t="n">
        <x:v>3.6</x:v>
      </x:c>
      <x:c r="K841" s="25" t="str">
        <x:f>IF(J841&gt;=7,"Muy fuerte (&gt;=7)",IF(J841&gt;=6,"Fuerte (6-6.9)",IF(J841&gt;=5,"Moderado alto (5-5.9)",IF(J841&gt;=4,"Moderado (4-4.9)","Menor a 4"))))</x:f>
        <x:v>Menor a 4</x:v>
      </x:c>
      <x:c r="L841" s="25" t="str">
        <x:f>IF(I841&lt;70,"Superficial (&lt;70 km)",IF(I841&lt;=300,"Intermedio (70-300 km)","Profundo (&gt;300 km)"))</x:f>
        <x:v>Superficial (&lt;70 km)</x:v>
      </x:c>
      <x:c r="M841" s="25" t="str">
        <x:f>IF(J841&gt;=5,"Sí","No")</x:f>
        <x:v>No</x:v>
      </x:c>
      <x:c r="N841" s="25" t="str">
        <x:f>IF(J841&gt;=6,"Sí","No")</x:f>
        <x:v>No</x:v>
      </x:c>
      <x:c r="O841" s="25" t="str">
        <x:v>Pendiente: asignar con R/sf</x:v>
      </x:c>
    </x:row>
    <x:row r="842">
      <x:c r="A842" s="25" t="n">
        <x:v>841</x:v>
      </x:c>
      <x:c r="B842" s="26" t="n">
        <x:v>43596.71208333333</x:v>
      </x:c>
      <x:c r="C842" s="27" t="n">
        <x:f>INT(B842)</x:f>
        <x:v>43596</x:v>
      </x:c>
      <x:c r="D842" s="28" t="n">
        <x:f>MOD(B842,1)</x:f>
        <x:v>0.7120833333319752</x:v>
      </x:c>
      <x:c r="E842" s="29" t="n">
        <x:f>YEAR(B842)</x:f>
        <x:v>2019</x:v>
      </x:c>
      <x:c r="F842" s="29" t="n">
        <x:f>MONTH(B842)</x:f>
        <x:v>5</x:v>
      </x:c>
      <x:c r="G842" s="30" t="n">
        <x:v>-41.98</x:v>
      </x:c>
      <x:c r="H842" s="30" t="n">
        <x:v>-74.21</x:v>
      </x:c>
      <x:c r="I842" s="29" t="n">
        <x:v>46</x:v>
      </x:c>
      <x:c r="J842" s="31" t="n">
        <x:v>4.2</x:v>
      </x:c>
      <x:c r="K842" s="25" t="str">
        <x:f>IF(J842&gt;=7,"Muy fuerte (&gt;=7)",IF(J842&gt;=6,"Fuerte (6-6.9)",IF(J842&gt;=5,"Moderado alto (5-5.9)",IF(J842&gt;=4,"Moderado (4-4.9)","Menor a 4"))))</x:f>
        <x:v>Moderado (4-4.9)</x:v>
      </x:c>
      <x:c r="L842" s="25" t="str">
        <x:f>IF(I842&lt;70,"Superficial (&lt;70 km)",IF(I842&lt;=300,"Intermedio (70-300 km)","Profundo (&gt;300 km)"))</x:f>
        <x:v>Superficial (&lt;70 km)</x:v>
      </x:c>
      <x:c r="M842" s="25" t="str">
        <x:f>IF(J842&gt;=5,"Sí","No")</x:f>
        <x:v>No</x:v>
      </x:c>
      <x:c r="N842" s="25" t="str">
        <x:f>IF(J842&gt;=6,"Sí","No")</x:f>
        <x:v>No</x:v>
      </x:c>
      <x:c r="O842" s="25" t="str">
        <x:v>Pendiente: asignar con R/sf</x:v>
      </x:c>
    </x:row>
    <x:row r="843">
      <x:c r="A843" s="25" t="n">
        <x:v>842</x:v>
      </x:c>
      <x:c r="B843" s="26" t="n">
        <x:v>44374.91936342593</x:v>
      </x:c>
      <x:c r="C843" s="27" t="n">
        <x:f>INT(B843)</x:f>
        <x:v>44374</x:v>
      </x:c>
      <x:c r="D843" s="28" t="n">
        <x:f>MOD(B843,1)</x:f>
        <x:v>0.919363425928168</x:v>
      </x:c>
      <x:c r="E843" s="29" t="n">
        <x:f>YEAR(B843)</x:f>
        <x:v>2021</x:v>
      </x:c>
      <x:c r="F843" s="29" t="n">
        <x:f>MONTH(B843)</x:f>
        <x:v>6</x:v>
      </x:c>
      <x:c r="G843" s="30" t="n">
        <x:v>-22.27</x:v>
      </x:c>
      <x:c r="H843" s="30" t="n">
        <x:v>-69.98</x:v>
      </x:c>
      <x:c r="I843" s="29" t="n">
        <x:v>65</x:v>
      </x:c>
      <x:c r="J843" s="31" t="n">
        <x:v>3.9</x:v>
      </x:c>
      <x:c r="K843" s="25" t="str">
        <x:f>IF(J843&gt;=7,"Muy fuerte (&gt;=7)",IF(J843&gt;=6,"Fuerte (6-6.9)",IF(J843&gt;=5,"Moderado alto (5-5.9)",IF(J843&gt;=4,"Moderado (4-4.9)","Menor a 4"))))</x:f>
        <x:v>Menor a 4</x:v>
      </x:c>
      <x:c r="L843" s="25" t="str">
        <x:f>IF(I843&lt;70,"Superficial (&lt;70 km)",IF(I843&lt;=300,"Intermedio (70-300 km)","Profundo (&gt;300 km)"))</x:f>
        <x:v>Superficial (&lt;70 km)</x:v>
      </x:c>
      <x:c r="M843" s="25" t="str">
        <x:f>IF(J843&gt;=5,"Sí","No")</x:f>
        <x:v>No</x:v>
      </x:c>
      <x:c r="N843" s="25" t="str">
        <x:f>IF(J843&gt;=6,"Sí","No")</x:f>
        <x:v>No</x:v>
      </x:c>
      <x:c r="O843" s="25" t="str">
        <x:v>Pendiente: asignar con R/sf</x:v>
      </x:c>
    </x:row>
    <x:row r="844">
      <x:c r="A844" s="25" t="n">
        <x:v>843</x:v>
      </x:c>
      <x:c r="B844" s="26" t="n">
        <x:v>44252.119097222225</x:v>
      </x:c>
      <x:c r="C844" s="27" t="n">
        <x:f>INT(B844)</x:f>
        <x:v>44252</x:v>
      </x:c>
      <x:c r="D844" s="28" t="n">
        <x:f>MOD(B844,1)</x:f>
        <x:v>0.11909722222480923</x:v>
      </x:c>
      <x:c r="E844" s="29" t="n">
        <x:f>YEAR(B844)</x:f>
        <x:v>2021</x:v>
      </x:c>
      <x:c r="F844" s="29" t="n">
        <x:f>MONTH(B844)</x:f>
        <x:v>2</x:v>
      </x:c>
      <x:c r="G844" s="30" t="n">
        <x:v>-33.89</x:v>
      </x:c>
      <x:c r="H844" s="30" t="n">
        <x:v>-72.13</x:v>
      </x:c>
      <x:c r="I844" s="29" t="n">
        <x:v>34</x:v>
      </x:c>
      <x:c r="J844" s="31" t="n">
        <x:v>3.7</x:v>
      </x:c>
      <x:c r="K844" s="25" t="str">
        <x:f>IF(J844&gt;=7,"Muy fuerte (&gt;=7)",IF(J844&gt;=6,"Fuerte (6-6.9)",IF(J844&gt;=5,"Moderado alto (5-5.9)",IF(J844&gt;=4,"Moderado (4-4.9)","Menor a 4"))))</x:f>
        <x:v>Menor a 4</x:v>
      </x:c>
      <x:c r="L844" s="25" t="str">
        <x:f>IF(I844&lt;70,"Superficial (&lt;70 km)",IF(I844&lt;=300,"Intermedio (70-300 km)","Profundo (&gt;300 km)"))</x:f>
        <x:v>Superficial (&lt;70 km)</x:v>
      </x:c>
      <x:c r="M844" s="25" t="str">
        <x:f>IF(J844&gt;=5,"Sí","No")</x:f>
        <x:v>No</x:v>
      </x:c>
      <x:c r="N844" s="25" t="str">
        <x:f>IF(J844&gt;=6,"Sí","No")</x:f>
        <x:v>No</x:v>
      </x:c>
      <x:c r="O844" s="25" t="str">
        <x:v>Pendiente: asignar con R/sf</x:v>
      </x:c>
    </x:row>
    <x:row r="845">
      <x:c r="A845" s="25" t="n">
        <x:v>844</x:v>
      </x:c>
      <x:c r="B845" s="26" t="n">
        <x:v>43849.31506944444</x:v>
      </x:c>
      <x:c r="C845" s="27" t="n">
        <x:f>INT(B845)</x:f>
        <x:v>43849</x:v>
      </x:c>
      <x:c r="D845" s="28" t="n">
        <x:f>MOD(B845,1)</x:f>
        <x:v>0.31506944444117835</x:v>
      </x:c>
      <x:c r="E845" s="29" t="n">
        <x:f>YEAR(B845)</x:f>
        <x:v>2020</x:v>
      </x:c>
      <x:c r="F845" s="29" t="n">
        <x:f>MONTH(B845)</x:f>
        <x:v>1</x:v>
      </x:c>
      <x:c r="G845" s="30" t="n">
        <x:v>-41.73</x:v>
      </x:c>
      <x:c r="H845" s="30" t="n">
        <x:v>-74.17</x:v>
      </x:c>
      <x:c r="I845" s="29" t="n">
        <x:v>39</x:v>
      </x:c>
      <x:c r="J845" s="31" t="n">
        <x:v>4.6</x:v>
      </x:c>
      <x:c r="K845" s="25" t="str">
        <x:f>IF(J845&gt;=7,"Muy fuerte (&gt;=7)",IF(J845&gt;=6,"Fuerte (6-6.9)",IF(J845&gt;=5,"Moderado alto (5-5.9)",IF(J845&gt;=4,"Moderado (4-4.9)","Menor a 4"))))</x:f>
        <x:v>Moderado (4-4.9)</x:v>
      </x:c>
      <x:c r="L845" s="25" t="str">
        <x:f>IF(I845&lt;70,"Superficial (&lt;70 km)",IF(I845&lt;=300,"Intermedio (70-300 km)","Profundo (&gt;300 km)"))</x:f>
        <x:v>Superficial (&lt;70 km)</x:v>
      </x:c>
      <x:c r="M845" s="25" t="str">
        <x:f>IF(J845&gt;=5,"Sí","No")</x:f>
        <x:v>No</x:v>
      </x:c>
      <x:c r="N845" s="25" t="str">
        <x:f>IF(J845&gt;=6,"Sí","No")</x:f>
        <x:v>No</x:v>
      </x:c>
      <x:c r="O845" s="25" t="str">
        <x:v>Pendiente: asignar con R/sf</x:v>
      </x:c>
    </x:row>
    <x:row r="846">
      <x:c r="A846" s="25" t="n">
        <x:v>845</x:v>
      </x:c>
      <x:c r="B846" s="26" t="n">
        <x:v>44170.41994212963</x:v>
      </x:c>
      <x:c r="C846" s="27" t="n">
        <x:f>INT(B846)</x:f>
        <x:v>44170</x:v>
      </x:c>
      <x:c r="D846" s="28" t="n">
        <x:f>MOD(B846,1)</x:f>
        <x:v>0.4199421296289074</x:v>
      </x:c>
      <x:c r="E846" s="29" t="n">
        <x:f>YEAR(B846)</x:f>
        <x:v>2020</x:v>
      </x:c>
      <x:c r="F846" s="29" t="n">
        <x:f>MONTH(B846)</x:f>
        <x:v>12</x:v>
      </x:c>
      <x:c r="G846" s="30" t="n">
        <x:v>-27.55</x:v>
      </x:c>
      <x:c r="H846" s="30" t="n">
        <x:v>-71.1</x:v>
      </x:c>
      <x:c r="I846" s="29" t="n">
        <x:v>22</x:v>
      </x:c>
      <x:c r="J846" s="31" t="n">
        <x:v>3.3</x:v>
      </x:c>
      <x:c r="K846" s="25" t="str">
        <x:f>IF(J846&gt;=7,"Muy fuerte (&gt;=7)",IF(J846&gt;=6,"Fuerte (6-6.9)",IF(J846&gt;=5,"Moderado alto (5-5.9)",IF(J846&gt;=4,"Moderado (4-4.9)","Menor a 4"))))</x:f>
        <x:v>Menor a 4</x:v>
      </x:c>
      <x:c r="L846" s="25" t="str">
        <x:f>IF(I846&lt;70,"Superficial (&lt;70 km)",IF(I846&lt;=300,"Intermedio (70-300 km)","Profundo (&gt;300 km)"))</x:f>
        <x:v>Superficial (&lt;70 km)</x:v>
      </x:c>
      <x:c r="M846" s="25" t="str">
        <x:f>IF(J846&gt;=5,"Sí","No")</x:f>
        <x:v>No</x:v>
      </x:c>
      <x:c r="N846" s="25" t="str">
        <x:f>IF(J846&gt;=6,"Sí","No")</x:f>
        <x:v>No</x:v>
      </x:c>
      <x:c r="O846" s="25" t="str">
        <x:v>Pendiente: asignar con R/sf</x:v>
      </x:c>
    </x:row>
    <x:row r="847">
      <x:c r="A847" s="25" t="n">
        <x:v>846</x:v>
      </x:c>
      <x:c r="B847" s="26" t="n">
        <x:v>44371.98378472222</x:v>
      </x:c>
      <x:c r="C847" s="27" t="n">
        <x:f>INT(B847)</x:f>
        <x:v>44371</x:v>
      </x:c>
      <x:c r="D847" s="28" t="n">
        <x:f>MOD(B847,1)</x:f>
        <x:v>0.9837847222224809</x:v>
      </x:c>
      <x:c r="E847" s="29" t="n">
        <x:f>YEAR(B847)</x:f>
        <x:v>2021</x:v>
      </x:c>
      <x:c r="F847" s="29" t="n">
        <x:f>MONTH(B847)</x:f>
        <x:v>6</x:v>
      </x:c>
      <x:c r="G847" s="30" t="n">
        <x:v>-20.01</x:v>
      </x:c>
      <x:c r="H847" s="30" t="n">
        <x:v>-69.16</x:v>
      </x:c>
      <x:c r="I847" s="29" t="n">
        <x:v>92</x:v>
      </x:c>
      <x:c r="J847" s="31" t="n">
        <x:v>4.5</x:v>
      </x:c>
      <x:c r="K847" s="25" t="str">
        <x:f>IF(J847&gt;=7,"Muy fuerte (&gt;=7)",IF(J847&gt;=6,"Fuerte (6-6.9)",IF(J847&gt;=5,"Moderado alto (5-5.9)",IF(J847&gt;=4,"Moderado (4-4.9)","Menor a 4"))))</x:f>
        <x:v>Moderado (4-4.9)</x:v>
      </x:c>
      <x:c r="L847" s="25" t="str">
        <x:f>IF(I847&lt;70,"Superficial (&lt;70 km)",IF(I847&lt;=300,"Intermedio (70-300 km)","Profundo (&gt;300 km)"))</x:f>
        <x:v>Intermedio (70-300 km)</x:v>
      </x:c>
      <x:c r="M847" s="25" t="str">
        <x:f>IF(J847&gt;=5,"Sí","No")</x:f>
        <x:v>No</x:v>
      </x:c>
      <x:c r="N847" s="25" t="str">
        <x:f>IF(J847&gt;=6,"Sí","No")</x:f>
        <x:v>No</x:v>
      </x:c>
      <x:c r="O847" s="25" t="str">
        <x:v>Pendiente: asignar con R/sf</x:v>
      </x:c>
    </x:row>
    <x:row r="848">
      <x:c r="A848" s="25" t="n">
        <x:v>847</x:v>
      </x:c>
      <x:c r="B848" s="26" t="n">
        <x:v>44320.63775462963</x:v>
      </x:c>
      <x:c r="C848" s="27" t="n">
        <x:f>INT(B848)</x:f>
        <x:v>44320</x:v>
      </x:c>
      <x:c r="D848" s="28" t="n">
        <x:f>MOD(B848,1)</x:f>
        <x:v>0.6377546296280343</x:v>
      </x:c>
      <x:c r="E848" s="29" t="n">
        <x:f>YEAR(B848)</x:f>
        <x:v>2021</x:v>
      </x:c>
      <x:c r="F848" s="29" t="n">
        <x:f>MONTH(B848)</x:f>
        <x:v>5</x:v>
      </x:c>
      <x:c r="G848" s="30" t="n">
        <x:v>-33.9</x:v>
      </x:c>
      <x:c r="H848" s="30" t="n">
        <x:v>-72.54</x:v>
      </x:c>
      <x:c r="I848" s="29" t="n">
        <x:v>20</x:v>
      </x:c>
      <x:c r="J848" s="31" t="n">
        <x:v>4.4</x:v>
      </x:c>
      <x:c r="K848" s="25" t="str">
        <x:f>IF(J848&gt;=7,"Muy fuerte (&gt;=7)",IF(J848&gt;=6,"Fuerte (6-6.9)",IF(J848&gt;=5,"Moderado alto (5-5.9)",IF(J848&gt;=4,"Moderado (4-4.9)","Menor a 4"))))</x:f>
        <x:v>Moderado (4-4.9)</x:v>
      </x:c>
      <x:c r="L848" s="25" t="str">
        <x:f>IF(I848&lt;70,"Superficial (&lt;70 km)",IF(I848&lt;=300,"Intermedio (70-300 km)","Profundo (&gt;300 km)"))</x:f>
        <x:v>Superficial (&lt;70 km)</x:v>
      </x:c>
      <x:c r="M848" s="25" t="str">
        <x:f>IF(J848&gt;=5,"Sí","No")</x:f>
        <x:v>No</x:v>
      </x:c>
      <x:c r="N848" s="25" t="str">
        <x:f>IF(J848&gt;=6,"Sí","No")</x:f>
        <x:v>No</x:v>
      </x:c>
      <x:c r="O848" s="25" t="str">
        <x:v>Pendiente: asignar con R/sf</x:v>
      </x:c>
    </x:row>
    <x:row r="849">
      <x:c r="A849" s="25" t="n">
        <x:v>848</x:v>
      </x:c>
      <x:c r="B849" s="26" t="n">
        <x:v>44343.563101851854</x:v>
      </x:c>
      <x:c r="C849" s="27" t="n">
        <x:f>INT(B849)</x:f>
        <x:v>44343</x:v>
      </x:c>
      <x:c r="D849" s="28" t="n">
        <x:f>MOD(B849,1)</x:f>
        <x:v>0.5631018518542987</x:v>
      </x:c>
      <x:c r="E849" s="29" t="n">
        <x:f>YEAR(B849)</x:f>
        <x:v>2021</x:v>
      </x:c>
      <x:c r="F849" s="29" t="n">
        <x:f>MONTH(B849)</x:f>
        <x:v>5</x:v>
      </x:c>
      <x:c r="G849" s="30" t="n">
        <x:v>-27.04</x:v>
      </x:c>
      <x:c r="H849" s="30" t="n">
        <x:v>-70.73</x:v>
      </x:c>
      <x:c r="I849" s="29" t="n">
        <x:v>69</x:v>
      </x:c>
      <x:c r="J849" s="31" t="n">
        <x:v>4.3</x:v>
      </x:c>
      <x:c r="K849" s="25" t="str">
        <x:f>IF(J849&gt;=7,"Muy fuerte (&gt;=7)",IF(J849&gt;=6,"Fuerte (6-6.9)",IF(J849&gt;=5,"Moderado alto (5-5.9)",IF(J849&gt;=4,"Moderado (4-4.9)","Menor a 4"))))</x:f>
        <x:v>Moderado (4-4.9)</x:v>
      </x:c>
      <x:c r="L849" s="25" t="str">
        <x:f>IF(I849&lt;70,"Superficial (&lt;70 km)",IF(I849&lt;=300,"Intermedio (70-300 km)","Profundo (&gt;300 km)"))</x:f>
        <x:v>Superficial (&lt;70 km)</x:v>
      </x:c>
      <x:c r="M849" s="25" t="str">
        <x:f>IF(J849&gt;=5,"Sí","No")</x:f>
        <x:v>No</x:v>
      </x:c>
      <x:c r="N849" s="25" t="str">
        <x:f>IF(J849&gt;=6,"Sí","No")</x:f>
        <x:v>No</x:v>
      </x:c>
      <x:c r="O849" s="25" t="str">
        <x:v>Pendiente: asignar con R/sf</x:v>
      </x:c>
    </x:row>
    <x:row r="850">
      <x:c r="A850" s="25" t="n">
        <x:v>849</x:v>
      </x:c>
      <x:c r="B850" s="26" t="n">
        <x:v>43972.15508101852</x:v>
      </x:c>
      <x:c r="C850" s="27" t="n">
        <x:f>INT(B850)</x:f>
        <x:v>43972</x:v>
      </x:c>
      <x:c r="D850" s="28" t="n">
        <x:f>MOD(B850,1)</x:f>
        <x:v>0.1550810185217415</x:v>
      </x:c>
      <x:c r="E850" s="29" t="n">
        <x:f>YEAR(B850)</x:f>
        <x:v>2020</x:v>
      </x:c>
      <x:c r="F850" s="29" t="n">
        <x:f>MONTH(B850)</x:f>
        <x:v>5</x:v>
      </x:c>
      <x:c r="G850" s="30" t="n">
        <x:v>-41.75</x:v>
      </x:c>
      <x:c r="H850" s="30" t="n">
        <x:v>-74.06</x:v>
      </x:c>
      <x:c r="I850" s="29" t="n">
        <x:v>40</x:v>
      </x:c>
      <x:c r="J850" s="31" t="n">
        <x:v>3.9</x:v>
      </x:c>
      <x:c r="K850" s="25" t="str">
        <x:f>IF(J850&gt;=7,"Muy fuerte (&gt;=7)",IF(J850&gt;=6,"Fuerte (6-6.9)",IF(J850&gt;=5,"Moderado alto (5-5.9)",IF(J850&gt;=4,"Moderado (4-4.9)","Menor a 4"))))</x:f>
        <x:v>Menor a 4</x:v>
      </x:c>
      <x:c r="L850" s="25" t="str">
        <x:f>IF(I850&lt;70,"Superficial (&lt;70 km)",IF(I850&lt;=300,"Intermedio (70-300 km)","Profundo (&gt;300 km)"))</x:f>
        <x:v>Superficial (&lt;70 km)</x:v>
      </x:c>
      <x:c r="M850" s="25" t="str">
        <x:f>IF(J850&gt;=5,"Sí","No")</x:f>
        <x:v>No</x:v>
      </x:c>
      <x:c r="N850" s="25" t="str">
        <x:f>IF(J850&gt;=6,"Sí","No")</x:f>
        <x:v>No</x:v>
      </x:c>
      <x:c r="O850" s="25" t="str">
        <x:v>Pendiente: asignar con R/sf</x:v>
      </x:c>
    </x:row>
    <x:row r="851">
      <x:c r="A851" s="25" t="n">
        <x:v>850</x:v>
      </x:c>
      <x:c r="B851" s="26" t="n">
        <x:v>44372.163935185185</x:v>
      </x:c>
      <x:c r="C851" s="27" t="n">
        <x:f>INT(B851)</x:f>
        <x:v>44372</x:v>
      </x:c>
      <x:c r="D851" s="28" t="n">
        <x:f>MOD(B851,1)</x:f>
        <x:v>0.16393518518452765</x:v>
      </x:c>
      <x:c r="E851" s="29" t="n">
        <x:f>YEAR(B851)</x:f>
        <x:v>2021</x:v>
      </x:c>
      <x:c r="F851" s="29" t="n">
        <x:f>MONTH(B851)</x:f>
        <x:v>6</x:v>
      </x:c>
      <x:c r="G851" s="30" t="n">
        <x:v>-22.08</x:v>
      </x:c>
      <x:c r="H851" s="30" t="n">
        <x:v>-70.1</x:v>
      </x:c>
      <x:c r="I851" s="29" t="n">
        <x:v>43</x:v>
      </x:c>
      <x:c r="J851" s="31" t="n">
        <x:v>3.8</x:v>
      </x:c>
      <x:c r="K851" s="25" t="str">
        <x:f>IF(J851&gt;=7,"Muy fuerte (&gt;=7)",IF(J851&gt;=6,"Fuerte (6-6.9)",IF(J851&gt;=5,"Moderado alto (5-5.9)",IF(J851&gt;=4,"Moderado (4-4.9)","Menor a 4"))))</x:f>
        <x:v>Menor a 4</x:v>
      </x:c>
      <x:c r="L851" s="25" t="str">
        <x:f>IF(I851&lt;70,"Superficial (&lt;70 km)",IF(I851&lt;=300,"Intermedio (70-300 km)","Profundo (&gt;300 km)"))</x:f>
        <x:v>Superficial (&lt;70 km)</x:v>
      </x:c>
      <x:c r="M851" s="25" t="str">
        <x:f>IF(J851&gt;=5,"Sí","No")</x:f>
        <x:v>No</x:v>
      </x:c>
      <x:c r="N851" s="25" t="str">
        <x:f>IF(J851&gt;=6,"Sí","No")</x:f>
        <x:v>No</x:v>
      </x:c>
      <x:c r="O851" s="25" t="str">
        <x:v>Pendiente: asignar con R/sf</x:v>
      </x:c>
    </x:row>
    <x:row r="852">
      <x:c r="A852" s="25" t="n">
        <x:v>851</x:v>
      </x:c>
      <x:c r="B852" s="26" t="n">
        <x:v>43479.542962962965</x:v>
      </x:c>
      <x:c r="C852" s="27" t="n">
        <x:f>INT(B852)</x:f>
        <x:v>43479</x:v>
      </x:c>
      <x:c r="D852" s="28" t="n">
        <x:f>MOD(B852,1)</x:f>
        <x:v>0.5429629629652482</x:v>
      </x:c>
      <x:c r="E852" s="29" t="n">
        <x:f>YEAR(B852)</x:f>
        <x:v>2019</x:v>
      </x:c>
      <x:c r="F852" s="29" t="n">
        <x:f>MONTH(B852)</x:f>
        <x:v>1</x:v>
      </x:c>
      <x:c r="G852" s="30" t="n">
        <x:v>-41.6</x:v>
      </x:c>
      <x:c r="H852" s="30" t="n">
        <x:v>-73.21</x:v>
      </x:c>
      <x:c r="I852" s="29" t="n">
        <x:v>70</x:v>
      </x:c>
      <x:c r="J852" s="31" t="n">
        <x:v>3.6</x:v>
      </x:c>
      <x:c r="K852" s="25" t="str">
        <x:f>IF(J852&gt;=7,"Muy fuerte (&gt;=7)",IF(J852&gt;=6,"Fuerte (6-6.9)",IF(J852&gt;=5,"Moderado alto (5-5.9)",IF(J852&gt;=4,"Moderado (4-4.9)","Menor a 4"))))</x:f>
        <x:v>Menor a 4</x:v>
      </x:c>
      <x:c r="L852" s="25" t="str">
        <x:f>IF(I852&lt;70,"Superficial (&lt;70 km)",IF(I852&lt;=300,"Intermedio (70-300 km)","Profundo (&gt;300 km)"))</x:f>
        <x:v>Intermedio (70-300 km)</x:v>
      </x:c>
      <x:c r="M852" s="25" t="str">
        <x:f>IF(J852&gt;=5,"Sí","No")</x:f>
        <x:v>No</x:v>
      </x:c>
      <x:c r="N852" s="25" t="str">
        <x:f>IF(J852&gt;=6,"Sí","No")</x:f>
        <x:v>No</x:v>
      </x:c>
      <x:c r="O852" s="25" t="str">
        <x:v>Pendiente: asignar con R/sf</x:v>
      </x:c>
    </x:row>
    <x:row r="853">
      <x:c r="A853" s="25" t="n">
        <x:v>852</x:v>
      </x:c>
      <x:c r="B853" s="26" t="n">
        <x:v>44310.759930555556</x:v>
      </x:c>
      <x:c r="C853" s="27" t="n">
        <x:f>INT(B853)</x:f>
        <x:v>44310</x:v>
      </x:c>
      <x:c r="D853" s="28" t="n">
        <x:f>MOD(B853,1)</x:f>
        <x:v>0.7599305555559113</x:v>
      </x:c>
      <x:c r="E853" s="29" t="n">
        <x:f>YEAR(B853)</x:f>
        <x:v>2021</x:v>
      </x:c>
      <x:c r="F853" s="29" t="n">
        <x:f>MONTH(B853)</x:f>
        <x:v>4</x:v>
      </x:c>
      <x:c r="G853" s="30" t="n">
        <x:v>-27.53</x:v>
      </x:c>
      <x:c r="H853" s="30" t="n">
        <x:v>-71.19</x:v>
      </x:c>
      <x:c r="I853" s="29" t="n">
        <x:v>31</x:v>
      </x:c>
      <x:c r="J853" s="31" t="n">
        <x:v>4.2</x:v>
      </x:c>
      <x:c r="K853" s="25" t="str">
        <x:f>IF(J853&gt;=7,"Muy fuerte (&gt;=7)",IF(J853&gt;=6,"Fuerte (6-6.9)",IF(J853&gt;=5,"Moderado alto (5-5.9)",IF(J853&gt;=4,"Moderado (4-4.9)","Menor a 4"))))</x:f>
        <x:v>Moderado (4-4.9)</x:v>
      </x:c>
      <x:c r="L853" s="25" t="str">
        <x:f>IF(I853&lt;70,"Superficial (&lt;70 km)",IF(I853&lt;=300,"Intermedio (70-300 km)","Profundo (&gt;300 km)"))</x:f>
        <x:v>Superficial (&lt;70 km)</x:v>
      </x:c>
      <x:c r="M853" s="25" t="str">
        <x:f>IF(J853&gt;=5,"Sí","No")</x:f>
        <x:v>No</x:v>
      </x:c>
      <x:c r="N853" s="25" t="str">
        <x:f>IF(J853&gt;=6,"Sí","No")</x:f>
        <x:v>No</x:v>
      </x:c>
      <x:c r="O853" s="25" t="str">
        <x:v>Pendiente: asignar con R/sf</x:v>
      </x:c>
    </x:row>
    <x:row r="854">
      <x:c r="A854" s="25" t="n">
        <x:v>853</x:v>
      </x:c>
      <x:c r="B854" s="26" t="n">
        <x:v>44103.67795138889</x:v>
      </x:c>
      <x:c r="C854" s="27" t="n">
        <x:f>INT(B854)</x:f>
        <x:v>44103</x:v>
      </x:c>
      <x:c r="D854" s="28" t="n">
        <x:f>MOD(B854,1)</x:f>
        <x:v>0.6779513888905058</x:v>
      </x:c>
      <x:c r="E854" s="29" t="n">
        <x:f>YEAR(B854)</x:f>
        <x:v>2020</x:v>
      </x:c>
      <x:c r="F854" s="29" t="n">
        <x:f>MONTH(B854)</x:f>
        <x:v>9</x:v>
      </x:c>
      <x:c r="G854" s="30" t="n">
        <x:v>-41.72</x:v>
      </x:c>
      <x:c r="H854" s="30" t="n">
        <x:v>-73.98</x:v>
      </x:c>
      <x:c r="I854" s="29" t="n">
        <x:v>36</x:v>
      </x:c>
      <x:c r="J854" s="31" t="n">
        <x:v>3.5</x:v>
      </x:c>
      <x:c r="K854" s="25" t="str">
        <x:f>IF(J854&gt;=7,"Muy fuerte (&gt;=7)",IF(J854&gt;=6,"Fuerte (6-6.9)",IF(J854&gt;=5,"Moderado alto (5-5.9)",IF(J854&gt;=4,"Moderado (4-4.9)","Menor a 4"))))</x:f>
        <x:v>Menor a 4</x:v>
      </x:c>
      <x:c r="L854" s="25" t="str">
        <x:f>IF(I854&lt;70,"Superficial (&lt;70 km)",IF(I854&lt;=300,"Intermedio (70-300 km)","Profundo (&gt;300 km)"))</x:f>
        <x:v>Superficial (&lt;70 km)</x:v>
      </x:c>
      <x:c r="M854" s="25" t="str">
        <x:f>IF(J854&gt;=5,"Sí","No")</x:f>
        <x:v>No</x:v>
      </x:c>
      <x:c r="N854" s="25" t="str">
        <x:f>IF(J854&gt;=6,"Sí","No")</x:f>
        <x:v>No</x:v>
      </x:c>
      <x:c r="O854" s="25" t="str">
        <x:v>Pendiente: asignar con R/sf</x:v>
      </x:c>
    </x:row>
    <x:row r="855">
      <x:c r="A855" s="25" t="n">
        <x:v>854</x:v>
      </x:c>
      <x:c r="B855" s="26" t="n">
        <x:v>43550.80395833333</x:v>
      </x:c>
      <x:c r="C855" s="27" t="n">
        <x:f>INT(B855)</x:f>
        <x:v>43550</x:v>
      </x:c>
      <x:c r="D855" s="28" t="n">
        <x:f>MOD(B855,1)</x:f>
        <x:v>0.8039583333302289</x:v>
      </x:c>
      <x:c r="E855" s="29" t="n">
        <x:f>YEAR(B855)</x:f>
        <x:v>2019</x:v>
      </x:c>
      <x:c r="F855" s="29" t="n">
        <x:f>MONTH(B855)</x:f>
        <x:v>3</x:v>
      </x:c>
      <x:c r="G855" s="30" t="n">
        <x:v>-42.63</x:v>
      </x:c>
      <x:c r="H855" s="30" t="n">
        <x:v>-74.2</x:v>
      </x:c>
      <x:c r="I855" s="29" t="n">
        <x:v>35</x:v>
      </x:c>
      <x:c r="J855" s="31" t="n">
        <x:v>4</x:v>
      </x:c>
      <x:c r="K855" s="25" t="str">
        <x:f>IF(J855&gt;=7,"Muy fuerte (&gt;=7)",IF(J855&gt;=6,"Fuerte (6-6.9)",IF(J855&gt;=5,"Moderado alto (5-5.9)",IF(J855&gt;=4,"Moderado (4-4.9)","Menor a 4"))))</x:f>
        <x:v>Moderado (4-4.9)</x:v>
      </x:c>
      <x:c r="L855" s="25" t="str">
        <x:f>IF(I855&lt;70,"Superficial (&lt;70 km)",IF(I855&lt;=300,"Intermedio (70-300 km)","Profundo (&gt;300 km)"))</x:f>
        <x:v>Superficial (&lt;70 km)</x:v>
      </x:c>
      <x:c r="M855" s="25" t="str">
        <x:f>IF(J855&gt;=5,"Sí","No")</x:f>
        <x:v>No</x:v>
      </x:c>
      <x:c r="N855" s="25" t="str">
        <x:f>IF(J855&gt;=6,"Sí","No")</x:f>
        <x:v>No</x:v>
      </x:c>
      <x:c r="O855" s="25" t="str">
        <x:v>Pendiente: asignar con R/sf</x:v>
      </x:c>
    </x:row>
    <x:row r="856">
      <x:c r="A856" s="25" t="n">
        <x:v>855</x:v>
      </x:c>
      <x:c r="B856" s="26" t="n">
        <x:v>44321.278645833336</x:v>
      </x:c>
      <x:c r="C856" s="27" t="n">
        <x:f>INT(B856)</x:f>
        <x:v>44321</x:v>
      </x:c>
      <x:c r="D856" s="28" t="n">
        <x:f>MOD(B856,1)</x:f>
        <x:v>0.27864583333575865</x:v>
      </x:c>
      <x:c r="E856" s="29" t="n">
        <x:f>YEAR(B856)</x:f>
        <x:v>2021</x:v>
      </x:c>
      <x:c r="F856" s="29" t="n">
        <x:f>MONTH(B856)</x:f>
        <x:v>5</x:v>
      </x:c>
      <x:c r="G856" s="30" t="n">
        <x:v>-41.81</x:v>
      </x:c>
      <x:c r="H856" s="30" t="n">
        <x:v>-73.74</x:v>
      </x:c>
      <x:c r="I856" s="29" t="n">
        <x:v>38</x:v>
      </x:c>
      <x:c r="J856" s="31" t="n">
        <x:v>3.3</x:v>
      </x:c>
      <x:c r="K856" s="25" t="str">
        <x:f>IF(J856&gt;=7,"Muy fuerte (&gt;=7)",IF(J856&gt;=6,"Fuerte (6-6.9)",IF(J856&gt;=5,"Moderado alto (5-5.9)",IF(J856&gt;=4,"Moderado (4-4.9)","Menor a 4"))))</x:f>
        <x:v>Menor a 4</x:v>
      </x:c>
      <x:c r="L856" s="25" t="str">
        <x:f>IF(I856&lt;70,"Superficial (&lt;70 km)",IF(I856&lt;=300,"Intermedio (70-300 km)","Profundo (&gt;300 km)"))</x:f>
        <x:v>Superficial (&lt;70 km)</x:v>
      </x:c>
      <x:c r="M856" s="25" t="str">
        <x:f>IF(J856&gt;=5,"Sí","No")</x:f>
        <x:v>No</x:v>
      </x:c>
      <x:c r="N856" s="25" t="str">
        <x:f>IF(J856&gt;=6,"Sí","No")</x:f>
        <x:v>No</x:v>
      </x:c>
      <x:c r="O856" s="25" t="str">
        <x:v>Pendiente: asignar con R/sf</x:v>
      </x:c>
    </x:row>
    <x:row r="857">
      <x:c r="A857" s="25" t="n">
        <x:v>856</x:v>
      </x:c>
      <x:c r="B857" s="26" t="n">
        <x:v>44369.391018518516</x:v>
      </x:c>
      <x:c r="C857" s="27" t="n">
        <x:f>INT(B857)</x:f>
        <x:v>44369</x:v>
      </x:c>
      <x:c r="D857" s="28" t="n">
        <x:f>MOD(B857,1)</x:f>
        <x:v>0.39101851851592073</x:v>
      </x:c>
      <x:c r="E857" s="29" t="n">
        <x:f>YEAR(B857)</x:f>
        <x:v>2021</x:v>
      </x:c>
      <x:c r="F857" s="29" t="n">
        <x:f>MONTH(B857)</x:f>
        <x:v>6</x:v>
      </x:c>
      <x:c r="G857" s="30" t="n">
        <x:v>-22.49</x:v>
      </x:c>
      <x:c r="H857" s="30" t="n">
        <x:v>-70.32</x:v>
      </x:c>
      <x:c r="I857" s="29" t="n">
        <x:v>36</x:v>
      </x:c>
      <x:c r="J857" s="31" t="n">
        <x:v>4.3</x:v>
      </x:c>
      <x:c r="K857" s="25" t="str">
        <x:f>IF(J857&gt;=7,"Muy fuerte (&gt;=7)",IF(J857&gt;=6,"Fuerte (6-6.9)",IF(J857&gt;=5,"Moderado alto (5-5.9)",IF(J857&gt;=4,"Moderado (4-4.9)","Menor a 4"))))</x:f>
        <x:v>Moderado (4-4.9)</x:v>
      </x:c>
      <x:c r="L857" s="25" t="str">
        <x:f>IF(I857&lt;70,"Superficial (&lt;70 km)",IF(I857&lt;=300,"Intermedio (70-300 km)","Profundo (&gt;300 km)"))</x:f>
        <x:v>Superficial (&lt;70 km)</x:v>
      </x:c>
      <x:c r="M857" s="25" t="str">
        <x:f>IF(J857&gt;=5,"Sí","No")</x:f>
        <x:v>No</x:v>
      </x:c>
      <x:c r="N857" s="25" t="str">
        <x:f>IF(J857&gt;=6,"Sí","No")</x:f>
        <x:v>No</x:v>
      </x:c>
      <x:c r="O857" s="25" t="str">
        <x:v>Pendiente: asignar con R/sf</x:v>
      </x:c>
    </x:row>
    <x:row r="858">
      <x:c r="A858" s="25" t="n">
        <x:v>857</x:v>
      </x:c>
      <x:c r="B858" s="26" t="n">
        <x:v>43911.93069444445</x:v>
      </x:c>
      <x:c r="C858" s="27" t="n">
        <x:f>INT(B858)</x:f>
        <x:v>43911</x:v>
      </x:c>
      <x:c r="D858" s="28" t="n">
        <x:f>MOD(B858,1)</x:f>
        <x:v>0.9306944444469991</x:v>
      </x:c>
      <x:c r="E858" s="29" t="n">
        <x:f>YEAR(B858)</x:f>
        <x:v>2020</x:v>
      </x:c>
      <x:c r="F858" s="29" t="n">
        <x:f>MONTH(B858)</x:f>
        <x:v>3</x:v>
      </x:c>
      <x:c r="G858" s="30" t="n">
        <x:v>-42.92</x:v>
      </x:c>
      <x:c r="H858" s="30" t="n">
        <x:v>-74.14</x:v>
      </x:c>
      <x:c r="I858" s="29" t="n">
        <x:v>39</x:v>
      </x:c>
      <x:c r="J858" s="31" t="n">
        <x:v>4.2</x:v>
      </x:c>
      <x:c r="K858" s="25" t="str">
        <x:f>IF(J858&gt;=7,"Muy fuerte (&gt;=7)",IF(J858&gt;=6,"Fuerte (6-6.9)",IF(J858&gt;=5,"Moderado alto (5-5.9)",IF(J858&gt;=4,"Moderado (4-4.9)","Menor a 4"))))</x:f>
        <x:v>Moderado (4-4.9)</x:v>
      </x:c>
      <x:c r="L858" s="25" t="str">
        <x:f>IF(I858&lt;70,"Superficial (&lt;70 km)",IF(I858&lt;=300,"Intermedio (70-300 km)","Profundo (&gt;300 km)"))</x:f>
        <x:v>Superficial (&lt;70 km)</x:v>
      </x:c>
      <x:c r="M858" s="25" t="str">
        <x:f>IF(J858&gt;=5,"Sí","No")</x:f>
        <x:v>No</x:v>
      </x:c>
      <x:c r="N858" s="25" t="str">
        <x:f>IF(J858&gt;=6,"Sí","No")</x:f>
        <x:v>No</x:v>
      </x:c>
      <x:c r="O858" s="25" t="str">
        <x:v>Pendiente: asignar con R/sf</x:v>
      </x:c>
    </x:row>
    <x:row r="859">
      <x:c r="A859" s="25" t="n">
        <x:v>858</x:v>
      </x:c>
      <x:c r="B859" s="26" t="n">
        <x:v>43819.35549768519</x:v>
      </x:c>
      <x:c r="C859" s="27" t="n">
        <x:f>INT(B859)</x:f>
        <x:v>43819</x:v>
      </x:c>
      <x:c r="D859" s="28" t="n">
        <x:f>MOD(B859,1)</x:f>
        <x:v>0.35549768518831115</x:v>
      </x:c>
      <x:c r="E859" s="29" t="n">
        <x:f>YEAR(B859)</x:f>
        <x:v>2019</x:v>
      </x:c>
      <x:c r="F859" s="29" t="n">
        <x:f>MONTH(B859)</x:f>
        <x:v>12</x:v>
      </x:c>
      <x:c r="G859" s="30" t="n">
        <x:v>-26.39</x:v>
      </x:c>
      <x:c r="H859" s="30" t="n">
        <x:v>-70.44</x:v>
      </x:c>
      <x:c r="I859" s="29" t="n">
        <x:v>54</x:v>
      </x:c>
      <x:c r="J859" s="31" t="n">
        <x:v>4</x:v>
      </x:c>
      <x:c r="K859" s="25" t="str">
        <x:f>IF(J859&gt;=7,"Muy fuerte (&gt;=7)",IF(J859&gt;=6,"Fuerte (6-6.9)",IF(J859&gt;=5,"Moderado alto (5-5.9)",IF(J859&gt;=4,"Moderado (4-4.9)","Menor a 4"))))</x:f>
        <x:v>Moderado (4-4.9)</x:v>
      </x:c>
      <x:c r="L859" s="25" t="str">
        <x:f>IF(I859&lt;70,"Superficial (&lt;70 km)",IF(I859&lt;=300,"Intermedio (70-300 km)","Profundo (&gt;300 km)"))</x:f>
        <x:v>Superficial (&lt;70 km)</x:v>
      </x:c>
      <x:c r="M859" s="25" t="str">
        <x:f>IF(J859&gt;=5,"Sí","No")</x:f>
        <x:v>No</x:v>
      </x:c>
      <x:c r="N859" s="25" t="str">
        <x:f>IF(J859&gt;=6,"Sí","No")</x:f>
        <x:v>No</x:v>
      </x:c>
      <x:c r="O859" s="25" t="str">
        <x:v>Pendiente: asignar con R/sf</x:v>
      </x:c>
    </x:row>
    <x:row r="860">
      <x:c r="A860" s="25" t="n">
        <x:v>859</x:v>
      </x:c>
      <x:c r="B860" s="26" t="n">
        <x:v>44040.02782407407</x:v>
      </x:c>
      <x:c r="C860" s="27" t="n">
        <x:f>INT(B860)</x:f>
        <x:v>44040</x:v>
      </x:c>
      <x:c r="D860" s="28" t="n">
        <x:f>MOD(B860,1)</x:f>
        <x:v>0.02782407407357823</x:v>
      </x:c>
      <x:c r="E860" s="29" t="n">
        <x:f>YEAR(B860)</x:f>
        <x:v>2020</x:v>
      </x:c>
      <x:c r="F860" s="29" t="n">
        <x:f>MONTH(B860)</x:f>
        <x:v>7</x:v>
      </x:c>
      <x:c r="G860" s="30" t="n">
        <x:v>-34.79</x:v>
      </x:c>
      <x:c r="H860" s="30" t="n">
        <x:v>-71.71</x:v>
      </x:c>
      <x:c r="I860" s="29" t="n">
        <x:v>46</x:v>
      </x:c>
      <x:c r="J860" s="31" t="n">
        <x:v>4.3</x:v>
      </x:c>
      <x:c r="K860" s="25" t="str">
        <x:f>IF(J860&gt;=7,"Muy fuerte (&gt;=7)",IF(J860&gt;=6,"Fuerte (6-6.9)",IF(J860&gt;=5,"Moderado alto (5-5.9)",IF(J860&gt;=4,"Moderado (4-4.9)","Menor a 4"))))</x:f>
        <x:v>Moderado (4-4.9)</x:v>
      </x:c>
      <x:c r="L860" s="25" t="str">
        <x:f>IF(I860&lt;70,"Superficial (&lt;70 km)",IF(I860&lt;=300,"Intermedio (70-300 km)","Profundo (&gt;300 km)"))</x:f>
        <x:v>Superficial (&lt;70 km)</x:v>
      </x:c>
      <x:c r="M860" s="25" t="str">
        <x:f>IF(J860&gt;=5,"Sí","No")</x:f>
        <x:v>No</x:v>
      </x:c>
      <x:c r="N860" s="25" t="str">
        <x:f>IF(J860&gt;=6,"Sí","No")</x:f>
        <x:v>No</x:v>
      </x:c>
      <x:c r="O860" s="25" t="str">
        <x:v>Pendiente: asignar con R/sf</x:v>
      </x:c>
    </x:row>
    <x:row r="861">
      <x:c r="A861" s="25" t="n">
        <x:v>860</x:v>
      </x:c>
      <x:c r="B861" s="26" t="n">
        <x:v>44305.174629629626</x:v>
      </x:c>
      <x:c r="C861" s="27" t="n">
        <x:f>INT(B861)</x:f>
        <x:v>44305</x:v>
      </x:c>
      <x:c r="D861" s="28" t="n">
        <x:f>MOD(B861,1)</x:f>
        <x:v>0.17462962962599704</x:v>
      </x:c>
      <x:c r="E861" s="29" t="n">
        <x:f>YEAR(B861)</x:f>
        <x:v>2021</x:v>
      </x:c>
      <x:c r="F861" s="29" t="n">
        <x:f>MONTH(B861)</x:f>
        <x:v>4</x:v>
      </x:c>
      <x:c r="G861" s="30" t="n">
        <x:v>-34</x:v>
      </x:c>
      <x:c r="H861" s="30" t="n">
        <x:v>-72.3</x:v>
      </x:c>
      <x:c r="I861" s="29" t="n">
        <x:v>34</x:v>
      </x:c>
      <x:c r="J861" s="31" t="n">
        <x:v>5</x:v>
      </x:c>
      <x:c r="K861" s="25" t="str">
        <x:f>IF(J861&gt;=7,"Muy fuerte (&gt;=7)",IF(J861&gt;=6,"Fuerte (6-6.9)",IF(J861&gt;=5,"Moderado alto (5-5.9)",IF(J861&gt;=4,"Moderado (4-4.9)","Menor a 4"))))</x:f>
        <x:v>Moderado alto (5-5.9)</x:v>
      </x:c>
      <x:c r="L861" s="25" t="str">
        <x:f>IF(I861&lt;70,"Superficial (&lt;70 km)",IF(I861&lt;=300,"Intermedio (70-300 km)","Profundo (&gt;300 km)"))</x:f>
        <x:v>Superficial (&lt;70 km)</x:v>
      </x:c>
      <x:c r="M861" s="25" t="str">
        <x:f>IF(J861&gt;=5,"Sí","No")</x:f>
        <x:v>Sí</x:v>
      </x:c>
      <x:c r="N861" s="25" t="str">
        <x:f>IF(J861&gt;=6,"Sí","No")</x:f>
        <x:v>No</x:v>
      </x:c>
      <x:c r="O861" s="25" t="str">
        <x:v>Pendiente: asignar con R/sf</x:v>
      </x:c>
    </x:row>
    <x:row r="862">
      <x:c r="A862" s="25" t="n">
        <x:v>861</x:v>
      </x:c>
      <x:c r="B862" s="26" t="n">
        <x:v>44305.62650462963</x:v>
      </x:c>
      <x:c r="C862" s="27" t="n">
        <x:f>INT(B862)</x:f>
        <x:v>44305</x:v>
      </x:c>
      <x:c r="D862" s="28" t="n">
        <x:f>MOD(B862,1)</x:f>
        <x:v>0.6265046296321088</x:v>
      </x:c>
      <x:c r="E862" s="29" t="n">
        <x:f>YEAR(B862)</x:f>
        <x:v>2021</x:v>
      </x:c>
      <x:c r="F862" s="29" t="n">
        <x:f>MONTH(B862)</x:f>
        <x:v>4</x:v>
      </x:c>
      <x:c r="G862" s="30" t="n">
        <x:v>-33.99</x:v>
      </x:c>
      <x:c r="H862" s="30" t="n">
        <x:v>-72.26</x:v>
      </x:c>
      <x:c r="I862" s="29" t="n">
        <x:v>38</x:v>
      </x:c>
      <x:c r="J862" s="31" t="n">
        <x:v>4.3</x:v>
      </x:c>
      <x:c r="K862" s="25" t="str">
        <x:f>IF(J862&gt;=7,"Muy fuerte (&gt;=7)",IF(J862&gt;=6,"Fuerte (6-6.9)",IF(J862&gt;=5,"Moderado alto (5-5.9)",IF(J862&gt;=4,"Moderado (4-4.9)","Menor a 4"))))</x:f>
        <x:v>Moderado (4-4.9)</x:v>
      </x:c>
      <x:c r="L862" s="25" t="str">
        <x:f>IF(I862&lt;70,"Superficial (&lt;70 km)",IF(I862&lt;=300,"Intermedio (70-300 km)","Profundo (&gt;300 km)"))</x:f>
        <x:v>Superficial (&lt;70 km)</x:v>
      </x:c>
      <x:c r="M862" s="25" t="str">
        <x:f>IF(J862&gt;=5,"Sí","No")</x:f>
        <x:v>No</x:v>
      </x:c>
      <x:c r="N862" s="25" t="str">
        <x:f>IF(J862&gt;=6,"Sí","No")</x:f>
        <x:v>No</x:v>
      </x:c>
      <x:c r="O862" s="25" t="str">
        <x:v>Pendiente: asignar con R/sf</x:v>
      </x:c>
    </x:row>
    <x:row r="863">
      <x:c r="A863" s="25" t="n">
        <x:v>862</x:v>
      </x:c>
      <x:c r="B863" s="26" t="n">
        <x:v>44014.52483796296</x:v>
      </x:c>
      <x:c r="C863" s="27" t="n">
        <x:f>INT(B863)</x:f>
        <x:v>44014</x:v>
      </x:c>
      <x:c r="D863" s="28" t="n">
        <x:f>MOD(B863,1)</x:f>
        <x:v>0.5248379629629198</x:v>
      </x:c>
      <x:c r="E863" s="29" t="n">
        <x:f>YEAR(B863)</x:f>
        <x:v>2020</x:v>
      </x:c>
      <x:c r="F863" s="29" t="n">
        <x:f>MONTH(B863)</x:f>
        <x:v>7</x:v>
      </x:c>
      <x:c r="G863" s="30" t="n">
        <x:v>-34.17</x:v>
      </x:c>
      <x:c r="H863" s="30" t="n">
        <x:v>-72.23</x:v>
      </x:c>
      <x:c r="I863" s="29" t="n">
        <x:v>32</x:v>
      </x:c>
      <x:c r="J863" s="31" t="n">
        <x:v>4.9</x:v>
      </x:c>
      <x:c r="K863" s="25" t="str">
        <x:f>IF(J863&gt;=7,"Muy fuerte (&gt;=7)",IF(J863&gt;=6,"Fuerte (6-6.9)",IF(J863&gt;=5,"Moderado alto (5-5.9)",IF(J863&gt;=4,"Moderado (4-4.9)","Menor a 4"))))</x:f>
        <x:v>Moderado (4-4.9)</x:v>
      </x:c>
      <x:c r="L863" s="25" t="str">
        <x:f>IF(I863&lt;70,"Superficial (&lt;70 km)",IF(I863&lt;=300,"Intermedio (70-300 km)","Profundo (&gt;300 km)"))</x:f>
        <x:v>Superficial (&lt;70 km)</x:v>
      </x:c>
      <x:c r="M863" s="25" t="str">
        <x:f>IF(J863&gt;=5,"Sí","No")</x:f>
        <x:v>No</x:v>
      </x:c>
      <x:c r="N863" s="25" t="str">
        <x:f>IF(J863&gt;=6,"Sí","No")</x:f>
        <x:v>No</x:v>
      </x:c>
      <x:c r="O863" s="25" t="str">
        <x:v>Pendiente: asignar con R/sf</x:v>
      </x:c>
    </x:row>
    <x:row r="864">
      <x:c r="A864" s="25" t="n">
        <x:v>863</x:v>
      </x:c>
      <x:c r="B864" s="26" t="n">
        <x:v>44351.615578703706</x:v>
      </x:c>
      <x:c r="C864" s="27" t="n">
        <x:f>INT(B864)</x:f>
        <x:v>44351</x:v>
      </x:c>
      <x:c r="D864" s="28" t="n">
        <x:f>MOD(B864,1)</x:f>
        <x:v>0.6155787037059781</x:v>
      </x:c>
      <x:c r="E864" s="29" t="n">
        <x:f>YEAR(B864)</x:f>
        <x:v>2021</x:v>
      </x:c>
      <x:c r="F864" s="29" t="n">
        <x:f>MONTH(B864)</x:f>
        <x:v>6</x:v>
      </x:c>
      <x:c r="G864" s="30" t="n">
        <x:v>-21.44</x:v>
      </x:c>
      <x:c r="H864" s="30" t="n">
        <x:v>-70.49</x:v>
      </x:c>
      <x:c r="I864" s="29" t="n">
        <x:v>61</x:v>
      </x:c>
      <x:c r="J864" s="31" t="n">
        <x:v>4.8</x:v>
      </x:c>
      <x:c r="K864" s="25" t="str">
        <x:f>IF(J864&gt;=7,"Muy fuerte (&gt;=7)",IF(J864&gt;=6,"Fuerte (6-6.9)",IF(J864&gt;=5,"Moderado alto (5-5.9)",IF(J864&gt;=4,"Moderado (4-4.9)","Menor a 4"))))</x:f>
        <x:v>Moderado (4-4.9)</x:v>
      </x:c>
      <x:c r="L864" s="25" t="str">
        <x:f>IF(I864&lt;70,"Superficial (&lt;70 km)",IF(I864&lt;=300,"Intermedio (70-300 km)","Profundo (&gt;300 km)"))</x:f>
        <x:v>Superficial (&lt;70 km)</x:v>
      </x:c>
      <x:c r="M864" s="25" t="str">
        <x:f>IF(J864&gt;=5,"Sí","No")</x:f>
        <x:v>No</x:v>
      </x:c>
      <x:c r="N864" s="25" t="str">
        <x:f>IF(J864&gt;=6,"Sí","No")</x:f>
        <x:v>No</x:v>
      </x:c>
      <x:c r="O864" s="25" t="str">
        <x:v>Pendiente: asignar con R/sf</x:v>
      </x:c>
    </x:row>
    <x:row r="865">
      <x:c r="A865" s="25" t="n">
        <x:v>864</x:v>
      </x:c>
      <x:c r="B865" s="26" t="n">
        <x:v>44369.803078703706</x:v>
      </x:c>
      <x:c r="C865" s="27" t="n">
        <x:f>INT(B865)</x:f>
        <x:v>44369</x:v>
      </x:c>
      <x:c r="D865" s="28" t="n">
        <x:f>MOD(B865,1)</x:f>
        <x:v>0.8030787037059781</x:v>
      </x:c>
      <x:c r="E865" s="29" t="n">
        <x:f>YEAR(B865)</x:f>
        <x:v>2021</x:v>
      </x:c>
      <x:c r="F865" s="29" t="n">
        <x:f>MONTH(B865)</x:f>
        <x:v>6</x:v>
      </x:c>
      <x:c r="G865" s="30" t="n">
        <x:v>-32.1</x:v>
      </x:c>
      <x:c r="H865" s="30" t="n">
        <x:v>-71.19</x:v>
      </x:c>
      <x:c r="I865" s="29" t="n">
        <x:v>77</x:v>
      </x:c>
      <x:c r="J865" s="31" t="n">
        <x:v>5.3</x:v>
      </x:c>
      <x:c r="K865" s="25" t="str">
        <x:f>IF(J865&gt;=7,"Muy fuerte (&gt;=7)",IF(J865&gt;=6,"Fuerte (6-6.9)",IF(J865&gt;=5,"Moderado alto (5-5.9)",IF(J865&gt;=4,"Moderado (4-4.9)","Menor a 4"))))</x:f>
        <x:v>Moderado alto (5-5.9)</x:v>
      </x:c>
      <x:c r="L865" s="25" t="str">
        <x:f>IF(I865&lt;70,"Superficial (&lt;70 km)",IF(I865&lt;=300,"Intermedio (70-300 km)","Profundo (&gt;300 km)"))</x:f>
        <x:v>Intermedio (70-300 km)</x:v>
      </x:c>
      <x:c r="M865" s="25" t="str">
        <x:f>IF(J865&gt;=5,"Sí","No")</x:f>
        <x:v>Sí</x:v>
      </x:c>
      <x:c r="N865" s="25" t="str">
        <x:f>IF(J865&gt;=6,"Sí","No")</x:f>
        <x:v>No</x:v>
      </x:c>
      <x:c r="O865" s="25" t="str">
        <x:v>Pendiente: asignar con R/sf</x:v>
      </x:c>
    </x:row>
    <x:row r="866">
      <x:c r="A866" s="25" t="n">
        <x:v>865</x:v>
      </x:c>
      <x:c r="B866" s="26" t="n">
        <x:v>44305.46769675926</x:v>
      </x:c>
      <x:c r="C866" s="27" t="n">
        <x:f>INT(B866)</x:f>
        <x:v>44305</x:v>
      </x:c>
      <x:c r="D866" s="28" t="n">
        <x:f>MOD(B866,1)</x:f>
        <x:v>0.4676967592604342</x:v>
      </x:c>
      <x:c r="E866" s="29" t="n">
        <x:f>YEAR(B866)</x:f>
        <x:v>2021</x:v>
      </x:c>
      <x:c r="F866" s="29" t="n">
        <x:f>MONTH(B866)</x:f>
        <x:v>4</x:v>
      </x:c>
      <x:c r="G866" s="30" t="n">
        <x:v>-34.01</x:v>
      </x:c>
      <x:c r="H866" s="30" t="n">
        <x:v>-72.34</x:v>
      </x:c>
      <x:c r="I866" s="29" t="n">
        <x:v>38</x:v>
      </x:c>
      <x:c r="J866" s="31" t="n">
        <x:v>5</x:v>
      </x:c>
      <x:c r="K866" s="25" t="str">
        <x:f>IF(J866&gt;=7,"Muy fuerte (&gt;=7)",IF(J866&gt;=6,"Fuerte (6-6.9)",IF(J866&gt;=5,"Moderado alto (5-5.9)",IF(J866&gt;=4,"Moderado (4-4.9)","Menor a 4"))))</x:f>
        <x:v>Moderado alto (5-5.9)</x:v>
      </x:c>
      <x:c r="L866" s="25" t="str">
        <x:f>IF(I866&lt;70,"Superficial (&lt;70 km)",IF(I866&lt;=300,"Intermedio (70-300 km)","Profundo (&gt;300 km)"))</x:f>
        <x:v>Superficial (&lt;70 km)</x:v>
      </x:c>
      <x:c r="M866" s="25" t="str">
        <x:f>IF(J866&gt;=5,"Sí","No")</x:f>
        <x:v>Sí</x:v>
      </x:c>
      <x:c r="N866" s="25" t="str">
        <x:f>IF(J866&gt;=6,"Sí","No")</x:f>
        <x:v>No</x:v>
      </x:c>
      <x:c r="O866" s="25" t="str">
        <x:v>Pendiente: asignar con R/sf</x:v>
      </x:c>
    </x:row>
    <x:row r="867">
      <x:c r="A867" s="25" t="n">
        <x:v>866</x:v>
      </x:c>
      <x:c r="B867" s="26" t="n">
        <x:v>43897.43675925926</x:v>
      </x:c>
      <x:c r="C867" s="27" t="n">
        <x:f>INT(B867)</x:f>
        <x:v>43897</x:v>
      </x:c>
      <x:c r="D867" s="28" t="n">
        <x:f>MOD(B867,1)</x:f>
        <x:v>0.43675925926072523</x:v>
      </x:c>
      <x:c r="E867" s="29" t="n">
        <x:f>YEAR(B867)</x:f>
        <x:v>2020</x:v>
      </x:c>
      <x:c r="F867" s="29" t="n">
        <x:f>MONTH(B867)</x:f>
        <x:v>3</x:v>
      </x:c>
      <x:c r="G867" s="30" t="n">
        <x:v>-42.88</x:v>
      </x:c>
      <x:c r="H867" s="30" t="n">
        <x:v>-74.3</x:v>
      </x:c>
      <x:c r="I867" s="29" t="n">
        <x:v>22</x:v>
      </x:c>
      <x:c r="J867" s="31" t="n">
        <x:v>4.4</x:v>
      </x:c>
      <x:c r="K867" s="25" t="str">
        <x:f>IF(J867&gt;=7,"Muy fuerte (&gt;=7)",IF(J867&gt;=6,"Fuerte (6-6.9)",IF(J867&gt;=5,"Moderado alto (5-5.9)",IF(J867&gt;=4,"Moderado (4-4.9)","Menor a 4"))))</x:f>
        <x:v>Moderado (4-4.9)</x:v>
      </x:c>
      <x:c r="L867" s="25" t="str">
        <x:f>IF(I867&lt;70,"Superficial (&lt;70 km)",IF(I867&lt;=300,"Intermedio (70-300 km)","Profundo (&gt;300 km)"))</x:f>
        <x:v>Superficial (&lt;70 km)</x:v>
      </x:c>
      <x:c r="M867" s="25" t="str">
        <x:f>IF(J867&gt;=5,"Sí","No")</x:f>
        <x:v>No</x:v>
      </x:c>
      <x:c r="N867" s="25" t="str">
        <x:f>IF(J867&gt;=6,"Sí","No")</x:f>
        <x:v>No</x:v>
      </x:c>
      <x:c r="O867" s="25" t="str">
        <x:v>Pendiente: asignar con R/sf</x:v>
      </x:c>
    </x:row>
    <x:row r="868">
      <x:c r="A868" s="25" t="n">
        <x:v>867</x:v>
      </x:c>
      <x:c r="B868" s="26" t="n">
        <x:v>44277.54482638889</x:v>
      </x:c>
      <x:c r="C868" s="27" t="n">
        <x:f>INT(B868)</x:f>
        <x:v>44277</x:v>
      </x:c>
      <x:c r="D868" s="28" t="n">
        <x:f>MOD(B868,1)</x:f>
        <x:v>0.5448263888902147</x:v>
      </x:c>
      <x:c r="E868" s="29" t="n">
        <x:f>YEAR(B868)</x:f>
        <x:v>2021</x:v>
      </x:c>
      <x:c r="F868" s="29" t="n">
        <x:f>MONTH(B868)</x:f>
        <x:v>3</x:v>
      </x:c>
      <x:c r="G868" s="30" t="n">
        <x:v>-34.13</x:v>
      </x:c>
      <x:c r="H868" s="30" t="n">
        <x:v>-71.16</x:v>
      </x:c>
      <x:c r="I868" s="29" t="n">
        <x:v>71</x:v>
      </x:c>
      <x:c r="J868" s="31" t="n">
        <x:v>4.2</x:v>
      </x:c>
      <x:c r="K868" s="25" t="str">
        <x:f>IF(J868&gt;=7,"Muy fuerte (&gt;=7)",IF(J868&gt;=6,"Fuerte (6-6.9)",IF(J868&gt;=5,"Moderado alto (5-5.9)",IF(J868&gt;=4,"Moderado (4-4.9)","Menor a 4"))))</x:f>
        <x:v>Moderado (4-4.9)</x:v>
      </x:c>
      <x:c r="L868" s="25" t="str">
        <x:f>IF(I868&lt;70,"Superficial (&lt;70 km)",IF(I868&lt;=300,"Intermedio (70-300 km)","Profundo (&gt;300 km)"))</x:f>
        <x:v>Intermedio (70-300 km)</x:v>
      </x:c>
      <x:c r="M868" s="25" t="str">
        <x:f>IF(J868&gt;=5,"Sí","No")</x:f>
        <x:v>No</x:v>
      </x:c>
      <x:c r="N868" s="25" t="str">
        <x:f>IF(J868&gt;=6,"Sí","No")</x:f>
        <x:v>No</x:v>
      </x:c>
      <x:c r="O868" s="25" t="str">
        <x:v>Pendiente: asignar con R/sf</x:v>
      </x:c>
    </x:row>
    <x:row r="869">
      <x:c r="A869" s="25" t="n">
        <x:v>868</x:v>
      </x:c>
      <x:c r="B869" s="26" t="n">
        <x:v>44295.08483796296</x:v>
      </x:c>
      <x:c r="C869" s="27" t="n">
        <x:f>INT(B869)</x:f>
        <x:v>44295</x:v>
      </x:c>
      <x:c r="D869" s="28" t="n">
        <x:f>MOD(B869,1)</x:f>
        <x:v>0.08483796296059154</x:v>
      </x:c>
      <x:c r="E869" s="29" t="n">
        <x:f>YEAR(B869)</x:f>
        <x:v>2021</x:v>
      </x:c>
      <x:c r="F869" s="29" t="n">
        <x:f>MONTH(B869)</x:f>
        <x:v>4</x:v>
      </x:c>
      <x:c r="G869" s="30" t="n">
        <x:v>-33.81</x:v>
      </x:c>
      <x:c r="H869" s="30" t="n">
        <x:v>-70.29</x:v>
      </x:c>
      <x:c r="I869" s="29" t="n">
        <x:v>114</x:v>
      </x:c>
      <x:c r="J869" s="31" t="n">
        <x:v>4.5</x:v>
      </x:c>
      <x:c r="K869" s="25" t="str">
        <x:f>IF(J869&gt;=7,"Muy fuerte (&gt;=7)",IF(J869&gt;=6,"Fuerte (6-6.9)",IF(J869&gt;=5,"Moderado alto (5-5.9)",IF(J869&gt;=4,"Moderado (4-4.9)","Menor a 4"))))</x:f>
        <x:v>Moderado (4-4.9)</x:v>
      </x:c>
      <x:c r="L869" s="25" t="str">
        <x:f>IF(I869&lt;70,"Superficial (&lt;70 km)",IF(I869&lt;=300,"Intermedio (70-300 km)","Profundo (&gt;300 km)"))</x:f>
        <x:v>Intermedio (70-300 km)</x:v>
      </x:c>
      <x:c r="M869" s="25" t="str">
        <x:f>IF(J869&gt;=5,"Sí","No")</x:f>
        <x:v>No</x:v>
      </x:c>
      <x:c r="N869" s="25" t="str">
        <x:f>IF(J869&gt;=6,"Sí","No")</x:f>
        <x:v>No</x:v>
      </x:c>
      <x:c r="O869" s="25" t="str">
        <x:v>Pendiente: asignar con R/sf</x:v>
      </x:c>
    </x:row>
    <x:row r="870">
      <x:c r="A870" s="25" t="n">
        <x:v>869</x:v>
      </x:c>
      <x:c r="B870" s="26" t="n">
        <x:v>44308.011979166666</x:v>
      </x:c>
      <x:c r="C870" s="27" t="n">
        <x:f>INT(B870)</x:f>
        <x:v>44308</x:v>
      </x:c>
      <x:c r="D870" s="28" t="n">
        <x:f>MOD(B870,1)</x:f>
        <x:v>0.011979166665696539</x:v>
      </x:c>
      <x:c r="E870" s="29" t="n">
        <x:f>YEAR(B870)</x:f>
        <x:v>2021</x:v>
      </x:c>
      <x:c r="F870" s="29" t="n">
        <x:f>MONTH(B870)</x:f>
        <x:v>4</x:v>
      </x:c>
      <x:c r="G870" s="30" t="n">
        <x:v>-33.99</x:v>
      </x:c>
      <x:c r="H870" s="30" t="n">
        <x:v>-72.43</x:v>
      </x:c>
      <x:c r="I870" s="29" t="n">
        <x:v>34</x:v>
      </x:c>
      <x:c r="J870" s="31" t="n">
        <x:v>5.2</x:v>
      </x:c>
      <x:c r="K870" s="25" t="str">
        <x:f>IF(J870&gt;=7,"Muy fuerte (&gt;=7)",IF(J870&gt;=6,"Fuerte (6-6.9)",IF(J870&gt;=5,"Moderado alto (5-5.9)",IF(J870&gt;=4,"Moderado (4-4.9)","Menor a 4"))))</x:f>
        <x:v>Moderado alto (5-5.9)</x:v>
      </x:c>
      <x:c r="L870" s="25" t="str">
        <x:f>IF(I870&lt;70,"Superficial (&lt;70 km)",IF(I870&lt;=300,"Intermedio (70-300 km)","Profundo (&gt;300 km)"))</x:f>
        <x:v>Superficial (&lt;70 km)</x:v>
      </x:c>
      <x:c r="M870" s="25" t="str">
        <x:f>IF(J870&gt;=5,"Sí","No")</x:f>
        <x:v>Sí</x:v>
      </x:c>
      <x:c r="N870" s="25" t="str">
        <x:f>IF(J870&gt;=6,"Sí","No")</x:f>
        <x:v>No</x:v>
      </x:c>
      <x:c r="O870" s="25" t="str">
        <x:v>Pendiente: asignar con R/sf</x:v>
      </x:c>
    </x:row>
    <x:row r="871">
      <x:c r="A871" s="25" t="n">
        <x:v>870</x:v>
      </x:c>
      <x:c r="B871" s="26" t="n">
        <x:v>43667.17438657407</x:v>
      </x:c>
      <x:c r="C871" s="27" t="n">
        <x:f>INT(B871)</x:f>
        <x:v>43667</x:v>
      </x:c>
      <x:c r="D871" s="28" t="n">
        <x:f>MOD(B871,1)</x:f>
        <x:v>0.174386574071832</x:v>
      </x:c>
      <x:c r="E871" s="29" t="n">
        <x:f>YEAR(B871)</x:f>
        <x:v>2019</x:v>
      </x:c>
      <x:c r="F871" s="29" t="n">
        <x:f>MONTH(B871)</x:f>
        <x:v>7</x:v>
      </x:c>
      <x:c r="G871" s="30" t="n">
        <x:v>-41.73</x:v>
      </x:c>
      <x:c r="H871" s="30" t="n">
        <x:v>-74.11</x:v>
      </x:c>
      <x:c r="I871" s="29" t="n">
        <x:v>41</x:v>
      </x:c>
      <x:c r="J871" s="31" t="n">
        <x:v>3.1</x:v>
      </x:c>
      <x:c r="K871" s="25" t="str">
        <x:f>IF(J871&gt;=7,"Muy fuerte (&gt;=7)",IF(J871&gt;=6,"Fuerte (6-6.9)",IF(J871&gt;=5,"Moderado alto (5-5.9)",IF(J871&gt;=4,"Moderado (4-4.9)","Menor a 4"))))</x:f>
        <x:v>Menor a 4</x:v>
      </x:c>
      <x:c r="L871" s="25" t="str">
        <x:f>IF(I871&lt;70,"Superficial (&lt;70 km)",IF(I871&lt;=300,"Intermedio (70-300 km)","Profundo (&gt;300 km)"))</x:f>
        <x:v>Superficial (&lt;70 km)</x:v>
      </x:c>
      <x:c r="M871" s="25" t="str">
        <x:f>IF(J871&gt;=5,"Sí","No")</x:f>
        <x:v>No</x:v>
      </x:c>
      <x:c r="N871" s="25" t="str">
        <x:f>IF(J871&gt;=6,"Sí","No")</x:f>
        <x:v>No</x:v>
      </x:c>
      <x:c r="O871" s="25" t="str">
        <x:v>Pendiente: asignar con R/sf</x:v>
      </x:c>
    </x:row>
    <x:row r="872">
      <x:c r="A872" s="25" t="n">
        <x:v>871</x:v>
      </x:c>
      <x:c r="B872" s="26" t="n">
        <x:v>43778.350856481484</x:v>
      </x:c>
      <x:c r="C872" s="27" t="n">
        <x:f>INT(B872)</x:f>
        <x:v>43778</x:v>
      </x:c>
      <x:c r="D872" s="28" t="n">
        <x:f>MOD(B872,1)</x:f>
        <x:v>0.35085648148378823</x:v>
      </x:c>
      <x:c r="E872" s="29" t="n">
        <x:f>YEAR(B872)</x:f>
        <x:v>2019</x:v>
      </x:c>
      <x:c r="F872" s="29" t="n">
        <x:f>MONTH(B872)</x:f>
        <x:v>11</x:v>
      </x:c>
      <x:c r="G872" s="30" t="n">
        <x:v>-34.22</x:v>
      </x:c>
      <x:c r="H872" s="30" t="n">
        <x:v>-71.88</x:v>
      </x:c>
      <x:c r="I872" s="29" t="n">
        <x:v>42</x:v>
      </x:c>
      <x:c r="J872" s="31" t="n">
        <x:v>3.9</x:v>
      </x:c>
      <x:c r="K872" s="25" t="str">
        <x:f>IF(J872&gt;=7,"Muy fuerte (&gt;=7)",IF(J872&gt;=6,"Fuerte (6-6.9)",IF(J872&gt;=5,"Moderado alto (5-5.9)",IF(J872&gt;=4,"Moderado (4-4.9)","Menor a 4"))))</x:f>
        <x:v>Menor a 4</x:v>
      </x:c>
      <x:c r="L872" s="25" t="str">
        <x:f>IF(I872&lt;70,"Superficial (&lt;70 km)",IF(I872&lt;=300,"Intermedio (70-300 km)","Profundo (&gt;300 km)"))</x:f>
        <x:v>Superficial (&lt;70 km)</x:v>
      </x:c>
      <x:c r="M872" s="25" t="str">
        <x:f>IF(J872&gt;=5,"Sí","No")</x:f>
        <x:v>No</x:v>
      </x:c>
      <x:c r="N872" s="25" t="str">
        <x:f>IF(J872&gt;=6,"Sí","No")</x:f>
        <x:v>No</x:v>
      </x:c>
      <x:c r="O872" s="25" t="str">
        <x:v>Pendiente: asignar con R/sf</x:v>
      </x:c>
    </x:row>
    <x:row r="873">
      <x:c r="A873" s="25" t="n">
        <x:v>872</x:v>
      </x:c>
      <x:c r="B873" s="26" t="n">
        <x:v>43783.823900462965</x:v>
      </x:c>
      <x:c r="C873" s="27" t="n">
        <x:f>INT(B873)</x:f>
        <x:v>43783</x:v>
      </x:c>
      <x:c r="D873" s="28" t="n">
        <x:f>MOD(B873,1)</x:f>
        <x:v>0.8239004629649571</x:v>
      </x:c>
      <x:c r="E873" s="29" t="n">
        <x:f>YEAR(B873)</x:f>
        <x:v>2019</x:v>
      </x:c>
      <x:c r="F873" s="29" t="n">
        <x:f>MONTH(B873)</x:f>
        <x:v>11</x:v>
      </x:c>
      <x:c r="G873" s="30" t="n">
        <x:v>-43.18</x:v>
      </x:c>
      <x:c r="H873" s="30" t="n">
        <x:v>-74.34</x:v>
      </x:c>
      <x:c r="I873" s="29" t="n">
        <x:v>20</x:v>
      </x:c>
      <x:c r="J873" s="31" t="n">
        <x:v>3.8</x:v>
      </x:c>
      <x:c r="K873" s="25" t="str">
        <x:f>IF(J873&gt;=7,"Muy fuerte (&gt;=7)",IF(J873&gt;=6,"Fuerte (6-6.9)",IF(J873&gt;=5,"Moderado alto (5-5.9)",IF(J873&gt;=4,"Moderado (4-4.9)","Menor a 4"))))</x:f>
        <x:v>Menor a 4</x:v>
      </x:c>
      <x:c r="L873" s="25" t="str">
        <x:f>IF(I873&lt;70,"Superficial (&lt;70 km)",IF(I873&lt;=300,"Intermedio (70-300 km)","Profundo (&gt;300 km)"))</x:f>
        <x:v>Superficial (&lt;70 km)</x:v>
      </x:c>
      <x:c r="M873" s="25" t="str">
        <x:f>IF(J873&gt;=5,"Sí","No")</x:f>
        <x:v>No</x:v>
      </x:c>
      <x:c r="N873" s="25" t="str">
        <x:f>IF(J873&gt;=6,"Sí","No")</x:f>
        <x:v>No</x:v>
      </x:c>
      <x:c r="O873" s="25" t="str">
        <x:v>Pendiente: asignar con R/sf</x:v>
      </x:c>
    </x:row>
    <x:row r="874">
      <x:c r="A874" s="25" t="n">
        <x:v>873</x:v>
      </x:c>
      <x:c r="B874" s="26" t="n">
        <x:v>44321.32561342593</x:v>
      </x:c>
      <x:c r="C874" s="27" t="n">
        <x:f>INT(B874)</x:f>
        <x:v>44321</x:v>
      </x:c>
      <x:c r="D874" s="28" t="n">
        <x:f>MOD(B874,1)</x:f>
        <x:v>0.325613425928168</x:v>
      </x:c>
      <x:c r="E874" s="29" t="n">
        <x:f>YEAR(B874)</x:f>
        <x:v>2021</x:v>
      </x:c>
      <x:c r="F874" s="29" t="n">
        <x:f>MONTH(B874)</x:f>
        <x:v>5</x:v>
      </x:c>
      <x:c r="G874" s="30" t="n">
        <x:v>-41.78</x:v>
      </x:c>
      <x:c r="H874" s="30" t="n">
        <x:v>-73.92</x:v>
      </x:c>
      <x:c r="I874" s="29" t="n">
        <x:v>36</x:v>
      </x:c>
      <x:c r="J874" s="31" t="n">
        <x:v>3.1</x:v>
      </x:c>
      <x:c r="K874" s="25" t="str">
        <x:f>IF(J874&gt;=7,"Muy fuerte (&gt;=7)",IF(J874&gt;=6,"Fuerte (6-6.9)",IF(J874&gt;=5,"Moderado alto (5-5.9)",IF(J874&gt;=4,"Moderado (4-4.9)","Menor a 4"))))</x:f>
        <x:v>Menor a 4</x:v>
      </x:c>
      <x:c r="L874" s="25" t="str">
        <x:f>IF(I874&lt;70,"Superficial (&lt;70 km)",IF(I874&lt;=300,"Intermedio (70-300 km)","Profundo (&gt;300 km)"))</x:f>
        <x:v>Superficial (&lt;70 km)</x:v>
      </x:c>
      <x:c r="M874" s="25" t="str">
        <x:f>IF(J874&gt;=5,"Sí","No")</x:f>
        <x:v>No</x:v>
      </x:c>
      <x:c r="N874" s="25" t="str">
        <x:f>IF(J874&gt;=6,"Sí","No")</x:f>
        <x:v>No</x:v>
      </x:c>
      <x:c r="O874" s="25" t="str">
        <x:v>Pendiente: asignar con R/sf</x:v>
      </x:c>
    </x:row>
    <x:row r="875">
      <x:c r="A875" s="25" t="n">
        <x:v>874</x:v>
      </x:c>
      <x:c r="B875" s="26" t="n">
        <x:v>44206.34395833333</x:v>
      </x:c>
      <x:c r="C875" s="27" t="n">
        <x:f>INT(B875)</x:f>
        <x:v>44206</x:v>
      </x:c>
      <x:c r="D875" s="28" t="n">
        <x:f>MOD(B875,1)</x:f>
        <x:v>0.34395833333110204</x:v>
      </x:c>
      <x:c r="E875" s="29" t="n">
        <x:f>YEAR(B875)</x:f>
        <x:v>2021</x:v>
      </x:c>
      <x:c r="F875" s="29" t="n">
        <x:f>MONTH(B875)</x:f>
        <x:v>1</x:v>
      </x:c>
      <x:c r="G875" s="30" t="n">
        <x:v>-34.69</x:v>
      </x:c>
      <x:c r="H875" s="30" t="n">
        <x:v>-71.85</x:v>
      </x:c>
      <x:c r="I875" s="29" t="n">
        <x:v>51</x:v>
      </x:c>
      <x:c r="J875" s="31" t="n">
        <x:v>4.5</x:v>
      </x:c>
      <x:c r="K875" s="25" t="str">
        <x:f>IF(J875&gt;=7,"Muy fuerte (&gt;=7)",IF(J875&gt;=6,"Fuerte (6-6.9)",IF(J875&gt;=5,"Moderado alto (5-5.9)",IF(J875&gt;=4,"Moderado (4-4.9)","Menor a 4"))))</x:f>
        <x:v>Moderado (4-4.9)</x:v>
      </x:c>
      <x:c r="L875" s="25" t="str">
        <x:f>IF(I875&lt;70,"Superficial (&lt;70 km)",IF(I875&lt;=300,"Intermedio (70-300 km)","Profundo (&gt;300 km)"))</x:f>
        <x:v>Superficial (&lt;70 km)</x:v>
      </x:c>
      <x:c r="M875" s="25" t="str">
        <x:f>IF(J875&gt;=5,"Sí","No")</x:f>
        <x:v>No</x:v>
      </x:c>
      <x:c r="N875" s="25" t="str">
        <x:f>IF(J875&gt;=6,"Sí","No")</x:f>
        <x:v>No</x:v>
      </x:c>
      <x:c r="O875" s="25" t="str">
        <x:v>Pendiente: asignar con R/sf</x:v>
      </x:c>
    </x:row>
    <x:row r="876">
      <x:c r="A876" s="25" t="n">
        <x:v>875</x:v>
      </x:c>
      <x:c r="B876" s="26" t="n">
        <x:v>44117.796793981484</x:v>
      </x:c>
      <x:c r="C876" s="27" t="n">
        <x:f>INT(B876)</x:f>
        <x:v>44117</x:v>
      </x:c>
      <x:c r="D876" s="28" t="n">
        <x:f>MOD(B876,1)</x:f>
        <x:v>0.7967939814843703</x:v>
      </x:c>
      <x:c r="E876" s="29" t="n">
        <x:f>YEAR(B876)</x:f>
        <x:v>2020</x:v>
      </x:c>
      <x:c r="F876" s="29" t="n">
        <x:f>MONTH(B876)</x:f>
        <x:v>10</x:v>
      </x:c>
      <x:c r="G876" s="30" t="n">
        <x:v>-34.04</x:v>
      </x:c>
      <x:c r="H876" s="30" t="n">
        <x:v>-72.24</x:v>
      </x:c>
      <x:c r="I876" s="29" t="n">
        <x:v>32</x:v>
      </x:c>
      <x:c r="J876" s="31" t="n">
        <x:v>4.1</x:v>
      </x:c>
      <x:c r="K876" s="25" t="str">
        <x:f>IF(J876&gt;=7,"Muy fuerte (&gt;=7)",IF(J876&gt;=6,"Fuerte (6-6.9)",IF(J876&gt;=5,"Moderado alto (5-5.9)",IF(J876&gt;=4,"Moderado (4-4.9)","Menor a 4"))))</x:f>
        <x:v>Moderado (4-4.9)</x:v>
      </x:c>
      <x:c r="L876" s="25" t="str">
        <x:f>IF(I876&lt;70,"Superficial (&lt;70 km)",IF(I876&lt;=300,"Intermedio (70-300 km)","Profundo (&gt;300 km)"))</x:f>
        <x:v>Superficial (&lt;70 km)</x:v>
      </x:c>
      <x:c r="M876" s="25" t="str">
        <x:f>IF(J876&gt;=5,"Sí","No")</x:f>
        <x:v>No</x:v>
      </x:c>
      <x:c r="N876" s="25" t="str">
        <x:f>IF(J876&gt;=6,"Sí","No")</x:f>
        <x:v>No</x:v>
      </x:c>
      <x:c r="O876" s="25" t="str">
        <x:v>Pendiente: asignar con R/sf</x:v>
      </x:c>
    </x:row>
    <x:row r="877">
      <x:c r="A877" s="25" t="n">
        <x:v>876</x:v>
      </x:c>
      <x:c r="B877" s="26" t="n">
        <x:v>43722.11510416667</x:v>
      </x:c>
      <x:c r="C877" s="27" t="n">
        <x:f>INT(B877)</x:f>
        <x:v>43722</x:v>
      </x:c>
      <x:c r="D877" s="28" t="n">
        <x:f>MOD(B877,1)</x:f>
        <x:v>0.11510416666715173</x:v>
      </x:c>
      <x:c r="E877" s="29" t="n">
        <x:f>YEAR(B877)</x:f>
        <x:v>2019</x:v>
      </x:c>
      <x:c r="F877" s="29" t="n">
        <x:f>MONTH(B877)</x:f>
        <x:v>9</x:v>
      </x:c>
      <x:c r="G877" s="30" t="n">
        <x:v>-33.88</x:v>
      </x:c>
      <x:c r="H877" s="30" t="n">
        <x:v>-72.09</x:v>
      </x:c>
      <x:c r="I877" s="29" t="n">
        <x:v>24</x:v>
      </x:c>
      <x:c r="J877" s="31" t="n">
        <x:v>3.7</x:v>
      </x:c>
      <x:c r="K877" s="25" t="str">
        <x:f>IF(J877&gt;=7,"Muy fuerte (&gt;=7)",IF(J877&gt;=6,"Fuerte (6-6.9)",IF(J877&gt;=5,"Moderado alto (5-5.9)",IF(J877&gt;=4,"Moderado (4-4.9)","Menor a 4"))))</x:f>
        <x:v>Menor a 4</x:v>
      </x:c>
      <x:c r="L877" s="25" t="str">
        <x:f>IF(I877&lt;70,"Superficial (&lt;70 km)",IF(I877&lt;=300,"Intermedio (70-300 km)","Profundo (&gt;300 km)"))</x:f>
        <x:v>Superficial (&lt;70 km)</x:v>
      </x:c>
      <x:c r="M877" s="25" t="str">
        <x:f>IF(J877&gt;=5,"Sí","No")</x:f>
        <x:v>No</x:v>
      </x:c>
      <x:c r="N877" s="25" t="str">
        <x:f>IF(J877&gt;=6,"Sí","No")</x:f>
        <x:v>No</x:v>
      </x:c>
      <x:c r="O877" s="25" t="str">
        <x:v>Pendiente: asignar con R/sf</x:v>
      </x:c>
    </x:row>
    <x:row r="878">
      <x:c r="A878" s="25" t="n">
        <x:v>877</x:v>
      </x:c>
      <x:c r="B878" s="26" t="n">
        <x:v>44305.54546296296</x:v>
      </x:c>
      <x:c r="C878" s="27" t="n">
        <x:f>INT(B878)</x:f>
        <x:v>44305</x:v>
      </x:c>
      <x:c r="D878" s="28" t="n">
        <x:f>MOD(B878,1)</x:f>
        <x:v>0.5454629629603005</x:v>
      </x:c>
      <x:c r="E878" s="29" t="n">
        <x:f>YEAR(B878)</x:f>
        <x:v>2021</x:v>
      </x:c>
      <x:c r="F878" s="29" t="n">
        <x:f>MONTH(B878)</x:f>
        <x:v>4</x:v>
      </x:c>
      <x:c r="G878" s="30" t="n">
        <x:v>-34.02</x:v>
      </x:c>
      <x:c r="H878" s="30" t="n">
        <x:v>-72.26</x:v>
      </x:c>
      <x:c r="I878" s="29" t="n">
        <x:v>37</x:v>
      </x:c>
      <x:c r="J878" s="31" t="n">
        <x:v>4.9</x:v>
      </x:c>
      <x:c r="K878" s="25" t="str">
        <x:f>IF(J878&gt;=7,"Muy fuerte (&gt;=7)",IF(J878&gt;=6,"Fuerte (6-6.9)",IF(J878&gt;=5,"Moderado alto (5-5.9)",IF(J878&gt;=4,"Moderado (4-4.9)","Menor a 4"))))</x:f>
        <x:v>Moderado (4-4.9)</x:v>
      </x:c>
      <x:c r="L878" s="25" t="str">
        <x:f>IF(I878&lt;70,"Superficial (&lt;70 km)",IF(I878&lt;=300,"Intermedio (70-300 km)","Profundo (&gt;300 km)"))</x:f>
        <x:v>Superficial (&lt;70 km)</x:v>
      </x:c>
      <x:c r="M878" s="25" t="str">
        <x:f>IF(J878&gt;=5,"Sí","No")</x:f>
        <x:v>No</x:v>
      </x:c>
      <x:c r="N878" s="25" t="str">
        <x:f>IF(J878&gt;=6,"Sí","No")</x:f>
        <x:v>No</x:v>
      </x:c>
      <x:c r="O878" s="25" t="str">
        <x:v>Pendiente: asignar con R/sf</x:v>
      </x:c>
    </x:row>
    <x:row r="879">
      <x:c r="A879" s="25" t="n">
        <x:v>878</x:v>
      </x:c>
      <x:c r="B879" s="26" t="n">
        <x:v>43722.143692129626</x:v>
      </x:c>
      <x:c r="C879" s="27" t="n">
        <x:f>INT(B879)</x:f>
        <x:v>43722</x:v>
      </x:c>
      <x:c r="D879" s="28" t="n">
        <x:f>MOD(B879,1)</x:f>
        <x:v>0.14369212962628808</x:v>
      </x:c>
      <x:c r="E879" s="29" t="n">
        <x:f>YEAR(B879)</x:f>
        <x:v>2019</x:v>
      </x:c>
      <x:c r="F879" s="29" t="n">
        <x:f>MONTH(B879)</x:f>
        <x:v>9</x:v>
      </x:c>
      <x:c r="G879" s="30" t="n">
        <x:v>-33.9</x:v>
      </x:c>
      <x:c r="H879" s="30" t="n">
        <x:v>-72.11</x:v>
      </x:c>
      <x:c r="I879" s="29" t="n">
        <x:v>38</x:v>
      </x:c>
      <x:c r="J879" s="31" t="n">
        <x:v>3.2</x:v>
      </x:c>
      <x:c r="K879" s="25" t="str">
        <x:f>IF(J879&gt;=7,"Muy fuerte (&gt;=7)",IF(J879&gt;=6,"Fuerte (6-6.9)",IF(J879&gt;=5,"Moderado alto (5-5.9)",IF(J879&gt;=4,"Moderado (4-4.9)","Menor a 4"))))</x:f>
        <x:v>Menor a 4</x:v>
      </x:c>
      <x:c r="L879" s="25" t="str">
        <x:f>IF(I879&lt;70,"Superficial (&lt;70 km)",IF(I879&lt;=300,"Intermedio (70-300 km)","Profundo (&gt;300 km)"))</x:f>
        <x:v>Superficial (&lt;70 km)</x:v>
      </x:c>
      <x:c r="M879" s="25" t="str">
        <x:f>IF(J879&gt;=5,"Sí","No")</x:f>
        <x:v>No</x:v>
      </x:c>
      <x:c r="N879" s="25" t="str">
        <x:f>IF(J879&gt;=6,"Sí","No")</x:f>
        <x:v>No</x:v>
      </x:c>
      <x:c r="O879" s="25" t="str">
        <x:v>Pendiente: asignar con R/sf</x:v>
      </x:c>
    </x:row>
    <x:row r="880">
      <x:c r="A880" s="25" t="n">
        <x:v>879</x:v>
      </x:c>
      <x:c r="B880" s="26" t="n">
        <x:v>44280.09637731482</x:v>
      </x:c>
      <x:c r="C880" s="27" t="n">
        <x:f>INT(B880)</x:f>
        <x:v>44280</x:v>
      </x:c>
      <x:c r="D880" s="28" t="n">
        <x:f>MOD(B880,1)</x:f>
        <x:v>0.09637731481780065</x:v>
      </x:c>
      <x:c r="E880" s="29" t="n">
        <x:f>YEAR(B880)</x:f>
        <x:v>2021</x:v>
      </x:c>
      <x:c r="F880" s="29" t="n">
        <x:f>MONTH(B880)</x:f>
        <x:v>3</x:v>
      </x:c>
      <x:c r="G880" s="30" t="n">
        <x:v>-30.44</x:v>
      </x:c>
      <x:c r="H880" s="30" t="n">
        <x:v>-71.58</x:v>
      </x:c>
      <x:c r="I880" s="29" t="n">
        <x:v>28</x:v>
      </x:c>
      <x:c r="J880" s="31" t="n">
        <x:v>4.4</x:v>
      </x:c>
      <x:c r="K880" s="25" t="str">
        <x:f>IF(J880&gt;=7,"Muy fuerte (&gt;=7)",IF(J880&gt;=6,"Fuerte (6-6.9)",IF(J880&gt;=5,"Moderado alto (5-5.9)",IF(J880&gt;=4,"Moderado (4-4.9)","Menor a 4"))))</x:f>
        <x:v>Moderado (4-4.9)</x:v>
      </x:c>
      <x:c r="L880" s="25" t="str">
        <x:f>IF(I880&lt;70,"Superficial (&lt;70 km)",IF(I880&lt;=300,"Intermedio (70-300 km)","Profundo (&gt;300 km)"))</x:f>
        <x:v>Superficial (&lt;70 km)</x:v>
      </x:c>
      <x:c r="M880" s="25" t="str">
        <x:f>IF(J880&gt;=5,"Sí","No")</x:f>
        <x:v>No</x:v>
      </x:c>
      <x:c r="N880" s="25" t="str">
        <x:f>IF(J880&gt;=6,"Sí","No")</x:f>
        <x:v>No</x:v>
      </x:c>
      <x:c r="O880" s="25" t="str">
        <x:v>Pendiente: asignar con R/sf</x:v>
      </x:c>
    </x:row>
    <x:row r="881">
      <x:c r="A881" s="25" t="n">
        <x:v>880</x:v>
      </x:c>
      <x:c r="B881" s="26" t="n">
        <x:v>44151.413564814815</x:v>
      </x:c>
      <x:c r="C881" s="27" t="n">
        <x:f>INT(B881)</x:f>
        <x:v>44151</x:v>
      </x:c>
      <x:c r="D881" s="28" t="n">
        <x:f>MOD(B881,1)</x:f>
        <x:v>0.41356481481489027</x:v>
      </x:c>
      <x:c r="E881" s="29" t="n">
        <x:f>YEAR(B881)</x:f>
        <x:v>2020</x:v>
      </x:c>
      <x:c r="F881" s="29" t="n">
        <x:f>MONTH(B881)</x:f>
        <x:v>11</x:v>
      </x:c>
      <x:c r="G881" s="30" t="n">
        <x:v>-31.5</x:v>
      </x:c>
      <x:c r="H881" s="30" t="n">
        <x:v>-71.76</x:v>
      </x:c>
      <x:c r="I881" s="29" t="n">
        <x:v>27</x:v>
      </x:c>
      <x:c r="J881" s="31" t="n">
        <x:v>3.8</x:v>
      </x:c>
      <x:c r="K881" s="25" t="str">
        <x:f>IF(J881&gt;=7,"Muy fuerte (&gt;=7)",IF(J881&gt;=6,"Fuerte (6-6.9)",IF(J881&gt;=5,"Moderado alto (5-5.9)",IF(J881&gt;=4,"Moderado (4-4.9)","Menor a 4"))))</x:f>
        <x:v>Menor a 4</x:v>
      </x:c>
      <x:c r="L881" s="25" t="str">
        <x:f>IF(I881&lt;70,"Superficial (&lt;70 km)",IF(I881&lt;=300,"Intermedio (70-300 km)","Profundo (&gt;300 km)"))</x:f>
        <x:v>Superficial (&lt;70 km)</x:v>
      </x:c>
      <x:c r="M881" s="25" t="str">
        <x:f>IF(J881&gt;=5,"Sí","No")</x:f>
        <x:v>No</x:v>
      </x:c>
      <x:c r="N881" s="25" t="str">
        <x:f>IF(J881&gt;=6,"Sí","No")</x:f>
        <x:v>No</x:v>
      </x:c>
      <x:c r="O881" s="25" t="str">
        <x:v>Pendiente: asignar con R/sf</x:v>
      </x:c>
    </x:row>
    <x:row r="882">
      <x:c r="A882" s="25" t="n">
        <x:v>881</x:v>
      </x:c>
      <x:c r="B882" s="26" t="n">
        <x:v>44102.65415509259</x:v>
      </x:c>
      <x:c r="C882" s="27" t="n">
        <x:f>INT(B882)</x:f>
        <x:v>44102</x:v>
      </x:c>
      <x:c r="D882" s="28" t="n">
        <x:f>MOD(B882,1)</x:f>
        <x:v>0.6541550925903721</x:v>
      </x:c>
      <x:c r="E882" s="29" t="n">
        <x:f>YEAR(B882)</x:f>
        <x:v>2020</x:v>
      </x:c>
      <x:c r="F882" s="29" t="n">
        <x:f>MONTH(B882)</x:f>
        <x:v>9</x:v>
      </x:c>
      <x:c r="G882" s="30" t="n">
        <x:v>-29.27</x:v>
      </x:c>
      <x:c r="H882" s="30" t="n">
        <x:v>-71.25</x:v>
      </x:c>
      <x:c r="I882" s="29" t="n">
        <x:v>51</x:v>
      </x:c>
      <x:c r="J882" s="31" t="n">
        <x:v>3.8</x:v>
      </x:c>
      <x:c r="K882" s="25" t="str">
        <x:f>IF(J882&gt;=7,"Muy fuerte (&gt;=7)",IF(J882&gt;=6,"Fuerte (6-6.9)",IF(J882&gt;=5,"Moderado alto (5-5.9)",IF(J882&gt;=4,"Moderado (4-4.9)","Menor a 4"))))</x:f>
        <x:v>Menor a 4</x:v>
      </x:c>
      <x:c r="L882" s="25" t="str">
        <x:f>IF(I882&lt;70,"Superficial (&lt;70 km)",IF(I882&lt;=300,"Intermedio (70-300 km)","Profundo (&gt;300 km)"))</x:f>
        <x:v>Superficial (&lt;70 km)</x:v>
      </x:c>
      <x:c r="M882" s="25" t="str">
        <x:f>IF(J882&gt;=5,"Sí","No")</x:f>
        <x:v>No</x:v>
      </x:c>
      <x:c r="N882" s="25" t="str">
        <x:f>IF(J882&gt;=6,"Sí","No")</x:f>
        <x:v>No</x:v>
      </x:c>
      <x:c r="O882" s="25" t="str">
        <x:v>Pendiente: asignar con R/sf</x:v>
      </x:c>
    </x:row>
    <x:row r="883">
      <x:c r="A883" s="25" t="n">
        <x:v>882</x:v>
      </x:c>
      <x:c r="B883" s="26" t="n">
        <x:v>44248.73637731482</x:v>
      </x:c>
      <x:c r="C883" s="27" t="n">
        <x:f>INT(B883)</x:f>
        <x:v>44248</x:v>
      </x:c>
      <x:c r="D883" s="28" t="n">
        <x:f>MOD(B883,1)</x:f>
        <x:v>0.7363773148172186</x:v>
      </x:c>
      <x:c r="E883" s="29" t="n">
        <x:f>YEAR(B883)</x:f>
        <x:v>2021</x:v>
      </x:c>
      <x:c r="F883" s="29" t="n">
        <x:f>MONTH(B883)</x:f>
        <x:v>2</x:v>
      </x:c>
      <x:c r="G883" s="30" t="n">
        <x:v>-31.5</x:v>
      </x:c>
      <x:c r="H883" s="30" t="n">
        <x:v>-71.76</x:v>
      </x:c>
      <x:c r="I883" s="29" t="n">
        <x:v>21</x:v>
      </x:c>
      <x:c r="J883" s="31" t="n">
        <x:v>4</x:v>
      </x:c>
      <x:c r="K883" s="25" t="str">
        <x:f>IF(J883&gt;=7,"Muy fuerte (&gt;=7)",IF(J883&gt;=6,"Fuerte (6-6.9)",IF(J883&gt;=5,"Moderado alto (5-5.9)",IF(J883&gt;=4,"Moderado (4-4.9)","Menor a 4"))))</x:f>
        <x:v>Moderado (4-4.9)</x:v>
      </x:c>
      <x:c r="L883" s="25" t="str">
        <x:f>IF(I883&lt;70,"Superficial (&lt;70 km)",IF(I883&lt;=300,"Intermedio (70-300 km)","Profundo (&gt;300 km)"))</x:f>
        <x:v>Superficial (&lt;70 km)</x:v>
      </x:c>
      <x:c r="M883" s="25" t="str">
        <x:f>IF(J883&gt;=5,"Sí","No")</x:f>
        <x:v>No</x:v>
      </x:c>
      <x:c r="N883" s="25" t="str">
        <x:f>IF(J883&gt;=6,"Sí","No")</x:f>
        <x:v>No</x:v>
      </x:c>
      <x:c r="O883" s="25" t="str">
        <x:v>Pendiente: asignar con R/sf</x:v>
      </x:c>
    </x:row>
    <x:row r="884">
      <x:c r="A884" s="25" t="n">
        <x:v>883</x:v>
      </x:c>
      <x:c r="B884" s="26" t="n">
        <x:v>44203.76329861111</x:v>
      </x:c>
      <x:c r="C884" s="27" t="n">
        <x:f>INT(B884)</x:f>
        <x:v>44203</x:v>
      </x:c>
      <x:c r="D884" s="28" t="n">
        <x:f>MOD(B884,1)</x:f>
        <x:v>0.7632986111129867</x:v>
      </x:c>
      <x:c r="E884" s="29" t="n">
        <x:f>YEAR(B884)</x:f>
        <x:v>2021</x:v>
      </x:c>
      <x:c r="F884" s="29" t="n">
        <x:f>MONTH(B884)</x:f>
        <x:v>1</x:v>
      </x:c>
      <x:c r="G884" s="30" t="n">
        <x:v>-29.8</x:v>
      </x:c>
      <x:c r="H884" s="30" t="n">
        <x:v>-71.63</x:v>
      </x:c>
      <x:c r="I884" s="29" t="n">
        <x:v>33</x:v>
      </x:c>
      <x:c r="J884" s="31" t="n">
        <x:v>4.4</x:v>
      </x:c>
      <x:c r="K884" s="25" t="str">
        <x:f>IF(J884&gt;=7,"Muy fuerte (&gt;=7)",IF(J884&gt;=6,"Fuerte (6-6.9)",IF(J884&gt;=5,"Moderado alto (5-5.9)",IF(J884&gt;=4,"Moderado (4-4.9)","Menor a 4"))))</x:f>
        <x:v>Moderado (4-4.9)</x:v>
      </x:c>
      <x:c r="L884" s="25" t="str">
        <x:f>IF(I884&lt;70,"Superficial (&lt;70 km)",IF(I884&lt;=300,"Intermedio (70-300 km)","Profundo (&gt;300 km)"))</x:f>
        <x:v>Superficial (&lt;70 km)</x:v>
      </x:c>
      <x:c r="M884" s="25" t="str">
        <x:f>IF(J884&gt;=5,"Sí","No")</x:f>
        <x:v>No</x:v>
      </x:c>
      <x:c r="N884" s="25" t="str">
        <x:f>IF(J884&gt;=6,"Sí","No")</x:f>
        <x:v>No</x:v>
      </x:c>
      <x:c r="O884" s="25" t="str">
        <x:v>Pendiente: asignar con R/sf</x:v>
      </x:c>
    </x:row>
    <x:row r="885">
      <x:c r="A885" s="25" t="n">
        <x:v>884</x:v>
      </x:c>
      <x:c r="B885" s="26" t="n">
        <x:v>44316.83792824074</x:v>
      </x:c>
      <x:c r="C885" s="27" t="n">
        <x:f>INT(B885)</x:f>
        <x:v>44316</x:v>
      </x:c>
      <x:c r="D885" s="28" t="n">
        <x:f>MOD(B885,1)</x:f>
        <x:v>0.8379282407404389</x:v>
      </x:c>
      <x:c r="E885" s="29" t="n">
        <x:f>YEAR(B885)</x:f>
        <x:v>2021</x:v>
      </x:c>
      <x:c r="F885" s="29" t="n">
        <x:f>MONTH(B885)</x:f>
        <x:v>4</x:v>
      </x:c>
      <x:c r="G885" s="30" t="n">
        <x:v>-29.06</x:v>
      </x:c>
      <x:c r="H885" s="30" t="n">
        <x:v>-71.59</x:v>
      </x:c>
      <x:c r="I885" s="29" t="n">
        <x:v>47</x:v>
      </x:c>
      <x:c r="J885" s="31" t="n">
        <x:v>4.6</x:v>
      </x:c>
      <x:c r="K885" s="25" t="str">
        <x:f>IF(J885&gt;=7,"Muy fuerte (&gt;=7)",IF(J885&gt;=6,"Fuerte (6-6.9)",IF(J885&gt;=5,"Moderado alto (5-5.9)",IF(J885&gt;=4,"Moderado (4-4.9)","Menor a 4"))))</x:f>
        <x:v>Moderado (4-4.9)</x:v>
      </x:c>
      <x:c r="L885" s="25" t="str">
        <x:f>IF(I885&lt;70,"Superficial (&lt;70 km)",IF(I885&lt;=300,"Intermedio (70-300 km)","Profundo (&gt;300 km)"))</x:f>
        <x:v>Superficial (&lt;70 km)</x:v>
      </x:c>
      <x:c r="M885" s="25" t="str">
        <x:f>IF(J885&gt;=5,"Sí","No")</x:f>
        <x:v>No</x:v>
      </x:c>
      <x:c r="N885" s="25" t="str">
        <x:f>IF(J885&gt;=6,"Sí","No")</x:f>
        <x:v>No</x:v>
      </x:c>
      <x:c r="O885" s="25" t="str">
        <x:v>Pendiente: asignar con R/sf</x:v>
      </x:c>
    </x:row>
    <x:row r="886">
      <x:c r="A886" s="25" t="n">
        <x:v>885</x:v>
      </x:c>
      <x:c r="B886" s="26" t="n">
        <x:v>44161.11887731482</x:v>
      </x:c>
      <x:c r="C886" s="27" t="n">
        <x:f>INT(B886)</x:f>
        <x:v>44161</x:v>
      </x:c>
      <x:c r="D886" s="28" t="n">
        <x:f>MOD(B886,1)</x:f>
        <x:v>0.11887731481692754</x:v>
      </x:c>
      <x:c r="E886" s="29" t="n">
        <x:f>YEAR(B886)</x:f>
        <x:v>2020</x:v>
      </x:c>
      <x:c r="F886" s="29" t="n">
        <x:f>MONTH(B886)</x:f>
        <x:v>11</x:v>
      </x:c>
      <x:c r="G886" s="30" t="n">
        <x:v>-31.76</x:v>
      </x:c>
      <x:c r="H886" s="30" t="n">
        <x:v>-71.19</x:v>
      </x:c>
      <x:c r="I886" s="29" t="n">
        <x:v>49</x:v>
      </x:c>
      <x:c r="J886" s="31" t="n">
        <x:v>4.4</x:v>
      </x:c>
      <x:c r="K886" s="25" t="str">
        <x:f>IF(J886&gt;=7,"Muy fuerte (&gt;=7)",IF(J886&gt;=6,"Fuerte (6-6.9)",IF(J886&gt;=5,"Moderado alto (5-5.9)",IF(J886&gt;=4,"Moderado (4-4.9)","Menor a 4"))))</x:f>
        <x:v>Moderado (4-4.9)</x:v>
      </x:c>
      <x:c r="L886" s="25" t="str">
        <x:f>IF(I886&lt;70,"Superficial (&lt;70 km)",IF(I886&lt;=300,"Intermedio (70-300 km)","Profundo (&gt;300 km)"))</x:f>
        <x:v>Superficial (&lt;70 km)</x:v>
      </x:c>
      <x:c r="M886" s="25" t="str">
        <x:f>IF(J886&gt;=5,"Sí","No")</x:f>
        <x:v>No</x:v>
      </x:c>
      <x:c r="N886" s="25" t="str">
        <x:f>IF(J886&gt;=6,"Sí","No")</x:f>
        <x:v>No</x:v>
      </x:c>
      <x:c r="O886" s="25" t="str">
        <x:v>Pendiente: asignar con R/sf</x:v>
      </x:c>
    </x:row>
    <x:row r="887">
      <x:c r="A887" s="25" t="n">
        <x:v>886</x:v>
      </x:c>
      <x:c r="B887" s="26" t="n">
        <x:v>44023.25871527778</x:v>
      </x:c>
      <x:c r="C887" s="27" t="n">
        <x:f>INT(B887)</x:f>
        <x:v>44023</x:v>
      </x:c>
      <x:c r="D887" s="28" t="n">
        <x:f>MOD(B887,1)</x:f>
        <x:v>0.2587152777778101</x:v>
      </x:c>
      <x:c r="E887" s="29" t="n">
        <x:f>YEAR(B887)</x:f>
        <x:v>2020</x:v>
      </x:c>
      <x:c r="F887" s="29" t="n">
        <x:f>MONTH(B887)</x:f>
        <x:v>7</x:v>
      </x:c>
      <x:c r="G887" s="30" t="n">
        <x:v>-31.7</x:v>
      </x:c>
      <x:c r="H887" s="30" t="n">
        <x:v>-71.68</x:v>
      </x:c>
      <x:c r="I887" s="29" t="n">
        <x:v>32</x:v>
      </x:c>
      <x:c r="J887" s="31" t="n">
        <x:v>4.1</x:v>
      </x:c>
      <x:c r="K887" s="25" t="str">
        <x:f>IF(J887&gt;=7,"Muy fuerte (&gt;=7)",IF(J887&gt;=6,"Fuerte (6-6.9)",IF(J887&gt;=5,"Moderado alto (5-5.9)",IF(J887&gt;=4,"Moderado (4-4.9)","Menor a 4"))))</x:f>
        <x:v>Moderado (4-4.9)</x:v>
      </x:c>
      <x:c r="L887" s="25" t="str">
        <x:f>IF(I887&lt;70,"Superficial (&lt;70 km)",IF(I887&lt;=300,"Intermedio (70-300 km)","Profundo (&gt;300 km)"))</x:f>
        <x:v>Superficial (&lt;70 km)</x:v>
      </x:c>
      <x:c r="M887" s="25" t="str">
        <x:f>IF(J887&gt;=5,"Sí","No")</x:f>
        <x:v>No</x:v>
      </x:c>
      <x:c r="N887" s="25" t="str">
        <x:f>IF(J887&gt;=6,"Sí","No")</x:f>
        <x:v>No</x:v>
      </x:c>
      <x:c r="O887" s="25" t="str">
        <x:v>Pendiente: asignar con R/sf</x:v>
      </x:c>
    </x:row>
    <x:row r="888">
      <x:c r="A888" s="25" t="n">
        <x:v>887</x:v>
      </x:c>
      <x:c r="B888" s="26" t="n">
        <x:v>44082.39945601852</x:v>
      </x:c>
      <x:c r="C888" s="27" t="n">
        <x:f>INT(B888)</x:f>
        <x:v>44082</x:v>
      </x:c>
      <x:c r="D888" s="28" t="n">
        <x:f>MOD(B888,1)</x:f>
        <x:v>0.3994560185165028</x:v>
      </x:c>
      <x:c r="E888" s="29" t="n">
        <x:f>YEAR(B888)</x:f>
        <x:v>2020</x:v>
      </x:c>
      <x:c r="F888" s="29" t="n">
        <x:f>MONTH(B888)</x:f>
        <x:v>9</x:v>
      </x:c>
      <x:c r="G888" s="30" t="n">
        <x:v>-29.46</x:v>
      </x:c>
      <x:c r="H888" s="30" t="n">
        <x:v>-71.84</x:v>
      </x:c>
      <x:c r="I888" s="29" t="n">
        <x:v>28</x:v>
      </x:c>
      <x:c r="J888" s="31" t="n">
        <x:v>4.1</x:v>
      </x:c>
      <x:c r="K888" s="25" t="str">
        <x:f>IF(J888&gt;=7,"Muy fuerte (&gt;=7)",IF(J888&gt;=6,"Fuerte (6-6.9)",IF(J888&gt;=5,"Moderado alto (5-5.9)",IF(J888&gt;=4,"Moderado (4-4.9)","Menor a 4"))))</x:f>
        <x:v>Moderado (4-4.9)</x:v>
      </x:c>
      <x:c r="L888" s="25" t="str">
        <x:f>IF(I888&lt;70,"Superficial (&lt;70 km)",IF(I888&lt;=300,"Intermedio (70-300 km)","Profundo (&gt;300 km)"))</x:f>
        <x:v>Superficial (&lt;70 km)</x:v>
      </x:c>
      <x:c r="M888" s="25" t="str">
        <x:f>IF(J888&gt;=5,"Sí","No")</x:f>
        <x:v>No</x:v>
      </x:c>
      <x:c r="N888" s="25" t="str">
        <x:f>IF(J888&gt;=6,"Sí","No")</x:f>
        <x:v>No</x:v>
      </x:c>
      <x:c r="O888" s="25" t="str">
        <x:v>Pendiente: asignar con R/sf</x:v>
      </x:c>
    </x:row>
    <x:row r="889">
      <x:c r="A889" s="25" t="n">
        <x:v>888</x:v>
      </x:c>
      <x:c r="B889" s="26" t="n">
        <x:v>44111.232199074075</x:v>
      </x:c>
      <x:c r="C889" s="27" t="n">
        <x:f>INT(B889)</x:f>
        <x:v>44111</x:v>
      </x:c>
      <x:c r="D889" s="28" t="n">
        <x:f>MOD(B889,1)</x:f>
        <x:v>0.23219907407474238</x:v>
      </x:c>
      <x:c r="E889" s="29" t="n">
        <x:f>YEAR(B889)</x:f>
        <x:v>2020</x:v>
      </x:c>
      <x:c r="F889" s="29" t="n">
        <x:f>MONTH(B889)</x:f>
        <x:v>10</x:v>
      </x:c>
      <x:c r="G889" s="30" t="n">
        <x:v>-29</x:v>
      </x:c>
      <x:c r="H889" s="30" t="n">
        <x:v>-71.14</x:v>
      </x:c>
      <x:c r="I889" s="29" t="n">
        <x:v>54</x:v>
      </x:c>
      <x:c r="J889" s="31" t="n">
        <x:v>4.8</x:v>
      </x:c>
      <x:c r="K889" s="25" t="str">
        <x:f>IF(J889&gt;=7,"Muy fuerte (&gt;=7)",IF(J889&gt;=6,"Fuerte (6-6.9)",IF(J889&gt;=5,"Moderado alto (5-5.9)",IF(J889&gt;=4,"Moderado (4-4.9)","Menor a 4"))))</x:f>
        <x:v>Moderado (4-4.9)</x:v>
      </x:c>
      <x:c r="L889" s="25" t="str">
        <x:f>IF(I889&lt;70,"Superficial (&lt;70 km)",IF(I889&lt;=300,"Intermedio (70-300 km)","Profundo (&gt;300 km)"))</x:f>
        <x:v>Superficial (&lt;70 km)</x:v>
      </x:c>
      <x:c r="M889" s="25" t="str">
        <x:f>IF(J889&gt;=5,"Sí","No")</x:f>
        <x:v>No</x:v>
      </x:c>
      <x:c r="N889" s="25" t="str">
        <x:f>IF(J889&gt;=6,"Sí","No")</x:f>
        <x:v>No</x:v>
      </x:c>
      <x:c r="O889" s="25" t="str">
        <x:v>Pendiente: asignar con R/sf</x:v>
      </x:c>
    </x:row>
    <x:row r="890">
      <x:c r="A890" s="25" t="n">
        <x:v>889</x:v>
      </x:c>
      <x:c r="B890" s="26" t="n">
        <x:v>44335.841319444444</x:v>
      </x:c>
      <x:c r="C890" s="27" t="n">
        <x:f>INT(B890)</x:f>
        <x:v>44335</x:v>
      </x:c>
      <x:c r="D890" s="28" t="n">
        <x:f>MOD(B890,1)</x:f>
        <x:v>0.8413194444437977</x:v>
      </x:c>
      <x:c r="E890" s="29" t="n">
        <x:f>YEAR(B890)</x:f>
        <x:v>2021</x:v>
      </x:c>
      <x:c r="F890" s="29" t="n">
        <x:f>MONTH(B890)</x:f>
        <x:v>5</x:v>
      </x:c>
      <x:c r="G890" s="30" t="n">
        <x:v>-27.46</x:v>
      </x:c>
      <x:c r="H890" s="30" t="n">
        <x:v>-69.45</x:v>
      </x:c>
      <x:c r="I890" s="29" t="n">
        <x:v>109</x:v>
      </x:c>
      <x:c r="J890" s="31" t="n">
        <x:v>4.3</x:v>
      </x:c>
      <x:c r="K890" s="25" t="str">
        <x:f>IF(J890&gt;=7,"Muy fuerte (&gt;=7)",IF(J890&gt;=6,"Fuerte (6-6.9)",IF(J890&gt;=5,"Moderado alto (5-5.9)",IF(J890&gt;=4,"Moderado (4-4.9)","Menor a 4"))))</x:f>
        <x:v>Moderado (4-4.9)</x:v>
      </x:c>
      <x:c r="L890" s="25" t="str">
        <x:f>IF(I890&lt;70,"Superficial (&lt;70 km)",IF(I890&lt;=300,"Intermedio (70-300 km)","Profundo (&gt;300 km)"))</x:f>
        <x:v>Intermedio (70-300 km)</x:v>
      </x:c>
      <x:c r="M890" s="25" t="str">
        <x:f>IF(J890&gt;=5,"Sí","No")</x:f>
        <x:v>No</x:v>
      </x:c>
      <x:c r="N890" s="25" t="str">
        <x:f>IF(J890&gt;=6,"Sí","No")</x:f>
        <x:v>No</x:v>
      </x:c>
      <x:c r="O890" s="25" t="str">
        <x:v>Pendiente: asignar con R/sf</x:v>
      </x:c>
    </x:row>
    <x:row r="891">
      <x:c r="A891" s="25" t="n">
        <x:v>890</x:v>
      </x:c>
      <x:c r="B891" s="26" t="n">
        <x:v>44227.962534722225</x:v>
      </x:c>
      <x:c r="C891" s="27" t="n">
        <x:f>INT(B891)</x:f>
        <x:v>44227</x:v>
      </x:c>
      <x:c r="D891" s="28" t="n">
        <x:f>MOD(B891,1)</x:f>
        <x:v>0.9625347222245182</x:v>
      </x:c>
      <x:c r="E891" s="29" t="n">
        <x:f>YEAR(B891)</x:f>
        <x:v>2021</x:v>
      </x:c>
      <x:c r="F891" s="29" t="n">
        <x:f>MONTH(B891)</x:f>
        <x:v>1</x:v>
      </x:c>
      <x:c r="G891" s="30" t="n">
        <x:v>-31.52</x:v>
      </x:c>
      <x:c r="H891" s="30" t="n">
        <x:v>-71.76</x:v>
      </x:c>
      <x:c r="I891" s="29" t="n">
        <x:v>34</x:v>
      </x:c>
      <x:c r="J891" s="31" t="n">
        <x:v>3.1</x:v>
      </x:c>
      <x:c r="K891" s="25" t="str">
        <x:f>IF(J891&gt;=7,"Muy fuerte (&gt;=7)",IF(J891&gt;=6,"Fuerte (6-6.9)",IF(J891&gt;=5,"Moderado alto (5-5.9)",IF(J891&gt;=4,"Moderado (4-4.9)","Menor a 4"))))</x:f>
        <x:v>Menor a 4</x:v>
      </x:c>
      <x:c r="L891" s="25" t="str">
        <x:f>IF(I891&lt;70,"Superficial (&lt;70 km)",IF(I891&lt;=300,"Intermedio (70-300 km)","Profundo (&gt;300 km)"))</x:f>
        <x:v>Superficial (&lt;70 km)</x:v>
      </x:c>
      <x:c r="M891" s="25" t="str">
        <x:f>IF(J891&gt;=5,"Sí","No")</x:f>
        <x:v>No</x:v>
      </x:c>
      <x:c r="N891" s="25" t="str">
        <x:f>IF(J891&gt;=6,"Sí","No")</x:f>
        <x:v>No</x:v>
      </x:c>
      <x:c r="O891" s="25" t="str">
        <x:v>Pendiente: asignar con R/sf</x:v>
      </x:c>
    </x:row>
    <x:row r="892">
      <x:c r="A892" s="25" t="n">
        <x:v>891</x:v>
      </x:c>
      <x:c r="B892" s="26" t="n">
        <x:v>44226.55291666667</x:v>
      </x:c>
      <x:c r="C892" s="27" t="n">
        <x:f>INT(B892)</x:f>
        <x:v>44226</x:v>
      </x:c>
      <x:c r="D892" s="28" t="n">
        <x:f>MOD(B892,1)</x:f>
        <x:v>0.5529166666674428</x:v>
      </x:c>
      <x:c r="E892" s="29" t="n">
        <x:f>YEAR(B892)</x:f>
        <x:v>2021</x:v>
      </x:c>
      <x:c r="F892" s="29" t="n">
        <x:f>MONTH(B892)</x:f>
        <x:v>1</x:v>
      </x:c>
      <x:c r="G892" s="30" t="n">
        <x:v>-29.44</x:v>
      </x:c>
      <x:c r="H892" s="30" t="n">
        <x:v>-71</x:v>
      </x:c>
      <x:c r="I892" s="29" t="n">
        <x:v>49</x:v>
      </x:c>
      <x:c r="J892" s="31" t="n">
        <x:v>4.4</x:v>
      </x:c>
      <x:c r="K892" s="25" t="str">
        <x:f>IF(J892&gt;=7,"Muy fuerte (&gt;=7)",IF(J892&gt;=6,"Fuerte (6-6.9)",IF(J892&gt;=5,"Moderado alto (5-5.9)",IF(J892&gt;=4,"Moderado (4-4.9)","Menor a 4"))))</x:f>
        <x:v>Moderado (4-4.9)</x:v>
      </x:c>
      <x:c r="L892" s="25" t="str">
        <x:f>IF(I892&lt;70,"Superficial (&lt;70 km)",IF(I892&lt;=300,"Intermedio (70-300 km)","Profundo (&gt;300 km)"))</x:f>
        <x:v>Superficial (&lt;70 km)</x:v>
      </x:c>
      <x:c r="M892" s="25" t="str">
        <x:f>IF(J892&gt;=5,"Sí","No")</x:f>
        <x:v>No</x:v>
      </x:c>
      <x:c r="N892" s="25" t="str">
        <x:f>IF(J892&gt;=6,"Sí","No")</x:f>
        <x:v>No</x:v>
      </x:c>
      <x:c r="O892" s="25" t="str">
        <x:v>Pendiente: asignar con R/sf</x:v>
      </x:c>
    </x:row>
    <x:row r="893">
      <x:c r="A893" s="25" t="n">
        <x:v>892</x:v>
      </x:c>
      <x:c r="B893" s="26" t="n">
        <x:v>44339.5577662037</x:v>
      </x:c>
      <x:c r="C893" s="27" t="n">
        <x:f>INT(B893)</x:f>
        <x:v>44339</x:v>
      </x:c>
      <x:c r="D893" s="28" t="n">
        <x:f>MOD(B893,1)</x:f>
        <x:v>0.5577662037030677</x:v>
      </x:c>
      <x:c r="E893" s="29" t="n">
        <x:f>YEAR(B893)</x:f>
        <x:v>2021</x:v>
      </x:c>
      <x:c r="F893" s="29" t="n">
        <x:f>MONTH(B893)</x:f>
        <x:v>5</x:v>
      </x:c>
      <x:c r="G893" s="30" t="n">
        <x:v>-28.7</x:v>
      </x:c>
      <x:c r="H893" s="30" t="n">
        <x:v>-70.38</x:v>
      </x:c>
      <x:c r="I893" s="29" t="n">
        <x:v>92</x:v>
      </x:c>
      <x:c r="J893" s="31" t="n">
        <x:v>4.1</x:v>
      </x:c>
      <x:c r="K893" s="25" t="str">
        <x:f>IF(J893&gt;=7,"Muy fuerte (&gt;=7)",IF(J893&gt;=6,"Fuerte (6-6.9)",IF(J893&gt;=5,"Moderado alto (5-5.9)",IF(J893&gt;=4,"Moderado (4-4.9)","Menor a 4"))))</x:f>
        <x:v>Moderado (4-4.9)</x:v>
      </x:c>
      <x:c r="L893" s="25" t="str">
        <x:f>IF(I893&lt;70,"Superficial (&lt;70 km)",IF(I893&lt;=300,"Intermedio (70-300 km)","Profundo (&gt;300 km)"))</x:f>
        <x:v>Intermedio (70-300 km)</x:v>
      </x:c>
      <x:c r="M893" s="25" t="str">
        <x:f>IF(J893&gt;=5,"Sí","No")</x:f>
        <x:v>No</x:v>
      </x:c>
      <x:c r="N893" s="25" t="str">
        <x:f>IF(J893&gt;=6,"Sí","No")</x:f>
        <x:v>No</x:v>
      </x:c>
      <x:c r="O893" s="25" t="str">
        <x:v>Pendiente: asignar con R/sf</x:v>
      </x:c>
    </x:row>
    <x:row r="894">
      <x:c r="A894" s="25" t="n">
        <x:v>893</x:v>
      </x:c>
      <x:c r="B894" s="26" t="n">
        <x:v>44250.26306712963</x:v>
      </x:c>
      <x:c r="C894" s="27" t="n">
        <x:f>INT(B894)</x:f>
        <x:v>44250</x:v>
      </x:c>
      <x:c r="D894" s="28" t="n">
        <x:f>MOD(B894,1)</x:f>
        <x:v>0.26306712962832535</x:v>
      </x:c>
      <x:c r="E894" s="29" t="n">
        <x:f>YEAR(B894)</x:f>
        <x:v>2021</x:v>
      </x:c>
      <x:c r="F894" s="29" t="n">
        <x:f>MONTH(B894)</x:f>
        <x:v>2</x:v>
      </x:c>
      <x:c r="G894" s="30" t="n">
        <x:v>-31.75</x:v>
      </x:c>
      <x:c r="H894" s="30" t="n">
        <x:v>-71.52</x:v>
      </x:c>
      <x:c r="I894" s="29" t="n">
        <x:v>43</x:v>
      </x:c>
      <x:c r="J894" s="31" t="n">
        <x:v>4.6</x:v>
      </x:c>
      <x:c r="K894" s="25" t="str">
        <x:f>IF(J894&gt;=7,"Muy fuerte (&gt;=7)",IF(J894&gt;=6,"Fuerte (6-6.9)",IF(J894&gt;=5,"Moderado alto (5-5.9)",IF(J894&gt;=4,"Moderado (4-4.9)","Menor a 4"))))</x:f>
        <x:v>Moderado (4-4.9)</x:v>
      </x:c>
      <x:c r="L894" s="25" t="str">
        <x:f>IF(I894&lt;70,"Superficial (&lt;70 km)",IF(I894&lt;=300,"Intermedio (70-300 km)","Profundo (&gt;300 km)"))</x:f>
        <x:v>Superficial (&lt;70 km)</x:v>
      </x:c>
      <x:c r="M894" s="25" t="str">
        <x:f>IF(J894&gt;=5,"Sí","No")</x:f>
        <x:v>No</x:v>
      </x:c>
      <x:c r="N894" s="25" t="str">
        <x:f>IF(J894&gt;=6,"Sí","No")</x:f>
        <x:v>No</x:v>
      </x:c>
      <x:c r="O894" s="25" t="str">
        <x:v>Pendiente: asignar con R/sf</x:v>
      </x:c>
    </x:row>
    <x:row r="895">
      <x:c r="A895" s="25" t="n">
        <x:v>894</x:v>
      </x:c>
      <x:c r="B895" s="26" t="n">
        <x:v>44381.06197916667</x:v>
      </x:c>
      <x:c r="C895" s="27" t="n">
        <x:f>INT(B895)</x:f>
        <x:v>44381</x:v>
      </x:c>
      <x:c r="D895" s="28" t="n">
        <x:f>MOD(B895,1)</x:f>
        <x:v>0.06197916666860692</x:v>
      </x:c>
      <x:c r="E895" s="29" t="n">
        <x:f>YEAR(B895)</x:f>
        <x:v>2021</x:v>
      </x:c>
      <x:c r="F895" s="29" t="n">
        <x:f>MONTH(B895)</x:f>
        <x:v>7</x:v>
      </x:c>
      <x:c r="G895" s="30" t="n">
        <x:v>-28.77</x:v>
      </x:c>
      <x:c r="H895" s="30" t="n">
        <x:v>-71.59</x:v>
      </x:c>
      <x:c r="I895" s="29" t="n">
        <x:v>34</x:v>
      </x:c>
      <x:c r="J895" s="31" t="n">
        <x:v>5.8</x:v>
      </x:c>
      <x:c r="K895" s="25" t="str">
        <x:f>IF(J895&gt;=7,"Muy fuerte (&gt;=7)",IF(J895&gt;=6,"Fuerte (6-6.9)",IF(J895&gt;=5,"Moderado alto (5-5.9)",IF(J895&gt;=4,"Moderado (4-4.9)","Menor a 4"))))</x:f>
        <x:v>Moderado alto (5-5.9)</x:v>
      </x:c>
      <x:c r="L895" s="25" t="str">
        <x:f>IF(I895&lt;70,"Superficial (&lt;70 km)",IF(I895&lt;=300,"Intermedio (70-300 km)","Profundo (&gt;300 km)"))</x:f>
        <x:v>Superficial (&lt;70 km)</x:v>
      </x:c>
      <x:c r="M895" s="25" t="str">
        <x:f>IF(J895&gt;=5,"Sí","No")</x:f>
        <x:v>Sí</x:v>
      </x:c>
      <x:c r="N895" s="25" t="str">
        <x:f>IF(J895&gt;=6,"Sí","No")</x:f>
        <x:v>No</x:v>
      </x:c>
      <x:c r="O895" s="25" t="str">
        <x:v>Pendiente: asignar con R/sf</x:v>
      </x:c>
    </x:row>
    <x:row r="896">
      <x:c r="A896" s="25" t="n">
        <x:v>895</x:v>
      </x:c>
      <x:c r="B896" s="26" t="n">
        <x:v>44182.65592592592</x:v>
      </x:c>
      <x:c r="C896" s="27" t="n">
        <x:f>INT(B896)</x:f>
        <x:v>44182</x:v>
      </x:c>
      <x:c r="D896" s="28" t="n">
        <x:f>MOD(B896,1)</x:f>
        <x:v>0.6559259259229293</x:v>
      </x:c>
      <x:c r="E896" s="29" t="n">
        <x:f>YEAR(B896)</x:f>
        <x:v>2020</x:v>
      </x:c>
      <x:c r="F896" s="29" t="n">
        <x:f>MONTH(B896)</x:f>
        <x:v>12</x:v>
      </x:c>
      <x:c r="G896" s="30" t="n">
        <x:v>-28.4</x:v>
      </x:c>
      <x:c r="H896" s="30" t="n">
        <x:v>-71.33</x:v>
      </x:c>
      <x:c r="I896" s="29" t="n">
        <x:v>30</x:v>
      </x:c>
      <x:c r="J896" s="31" t="n">
        <x:v>3.8</x:v>
      </x:c>
      <x:c r="K896" s="25" t="str">
        <x:f>IF(J896&gt;=7,"Muy fuerte (&gt;=7)",IF(J896&gt;=6,"Fuerte (6-6.9)",IF(J896&gt;=5,"Moderado alto (5-5.9)",IF(J896&gt;=4,"Moderado (4-4.9)","Menor a 4"))))</x:f>
        <x:v>Menor a 4</x:v>
      </x:c>
      <x:c r="L896" s="25" t="str">
        <x:f>IF(I896&lt;70,"Superficial (&lt;70 km)",IF(I896&lt;=300,"Intermedio (70-300 km)","Profundo (&gt;300 km)"))</x:f>
        <x:v>Superficial (&lt;70 km)</x:v>
      </x:c>
      <x:c r="M896" s="25" t="str">
        <x:f>IF(J896&gt;=5,"Sí","No")</x:f>
        <x:v>No</x:v>
      </x:c>
      <x:c r="N896" s="25" t="str">
        <x:f>IF(J896&gt;=6,"Sí","No")</x:f>
        <x:v>No</x:v>
      </x:c>
      <x:c r="O896" s="25" t="str">
        <x:v>Pendiente: asignar con R/sf</x:v>
      </x:c>
    </x:row>
    <x:row r="897">
      <x:c r="A897" s="25" t="n">
        <x:v>896</x:v>
      </x:c>
      <x:c r="B897" s="26" t="n">
        <x:v>44239.405185185184</x:v>
      </x:c>
      <x:c r="C897" s="27" t="n">
        <x:f>INT(B897)</x:f>
        <x:v>44239</x:v>
      </x:c>
      <x:c r="D897" s="28" t="n">
        <x:f>MOD(B897,1)</x:f>
        <x:v>0.40518518518365454</x:v>
      </x:c>
      <x:c r="E897" s="29" t="n">
        <x:f>YEAR(B897)</x:f>
        <x:v>2021</x:v>
      </x:c>
      <x:c r="F897" s="29" t="n">
        <x:f>MONTH(B897)</x:f>
        <x:v>2</x:v>
      </x:c>
      <x:c r="G897" s="30" t="n">
        <x:v>-33.54</x:v>
      </x:c>
      <x:c r="H897" s="30" t="n">
        <x:v>-71.53</x:v>
      </x:c>
      <x:c r="I897" s="29" t="n">
        <x:v>49</x:v>
      </x:c>
      <x:c r="J897" s="31" t="n">
        <x:v>4.2</x:v>
      </x:c>
      <x:c r="K897" s="25" t="str">
        <x:f>IF(J897&gt;=7,"Muy fuerte (&gt;=7)",IF(J897&gt;=6,"Fuerte (6-6.9)",IF(J897&gt;=5,"Moderado alto (5-5.9)",IF(J897&gt;=4,"Moderado (4-4.9)","Menor a 4"))))</x:f>
        <x:v>Moderado (4-4.9)</x:v>
      </x:c>
      <x:c r="L897" s="25" t="str">
        <x:f>IF(I897&lt;70,"Superficial (&lt;70 km)",IF(I897&lt;=300,"Intermedio (70-300 km)","Profundo (&gt;300 km)"))</x:f>
        <x:v>Superficial (&lt;70 km)</x:v>
      </x:c>
      <x:c r="M897" s="25" t="str">
        <x:f>IF(J897&gt;=5,"Sí","No")</x:f>
        <x:v>No</x:v>
      </x:c>
      <x:c r="N897" s="25" t="str">
        <x:f>IF(J897&gt;=6,"Sí","No")</x:f>
        <x:v>No</x:v>
      </x:c>
      <x:c r="O897" s="25" t="str">
        <x:v>Pendiente: asignar con R/sf</x:v>
      </x:c>
    </x:row>
    <x:row r="898">
      <x:c r="A898" s="25" t="n">
        <x:v>897</x:v>
      </x:c>
      <x:c r="B898" s="26" t="n">
        <x:v>44386.212164351855</x:v>
      </x:c>
      <x:c r="C898" s="27" t="n">
        <x:f>INT(B898)</x:f>
        <x:v>44386</x:v>
      </x:c>
      <x:c r="D898" s="28" t="n">
        <x:f>MOD(B898,1)</x:f>
        <x:v>0.2121643518548808</x:v>
      </x:c>
      <x:c r="E898" s="29" t="n">
        <x:f>YEAR(B898)</x:f>
        <x:v>2021</x:v>
      </x:c>
      <x:c r="F898" s="29" t="n">
        <x:f>MONTH(B898)</x:f>
        <x:v>7</x:v>
      </x:c>
      <x:c r="G898" s="30" t="n">
        <x:v>-20.34</x:v>
      </x:c>
      <x:c r="H898" s="30" t="n">
        <x:v>-68.73</x:v>
      </x:c>
      <x:c r="I898" s="29" t="n">
        <x:v>114</x:v>
      </x:c>
      <x:c r="J898" s="31" t="n">
        <x:v>5</x:v>
      </x:c>
      <x:c r="K898" s="25" t="str">
        <x:f>IF(J898&gt;=7,"Muy fuerte (&gt;=7)",IF(J898&gt;=6,"Fuerte (6-6.9)",IF(J898&gt;=5,"Moderado alto (5-5.9)",IF(J898&gt;=4,"Moderado (4-4.9)","Menor a 4"))))</x:f>
        <x:v>Moderado alto (5-5.9)</x:v>
      </x:c>
      <x:c r="L898" s="25" t="str">
        <x:f>IF(I898&lt;70,"Superficial (&lt;70 km)",IF(I898&lt;=300,"Intermedio (70-300 km)","Profundo (&gt;300 km)"))</x:f>
        <x:v>Intermedio (70-300 km)</x:v>
      </x:c>
      <x:c r="M898" s="25" t="str">
        <x:f>IF(J898&gt;=5,"Sí","No")</x:f>
        <x:v>Sí</x:v>
      </x:c>
      <x:c r="N898" s="25" t="str">
        <x:f>IF(J898&gt;=6,"Sí","No")</x:f>
        <x:v>No</x:v>
      </x:c>
      <x:c r="O898" s="25" t="str">
        <x:v>Pendiente: asignar con R/sf</x:v>
      </x:c>
    </x:row>
    <x:row r="899">
      <x:c r="A899" s="25" t="n">
        <x:v>898</x:v>
      </x:c>
      <x:c r="B899" s="26" t="n">
        <x:v>44307.91322916667</x:v>
      </x:c>
      <x:c r="C899" s="27" t="n">
        <x:f>INT(B899)</x:f>
        <x:v>44307</x:v>
      </x:c>
      <x:c r="D899" s="28" t="n">
        <x:f>MOD(B899,1)</x:f>
        <x:v>0.9132291666683159</x:v>
      </x:c>
      <x:c r="E899" s="29" t="n">
        <x:f>YEAR(B899)</x:f>
        <x:v>2021</x:v>
      </x:c>
      <x:c r="F899" s="29" t="n">
        <x:f>MONTH(B899)</x:f>
        <x:v>4</x:v>
      </x:c>
      <x:c r="G899" s="30" t="n">
        <x:v>-33.24</x:v>
      </x:c>
      <x:c r="H899" s="30" t="n">
        <x:v>-70.56</x:v>
      </x:c>
      <x:c r="I899" s="29" t="n">
        <x:v>59</x:v>
      </x:c>
      <x:c r="J899" s="31" t="n">
        <x:v>3.9</x:v>
      </x:c>
      <x:c r="K899" s="25" t="str">
        <x:f>IF(J899&gt;=7,"Muy fuerte (&gt;=7)",IF(J899&gt;=6,"Fuerte (6-6.9)",IF(J899&gt;=5,"Moderado alto (5-5.9)",IF(J899&gt;=4,"Moderado (4-4.9)","Menor a 4"))))</x:f>
        <x:v>Menor a 4</x:v>
      </x:c>
      <x:c r="L899" s="25" t="str">
        <x:f>IF(I899&lt;70,"Superficial (&lt;70 km)",IF(I899&lt;=300,"Intermedio (70-300 km)","Profundo (&gt;300 km)"))</x:f>
        <x:v>Superficial (&lt;70 km)</x:v>
      </x:c>
      <x:c r="M899" s="25" t="str">
        <x:f>IF(J899&gt;=5,"Sí","No")</x:f>
        <x:v>No</x:v>
      </x:c>
      <x:c r="N899" s="25" t="str">
        <x:f>IF(J899&gt;=6,"Sí","No")</x:f>
        <x:v>No</x:v>
      </x:c>
      <x:c r="O899" s="25" t="str">
        <x:v>Pendiente: asignar con R/sf</x:v>
      </x:c>
    </x:row>
    <x:row r="900">
      <x:c r="A900" s="25" t="n">
        <x:v>899</x:v>
      </x:c>
      <x:c r="B900" s="26" t="n">
        <x:v>44385.437951388885</x:v>
      </x:c>
      <x:c r="C900" s="27" t="n">
        <x:f>INT(B900)</x:f>
        <x:v>44385</x:v>
      </x:c>
      <x:c r="D900" s="28" t="n">
        <x:f>MOD(B900,1)</x:f>
        <x:v>0.4379513888852671</x:v>
      </x:c>
      <x:c r="E900" s="29" t="n">
        <x:f>YEAR(B900)</x:f>
        <x:v>2021</x:v>
      </x:c>
      <x:c r="F900" s="29" t="n">
        <x:f>MONTH(B900)</x:f>
        <x:v>7</x:v>
      </x:c>
      <x:c r="G900" s="30" t="n">
        <x:v>-18.47</x:v>
      </x:c>
      <x:c r="H900" s="30" t="n">
        <x:v>-71.26</x:v>
      </x:c>
      <x:c r="I900" s="29" t="n">
        <x:v>50</x:v>
      </x:c>
      <x:c r="J900" s="31" t="n">
        <x:v>5.1</x:v>
      </x:c>
      <x:c r="K900" s="25" t="str">
        <x:f>IF(J900&gt;=7,"Muy fuerte (&gt;=7)",IF(J900&gt;=6,"Fuerte (6-6.9)",IF(J900&gt;=5,"Moderado alto (5-5.9)",IF(J900&gt;=4,"Moderado (4-4.9)","Menor a 4"))))</x:f>
        <x:v>Moderado alto (5-5.9)</x:v>
      </x:c>
      <x:c r="L900" s="25" t="str">
        <x:f>IF(I900&lt;70,"Superficial (&lt;70 km)",IF(I900&lt;=300,"Intermedio (70-300 km)","Profundo (&gt;300 km)"))</x:f>
        <x:v>Superficial (&lt;70 km)</x:v>
      </x:c>
      <x:c r="M900" s="25" t="str">
        <x:f>IF(J900&gt;=5,"Sí","No")</x:f>
        <x:v>Sí</x:v>
      </x:c>
      <x:c r="N900" s="25" t="str">
        <x:f>IF(J900&gt;=6,"Sí","No")</x:f>
        <x:v>No</x:v>
      </x:c>
      <x:c r="O900" s="25" t="str">
        <x:v>Pendiente: asignar con R/sf</x:v>
      </x:c>
    </x:row>
    <x:row r="901">
      <x:c r="A901" s="25" t="n">
        <x:v>900</x:v>
      </x:c>
      <x:c r="B901" s="26" t="n">
        <x:v>44145.26011574074</x:v>
      </x:c>
      <x:c r="C901" s="27" t="n">
        <x:f>INT(B901)</x:f>
        <x:v>44145</x:v>
      </x:c>
      <x:c r="D901" s="28" t="n">
        <x:f>MOD(B901,1)</x:f>
        <x:v>0.26011574074072996</x:v>
      </x:c>
      <x:c r="E901" s="29" t="n">
        <x:f>YEAR(B901)</x:f>
        <x:v>2020</x:v>
      </x:c>
      <x:c r="F901" s="29" t="n">
        <x:f>MONTH(B901)</x:f>
        <x:v>11</x:v>
      </x:c>
      <x:c r="G901" s="30" t="n">
        <x:v>-27.58</x:v>
      </x:c>
      <x:c r="H901" s="30" t="n">
        <x:v>-70.61</x:v>
      </x:c>
      <x:c r="I901" s="29" t="n">
        <x:v>51</x:v>
      </x:c>
      <x:c r="J901" s="31" t="n">
        <x:v>3.7</x:v>
      </x:c>
      <x:c r="K901" s="25" t="str">
        <x:f>IF(J901&gt;=7,"Muy fuerte (&gt;=7)",IF(J901&gt;=6,"Fuerte (6-6.9)",IF(J901&gt;=5,"Moderado alto (5-5.9)",IF(J901&gt;=4,"Moderado (4-4.9)","Menor a 4"))))</x:f>
        <x:v>Menor a 4</x:v>
      </x:c>
      <x:c r="L901" s="25" t="str">
        <x:f>IF(I901&lt;70,"Superficial (&lt;70 km)",IF(I901&lt;=300,"Intermedio (70-300 km)","Profundo (&gt;300 km)"))</x:f>
        <x:v>Superficial (&lt;70 km)</x:v>
      </x:c>
      <x:c r="M901" s="25" t="str">
        <x:f>IF(J901&gt;=5,"Sí","No")</x:f>
        <x:v>No</x:v>
      </x:c>
      <x:c r="N901" s="25" t="str">
        <x:f>IF(J901&gt;=6,"Sí","No")</x:f>
        <x:v>No</x:v>
      </x:c>
      <x:c r="O901" s="25" t="str">
        <x:v>Pendiente: asignar con R/sf</x:v>
      </x:c>
    </x:row>
    <x:row r="902">
      <x:c r="A902" s="25" t="n">
        <x:v>901</x:v>
      </x:c>
      <x:c r="B902" s="26" t="n">
        <x:v>44092.07423611111</x:v>
      </x:c>
      <x:c r="C902" s="27" t="n">
        <x:f>INT(B902)</x:f>
        <x:v>44092</x:v>
      </x:c>
      <x:c r="D902" s="28" t="n">
        <x:f>MOD(B902,1)</x:f>
        <x:v>0.0742361111115315</x:v>
      </x:c>
      <x:c r="E902" s="29" t="n">
        <x:f>YEAR(B902)</x:f>
        <x:v>2020</x:v>
      </x:c>
      <x:c r="F902" s="29" t="n">
        <x:f>MONTH(B902)</x:f>
        <x:v>9</x:v>
      </x:c>
      <x:c r="G902" s="30" t="n">
        <x:v>-30.02</x:v>
      </x:c>
      <x:c r="H902" s="30" t="n">
        <x:v>-71.64</x:v>
      </x:c>
      <x:c r="I902" s="29" t="n">
        <x:v>35</x:v>
      </x:c>
      <x:c r="J902" s="31" t="n">
        <x:v>4.1</x:v>
      </x:c>
      <x:c r="K902" s="25" t="str">
        <x:f>IF(J902&gt;=7,"Muy fuerte (&gt;=7)",IF(J902&gt;=6,"Fuerte (6-6.9)",IF(J902&gt;=5,"Moderado alto (5-5.9)",IF(J902&gt;=4,"Moderado (4-4.9)","Menor a 4"))))</x:f>
        <x:v>Moderado (4-4.9)</x:v>
      </x:c>
      <x:c r="L902" s="25" t="str">
        <x:f>IF(I902&lt;70,"Superficial (&lt;70 km)",IF(I902&lt;=300,"Intermedio (70-300 km)","Profundo (&gt;300 km)"))</x:f>
        <x:v>Superficial (&lt;70 km)</x:v>
      </x:c>
      <x:c r="M902" s="25" t="str">
        <x:f>IF(J902&gt;=5,"Sí","No")</x:f>
        <x:v>No</x:v>
      </x:c>
      <x:c r="N902" s="25" t="str">
        <x:f>IF(J902&gt;=6,"Sí","No")</x:f>
        <x:v>No</x:v>
      </x:c>
      <x:c r="O902" s="25" t="str">
        <x:v>Pendiente: asignar con R/sf</x:v>
      </x:c>
    </x:row>
    <x:row r="903">
      <x:c r="A903" s="25" t="n">
        <x:v>902</x:v>
      </x:c>
      <x:c r="B903" s="26" t="n">
        <x:v>44330.02799768518</x:v>
      </x:c>
      <x:c r="C903" s="27" t="n">
        <x:f>INT(B903)</x:f>
        <x:v>44330</x:v>
      </x:c>
      <x:c r="D903" s="28" t="n">
        <x:f>MOD(B903,1)</x:f>
        <x:v>0.02799768518161727</x:v>
      </x:c>
      <x:c r="E903" s="29" t="n">
        <x:f>YEAR(B903)</x:f>
        <x:v>2021</x:v>
      </x:c>
      <x:c r="F903" s="29" t="n">
        <x:f>MONTH(B903)</x:f>
        <x:v>5</x:v>
      </x:c>
      <x:c r="G903" s="30" t="n">
        <x:v>-29.68</x:v>
      </x:c>
      <x:c r="H903" s="30" t="n">
        <x:v>-71.25</x:v>
      </x:c>
      <x:c r="I903" s="29" t="n">
        <x:v>54</x:v>
      </x:c>
      <x:c r="J903" s="31" t="n">
        <x:v>3.9</x:v>
      </x:c>
      <x:c r="K903" s="25" t="str">
        <x:f>IF(J903&gt;=7,"Muy fuerte (&gt;=7)",IF(J903&gt;=6,"Fuerte (6-6.9)",IF(J903&gt;=5,"Moderado alto (5-5.9)",IF(J903&gt;=4,"Moderado (4-4.9)","Menor a 4"))))</x:f>
        <x:v>Menor a 4</x:v>
      </x:c>
      <x:c r="L903" s="25" t="str">
        <x:f>IF(I903&lt;70,"Superficial (&lt;70 km)",IF(I903&lt;=300,"Intermedio (70-300 km)","Profundo (&gt;300 km)"))</x:f>
        <x:v>Superficial (&lt;70 km)</x:v>
      </x:c>
      <x:c r="M903" s="25" t="str">
        <x:f>IF(J903&gt;=5,"Sí","No")</x:f>
        <x:v>No</x:v>
      </x:c>
      <x:c r="N903" s="25" t="str">
        <x:f>IF(J903&gt;=6,"Sí","No")</x:f>
        <x:v>No</x:v>
      </x:c>
      <x:c r="O903" s="25" t="str">
        <x:v>Pendiente: asignar con R/sf</x:v>
      </x:c>
    </x:row>
    <x:row r="904">
      <x:c r="A904" s="25" t="n">
        <x:v>903</x:v>
      </x:c>
      <x:c r="B904" s="26" t="n">
        <x:v>44244.510300925926</x:v>
      </x:c>
      <x:c r="C904" s="27" t="n">
        <x:f>INT(B904)</x:f>
        <x:v>44244</x:v>
      </x:c>
      <x:c r="D904" s="28" t="n">
        <x:f>MOD(B904,1)</x:f>
        <x:v>0.5103009259255487</x:v>
      </x:c>
      <x:c r="E904" s="29" t="n">
        <x:f>YEAR(B904)</x:f>
        <x:v>2021</x:v>
      </x:c>
      <x:c r="F904" s="29" t="n">
        <x:f>MONTH(B904)</x:f>
        <x:v>2</x:v>
      </x:c>
      <x:c r="G904" s="30" t="n">
        <x:v>-29.28</x:v>
      </x:c>
      <x:c r="H904" s="30" t="n">
        <x:v>-69.61</x:v>
      </x:c>
      <x:c r="I904" s="29" t="n">
        <x:v>125</x:v>
      </x:c>
      <x:c r="J904" s="31" t="n">
        <x:v>4.8</x:v>
      </x:c>
      <x:c r="K904" s="25" t="str">
        <x:f>IF(J904&gt;=7,"Muy fuerte (&gt;=7)",IF(J904&gt;=6,"Fuerte (6-6.9)",IF(J904&gt;=5,"Moderado alto (5-5.9)",IF(J904&gt;=4,"Moderado (4-4.9)","Menor a 4"))))</x:f>
        <x:v>Moderado (4-4.9)</x:v>
      </x:c>
      <x:c r="L904" s="25" t="str">
        <x:f>IF(I904&lt;70,"Superficial (&lt;70 km)",IF(I904&lt;=300,"Intermedio (70-300 km)","Profundo (&gt;300 km)"))</x:f>
        <x:v>Intermedio (70-300 km)</x:v>
      </x:c>
      <x:c r="M904" s="25" t="str">
        <x:f>IF(J904&gt;=5,"Sí","No")</x:f>
        <x:v>No</x:v>
      </x:c>
      <x:c r="N904" s="25" t="str">
        <x:f>IF(J904&gt;=6,"Sí","No")</x:f>
        <x:v>No</x:v>
      </x:c>
      <x:c r="O904" s="25" t="str">
        <x:v>Pendiente: asignar con R/sf</x:v>
      </x:c>
    </x:row>
    <x:row r="905">
      <x:c r="A905" s="25" t="n">
        <x:v>904</x:v>
      </x:c>
      <x:c r="B905" s="26" t="n">
        <x:v>44086.65429398148</x:v>
      </x:c>
      <x:c r="C905" s="27" t="n">
        <x:f>INT(B905)</x:f>
        <x:v>44086</x:v>
      </x:c>
      <x:c r="D905" s="28" t="n">
        <x:f>MOD(B905,1)</x:f>
        <x:v>0.6542939814826241</x:v>
      </x:c>
      <x:c r="E905" s="29" t="n">
        <x:f>YEAR(B905)</x:f>
        <x:v>2020</x:v>
      </x:c>
      <x:c r="F905" s="29" t="n">
        <x:f>MONTH(B905)</x:f>
        <x:v>9</x:v>
      </x:c>
      <x:c r="G905" s="30" t="n">
        <x:v>-31.32</x:v>
      </x:c>
      <x:c r="H905" s="30" t="n">
        <x:v>-71.16</x:v>
      </x:c>
      <x:c r="I905" s="29" t="n">
        <x:v>68</x:v>
      </x:c>
      <x:c r="J905" s="31" t="n">
        <x:v>3.7</x:v>
      </x:c>
      <x:c r="K905" s="25" t="str">
        <x:f>IF(J905&gt;=7,"Muy fuerte (&gt;=7)",IF(J905&gt;=6,"Fuerte (6-6.9)",IF(J905&gt;=5,"Moderado alto (5-5.9)",IF(J905&gt;=4,"Moderado (4-4.9)","Menor a 4"))))</x:f>
        <x:v>Menor a 4</x:v>
      </x:c>
      <x:c r="L905" s="25" t="str">
        <x:f>IF(I905&lt;70,"Superficial (&lt;70 km)",IF(I905&lt;=300,"Intermedio (70-300 km)","Profundo (&gt;300 km)"))</x:f>
        <x:v>Superficial (&lt;70 km)</x:v>
      </x:c>
      <x:c r="M905" s="25" t="str">
        <x:f>IF(J905&gt;=5,"Sí","No")</x:f>
        <x:v>No</x:v>
      </x:c>
      <x:c r="N905" s="25" t="str">
        <x:f>IF(J905&gt;=6,"Sí","No")</x:f>
        <x:v>No</x:v>
      </x:c>
      <x:c r="O905" s="25" t="str">
        <x:v>Pendiente: asignar con R/sf</x:v>
      </x:c>
    </x:row>
    <x:row r="906">
      <x:c r="A906" s="25" t="n">
        <x:v>905</x:v>
      </x:c>
      <x:c r="B906" s="26" t="n">
        <x:v>44385.86010416667</x:v>
      </x:c>
      <x:c r="C906" s="27" t="n">
        <x:f>INT(B906)</x:f>
        <x:v>44385</x:v>
      </x:c>
      <x:c r="D906" s="28" t="n">
        <x:f>MOD(B906,1)</x:f>
        <x:v>0.8601041666697711</x:v>
      </x:c>
      <x:c r="E906" s="29" t="n">
        <x:f>YEAR(B906)</x:f>
        <x:v>2021</x:v>
      </x:c>
      <x:c r="F906" s="29" t="n">
        <x:f>MONTH(B906)</x:f>
        <x:v>7</x:v>
      </x:c>
      <x:c r="G906" s="30" t="n">
        <x:v>-28.75</x:v>
      </x:c>
      <x:c r="H906" s="30" t="n">
        <x:v>-71.53</x:v>
      </x:c>
      <x:c r="I906" s="29" t="n">
        <x:v>35</x:v>
      </x:c>
      <x:c r="J906" s="31" t="n">
        <x:v>5.4</x:v>
      </x:c>
      <x:c r="K906" s="25" t="str">
        <x:f>IF(J906&gt;=7,"Muy fuerte (&gt;=7)",IF(J906&gt;=6,"Fuerte (6-6.9)",IF(J906&gt;=5,"Moderado alto (5-5.9)",IF(J906&gt;=4,"Moderado (4-4.9)","Menor a 4"))))</x:f>
        <x:v>Moderado alto (5-5.9)</x:v>
      </x:c>
      <x:c r="L906" s="25" t="str">
        <x:f>IF(I906&lt;70,"Superficial (&lt;70 km)",IF(I906&lt;=300,"Intermedio (70-300 km)","Profundo (&gt;300 km)"))</x:f>
        <x:v>Superficial (&lt;70 km)</x:v>
      </x:c>
      <x:c r="M906" s="25" t="str">
        <x:f>IF(J906&gt;=5,"Sí","No")</x:f>
        <x:v>Sí</x:v>
      </x:c>
      <x:c r="N906" s="25" t="str">
        <x:f>IF(J906&gt;=6,"Sí","No")</x:f>
        <x:v>No</x:v>
      </x:c>
      <x:c r="O906" s="25" t="str">
        <x:v>Pendiente: asignar con R/sf</x:v>
      </x:c>
    </x:row>
    <x:row r="907">
      <x:c r="A907" s="25" t="n">
        <x:v>906</x:v>
      </x:c>
      <x:c r="B907" s="26" t="n">
        <x:v>44295.28702546296</x:v>
      </x:c>
      <x:c r="C907" s="27" t="n">
        <x:f>INT(B907)</x:f>
        <x:v>44295</x:v>
      </x:c>
      <x:c r="D907" s="28" t="n">
        <x:f>MOD(B907,1)</x:f>
        <x:v>0.2870254629597184</x:v>
      </x:c>
      <x:c r="E907" s="29" t="n">
        <x:f>YEAR(B907)</x:f>
        <x:v>2021</x:v>
      </x:c>
      <x:c r="F907" s="29" t="n">
        <x:f>MONTH(B907)</x:f>
        <x:v>4</x:v>
      </x:c>
      <x:c r="G907" s="30" t="n">
        <x:v>-29.68</x:v>
      </x:c>
      <x:c r="H907" s="30" t="n">
        <x:v>-69.83</x:v>
      </x:c>
      <x:c r="I907" s="29" t="n">
        <x:v>130</x:v>
      </x:c>
      <x:c r="J907" s="31" t="n">
        <x:v>4.5</x:v>
      </x:c>
      <x:c r="K907" s="25" t="str">
        <x:f>IF(J907&gt;=7,"Muy fuerte (&gt;=7)",IF(J907&gt;=6,"Fuerte (6-6.9)",IF(J907&gt;=5,"Moderado alto (5-5.9)",IF(J907&gt;=4,"Moderado (4-4.9)","Menor a 4"))))</x:f>
        <x:v>Moderado (4-4.9)</x:v>
      </x:c>
      <x:c r="L907" s="25" t="str">
        <x:f>IF(I907&lt;70,"Superficial (&lt;70 km)",IF(I907&lt;=300,"Intermedio (70-300 km)","Profundo (&gt;300 km)"))</x:f>
        <x:v>Intermedio (70-300 km)</x:v>
      </x:c>
      <x:c r="M907" s="25" t="str">
        <x:f>IF(J907&gt;=5,"Sí","No")</x:f>
        <x:v>No</x:v>
      </x:c>
      <x:c r="N907" s="25" t="str">
        <x:f>IF(J907&gt;=6,"Sí","No")</x:f>
        <x:v>No</x:v>
      </x:c>
      <x:c r="O907" s="25" t="str">
        <x:v>Pendiente: asignar con R/sf</x:v>
      </x:c>
    </x:row>
    <x:row r="908">
      <x:c r="A908" s="25" t="n">
        <x:v>907</x:v>
      </x:c>
      <x:c r="B908" s="26" t="n">
        <x:v>44387.10346064815</x:v>
      </x:c>
      <x:c r="C908" s="27" t="n">
        <x:f>INT(B908)</x:f>
        <x:v>44387</x:v>
      </x:c>
      <x:c r="D908" s="28" t="n">
        <x:f>MOD(B908,1)</x:f>
        <x:v>0.10346064814802958</x:v>
      </x:c>
      <x:c r="E908" s="29" t="n">
        <x:f>YEAR(B908)</x:f>
        <x:v>2021</x:v>
      </x:c>
      <x:c r="F908" s="29" t="n">
        <x:f>MONTH(B908)</x:f>
        <x:v>7</x:v>
      </x:c>
      <x:c r="G908" s="30" t="n">
        <x:v>-21.38</x:v>
      </x:c>
      <x:c r="H908" s="30" t="n">
        <x:v>-69.89</x:v>
      </x:c>
      <x:c r="I908" s="29" t="n">
        <x:v>59</x:v>
      </x:c>
      <x:c r="J908" s="31" t="n">
        <x:v>4.2</x:v>
      </x:c>
      <x:c r="K908" s="25" t="str">
        <x:f>IF(J908&gt;=7,"Muy fuerte (&gt;=7)",IF(J908&gt;=6,"Fuerte (6-6.9)",IF(J908&gt;=5,"Moderado alto (5-5.9)",IF(J908&gt;=4,"Moderado (4-4.9)","Menor a 4"))))</x:f>
        <x:v>Moderado (4-4.9)</x:v>
      </x:c>
      <x:c r="L908" s="25" t="str">
        <x:f>IF(I908&lt;70,"Superficial (&lt;70 km)",IF(I908&lt;=300,"Intermedio (70-300 km)","Profundo (&gt;300 km)"))</x:f>
        <x:v>Superficial (&lt;70 km)</x:v>
      </x:c>
      <x:c r="M908" s="25" t="str">
        <x:f>IF(J908&gt;=5,"Sí","No")</x:f>
        <x:v>No</x:v>
      </x:c>
      <x:c r="N908" s="25" t="str">
        <x:f>IF(J908&gt;=6,"Sí","No")</x:f>
        <x:v>No</x:v>
      </x:c>
      <x:c r="O908" s="25" t="str">
        <x:v>Pendiente: asignar con R/sf</x:v>
      </x:c>
    </x:row>
    <x:row r="909">
      <x:c r="A909" s="25" t="n">
        <x:v>908</x:v>
      </x:c>
      <x:c r="B909" s="26" t="n">
        <x:v>44132.65231481481</x:v>
      </x:c>
      <x:c r="C909" s="27" t="n">
        <x:f>INT(B909)</x:f>
        <x:v>44132</x:v>
      </x:c>
      <x:c r="D909" s="28" t="n">
        <x:f>MOD(B909,1)</x:f>
        <x:v>0.6523148148116888</x:v>
      </x:c>
      <x:c r="E909" s="29" t="n">
        <x:f>YEAR(B909)</x:f>
        <x:v>2020</x:v>
      </x:c>
      <x:c r="F909" s="29" t="n">
        <x:f>MONTH(B909)</x:f>
        <x:v>10</x:v>
      </x:c>
      <x:c r="G909" s="30" t="n">
        <x:v>-29.32</x:v>
      </x:c>
      <x:c r="H909" s="30" t="n">
        <x:v>-71.19</x:v>
      </x:c>
      <x:c r="I909" s="29" t="n">
        <x:v>58</x:v>
      </x:c>
      <x:c r="J909" s="31" t="n">
        <x:v>4.3</x:v>
      </x:c>
      <x:c r="K909" s="25" t="str">
        <x:f>IF(J909&gt;=7,"Muy fuerte (&gt;=7)",IF(J909&gt;=6,"Fuerte (6-6.9)",IF(J909&gt;=5,"Moderado alto (5-5.9)",IF(J909&gt;=4,"Moderado (4-4.9)","Menor a 4"))))</x:f>
        <x:v>Moderado (4-4.9)</x:v>
      </x:c>
      <x:c r="L909" s="25" t="str">
        <x:f>IF(I909&lt;70,"Superficial (&lt;70 km)",IF(I909&lt;=300,"Intermedio (70-300 km)","Profundo (&gt;300 km)"))</x:f>
        <x:v>Superficial (&lt;70 km)</x:v>
      </x:c>
      <x:c r="M909" s="25" t="str">
        <x:f>IF(J909&gt;=5,"Sí","No")</x:f>
        <x:v>No</x:v>
      </x:c>
      <x:c r="N909" s="25" t="str">
        <x:f>IF(J909&gt;=6,"Sí","No")</x:f>
        <x:v>No</x:v>
      </x:c>
      <x:c r="O909" s="25" t="str">
        <x:v>Pendiente: asignar con R/sf</x:v>
      </x:c>
    </x:row>
    <x:row r="910">
      <x:c r="A910" s="25" t="n">
        <x:v>909</x:v>
      </x:c>
      <x:c r="B910" s="26" t="n">
        <x:v>44080.060069444444</x:v>
      </x:c>
      <x:c r="C910" s="27" t="n">
        <x:f>INT(B910)</x:f>
        <x:v>44080</x:v>
      </x:c>
      <x:c r="D910" s="28" t="n">
        <x:f>MOD(B910,1)</x:f>
        <x:v>0.06006944444379769</x:v>
      </x:c>
      <x:c r="E910" s="29" t="n">
        <x:f>YEAR(B910)</x:f>
        <x:v>2020</x:v>
      </x:c>
      <x:c r="F910" s="29" t="n">
        <x:f>MONTH(B910)</x:f>
        <x:v>9</x:v>
      </x:c>
      <x:c r="G910" s="30" t="n">
        <x:v>-30.42</x:v>
      </x:c>
      <x:c r="H910" s="30" t="n">
        <x:v>-71.42</x:v>
      </x:c>
      <x:c r="I910" s="29" t="n">
        <x:v>17</x:v>
      </x:c>
      <x:c r="J910" s="31" t="n">
        <x:v>3.3</x:v>
      </x:c>
      <x:c r="K910" s="25" t="str">
        <x:f>IF(J910&gt;=7,"Muy fuerte (&gt;=7)",IF(J910&gt;=6,"Fuerte (6-6.9)",IF(J910&gt;=5,"Moderado alto (5-5.9)",IF(J910&gt;=4,"Moderado (4-4.9)","Menor a 4"))))</x:f>
        <x:v>Menor a 4</x:v>
      </x:c>
      <x:c r="L910" s="25" t="str">
        <x:f>IF(I910&lt;70,"Superficial (&lt;70 km)",IF(I910&lt;=300,"Intermedio (70-300 km)","Profundo (&gt;300 km)"))</x:f>
        <x:v>Superficial (&lt;70 km)</x:v>
      </x:c>
      <x:c r="M910" s="25" t="str">
        <x:f>IF(J910&gt;=5,"Sí","No")</x:f>
        <x:v>No</x:v>
      </x:c>
      <x:c r="N910" s="25" t="str">
        <x:f>IF(J910&gt;=6,"Sí","No")</x:f>
        <x:v>No</x:v>
      </x:c>
      <x:c r="O910" s="25" t="str">
        <x:v>Pendiente: asignar con R/sf</x:v>
      </x:c>
    </x:row>
    <x:row r="911">
      <x:c r="A911" s="25" t="n">
        <x:v>910</x:v>
      </x:c>
      <x:c r="B911" s="26" t="n">
        <x:v>44355.32111111111</x:v>
      </x:c>
      <x:c r="C911" s="27" t="n">
        <x:f>INT(B911)</x:f>
        <x:v>44355</x:v>
      </x:c>
      <x:c r="D911" s="28" t="n">
        <x:f>MOD(B911,1)</x:f>
        <x:v>0.3211111111086211</x:v>
      </x:c>
      <x:c r="E911" s="29" t="n">
        <x:f>YEAR(B911)</x:f>
        <x:v>2021</x:v>
      </x:c>
      <x:c r="F911" s="29" t="n">
        <x:f>MONTH(B911)</x:f>
        <x:v>6</x:v>
      </x:c>
      <x:c r="G911" s="30" t="n">
        <x:v>-29.99</x:v>
      </x:c>
      <x:c r="H911" s="30" t="n">
        <x:v>-70.72</x:v>
      </x:c>
      <x:c r="I911" s="29" t="n">
        <x:v>70</x:v>
      </x:c>
      <x:c r="J911" s="31" t="n">
        <x:v>4.9</x:v>
      </x:c>
      <x:c r="K911" s="25" t="str">
        <x:f>IF(J911&gt;=7,"Muy fuerte (&gt;=7)",IF(J911&gt;=6,"Fuerte (6-6.9)",IF(J911&gt;=5,"Moderado alto (5-5.9)",IF(J911&gt;=4,"Moderado (4-4.9)","Menor a 4"))))</x:f>
        <x:v>Moderado (4-4.9)</x:v>
      </x:c>
      <x:c r="L911" s="25" t="str">
        <x:f>IF(I911&lt;70,"Superficial (&lt;70 km)",IF(I911&lt;=300,"Intermedio (70-300 km)","Profundo (&gt;300 km)"))</x:f>
        <x:v>Intermedio (70-300 km)</x:v>
      </x:c>
      <x:c r="M911" s="25" t="str">
        <x:f>IF(J911&gt;=5,"Sí","No")</x:f>
        <x:v>No</x:v>
      </x:c>
      <x:c r="N911" s="25" t="str">
        <x:f>IF(J911&gt;=6,"Sí","No")</x:f>
        <x:v>No</x:v>
      </x:c>
      <x:c r="O911" s="25" t="str">
        <x:v>Pendiente: asignar con R/sf</x:v>
      </x:c>
    </x:row>
    <x:row r="912">
      <x:c r="A912" s="25" t="n">
        <x:v>911</x:v>
      </x:c>
      <x:c r="B912" s="26" t="n">
        <x:v>44241.36571759259</x:v>
      </x:c>
      <x:c r="C912" s="27" t="n">
        <x:f>INT(B912)</x:f>
        <x:v>44241</x:v>
      </x:c>
      <x:c r="D912" s="28" t="n">
        <x:f>MOD(B912,1)</x:f>
        <x:v>0.36571759259095415</x:v>
      </x:c>
      <x:c r="E912" s="29" t="n">
        <x:f>YEAR(B912)</x:f>
        <x:v>2021</x:v>
      </x:c>
      <x:c r="F912" s="29" t="n">
        <x:f>MONTH(B912)</x:f>
        <x:v>2</x:v>
      </x:c>
      <x:c r="G912" s="30" t="n">
        <x:v>-31.5</x:v>
      </x:c>
      <x:c r="H912" s="30" t="n">
        <x:v>-71.16</x:v>
      </x:c>
      <x:c r="I912" s="29" t="n">
        <x:v>47</x:v>
      </x:c>
      <x:c r="J912" s="31" t="n">
        <x:v>3.5</x:v>
      </x:c>
      <x:c r="K912" s="25" t="str">
        <x:f>IF(J912&gt;=7,"Muy fuerte (&gt;=7)",IF(J912&gt;=6,"Fuerte (6-6.9)",IF(J912&gt;=5,"Moderado alto (5-5.9)",IF(J912&gt;=4,"Moderado (4-4.9)","Menor a 4"))))</x:f>
        <x:v>Menor a 4</x:v>
      </x:c>
      <x:c r="L912" s="25" t="str">
        <x:f>IF(I912&lt;70,"Superficial (&lt;70 km)",IF(I912&lt;=300,"Intermedio (70-300 km)","Profundo (&gt;300 km)"))</x:f>
        <x:v>Superficial (&lt;70 km)</x:v>
      </x:c>
      <x:c r="M912" s="25" t="str">
        <x:f>IF(J912&gt;=5,"Sí","No")</x:f>
        <x:v>No</x:v>
      </x:c>
      <x:c r="N912" s="25" t="str">
        <x:f>IF(J912&gt;=6,"Sí","No")</x:f>
        <x:v>No</x:v>
      </x:c>
      <x:c r="O912" s="25" t="str">
        <x:v>Pendiente: asignar con R/sf</x:v>
      </x:c>
    </x:row>
    <x:row r="913">
      <x:c r="A913" s="25" t="n">
        <x:v>912</x:v>
      </x:c>
      <x:c r="B913" s="26" t="n">
        <x:v>44049.14172453704</x:v>
      </x:c>
      <x:c r="C913" s="27" t="n">
        <x:f>INT(B913)</x:f>
        <x:v>44049</x:v>
      </x:c>
      <x:c r="D913" s="28" t="n">
        <x:f>MOD(B913,1)</x:f>
        <x:v>0.14172453703940846</x:v>
      </x:c>
      <x:c r="E913" s="29" t="n">
        <x:f>YEAR(B913)</x:f>
        <x:v>2020</x:v>
      </x:c>
      <x:c r="F913" s="29" t="n">
        <x:f>MONTH(B913)</x:f>
        <x:v>8</x:v>
      </x:c>
      <x:c r="G913" s="30" t="n">
        <x:v>-29.39</x:v>
      </x:c>
      <x:c r="H913" s="30" t="n">
        <x:v>-71.75</x:v>
      </x:c>
      <x:c r="I913" s="29" t="n">
        <x:v>46</x:v>
      </x:c>
      <x:c r="J913" s="31" t="n">
        <x:v>4.4</x:v>
      </x:c>
      <x:c r="K913" s="25" t="str">
        <x:f>IF(J913&gt;=7,"Muy fuerte (&gt;=7)",IF(J913&gt;=6,"Fuerte (6-6.9)",IF(J913&gt;=5,"Moderado alto (5-5.9)",IF(J913&gt;=4,"Moderado (4-4.9)","Menor a 4"))))</x:f>
        <x:v>Moderado (4-4.9)</x:v>
      </x:c>
      <x:c r="L913" s="25" t="str">
        <x:f>IF(I913&lt;70,"Superficial (&lt;70 km)",IF(I913&lt;=300,"Intermedio (70-300 km)","Profundo (&gt;300 km)"))</x:f>
        <x:v>Superficial (&lt;70 km)</x:v>
      </x:c>
      <x:c r="M913" s="25" t="str">
        <x:f>IF(J913&gt;=5,"Sí","No")</x:f>
        <x:v>No</x:v>
      </x:c>
      <x:c r="N913" s="25" t="str">
        <x:f>IF(J913&gt;=6,"Sí","No")</x:f>
        <x:v>No</x:v>
      </x:c>
      <x:c r="O913" s="25" t="str">
        <x:v>Pendiente: asignar con R/sf</x:v>
      </x:c>
    </x:row>
    <x:row r="914">
      <x:c r="A914" s="25" t="n">
        <x:v>913</x:v>
      </x:c>
      <x:c r="B914" s="26" t="n">
        <x:v>44203.32877314815</x:v>
      </x:c>
      <x:c r="C914" s="27" t="n">
        <x:f>INT(B914)</x:f>
        <x:v>44203</x:v>
      </x:c>
      <x:c r="D914" s="28" t="n">
        <x:f>MOD(B914,1)</x:f>
        <x:v>0.3287731481468654</x:v>
      </x:c>
      <x:c r="E914" s="29" t="n">
        <x:f>YEAR(B914)</x:f>
        <x:v>2021</x:v>
      </x:c>
      <x:c r="F914" s="29" t="n">
        <x:f>MONTH(B914)</x:f>
        <x:v>1</x:v>
      </x:c>
      <x:c r="G914" s="30" t="n">
        <x:v>-31.84</x:v>
      </x:c>
      <x:c r="H914" s="30" t="n">
        <x:v>-71.43</x:v>
      </x:c>
      <x:c r="I914" s="29" t="n">
        <x:v>48</x:v>
      </x:c>
      <x:c r="J914" s="31" t="n">
        <x:v>4</x:v>
      </x:c>
      <x:c r="K914" s="25" t="str">
        <x:f>IF(J914&gt;=7,"Muy fuerte (&gt;=7)",IF(J914&gt;=6,"Fuerte (6-6.9)",IF(J914&gt;=5,"Moderado alto (5-5.9)",IF(J914&gt;=4,"Moderado (4-4.9)","Menor a 4"))))</x:f>
        <x:v>Moderado (4-4.9)</x:v>
      </x:c>
      <x:c r="L914" s="25" t="str">
        <x:f>IF(I914&lt;70,"Superficial (&lt;70 km)",IF(I914&lt;=300,"Intermedio (70-300 km)","Profundo (&gt;300 km)"))</x:f>
        <x:v>Superficial (&lt;70 km)</x:v>
      </x:c>
      <x:c r="M914" s="25" t="str">
        <x:f>IF(J914&gt;=5,"Sí","No")</x:f>
        <x:v>No</x:v>
      </x:c>
      <x:c r="N914" s="25" t="str">
        <x:f>IF(J914&gt;=6,"Sí","No")</x:f>
        <x:v>No</x:v>
      </x:c>
      <x:c r="O914" s="25" t="str">
        <x:v>Pendiente: asignar con R/sf</x:v>
      </x:c>
    </x:row>
    <x:row r="915">
      <x:c r="A915" s="25" t="n">
        <x:v>914</x:v>
      </x:c>
      <x:c r="B915" s="26" t="n">
        <x:v>44290.42244212963</x:v>
      </x:c>
      <x:c r="C915" s="27" t="n">
        <x:f>INT(B915)</x:f>
        <x:v>44290</x:v>
      </x:c>
      <x:c r="D915" s="28" t="n">
        <x:f>MOD(B915,1)</x:f>
        <x:v>0.42244212963123573</x:v>
      </x:c>
      <x:c r="E915" s="29" t="n">
        <x:f>YEAR(B915)</x:f>
        <x:v>2021</x:v>
      </x:c>
      <x:c r="F915" s="29" t="n">
        <x:f>MONTH(B915)</x:f>
        <x:v>4</x:v>
      </x:c>
      <x:c r="G915" s="30" t="n">
        <x:v>-27.41</x:v>
      </x:c>
      <x:c r="H915" s="30" t="n">
        <x:v>-70.95</x:v>
      </x:c>
      <x:c r="I915" s="29" t="n">
        <x:v>36</x:v>
      </x:c>
      <x:c r="J915" s="31" t="n">
        <x:v>3.7</x:v>
      </x:c>
      <x:c r="K915" s="25" t="str">
        <x:f>IF(J915&gt;=7,"Muy fuerte (&gt;=7)",IF(J915&gt;=6,"Fuerte (6-6.9)",IF(J915&gt;=5,"Moderado alto (5-5.9)",IF(J915&gt;=4,"Moderado (4-4.9)","Menor a 4"))))</x:f>
        <x:v>Menor a 4</x:v>
      </x:c>
      <x:c r="L915" s="25" t="str">
        <x:f>IF(I915&lt;70,"Superficial (&lt;70 km)",IF(I915&lt;=300,"Intermedio (70-300 km)","Profundo (&gt;300 km)"))</x:f>
        <x:v>Superficial (&lt;70 km)</x:v>
      </x:c>
      <x:c r="M915" s="25" t="str">
        <x:f>IF(J915&gt;=5,"Sí","No")</x:f>
        <x:v>No</x:v>
      </x:c>
      <x:c r="N915" s="25" t="str">
        <x:f>IF(J915&gt;=6,"Sí","No")</x:f>
        <x:v>No</x:v>
      </x:c>
      <x:c r="O915" s="25" t="str">
        <x:v>Pendiente: asignar con R/sf</x:v>
      </x:c>
    </x:row>
    <x:row r="916">
      <x:c r="A916" s="25" t="n">
        <x:v>915</x:v>
      </x:c>
      <x:c r="B916" s="26" t="n">
        <x:v>44279.84841435185</x:v>
      </x:c>
      <x:c r="C916" s="27" t="n">
        <x:f>INT(B916)</x:f>
        <x:v>44279</x:v>
      </x:c>
      <x:c r="D916" s="28" t="n">
        <x:f>MOD(B916,1)</x:f>
        <x:v>0.8484143518508063</x:v>
      </x:c>
      <x:c r="E916" s="29" t="n">
        <x:f>YEAR(B916)</x:f>
        <x:v>2021</x:v>
      </x:c>
      <x:c r="F916" s="29" t="n">
        <x:f>MONTH(B916)</x:f>
        <x:v>3</x:v>
      </x:c>
      <x:c r="G916" s="30" t="n">
        <x:v>-28.44</x:v>
      </x:c>
      <x:c r="H916" s="30" t="n">
        <x:v>-71.26</x:v>
      </x:c>
      <x:c r="I916" s="29" t="n">
        <x:v>44</x:v>
      </x:c>
      <x:c r="J916" s="31" t="n">
        <x:v>4.3</x:v>
      </x:c>
      <x:c r="K916" s="25" t="str">
        <x:f>IF(J916&gt;=7,"Muy fuerte (&gt;=7)",IF(J916&gt;=6,"Fuerte (6-6.9)",IF(J916&gt;=5,"Moderado alto (5-5.9)",IF(J916&gt;=4,"Moderado (4-4.9)","Menor a 4"))))</x:f>
        <x:v>Moderado (4-4.9)</x:v>
      </x:c>
      <x:c r="L916" s="25" t="str">
        <x:f>IF(I916&lt;70,"Superficial (&lt;70 km)",IF(I916&lt;=300,"Intermedio (70-300 km)","Profundo (&gt;300 km)"))</x:f>
        <x:v>Superficial (&lt;70 km)</x:v>
      </x:c>
      <x:c r="M916" s="25" t="str">
        <x:f>IF(J916&gt;=5,"Sí","No")</x:f>
        <x:v>No</x:v>
      </x:c>
      <x:c r="N916" s="25" t="str">
        <x:f>IF(J916&gt;=6,"Sí","No")</x:f>
        <x:v>No</x:v>
      </x:c>
      <x:c r="O916" s="25" t="str">
        <x:v>Pendiente: asignar con R/sf</x:v>
      </x:c>
    </x:row>
    <x:row r="917">
      <x:c r="A917" s="25" t="n">
        <x:v>916</x:v>
      </x:c>
      <x:c r="B917" s="26" t="n">
        <x:v>44239.40997685185</x:v>
      </x:c>
      <x:c r="C917" s="27" t="n">
        <x:f>INT(B917)</x:f>
        <x:v>44239</x:v>
      </x:c>
      <x:c r="D917" s="28" t="n">
        <x:f>MOD(B917,1)</x:f>
        <x:v>0.40997685184993315</x:v>
      </x:c>
      <x:c r="E917" s="29" t="n">
        <x:f>YEAR(B917)</x:f>
        <x:v>2021</x:v>
      </x:c>
      <x:c r="F917" s="29" t="n">
        <x:f>MONTH(B917)</x:f>
        <x:v>2</x:v>
      </x:c>
      <x:c r="G917" s="30" t="n">
        <x:v>-30.71</x:v>
      </x:c>
      <x:c r="H917" s="30" t="n">
        <x:v>-71.4</x:v>
      </x:c>
      <x:c r="I917" s="29" t="n">
        <x:v>44</x:v>
      </x:c>
      <x:c r="J917" s="31" t="n">
        <x:v>4.7</x:v>
      </x:c>
      <x:c r="K917" s="25" t="str">
        <x:f>IF(J917&gt;=7,"Muy fuerte (&gt;=7)",IF(J917&gt;=6,"Fuerte (6-6.9)",IF(J917&gt;=5,"Moderado alto (5-5.9)",IF(J917&gt;=4,"Moderado (4-4.9)","Menor a 4"))))</x:f>
        <x:v>Moderado (4-4.9)</x:v>
      </x:c>
      <x:c r="L917" s="25" t="str">
        <x:f>IF(I917&lt;70,"Superficial (&lt;70 km)",IF(I917&lt;=300,"Intermedio (70-300 km)","Profundo (&gt;300 km)"))</x:f>
        <x:v>Superficial (&lt;70 km)</x:v>
      </x:c>
      <x:c r="M917" s="25" t="str">
        <x:f>IF(J917&gt;=5,"Sí","No")</x:f>
        <x:v>No</x:v>
      </x:c>
      <x:c r="N917" s="25" t="str">
        <x:f>IF(J917&gt;=6,"Sí","No")</x:f>
        <x:v>No</x:v>
      </x:c>
      <x:c r="O917" s="25" t="str">
        <x:v>Pendiente: asignar con R/sf</x:v>
      </x:c>
    </x:row>
    <x:row r="918">
      <x:c r="A918" s="25" t="n">
        <x:v>917</x:v>
      </x:c>
      <x:c r="B918" s="26" t="n">
        <x:v>44398.683287037034</x:v>
      </x:c>
      <x:c r="C918" s="27" t="n">
        <x:f>INT(B918)</x:f>
        <x:v>44398</x:v>
      </x:c>
      <x:c r="D918" s="28" t="n">
        <x:f>MOD(B918,1)</x:f>
        <x:v>0.6832870370344608</x:v>
      </x:c>
      <x:c r="E918" s="29" t="n">
        <x:f>YEAR(B918)</x:f>
        <x:v>2021</x:v>
      </x:c>
      <x:c r="F918" s="29" t="n">
        <x:f>MONTH(B918)</x:f>
        <x:v>7</x:v>
      </x:c>
      <x:c r="G918" s="30" t="n">
        <x:v>-21.71</x:v>
      </x:c>
      <x:c r="H918" s="30" t="n">
        <x:v>-68.71</x:v>
      </x:c>
      <x:c r="I918" s="29" t="n">
        <x:v>108</x:v>
      </x:c>
      <x:c r="J918" s="31" t="n">
        <x:v>5</x:v>
      </x:c>
      <x:c r="K918" s="25" t="str">
        <x:f>IF(J918&gt;=7,"Muy fuerte (&gt;=7)",IF(J918&gt;=6,"Fuerte (6-6.9)",IF(J918&gt;=5,"Moderado alto (5-5.9)",IF(J918&gt;=4,"Moderado (4-4.9)","Menor a 4"))))</x:f>
        <x:v>Moderado alto (5-5.9)</x:v>
      </x:c>
      <x:c r="L918" s="25" t="str">
        <x:f>IF(I918&lt;70,"Superficial (&lt;70 km)",IF(I918&lt;=300,"Intermedio (70-300 km)","Profundo (&gt;300 km)"))</x:f>
        <x:v>Intermedio (70-300 km)</x:v>
      </x:c>
      <x:c r="M918" s="25" t="str">
        <x:f>IF(J918&gt;=5,"Sí","No")</x:f>
        <x:v>Sí</x:v>
      </x:c>
      <x:c r="N918" s="25" t="str">
        <x:f>IF(J918&gt;=6,"Sí","No")</x:f>
        <x:v>No</x:v>
      </x:c>
      <x:c r="O918" s="25" t="str">
        <x:v>Pendiente: asignar con R/sf</x:v>
      </x:c>
    </x:row>
    <x:row r="919">
      <x:c r="A919" s="25" t="n">
        <x:v>918</x:v>
      </x:c>
      <x:c r="B919" s="26" t="n">
        <x:v>44287.25127314815</x:v>
      </x:c>
      <x:c r="C919" s="27" t="n">
        <x:f>INT(B919)</x:f>
        <x:v>44287</x:v>
      </x:c>
      <x:c r="D919" s="28" t="n">
        <x:f>MOD(B919,1)</x:f>
        <x:v>0.2512731481474475</x:v>
      </x:c>
      <x:c r="E919" s="29" t="n">
        <x:f>YEAR(B919)</x:f>
        <x:v>2021</x:v>
      </x:c>
      <x:c r="F919" s="29" t="n">
        <x:f>MONTH(B919)</x:f>
        <x:v>4</x:v>
      </x:c>
      <x:c r="G919" s="30" t="n">
        <x:v>-29.3</x:v>
      </x:c>
      <x:c r="H919" s="30" t="n">
        <x:v>-71.28</x:v>
      </x:c>
      <x:c r="I919" s="29" t="n">
        <x:v>61</x:v>
      </x:c>
      <x:c r="J919" s="31" t="n">
        <x:v>4.1</x:v>
      </x:c>
      <x:c r="K919" s="25" t="str">
        <x:f>IF(J919&gt;=7,"Muy fuerte (&gt;=7)",IF(J919&gt;=6,"Fuerte (6-6.9)",IF(J919&gt;=5,"Moderado alto (5-5.9)",IF(J919&gt;=4,"Moderado (4-4.9)","Menor a 4"))))</x:f>
        <x:v>Moderado (4-4.9)</x:v>
      </x:c>
      <x:c r="L919" s="25" t="str">
        <x:f>IF(I919&lt;70,"Superficial (&lt;70 km)",IF(I919&lt;=300,"Intermedio (70-300 km)","Profundo (&gt;300 km)"))</x:f>
        <x:v>Superficial (&lt;70 km)</x:v>
      </x:c>
      <x:c r="M919" s="25" t="str">
        <x:f>IF(J919&gt;=5,"Sí","No")</x:f>
        <x:v>No</x:v>
      </x:c>
      <x:c r="N919" s="25" t="str">
        <x:f>IF(J919&gt;=6,"Sí","No")</x:f>
        <x:v>No</x:v>
      </x:c>
      <x:c r="O919" s="25" t="str">
        <x:v>Pendiente: asignar con R/sf</x:v>
      </x:c>
    </x:row>
    <x:row r="920">
      <x:c r="A920" s="25" t="n">
        <x:v>919</x:v>
      </x:c>
      <x:c r="B920" s="26" t="n">
        <x:v>44280.23568287037</x:v>
      </x:c>
      <x:c r="C920" s="27" t="n">
        <x:f>INT(B920)</x:f>
        <x:v>44280</x:v>
      </x:c>
      <x:c r="D920" s="28" t="n">
        <x:f>MOD(B920,1)</x:f>
        <x:v>0.2356828703705105</x:v>
      </x:c>
      <x:c r="E920" s="29" t="n">
        <x:f>YEAR(B920)</x:f>
        <x:v>2021</x:v>
      </x:c>
      <x:c r="F920" s="29" t="n">
        <x:f>MONTH(B920)</x:f>
        <x:v>3</x:v>
      </x:c>
      <x:c r="G920" s="30" t="n">
        <x:v>-28.63</x:v>
      </x:c>
      <x:c r="H920" s="30" t="n">
        <x:v>-70.54</x:v>
      </x:c>
      <x:c r="I920" s="29" t="n">
        <x:v>107</x:v>
      </x:c>
      <x:c r="J920" s="31" t="n">
        <x:v>4.5</x:v>
      </x:c>
      <x:c r="K920" s="25" t="str">
        <x:f>IF(J920&gt;=7,"Muy fuerte (&gt;=7)",IF(J920&gt;=6,"Fuerte (6-6.9)",IF(J920&gt;=5,"Moderado alto (5-5.9)",IF(J920&gt;=4,"Moderado (4-4.9)","Menor a 4"))))</x:f>
        <x:v>Moderado (4-4.9)</x:v>
      </x:c>
      <x:c r="L920" s="25" t="str">
        <x:f>IF(I920&lt;70,"Superficial (&lt;70 km)",IF(I920&lt;=300,"Intermedio (70-300 km)","Profundo (&gt;300 km)"))</x:f>
        <x:v>Intermedio (70-300 km)</x:v>
      </x:c>
      <x:c r="M920" s="25" t="str">
        <x:f>IF(J920&gt;=5,"Sí","No")</x:f>
        <x:v>No</x:v>
      </x:c>
      <x:c r="N920" s="25" t="str">
        <x:f>IF(J920&gt;=6,"Sí","No")</x:f>
        <x:v>No</x:v>
      </x:c>
      <x:c r="O920" s="25" t="str">
        <x:v>Pendiente: asignar con R/sf</x:v>
      </x:c>
    </x:row>
    <x:row r="921">
      <x:c r="A921" s="25" t="n">
        <x:v>920</x:v>
      </x:c>
      <x:c r="B921" s="26" t="n">
        <x:v>44090.271006944444</x:v>
      </x:c>
      <x:c r="C921" s="27" t="n">
        <x:f>INT(B921)</x:f>
        <x:v>44090</x:v>
      </x:c>
      <x:c r="D921" s="28" t="n">
        <x:f>MOD(B921,1)</x:f>
        <x:v>0.2710069444437977</x:v>
      </x:c>
      <x:c r="E921" s="29" t="n">
        <x:f>YEAR(B921)</x:f>
        <x:v>2020</x:v>
      </x:c>
      <x:c r="F921" s="29" t="n">
        <x:f>MONTH(B921)</x:f>
        <x:v>9</x:v>
      </x:c>
      <x:c r="G921" s="30" t="n">
        <x:v>-31.51</x:v>
      </x:c>
      <x:c r="H921" s="30" t="n">
        <x:v>-71.65</x:v>
      </x:c>
      <x:c r="I921" s="29" t="n">
        <x:v>70</x:v>
      </x:c>
      <x:c r="J921" s="31" t="n">
        <x:v>4.3</x:v>
      </x:c>
      <x:c r="K921" s="25" t="str">
        <x:f>IF(J921&gt;=7,"Muy fuerte (&gt;=7)",IF(J921&gt;=6,"Fuerte (6-6.9)",IF(J921&gt;=5,"Moderado alto (5-5.9)",IF(J921&gt;=4,"Moderado (4-4.9)","Menor a 4"))))</x:f>
        <x:v>Moderado (4-4.9)</x:v>
      </x:c>
      <x:c r="L921" s="25" t="str">
        <x:f>IF(I921&lt;70,"Superficial (&lt;70 km)",IF(I921&lt;=300,"Intermedio (70-300 km)","Profundo (&gt;300 km)"))</x:f>
        <x:v>Intermedio (70-300 km)</x:v>
      </x:c>
      <x:c r="M921" s="25" t="str">
        <x:f>IF(J921&gt;=5,"Sí","No")</x:f>
        <x:v>No</x:v>
      </x:c>
      <x:c r="N921" s="25" t="str">
        <x:f>IF(J921&gt;=6,"Sí","No")</x:f>
        <x:v>No</x:v>
      </x:c>
      <x:c r="O921" s="25" t="str">
        <x:v>Pendiente: asignar con R/sf</x:v>
      </x:c>
    </x:row>
    <x:row r="922">
      <x:c r="A922" s="25" t="n">
        <x:v>921</x:v>
      </x:c>
      <x:c r="B922" s="26" t="n">
        <x:v>43667.399513888886</x:v>
      </x:c>
      <x:c r="C922" s="27" t="n">
        <x:f>INT(B922)</x:f>
        <x:v>43667</x:v>
      </x:c>
      <x:c r="D922" s="28" t="n">
        <x:f>MOD(B922,1)</x:f>
        <x:v>0.39951388888584916</x:v>
      </x:c>
      <x:c r="E922" s="29" t="n">
        <x:f>YEAR(B922)</x:f>
        <x:v>2019</x:v>
      </x:c>
      <x:c r="F922" s="29" t="n">
        <x:f>MONTH(B922)</x:f>
        <x:v>7</x:v>
      </x:c>
      <x:c r="G922" s="30" t="n">
        <x:v>-28.79</x:v>
      </x:c>
      <x:c r="H922" s="30" t="n">
        <x:v>-69.95</x:v>
      </x:c>
      <x:c r="I922" s="29" t="n">
        <x:v>110</x:v>
      </x:c>
      <x:c r="J922" s="31" t="n">
        <x:v>3.5</x:v>
      </x:c>
      <x:c r="K922" s="25" t="str">
        <x:f>IF(J922&gt;=7,"Muy fuerte (&gt;=7)",IF(J922&gt;=6,"Fuerte (6-6.9)",IF(J922&gt;=5,"Moderado alto (5-5.9)",IF(J922&gt;=4,"Moderado (4-4.9)","Menor a 4"))))</x:f>
        <x:v>Menor a 4</x:v>
      </x:c>
      <x:c r="L922" s="25" t="str">
        <x:f>IF(I922&lt;70,"Superficial (&lt;70 km)",IF(I922&lt;=300,"Intermedio (70-300 km)","Profundo (&gt;300 km)"))</x:f>
        <x:v>Intermedio (70-300 km)</x:v>
      </x:c>
      <x:c r="M922" s="25" t="str">
        <x:f>IF(J922&gt;=5,"Sí","No")</x:f>
        <x:v>No</x:v>
      </x:c>
      <x:c r="N922" s="25" t="str">
        <x:f>IF(J922&gt;=6,"Sí","No")</x:f>
        <x:v>No</x:v>
      </x:c>
      <x:c r="O922" s="25" t="str">
        <x:v>Pendiente: asignar con R/sf</x:v>
      </x:c>
    </x:row>
    <x:row r="923">
      <x:c r="A923" s="25" t="n">
        <x:v>922</x:v>
      </x:c>
      <x:c r="B923" s="26" t="n">
        <x:v>44245.22782407407</x:v>
      </x:c>
      <x:c r="C923" s="27" t="n">
        <x:f>INT(B923)</x:f>
        <x:v>44245</x:v>
      </x:c>
      <x:c r="D923" s="28" t="n">
        <x:f>MOD(B923,1)</x:f>
        <x:v>0.22782407407066785</x:v>
      </x:c>
      <x:c r="E923" s="29" t="n">
        <x:f>YEAR(B923)</x:f>
        <x:v>2021</x:v>
      </x:c>
      <x:c r="F923" s="29" t="n">
        <x:f>MONTH(B923)</x:f>
        <x:v>2</x:v>
      </x:c>
      <x:c r="G923" s="30" t="n">
        <x:v>-31.31</x:v>
      </x:c>
      <x:c r="H923" s="30" t="n">
        <x:v>-71.5</x:v>
      </x:c>
      <x:c r="I923" s="29" t="n">
        <x:v>56</x:v>
      </x:c>
      <x:c r="J923" s="31" t="n">
        <x:v>3.2</x:v>
      </x:c>
      <x:c r="K923" s="25" t="str">
        <x:f>IF(J923&gt;=7,"Muy fuerte (&gt;=7)",IF(J923&gt;=6,"Fuerte (6-6.9)",IF(J923&gt;=5,"Moderado alto (5-5.9)",IF(J923&gt;=4,"Moderado (4-4.9)","Menor a 4"))))</x:f>
        <x:v>Menor a 4</x:v>
      </x:c>
      <x:c r="L923" s="25" t="str">
        <x:f>IF(I923&lt;70,"Superficial (&lt;70 km)",IF(I923&lt;=300,"Intermedio (70-300 km)","Profundo (&gt;300 km)"))</x:f>
        <x:v>Superficial (&lt;70 km)</x:v>
      </x:c>
      <x:c r="M923" s="25" t="str">
        <x:f>IF(J923&gt;=5,"Sí","No")</x:f>
        <x:v>No</x:v>
      </x:c>
      <x:c r="N923" s="25" t="str">
        <x:f>IF(J923&gt;=6,"Sí","No")</x:f>
        <x:v>No</x:v>
      </x:c>
      <x:c r="O923" s="25" t="str">
        <x:v>Pendiente: asignar con R/sf</x:v>
      </x:c>
    </x:row>
    <x:row r="924">
      <x:c r="A924" s="25" t="n">
        <x:v>923</x:v>
      </x:c>
      <x:c r="B924" s="26" t="n">
        <x:v>44228.1640625</x:v>
      </x:c>
      <x:c r="C924" s="27" t="n">
        <x:f>INT(B924)</x:f>
        <x:v>44228</x:v>
      </x:c>
      <x:c r="D924" s="28" t="n">
        <x:f>MOD(B924,1)</x:f>
        <x:v>0.1640625</x:v>
      </x:c>
      <x:c r="E924" s="29" t="n">
        <x:f>YEAR(B924)</x:f>
        <x:v>2021</x:v>
      </x:c>
      <x:c r="F924" s="29" t="n">
        <x:f>MONTH(B924)</x:f>
        <x:v>2</x:v>
      </x:c>
      <x:c r="G924" s="30" t="n">
        <x:v>-29.71</x:v>
      </x:c>
      <x:c r="H924" s="30" t="n">
        <x:v>-71.3</x:v>
      </x:c>
      <x:c r="I924" s="29" t="n">
        <x:v>53</x:v>
      </x:c>
      <x:c r="J924" s="31" t="n">
        <x:v>4.1</x:v>
      </x:c>
      <x:c r="K924" s="25" t="str">
        <x:f>IF(J924&gt;=7,"Muy fuerte (&gt;=7)",IF(J924&gt;=6,"Fuerte (6-6.9)",IF(J924&gt;=5,"Moderado alto (5-5.9)",IF(J924&gt;=4,"Moderado (4-4.9)","Menor a 4"))))</x:f>
        <x:v>Moderado (4-4.9)</x:v>
      </x:c>
      <x:c r="L924" s="25" t="str">
        <x:f>IF(I924&lt;70,"Superficial (&lt;70 km)",IF(I924&lt;=300,"Intermedio (70-300 km)","Profundo (&gt;300 km)"))</x:f>
        <x:v>Superficial (&lt;70 km)</x:v>
      </x:c>
      <x:c r="M924" s="25" t="str">
        <x:f>IF(J924&gt;=5,"Sí","No")</x:f>
        <x:v>No</x:v>
      </x:c>
      <x:c r="N924" s="25" t="str">
        <x:f>IF(J924&gt;=6,"Sí","No")</x:f>
        <x:v>No</x:v>
      </x:c>
      <x:c r="O924" s="25" t="str">
        <x:v>Pendiente: asignar con R/sf</x:v>
      </x:c>
    </x:row>
    <x:row r="925">
      <x:c r="A925" s="25" t="n">
        <x:v>924</x:v>
      </x:c>
      <x:c r="B925" s="26" t="n">
        <x:v>44148.97707175926</x:v>
      </x:c>
      <x:c r="C925" s="27" t="n">
        <x:f>INT(B925)</x:f>
        <x:v>44148</x:v>
      </x:c>
      <x:c r="D925" s="28" t="n">
        <x:f>MOD(B925,1)</x:f>
        <x:v>0.9770717592618894</x:v>
      </x:c>
      <x:c r="E925" s="29" t="n">
        <x:f>YEAR(B925)</x:f>
        <x:v>2020</x:v>
      </x:c>
      <x:c r="F925" s="29" t="n">
        <x:f>MONTH(B925)</x:f>
        <x:v>11</x:v>
      </x:c>
      <x:c r="G925" s="30" t="n">
        <x:v>-31.77</x:v>
      </x:c>
      <x:c r="H925" s="30" t="n">
        <x:v>-71.44</x:v>
      </x:c>
      <x:c r="I925" s="29" t="n">
        <x:v>59</x:v>
      </x:c>
      <x:c r="J925" s="31" t="n">
        <x:v>4.7</x:v>
      </x:c>
      <x:c r="K925" s="25" t="str">
        <x:f>IF(J925&gt;=7,"Muy fuerte (&gt;=7)",IF(J925&gt;=6,"Fuerte (6-6.9)",IF(J925&gt;=5,"Moderado alto (5-5.9)",IF(J925&gt;=4,"Moderado (4-4.9)","Menor a 4"))))</x:f>
        <x:v>Moderado (4-4.9)</x:v>
      </x:c>
      <x:c r="L925" s="25" t="str">
        <x:f>IF(I925&lt;70,"Superficial (&lt;70 km)",IF(I925&lt;=300,"Intermedio (70-300 km)","Profundo (&gt;300 km)"))</x:f>
        <x:v>Superficial (&lt;70 km)</x:v>
      </x:c>
      <x:c r="M925" s="25" t="str">
        <x:f>IF(J925&gt;=5,"Sí","No")</x:f>
        <x:v>No</x:v>
      </x:c>
      <x:c r="N925" s="25" t="str">
        <x:f>IF(J925&gt;=6,"Sí","No")</x:f>
        <x:v>No</x:v>
      </x:c>
      <x:c r="O925" s="25" t="str">
        <x:v>Pendiente: asignar con R/sf</x:v>
      </x:c>
    </x:row>
    <x:row r="926">
      <x:c r="A926" s="25" t="n">
        <x:v>925</x:v>
      </x:c>
      <x:c r="B926" s="26" t="n">
        <x:v>44175.03236111111</x:v>
      </x:c>
      <x:c r="C926" s="27" t="n">
        <x:f>INT(B926)</x:f>
        <x:v>44175</x:v>
      </x:c>
      <x:c r="D926" s="28" t="n">
        <x:f>MOD(B926,1)</x:f>
        <x:v>0.032361111108912155</x:v>
      </x:c>
      <x:c r="E926" s="29" t="n">
        <x:f>YEAR(B926)</x:f>
        <x:v>2020</x:v>
      </x:c>
      <x:c r="F926" s="29" t="n">
        <x:f>MONTH(B926)</x:f>
        <x:v>12</x:v>
      </x:c>
      <x:c r="G926" s="30" t="n">
        <x:v>-28.29</x:v>
      </x:c>
      <x:c r="H926" s="30" t="n">
        <x:v>-71.3</x:v>
      </x:c>
      <x:c r="I926" s="29" t="n">
        <x:v>37</x:v>
      </x:c>
      <x:c r="J926" s="31" t="n">
        <x:v>4.4</x:v>
      </x:c>
      <x:c r="K926" s="25" t="str">
        <x:f>IF(J926&gt;=7,"Muy fuerte (&gt;=7)",IF(J926&gt;=6,"Fuerte (6-6.9)",IF(J926&gt;=5,"Moderado alto (5-5.9)",IF(J926&gt;=4,"Moderado (4-4.9)","Menor a 4"))))</x:f>
        <x:v>Moderado (4-4.9)</x:v>
      </x:c>
      <x:c r="L926" s="25" t="str">
        <x:f>IF(I926&lt;70,"Superficial (&lt;70 km)",IF(I926&lt;=300,"Intermedio (70-300 km)","Profundo (&gt;300 km)"))</x:f>
        <x:v>Superficial (&lt;70 km)</x:v>
      </x:c>
      <x:c r="M926" s="25" t="str">
        <x:f>IF(J926&gt;=5,"Sí","No")</x:f>
        <x:v>No</x:v>
      </x:c>
      <x:c r="N926" s="25" t="str">
        <x:f>IF(J926&gt;=6,"Sí","No")</x:f>
        <x:v>No</x:v>
      </x:c>
      <x:c r="O926" s="25" t="str">
        <x:v>Pendiente: asignar con R/sf</x:v>
      </x:c>
    </x:row>
    <x:row r="927">
      <x:c r="A927" s="25" t="n">
        <x:v>926</x:v>
      </x:c>
      <x:c r="B927" s="26" t="n">
        <x:v>43772.55782407407</x:v>
      </x:c>
      <x:c r="C927" s="27" t="n">
        <x:f>INT(B927)</x:f>
        <x:v>43772</x:v>
      </x:c>
      <x:c r="D927" s="28" t="n">
        <x:f>MOD(B927,1)</x:f>
        <x:v>0.5578240740724141</x:v>
      </x:c>
      <x:c r="E927" s="29" t="n">
        <x:f>YEAR(B927)</x:f>
        <x:v>2019</x:v>
      </x:c>
      <x:c r="F927" s="29" t="n">
        <x:f>MONTH(B927)</x:f>
        <x:v>11</x:v>
      </x:c>
      <x:c r="G927" s="30" t="n">
        <x:v>-29.2</x:v>
      </x:c>
      <x:c r="H927" s="30" t="n">
        <x:v>-67.85</x:v>
      </x:c>
      <x:c r="I927" s="29" t="n">
        <x:v>138</x:v>
      </x:c>
      <x:c r="J927" s="31" t="n">
        <x:v>5.5</x:v>
      </x:c>
      <x:c r="K927" s="25" t="str">
        <x:f>IF(J927&gt;=7,"Muy fuerte (&gt;=7)",IF(J927&gt;=6,"Fuerte (6-6.9)",IF(J927&gt;=5,"Moderado alto (5-5.9)",IF(J927&gt;=4,"Moderado (4-4.9)","Menor a 4"))))</x:f>
        <x:v>Moderado alto (5-5.9)</x:v>
      </x:c>
      <x:c r="L927" s="25" t="str">
        <x:f>IF(I927&lt;70,"Superficial (&lt;70 km)",IF(I927&lt;=300,"Intermedio (70-300 km)","Profundo (&gt;300 km)"))</x:f>
        <x:v>Intermedio (70-300 km)</x:v>
      </x:c>
      <x:c r="M927" s="25" t="str">
        <x:f>IF(J927&gt;=5,"Sí","No")</x:f>
        <x:v>Sí</x:v>
      </x:c>
      <x:c r="N927" s="25" t="str">
        <x:f>IF(J927&gt;=6,"Sí","No")</x:f>
        <x:v>No</x:v>
      </x:c>
      <x:c r="O927" s="25" t="str">
        <x:v>Pendiente: asignar con R/sf</x:v>
      </x:c>
    </x:row>
    <x:row r="928">
      <x:c r="A928" s="25" t="n">
        <x:v>927</x:v>
      </x:c>
      <x:c r="B928" s="26" t="n">
        <x:v>44346.32938657407</x:v>
      </x:c>
      <x:c r="C928" s="27" t="n">
        <x:f>INT(B928)</x:f>
        <x:v>44346</x:v>
      </x:c>
      <x:c r="D928" s="28" t="n">
        <x:f>MOD(B928,1)</x:f>
        <x:v>0.32938657407066785</x:v>
      </x:c>
      <x:c r="E928" s="29" t="n">
        <x:f>YEAR(B928)</x:f>
        <x:v>2021</x:v>
      </x:c>
      <x:c r="F928" s="29" t="n">
        <x:f>MONTH(B928)</x:f>
        <x:v>5</x:v>
      </x:c>
      <x:c r="G928" s="30" t="n">
        <x:v>-28.66</x:v>
      </x:c>
      <x:c r="H928" s="30" t="n">
        <x:v>-70.44</x:v>
      </x:c>
      <x:c r="I928" s="29" t="n">
        <x:v>88</x:v>
      </x:c>
      <x:c r="J928" s="31" t="n">
        <x:v>3.6</x:v>
      </x:c>
      <x:c r="K928" s="25" t="str">
        <x:f>IF(J928&gt;=7,"Muy fuerte (&gt;=7)",IF(J928&gt;=6,"Fuerte (6-6.9)",IF(J928&gt;=5,"Moderado alto (5-5.9)",IF(J928&gt;=4,"Moderado (4-4.9)","Menor a 4"))))</x:f>
        <x:v>Menor a 4</x:v>
      </x:c>
      <x:c r="L928" s="25" t="str">
        <x:f>IF(I928&lt;70,"Superficial (&lt;70 km)",IF(I928&lt;=300,"Intermedio (70-300 km)","Profundo (&gt;300 km)"))</x:f>
        <x:v>Intermedio (70-300 km)</x:v>
      </x:c>
      <x:c r="M928" s="25" t="str">
        <x:f>IF(J928&gt;=5,"Sí","No")</x:f>
        <x:v>No</x:v>
      </x:c>
      <x:c r="N928" s="25" t="str">
        <x:f>IF(J928&gt;=6,"Sí","No")</x:f>
        <x:v>No</x:v>
      </x:c>
      <x:c r="O928" s="25" t="str">
        <x:v>Pendiente: asignar con R/sf</x:v>
      </x:c>
    </x:row>
    <x:row r="929">
      <x:c r="A929" s="25" t="n">
        <x:v>928</x:v>
      </x:c>
      <x:c r="B929" s="26" t="n">
        <x:v>44381.04278935185</x:v>
      </x:c>
      <x:c r="C929" s="27" t="n">
        <x:f>INT(B929)</x:f>
        <x:v>44381</x:v>
      </x:c>
      <x:c r="D929" s="28" t="n">
        <x:f>MOD(B929,1)</x:f>
        <x:v>0.042789351849933155</x:v>
      </x:c>
      <x:c r="E929" s="29" t="n">
        <x:f>YEAR(B929)</x:f>
        <x:v>2021</x:v>
      </x:c>
      <x:c r="F929" s="29" t="n">
        <x:f>MONTH(B929)</x:f>
        <x:v>7</x:v>
      </x:c>
      <x:c r="G929" s="30" t="n">
        <x:v>-28.8</x:v>
      </x:c>
      <x:c r="H929" s="30" t="n">
        <x:v>-71.57</x:v>
      </x:c>
      <x:c r="I929" s="29" t="n">
        <x:v>25</x:v>
      </x:c>
      <x:c r="J929" s="31" t="n">
        <x:v>5.8</x:v>
      </x:c>
      <x:c r="K929" s="25" t="str">
        <x:f>IF(J929&gt;=7,"Muy fuerte (&gt;=7)",IF(J929&gt;=6,"Fuerte (6-6.9)",IF(J929&gt;=5,"Moderado alto (5-5.9)",IF(J929&gt;=4,"Moderado (4-4.9)","Menor a 4"))))</x:f>
        <x:v>Moderado alto (5-5.9)</x:v>
      </x:c>
      <x:c r="L929" s="25" t="str">
        <x:f>IF(I929&lt;70,"Superficial (&lt;70 km)",IF(I929&lt;=300,"Intermedio (70-300 km)","Profundo (&gt;300 km)"))</x:f>
        <x:v>Superficial (&lt;70 km)</x:v>
      </x:c>
      <x:c r="M929" s="25" t="str">
        <x:f>IF(J929&gt;=5,"Sí","No")</x:f>
        <x:v>Sí</x:v>
      </x:c>
      <x:c r="N929" s="25" t="str">
        <x:f>IF(J929&gt;=6,"Sí","No")</x:f>
        <x:v>No</x:v>
      </x:c>
      <x:c r="O929" s="25" t="str">
        <x:v>Pendiente: asignar con R/sf</x:v>
      </x:c>
    </x:row>
    <x:row r="930">
      <x:c r="A930" s="25" t="n">
        <x:v>929</x:v>
      </x:c>
      <x:c r="B930" s="26" t="n">
        <x:v>44288.998402777775</x:v>
      </x:c>
      <x:c r="C930" s="27" t="n">
        <x:f>INT(B930)</x:f>
        <x:v>44288</x:v>
      </x:c>
      <x:c r="D930" s="28" t="n">
        <x:f>MOD(B930,1)</x:f>
        <x:v>0.9984027777754818</x:v>
      </x:c>
      <x:c r="E930" s="29" t="n">
        <x:f>YEAR(B930)</x:f>
        <x:v>2021</x:v>
      </x:c>
      <x:c r="F930" s="29" t="n">
        <x:f>MONTH(B930)</x:f>
        <x:v>4</x:v>
      </x:c>
      <x:c r="G930" s="30" t="n">
        <x:v>-31.82</x:v>
      </x:c>
      <x:c r="H930" s="30" t="n">
        <x:v>-71.31</x:v>
      </x:c>
      <x:c r="I930" s="29" t="n">
        <x:v>59</x:v>
      </x:c>
      <x:c r="J930" s="31" t="n">
        <x:v>4.3</x:v>
      </x:c>
      <x:c r="K930" s="25" t="str">
        <x:f>IF(J930&gt;=7,"Muy fuerte (&gt;=7)",IF(J930&gt;=6,"Fuerte (6-6.9)",IF(J930&gt;=5,"Moderado alto (5-5.9)",IF(J930&gt;=4,"Moderado (4-4.9)","Menor a 4"))))</x:f>
        <x:v>Moderado (4-4.9)</x:v>
      </x:c>
      <x:c r="L930" s="25" t="str">
        <x:f>IF(I930&lt;70,"Superficial (&lt;70 km)",IF(I930&lt;=300,"Intermedio (70-300 km)","Profundo (&gt;300 km)"))</x:f>
        <x:v>Superficial (&lt;70 km)</x:v>
      </x:c>
      <x:c r="M930" s="25" t="str">
        <x:f>IF(J930&gt;=5,"Sí","No")</x:f>
        <x:v>No</x:v>
      </x:c>
      <x:c r="N930" s="25" t="str">
        <x:f>IF(J930&gt;=6,"Sí","No")</x:f>
        <x:v>No</x:v>
      </x:c>
      <x:c r="O930" s="25" t="str">
        <x:v>Pendiente: asignar con R/sf</x:v>
      </x:c>
    </x:row>
    <x:row r="931">
      <x:c r="A931" s="25" t="n">
        <x:v>930</x:v>
      </x:c>
      <x:c r="B931" s="26" t="n">
        <x:v>44335.614895833336</x:v>
      </x:c>
      <x:c r="C931" s="27" t="n">
        <x:f>INT(B931)</x:f>
        <x:v>44335</x:v>
      </x:c>
      <x:c r="D931" s="28" t="n">
        <x:f>MOD(B931,1)</x:f>
        <x:v>0.6148958333360497</x:v>
      </x:c>
      <x:c r="E931" s="29" t="n">
        <x:f>YEAR(B931)</x:f>
        <x:v>2021</x:v>
      </x:c>
      <x:c r="F931" s="29" t="n">
        <x:f>MONTH(B931)</x:f>
        <x:v>5</x:v>
      </x:c>
      <x:c r="G931" s="30" t="n">
        <x:v>-31.49</x:v>
      </x:c>
      <x:c r="H931" s="30" t="n">
        <x:v>-71.65</x:v>
      </x:c>
      <x:c r="I931" s="29" t="n">
        <x:v>32</x:v>
      </x:c>
      <x:c r="J931" s="31" t="n">
        <x:v>3.8</x:v>
      </x:c>
      <x:c r="K931" s="25" t="str">
        <x:f>IF(J931&gt;=7,"Muy fuerte (&gt;=7)",IF(J931&gt;=6,"Fuerte (6-6.9)",IF(J931&gt;=5,"Moderado alto (5-5.9)",IF(J931&gt;=4,"Moderado (4-4.9)","Menor a 4"))))</x:f>
        <x:v>Menor a 4</x:v>
      </x:c>
      <x:c r="L931" s="25" t="str">
        <x:f>IF(I931&lt;70,"Superficial (&lt;70 km)",IF(I931&lt;=300,"Intermedio (70-300 km)","Profundo (&gt;300 km)"))</x:f>
        <x:v>Superficial (&lt;70 km)</x:v>
      </x:c>
      <x:c r="M931" s="25" t="str">
        <x:f>IF(J931&gt;=5,"Sí","No")</x:f>
        <x:v>No</x:v>
      </x:c>
      <x:c r="N931" s="25" t="str">
        <x:f>IF(J931&gt;=6,"Sí","No")</x:f>
        <x:v>No</x:v>
      </x:c>
      <x:c r="O931" s="25" t="str">
        <x:v>Pendiente: asignar con R/sf</x:v>
      </x:c>
    </x:row>
    <x:row r="932">
      <x:c r="A932" s="25" t="n">
        <x:v>931</x:v>
      </x:c>
      <x:c r="B932" s="26" t="n">
        <x:v>44290.17875</x:v>
      </x:c>
      <x:c r="C932" s="27" t="n">
        <x:f>INT(B932)</x:f>
        <x:v>44290</x:v>
      </x:c>
      <x:c r="D932" s="28" t="n">
        <x:f>MOD(B932,1)</x:f>
        <x:v>0.17874999999912689</x:v>
      </x:c>
      <x:c r="E932" s="29" t="n">
        <x:f>YEAR(B932)</x:f>
        <x:v>2021</x:v>
      </x:c>
      <x:c r="F932" s="29" t="n">
        <x:f>MONTH(B932)</x:f>
        <x:v>4</x:v>
      </x:c>
      <x:c r="G932" s="30" t="n">
        <x:v>-28.98</x:v>
      </x:c>
      <x:c r="H932" s="30" t="n">
        <x:v>-71.86</x:v>
      </x:c>
      <x:c r="I932" s="29" t="n">
        <x:v>45</x:v>
      </x:c>
      <x:c r="J932" s="31" t="n">
        <x:v>4.6</x:v>
      </x:c>
      <x:c r="K932" s="25" t="str">
        <x:f>IF(J932&gt;=7,"Muy fuerte (&gt;=7)",IF(J932&gt;=6,"Fuerte (6-6.9)",IF(J932&gt;=5,"Moderado alto (5-5.9)",IF(J932&gt;=4,"Moderado (4-4.9)","Menor a 4"))))</x:f>
        <x:v>Moderado (4-4.9)</x:v>
      </x:c>
      <x:c r="L932" s="25" t="str">
        <x:f>IF(I932&lt;70,"Superficial (&lt;70 km)",IF(I932&lt;=300,"Intermedio (70-300 km)","Profundo (&gt;300 km)"))</x:f>
        <x:v>Superficial (&lt;70 km)</x:v>
      </x:c>
      <x:c r="M932" s="25" t="str">
        <x:f>IF(J932&gt;=5,"Sí","No")</x:f>
        <x:v>No</x:v>
      </x:c>
      <x:c r="N932" s="25" t="str">
        <x:f>IF(J932&gt;=6,"Sí","No")</x:f>
        <x:v>No</x:v>
      </x:c>
      <x:c r="O932" s="25" t="str">
        <x:v>Pendiente: asignar con R/sf</x:v>
      </x:c>
    </x:row>
    <x:row r="933">
      <x:c r="A933" s="25" t="n">
        <x:v>932</x:v>
      </x:c>
      <x:c r="B933" s="26" t="n">
        <x:v>44306.44</x:v>
      </x:c>
      <x:c r="C933" s="27" t="n">
        <x:f>INT(B933)</x:f>
        <x:v>44306</x:v>
      </x:c>
      <x:c r="D933" s="28" t="n">
        <x:f>MOD(B933,1)</x:f>
        <x:v>0.4400000000023283</x:v>
      </x:c>
      <x:c r="E933" s="29" t="n">
        <x:f>YEAR(B933)</x:f>
        <x:v>2021</x:v>
      </x:c>
      <x:c r="F933" s="29" t="n">
        <x:f>MONTH(B933)</x:f>
        <x:v>4</x:v>
      </x:c>
      <x:c r="G933" s="30" t="n">
        <x:v>-31.35</x:v>
      </x:c>
      <x:c r="H933" s="30" t="n">
        <x:v>-71.68</x:v>
      </x:c>
      <x:c r="I933" s="29" t="n">
        <x:v>40</x:v>
      </x:c>
      <x:c r="J933" s="31" t="n">
        <x:v>3.4</x:v>
      </x:c>
      <x:c r="K933" s="25" t="str">
        <x:f>IF(J933&gt;=7,"Muy fuerte (&gt;=7)",IF(J933&gt;=6,"Fuerte (6-6.9)",IF(J933&gt;=5,"Moderado alto (5-5.9)",IF(J933&gt;=4,"Moderado (4-4.9)","Menor a 4"))))</x:f>
        <x:v>Menor a 4</x:v>
      </x:c>
      <x:c r="L933" s="25" t="str">
        <x:f>IF(I933&lt;70,"Superficial (&lt;70 km)",IF(I933&lt;=300,"Intermedio (70-300 km)","Profundo (&gt;300 km)"))</x:f>
        <x:v>Superficial (&lt;70 km)</x:v>
      </x:c>
      <x:c r="M933" s="25" t="str">
        <x:f>IF(J933&gt;=5,"Sí","No")</x:f>
        <x:v>No</x:v>
      </x:c>
      <x:c r="N933" s="25" t="str">
        <x:f>IF(J933&gt;=6,"Sí","No")</x:f>
        <x:v>No</x:v>
      </x:c>
      <x:c r="O933" s="25" t="str">
        <x:v>Pendiente: asignar con R/sf</x:v>
      </x:c>
    </x:row>
    <x:row r="934">
      <x:c r="A934" s="25" t="n">
        <x:v>933</x:v>
      </x:c>
      <x:c r="B934" s="26" t="n">
        <x:v>44019.139861111114</x:v>
      </x:c>
      <x:c r="C934" s="27" t="n">
        <x:f>INT(B934)</x:f>
        <x:v>44019</x:v>
      </x:c>
      <x:c r="D934" s="28" t="n">
        <x:f>MOD(B934,1)</x:f>
        <x:v>0.13986111111444188</x:v>
      </x:c>
      <x:c r="E934" s="29" t="n">
        <x:f>YEAR(B934)</x:f>
        <x:v>2020</x:v>
      </x:c>
      <x:c r="F934" s="29" t="n">
        <x:f>MONTH(B934)</x:f>
        <x:v>7</x:v>
      </x:c>
      <x:c r="G934" s="30" t="n">
        <x:v>-27.57</x:v>
      </x:c>
      <x:c r="H934" s="30" t="n">
        <x:v>-70.25</x:v>
      </x:c>
      <x:c r="I934" s="29" t="n">
        <x:v>94</x:v>
      </x:c>
      <x:c r="J934" s="31" t="n">
        <x:v>3.5</x:v>
      </x:c>
      <x:c r="K934" s="25" t="str">
        <x:f>IF(J934&gt;=7,"Muy fuerte (&gt;=7)",IF(J934&gt;=6,"Fuerte (6-6.9)",IF(J934&gt;=5,"Moderado alto (5-5.9)",IF(J934&gt;=4,"Moderado (4-4.9)","Menor a 4"))))</x:f>
        <x:v>Menor a 4</x:v>
      </x:c>
      <x:c r="L934" s="25" t="str">
        <x:f>IF(I934&lt;70,"Superficial (&lt;70 km)",IF(I934&lt;=300,"Intermedio (70-300 km)","Profundo (&gt;300 km)"))</x:f>
        <x:v>Intermedio (70-300 km)</x:v>
      </x:c>
      <x:c r="M934" s="25" t="str">
        <x:f>IF(J934&gt;=5,"Sí","No")</x:f>
        <x:v>No</x:v>
      </x:c>
      <x:c r="N934" s="25" t="str">
        <x:f>IF(J934&gt;=6,"Sí","No")</x:f>
        <x:v>No</x:v>
      </x:c>
      <x:c r="O934" s="25" t="str">
        <x:v>Pendiente: asignar con R/sf</x:v>
      </x:c>
    </x:row>
    <x:row r="935">
      <x:c r="A935" s="25" t="n">
        <x:v>934</x:v>
      </x:c>
      <x:c r="B935" s="26" t="n">
        <x:v>44170.943553240744</x:v>
      </x:c>
      <x:c r="C935" s="27" t="n">
        <x:f>INT(B935)</x:f>
        <x:v>44170</x:v>
      </x:c>
      <x:c r="D935" s="28" t="n">
        <x:f>MOD(B935,1)</x:f>
        <x:v>0.9435532407442224</x:v>
      </x:c>
      <x:c r="E935" s="29" t="n">
        <x:f>YEAR(B935)</x:f>
        <x:v>2020</x:v>
      </x:c>
      <x:c r="F935" s="29" t="n">
        <x:f>MONTH(B935)</x:f>
        <x:v>12</x:v>
      </x:c>
      <x:c r="G935" s="30" t="n">
        <x:v>-28.25</x:v>
      </x:c>
      <x:c r="H935" s="30" t="n">
        <x:v>-71.31</x:v>
      </x:c>
      <x:c r="I935" s="29" t="n">
        <x:v>34</x:v>
      </x:c>
      <x:c r="J935" s="31" t="n">
        <x:v>4.4</x:v>
      </x:c>
      <x:c r="K935" s="25" t="str">
        <x:f>IF(J935&gt;=7,"Muy fuerte (&gt;=7)",IF(J935&gt;=6,"Fuerte (6-6.9)",IF(J935&gt;=5,"Moderado alto (5-5.9)",IF(J935&gt;=4,"Moderado (4-4.9)","Menor a 4"))))</x:f>
        <x:v>Moderado (4-4.9)</x:v>
      </x:c>
      <x:c r="L935" s="25" t="str">
        <x:f>IF(I935&lt;70,"Superficial (&lt;70 km)",IF(I935&lt;=300,"Intermedio (70-300 km)","Profundo (&gt;300 km)"))</x:f>
        <x:v>Superficial (&lt;70 km)</x:v>
      </x:c>
      <x:c r="M935" s="25" t="str">
        <x:f>IF(J935&gt;=5,"Sí","No")</x:f>
        <x:v>No</x:v>
      </x:c>
      <x:c r="N935" s="25" t="str">
        <x:f>IF(J935&gt;=6,"Sí","No")</x:f>
        <x:v>No</x:v>
      </x:c>
      <x:c r="O935" s="25" t="str">
        <x:v>Pendiente: asignar con R/sf</x:v>
      </x:c>
    </x:row>
    <x:row r="936">
      <x:c r="A936" s="25" t="n">
        <x:v>935</x:v>
      </x:c>
      <x:c r="B936" s="26" t="n">
        <x:v>44402.07332175926</x:v>
      </x:c>
      <x:c r="C936" s="27" t="n">
        <x:f>INT(B936)</x:f>
        <x:v>44402</x:v>
      </x:c>
      <x:c r="D936" s="28" t="n">
        <x:f>MOD(B936,1)</x:f>
        <x:v>0.07332175925694173</x:v>
      </x:c>
      <x:c r="E936" s="29" t="n">
        <x:f>YEAR(B936)</x:f>
        <x:v>2021</x:v>
      </x:c>
      <x:c r="F936" s="29" t="n">
        <x:f>MONTH(B936)</x:f>
        <x:v>7</x:v>
      </x:c>
      <x:c r="G936" s="30" t="n">
        <x:v>-19.87</x:v>
      </x:c>
      <x:c r="H936" s="30" t="n">
        <x:v>-69.9</x:v>
      </x:c>
      <x:c r="I936" s="29" t="n">
        <x:v>56</x:v>
      </x:c>
      <x:c r="J936" s="31" t="n">
        <x:v>3.1</x:v>
      </x:c>
      <x:c r="K936" s="25" t="str">
        <x:f>IF(J936&gt;=7,"Muy fuerte (&gt;=7)",IF(J936&gt;=6,"Fuerte (6-6.9)",IF(J936&gt;=5,"Moderado alto (5-5.9)",IF(J936&gt;=4,"Moderado (4-4.9)","Menor a 4"))))</x:f>
        <x:v>Menor a 4</x:v>
      </x:c>
      <x:c r="L936" s="25" t="str">
        <x:f>IF(I936&lt;70,"Superficial (&lt;70 km)",IF(I936&lt;=300,"Intermedio (70-300 km)","Profundo (&gt;300 km)"))</x:f>
        <x:v>Superficial (&lt;70 km)</x:v>
      </x:c>
      <x:c r="M936" s="25" t="str">
        <x:f>IF(J936&gt;=5,"Sí","No")</x:f>
        <x:v>No</x:v>
      </x:c>
      <x:c r="N936" s="25" t="str">
        <x:f>IF(J936&gt;=6,"Sí","No")</x:f>
        <x:v>No</x:v>
      </x:c>
      <x:c r="O936" s="25" t="str">
        <x:v>Pendiente: asignar con R/sf</x:v>
      </x:c>
    </x:row>
    <x:row r="937">
      <x:c r="A937" s="25" t="n">
        <x:v>936</x:v>
      </x:c>
      <x:c r="B937" s="26" t="n">
        <x:v>44181.678564814814</x:v>
      </x:c>
      <x:c r="C937" s="27" t="n">
        <x:f>INT(B937)</x:f>
        <x:v>44181</x:v>
      </x:c>
      <x:c r="D937" s="28" t="n">
        <x:f>MOD(B937,1)</x:f>
        <x:v>0.6785648148143082</x:v>
      </x:c>
      <x:c r="E937" s="29" t="n">
        <x:f>YEAR(B937)</x:f>
        <x:v>2020</x:v>
      </x:c>
      <x:c r="F937" s="29" t="n">
        <x:f>MONTH(B937)</x:f>
        <x:v>12</x:v>
      </x:c>
      <x:c r="G937" s="30" t="n">
        <x:v>-31.29</x:v>
      </x:c>
      <x:c r="H937" s="30" t="n">
        <x:v>-71.51</x:v>
      </x:c>
      <x:c r="I937" s="29" t="n">
        <x:v>58</x:v>
      </x:c>
      <x:c r="J937" s="31" t="n">
        <x:v>3.5</x:v>
      </x:c>
      <x:c r="K937" s="25" t="str">
        <x:f>IF(J937&gt;=7,"Muy fuerte (&gt;=7)",IF(J937&gt;=6,"Fuerte (6-6.9)",IF(J937&gt;=5,"Moderado alto (5-5.9)",IF(J937&gt;=4,"Moderado (4-4.9)","Menor a 4"))))</x:f>
        <x:v>Menor a 4</x:v>
      </x:c>
      <x:c r="L937" s="25" t="str">
        <x:f>IF(I937&lt;70,"Superficial (&lt;70 km)",IF(I937&lt;=300,"Intermedio (70-300 km)","Profundo (&gt;300 km)"))</x:f>
        <x:v>Superficial (&lt;70 km)</x:v>
      </x:c>
      <x:c r="M937" s="25" t="str">
        <x:f>IF(J937&gt;=5,"Sí","No")</x:f>
        <x:v>No</x:v>
      </x:c>
      <x:c r="N937" s="25" t="str">
        <x:f>IF(J937&gt;=6,"Sí","No")</x:f>
        <x:v>No</x:v>
      </x:c>
      <x:c r="O937" s="25" t="str">
        <x:v>Pendiente: asignar con R/sf</x:v>
      </x:c>
    </x:row>
    <x:row r="938">
      <x:c r="A938" s="25" t="n">
        <x:v>937</x:v>
      </x:c>
      <x:c r="B938" s="26" t="n">
        <x:v>44175.183530092596</x:v>
      </x:c>
      <x:c r="C938" s="27" t="n">
        <x:f>INT(B938)</x:f>
        <x:v>44175</x:v>
      </x:c>
      <x:c r="D938" s="28" t="n">
        <x:f>MOD(B938,1)</x:f>
        <x:v>0.1835300925959018</x:v>
      </x:c>
      <x:c r="E938" s="29" t="n">
        <x:f>YEAR(B938)</x:f>
        <x:v>2020</x:v>
      </x:c>
      <x:c r="F938" s="29" t="n">
        <x:f>MONTH(B938)</x:f>
        <x:v>12</x:v>
      </x:c>
      <x:c r="G938" s="30" t="n">
        <x:v>-31.48</x:v>
      </x:c>
      <x:c r="H938" s="30" t="n">
        <x:v>-71.72</x:v>
      </x:c>
      <x:c r="I938" s="29" t="n">
        <x:v>32</x:v>
      </x:c>
      <x:c r="J938" s="31" t="n">
        <x:v>3.4</x:v>
      </x:c>
      <x:c r="K938" s="25" t="str">
        <x:f>IF(J938&gt;=7,"Muy fuerte (&gt;=7)",IF(J938&gt;=6,"Fuerte (6-6.9)",IF(J938&gt;=5,"Moderado alto (5-5.9)",IF(J938&gt;=4,"Moderado (4-4.9)","Menor a 4"))))</x:f>
        <x:v>Menor a 4</x:v>
      </x:c>
      <x:c r="L938" s="25" t="str">
        <x:f>IF(I938&lt;70,"Superficial (&lt;70 km)",IF(I938&lt;=300,"Intermedio (70-300 km)","Profundo (&gt;300 km)"))</x:f>
        <x:v>Superficial (&lt;70 km)</x:v>
      </x:c>
      <x:c r="M938" s="25" t="str">
        <x:f>IF(J938&gt;=5,"Sí","No")</x:f>
        <x:v>No</x:v>
      </x:c>
      <x:c r="N938" s="25" t="str">
        <x:f>IF(J938&gt;=6,"Sí","No")</x:f>
        <x:v>No</x:v>
      </x:c>
      <x:c r="O938" s="25" t="str">
        <x:v>Pendiente: asignar con R/sf</x:v>
      </x:c>
    </x:row>
    <x:row r="939">
      <x:c r="A939" s="25" t="n">
        <x:v>938</x:v>
      </x:c>
      <x:c r="B939" s="26" t="n">
        <x:v>44341.27001157407</x:v>
      </x:c>
      <x:c r="C939" s="27" t="n">
        <x:f>INT(B939)</x:f>
        <x:v>44341</x:v>
      </x:c>
      <x:c r="D939" s="28" t="n">
        <x:f>MOD(B939,1)</x:f>
        <x:v>0.27001157407357823</x:v>
      </x:c>
      <x:c r="E939" s="29" t="n">
        <x:f>YEAR(B939)</x:f>
        <x:v>2021</x:v>
      </x:c>
      <x:c r="F939" s="29" t="n">
        <x:f>MONTH(B939)</x:f>
        <x:v>5</x:v>
      </x:c>
      <x:c r="G939" s="30" t="n">
        <x:v>-33.9</x:v>
      </x:c>
      <x:c r="H939" s="30" t="n">
        <x:v>-70.36</x:v>
      </x:c>
      <x:c r="I939" s="29" t="n">
        <x:v>112</x:v>
      </x:c>
      <x:c r="J939" s="31" t="n">
        <x:v>4.7</x:v>
      </x:c>
      <x:c r="K939" s="25" t="str">
        <x:f>IF(J939&gt;=7,"Muy fuerte (&gt;=7)",IF(J939&gt;=6,"Fuerte (6-6.9)",IF(J939&gt;=5,"Moderado alto (5-5.9)",IF(J939&gt;=4,"Moderado (4-4.9)","Menor a 4"))))</x:f>
        <x:v>Moderado (4-4.9)</x:v>
      </x:c>
      <x:c r="L939" s="25" t="str">
        <x:f>IF(I939&lt;70,"Superficial (&lt;70 km)",IF(I939&lt;=300,"Intermedio (70-300 km)","Profundo (&gt;300 km)"))</x:f>
        <x:v>Intermedio (70-300 km)</x:v>
      </x:c>
      <x:c r="M939" s="25" t="str">
        <x:f>IF(J939&gt;=5,"Sí","No")</x:f>
        <x:v>No</x:v>
      </x:c>
      <x:c r="N939" s="25" t="str">
        <x:f>IF(J939&gt;=6,"Sí","No")</x:f>
        <x:v>No</x:v>
      </x:c>
      <x:c r="O939" s="25" t="str">
        <x:v>Pendiente: asignar con R/sf</x:v>
      </x:c>
    </x:row>
    <x:row r="940">
      <x:c r="A940" s="25" t="n">
        <x:v>939</x:v>
      </x:c>
      <x:c r="B940" s="26" t="n">
        <x:v>44380.33248842593</x:v>
      </x:c>
      <x:c r="C940" s="27" t="n">
        <x:f>INT(B940)</x:f>
        <x:v>44380</x:v>
      </x:c>
      <x:c r="D940" s="28" t="n">
        <x:f>MOD(B940,1)</x:f>
        <x:v>0.3324884259272949</x:v>
      </x:c>
      <x:c r="E940" s="29" t="n">
        <x:f>YEAR(B940)</x:f>
        <x:v>2021</x:v>
      </x:c>
      <x:c r="F940" s="29" t="n">
        <x:f>MONTH(B940)</x:f>
        <x:v>7</x:v>
      </x:c>
      <x:c r="G940" s="30" t="n">
        <x:v>-20.25</x:v>
      </x:c>
      <x:c r="H940" s="30" t="n">
        <x:v>-69.22</x:v>
      </x:c>
      <x:c r="I940" s="29" t="n">
        <x:v>85</x:v>
      </x:c>
      <x:c r="J940" s="31" t="n">
        <x:v>4.3</x:v>
      </x:c>
      <x:c r="K940" s="25" t="str">
        <x:f>IF(J940&gt;=7,"Muy fuerte (&gt;=7)",IF(J940&gt;=6,"Fuerte (6-6.9)",IF(J940&gt;=5,"Moderado alto (5-5.9)",IF(J940&gt;=4,"Moderado (4-4.9)","Menor a 4"))))</x:f>
        <x:v>Moderado (4-4.9)</x:v>
      </x:c>
      <x:c r="L940" s="25" t="str">
        <x:f>IF(I940&lt;70,"Superficial (&lt;70 km)",IF(I940&lt;=300,"Intermedio (70-300 km)","Profundo (&gt;300 km)"))</x:f>
        <x:v>Intermedio (70-300 km)</x:v>
      </x:c>
      <x:c r="M940" s="25" t="str">
        <x:f>IF(J940&gt;=5,"Sí","No")</x:f>
        <x:v>No</x:v>
      </x:c>
      <x:c r="N940" s="25" t="str">
        <x:f>IF(J940&gt;=6,"Sí","No")</x:f>
        <x:v>No</x:v>
      </x:c>
      <x:c r="O940" s="25" t="str">
        <x:v>Pendiente: asignar con R/sf</x:v>
      </x:c>
    </x:row>
    <x:row r="941">
      <x:c r="A941" s="25" t="n">
        <x:v>940</x:v>
      </x:c>
      <x:c r="B941" s="26" t="n">
        <x:v>44171.04641203704</x:v>
      </x:c>
      <x:c r="C941" s="27" t="n">
        <x:f>INT(B941)</x:f>
        <x:v>44171</x:v>
      </x:c>
      <x:c r="D941" s="28" t="n">
        <x:f>MOD(B941,1)</x:f>
        <x:v>0.04641203703795327</x:v>
      </x:c>
      <x:c r="E941" s="29" t="n">
        <x:f>YEAR(B941)</x:f>
        <x:v>2020</x:v>
      </x:c>
      <x:c r="F941" s="29" t="n">
        <x:f>MONTH(B941)</x:f>
        <x:v>12</x:v>
      </x:c>
      <x:c r="G941" s="30" t="n">
        <x:v>-28.28</x:v>
      </x:c>
      <x:c r="H941" s="30" t="n">
        <x:v>-71.3</x:v>
      </x:c>
      <x:c r="I941" s="29" t="n">
        <x:v>32</x:v>
      </x:c>
      <x:c r="J941" s="31" t="n">
        <x:v>4.2</x:v>
      </x:c>
      <x:c r="K941" s="25" t="str">
        <x:f>IF(J941&gt;=7,"Muy fuerte (&gt;=7)",IF(J941&gt;=6,"Fuerte (6-6.9)",IF(J941&gt;=5,"Moderado alto (5-5.9)",IF(J941&gt;=4,"Moderado (4-4.9)","Menor a 4"))))</x:f>
        <x:v>Moderado (4-4.9)</x:v>
      </x:c>
      <x:c r="L941" s="25" t="str">
        <x:f>IF(I941&lt;70,"Superficial (&lt;70 km)",IF(I941&lt;=300,"Intermedio (70-300 km)","Profundo (&gt;300 km)"))</x:f>
        <x:v>Superficial (&lt;70 km)</x:v>
      </x:c>
      <x:c r="M941" s="25" t="str">
        <x:f>IF(J941&gt;=5,"Sí","No")</x:f>
        <x:v>No</x:v>
      </x:c>
      <x:c r="N941" s="25" t="str">
        <x:f>IF(J941&gt;=6,"Sí","No")</x:f>
        <x:v>No</x:v>
      </x:c>
      <x:c r="O941" s="25" t="str">
        <x:v>Pendiente: asignar con R/sf</x:v>
      </x:c>
    </x:row>
    <x:row r="942">
      <x:c r="A942" s="25" t="n">
        <x:v>941</x:v>
      </x:c>
      <x:c r="B942" s="26" t="n">
        <x:v>44213.522361111114</x:v>
      </x:c>
      <x:c r="C942" s="27" t="n">
        <x:f>INT(B942)</x:f>
        <x:v>44213</x:v>
      </x:c>
      <x:c r="D942" s="28" t="n">
        <x:f>MOD(B942,1)</x:f>
        <x:v>0.5223611111141508</x:v>
      </x:c>
      <x:c r="E942" s="29" t="n">
        <x:f>YEAR(B942)</x:f>
        <x:v>2021</x:v>
      </x:c>
      <x:c r="F942" s="29" t="n">
        <x:f>MONTH(B942)</x:f>
        <x:v>1</x:v>
      </x:c>
      <x:c r="G942" s="30" t="n">
        <x:v>-31.82</x:v>
      </x:c>
      <x:c r="H942" s="30" t="n">
        <x:v>-71.41</x:v>
      </x:c>
      <x:c r="I942" s="29" t="n">
        <x:v>50</x:v>
      </x:c>
      <x:c r="J942" s="31" t="n">
        <x:v>4.4</x:v>
      </x:c>
      <x:c r="K942" s="25" t="str">
        <x:f>IF(J942&gt;=7,"Muy fuerte (&gt;=7)",IF(J942&gt;=6,"Fuerte (6-6.9)",IF(J942&gt;=5,"Moderado alto (5-5.9)",IF(J942&gt;=4,"Moderado (4-4.9)","Menor a 4"))))</x:f>
        <x:v>Moderado (4-4.9)</x:v>
      </x:c>
      <x:c r="L942" s="25" t="str">
        <x:f>IF(I942&lt;70,"Superficial (&lt;70 km)",IF(I942&lt;=300,"Intermedio (70-300 km)","Profundo (&gt;300 km)"))</x:f>
        <x:v>Superficial (&lt;70 km)</x:v>
      </x:c>
      <x:c r="M942" s="25" t="str">
        <x:f>IF(J942&gt;=5,"Sí","No")</x:f>
        <x:v>No</x:v>
      </x:c>
      <x:c r="N942" s="25" t="str">
        <x:f>IF(J942&gt;=6,"Sí","No")</x:f>
        <x:v>No</x:v>
      </x:c>
      <x:c r="O942" s="25" t="str">
        <x:v>Pendiente: asignar con R/sf</x:v>
      </x:c>
    </x:row>
    <x:row r="943">
      <x:c r="A943" s="25" t="n">
        <x:v>942</x:v>
      </x:c>
      <x:c r="B943" s="26" t="n">
        <x:v>44339.91596064815</x:v>
      </x:c>
      <x:c r="C943" s="27" t="n">
        <x:f>INT(B943)</x:f>
        <x:v>44339</x:v>
      </x:c>
      <x:c r="D943" s="28" t="n">
        <x:f>MOD(B943,1)</x:f>
        <x:v>0.9159606481480296</x:v>
      </x:c>
      <x:c r="E943" s="29" t="n">
        <x:f>YEAR(B943)</x:f>
        <x:v>2021</x:v>
      </x:c>
      <x:c r="F943" s="29" t="n">
        <x:f>MONTH(B943)</x:f>
        <x:v>5</x:v>
      </x:c>
      <x:c r="G943" s="30" t="n">
        <x:v>-33.29</x:v>
      </x:c>
      <x:c r="H943" s="30" t="n">
        <x:v>-71.36</x:v>
      </x:c>
      <x:c r="I943" s="29" t="n">
        <x:v>60</x:v>
      </x:c>
      <x:c r="J943" s="31" t="n">
        <x:v>4.7</x:v>
      </x:c>
      <x:c r="K943" s="25" t="str">
        <x:f>IF(J943&gt;=7,"Muy fuerte (&gt;=7)",IF(J943&gt;=6,"Fuerte (6-6.9)",IF(J943&gt;=5,"Moderado alto (5-5.9)",IF(J943&gt;=4,"Moderado (4-4.9)","Menor a 4"))))</x:f>
        <x:v>Moderado (4-4.9)</x:v>
      </x:c>
      <x:c r="L943" s="25" t="str">
        <x:f>IF(I943&lt;70,"Superficial (&lt;70 km)",IF(I943&lt;=300,"Intermedio (70-300 km)","Profundo (&gt;300 km)"))</x:f>
        <x:v>Superficial (&lt;70 km)</x:v>
      </x:c>
      <x:c r="M943" s="25" t="str">
        <x:f>IF(J943&gt;=5,"Sí","No")</x:f>
        <x:v>No</x:v>
      </x:c>
      <x:c r="N943" s="25" t="str">
        <x:f>IF(J943&gt;=6,"Sí","No")</x:f>
        <x:v>No</x:v>
      </x:c>
      <x:c r="O943" s="25" t="str">
        <x:v>Pendiente: asignar con R/sf</x:v>
      </x:c>
    </x:row>
    <x:row r="944">
      <x:c r="A944" s="25" t="n">
        <x:v>943</x:v>
      </x:c>
      <x:c r="B944" s="26" t="n">
        <x:v>43733.821805555555</x:v>
      </x:c>
      <x:c r="C944" s="27" t="n">
        <x:f>INT(B944)</x:f>
        <x:v>43733</x:v>
      </x:c>
      <x:c r="D944" s="28" t="n">
        <x:f>MOD(B944,1)</x:f>
        <x:v>0.8218055555553292</x:v>
      </x:c>
      <x:c r="E944" s="29" t="n">
        <x:f>YEAR(B944)</x:f>
        <x:v>2019</x:v>
      </x:c>
      <x:c r="F944" s="29" t="n">
        <x:f>MONTH(B944)</x:f>
        <x:v>9</x:v>
      </x:c>
      <x:c r="G944" s="30" t="n">
        <x:v>-27.82</x:v>
      </x:c>
      <x:c r="H944" s="30" t="n">
        <x:v>-66.75</x:v>
      </x:c>
      <x:c r="I944" s="29" t="n">
        <x:v>167</x:v>
      </x:c>
      <x:c r="J944" s="31" t="n">
        <x:v>5.3</x:v>
      </x:c>
      <x:c r="K944" s="25" t="str">
        <x:f>IF(J944&gt;=7,"Muy fuerte (&gt;=7)",IF(J944&gt;=6,"Fuerte (6-6.9)",IF(J944&gt;=5,"Moderado alto (5-5.9)",IF(J944&gt;=4,"Moderado (4-4.9)","Menor a 4"))))</x:f>
        <x:v>Moderado alto (5-5.9)</x:v>
      </x:c>
      <x:c r="L944" s="25" t="str">
        <x:f>IF(I944&lt;70,"Superficial (&lt;70 km)",IF(I944&lt;=300,"Intermedio (70-300 km)","Profundo (&gt;300 km)"))</x:f>
        <x:v>Intermedio (70-300 km)</x:v>
      </x:c>
      <x:c r="M944" s="25" t="str">
        <x:f>IF(J944&gt;=5,"Sí","No")</x:f>
        <x:v>Sí</x:v>
      </x:c>
      <x:c r="N944" s="25" t="str">
        <x:f>IF(J944&gt;=6,"Sí","No")</x:f>
        <x:v>No</x:v>
      </x:c>
      <x:c r="O944" s="25" t="str">
        <x:v>Pendiente: asignar con R/sf</x:v>
      </x:c>
    </x:row>
    <x:row r="945">
      <x:c r="A945" s="25" t="n">
        <x:v>944</x:v>
      </x:c>
      <x:c r="B945" s="26" t="n">
        <x:v>44102.601435185185</x:v>
      </x:c>
      <x:c r="C945" s="27" t="n">
        <x:f>INT(B945)</x:f>
        <x:v>44102</x:v>
      </x:c>
      <x:c r="D945" s="28" t="n">
        <x:f>MOD(B945,1)</x:f>
        <x:v>0.6014351851845277</x:v>
      </x:c>
      <x:c r="E945" s="29" t="n">
        <x:f>YEAR(B945)</x:f>
        <x:v>2020</x:v>
      </x:c>
      <x:c r="F945" s="29" t="n">
        <x:f>MONTH(B945)</x:f>
        <x:v>9</x:v>
      </x:c>
      <x:c r="G945" s="30" t="n">
        <x:v>-29.26</x:v>
      </x:c>
      <x:c r="H945" s="30" t="n">
        <x:v>-71.22</x:v>
      </x:c>
      <x:c r="I945" s="29" t="n">
        <x:v>51</x:v>
      </x:c>
      <x:c r="J945" s="31" t="n">
        <x:v>3.9</x:v>
      </x:c>
      <x:c r="K945" s="25" t="str">
        <x:f>IF(J945&gt;=7,"Muy fuerte (&gt;=7)",IF(J945&gt;=6,"Fuerte (6-6.9)",IF(J945&gt;=5,"Moderado alto (5-5.9)",IF(J945&gt;=4,"Moderado (4-4.9)","Menor a 4"))))</x:f>
        <x:v>Menor a 4</x:v>
      </x:c>
      <x:c r="L945" s="25" t="str">
        <x:f>IF(I945&lt;70,"Superficial (&lt;70 km)",IF(I945&lt;=300,"Intermedio (70-300 km)","Profundo (&gt;300 km)"))</x:f>
        <x:v>Superficial (&lt;70 km)</x:v>
      </x:c>
      <x:c r="M945" s="25" t="str">
        <x:f>IF(J945&gt;=5,"Sí","No")</x:f>
        <x:v>No</x:v>
      </x:c>
      <x:c r="N945" s="25" t="str">
        <x:f>IF(J945&gt;=6,"Sí","No")</x:f>
        <x:v>No</x:v>
      </x:c>
      <x:c r="O945" s="25" t="str">
        <x:v>Pendiente: asignar con R/sf</x:v>
      </x:c>
    </x:row>
    <x:row r="946">
      <x:c r="A946" s="25" t="n">
        <x:v>945</x:v>
      </x:c>
      <x:c r="B946" s="26" t="n">
        <x:v>44094.8416087963</x:v>
      </x:c>
      <x:c r="C946" s="27" t="n">
        <x:f>INT(B946)</x:f>
        <x:v>44094</x:v>
      </x:c>
      <x:c r="D946" s="28" t="n">
        <x:f>MOD(B946,1)</x:f>
        <x:v>0.8416087962978054</x:v>
      </x:c>
      <x:c r="E946" s="29" t="n">
        <x:f>YEAR(B946)</x:f>
        <x:v>2020</x:v>
      </x:c>
      <x:c r="F946" s="29" t="n">
        <x:f>MONTH(B946)</x:f>
        <x:v>9</x:v>
      </x:c>
      <x:c r="G946" s="30" t="n">
        <x:v>-28.55</x:v>
      </x:c>
      <x:c r="H946" s="30" t="n">
        <x:v>-71.26</x:v>
      </x:c>
      <x:c r="I946" s="29" t="n">
        <x:v>42</x:v>
      </x:c>
      <x:c r="J946" s="31" t="n">
        <x:v>4.1</x:v>
      </x:c>
      <x:c r="K946" s="25" t="str">
        <x:f>IF(J946&gt;=7,"Muy fuerte (&gt;=7)",IF(J946&gt;=6,"Fuerte (6-6.9)",IF(J946&gt;=5,"Moderado alto (5-5.9)",IF(J946&gt;=4,"Moderado (4-4.9)","Menor a 4"))))</x:f>
        <x:v>Moderado (4-4.9)</x:v>
      </x:c>
      <x:c r="L946" s="25" t="str">
        <x:f>IF(I946&lt;70,"Superficial (&lt;70 km)",IF(I946&lt;=300,"Intermedio (70-300 km)","Profundo (&gt;300 km)"))</x:f>
        <x:v>Superficial (&lt;70 km)</x:v>
      </x:c>
      <x:c r="M946" s="25" t="str">
        <x:f>IF(J946&gt;=5,"Sí","No")</x:f>
        <x:v>No</x:v>
      </x:c>
      <x:c r="N946" s="25" t="str">
        <x:f>IF(J946&gt;=6,"Sí","No")</x:f>
        <x:v>No</x:v>
      </x:c>
      <x:c r="O946" s="25" t="str">
        <x:v>Pendiente: asignar con R/sf</x:v>
      </x:c>
    </x:row>
    <x:row r="947">
      <x:c r="A947" s="25" t="n">
        <x:v>946</x:v>
      </x:c>
      <x:c r="B947" s="26" t="n">
        <x:v>44087.62001157407</x:v>
      </x:c>
      <x:c r="C947" s="27" t="n">
        <x:f>INT(B947)</x:f>
        <x:v>44087</x:v>
      </x:c>
      <x:c r="D947" s="28" t="n">
        <x:f>MOD(B947,1)</x:f>
        <x:v>0.620011574072123</x:v>
      </x:c>
      <x:c r="E947" s="29" t="n">
        <x:f>YEAR(B947)</x:f>
        <x:v>2020</x:v>
      </x:c>
      <x:c r="F947" s="29" t="n">
        <x:f>MONTH(B947)</x:f>
        <x:v>9</x:v>
      </x:c>
      <x:c r="G947" s="30" t="n">
        <x:v>-29.04</x:v>
      </x:c>
      <x:c r="H947" s="30" t="n">
        <x:v>-71.31</x:v>
      </x:c>
      <x:c r="I947" s="29" t="n">
        <x:v>44</x:v>
      </x:c>
      <x:c r="J947" s="31" t="n">
        <x:v>4.5</x:v>
      </x:c>
      <x:c r="K947" s="25" t="str">
        <x:f>IF(J947&gt;=7,"Muy fuerte (&gt;=7)",IF(J947&gt;=6,"Fuerte (6-6.9)",IF(J947&gt;=5,"Moderado alto (5-5.9)",IF(J947&gt;=4,"Moderado (4-4.9)","Menor a 4"))))</x:f>
        <x:v>Moderado (4-4.9)</x:v>
      </x:c>
      <x:c r="L947" s="25" t="str">
        <x:f>IF(I947&lt;70,"Superficial (&lt;70 km)",IF(I947&lt;=300,"Intermedio (70-300 km)","Profundo (&gt;300 km)"))</x:f>
        <x:v>Superficial (&lt;70 km)</x:v>
      </x:c>
      <x:c r="M947" s="25" t="str">
        <x:f>IF(J947&gt;=5,"Sí","No")</x:f>
        <x:v>No</x:v>
      </x:c>
      <x:c r="N947" s="25" t="str">
        <x:f>IF(J947&gt;=6,"Sí","No")</x:f>
        <x:v>No</x:v>
      </x:c>
      <x:c r="O947" s="25" t="str">
        <x:v>Pendiente: asignar con R/sf</x:v>
      </x:c>
    </x:row>
    <x:row r="948">
      <x:c r="A948" s="25" t="n">
        <x:v>947</x:v>
      </x:c>
      <x:c r="B948" s="26" t="n">
        <x:v>44184.44372685185</x:v>
      </x:c>
      <x:c r="C948" s="27" t="n">
        <x:f>INT(B948)</x:f>
        <x:v>44184</x:v>
      </x:c>
      <x:c r="D948" s="28" t="n">
        <x:f>MOD(B948,1)</x:f>
        <x:v>0.44372685185226146</x:v>
      </x:c>
      <x:c r="E948" s="29" t="n">
        <x:f>YEAR(B948)</x:f>
        <x:v>2020</x:v>
      </x:c>
      <x:c r="F948" s="29" t="n">
        <x:f>MONTH(B948)</x:f>
        <x:v>12</x:v>
      </x:c>
      <x:c r="G948" s="30" t="n">
        <x:v>-28.75</x:v>
      </x:c>
      <x:c r="H948" s="30" t="n">
        <x:v>-72.52</x:v>
      </x:c>
      <x:c r="I948" s="29" t="n">
        <x:v>24</x:v>
      </x:c>
      <x:c r="J948" s="31" t="n">
        <x:v>4.8</x:v>
      </x:c>
      <x:c r="K948" s="25" t="str">
        <x:f>IF(J948&gt;=7,"Muy fuerte (&gt;=7)",IF(J948&gt;=6,"Fuerte (6-6.9)",IF(J948&gt;=5,"Moderado alto (5-5.9)",IF(J948&gt;=4,"Moderado (4-4.9)","Menor a 4"))))</x:f>
        <x:v>Moderado (4-4.9)</x:v>
      </x:c>
      <x:c r="L948" s="25" t="str">
        <x:f>IF(I948&lt;70,"Superficial (&lt;70 km)",IF(I948&lt;=300,"Intermedio (70-300 km)","Profundo (&gt;300 km)"))</x:f>
        <x:v>Superficial (&lt;70 km)</x:v>
      </x:c>
      <x:c r="M948" s="25" t="str">
        <x:f>IF(J948&gt;=5,"Sí","No")</x:f>
        <x:v>No</x:v>
      </x:c>
      <x:c r="N948" s="25" t="str">
        <x:f>IF(J948&gt;=6,"Sí","No")</x:f>
        <x:v>No</x:v>
      </x:c>
      <x:c r="O948" s="25" t="str">
        <x:v>Pendiente: asignar con R/sf</x:v>
      </x:c>
    </x:row>
    <x:row r="949">
      <x:c r="A949" s="25" t="n">
        <x:v>948</x:v>
      </x:c>
      <x:c r="B949" s="26" t="n">
        <x:v>44173.696967592594</x:v>
      </x:c>
      <x:c r="C949" s="27" t="n">
        <x:f>INT(B949)</x:f>
        <x:v>44173</x:v>
      </x:c>
      <x:c r="D949" s="28" t="n">
        <x:f>MOD(B949,1)</x:f>
        <x:v>0.6969675925938645</x:v>
      </x:c>
      <x:c r="E949" s="29" t="n">
        <x:f>YEAR(B949)</x:f>
        <x:v>2020</x:v>
      </x:c>
      <x:c r="F949" s="29" t="n">
        <x:f>MONTH(B949)</x:f>
        <x:v>12</x:v>
      </x:c>
      <x:c r="G949" s="30" t="n">
        <x:v>-28.25</x:v>
      </x:c>
      <x:c r="H949" s="30" t="n">
        <x:v>-71.31</x:v>
      </x:c>
      <x:c r="I949" s="29" t="n">
        <x:v>34</x:v>
      </x:c>
      <x:c r="J949" s="31" t="n">
        <x:v>4.2</x:v>
      </x:c>
      <x:c r="K949" s="25" t="str">
        <x:f>IF(J949&gt;=7,"Muy fuerte (&gt;=7)",IF(J949&gt;=6,"Fuerte (6-6.9)",IF(J949&gt;=5,"Moderado alto (5-5.9)",IF(J949&gt;=4,"Moderado (4-4.9)","Menor a 4"))))</x:f>
        <x:v>Moderado (4-4.9)</x:v>
      </x:c>
      <x:c r="L949" s="25" t="str">
        <x:f>IF(I949&lt;70,"Superficial (&lt;70 km)",IF(I949&lt;=300,"Intermedio (70-300 km)","Profundo (&gt;300 km)"))</x:f>
        <x:v>Superficial (&lt;70 km)</x:v>
      </x:c>
      <x:c r="M949" s="25" t="str">
        <x:f>IF(J949&gt;=5,"Sí","No")</x:f>
        <x:v>No</x:v>
      </x:c>
      <x:c r="N949" s="25" t="str">
        <x:f>IF(J949&gt;=6,"Sí","No")</x:f>
        <x:v>No</x:v>
      </x:c>
      <x:c r="O949" s="25" t="str">
        <x:v>Pendiente: asignar con R/sf</x:v>
      </x:c>
    </x:row>
    <x:row r="950">
      <x:c r="A950" s="25" t="n">
        <x:v>949</x:v>
      </x:c>
      <x:c r="B950" s="26" t="n">
        <x:v>44103.6003587963</x:v>
      </x:c>
      <x:c r="C950" s="27" t="n">
        <x:f>INT(B950)</x:f>
        <x:v>44103</x:v>
      </x:c>
      <x:c r="D950" s="28" t="n">
        <x:f>MOD(B950,1)</x:f>
        <x:v>0.6003587962986785</x:v>
      </x:c>
      <x:c r="E950" s="29" t="n">
        <x:f>YEAR(B950)</x:f>
        <x:v>2020</x:v>
      </x:c>
      <x:c r="F950" s="29" t="n">
        <x:f>MONTH(B950)</x:f>
        <x:v>9</x:v>
      </x:c>
      <x:c r="G950" s="30" t="n">
        <x:v>-33.7</x:v>
      </x:c>
      <x:c r="H950" s="30" t="n">
        <x:v>-70.82</x:v>
      </x:c>
      <x:c r="I950" s="29" t="n">
        <x:v>92</x:v>
      </x:c>
      <x:c r="J950" s="31" t="n">
        <x:v>4.4</x:v>
      </x:c>
      <x:c r="K950" s="25" t="str">
        <x:f>IF(J950&gt;=7,"Muy fuerte (&gt;=7)",IF(J950&gt;=6,"Fuerte (6-6.9)",IF(J950&gt;=5,"Moderado alto (5-5.9)",IF(J950&gt;=4,"Moderado (4-4.9)","Menor a 4"))))</x:f>
        <x:v>Moderado (4-4.9)</x:v>
      </x:c>
      <x:c r="L950" s="25" t="str">
        <x:f>IF(I950&lt;70,"Superficial (&lt;70 km)",IF(I950&lt;=300,"Intermedio (70-300 km)","Profundo (&gt;300 km)"))</x:f>
        <x:v>Intermedio (70-300 km)</x:v>
      </x:c>
      <x:c r="M950" s="25" t="str">
        <x:f>IF(J950&gt;=5,"Sí","No")</x:f>
        <x:v>No</x:v>
      </x:c>
      <x:c r="N950" s="25" t="str">
        <x:f>IF(J950&gt;=6,"Sí","No")</x:f>
        <x:v>No</x:v>
      </x:c>
      <x:c r="O950" s="25" t="str">
        <x:v>Pendiente: asignar con R/sf</x:v>
      </x:c>
    </x:row>
    <x:row r="951">
      <x:c r="A951" s="25" t="n">
        <x:v>950</x:v>
      </x:c>
      <x:c r="B951" s="26" t="n">
        <x:v>44213.7650462963</x:v>
      </x:c>
      <x:c r="C951" s="27" t="n">
        <x:f>INT(B951)</x:f>
        <x:v>44213</x:v>
      </x:c>
      <x:c r="D951" s="28" t="n">
        <x:f>MOD(B951,1)</x:f>
        <x:v>0.7650462962992606</x:v>
      </x:c>
      <x:c r="E951" s="29" t="n">
        <x:f>YEAR(B951)</x:f>
        <x:v>2021</x:v>
      </x:c>
      <x:c r="F951" s="29" t="n">
        <x:f>MONTH(B951)</x:f>
        <x:v>1</x:v>
      </x:c>
      <x:c r="G951" s="30" t="n">
        <x:v>-29.45</x:v>
      </x:c>
      <x:c r="H951" s="30" t="n">
        <x:v>-71.19</x:v>
      </x:c>
      <x:c r="I951" s="29" t="n">
        <x:v>55</x:v>
      </x:c>
      <x:c r="J951" s="31" t="n">
        <x:v>3.5</x:v>
      </x:c>
      <x:c r="K951" s="25" t="str">
        <x:f>IF(J951&gt;=7,"Muy fuerte (&gt;=7)",IF(J951&gt;=6,"Fuerte (6-6.9)",IF(J951&gt;=5,"Moderado alto (5-5.9)",IF(J951&gt;=4,"Moderado (4-4.9)","Menor a 4"))))</x:f>
        <x:v>Menor a 4</x:v>
      </x:c>
      <x:c r="L951" s="25" t="str">
        <x:f>IF(I951&lt;70,"Superficial (&lt;70 km)",IF(I951&lt;=300,"Intermedio (70-300 km)","Profundo (&gt;300 km)"))</x:f>
        <x:v>Superficial (&lt;70 km)</x:v>
      </x:c>
      <x:c r="M951" s="25" t="str">
        <x:f>IF(J951&gt;=5,"Sí","No")</x:f>
        <x:v>No</x:v>
      </x:c>
      <x:c r="N951" s="25" t="str">
        <x:f>IF(J951&gt;=6,"Sí","No")</x:f>
        <x:v>No</x:v>
      </x:c>
      <x:c r="O951" s="25" t="str">
        <x:v>Pendiente: asignar con R/sf</x:v>
      </x:c>
    </x:row>
    <x:row r="952">
      <x:c r="A952" s="25" t="n">
        <x:v>951</x:v>
      </x:c>
      <x:c r="B952" s="26" t="n">
        <x:v>44238.70133101852</x:v>
      </x:c>
      <x:c r="C952" s="27" t="n">
        <x:f>INT(B952)</x:f>
        <x:v>44238</x:v>
      </x:c>
      <x:c r="D952" s="28" t="n">
        <x:f>MOD(B952,1)</x:f>
        <x:v>0.7013310185211594</x:v>
      </x:c>
      <x:c r="E952" s="29" t="n">
        <x:f>YEAR(B952)</x:f>
        <x:v>2021</x:v>
      </x:c>
      <x:c r="F952" s="29" t="n">
        <x:f>MONTH(B952)</x:f>
        <x:v>2</x:v>
      </x:c>
      <x:c r="G952" s="30" t="n">
        <x:v>-29.93</x:v>
      </x:c>
      <x:c r="H952" s="30" t="n">
        <x:v>-71.33</x:v>
      </x:c>
      <x:c r="I952" s="29" t="n">
        <x:v>44</x:v>
      </x:c>
      <x:c r="J952" s="31" t="n">
        <x:v>4.2</x:v>
      </x:c>
      <x:c r="K952" s="25" t="str">
        <x:f>IF(J952&gt;=7,"Muy fuerte (&gt;=7)",IF(J952&gt;=6,"Fuerte (6-6.9)",IF(J952&gt;=5,"Moderado alto (5-5.9)",IF(J952&gt;=4,"Moderado (4-4.9)","Menor a 4"))))</x:f>
        <x:v>Moderado (4-4.9)</x:v>
      </x:c>
      <x:c r="L952" s="25" t="str">
        <x:f>IF(I952&lt;70,"Superficial (&lt;70 km)",IF(I952&lt;=300,"Intermedio (70-300 km)","Profundo (&gt;300 km)"))</x:f>
        <x:v>Superficial (&lt;70 km)</x:v>
      </x:c>
      <x:c r="M952" s="25" t="str">
        <x:f>IF(J952&gt;=5,"Sí","No")</x:f>
        <x:v>No</x:v>
      </x:c>
      <x:c r="N952" s="25" t="str">
        <x:f>IF(J952&gt;=6,"Sí","No")</x:f>
        <x:v>No</x:v>
      </x:c>
      <x:c r="O952" s="25" t="str">
        <x:v>Pendiente: asignar con R/sf</x:v>
      </x:c>
    </x:row>
    <x:row r="953">
      <x:c r="A953" s="25" t="n">
        <x:v>952</x:v>
      </x:c>
      <x:c r="B953" s="26" t="n">
        <x:v>44412.261724537035</x:v>
      </x:c>
      <x:c r="C953" s="27" t="n">
        <x:f>INT(B953)</x:f>
        <x:v>44412</x:v>
      </x:c>
      <x:c r="D953" s="28" t="n">
        <x:f>MOD(B953,1)</x:f>
        <x:v>0.26172453703475185</x:v>
      </x:c>
      <x:c r="E953" s="29" t="n">
        <x:f>YEAR(B953)</x:f>
        <x:v>2021</x:v>
      </x:c>
      <x:c r="F953" s="29" t="n">
        <x:f>MONTH(B953)</x:f>
        <x:v>8</x:v>
      </x:c>
      <x:c r="G953" s="30" t="n">
        <x:v>-18.45</x:v>
      </x:c>
      <x:c r="H953" s="30" t="n">
        <x:v>-69.53</x:v>
      </x:c>
      <x:c r="I953" s="29" t="n">
        <x:v>118</x:v>
      </x:c>
      <x:c r="J953" s="31" t="n">
        <x:v>4.7</x:v>
      </x:c>
      <x:c r="K953" s="25" t="str">
        <x:f>IF(J953&gt;=7,"Muy fuerte (&gt;=7)",IF(J953&gt;=6,"Fuerte (6-6.9)",IF(J953&gt;=5,"Moderado alto (5-5.9)",IF(J953&gt;=4,"Moderado (4-4.9)","Menor a 4"))))</x:f>
        <x:v>Moderado (4-4.9)</x:v>
      </x:c>
      <x:c r="L953" s="25" t="str">
        <x:f>IF(I953&lt;70,"Superficial (&lt;70 km)",IF(I953&lt;=300,"Intermedio (70-300 km)","Profundo (&gt;300 km)"))</x:f>
        <x:v>Intermedio (70-300 km)</x:v>
      </x:c>
      <x:c r="M953" s="25" t="str">
        <x:f>IF(J953&gt;=5,"Sí","No")</x:f>
        <x:v>No</x:v>
      </x:c>
      <x:c r="N953" s="25" t="str">
        <x:f>IF(J953&gt;=6,"Sí","No")</x:f>
        <x:v>No</x:v>
      </x:c>
      <x:c r="O953" s="25" t="str">
        <x:v>Pendiente: asignar con R/sf</x:v>
      </x:c>
    </x:row>
    <x:row r="954">
      <x:c r="A954" s="25" t="n">
        <x:v>953</x:v>
      </x:c>
      <x:c r="B954" s="26" t="n">
        <x:v>44432.46318287037</x:v>
      </x:c>
      <x:c r="C954" s="27" t="n">
        <x:f>INT(B954)</x:f>
        <x:v>44432</x:v>
      </x:c>
      <x:c r="D954" s="28" t="n">
        <x:f>MOD(B954,1)</x:f>
        <x:v>0.4631828703713836</x:v>
      </x:c>
      <x:c r="E954" s="29" t="n">
        <x:f>YEAR(B954)</x:f>
        <x:v>2021</x:v>
      </x:c>
      <x:c r="F954" s="29" t="n">
        <x:f>MONTH(B954)</x:f>
        <x:v>8</x:v>
      </x:c>
      <x:c r="G954" s="30" t="n">
        <x:v>-20.29</x:v>
      </x:c>
      <x:c r="H954" s="30" t="n">
        <x:v>-69.04</x:v>
      </x:c>
      <x:c r="I954" s="29" t="n">
        <x:v>96</x:v>
      </x:c>
      <x:c r="J954" s="31" t="n">
        <x:v>4</x:v>
      </x:c>
      <x:c r="K954" s="25" t="str">
        <x:f>IF(J954&gt;=7,"Muy fuerte (&gt;=7)",IF(J954&gt;=6,"Fuerte (6-6.9)",IF(J954&gt;=5,"Moderado alto (5-5.9)",IF(J954&gt;=4,"Moderado (4-4.9)","Menor a 4"))))</x:f>
        <x:v>Moderado (4-4.9)</x:v>
      </x:c>
      <x:c r="L954" s="25" t="str">
        <x:f>IF(I954&lt;70,"Superficial (&lt;70 km)",IF(I954&lt;=300,"Intermedio (70-300 km)","Profundo (&gt;300 km)"))</x:f>
        <x:v>Intermedio (70-300 km)</x:v>
      </x:c>
      <x:c r="M954" s="25" t="str">
        <x:f>IF(J954&gt;=5,"Sí","No")</x:f>
        <x:v>No</x:v>
      </x:c>
      <x:c r="N954" s="25" t="str">
        <x:f>IF(J954&gt;=6,"Sí","No")</x:f>
        <x:v>No</x:v>
      </x:c>
      <x:c r="O954" s="25" t="str">
        <x:v>Pendiente: asignar con R/sf</x:v>
      </x:c>
    </x:row>
    <x:row r="955">
      <x:c r="A955" s="25" t="n">
        <x:v>954</x:v>
      </x:c>
      <x:c r="B955" s="26" t="n">
        <x:v>44190.292708333334</x:v>
      </x:c>
      <x:c r="C955" s="27" t="n">
        <x:f>INT(B955)</x:f>
        <x:v>44190</x:v>
      </x:c>
      <x:c r="D955" s="28" t="n">
        <x:f>MOD(B955,1)</x:f>
        <x:v>0.29270833333430346</x:v>
      </x:c>
      <x:c r="E955" s="29" t="n">
        <x:f>YEAR(B955)</x:f>
        <x:v>2020</x:v>
      </x:c>
      <x:c r="F955" s="29" t="n">
        <x:f>MONTH(B955)</x:f>
        <x:v>12</x:v>
      </x:c>
      <x:c r="G955" s="30" t="n">
        <x:v>-32.18</x:v>
      </x:c>
      <x:c r="H955" s="30" t="n">
        <x:v>-71.41</x:v>
      </x:c>
      <x:c r="I955" s="29" t="n">
        <x:v>52</x:v>
      </x:c>
      <x:c r="J955" s="31" t="n">
        <x:v>4.4</x:v>
      </x:c>
      <x:c r="K955" s="25" t="str">
        <x:f>IF(J955&gt;=7,"Muy fuerte (&gt;=7)",IF(J955&gt;=6,"Fuerte (6-6.9)",IF(J955&gt;=5,"Moderado alto (5-5.9)",IF(J955&gt;=4,"Moderado (4-4.9)","Menor a 4"))))</x:f>
        <x:v>Moderado (4-4.9)</x:v>
      </x:c>
      <x:c r="L955" s="25" t="str">
        <x:f>IF(I955&lt;70,"Superficial (&lt;70 km)",IF(I955&lt;=300,"Intermedio (70-300 km)","Profundo (&gt;300 km)"))</x:f>
        <x:v>Superficial (&lt;70 km)</x:v>
      </x:c>
      <x:c r="M955" s="25" t="str">
        <x:f>IF(J955&gt;=5,"Sí","No")</x:f>
        <x:v>No</x:v>
      </x:c>
      <x:c r="N955" s="25" t="str">
        <x:f>IF(J955&gt;=6,"Sí","No")</x:f>
        <x:v>No</x:v>
      </x:c>
      <x:c r="O955" s="25" t="str">
        <x:v>Pendiente: asignar con R/sf</x:v>
      </x:c>
    </x:row>
    <x:row r="956">
      <x:c r="A956" s="25" t="n">
        <x:v>955</x:v>
      </x:c>
      <x:c r="B956" s="26" t="n">
        <x:v>44405.46518518519</x:v>
      </x:c>
      <x:c r="C956" s="27" t="n">
        <x:f>INT(B956)</x:f>
        <x:v>44405</x:v>
      </x:c>
      <x:c r="D956" s="28" t="n">
        <x:f>MOD(B956,1)</x:f>
        <x:v>0.4651851851886022</x:v>
      </x:c>
      <x:c r="E956" s="29" t="n">
        <x:f>YEAR(B956)</x:f>
        <x:v>2021</x:v>
      </x:c>
      <x:c r="F956" s="29" t="n">
        <x:f>MONTH(B956)</x:f>
        <x:v>7</x:v>
      </x:c>
      <x:c r="G956" s="30" t="n">
        <x:v>-18.6</x:v>
      </x:c>
      <x:c r="H956" s="30" t="n">
        <x:v>-70.64</x:v>
      </x:c>
      <x:c r="I956" s="29" t="n">
        <x:v>36</x:v>
      </x:c>
      <x:c r="J956" s="31" t="n">
        <x:v>4.4</x:v>
      </x:c>
      <x:c r="K956" s="25" t="str">
        <x:f>IF(J956&gt;=7,"Muy fuerte (&gt;=7)",IF(J956&gt;=6,"Fuerte (6-6.9)",IF(J956&gt;=5,"Moderado alto (5-5.9)",IF(J956&gt;=4,"Moderado (4-4.9)","Menor a 4"))))</x:f>
        <x:v>Moderado (4-4.9)</x:v>
      </x:c>
      <x:c r="L956" s="25" t="str">
        <x:f>IF(I956&lt;70,"Superficial (&lt;70 km)",IF(I956&lt;=300,"Intermedio (70-300 km)","Profundo (&gt;300 km)"))</x:f>
        <x:v>Superficial (&lt;70 km)</x:v>
      </x:c>
      <x:c r="M956" s="25" t="str">
        <x:f>IF(J956&gt;=5,"Sí","No")</x:f>
        <x:v>No</x:v>
      </x:c>
      <x:c r="N956" s="25" t="str">
        <x:f>IF(J956&gt;=6,"Sí","No")</x:f>
        <x:v>No</x:v>
      </x:c>
      <x:c r="O956" s="25" t="str">
        <x:v>Pendiente: asignar con R/sf</x:v>
      </x:c>
    </x:row>
    <x:row r="957">
      <x:c r="A957" s="25" t="n">
        <x:v>956</x:v>
      </x:c>
      <x:c r="B957" s="26" t="n">
        <x:v>44369.15795138889</x:v>
      </x:c>
      <x:c r="C957" s="27" t="n">
        <x:f>INT(B957)</x:f>
        <x:v>44369</x:v>
      </x:c>
      <x:c r="D957" s="28" t="n">
        <x:f>MOD(B957,1)</x:f>
        <x:v>0.15795138888643123</x:v>
      </x:c>
      <x:c r="E957" s="29" t="n">
        <x:f>YEAR(B957)</x:f>
        <x:v>2021</x:v>
      </x:c>
      <x:c r="F957" s="29" t="n">
        <x:f>MONTH(B957)</x:f>
        <x:v>6</x:v>
      </x:c>
      <x:c r="G957" s="30" t="n">
        <x:v>-30.26</x:v>
      </x:c>
      <x:c r="H957" s="30" t="n">
        <x:v>-71.25</x:v>
      </x:c>
      <x:c r="I957" s="29" t="n">
        <x:v>62</x:v>
      </x:c>
      <x:c r="J957" s="31" t="n">
        <x:v>4.2</x:v>
      </x:c>
      <x:c r="K957" s="25" t="str">
        <x:f>IF(J957&gt;=7,"Muy fuerte (&gt;=7)",IF(J957&gt;=6,"Fuerte (6-6.9)",IF(J957&gt;=5,"Moderado alto (5-5.9)",IF(J957&gt;=4,"Moderado (4-4.9)","Menor a 4"))))</x:f>
        <x:v>Moderado (4-4.9)</x:v>
      </x:c>
      <x:c r="L957" s="25" t="str">
        <x:f>IF(I957&lt;70,"Superficial (&lt;70 km)",IF(I957&lt;=300,"Intermedio (70-300 km)","Profundo (&gt;300 km)"))</x:f>
        <x:v>Superficial (&lt;70 km)</x:v>
      </x:c>
      <x:c r="M957" s="25" t="str">
        <x:f>IF(J957&gt;=5,"Sí","No")</x:f>
        <x:v>No</x:v>
      </x:c>
      <x:c r="N957" s="25" t="str">
        <x:f>IF(J957&gt;=6,"Sí","No")</x:f>
        <x:v>No</x:v>
      </x:c>
      <x:c r="O957" s="25" t="str">
        <x:v>Pendiente: asignar con R/sf</x:v>
      </x:c>
    </x:row>
    <x:row r="958">
      <x:c r="A958" s="25" t="n">
        <x:v>957</x:v>
      </x:c>
      <x:c r="B958" s="26" t="n">
        <x:v>44189.593993055554</x:v>
      </x:c>
      <x:c r="C958" s="27" t="n">
        <x:f>INT(B958)</x:f>
        <x:v>44189</x:v>
      </x:c>
      <x:c r="D958" s="28" t="n">
        <x:f>MOD(B958,1)</x:f>
        <x:v>0.593993055554165</x:v>
      </x:c>
      <x:c r="E958" s="29" t="n">
        <x:f>YEAR(B958)</x:f>
        <x:v>2020</x:v>
      </x:c>
      <x:c r="F958" s="29" t="n">
        <x:f>MONTH(B958)</x:f>
        <x:v>12</x:v>
      </x:c>
      <x:c r="G958" s="30" t="n">
        <x:v>-31.43</x:v>
      </x:c>
      <x:c r="H958" s="30" t="n">
        <x:v>-72.1</x:v>
      </x:c>
      <x:c r="I958" s="29" t="n">
        <x:v>33</x:v>
      </x:c>
      <x:c r="J958" s="31" t="n">
        <x:v>4.6</x:v>
      </x:c>
      <x:c r="K958" s="25" t="str">
        <x:f>IF(J958&gt;=7,"Muy fuerte (&gt;=7)",IF(J958&gt;=6,"Fuerte (6-6.9)",IF(J958&gt;=5,"Moderado alto (5-5.9)",IF(J958&gt;=4,"Moderado (4-4.9)","Menor a 4"))))</x:f>
        <x:v>Moderado (4-4.9)</x:v>
      </x:c>
      <x:c r="L958" s="25" t="str">
        <x:f>IF(I958&lt;70,"Superficial (&lt;70 km)",IF(I958&lt;=300,"Intermedio (70-300 km)","Profundo (&gt;300 km)"))</x:f>
        <x:v>Superficial (&lt;70 km)</x:v>
      </x:c>
      <x:c r="M958" s="25" t="str">
        <x:f>IF(J958&gt;=5,"Sí","No")</x:f>
        <x:v>No</x:v>
      </x:c>
      <x:c r="N958" s="25" t="str">
        <x:f>IF(J958&gt;=6,"Sí","No")</x:f>
        <x:v>No</x:v>
      </x:c>
      <x:c r="O958" s="25" t="str">
        <x:v>Pendiente: asignar con R/sf</x:v>
      </x:c>
    </x:row>
    <x:row r="959">
      <x:c r="A959" s="25" t="n">
        <x:v>958</x:v>
      </x:c>
      <x:c r="B959" s="26" t="n">
        <x:v>44154.37645833333</x:v>
      </x:c>
      <x:c r="C959" s="27" t="n">
        <x:f>INT(B959)</x:f>
        <x:v>44154</x:v>
      </x:c>
      <x:c r="D959" s="28" t="n">
        <x:f>MOD(B959,1)</x:f>
        <x:v>0.3764583333322662</x:v>
      </x:c>
      <x:c r="E959" s="29" t="n">
        <x:f>YEAR(B959)</x:f>
        <x:v>2020</x:v>
      </x:c>
      <x:c r="F959" s="29" t="n">
        <x:f>MONTH(B959)</x:f>
        <x:v>11</x:v>
      </x:c>
      <x:c r="G959" s="30" t="n">
        <x:v>-32.65</x:v>
      </x:c>
      <x:c r="H959" s="30" t="n">
        <x:v>-71.76</x:v>
      </x:c>
      <x:c r="I959" s="29" t="n">
        <x:v>25</x:v>
      </x:c>
      <x:c r="J959" s="31" t="n">
        <x:v>3.6</x:v>
      </x:c>
      <x:c r="K959" s="25" t="str">
        <x:f>IF(J959&gt;=7,"Muy fuerte (&gt;=7)",IF(J959&gt;=6,"Fuerte (6-6.9)",IF(J959&gt;=5,"Moderado alto (5-5.9)",IF(J959&gt;=4,"Moderado (4-4.9)","Menor a 4"))))</x:f>
        <x:v>Menor a 4</x:v>
      </x:c>
      <x:c r="L959" s="25" t="str">
        <x:f>IF(I959&lt;70,"Superficial (&lt;70 km)",IF(I959&lt;=300,"Intermedio (70-300 km)","Profundo (&gt;300 km)"))</x:f>
        <x:v>Superficial (&lt;70 km)</x:v>
      </x:c>
      <x:c r="M959" s="25" t="str">
        <x:f>IF(J959&gt;=5,"Sí","No")</x:f>
        <x:v>No</x:v>
      </x:c>
      <x:c r="N959" s="25" t="str">
        <x:f>IF(J959&gt;=6,"Sí","No")</x:f>
        <x:v>No</x:v>
      </x:c>
      <x:c r="O959" s="25" t="str">
        <x:v>Pendiente: asignar con R/sf</x:v>
      </x:c>
    </x:row>
    <x:row r="960">
      <x:c r="A960" s="25" t="n">
        <x:v>959</x:v>
      </x:c>
      <x:c r="B960" s="26" t="n">
        <x:v>44431.87667824074</x:v>
      </x:c>
      <x:c r="C960" s="27" t="n">
        <x:f>INT(B960)</x:f>
        <x:v>44431</x:v>
      </x:c>
      <x:c r="D960" s="28" t="n">
        <x:f>MOD(B960,1)</x:f>
        <x:v>0.8766782407401479</x:v>
      </x:c>
      <x:c r="E960" s="29" t="n">
        <x:f>YEAR(B960)</x:f>
        <x:v>2021</x:v>
      </x:c>
      <x:c r="F960" s="29" t="n">
        <x:f>MONTH(B960)</x:f>
        <x:v>8</x:v>
      </x:c>
      <x:c r="G960" s="30" t="n">
        <x:v>-20.91</x:v>
      </x:c>
      <x:c r="H960" s="30" t="n">
        <x:v>-69.01</x:v>
      </x:c>
      <x:c r="I960" s="29" t="n">
        <x:v>101</x:v>
      </x:c>
      <x:c r="J960" s="31" t="n">
        <x:v>4.8</x:v>
      </x:c>
      <x:c r="K960" s="25" t="str">
        <x:f>IF(J960&gt;=7,"Muy fuerte (&gt;=7)",IF(J960&gt;=6,"Fuerte (6-6.9)",IF(J960&gt;=5,"Moderado alto (5-5.9)",IF(J960&gt;=4,"Moderado (4-4.9)","Menor a 4"))))</x:f>
        <x:v>Moderado (4-4.9)</x:v>
      </x:c>
      <x:c r="L960" s="25" t="str">
        <x:f>IF(I960&lt;70,"Superficial (&lt;70 km)",IF(I960&lt;=300,"Intermedio (70-300 km)","Profundo (&gt;300 km)"))</x:f>
        <x:v>Intermedio (70-300 km)</x:v>
      </x:c>
      <x:c r="M960" s="25" t="str">
        <x:f>IF(J960&gt;=5,"Sí","No")</x:f>
        <x:v>No</x:v>
      </x:c>
      <x:c r="N960" s="25" t="str">
        <x:f>IF(J960&gt;=6,"Sí","No")</x:f>
        <x:v>No</x:v>
      </x:c>
      <x:c r="O960" s="25" t="str">
        <x:v>Pendiente: asignar con R/sf</x:v>
      </x:c>
    </x:row>
    <x:row r="961">
      <x:c r="A961" s="25" t="n">
        <x:v>960</x:v>
      </x:c>
      <x:c r="B961" s="26" t="n">
        <x:v>44249.143055555556</x:v>
      </x:c>
      <x:c r="C961" s="27" t="n">
        <x:f>INT(B961)</x:f>
        <x:v>44249</x:v>
      </x:c>
      <x:c r="D961" s="28" t="n">
        <x:f>MOD(B961,1)</x:f>
        <x:v>0.1430555555562023</x:v>
      </x:c>
      <x:c r="E961" s="29" t="n">
        <x:f>YEAR(B961)</x:f>
        <x:v>2021</x:v>
      </x:c>
      <x:c r="F961" s="29" t="n">
        <x:f>MONTH(B961)</x:f>
        <x:v>2</x:v>
      </x:c>
      <x:c r="G961" s="30" t="n">
        <x:v>-32.63</x:v>
      </x:c>
      <x:c r="H961" s="30" t="n">
        <x:v>-71.52</x:v>
      </x:c>
      <x:c r="I961" s="29" t="n">
        <x:v>31</x:v>
      </x:c>
      <x:c r="J961" s="31" t="n">
        <x:v>3.3</x:v>
      </x:c>
      <x:c r="K961" s="25" t="str">
        <x:f>IF(J961&gt;=7,"Muy fuerte (&gt;=7)",IF(J961&gt;=6,"Fuerte (6-6.9)",IF(J961&gt;=5,"Moderado alto (5-5.9)",IF(J961&gt;=4,"Moderado (4-4.9)","Menor a 4"))))</x:f>
        <x:v>Menor a 4</x:v>
      </x:c>
      <x:c r="L961" s="25" t="str">
        <x:f>IF(I961&lt;70,"Superficial (&lt;70 km)",IF(I961&lt;=300,"Intermedio (70-300 km)","Profundo (&gt;300 km)"))</x:f>
        <x:v>Superficial (&lt;70 km)</x:v>
      </x:c>
      <x:c r="M961" s="25" t="str">
        <x:f>IF(J961&gt;=5,"Sí","No")</x:f>
        <x:v>No</x:v>
      </x:c>
      <x:c r="N961" s="25" t="str">
        <x:f>IF(J961&gt;=6,"Sí","No")</x:f>
        <x:v>No</x:v>
      </x:c>
      <x:c r="O961" s="25" t="str">
        <x:v>Pendiente: asignar con R/sf</x:v>
      </x:c>
    </x:row>
    <x:row r="962">
      <x:c r="A962" s="25" t="n">
        <x:v>961</x:v>
      </x:c>
      <x:c r="B962" s="26" t="n">
        <x:v>44119.84881944444</x:v>
      </x:c>
      <x:c r="C962" s="27" t="n">
        <x:f>INT(B962)</x:f>
        <x:v>44119</x:v>
      </x:c>
      <x:c r="D962" s="28" t="n">
        <x:f>MOD(B962,1)</x:f>
        <x:v>0.8488194444435067</x:v>
      </x:c>
      <x:c r="E962" s="29" t="n">
        <x:f>YEAR(B962)</x:f>
        <x:v>2020</x:v>
      </x:c>
      <x:c r="F962" s="29" t="n">
        <x:f>MONTH(B962)</x:f>
        <x:v>10</x:v>
      </x:c>
      <x:c r="G962" s="30" t="n">
        <x:v>-32.61</x:v>
      </x:c>
      <x:c r="H962" s="30" t="n">
        <x:v>-71.55</x:v>
      </x:c>
      <x:c r="I962" s="29" t="n">
        <x:v>52</x:v>
      </x:c>
      <x:c r="J962" s="31" t="n">
        <x:v>3.7</x:v>
      </x:c>
      <x:c r="K962" s="25" t="str">
        <x:f>IF(J962&gt;=7,"Muy fuerte (&gt;=7)",IF(J962&gt;=6,"Fuerte (6-6.9)",IF(J962&gt;=5,"Moderado alto (5-5.9)",IF(J962&gt;=4,"Moderado (4-4.9)","Menor a 4"))))</x:f>
        <x:v>Menor a 4</x:v>
      </x:c>
      <x:c r="L962" s="25" t="str">
        <x:f>IF(I962&lt;70,"Superficial (&lt;70 km)",IF(I962&lt;=300,"Intermedio (70-300 km)","Profundo (&gt;300 km)"))</x:f>
        <x:v>Superficial (&lt;70 km)</x:v>
      </x:c>
      <x:c r="M962" s="25" t="str">
        <x:f>IF(J962&gt;=5,"Sí","No")</x:f>
        <x:v>No</x:v>
      </x:c>
      <x:c r="N962" s="25" t="str">
        <x:f>IF(J962&gt;=6,"Sí","No")</x:f>
        <x:v>No</x:v>
      </x:c>
      <x:c r="O962" s="25" t="str">
        <x:v>Pendiente: asignar con R/sf</x:v>
      </x:c>
    </x:row>
    <x:row r="963">
      <x:c r="A963" s="25" t="n">
        <x:v>962</x:v>
      </x:c>
      <x:c r="B963" s="26" t="n">
        <x:v>44246.45042824074</x:v>
      </x:c>
      <x:c r="C963" s="27" t="n">
        <x:f>INT(B963)</x:f>
        <x:v>44246</x:v>
      </x:c>
      <x:c r="D963" s="28" t="n">
        <x:f>MOD(B963,1)</x:f>
        <x:v>0.4504282407433493</x:v>
      </x:c>
      <x:c r="E963" s="29" t="n">
        <x:f>YEAR(B963)</x:f>
        <x:v>2021</x:v>
      </x:c>
      <x:c r="F963" s="29" t="n">
        <x:f>MONTH(B963)</x:f>
        <x:v>2</x:v>
      </x:c>
      <x:c r="G963" s="30" t="n">
        <x:v>-33.08</x:v>
      </x:c>
      <x:c r="H963" s="30" t="n">
        <x:v>-72.25</x:v>
      </x:c>
      <x:c r="I963" s="29" t="n">
        <x:v>42</x:v>
      </x:c>
      <x:c r="J963" s="31" t="n">
        <x:v>4.4</x:v>
      </x:c>
      <x:c r="K963" s="25" t="str">
        <x:f>IF(J963&gt;=7,"Muy fuerte (&gt;=7)",IF(J963&gt;=6,"Fuerte (6-6.9)",IF(J963&gt;=5,"Moderado alto (5-5.9)",IF(J963&gt;=4,"Moderado (4-4.9)","Menor a 4"))))</x:f>
        <x:v>Moderado (4-4.9)</x:v>
      </x:c>
      <x:c r="L963" s="25" t="str">
        <x:f>IF(I963&lt;70,"Superficial (&lt;70 km)",IF(I963&lt;=300,"Intermedio (70-300 km)","Profundo (&gt;300 km)"))</x:f>
        <x:v>Superficial (&lt;70 km)</x:v>
      </x:c>
      <x:c r="M963" s="25" t="str">
        <x:f>IF(J963&gt;=5,"Sí","No")</x:f>
        <x:v>No</x:v>
      </x:c>
      <x:c r="N963" s="25" t="str">
        <x:f>IF(J963&gt;=6,"Sí","No")</x:f>
        <x:v>No</x:v>
      </x:c>
      <x:c r="O963" s="25" t="str">
        <x:v>Pendiente: asignar con R/sf</x:v>
      </x:c>
    </x:row>
    <x:row r="964">
      <x:c r="A964" s="25" t="n">
        <x:v>963</x:v>
      </x:c>
      <x:c r="B964" s="26" t="n">
        <x:v>44233.72225694444</x:v>
      </x:c>
      <x:c r="C964" s="27" t="n">
        <x:f>INT(B964)</x:f>
        <x:v>44233</x:v>
      </x:c>
      <x:c r="D964" s="28" t="n">
        <x:f>MOD(B964,1)</x:f>
        <x:v>0.7222569444420515</x:v>
      </x:c>
      <x:c r="E964" s="29" t="n">
        <x:f>YEAR(B964)</x:f>
        <x:v>2021</x:v>
      </x:c>
      <x:c r="F964" s="29" t="n">
        <x:f>MONTH(B964)</x:f>
        <x:v>2</x:v>
      </x:c>
      <x:c r="G964" s="30" t="n">
        <x:v>-32.74</x:v>
      </x:c>
      <x:c r="H964" s="30" t="n">
        <x:v>-71.55</x:v>
      </x:c>
      <x:c r="I964" s="29" t="n">
        <x:v>24</x:v>
      </x:c>
      <x:c r="J964" s="31" t="n">
        <x:v>3.4</x:v>
      </x:c>
      <x:c r="K964" s="25" t="str">
        <x:f>IF(J964&gt;=7,"Muy fuerte (&gt;=7)",IF(J964&gt;=6,"Fuerte (6-6.9)",IF(J964&gt;=5,"Moderado alto (5-5.9)",IF(J964&gt;=4,"Moderado (4-4.9)","Menor a 4"))))</x:f>
        <x:v>Menor a 4</x:v>
      </x:c>
      <x:c r="L964" s="25" t="str">
        <x:f>IF(I964&lt;70,"Superficial (&lt;70 km)",IF(I964&lt;=300,"Intermedio (70-300 km)","Profundo (&gt;300 km)"))</x:f>
        <x:v>Superficial (&lt;70 km)</x:v>
      </x:c>
      <x:c r="M964" s="25" t="str">
        <x:f>IF(J964&gt;=5,"Sí","No")</x:f>
        <x:v>No</x:v>
      </x:c>
      <x:c r="N964" s="25" t="str">
        <x:f>IF(J964&gt;=6,"Sí","No")</x:f>
        <x:v>No</x:v>
      </x:c>
      <x:c r="O964" s="25" t="str">
        <x:v>Pendiente: asignar con R/sf</x:v>
      </x:c>
    </x:row>
    <x:row r="965">
      <x:c r="A965" s="25" t="n">
        <x:v>964</x:v>
      </x:c>
      <x:c r="B965" s="26" t="n">
        <x:v>44180.33293981481</x:v>
      </x:c>
      <x:c r="C965" s="27" t="n">
        <x:f>INT(B965)</x:f>
        <x:v>44180</x:v>
      </x:c>
      <x:c r="D965" s="28" t="n">
        <x:f>MOD(B965,1)</x:f>
        <x:v>0.33293981481256196</x:v>
      </x:c>
      <x:c r="E965" s="29" t="n">
        <x:f>YEAR(B965)</x:f>
        <x:v>2020</x:v>
      </x:c>
      <x:c r="F965" s="29" t="n">
        <x:f>MONTH(B965)</x:f>
        <x:v>12</x:v>
      </x:c>
      <x:c r="G965" s="30" t="n">
        <x:v>-32.62</x:v>
      </x:c>
      <x:c r="H965" s="30" t="n">
        <x:v>-71.78</x:v>
      </x:c>
      <x:c r="I965" s="29" t="n">
        <x:v>34</x:v>
      </x:c>
      <x:c r="J965" s="31" t="n">
        <x:v>4.1</x:v>
      </x:c>
      <x:c r="K965" s="25" t="str">
        <x:f>IF(J965&gt;=7,"Muy fuerte (&gt;=7)",IF(J965&gt;=6,"Fuerte (6-6.9)",IF(J965&gt;=5,"Moderado alto (5-5.9)",IF(J965&gt;=4,"Moderado (4-4.9)","Menor a 4"))))</x:f>
        <x:v>Moderado (4-4.9)</x:v>
      </x:c>
      <x:c r="L965" s="25" t="str">
        <x:f>IF(I965&lt;70,"Superficial (&lt;70 km)",IF(I965&lt;=300,"Intermedio (70-300 km)","Profundo (&gt;300 km)"))</x:f>
        <x:v>Superficial (&lt;70 km)</x:v>
      </x:c>
      <x:c r="M965" s="25" t="str">
        <x:f>IF(J965&gt;=5,"Sí","No")</x:f>
        <x:v>No</x:v>
      </x:c>
      <x:c r="N965" s="25" t="str">
        <x:f>IF(J965&gt;=6,"Sí","No")</x:f>
        <x:v>No</x:v>
      </x:c>
      <x:c r="O965" s="25" t="str">
        <x:v>Pendiente: asignar con R/sf</x:v>
      </x:c>
    </x:row>
    <x:row r="966">
      <x:c r="A966" s="25" t="n">
        <x:v>965</x:v>
      </x:c>
      <x:c r="B966" s="26" t="n">
        <x:v>44406.81186342592</x:v>
      </x:c>
      <x:c r="C966" s="27" t="n">
        <x:f>INT(B966)</x:f>
        <x:v>44406</x:v>
      </x:c>
      <x:c r="D966" s="28" t="n">
        <x:f>MOD(B966,1)</x:f>
        <x:v>0.8118634259226383</x:v>
      </x:c>
      <x:c r="E966" s="29" t="n">
        <x:f>YEAR(B966)</x:f>
        <x:v>2021</x:v>
      </x:c>
      <x:c r="F966" s="29" t="n">
        <x:f>MONTH(B966)</x:f>
        <x:v>7</x:v>
      </x:c>
      <x:c r="G966" s="30" t="n">
        <x:v>-22.04</x:v>
      </x:c>
      <x:c r="H966" s="30" t="n">
        <x:v>-70.33</x:v>
      </x:c>
      <x:c r="I966" s="29" t="n">
        <x:v>18</x:v>
      </x:c>
      <x:c r="J966" s="31" t="n">
        <x:v>3.6</x:v>
      </x:c>
      <x:c r="K966" s="25" t="str">
        <x:f>IF(J966&gt;=7,"Muy fuerte (&gt;=7)",IF(J966&gt;=6,"Fuerte (6-6.9)",IF(J966&gt;=5,"Moderado alto (5-5.9)",IF(J966&gt;=4,"Moderado (4-4.9)","Menor a 4"))))</x:f>
        <x:v>Menor a 4</x:v>
      </x:c>
      <x:c r="L966" s="25" t="str">
        <x:f>IF(I966&lt;70,"Superficial (&lt;70 km)",IF(I966&lt;=300,"Intermedio (70-300 km)","Profundo (&gt;300 km)"))</x:f>
        <x:v>Superficial (&lt;70 km)</x:v>
      </x:c>
      <x:c r="M966" s="25" t="str">
        <x:f>IF(J966&gt;=5,"Sí","No")</x:f>
        <x:v>No</x:v>
      </x:c>
      <x:c r="N966" s="25" t="str">
        <x:f>IF(J966&gt;=6,"Sí","No")</x:f>
        <x:v>No</x:v>
      </x:c>
      <x:c r="O966" s="25" t="str">
        <x:v>Pendiente: asignar con R/sf</x:v>
      </x:c>
    </x:row>
    <x:row r="967">
      <x:c r="A967" s="25" t="n">
        <x:v>966</x:v>
      </x:c>
      <x:c r="B967" s="26" t="n">
        <x:v>44433.01982638889</x:v>
      </x:c>
      <x:c r="C967" s="27" t="n">
        <x:f>INT(B967)</x:f>
        <x:v>44433</x:v>
      </x:c>
      <x:c r="D967" s="28" t="n">
        <x:f>MOD(B967,1)</x:f>
        <x:v>0.01982638888875954</x:v>
      </x:c>
      <x:c r="E967" s="29" t="n">
        <x:f>YEAR(B967)</x:f>
        <x:v>2021</x:v>
      </x:c>
      <x:c r="F967" s="29" t="n">
        <x:f>MONTH(B967)</x:f>
        <x:v>8</x:v>
      </x:c>
      <x:c r="G967" s="30" t="n">
        <x:v>-27.44</x:v>
      </x:c>
      <x:c r="H967" s="30" t="n">
        <x:v>-69.34</x:v>
      </x:c>
      <x:c r="I967" s="29" t="n">
        <x:v>107</x:v>
      </x:c>
      <x:c r="J967" s="31" t="n">
        <x:v>5.3</x:v>
      </x:c>
      <x:c r="K967" s="25" t="str">
        <x:f>IF(J967&gt;=7,"Muy fuerte (&gt;=7)",IF(J967&gt;=6,"Fuerte (6-6.9)",IF(J967&gt;=5,"Moderado alto (5-5.9)",IF(J967&gt;=4,"Moderado (4-4.9)","Menor a 4"))))</x:f>
        <x:v>Moderado alto (5-5.9)</x:v>
      </x:c>
      <x:c r="L967" s="25" t="str">
        <x:f>IF(I967&lt;70,"Superficial (&lt;70 km)",IF(I967&lt;=300,"Intermedio (70-300 km)","Profundo (&gt;300 km)"))</x:f>
        <x:v>Intermedio (70-300 km)</x:v>
      </x:c>
      <x:c r="M967" s="25" t="str">
        <x:f>IF(J967&gt;=5,"Sí","No")</x:f>
        <x:v>Sí</x:v>
      </x:c>
      <x:c r="N967" s="25" t="str">
        <x:f>IF(J967&gt;=6,"Sí","No")</x:f>
        <x:v>No</x:v>
      </x:c>
      <x:c r="O967" s="25" t="str">
        <x:v>Pendiente: asignar con R/sf</x:v>
      </x:c>
    </x:row>
    <x:row r="968">
      <x:c r="A968" s="25" t="n">
        <x:v>967</x:v>
      </x:c>
      <x:c r="B968" s="26" t="n">
        <x:v>44363.84266203704</x:v>
      </x:c>
      <x:c r="C968" s="27" t="n">
        <x:f>INT(B968)</x:f>
        <x:v>44363</x:v>
      </x:c>
      <x:c r="D968" s="28" t="n">
        <x:f>MOD(B968,1)</x:f>
        <x:v>0.8426620370373712</x:v>
      </x:c>
      <x:c r="E968" s="29" t="n">
        <x:f>YEAR(B968)</x:f>
        <x:v>2021</x:v>
      </x:c>
      <x:c r="F968" s="29" t="n">
        <x:f>MONTH(B968)</x:f>
        <x:v>6</x:v>
      </x:c>
      <x:c r="G968" s="30" t="n">
        <x:v>-33.34</x:v>
      </x:c>
      <x:c r="H968" s="30" t="n">
        <x:v>-71.67</x:v>
      </x:c>
      <x:c r="I968" s="29" t="n">
        <x:v>30</x:v>
      </x:c>
      <x:c r="J968" s="31" t="n">
        <x:v>4.4</x:v>
      </x:c>
      <x:c r="K968" s="25" t="str">
        <x:f>IF(J968&gt;=7,"Muy fuerte (&gt;=7)",IF(J968&gt;=6,"Fuerte (6-6.9)",IF(J968&gt;=5,"Moderado alto (5-5.9)",IF(J968&gt;=4,"Moderado (4-4.9)","Menor a 4"))))</x:f>
        <x:v>Moderado (4-4.9)</x:v>
      </x:c>
      <x:c r="L968" s="25" t="str">
        <x:f>IF(I968&lt;70,"Superficial (&lt;70 km)",IF(I968&lt;=300,"Intermedio (70-300 km)","Profundo (&gt;300 km)"))</x:f>
        <x:v>Superficial (&lt;70 km)</x:v>
      </x:c>
      <x:c r="M968" s="25" t="str">
        <x:f>IF(J968&gt;=5,"Sí","No")</x:f>
        <x:v>No</x:v>
      </x:c>
      <x:c r="N968" s="25" t="str">
        <x:f>IF(J968&gt;=6,"Sí","No")</x:f>
        <x:v>No</x:v>
      </x:c>
      <x:c r="O968" s="25" t="str">
        <x:v>Pendiente: asignar con R/sf</x:v>
      </x:c>
    </x:row>
    <x:row r="969">
      <x:c r="A969" s="25" t="n">
        <x:v>968</x:v>
      </x:c>
      <x:c r="B969" s="26" t="n">
        <x:v>44210.40621527778</x:v>
      </x:c>
      <x:c r="C969" s="27" t="n">
        <x:f>INT(B969)</x:f>
        <x:v>44210</x:v>
      </x:c>
      <x:c r="D969" s="28" t="n">
        <x:f>MOD(B969,1)</x:f>
        <x:v>0.406215277776937</x:v>
      </x:c>
      <x:c r="E969" s="29" t="n">
        <x:f>YEAR(B969)</x:f>
        <x:v>2021</x:v>
      </x:c>
      <x:c r="F969" s="29" t="n">
        <x:f>MONTH(B969)</x:f>
        <x:v>1</x:v>
      </x:c>
      <x:c r="G969" s="30" t="n">
        <x:v>-29.97</x:v>
      </x:c>
      <x:c r="H969" s="30" t="n">
        <x:v>-71.36</x:v>
      </x:c>
      <x:c r="I969" s="29" t="n">
        <x:v>23</x:v>
      </x:c>
      <x:c r="J969" s="31" t="n">
        <x:v>3.4</x:v>
      </x:c>
      <x:c r="K969" s="25" t="str">
        <x:f>IF(J969&gt;=7,"Muy fuerte (&gt;=7)",IF(J969&gt;=6,"Fuerte (6-6.9)",IF(J969&gt;=5,"Moderado alto (5-5.9)",IF(J969&gt;=4,"Moderado (4-4.9)","Menor a 4"))))</x:f>
        <x:v>Menor a 4</x:v>
      </x:c>
      <x:c r="L969" s="25" t="str">
        <x:f>IF(I969&lt;70,"Superficial (&lt;70 km)",IF(I969&lt;=300,"Intermedio (70-300 km)","Profundo (&gt;300 km)"))</x:f>
        <x:v>Superficial (&lt;70 km)</x:v>
      </x:c>
      <x:c r="M969" s="25" t="str">
        <x:f>IF(J969&gt;=5,"Sí","No")</x:f>
        <x:v>No</x:v>
      </x:c>
      <x:c r="N969" s="25" t="str">
        <x:f>IF(J969&gt;=6,"Sí","No")</x:f>
        <x:v>No</x:v>
      </x:c>
      <x:c r="O969" s="25" t="str">
        <x:v>Pendiente: asignar con R/sf</x:v>
      </x:c>
    </x:row>
    <x:row r="970">
      <x:c r="A970" s="25" t="n">
        <x:v>969</x:v>
      </x:c>
      <x:c r="B970" s="26" t="n">
        <x:v>44241.584652777776</x:v>
      </x:c>
      <x:c r="C970" s="27" t="n">
        <x:f>INT(B970)</x:f>
        <x:v>44241</x:v>
      </x:c>
      <x:c r="D970" s="28" t="n">
        <x:f>MOD(B970,1)</x:f>
        <x:v>0.5846527777757728</x:v>
      </x:c>
      <x:c r="E970" s="29" t="n">
        <x:f>YEAR(B970)</x:f>
        <x:v>2021</x:v>
      </x:c>
      <x:c r="F970" s="29" t="n">
        <x:f>MONTH(B970)</x:f>
        <x:v>2</x:v>
      </x:c>
      <x:c r="G970" s="30" t="n">
        <x:v>-29.39</x:v>
      </x:c>
      <x:c r="H970" s="30" t="n">
        <x:v>-71.13</x:v>
      </x:c>
      <x:c r="I970" s="29" t="n">
        <x:v>45</x:v>
      </x:c>
      <x:c r="J970" s="31" t="n">
        <x:v>4.2</x:v>
      </x:c>
      <x:c r="K970" s="25" t="str">
        <x:f>IF(J970&gt;=7,"Muy fuerte (&gt;=7)",IF(J970&gt;=6,"Fuerte (6-6.9)",IF(J970&gt;=5,"Moderado alto (5-5.9)",IF(J970&gt;=4,"Moderado (4-4.9)","Menor a 4"))))</x:f>
        <x:v>Moderado (4-4.9)</x:v>
      </x:c>
      <x:c r="L970" s="25" t="str">
        <x:f>IF(I970&lt;70,"Superficial (&lt;70 km)",IF(I970&lt;=300,"Intermedio (70-300 km)","Profundo (&gt;300 km)"))</x:f>
        <x:v>Superficial (&lt;70 km)</x:v>
      </x:c>
      <x:c r="M970" s="25" t="str">
        <x:f>IF(J970&gt;=5,"Sí","No")</x:f>
        <x:v>No</x:v>
      </x:c>
      <x:c r="N970" s="25" t="str">
        <x:f>IF(J970&gt;=6,"Sí","No")</x:f>
        <x:v>No</x:v>
      </x:c>
      <x:c r="O970" s="25" t="str">
        <x:v>Pendiente: asignar con R/sf</x:v>
      </x:c>
    </x:row>
    <x:row r="971">
      <x:c r="A971" s="25" t="n">
        <x:v>970</x:v>
      </x:c>
      <x:c r="B971" s="26" t="n">
        <x:v>44406.918807870374</x:v>
      </x:c>
      <x:c r="C971" s="27" t="n">
        <x:f>INT(B971)</x:f>
        <x:v>44406</x:v>
      </x:c>
      <x:c r="D971" s="28" t="n">
        <x:f>MOD(B971,1)</x:f>
        <x:v>0.9188078703737119</x:v>
      </x:c>
      <x:c r="E971" s="29" t="n">
        <x:f>YEAR(B971)</x:f>
        <x:v>2021</x:v>
      </x:c>
      <x:c r="F971" s="29" t="n">
        <x:f>MONTH(B971)</x:f>
        <x:v>7</x:v>
      </x:c>
      <x:c r="G971" s="30" t="n">
        <x:v>-20.49</x:v>
      </x:c>
      <x:c r="H971" s="30" t="n">
        <x:v>-69.14</x:v>
      </x:c>
      <x:c r="I971" s="29" t="n">
        <x:v>101</x:v>
      </x:c>
      <x:c r="J971" s="31" t="n">
        <x:v>4</x:v>
      </x:c>
      <x:c r="K971" s="25" t="str">
        <x:f>IF(J971&gt;=7,"Muy fuerte (&gt;=7)",IF(J971&gt;=6,"Fuerte (6-6.9)",IF(J971&gt;=5,"Moderado alto (5-5.9)",IF(J971&gt;=4,"Moderado (4-4.9)","Menor a 4"))))</x:f>
        <x:v>Moderado (4-4.9)</x:v>
      </x:c>
      <x:c r="L971" s="25" t="str">
        <x:f>IF(I971&lt;70,"Superficial (&lt;70 km)",IF(I971&lt;=300,"Intermedio (70-300 km)","Profundo (&gt;300 km)"))</x:f>
        <x:v>Intermedio (70-300 km)</x:v>
      </x:c>
      <x:c r="M971" s="25" t="str">
        <x:f>IF(J971&gt;=5,"Sí","No")</x:f>
        <x:v>No</x:v>
      </x:c>
      <x:c r="N971" s="25" t="str">
        <x:f>IF(J971&gt;=6,"Sí","No")</x:f>
        <x:v>No</x:v>
      </x:c>
      <x:c r="O971" s="25" t="str">
        <x:v>Pendiente: asignar con R/sf</x:v>
      </x:c>
    </x:row>
    <x:row r="972">
      <x:c r="A972" s="25" t="n">
        <x:v>971</x:v>
      </x:c>
      <x:c r="B972" s="26" t="n">
        <x:v>44429.922106481485</x:v>
      </x:c>
      <x:c r="C972" s="27" t="n">
        <x:f>INT(B972)</x:f>
        <x:v>44429</x:v>
      </x:c>
      <x:c r="D972" s="28" t="n">
        <x:f>MOD(B972,1)</x:f>
        <x:v>0.9221064814846613</x:v>
      </x:c>
      <x:c r="E972" s="29" t="n">
        <x:f>YEAR(B972)</x:f>
        <x:v>2021</x:v>
      </x:c>
      <x:c r="F972" s="29" t="n">
        <x:f>MONTH(B972)</x:f>
        <x:v>8</x:v>
      </x:c>
      <x:c r="G972" s="30" t="n">
        <x:v>-18.27</x:v>
      </x:c>
      <x:c r="H972" s="30" t="n">
        <x:v>-70.32</x:v>
      </x:c>
      <x:c r="I972" s="29" t="n">
        <x:v>84</x:v>
      </x:c>
      <x:c r="J972" s="31" t="n">
        <x:v>4.5</x:v>
      </x:c>
      <x:c r="K972" s="25" t="str">
        <x:f>IF(J972&gt;=7,"Muy fuerte (&gt;=7)",IF(J972&gt;=6,"Fuerte (6-6.9)",IF(J972&gt;=5,"Moderado alto (5-5.9)",IF(J972&gt;=4,"Moderado (4-4.9)","Menor a 4"))))</x:f>
        <x:v>Moderado (4-4.9)</x:v>
      </x:c>
      <x:c r="L972" s="25" t="str">
        <x:f>IF(I972&lt;70,"Superficial (&lt;70 km)",IF(I972&lt;=300,"Intermedio (70-300 km)","Profundo (&gt;300 km)"))</x:f>
        <x:v>Intermedio (70-300 km)</x:v>
      </x:c>
      <x:c r="M972" s="25" t="str">
        <x:f>IF(J972&gt;=5,"Sí","No")</x:f>
        <x:v>No</x:v>
      </x:c>
      <x:c r="N972" s="25" t="str">
        <x:f>IF(J972&gt;=6,"Sí","No")</x:f>
        <x:v>No</x:v>
      </x:c>
      <x:c r="O972" s="25" t="str">
        <x:v>Pendiente: asignar con R/sf</x:v>
      </x:c>
    </x:row>
    <x:row r="973">
      <x:c r="A973" s="25" t="n">
        <x:v>972</x:v>
      </x:c>
      <x:c r="B973" s="26" t="n">
        <x:v>44267.666967592595</x:v>
      </x:c>
      <x:c r="C973" s="27" t="n">
        <x:f>INT(B973)</x:f>
        <x:v>44267</x:v>
      </x:c>
      <x:c r="D973" s="28" t="n">
        <x:f>MOD(B973,1)</x:f>
        <x:v>0.6669675925950287</x:v>
      </x:c>
      <x:c r="E973" s="29" t="n">
        <x:f>YEAR(B973)</x:f>
        <x:v>2021</x:v>
      </x:c>
      <x:c r="F973" s="29" t="n">
        <x:f>MONTH(B973)</x:f>
        <x:v>3</x:v>
      </x:c>
      <x:c r="G973" s="30" t="n">
        <x:v>-33.21</x:v>
      </x:c>
      <x:c r="H973" s="30" t="n">
        <x:v>-71.93</x:v>
      </x:c>
      <x:c r="I973" s="29" t="n">
        <x:v>26</x:v>
      </x:c>
      <x:c r="J973" s="31" t="n">
        <x:v>4.3</x:v>
      </x:c>
      <x:c r="K973" s="25" t="str">
        <x:f>IF(J973&gt;=7,"Muy fuerte (&gt;=7)",IF(J973&gt;=6,"Fuerte (6-6.9)",IF(J973&gt;=5,"Moderado alto (5-5.9)",IF(J973&gt;=4,"Moderado (4-4.9)","Menor a 4"))))</x:f>
        <x:v>Moderado (4-4.9)</x:v>
      </x:c>
      <x:c r="L973" s="25" t="str">
        <x:f>IF(I973&lt;70,"Superficial (&lt;70 km)",IF(I973&lt;=300,"Intermedio (70-300 km)","Profundo (&gt;300 km)"))</x:f>
        <x:v>Superficial (&lt;70 km)</x:v>
      </x:c>
      <x:c r="M973" s="25" t="str">
        <x:f>IF(J973&gt;=5,"Sí","No")</x:f>
        <x:v>No</x:v>
      </x:c>
      <x:c r="N973" s="25" t="str">
        <x:f>IF(J973&gt;=6,"Sí","No")</x:f>
        <x:v>No</x:v>
      </x:c>
      <x:c r="O973" s="25" t="str">
        <x:v>Pendiente: asignar con R/sf</x:v>
      </x:c>
    </x:row>
    <x:row r="974">
      <x:c r="A974" s="25" t="n">
        <x:v>973</x:v>
      </x:c>
      <x:c r="B974" s="26" t="n">
        <x:v>44424.29178240741</x:v>
      </x:c>
      <x:c r="C974" s="27" t="n">
        <x:f>INT(B974)</x:f>
        <x:v>44424</x:v>
      </x:c>
      <x:c r="D974" s="28" t="n">
        <x:f>MOD(B974,1)</x:f>
        <x:v>0.29178240741021</x:v>
      </x:c>
      <x:c r="E974" s="29" t="n">
        <x:f>YEAR(B974)</x:f>
        <x:v>2021</x:v>
      </x:c>
      <x:c r="F974" s="29" t="n">
        <x:f>MONTH(B974)</x:f>
        <x:v>8</x:v>
      </x:c>
      <x:c r="G974" s="30" t="n">
        <x:v>-23.73</x:v>
      </x:c>
      <x:c r="H974" s="30" t="n">
        <x:v>-69.88</x:v>
      </x:c>
      <x:c r="I974" s="29" t="n">
        <x:v>71</x:v>
      </x:c>
      <x:c r="J974" s="31" t="n">
        <x:v>5.2</x:v>
      </x:c>
      <x:c r="K974" s="25" t="str">
        <x:f>IF(J974&gt;=7,"Muy fuerte (&gt;=7)",IF(J974&gt;=6,"Fuerte (6-6.9)",IF(J974&gt;=5,"Moderado alto (5-5.9)",IF(J974&gt;=4,"Moderado (4-4.9)","Menor a 4"))))</x:f>
        <x:v>Moderado alto (5-5.9)</x:v>
      </x:c>
      <x:c r="L974" s="25" t="str">
        <x:f>IF(I974&lt;70,"Superficial (&lt;70 km)",IF(I974&lt;=300,"Intermedio (70-300 km)","Profundo (&gt;300 km)"))</x:f>
        <x:v>Intermedio (70-300 km)</x:v>
      </x:c>
      <x:c r="M974" s="25" t="str">
        <x:f>IF(J974&gt;=5,"Sí","No")</x:f>
        <x:v>Sí</x:v>
      </x:c>
      <x:c r="N974" s="25" t="str">
        <x:f>IF(J974&gt;=6,"Sí","No")</x:f>
        <x:v>No</x:v>
      </x:c>
      <x:c r="O974" s="25" t="str">
        <x:v>Pendiente: asignar con R/sf</x:v>
      </x:c>
    </x:row>
    <x:row r="975">
      <x:c r="A975" s="25" t="n">
        <x:v>974</x:v>
      </x:c>
      <x:c r="B975" s="26" t="n">
        <x:v>44110.21973379629</x:v>
      </x:c>
      <x:c r="C975" s="27" t="n">
        <x:f>INT(B975)</x:f>
        <x:v>44110</x:v>
      </x:c>
      <x:c r="D975" s="28" t="n">
        <x:f>MOD(B975,1)</x:f>
        <x:v>0.2197337962934398</x:v>
      </x:c>
      <x:c r="E975" s="29" t="n">
        <x:f>YEAR(B975)</x:f>
        <x:v>2020</x:v>
      </x:c>
      <x:c r="F975" s="29" t="n">
        <x:f>MONTH(B975)</x:f>
        <x:v>10</x:v>
      </x:c>
      <x:c r="G975" s="30" t="n">
        <x:v>-32.28</x:v>
      </x:c>
      <x:c r="H975" s="30" t="n">
        <x:v>-71.78</x:v>
      </x:c>
      <x:c r="I975" s="29" t="n">
        <x:v>31</x:v>
      </x:c>
      <x:c r="J975" s="31" t="n">
        <x:v>4.4</x:v>
      </x:c>
      <x:c r="K975" s="25" t="str">
        <x:f>IF(J975&gt;=7,"Muy fuerte (&gt;=7)",IF(J975&gt;=6,"Fuerte (6-6.9)",IF(J975&gt;=5,"Moderado alto (5-5.9)",IF(J975&gt;=4,"Moderado (4-4.9)","Menor a 4"))))</x:f>
        <x:v>Moderado (4-4.9)</x:v>
      </x:c>
      <x:c r="L975" s="25" t="str">
        <x:f>IF(I975&lt;70,"Superficial (&lt;70 km)",IF(I975&lt;=300,"Intermedio (70-300 km)","Profundo (&gt;300 km)"))</x:f>
        <x:v>Superficial (&lt;70 km)</x:v>
      </x:c>
      <x:c r="M975" s="25" t="str">
        <x:f>IF(J975&gt;=5,"Sí","No")</x:f>
        <x:v>No</x:v>
      </x:c>
      <x:c r="N975" s="25" t="str">
        <x:f>IF(J975&gt;=6,"Sí","No")</x:f>
        <x:v>No</x:v>
      </x:c>
      <x:c r="O975" s="25" t="str">
        <x:v>Pendiente: asignar con R/sf</x:v>
      </x:c>
    </x:row>
    <x:row r="976">
      <x:c r="A976" s="25" t="n">
        <x:v>975</x:v>
      </x:c>
      <x:c r="B976" s="26" t="n">
        <x:v>44403.87368055555</x:v>
      </x:c>
      <x:c r="C976" s="27" t="n">
        <x:f>INT(B976)</x:f>
        <x:v>44403</x:v>
      </x:c>
      <x:c r="D976" s="28" t="n">
        <x:f>MOD(B976,1)</x:f>
        <x:v>0.8736805555527098</x:v>
      </x:c>
      <x:c r="E976" s="29" t="n">
        <x:f>YEAR(B976)</x:f>
        <x:v>2021</x:v>
      </x:c>
      <x:c r="F976" s="29" t="n">
        <x:f>MONTH(B976)</x:f>
        <x:v>7</x:v>
      </x:c>
      <x:c r="G976" s="30" t="n">
        <x:v>-33.44</x:v>
      </x:c>
      <x:c r="H976" s="30" t="n">
        <x:v>-71.77</x:v>
      </x:c>
      <x:c r="I976" s="29" t="n">
        <x:v>42</x:v>
      </x:c>
      <x:c r="J976" s="31" t="n">
        <x:v>4.9</x:v>
      </x:c>
      <x:c r="K976" s="25" t="str">
        <x:f>IF(J976&gt;=7,"Muy fuerte (&gt;=7)",IF(J976&gt;=6,"Fuerte (6-6.9)",IF(J976&gt;=5,"Moderado alto (5-5.9)",IF(J976&gt;=4,"Moderado (4-4.9)","Menor a 4"))))</x:f>
        <x:v>Moderado (4-4.9)</x:v>
      </x:c>
      <x:c r="L976" s="25" t="str">
        <x:f>IF(I976&lt;70,"Superficial (&lt;70 km)",IF(I976&lt;=300,"Intermedio (70-300 km)","Profundo (&gt;300 km)"))</x:f>
        <x:v>Superficial (&lt;70 km)</x:v>
      </x:c>
      <x:c r="M976" s="25" t="str">
        <x:f>IF(J976&gt;=5,"Sí","No")</x:f>
        <x:v>No</x:v>
      </x:c>
      <x:c r="N976" s="25" t="str">
        <x:f>IF(J976&gt;=6,"Sí","No")</x:f>
        <x:v>No</x:v>
      </x:c>
      <x:c r="O976" s="25" t="str">
        <x:v>Pendiente: asignar con R/sf</x:v>
      </x:c>
    </x:row>
    <x:row r="977">
      <x:c r="A977" s="25" t="n">
        <x:v>976</x:v>
      </x:c>
      <x:c r="B977" s="26" t="n">
        <x:v>44177.30081018519</x:v>
      </x:c>
      <x:c r="C977" s="27" t="n">
        <x:f>INT(B977)</x:f>
        <x:v>44177</x:v>
      </x:c>
      <x:c r="D977" s="28" t="n">
        <x:f>MOD(B977,1)</x:f>
        <x:v>0.30081018518831115</x:v>
      </x:c>
      <x:c r="E977" s="29" t="n">
        <x:f>YEAR(B977)</x:f>
        <x:v>2020</x:v>
      </x:c>
      <x:c r="F977" s="29" t="n">
        <x:f>MONTH(B977)</x:f>
        <x:v>12</x:v>
      </x:c>
      <x:c r="G977" s="30" t="n">
        <x:v>-32.3</x:v>
      </x:c>
      <x:c r="H977" s="30" t="n">
        <x:v>-71.78</x:v>
      </x:c>
      <x:c r="I977" s="29" t="n">
        <x:v>36</x:v>
      </x:c>
      <x:c r="J977" s="31" t="n">
        <x:v>4.5</x:v>
      </x:c>
      <x:c r="K977" s="25" t="str">
        <x:f>IF(J977&gt;=7,"Muy fuerte (&gt;=7)",IF(J977&gt;=6,"Fuerte (6-6.9)",IF(J977&gt;=5,"Moderado alto (5-5.9)",IF(J977&gt;=4,"Moderado (4-4.9)","Menor a 4"))))</x:f>
        <x:v>Moderado (4-4.9)</x:v>
      </x:c>
      <x:c r="L977" s="25" t="str">
        <x:f>IF(I977&lt;70,"Superficial (&lt;70 km)",IF(I977&lt;=300,"Intermedio (70-300 km)","Profundo (&gt;300 km)"))</x:f>
        <x:v>Superficial (&lt;70 km)</x:v>
      </x:c>
      <x:c r="M977" s="25" t="str">
        <x:f>IF(J977&gt;=5,"Sí","No")</x:f>
        <x:v>No</x:v>
      </x:c>
      <x:c r="N977" s="25" t="str">
        <x:f>IF(J977&gt;=6,"Sí","No")</x:f>
        <x:v>No</x:v>
      </x:c>
      <x:c r="O977" s="25" t="str">
        <x:v>Pendiente: asignar con R/sf</x:v>
      </x:c>
    </x:row>
    <x:row r="978">
      <x:c r="A978" s="25" t="n">
        <x:v>977</x:v>
      </x:c>
      <x:c r="B978" s="26" t="n">
        <x:v>44052.75604166667</x:v>
      </x:c>
      <x:c r="C978" s="27" t="n">
        <x:f>INT(B978)</x:f>
        <x:v>44052</x:v>
      </x:c>
      <x:c r="D978" s="28" t="n">
        <x:f>MOD(B978,1)</x:f>
        <x:v>0.7560416666674428</x:v>
      </x:c>
      <x:c r="E978" s="29" t="n">
        <x:f>YEAR(B978)</x:f>
        <x:v>2020</x:v>
      </x:c>
      <x:c r="F978" s="29" t="n">
        <x:f>MONTH(B978)</x:f>
        <x:v>8</x:v>
      </x:c>
      <x:c r="G978" s="30" t="n">
        <x:v>-32.97</x:v>
      </x:c>
      <x:c r="H978" s="30" t="n">
        <x:v>-71.77</x:v>
      </x:c>
      <x:c r="I978" s="29" t="n">
        <x:v>28</x:v>
      </x:c>
      <x:c r="J978" s="31" t="n">
        <x:v>4.1</x:v>
      </x:c>
      <x:c r="K978" s="25" t="str">
        <x:f>IF(J978&gt;=7,"Muy fuerte (&gt;=7)",IF(J978&gt;=6,"Fuerte (6-6.9)",IF(J978&gt;=5,"Moderado alto (5-5.9)",IF(J978&gt;=4,"Moderado (4-4.9)","Menor a 4"))))</x:f>
        <x:v>Moderado (4-4.9)</x:v>
      </x:c>
      <x:c r="L978" s="25" t="str">
        <x:f>IF(I978&lt;70,"Superficial (&lt;70 km)",IF(I978&lt;=300,"Intermedio (70-300 km)","Profundo (&gt;300 km)"))</x:f>
        <x:v>Superficial (&lt;70 km)</x:v>
      </x:c>
      <x:c r="M978" s="25" t="str">
        <x:f>IF(J978&gt;=5,"Sí","No")</x:f>
        <x:v>No</x:v>
      </x:c>
      <x:c r="N978" s="25" t="str">
        <x:f>IF(J978&gt;=6,"Sí","No")</x:f>
        <x:v>No</x:v>
      </x:c>
      <x:c r="O978" s="25" t="str">
        <x:v>Pendiente: asignar con R/sf</x:v>
      </x:c>
    </x:row>
    <x:row r="979">
      <x:c r="A979" s="25" t="n">
        <x:v>978</x:v>
      </x:c>
      <x:c r="B979" s="26" t="n">
        <x:v>44156.70936342593</x:v>
      </x:c>
      <x:c r="C979" s="27" t="n">
        <x:f>INT(B979)</x:f>
        <x:v>44156</x:v>
      </x:c>
      <x:c r="D979" s="28" t="n">
        <x:f>MOD(B979,1)</x:f>
        <x:v>0.7093634259290411</x:v>
      </x:c>
      <x:c r="E979" s="29" t="n">
        <x:f>YEAR(B979)</x:f>
        <x:v>2020</x:v>
      </x:c>
      <x:c r="F979" s="29" t="n">
        <x:f>MONTH(B979)</x:f>
        <x:v>11</x:v>
      </x:c>
      <x:c r="G979" s="30" t="n">
        <x:v>-32.3</x:v>
      </x:c>
      <x:c r="H979" s="30" t="n">
        <x:v>-71.6</x:v>
      </x:c>
      <x:c r="I979" s="29" t="n">
        <x:v>69</x:v>
      </x:c>
      <x:c r="J979" s="31" t="n">
        <x:v>4.1</x:v>
      </x:c>
      <x:c r="K979" s="25" t="str">
        <x:f>IF(J979&gt;=7,"Muy fuerte (&gt;=7)",IF(J979&gt;=6,"Fuerte (6-6.9)",IF(J979&gt;=5,"Moderado alto (5-5.9)",IF(J979&gt;=4,"Moderado (4-4.9)","Menor a 4"))))</x:f>
        <x:v>Moderado (4-4.9)</x:v>
      </x:c>
      <x:c r="L979" s="25" t="str">
        <x:f>IF(I979&lt;70,"Superficial (&lt;70 km)",IF(I979&lt;=300,"Intermedio (70-300 km)","Profundo (&gt;300 km)"))</x:f>
        <x:v>Superficial (&lt;70 km)</x:v>
      </x:c>
      <x:c r="M979" s="25" t="str">
        <x:f>IF(J979&gt;=5,"Sí","No")</x:f>
        <x:v>No</x:v>
      </x:c>
      <x:c r="N979" s="25" t="str">
        <x:f>IF(J979&gt;=6,"Sí","No")</x:f>
        <x:v>No</x:v>
      </x:c>
      <x:c r="O979" s="25" t="str">
        <x:v>Pendiente: asignar con R/sf</x:v>
      </x:c>
    </x:row>
    <x:row r="980">
      <x:c r="A980" s="25" t="n">
        <x:v>979</x:v>
      </x:c>
      <x:c r="B980" s="26" t="n">
        <x:v>44174.17755787037</x:v>
      </x:c>
      <x:c r="C980" s="27" t="n">
        <x:f>INT(B980)</x:f>
        <x:v>44174</x:v>
      </x:c>
      <x:c r="D980" s="28" t="n">
        <x:f>MOD(B980,1)</x:f>
        <x:v>0.17755787036730908</x:v>
      </x:c>
      <x:c r="E980" s="29" t="n">
        <x:f>YEAR(B980)</x:f>
        <x:v>2020</x:v>
      </x:c>
      <x:c r="F980" s="29" t="n">
        <x:f>MONTH(B980)</x:f>
        <x:v>12</x:v>
      </x:c>
      <x:c r="G980" s="30" t="n">
        <x:v>-32.05</x:v>
      </x:c>
      <x:c r="H980" s="30" t="n">
        <x:v>-71.64</x:v>
      </x:c>
      <x:c r="I980" s="29" t="n">
        <x:v>30</x:v>
      </x:c>
      <x:c r="J980" s="31" t="n">
        <x:v>4.5</x:v>
      </x:c>
      <x:c r="K980" s="25" t="str">
        <x:f>IF(J980&gt;=7,"Muy fuerte (&gt;=7)",IF(J980&gt;=6,"Fuerte (6-6.9)",IF(J980&gt;=5,"Moderado alto (5-5.9)",IF(J980&gt;=4,"Moderado (4-4.9)","Menor a 4"))))</x:f>
        <x:v>Moderado (4-4.9)</x:v>
      </x:c>
      <x:c r="L980" s="25" t="str">
        <x:f>IF(I980&lt;70,"Superficial (&lt;70 km)",IF(I980&lt;=300,"Intermedio (70-300 km)","Profundo (&gt;300 km)"))</x:f>
        <x:v>Superficial (&lt;70 km)</x:v>
      </x:c>
      <x:c r="M980" s="25" t="str">
        <x:f>IF(J980&gt;=5,"Sí","No")</x:f>
        <x:v>No</x:v>
      </x:c>
      <x:c r="N980" s="25" t="str">
        <x:f>IF(J980&gt;=6,"Sí","No")</x:f>
        <x:v>No</x:v>
      </x:c>
      <x:c r="O980" s="25" t="str">
        <x:v>Pendiente: asignar con R/sf</x:v>
      </x:c>
    </x:row>
    <x:row r="981">
      <x:c r="A981" s="25" t="n">
        <x:v>980</x:v>
      </x:c>
      <x:c r="B981" s="26" t="n">
        <x:v>44426.65584490741</x:v>
      </x:c>
      <x:c r="C981" s="27" t="n">
        <x:f>INT(B981)</x:f>
        <x:v>44426</x:v>
      </x:c>
      <x:c r="D981" s="28" t="n">
        <x:f>MOD(B981,1)</x:f>
        <x:v>0.6558449074072996</x:v>
      </x:c>
      <x:c r="E981" s="29" t="n">
        <x:f>YEAR(B981)</x:f>
        <x:v>2021</x:v>
      </x:c>
      <x:c r="F981" s="29" t="n">
        <x:f>MONTH(B981)</x:f>
        <x:v>8</x:v>
      </x:c>
      <x:c r="G981" s="30" t="n">
        <x:v>-19.51</x:v>
      </x:c>
      <x:c r="H981" s="30" t="n">
        <x:v>-69.78</x:v>
      </x:c>
      <x:c r="I981" s="29" t="n">
        <x:v>68</x:v>
      </x:c>
      <x:c r="J981" s="31" t="n">
        <x:v>4.1</x:v>
      </x:c>
      <x:c r="K981" s="25" t="str">
        <x:f>IF(J981&gt;=7,"Muy fuerte (&gt;=7)",IF(J981&gt;=6,"Fuerte (6-6.9)",IF(J981&gt;=5,"Moderado alto (5-5.9)",IF(J981&gt;=4,"Moderado (4-4.9)","Menor a 4"))))</x:f>
        <x:v>Moderado (4-4.9)</x:v>
      </x:c>
      <x:c r="L981" s="25" t="str">
        <x:f>IF(I981&lt;70,"Superficial (&lt;70 km)",IF(I981&lt;=300,"Intermedio (70-300 km)","Profundo (&gt;300 km)"))</x:f>
        <x:v>Superficial (&lt;70 km)</x:v>
      </x:c>
      <x:c r="M981" s="25" t="str">
        <x:f>IF(J981&gt;=5,"Sí","No")</x:f>
        <x:v>No</x:v>
      </x:c>
      <x:c r="N981" s="25" t="str">
        <x:f>IF(J981&gt;=6,"Sí","No")</x:f>
        <x:v>No</x:v>
      </x:c>
      <x:c r="O981" s="25" t="str">
        <x:v>Pendiente: asignar con R/sf</x:v>
      </x:c>
    </x:row>
    <x:row r="982">
      <x:c r="A982" s="25" t="n">
        <x:v>981</x:v>
      </x:c>
      <x:c r="B982" s="26" t="n">
        <x:v>44303.16037037037</x:v>
      </x:c>
      <x:c r="C982" s="27" t="n">
        <x:f>INT(B982)</x:f>
        <x:v>44303</x:v>
      </x:c>
      <x:c r="D982" s="28" t="n">
        <x:f>MOD(B982,1)</x:f>
        <x:v>0.16037037037312984</x:v>
      </x:c>
      <x:c r="E982" s="29" t="n">
        <x:f>YEAR(B982)</x:f>
        <x:v>2021</x:v>
      </x:c>
      <x:c r="F982" s="29" t="n">
        <x:f>MONTH(B982)</x:f>
        <x:v>4</x:v>
      </x:c>
      <x:c r="G982" s="30" t="n">
        <x:v>-30.47</x:v>
      </x:c>
      <x:c r="H982" s="30" t="n">
        <x:v>-72.14</x:v>
      </x:c>
      <x:c r="I982" s="29" t="n">
        <x:v>31</x:v>
      </x:c>
      <x:c r="J982" s="31" t="n">
        <x:v>5.1</x:v>
      </x:c>
      <x:c r="K982" s="25" t="str">
        <x:f>IF(J982&gt;=7,"Muy fuerte (&gt;=7)",IF(J982&gt;=6,"Fuerte (6-6.9)",IF(J982&gt;=5,"Moderado alto (5-5.9)",IF(J982&gt;=4,"Moderado (4-4.9)","Menor a 4"))))</x:f>
        <x:v>Moderado alto (5-5.9)</x:v>
      </x:c>
      <x:c r="L982" s="25" t="str">
        <x:f>IF(I982&lt;70,"Superficial (&lt;70 km)",IF(I982&lt;=300,"Intermedio (70-300 km)","Profundo (&gt;300 km)"))</x:f>
        <x:v>Superficial (&lt;70 km)</x:v>
      </x:c>
      <x:c r="M982" s="25" t="str">
        <x:f>IF(J982&gt;=5,"Sí","No")</x:f>
        <x:v>Sí</x:v>
      </x:c>
      <x:c r="N982" s="25" t="str">
        <x:f>IF(J982&gt;=6,"Sí","No")</x:f>
        <x:v>No</x:v>
      </x:c>
      <x:c r="O982" s="25" t="str">
        <x:v>Pendiente: asignar con R/sf</x:v>
      </x:c>
    </x:row>
    <x:row r="983">
      <x:c r="A983" s="25" t="n">
        <x:v>982</x:v>
      </x:c>
      <x:c r="B983" s="26" t="n">
        <x:v>43615.773148148146</x:v>
      </x:c>
      <x:c r="C983" s="27" t="n">
        <x:f>INT(B983)</x:f>
        <x:v>43615</x:v>
      </x:c>
      <x:c r="D983" s="28" t="n">
        <x:f>MOD(B983,1)</x:f>
        <x:v>0.7731481481459923</x:v>
      </x:c>
      <x:c r="E983" s="29" t="n">
        <x:f>YEAR(B983)</x:f>
        <x:v>2019</x:v>
      </x:c>
      <x:c r="F983" s="29" t="n">
        <x:f>MONTH(B983)</x:f>
        <x:v>5</x:v>
      </x:c>
      <x:c r="G983" s="30" t="n">
        <x:v>-33.11</x:v>
      </x:c>
      <x:c r="H983" s="30" t="n">
        <x:v>-71.86</x:v>
      </x:c>
      <x:c r="I983" s="29" t="n">
        <x:v>32</x:v>
      </x:c>
      <x:c r="J983" s="31" t="n">
        <x:v>3.5</x:v>
      </x:c>
      <x:c r="K983" s="25" t="str">
        <x:f>IF(J983&gt;=7,"Muy fuerte (&gt;=7)",IF(J983&gt;=6,"Fuerte (6-6.9)",IF(J983&gt;=5,"Moderado alto (5-5.9)",IF(J983&gt;=4,"Moderado (4-4.9)","Menor a 4"))))</x:f>
        <x:v>Menor a 4</x:v>
      </x:c>
      <x:c r="L983" s="25" t="str">
        <x:f>IF(I983&lt;70,"Superficial (&lt;70 km)",IF(I983&lt;=300,"Intermedio (70-300 km)","Profundo (&gt;300 km)"))</x:f>
        <x:v>Superficial (&lt;70 km)</x:v>
      </x:c>
      <x:c r="M983" s="25" t="str">
        <x:f>IF(J983&gt;=5,"Sí","No")</x:f>
        <x:v>No</x:v>
      </x:c>
      <x:c r="N983" s="25" t="str">
        <x:f>IF(J983&gt;=6,"Sí","No")</x:f>
        <x:v>No</x:v>
      </x:c>
      <x:c r="O983" s="25" t="str">
        <x:v>Pendiente: asignar con R/sf</x:v>
      </x:c>
    </x:row>
    <x:row r="984">
      <x:c r="A984" s="25" t="n">
        <x:v>983</x:v>
      </x:c>
      <x:c r="B984" s="26" t="n">
        <x:v>44410.63164351852</x:v>
      </x:c>
      <x:c r="C984" s="27" t="n">
        <x:f>INT(B984)</x:f>
        <x:v>44410</x:v>
      </x:c>
      <x:c r="D984" s="28" t="n">
        <x:f>MOD(B984,1)</x:f>
        <x:v>0.6316435185217415</x:v>
      </x:c>
      <x:c r="E984" s="29" t="n">
        <x:f>YEAR(B984)</x:f>
        <x:v>2021</x:v>
      </x:c>
      <x:c r="F984" s="29" t="n">
        <x:f>MONTH(B984)</x:f>
        <x:v>8</x:v>
      </x:c>
      <x:c r="G984" s="30" t="n">
        <x:v>-22.5</x:v>
      </x:c>
      <x:c r="H984" s="30" t="n">
        <x:v>-70.28</x:v>
      </x:c>
      <x:c r="I984" s="29" t="n">
        <x:v>65</x:v>
      </x:c>
      <x:c r="J984" s="31" t="n">
        <x:v>4.9</x:v>
      </x:c>
      <x:c r="K984" s="25" t="str">
        <x:f>IF(J984&gt;=7,"Muy fuerte (&gt;=7)",IF(J984&gt;=6,"Fuerte (6-6.9)",IF(J984&gt;=5,"Moderado alto (5-5.9)",IF(J984&gt;=4,"Moderado (4-4.9)","Menor a 4"))))</x:f>
        <x:v>Moderado (4-4.9)</x:v>
      </x:c>
      <x:c r="L984" s="25" t="str">
        <x:f>IF(I984&lt;70,"Superficial (&lt;70 km)",IF(I984&lt;=300,"Intermedio (70-300 km)","Profundo (&gt;300 km)"))</x:f>
        <x:v>Superficial (&lt;70 km)</x:v>
      </x:c>
      <x:c r="M984" s="25" t="str">
        <x:f>IF(J984&gt;=5,"Sí","No")</x:f>
        <x:v>No</x:v>
      </x:c>
      <x:c r="N984" s="25" t="str">
        <x:f>IF(J984&gt;=6,"Sí","No")</x:f>
        <x:v>No</x:v>
      </x:c>
      <x:c r="O984" s="25" t="str">
        <x:v>Pendiente: asignar con R/sf</x:v>
      </x:c>
    </x:row>
    <x:row r="985">
      <x:c r="A985" s="25" t="n">
        <x:v>984</x:v>
      </x:c>
      <x:c r="B985" s="26" t="n">
        <x:v>44415.771585648145</x:v>
      </x:c>
      <x:c r="C985" s="27" t="n">
        <x:f>INT(B985)</x:f>
        <x:v>44415</x:v>
      </x:c>
      <x:c r="D985" s="28" t="n">
        <x:f>MOD(B985,1)</x:f>
        <x:v>0.7715856481445371</x:v>
      </x:c>
      <x:c r="E985" s="29" t="n">
        <x:f>YEAR(B985)</x:f>
        <x:v>2021</x:v>
      </x:c>
      <x:c r="F985" s="29" t="n">
        <x:f>MONTH(B985)</x:f>
        <x:v>8</x:v>
      </x:c>
      <x:c r="G985" s="30" t="n">
        <x:v>-21.85</x:v>
      </x:c>
      <x:c r="H985" s="30" t="n">
        <x:v>-68.44</x:v>
      </x:c>
      <x:c r="I985" s="29" t="n">
        <x:v>146</x:v>
      </x:c>
      <x:c r="J985" s="31" t="n">
        <x:v>5.2</x:v>
      </x:c>
      <x:c r="K985" s="25" t="str">
        <x:f>IF(J985&gt;=7,"Muy fuerte (&gt;=7)",IF(J985&gt;=6,"Fuerte (6-6.9)",IF(J985&gt;=5,"Moderado alto (5-5.9)",IF(J985&gt;=4,"Moderado (4-4.9)","Menor a 4"))))</x:f>
        <x:v>Moderado alto (5-5.9)</x:v>
      </x:c>
      <x:c r="L985" s="25" t="str">
        <x:f>IF(I985&lt;70,"Superficial (&lt;70 km)",IF(I985&lt;=300,"Intermedio (70-300 km)","Profundo (&gt;300 km)"))</x:f>
        <x:v>Intermedio (70-300 km)</x:v>
      </x:c>
      <x:c r="M985" s="25" t="str">
        <x:f>IF(J985&gt;=5,"Sí","No")</x:f>
        <x:v>Sí</x:v>
      </x:c>
      <x:c r="N985" s="25" t="str">
        <x:f>IF(J985&gt;=6,"Sí","No")</x:f>
        <x:v>No</x:v>
      </x:c>
      <x:c r="O985" s="25" t="str">
        <x:v>Pendiente: asignar con R/sf</x:v>
      </x:c>
    </x:row>
    <x:row r="986">
      <x:c r="A986" s="25" t="n">
        <x:v>985</x:v>
      </x:c>
      <x:c r="B986" s="26" t="n">
        <x:v>44157.92259259259</x:v>
      </x:c>
      <x:c r="C986" s="27" t="n">
        <x:f>INT(B986)</x:f>
        <x:v>44157</x:v>
      </x:c>
      <x:c r="D986" s="28" t="n">
        <x:f>MOD(B986,1)</x:f>
        <x:v>0.9225925925929914</x:v>
      </x:c>
      <x:c r="E986" s="29" t="n">
        <x:f>YEAR(B986)</x:f>
        <x:v>2020</x:v>
      </x:c>
      <x:c r="F986" s="29" t="n">
        <x:f>MONTH(B986)</x:f>
        <x:v>11</x:v>
      </x:c>
      <x:c r="G986" s="30" t="n">
        <x:v>-32.51</x:v>
      </x:c>
      <x:c r="H986" s="30" t="n">
        <x:v>-71.76</x:v>
      </x:c>
      <x:c r="I986" s="29" t="n">
        <x:v>35</x:v>
      </x:c>
      <x:c r="J986" s="31" t="n">
        <x:v>4.2</x:v>
      </x:c>
      <x:c r="K986" s="25" t="str">
        <x:f>IF(J986&gt;=7,"Muy fuerte (&gt;=7)",IF(J986&gt;=6,"Fuerte (6-6.9)",IF(J986&gt;=5,"Moderado alto (5-5.9)",IF(J986&gt;=4,"Moderado (4-4.9)","Menor a 4"))))</x:f>
        <x:v>Moderado (4-4.9)</x:v>
      </x:c>
      <x:c r="L986" s="25" t="str">
        <x:f>IF(I986&lt;70,"Superficial (&lt;70 km)",IF(I986&lt;=300,"Intermedio (70-300 km)","Profundo (&gt;300 km)"))</x:f>
        <x:v>Superficial (&lt;70 km)</x:v>
      </x:c>
      <x:c r="M986" s="25" t="str">
        <x:f>IF(J986&gt;=5,"Sí","No")</x:f>
        <x:v>No</x:v>
      </x:c>
      <x:c r="N986" s="25" t="str">
        <x:f>IF(J986&gt;=6,"Sí","No")</x:f>
        <x:v>No</x:v>
      </x:c>
      <x:c r="O986" s="25" t="str">
        <x:v>Pendiente: asignar con R/sf</x:v>
      </x:c>
    </x:row>
    <x:row r="987">
      <x:c r="A987" s="25" t="n">
        <x:v>986</x:v>
      </x:c>
      <x:c r="B987" s="26" t="n">
        <x:v>44423.65861111111</x:v>
      </x:c>
      <x:c r="C987" s="27" t="n">
        <x:f>INT(B987)</x:f>
        <x:v>44423</x:v>
      </x:c>
      <x:c r="D987" s="28" t="n">
        <x:f>MOD(B987,1)</x:f>
        <x:v>0.6586111111100763</x:v>
      </x:c>
      <x:c r="E987" s="29" t="n">
        <x:f>YEAR(B987)</x:f>
        <x:v>2021</x:v>
      </x:c>
      <x:c r="F987" s="29" t="n">
        <x:f>MONTH(B987)</x:f>
        <x:v>8</x:v>
      </x:c>
      <x:c r="G987" s="30" t="n">
        <x:v>-21.35</x:v>
      </x:c>
      <x:c r="H987" s="30" t="n">
        <x:v>-68.86</x:v>
      </x:c>
      <x:c r="I987" s="29" t="n">
        <x:v>121</x:v>
      </x:c>
      <x:c r="J987" s="31" t="n">
        <x:v>4.8</x:v>
      </x:c>
      <x:c r="K987" s="25" t="str">
        <x:f>IF(J987&gt;=7,"Muy fuerte (&gt;=7)",IF(J987&gt;=6,"Fuerte (6-6.9)",IF(J987&gt;=5,"Moderado alto (5-5.9)",IF(J987&gt;=4,"Moderado (4-4.9)","Menor a 4"))))</x:f>
        <x:v>Moderado (4-4.9)</x:v>
      </x:c>
      <x:c r="L987" s="25" t="str">
        <x:f>IF(I987&lt;70,"Superficial (&lt;70 km)",IF(I987&lt;=300,"Intermedio (70-300 km)","Profundo (&gt;300 km)"))</x:f>
        <x:v>Intermedio (70-300 km)</x:v>
      </x:c>
      <x:c r="M987" s="25" t="str">
        <x:f>IF(J987&gt;=5,"Sí","No")</x:f>
        <x:v>No</x:v>
      </x:c>
      <x:c r="N987" s="25" t="str">
        <x:f>IF(J987&gt;=6,"Sí","No")</x:f>
        <x:v>No</x:v>
      </x:c>
      <x:c r="O987" s="25" t="str">
        <x:v>Pendiente: asignar con R/sf</x:v>
      </x:c>
    </x:row>
    <x:row r="988">
      <x:c r="A988" s="25" t="n">
        <x:v>987</x:v>
      </x:c>
      <x:c r="B988" s="26" t="n">
        <x:v>43495.63104166667</x:v>
      </x:c>
      <x:c r="C988" s="27" t="n">
        <x:f>INT(B988)</x:f>
        <x:v>43495</x:v>
      </x:c>
      <x:c r="D988" s="28" t="n">
        <x:f>MOD(B988,1)</x:f>
        <x:v>0.6310416666674428</x:v>
      </x:c>
      <x:c r="E988" s="29" t="n">
        <x:f>YEAR(B988)</x:f>
        <x:v>2019</x:v>
      </x:c>
      <x:c r="F988" s="29" t="n">
        <x:f>MONTH(B988)</x:f>
        <x:v>1</x:v>
      </x:c>
      <x:c r="G988" s="30" t="n">
        <x:v>-20.25</x:v>
      </x:c>
      <x:c r="H988" s="30" t="n">
        <x:v>-70.21</x:v>
      </x:c>
      <x:c r="I988" s="29" t="n">
        <x:v>40</x:v>
      </x:c>
      <x:c r="J988" s="31" t="n">
        <x:v>3.1</x:v>
      </x:c>
      <x:c r="K988" s="25" t="str">
        <x:f>IF(J988&gt;=7,"Muy fuerte (&gt;=7)",IF(J988&gt;=6,"Fuerte (6-6.9)",IF(J988&gt;=5,"Moderado alto (5-5.9)",IF(J988&gt;=4,"Moderado (4-4.9)","Menor a 4"))))</x:f>
        <x:v>Menor a 4</x:v>
      </x:c>
      <x:c r="L988" s="25" t="str">
        <x:f>IF(I988&lt;70,"Superficial (&lt;70 km)",IF(I988&lt;=300,"Intermedio (70-300 km)","Profundo (&gt;300 km)"))</x:f>
        <x:v>Superficial (&lt;70 km)</x:v>
      </x:c>
      <x:c r="M988" s="25" t="str">
        <x:f>IF(J988&gt;=5,"Sí","No")</x:f>
        <x:v>No</x:v>
      </x:c>
      <x:c r="N988" s="25" t="str">
        <x:f>IF(J988&gt;=6,"Sí","No")</x:f>
        <x:v>No</x:v>
      </x:c>
      <x:c r="O988" s="25" t="str">
        <x:v>Pendiente: asignar con R/sf</x:v>
      </x:c>
    </x:row>
    <x:row r="989">
      <x:c r="A989" s="25" t="n">
        <x:v>988</x:v>
      </x:c>
      <x:c r="B989" s="26" t="n">
        <x:v>44348.52924768518</x:v>
      </x:c>
      <x:c r="C989" s="27" t="n">
        <x:f>INT(B989)</x:f>
        <x:v>44348</x:v>
      </x:c>
      <x:c r="D989" s="28" t="n">
        <x:f>MOD(B989,1)</x:f>
        <x:v>0.5292476851827814</x:v>
      </x:c>
      <x:c r="E989" s="29" t="n">
        <x:f>YEAR(B989)</x:f>
        <x:v>2021</x:v>
      </x:c>
      <x:c r="F989" s="29" t="n">
        <x:f>MONTH(B989)</x:f>
        <x:v>6</x:v>
      </x:c>
      <x:c r="G989" s="30" t="n">
        <x:v>-21.53</x:v>
      </x:c>
      <x:c r="H989" s="30" t="n">
        <x:v>-66.93</x:v>
      </x:c>
      <x:c r="I989" s="29" t="n">
        <x:v>220</x:v>
      </x:c>
      <x:c r="J989" s="31" t="n">
        <x:v>5.3</x:v>
      </x:c>
      <x:c r="K989" s="25" t="str">
        <x:f>IF(J989&gt;=7,"Muy fuerte (&gt;=7)",IF(J989&gt;=6,"Fuerte (6-6.9)",IF(J989&gt;=5,"Moderado alto (5-5.9)",IF(J989&gt;=4,"Moderado (4-4.9)","Menor a 4"))))</x:f>
        <x:v>Moderado alto (5-5.9)</x:v>
      </x:c>
      <x:c r="L989" s="25" t="str">
        <x:f>IF(I989&lt;70,"Superficial (&lt;70 km)",IF(I989&lt;=300,"Intermedio (70-300 km)","Profundo (&gt;300 km)"))</x:f>
        <x:v>Intermedio (70-300 km)</x:v>
      </x:c>
      <x:c r="M989" s="25" t="str">
        <x:f>IF(J989&gt;=5,"Sí","No")</x:f>
        <x:v>Sí</x:v>
      </x:c>
      <x:c r="N989" s="25" t="str">
        <x:f>IF(J989&gt;=6,"Sí","No")</x:f>
        <x:v>No</x:v>
      </x:c>
      <x:c r="O989" s="25" t="str">
        <x:v>Pendiente: asignar con R/sf</x:v>
      </x:c>
    </x:row>
    <x:row r="990">
      <x:c r="A990" s="25" t="n">
        <x:v>989</x:v>
      </x:c>
      <x:c r="B990" s="26" t="n">
        <x:v>43961.767222222225</x:v>
      </x:c>
      <x:c r="C990" s="27" t="n">
        <x:f>INT(B990)</x:f>
        <x:v>43961</x:v>
      </x:c>
      <x:c r="D990" s="28" t="n">
        <x:f>MOD(B990,1)</x:f>
        <x:v>0.7672222222245182</x:v>
      </x:c>
      <x:c r="E990" s="29" t="n">
        <x:f>YEAR(B990)</x:f>
        <x:v>2020</x:v>
      </x:c>
      <x:c r="F990" s="29" t="n">
        <x:f>MONTH(B990)</x:f>
        <x:v>5</x:v>
      </x:c>
      <x:c r="G990" s="30" t="n">
        <x:v>-20.58</x:v>
      </x:c>
      <x:c r="H990" s="30" t="n">
        <x:v>-70.62</x:v>
      </x:c>
      <x:c r="I990" s="29" t="n">
        <x:v>42</x:v>
      </x:c>
      <x:c r="J990" s="31" t="n">
        <x:v>3.6</x:v>
      </x:c>
      <x:c r="K990" s="25" t="str">
        <x:f>IF(J990&gt;=7,"Muy fuerte (&gt;=7)",IF(J990&gt;=6,"Fuerte (6-6.9)",IF(J990&gt;=5,"Moderado alto (5-5.9)",IF(J990&gt;=4,"Moderado (4-4.9)","Menor a 4"))))</x:f>
        <x:v>Menor a 4</x:v>
      </x:c>
      <x:c r="L990" s="25" t="str">
        <x:f>IF(I990&lt;70,"Superficial (&lt;70 km)",IF(I990&lt;=300,"Intermedio (70-300 km)","Profundo (&gt;300 km)"))</x:f>
        <x:v>Superficial (&lt;70 km)</x:v>
      </x:c>
      <x:c r="M990" s="25" t="str">
        <x:f>IF(J990&gt;=5,"Sí","No")</x:f>
        <x:v>No</x:v>
      </x:c>
      <x:c r="N990" s="25" t="str">
        <x:f>IF(J990&gt;=6,"Sí","No")</x:f>
        <x:v>No</x:v>
      </x:c>
      <x:c r="O990" s="25" t="str">
        <x:v>Pendiente: asignar con R/sf</x:v>
      </x:c>
    </x:row>
    <x:row r="991">
      <x:c r="A991" s="25" t="n">
        <x:v>990</x:v>
      </x:c>
      <x:c r="B991" s="26" t="n">
        <x:v>44459.30018518519</x:v>
      </x:c>
      <x:c r="C991" s="27" t="n">
        <x:f>INT(B991)</x:f>
        <x:v>44459</x:v>
      </x:c>
      <x:c r="D991" s="28" t="n">
        <x:f>MOD(B991,1)</x:f>
        <x:v>0.3001851851877291</x:v>
      </x:c>
      <x:c r="E991" s="29" t="n">
        <x:f>YEAR(B991)</x:f>
        <x:v>2021</x:v>
      </x:c>
      <x:c r="F991" s="29" t="n">
        <x:f>MONTH(B991)</x:f>
        <x:v>9</x:v>
      </x:c>
      <x:c r="G991" s="30" t="n">
        <x:v>-22.23</x:v>
      </x:c>
      <x:c r="H991" s="30" t="n">
        <x:v>-70.83</x:v>
      </x:c>
      <x:c r="I991" s="29" t="n">
        <x:v>42</x:v>
      </x:c>
      <x:c r="J991" s="31" t="n">
        <x:v>4.3</x:v>
      </x:c>
      <x:c r="K991" s="25" t="str">
        <x:f>IF(J991&gt;=7,"Muy fuerte (&gt;=7)",IF(J991&gt;=6,"Fuerte (6-6.9)",IF(J991&gt;=5,"Moderado alto (5-5.9)",IF(J991&gt;=4,"Moderado (4-4.9)","Menor a 4"))))</x:f>
        <x:v>Moderado (4-4.9)</x:v>
      </x:c>
      <x:c r="L991" s="25" t="str">
        <x:f>IF(I991&lt;70,"Superficial (&lt;70 km)",IF(I991&lt;=300,"Intermedio (70-300 km)","Profundo (&gt;300 km)"))</x:f>
        <x:v>Superficial (&lt;70 km)</x:v>
      </x:c>
      <x:c r="M991" s="25" t="str">
        <x:f>IF(J991&gt;=5,"Sí","No")</x:f>
        <x:v>No</x:v>
      </x:c>
      <x:c r="N991" s="25" t="str">
        <x:f>IF(J991&gt;=6,"Sí","No")</x:f>
        <x:v>No</x:v>
      </x:c>
      <x:c r="O991" s="25" t="str">
        <x:v>Pendiente: asignar con R/sf</x:v>
      </x:c>
    </x:row>
    <x:row r="992">
      <x:c r="A992" s="25" t="n">
        <x:v>991</x:v>
      </x:c>
      <x:c r="B992" s="26" t="n">
        <x:v>43366.52085648148</x:v>
      </x:c>
      <x:c r="C992" s="27" t="n">
        <x:f>INT(B992)</x:f>
        <x:v>43366</x:v>
      </x:c>
      <x:c r="D992" s="28" t="n">
        <x:f>MOD(B992,1)</x:f>
        <x:v>0.520856481482042</x:v>
      </x:c>
      <x:c r="E992" s="29" t="n">
        <x:f>YEAR(B992)</x:f>
        <x:v>2018</x:v>
      </x:c>
      <x:c r="F992" s="29" t="n">
        <x:f>MONTH(B992)</x:f>
        <x:v>9</x:v>
      </x:c>
      <x:c r="G992" s="30" t="n">
        <x:v>-19.76</x:v>
      </x:c>
      <x:c r="H992" s="30" t="n">
        <x:v>-69.56</x:v>
      </x:c>
      <x:c r="I992" s="29" t="n">
        <x:v>28</x:v>
      </x:c>
      <x:c r="J992" s="31" t="n">
        <x:v>3.5</x:v>
      </x:c>
      <x:c r="K992" s="25" t="str">
        <x:f>IF(J992&gt;=7,"Muy fuerte (&gt;=7)",IF(J992&gt;=6,"Fuerte (6-6.9)",IF(J992&gt;=5,"Moderado alto (5-5.9)",IF(J992&gt;=4,"Moderado (4-4.9)","Menor a 4"))))</x:f>
        <x:v>Menor a 4</x:v>
      </x:c>
      <x:c r="L992" s="25" t="str">
        <x:f>IF(I992&lt;70,"Superficial (&lt;70 km)",IF(I992&lt;=300,"Intermedio (70-300 km)","Profundo (&gt;300 km)"))</x:f>
        <x:v>Superficial (&lt;70 km)</x:v>
      </x:c>
      <x:c r="M992" s="25" t="str">
        <x:f>IF(J992&gt;=5,"Sí","No")</x:f>
        <x:v>No</x:v>
      </x:c>
      <x:c r="N992" s="25" t="str">
        <x:f>IF(J992&gt;=6,"Sí","No")</x:f>
        <x:v>No</x:v>
      </x:c>
      <x:c r="O992" s="25" t="str">
        <x:v>Pendiente: asignar con R/sf</x:v>
      </x:c>
    </x:row>
    <x:row r="993">
      <x:c r="A993" s="25" t="n">
        <x:v>992</x:v>
      </x:c>
      <x:c r="B993" s="26" t="n">
        <x:v>44112.14203703704</x:v>
      </x:c>
      <x:c r="C993" s="27" t="n">
        <x:f>INT(B993)</x:f>
        <x:v>44112</x:v>
      </x:c>
      <x:c r="D993" s="28" t="n">
        <x:f>MOD(B993,1)</x:f>
        <x:v>0.1420370370396995</x:v>
      </x:c>
      <x:c r="E993" s="29" t="n">
        <x:f>YEAR(B993)</x:f>
        <x:v>2020</x:v>
      </x:c>
      <x:c r="F993" s="29" t="n">
        <x:f>MONTH(B993)</x:f>
        <x:v>10</x:v>
      </x:c>
      <x:c r="G993" s="30" t="n">
        <x:v>-19.06</x:v>
      </x:c>
      <x:c r="H993" s="30" t="n">
        <x:v>-69.42</x:v>
      </x:c>
      <x:c r="I993" s="29" t="n">
        <x:v>129</x:v>
      </x:c>
      <x:c r="J993" s="31" t="n">
        <x:v>4.3</x:v>
      </x:c>
      <x:c r="K993" s="25" t="str">
        <x:f>IF(J993&gt;=7,"Muy fuerte (&gt;=7)",IF(J993&gt;=6,"Fuerte (6-6.9)",IF(J993&gt;=5,"Moderado alto (5-5.9)",IF(J993&gt;=4,"Moderado (4-4.9)","Menor a 4"))))</x:f>
        <x:v>Moderado (4-4.9)</x:v>
      </x:c>
      <x:c r="L993" s="25" t="str">
        <x:f>IF(I993&lt;70,"Superficial (&lt;70 km)",IF(I993&lt;=300,"Intermedio (70-300 km)","Profundo (&gt;300 km)"))</x:f>
        <x:v>Intermedio (70-300 km)</x:v>
      </x:c>
      <x:c r="M993" s="25" t="str">
        <x:f>IF(J993&gt;=5,"Sí","No")</x:f>
        <x:v>No</x:v>
      </x:c>
      <x:c r="N993" s="25" t="str">
        <x:f>IF(J993&gt;=6,"Sí","No")</x:f>
        <x:v>No</x:v>
      </x:c>
      <x:c r="O993" s="25" t="str">
        <x:v>Pendiente: asignar con R/sf</x:v>
      </x:c>
    </x:row>
    <x:row r="994">
      <x:c r="A994" s="25" t="n">
        <x:v>993</x:v>
      </x:c>
      <x:c r="B994" s="26" t="n">
        <x:v>43620.53340277778</x:v>
      </x:c>
      <x:c r="C994" s="27" t="n">
        <x:f>INT(B994)</x:f>
        <x:v>43620</x:v>
      </x:c>
      <x:c r="D994" s="28" t="n">
        <x:f>MOD(B994,1)</x:f>
        <x:v>0.5334027777789743</x:v>
      </x:c>
      <x:c r="E994" s="29" t="n">
        <x:f>YEAR(B994)</x:f>
        <x:v>2019</x:v>
      </x:c>
      <x:c r="F994" s="29" t="n">
        <x:f>MONTH(B994)</x:f>
        <x:v>6</x:v>
      </x:c>
      <x:c r="G994" s="30" t="n">
        <x:v>-19.86</x:v>
      </x:c>
      <x:c r="H994" s="30" t="n">
        <x:v>-69.22</x:v>
      </x:c>
      <x:c r="I994" s="29" t="n">
        <x:v>94</x:v>
      </x:c>
      <x:c r="J994" s="31" t="n">
        <x:v>4.3</x:v>
      </x:c>
      <x:c r="K994" s="25" t="str">
        <x:f>IF(J994&gt;=7,"Muy fuerte (&gt;=7)",IF(J994&gt;=6,"Fuerte (6-6.9)",IF(J994&gt;=5,"Moderado alto (5-5.9)",IF(J994&gt;=4,"Moderado (4-4.9)","Menor a 4"))))</x:f>
        <x:v>Moderado (4-4.9)</x:v>
      </x:c>
      <x:c r="L994" s="25" t="str">
        <x:f>IF(I994&lt;70,"Superficial (&lt;70 km)",IF(I994&lt;=300,"Intermedio (70-300 km)","Profundo (&gt;300 km)"))</x:f>
        <x:v>Intermedio (70-300 km)</x:v>
      </x:c>
      <x:c r="M994" s="25" t="str">
        <x:f>IF(J994&gt;=5,"Sí","No")</x:f>
        <x:v>No</x:v>
      </x:c>
      <x:c r="N994" s="25" t="str">
        <x:f>IF(J994&gt;=6,"Sí","No")</x:f>
        <x:v>No</x:v>
      </x:c>
      <x:c r="O994" s="25" t="str">
        <x:v>Pendiente: asignar con R/sf</x:v>
      </x:c>
    </x:row>
    <x:row r="995">
      <x:c r="A995" s="25" t="n">
        <x:v>994</x:v>
      </x:c>
      <x:c r="B995" s="26" t="n">
        <x:v>44456.11133101852</x:v>
      </x:c>
      <x:c r="C995" s="27" t="n">
        <x:f>INT(B995)</x:f>
        <x:v>44456</x:v>
      </x:c>
      <x:c r="D995" s="28" t="n">
        <x:f>MOD(B995,1)</x:f>
        <x:v>0.11133101851737592</x:v>
      </x:c>
      <x:c r="E995" s="29" t="n">
        <x:f>YEAR(B995)</x:f>
        <x:v>2021</x:v>
      </x:c>
      <x:c r="F995" s="29" t="n">
        <x:f>MONTH(B995)</x:f>
        <x:v>9</x:v>
      </x:c>
      <x:c r="G995" s="30" t="n">
        <x:v>-20.06</x:v>
      </x:c>
      <x:c r="H995" s="30" t="n">
        <x:v>-69.23</x:v>
      </x:c>
      <x:c r="I995" s="29" t="n">
        <x:v>103</x:v>
      </x:c>
      <x:c r="J995" s="31" t="n">
        <x:v>4.2</x:v>
      </x:c>
      <x:c r="K995" s="25" t="str">
        <x:f>IF(J995&gt;=7,"Muy fuerte (&gt;=7)",IF(J995&gt;=6,"Fuerte (6-6.9)",IF(J995&gt;=5,"Moderado alto (5-5.9)",IF(J995&gt;=4,"Moderado (4-4.9)","Menor a 4"))))</x:f>
        <x:v>Moderado (4-4.9)</x:v>
      </x:c>
      <x:c r="L995" s="25" t="str">
        <x:f>IF(I995&lt;70,"Superficial (&lt;70 km)",IF(I995&lt;=300,"Intermedio (70-300 km)","Profundo (&gt;300 km)"))</x:f>
        <x:v>Intermedio (70-300 km)</x:v>
      </x:c>
      <x:c r="M995" s="25" t="str">
        <x:f>IF(J995&gt;=5,"Sí","No")</x:f>
        <x:v>No</x:v>
      </x:c>
      <x:c r="N995" s="25" t="str">
        <x:f>IF(J995&gt;=6,"Sí","No")</x:f>
        <x:v>No</x:v>
      </x:c>
      <x:c r="O995" s="25" t="str">
        <x:v>Pendiente: asignar con R/sf</x:v>
      </x:c>
    </x:row>
    <x:row r="996">
      <x:c r="A996" s="25" t="n">
        <x:v>995</x:v>
      </x:c>
      <x:c r="B996" s="26" t="n">
        <x:v>44311.89637731481</x:v>
      </x:c>
      <x:c r="C996" s="27" t="n">
        <x:f>INT(B996)</x:f>
        <x:v>44311</x:v>
      </x:c>
      <x:c r="D996" s="28" t="n">
        <x:f>MOD(B996,1)</x:f>
        <x:v>0.8963773148134351</x:v>
      </x:c>
      <x:c r="E996" s="29" t="n">
        <x:f>YEAR(B996)</x:f>
        <x:v>2021</x:v>
      </x:c>
      <x:c r="F996" s="29" t="n">
        <x:f>MONTH(B996)</x:f>
        <x:v>4</x:v>
      </x:c>
      <x:c r="G996" s="30" t="n">
        <x:v>-19.68</x:v>
      </x:c>
      <x:c r="H996" s="30" t="n">
        <x:v>-70.09</x:v>
      </x:c>
      <x:c r="I996" s="29" t="n">
        <x:v>51</x:v>
      </x:c>
      <x:c r="J996" s="31" t="n">
        <x:v>3.6</x:v>
      </x:c>
      <x:c r="K996" s="25" t="str">
        <x:f>IF(J996&gt;=7,"Muy fuerte (&gt;=7)",IF(J996&gt;=6,"Fuerte (6-6.9)",IF(J996&gt;=5,"Moderado alto (5-5.9)",IF(J996&gt;=4,"Moderado (4-4.9)","Menor a 4"))))</x:f>
        <x:v>Menor a 4</x:v>
      </x:c>
      <x:c r="L996" s="25" t="str">
        <x:f>IF(I996&lt;70,"Superficial (&lt;70 km)",IF(I996&lt;=300,"Intermedio (70-300 km)","Profundo (&gt;300 km)"))</x:f>
        <x:v>Superficial (&lt;70 km)</x:v>
      </x:c>
      <x:c r="M996" s="25" t="str">
        <x:f>IF(J996&gt;=5,"Sí","No")</x:f>
        <x:v>No</x:v>
      </x:c>
      <x:c r="N996" s="25" t="str">
        <x:f>IF(J996&gt;=6,"Sí","No")</x:f>
        <x:v>No</x:v>
      </x:c>
      <x:c r="O996" s="25" t="str">
        <x:v>Pendiente: asignar con R/sf</x:v>
      </x:c>
    </x:row>
    <x:row r="997">
      <x:c r="A997" s="25" t="n">
        <x:v>996</x:v>
      </x:c>
      <x:c r="B997" s="26" t="n">
        <x:v>44161.682534722226</x:v>
      </x:c>
      <x:c r="C997" s="27" t="n">
        <x:f>INT(B997)</x:f>
        <x:v>44161</x:v>
      </x:c>
      <x:c r="D997" s="28" t="n">
        <x:f>MOD(B997,1)</x:f>
        <x:v>0.6825347222256823</x:v>
      </x:c>
      <x:c r="E997" s="29" t="n">
        <x:f>YEAR(B997)</x:f>
        <x:v>2020</x:v>
      </x:c>
      <x:c r="F997" s="29" t="n">
        <x:f>MONTH(B997)</x:f>
        <x:v>11</x:v>
      </x:c>
      <x:c r="G997" s="30" t="n">
        <x:v>-20.13</x:v>
      </x:c>
      <x:c r="H997" s="30" t="n">
        <x:v>-69.19</x:v>
      </x:c>
      <x:c r="I997" s="29" t="n">
        <x:v>91</x:v>
      </x:c>
      <x:c r="J997" s="31" t="n">
        <x:v>4</x:v>
      </x:c>
      <x:c r="K997" s="25" t="str">
        <x:f>IF(J997&gt;=7,"Muy fuerte (&gt;=7)",IF(J997&gt;=6,"Fuerte (6-6.9)",IF(J997&gt;=5,"Moderado alto (5-5.9)",IF(J997&gt;=4,"Moderado (4-4.9)","Menor a 4"))))</x:f>
        <x:v>Moderado (4-4.9)</x:v>
      </x:c>
      <x:c r="L997" s="25" t="str">
        <x:f>IF(I997&lt;70,"Superficial (&lt;70 km)",IF(I997&lt;=300,"Intermedio (70-300 km)","Profundo (&gt;300 km)"))</x:f>
        <x:v>Intermedio (70-300 km)</x:v>
      </x:c>
      <x:c r="M997" s="25" t="str">
        <x:f>IF(J997&gt;=5,"Sí","No")</x:f>
        <x:v>No</x:v>
      </x:c>
      <x:c r="N997" s="25" t="str">
        <x:f>IF(J997&gt;=6,"Sí","No")</x:f>
        <x:v>No</x:v>
      </x:c>
      <x:c r="O997" s="25" t="str">
        <x:v>Pendiente: asignar con R/sf</x:v>
      </x:c>
    </x:row>
    <x:row r="998">
      <x:c r="A998" s="25" t="n">
        <x:v>997</x:v>
      </x:c>
      <x:c r="B998" s="26" t="n">
        <x:v>44135.57502314815</x:v>
      </x:c>
      <x:c r="C998" s="27" t="n">
        <x:f>INT(B998)</x:f>
        <x:v>44135</x:v>
      </x:c>
      <x:c r="D998" s="28" t="n">
        <x:f>MOD(B998,1)</x:f>
        <x:v>0.5750231481506489</x:v>
      </x:c>
      <x:c r="E998" s="29" t="n">
        <x:f>YEAR(B998)</x:f>
        <x:v>2020</x:v>
      </x:c>
      <x:c r="F998" s="29" t="n">
        <x:f>MONTH(B998)</x:f>
        <x:v>10</x:v>
      </x:c>
      <x:c r="G998" s="30" t="n">
        <x:v>-19.29</x:v>
      </x:c>
      <x:c r="H998" s="30" t="n">
        <x:v>-70.13</x:v>
      </x:c>
      <x:c r="I998" s="29" t="n">
        <x:v>59</x:v>
      </x:c>
      <x:c r="J998" s="31" t="n">
        <x:v>3.5</x:v>
      </x:c>
      <x:c r="K998" s="25" t="str">
        <x:f>IF(J998&gt;=7,"Muy fuerte (&gt;=7)",IF(J998&gt;=6,"Fuerte (6-6.9)",IF(J998&gt;=5,"Moderado alto (5-5.9)",IF(J998&gt;=4,"Moderado (4-4.9)","Menor a 4"))))</x:f>
        <x:v>Menor a 4</x:v>
      </x:c>
      <x:c r="L998" s="25" t="str">
        <x:f>IF(I998&lt;70,"Superficial (&lt;70 km)",IF(I998&lt;=300,"Intermedio (70-300 km)","Profundo (&gt;300 km)"))</x:f>
        <x:v>Superficial (&lt;70 km)</x:v>
      </x:c>
      <x:c r="M998" s="25" t="str">
        <x:f>IF(J998&gt;=5,"Sí","No")</x:f>
        <x:v>No</x:v>
      </x:c>
      <x:c r="N998" s="25" t="str">
        <x:f>IF(J998&gt;=6,"Sí","No")</x:f>
        <x:v>No</x:v>
      </x:c>
      <x:c r="O998" s="25" t="str">
        <x:v>Pendiente: asignar con R/sf</x:v>
      </x:c>
    </x:row>
    <x:row r="999">
      <x:c r="A999" s="25" t="n">
        <x:v>998</x:v>
      </x:c>
      <x:c r="B999" s="26" t="n">
        <x:v>44099.037199074075</x:v>
      </x:c>
      <x:c r="C999" s="27" t="n">
        <x:f>INT(B999)</x:f>
        <x:v>44099</x:v>
      </x:c>
      <x:c r="D999" s="28" t="n">
        <x:f>MOD(B999,1)</x:f>
        <x:v>0.03719907407503342</x:v>
      </x:c>
      <x:c r="E999" s="29" t="n">
        <x:f>YEAR(B999)</x:f>
        <x:v>2020</x:v>
      </x:c>
      <x:c r="F999" s="29" t="n">
        <x:f>MONTH(B999)</x:f>
        <x:v>9</x:v>
      </x:c>
      <x:c r="G999" s="30" t="n">
        <x:v>-20.38</x:v>
      </x:c>
      <x:c r="H999" s="30" t="n">
        <x:v>-69.97</x:v>
      </x:c>
      <x:c r="I999" s="29" t="n">
        <x:v>82</x:v>
      </x:c>
      <x:c r="J999" s="31" t="n">
        <x:v>3.2</x:v>
      </x:c>
      <x:c r="K999" s="25" t="str">
        <x:f>IF(J999&gt;=7,"Muy fuerte (&gt;=7)",IF(J999&gt;=6,"Fuerte (6-6.9)",IF(J999&gt;=5,"Moderado alto (5-5.9)",IF(J999&gt;=4,"Moderado (4-4.9)","Menor a 4"))))</x:f>
        <x:v>Menor a 4</x:v>
      </x:c>
      <x:c r="L999" s="25" t="str">
        <x:f>IF(I999&lt;70,"Superficial (&lt;70 km)",IF(I999&lt;=300,"Intermedio (70-300 km)","Profundo (&gt;300 km)"))</x:f>
        <x:v>Intermedio (70-300 km)</x:v>
      </x:c>
      <x:c r="M999" s="25" t="str">
        <x:f>IF(J999&gt;=5,"Sí","No")</x:f>
        <x:v>No</x:v>
      </x:c>
      <x:c r="N999" s="25" t="str">
        <x:f>IF(J999&gt;=6,"Sí","No")</x:f>
        <x:v>No</x:v>
      </x:c>
      <x:c r="O999" s="25" t="str">
        <x:v>Pendiente: asignar con R/sf</x:v>
      </x:c>
    </x:row>
    <x:row r="1000">
      <x:c r="A1000" s="25" t="n">
        <x:v>999</x:v>
      </x:c>
      <x:c r="B1000" s="26" t="n">
        <x:v>43777.82984953704</x:v>
      </x:c>
      <x:c r="C1000" s="27" t="n">
        <x:f>INT(B1000)</x:f>
        <x:v>43777</x:v>
      </x:c>
      <x:c r="D1000" s="28" t="n">
        <x:f>MOD(B1000,1)</x:f>
        <x:v>0.8298495370399905</x:v>
      </x:c>
      <x:c r="E1000" s="29" t="n">
        <x:f>YEAR(B1000)</x:f>
        <x:v>2019</x:v>
      </x:c>
      <x:c r="F1000" s="29" t="n">
        <x:f>MONTH(B1000)</x:f>
        <x:v>11</x:v>
      </x:c>
      <x:c r="G1000" s="30" t="n">
        <x:v>-21.27</x:v>
      </x:c>
      <x:c r="H1000" s="30" t="n">
        <x:v>-69.88</x:v>
      </x:c>
      <x:c r="I1000" s="29" t="n">
        <x:v>24</x:v>
      </x:c>
      <x:c r="J1000" s="31" t="n">
        <x:v>3.8</x:v>
      </x:c>
      <x:c r="K1000" s="25" t="str">
        <x:f>IF(J1000&gt;=7,"Muy fuerte (&gt;=7)",IF(J1000&gt;=6,"Fuerte (6-6.9)",IF(J1000&gt;=5,"Moderado alto (5-5.9)",IF(J1000&gt;=4,"Moderado (4-4.9)","Menor a 4"))))</x:f>
        <x:v>Menor a 4</x:v>
      </x:c>
      <x:c r="L1000" s="25" t="str">
        <x:f>IF(I1000&lt;70,"Superficial (&lt;70 km)",IF(I1000&lt;=300,"Intermedio (70-300 km)","Profundo (&gt;300 km)"))</x:f>
        <x:v>Superficial (&lt;70 km)</x:v>
      </x:c>
      <x:c r="M1000" s="25" t="str">
        <x:f>IF(J1000&gt;=5,"Sí","No")</x:f>
        <x:v>No</x:v>
      </x:c>
      <x:c r="N1000" s="25" t="str">
        <x:f>IF(J1000&gt;=6,"Sí","No")</x:f>
        <x:v>No</x:v>
      </x:c>
      <x:c r="O1000" s="25" t="str">
        <x:v>Pendiente: asignar con R/sf</x:v>
      </x:c>
    </x:row>
    <x:row r="1001">
      <x:c r="A1001" s="25" t="n">
        <x:v>1000</x:v>
      </x:c>
      <x:c r="B1001" s="26" t="n">
        <x:v>43874.24350694445</x:v>
      </x:c>
      <x:c r="C1001" s="27" t="n">
        <x:f>INT(B1001)</x:f>
        <x:v>43874</x:v>
      </x:c>
      <x:c r="D1001" s="28" t="n">
        <x:f>MOD(B1001,1)</x:f>
        <x:v>0.24350694444729015</x:v>
      </x:c>
      <x:c r="E1001" s="29" t="n">
        <x:f>YEAR(B1001)</x:f>
        <x:v>2020</x:v>
      </x:c>
      <x:c r="F1001" s="29" t="n">
        <x:f>MONTH(B1001)</x:f>
        <x:v>2</x:v>
      </x:c>
      <x:c r="G1001" s="30" t="n">
        <x:v>-20.93</x:v>
      </x:c>
      <x:c r="H1001" s="30" t="n">
        <x:v>-70.86</x:v>
      </x:c>
      <x:c r="I1001" s="29" t="n">
        <x:v>35</x:v>
      </x:c>
      <x:c r="J1001" s="31" t="n">
        <x:v>5.2</x:v>
      </x:c>
      <x:c r="K1001" s="25" t="str">
        <x:f>IF(J1001&gt;=7,"Muy fuerte (&gt;=7)",IF(J1001&gt;=6,"Fuerte (6-6.9)",IF(J1001&gt;=5,"Moderado alto (5-5.9)",IF(J1001&gt;=4,"Moderado (4-4.9)","Menor a 4"))))</x:f>
        <x:v>Moderado alto (5-5.9)</x:v>
      </x:c>
      <x:c r="L1001" s="25" t="str">
        <x:f>IF(I1001&lt;70,"Superficial (&lt;70 km)",IF(I1001&lt;=300,"Intermedio (70-300 km)","Profundo (&gt;300 km)"))</x:f>
        <x:v>Superficial (&lt;70 km)</x:v>
      </x:c>
      <x:c r="M1001" s="25" t="str">
        <x:f>IF(J1001&gt;=5,"Sí","No")</x:f>
        <x:v>Sí</x:v>
      </x:c>
      <x:c r="N1001" s="25" t="str">
        <x:f>IF(J1001&gt;=6,"Sí","No")</x:f>
        <x:v>No</x:v>
      </x:c>
      <x:c r="O1001" s="25" t="str">
        <x:v>Pendiente: asignar con R/sf</x:v>
      </x:c>
    </x:row>
    <x:row r="1002">
      <x:c r="A1002" s="25" t="n">
        <x:v>1001</x:v>
      </x:c>
      <x:c r="B1002" s="26" t="n">
        <x:v>43905.272893518515</x:v>
      </x:c>
      <x:c r="C1002" s="27" t="n">
        <x:f>INT(B1002)</x:f>
        <x:v>43905</x:v>
      </x:c>
      <x:c r="D1002" s="28" t="n">
        <x:f>MOD(B1002,1)</x:f>
        <x:v>0.2728935185150476</x:v>
      </x:c>
      <x:c r="E1002" s="29" t="n">
        <x:f>YEAR(B1002)</x:f>
        <x:v>2020</x:v>
      </x:c>
      <x:c r="F1002" s="29" t="n">
        <x:f>MONTH(B1002)</x:f>
        <x:v>3</x:v>
      </x:c>
      <x:c r="G1002" s="30" t="n">
        <x:v>-20.55</x:v>
      </x:c>
      <x:c r="H1002" s="30" t="n">
        <x:v>-69.14</x:v>
      </x:c>
      <x:c r="I1002" s="29" t="n">
        <x:v>108</x:v>
      </x:c>
      <x:c r="J1002" s="31" t="n">
        <x:v>4.3</x:v>
      </x:c>
      <x:c r="K1002" s="25" t="str">
        <x:f>IF(J1002&gt;=7,"Muy fuerte (&gt;=7)",IF(J1002&gt;=6,"Fuerte (6-6.9)",IF(J1002&gt;=5,"Moderado alto (5-5.9)",IF(J1002&gt;=4,"Moderado (4-4.9)","Menor a 4"))))</x:f>
        <x:v>Moderado (4-4.9)</x:v>
      </x:c>
      <x:c r="L1002" s="25" t="str">
        <x:f>IF(I1002&lt;70,"Superficial (&lt;70 km)",IF(I1002&lt;=300,"Intermedio (70-300 km)","Profundo (&gt;300 km)"))</x:f>
        <x:v>Intermedio (70-300 km)</x:v>
      </x:c>
      <x:c r="M1002" s="25" t="str">
        <x:f>IF(J1002&gt;=5,"Sí","No")</x:f>
        <x:v>No</x:v>
      </x:c>
      <x:c r="N1002" s="25" t="str">
        <x:f>IF(J1002&gt;=6,"Sí","No")</x:f>
        <x:v>No</x:v>
      </x:c>
      <x:c r="O1002" s="25" t="str">
        <x:v>Pendiente: asignar con R/sf</x:v>
      </x:c>
    </x:row>
    <x:row r="1003">
      <x:c r="A1003" s="25" t="n">
        <x:v>1002</x:v>
      </x:c>
      <x:c r="B1003" s="26" t="n">
        <x:v>43959.483090277776</x:v>
      </x:c>
      <x:c r="C1003" s="27" t="n">
        <x:f>INT(B1003)</x:f>
        <x:v>43959</x:v>
      </x:c>
      <x:c r="D1003" s="28" t="n">
        <x:f>MOD(B1003,1)</x:f>
        <x:v>0.48309027777577285</x:v>
      </x:c>
      <x:c r="E1003" s="29" t="n">
        <x:f>YEAR(B1003)</x:f>
        <x:v>2020</x:v>
      </x:c>
      <x:c r="F1003" s="29" t="n">
        <x:f>MONTH(B1003)</x:f>
        <x:v>5</x:v>
      </x:c>
      <x:c r="G1003" s="30" t="n">
        <x:v>-20.39</x:v>
      </x:c>
      <x:c r="H1003" s="30" t="n">
        <x:v>-69.87</x:v>
      </x:c>
      <x:c r="I1003" s="29" t="n">
        <x:v>48</x:v>
      </x:c>
      <x:c r="J1003" s="31" t="n">
        <x:v>3</x:v>
      </x:c>
      <x:c r="K1003" s="25" t="str">
        <x:f>IF(J1003&gt;=7,"Muy fuerte (&gt;=7)",IF(J1003&gt;=6,"Fuerte (6-6.9)",IF(J1003&gt;=5,"Moderado alto (5-5.9)",IF(J1003&gt;=4,"Moderado (4-4.9)","Menor a 4"))))</x:f>
        <x:v>Menor a 4</x:v>
      </x:c>
      <x:c r="L1003" s="25" t="str">
        <x:f>IF(I1003&lt;70,"Superficial (&lt;70 km)",IF(I1003&lt;=300,"Intermedio (70-300 km)","Profundo (&gt;300 km)"))</x:f>
        <x:v>Superficial (&lt;70 km)</x:v>
      </x:c>
      <x:c r="M1003" s="25" t="str">
        <x:f>IF(J1003&gt;=5,"Sí","No")</x:f>
        <x:v>No</x:v>
      </x:c>
      <x:c r="N1003" s="25" t="str">
        <x:f>IF(J1003&gt;=6,"Sí","No")</x:f>
        <x:v>No</x:v>
      </x:c>
      <x:c r="O1003" s="25" t="str">
        <x:v>Pendiente: asignar con R/sf</x:v>
      </x:c>
    </x:row>
    <x:row r="1004">
      <x:c r="A1004" s="25" t="n">
        <x:v>1003</x:v>
      </x:c>
      <x:c r="B1004" s="26" t="n">
        <x:v>44037.96679398148</x:v>
      </x:c>
      <x:c r="C1004" s="27" t="n">
        <x:f>INT(B1004)</x:f>
        <x:v>44037</x:v>
      </x:c>
      <x:c r="D1004" s="28" t="n">
        <x:f>MOD(B1004,1)</x:f>
        <x:v>0.9667939814826241</x:v>
      </x:c>
      <x:c r="E1004" s="29" t="n">
        <x:f>YEAR(B1004)</x:f>
        <x:v>2020</x:v>
      </x:c>
      <x:c r="F1004" s="29" t="n">
        <x:f>MONTH(B1004)</x:f>
        <x:v>7</x:v>
      </x:c>
      <x:c r="G1004" s="30" t="n">
        <x:v>-20</x:v>
      </x:c>
      <x:c r="H1004" s="30" t="n">
        <x:v>-69.28</x:v>
      </x:c>
      <x:c r="I1004" s="29" t="n">
        <x:v>104</x:v>
      </x:c>
      <x:c r="J1004" s="31" t="n">
        <x:v>3.7</x:v>
      </x:c>
      <x:c r="K1004" s="25" t="str">
        <x:f>IF(J1004&gt;=7,"Muy fuerte (&gt;=7)",IF(J1004&gt;=6,"Fuerte (6-6.9)",IF(J1004&gt;=5,"Moderado alto (5-5.9)",IF(J1004&gt;=4,"Moderado (4-4.9)","Menor a 4"))))</x:f>
        <x:v>Menor a 4</x:v>
      </x:c>
      <x:c r="L1004" s="25" t="str">
        <x:f>IF(I1004&lt;70,"Superficial (&lt;70 km)",IF(I1004&lt;=300,"Intermedio (70-300 km)","Profundo (&gt;300 km)"))</x:f>
        <x:v>Intermedio (70-300 km)</x:v>
      </x:c>
      <x:c r="M1004" s="25" t="str">
        <x:f>IF(J1004&gt;=5,"Sí","No")</x:f>
        <x:v>No</x:v>
      </x:c>
      <x:c r="N1004" s="25" t="str">
        <x:f>IF(J1004&gt;=6,"Sí","No")</x:f>
        <x:v>No</x:v>
      </x:c>
      <x:c r="O1004" s="25" t="str">
        <x:v>Pendiente: asignar con R/sf</x:v>
      </x:c>
    </x:row>
    <x:row r="1005">
      <x:c r="A1005" s="25" t="n">
        <x:v>1004</x:v>
      </x:c>
      <x:c r="B1005" s="26" t="n">
        <x:v>44277.26761574074</x:v>
      </x:c>
      <x:c r="C1005" s="27" t="n">
        <x:f>INT(B1005)</x:f>
        <x:v>44277</x:v>
      </x:c>
      <x:c r="D1005" s="28" t="n">
        <x:f>MOD(B1005,1)</x:f>
        <x:v>0.2676157407404389</x:v>
      </x:c>
      <x:c r="E1005" s="29" t="n">
        <x:f>YEAR(B1005)</x:f>
        <x:v>2021</x:v>
      </x:c>
      <x:c r="F1005" s="29" t="n">
        <x:f>MONTH(B1005)</x:f>
        <x:v>3</x:v>
      </x:c>
      <x:c r="G1005" s="30" t="n">
        <x:v>-20.49</x:v>
      </x:c>
      <x:c r="H1005" s="30" t="n">
        <x:v>-69.66</x:v>
      </x:c>
      <x:c r="I1005" s="29" t="n">
        <x:v>44</x:v>
      </x:c>
      <x:c r="J1005" s="31" t="n">
        <x:v>3.5</x:v>
      </x:c>
      <x:c r="K1005" s="25" t="str">
        <x:f>IF(J1005&gt;=7,"Muy fuerte (&gt;=7)",IF(J1005&gt;=6,"Fuerte (6-6.9)",IF(J1005&gt;=5,"Moderado alto (5-5.9)",IF(J1005&gt;=4,"Moderado (4-4.9)","Menor a 4"))))</x:f>
        <x:v>Menor a 4</x:v>
      </x:c>
      <x:c r="L1005" s="25" t="str">
        <x:f>IF(I1005&lt;70,"Superficial (&lt;70 km)",IF(I1005&lt;=300,"Intermedio (70-300 km)","Profundo (&gt;300 km)"))</x:f>
        <x:v>Superficial (&lt;70 km)</x:v>
      </x:c>
      <x:c r="M1005" s="25" t="str">
        <x:f>IF(J1005&gt;=5,"Sí","No")</x:f>
        <x:v>No</x:v>
      </x:c>
      <x:c r="N1005" s="25" t="str">
        <x:f>IF(J1005&gt;=6,"Sí","No")</x:f>
        <x:v>No</x:v>
      </x:c>
      <x:c r="O1005" s="25" t="str">
        <x:v>Pendiente: asignar con R/sf</x:v>
      </x:c>
    </x:row>
    <x:row r="1006">
      <x:c r="A1006" s="25" t="n">
        <x:v>1005</x:v>
      </x:c>
      <x:c r="B1006" s="26" t="n">
        <x:v>43794.39958333333</x:v>
      </x:c>
      <x:c r="C1006" s="27" t="n">
        <x:f>INT(B1006)</x:f>
        <x:v>43794</x:v>
      </x:c>
      <x:c r="D1006" s="28" t="n">
        <x:f>MOD(B1006,1)</x:f>
        <x:v>0.39958333333197515</x:v>
      </x:c>
      <x:c r="E1006" s="29" t="n">
        <x:f>YEAR(B1006)</x:f>
        <x:v>2019</x:v>
      </x:c>
      <x:c r="F1006" s="29" t="n">
        <x:f>MONTH(B1006)</x:f>
        <x:v>11</x:v>
      </x:c>
      <x:c r="G1006" s="30" t="n">
        <x:v>-20.21</x:v>
      </x:c>
      <x:c r="H1006" s="30" t="n">
        <x:v>-70.77</x:v>
      </x:c>
      <x:c r="I1006" s="29" t="n">
        <x:v>39</x:v>
      </x:c>
      <x:c r="J1006" s="31" t="n">
        <x:v>3.6</x:v>
      </x:c>
      <x:c r="K1006" s="25" t="str">
        <x:f>IF(J1006&gt;=7,"Muy fuerte (&gt;=7)",IF(J1006&gt;=6,"Fuerte (6-6.9)",IF(J1006&gt;=5,"Moderado alto (5-5.9)",IF(J1006&gt;=4,"Moderado (4-4.9)","Menor a 4"))))</x:f>
        <x:v>Menor a 4</x:v>
      </x:c>
      <x:c r="L1006" s="25" t="str">
        <x:f>IF(I1006&lt;70,"Superficial (&lt;70 km)",IF(I1006&lt;=300,"Intermedio (70-300 km)","Profundo (&gt;300 km)"))</x:f>
        <x:v>Superficial (&lt;70 km)</x:v>
      </x:c>
      <x:c r="M1006" s="25" t="str">
        <x:f>IF(J1006&gt;=5,"Sí","No")</x:f>
        <x:v>No</x:v>
      </x:c>
      <x:c r="N1006" s="25" t="str">
        <x:f>IF(J1006&gt;=6,"Sí","No")</x:f>
        <x:v>No</x:v>
      </x:c>
      <x:c r="O1006" s="25" t="str">
        <x:v>Pendiente: asignar con R/sf</x:v>
      </x:c>
    </x:row>
    <x:row r="1007">
      <x:c r="A1007" s="25" t="n">
        <x:v>1006</x:v>
      </x:c>
      <x:c r="B1007" s="26" t="n">
        <x:v>43946.85741898148</x:v>
      </x:c>
      <x:c r="C1007" s="27" t="n">
        <x:f>INT(B1007)</x:f>
        <x:v>43946</x:v>
      </x:c>
      <x:c r="D1007" s="28" t="n">
        <x:f>MOD(B1007,1)</x:f>
        <x:v>0.8574189814826241</x:v>
      </x:c>
      <x:c r="E1007" s="29" t="n">
        <x:f>YEAR(B1007)</x:f>
        <x:v>2020</x:v>
      </x:c>
      <x:c r="F1007" s="29" t="n">
        <x:f>MONTH(B1007)</x:f>
        <x:v>4</x:v>
      </x:c>
      <x:c r="G1007" s="30" t="n">
        <x:v>-20.51</x:v>
      </x:c>
      <x:c r="H1007" s="30" t="n">
        <x:v>-70.39</x:v>
      </x:c>
      <x:c r="I1007" s="29" t="n">
        <x:v>35</x:v>
      </x:c>
      <x:c r="J1007" s="31" t="n">
        <x:v>3.9</x:v>
      </x:c>
      <x:c r="K1007" s="25" t="str">
        <x:f>IF(J1007&gt;=7,"Muy fuerte (&gt;=7)",IF(J1007&gt;=6,"Fuerte (6-6.9)",IF(J1007&gt;=5,"Moderado alto (5-5.9)",IF(J1007&gt;=4,"Moderado (4-4.9)","Menor a 4"))))</x:f>
        <x:v>Menor a 4</x:v>
      </x:c>
      <x:c r="L1007" s="25" t="str">
        <x:f>IF(I1007&lt;70,"Superficial (&lt;70 km)",IF(I1007&lt;=300,"Intermedio (70-300 km)","Profundo (&gt;300 km)"))</x:f>
        <x:v>Superficial (&lt;70 km)</x:v>
      </x:c>
      <x:c r="M1007" s="25" t="str">
        <x:f>IF(J1007&gt;=5,"Sí","No")</x:f>
        <x:v>No</x:v>
      </x:c>
      <x:c r="N1007" s="25" t="str">
        <x:f>IF(J1007&gt;=6,"Sí","No")</x:f>
        <x:v>No</x:v>
      </x:c>
      <x:c r="O1007" s="25" t="str">
        <x:v>Pendiente: asignar con R/sf</x:v>
      </x:c>
    </x:row>
    <x:row r="1008">
      <x:c r="A1008" s="25" t="n">
        <x:v>1007</x:v>
      </x:c>
      <x:c r="B1008" s="26" t="n">
        <x:v>43612.51478009259</x:v>
      </x:c>
      <x:c r="C1008" s="27" t="n">
        <x:f>INT(B1008)</x:f>
        <x:v>43612</x:v>
      </x:c>
      <x:c r="D1008" s="28" t="n">
        <x:f>MOD(B1008,1)</x:f>
        <x:v>0.5147800925915362</x:v>
      </x:c>
      <x:c r="E1008" s="29" t="n">
        <x:f>YEAR(B1008)</x:f>
        <x:v>2019</x:v>
      </x:c>
      <x:c r="F1008" s="29" t="n">
        <x:f>MONTH(B1008)</x:f>
        <x:v>5</x:v>
      </x:c>
      <x:c r="G1008" s="30" t="n">
        <x:v>-20.53</x:v>
      </x:c>
      <x:c r="H1008" s="30" t="n">
        <x:v>-70.18</x:v>
      </x:c>
      <x:c r="I1008" s="29" t="n">
        <x:v>36</x:v>
      </x:c>
      <x:c r="J1008" s="31" t="n">
        <x:v>3.2</x:v>
      </x:c>
      <x:c r="K1008" s="25" t="str">
        <x:f>IF(J1008&gt;=7,"Muy fuerte (&gt;=7)",IF(J1008&gt;=6,"Fuerte (6-6.9)",IF(J1008&gt;=5,"Moderado alto (5-5.9)",IF(J1008&gt;=4,"Moderado (4-4.9)","Menor a 4"))))</x:f>
        <x:v>Menor a 4</x:v>
      </x:c>
      <x:c r="L1008" s="25" t="str">
        <x:f>IF(I1008&lt;70,"Superficial (&lt;70 km)",IF(I1008&lt;=300,"Intermedio (70-300 km)","Profundo (&gt;300 km)"))</x:f>
        <x:v>Superficial (&lt;70 km)</x:v>
      </x:c>
      <x:c r="M1008" s="25" t="str">
        <x:f>IF(J1008&gt;=5,"Sí","No")</x:f>
        <x:v>No</x:v>
      </x:c>
      <x:c r="N1008" s="25" t="str">
        <x:f>IF(J1008&gt;=6,"Sí","No")</x:f>
        <x:v>No</x:v>
      </x:c>
      <x:c r="O1008" s="25" t="str">
        <x:v>Pendiente: asignar con R/sf</x:v>
      </x:c>
    </x:row>
    <x:row r="1009">
      <x:c r="A1009" s="25" t="n">
        <x:v>1008</x:v>
      </x:c>
      <x:c r="B1009" s="26" t="n">
        <x:v>43965.394583333335</x:v>
      </x:c>
      <x:c r="C1009" s="27" t="n">
        <x:f>INT(B1009)</x:f>
        <x:v>43965</x:v>
      </x:c>
      <x:c r="D1009" s="28" t="n">
        <x:f>MOD(B1009,1)</x:f>
        <x:v>0.3945833333345945</x:v>
      </x:c>
      <x:c r="E1009" s="29" t="n">
        <x:f>YEAR(B1009)</x:f>
        <x:v>2020</x:v>
      </x:c>
      <x:c r="F1009" s="29" t="n">
        <x:f>MONTH(B1009)</x:f>
        <x:v>5</x:v>
      </x:c>
      <x:c r="G1009" s="30" t="n">
        <x:v>-20.15</x:v>
      </x:c>
      <x:c r="H1009" s="30" t="n">
        <x:v>-70.2</x:v>
      </x:c>
      <x:c r="I1009" s="29" t="n">
        <x:v>70</x:v>
      </x:c>
      <x:c r="J1009" s="31" t="n">
        <x:v>3.1</x:v>
      </x:c>
      <x:c r="K1009" s="25" t="str">
        <x:f>IF(J1009&gt;=7,"Muy fuerte (&gt;=7)",IF(J1009&gt;=6,"Fuerte (6-6.9)",IF(J1009&gt;=5,"Moderado alto (5-5.9)",IF(J1009&gt;=4,"Moderado (4-4.9)","Menor a 4"))))</x:f>
        <x:v>Menor a 4</x:v>
      </x:c>
      <x:c r="L1009" s="25" t="str">
        <x:f>IF(I1009&lt;70,"Superficial (&lt;70 km)",IF(I1009&lt;=300,"Intermedio (70-300 km)","Profundo (&gt;300 km)"))</x:f>
        <x:v>Intermedio (70-300 km)</x:v>
      </x:c>
      <x:c r="M1009" s="25" t="str">
        <x:f>IF(J1009&gt;=5,"Sí","No")</x:f>
        <x:v>No</x:v>
      </x:c>
      <x:c r="N1009" s="25" t="str">
        <x:f>IF(J1009&gt;=6,"Sí","No")</x:f>
        <x:v>No</x:v>
      </x:c>
      <x:c r="O1009" s="25" t="str">
        <x:v>Pendiente: asignar con R/sf</x:v>
      </x:c>
    </x:row>
    <x:row r="1010">
      <x:c r="A1010" s="25" t="n">
        <x:v>1009</x:v>
      </x:c>
      <x:c r="B1010" s="26" t="n">
        <x:v>44395.89758101852</x:v>
      </x:c>
      <x:c r="C1010" s="27" t="n">
        <x:f>INT(B1010)</x:f>
        <x:v>44395</x:v>
      </x:c>
      <x:c r="D1010" s="28" t="n">
        <x:f>MOD(B1010,1)</x:f>
        <x:v>0.8975810185220325</x:v>
      </x:c>
      <x:c r="E1010" s="29" t="n">
        <x:f>YEAR(B1010)</x:f>
        <x:v>2021</x:v>
      </x:c>
      <x:c r="F1010" s="29" t="n">
        <x:f>MONTH(B1010)</x:f>
        <x:v>7</x:v>
      </x:c>
      <x:c r="G1010" s="30" t="n">
        <x:v>-18.96</x:v>
      </x:c>
      <x:c r="H1010" s="30" t="n">
        <x:v>-69.6</x:v>
      </x:c>
      <x:c r="I1010" s="29" t="n">
        <x:v>105</x:v>
      </x:c>
      <x:c r="J1010" s="31" t="n">
        <x:v>4.2</x:v>
      </x:c>
      <x:c r="K1010" s="25" t="str">
        <x:f>IF(J1010&gt;=7,"Muy fuerte (&gt;=7)",IF(J1010&gt;=6,"Fuerte (6-6.9)",IF(J1010&gt;=5,"Moderado alto (5-5.9)",IF(J1010&gt;=4,"Moderado (4-4.9)","Menor a 4"))))</x:f>
        <x:v>Moderado (4-4.9)</x:v>
      </x:c>
      <x:c r="L1010" s="25" t="str">
        <x:f>IF(I1010&lt;70,"Superficial (&lt;70 km)",IF(I1010&lt;=300,"Intermedio (70-300 km)","Profundo (&gt;300 km)"))</x:f>
        <x:v>Intermedio (70-300 km)</x:v>
      </x:c>
      <x:c r="M1010" s="25" t="str">
        <x:f>IF(J1010&gt;=5,"Sí","No")</x:f>
        <x:v>No</x:v>
      </x:c>
      <x:c r="N1010" s="25" t="str">
        <x:f>IF(J1010&gt;=6,"Sí","No")</x:f>
        <x:v>No</x:v>
      </x:c>
      <x:c r="O1010" s="25" t="str">
        <x:v>Pendiente: asignar con R/sf</x:v>
      </x:c>
    </x:row>
    <x:row r="1011">
      <x:c r="A1011" s="25" t="n">
        <x:v>1010</x:v>
      </x:c>
      <x:c r="B1011" s="26" t="n">
        <x:v>43933.210486111115</x:v>
      </x:c>
      <x:c r="C1011" s="27" t="n">
        <x:f>INT(B1011)</x:f>
        <x:v>43933</x:v>
      </x:c>
      <x:c r="D1011" s="28" t="n">
        <x:f>MOD(B1011,1)</x:f>
        <x:v>0.21048611111473292</x:v>
      </x:c>
      <x:c r="E1011" s="29" t="n">
        <x:f>YEAR(B1011)</x:f>
        <x:v>2020</x:v>
      </x:c>
      <x:c r="F1011" s="29" t="n">
        <x:f>MONTH(B1011)</x:f>
        <x:v>4</x:v>
      </x:c>
      <x:c r="G1011" s="30" t="n">
        <x:v>-19.26</x:v>
      </x:c>
      <x:c r="H1011" s="30" t="n">
        <x:v>-70.11</x:v>
      </x:c>
      <x:c r="I1011" s="29" t="n">
        <x:v>34</x:v>
      </x:c>
      <x:c r="J1011" s="31" t="n">
        <x:v>4</x:v>
      </x:c>
      <x:c r="K1011" s="25" t="str">
        <x:f>IF(J1011&gt;=7,"Muy fuerte (&gt;=7)",IF(J1011&gt;=6,"Fuerte (6-6.9)",IF(J1011&gt;=5,"Moderado alto (5-5.9)",IF(J1011&gt;=4,"Moderado (4-4.9)","Menor a 4"))))</x:f>
        <x:v>Moderado (4-4.9)</x:v>
      </x:c>
      <x:c r="L1011" s="25" t="str">
        <x:f>IF(I1011&lt;70,"Superficial (&lt;70 km)",IF(I1011&lt;=300,"Intermedio (70-300 km)","Profundo (&gt;300 km)"))</x:f>
        <x:v>Superficial (&lt;70 km)</x:v>
      </x:c>
      <x:c r="M1011" s="25" t="str">
        <x:f>IF(J1011&gt;=5,"Sí","No")</x:f>
        <x:v>No</x:v>
      </x:c>
      <x:c r="N1011" s="25" t="str">
        <x:f>IF(J1011&gt;=6,"Sí","No")</x:f>
        <x:v>No</x:v>
      </x:c>
      <x:c r="O1011" s="25" t="str">
        <x:v>Pendiente: asignar con R/sf</x:v>
      </x:c>
    </x:row>
    <x:row r="1012">
      <x:c r="A1012" s="25" t="n">
        <x:v>1011</x:v>
      </x:c>
      <x:c r="B1012" s="26" t="n">
        <x:v>43946.791238425925</x:v>
      </x:c>
      <x:c r="C1012" s="27" t="n">
        <x:f>INT(B1012)</x:f>
        <x:v>43946</x:v>
      </x:c>
      <x:c r="D1012" s="28" t="n">
        <x:f>MOD(B1012,1)</x:f>
        <x:v>0.7912384259252576</x:v>
      </x:c>
      <x:c r="E1012" s="29" t="n">
        <x:f>YEAR(B1012)</x:f>
        <x:v>2020</x:v>
      </x:c>
      <x:c r="F1012" s="29" t="n">
        <x:f>MONTH(B1012)</x:f>
        <x:v>4</x:v>
      </x:c>
      <x:c r="G1012" s="30" t="n">
        <x:v>-20.52</x:v>
      </x:c>
      <x:c r="H1012" s="30" t="n">
        <x:v>-70.36</x:v>
      </x:c>
      <x:c r="I1012" s="29" t="n">
        <x:v>35</x:v>
      </x:c>
      <x:c r="J1012" s="31" t="n">
        <x:v>4.5</x:v>
      </x:c>
      <x:c r="K1012" s="25" t="str">
        <x:f>IF(J1012&gt;=7,"Muy fuerte (&gt;=7)",IF(J1012&gt;=6,"Fuerte (6-6.9)",IF(J1012&gt;=5,"Moderado alto (5-5.9)",IF(J1012&gt;=4,"Moderado (4-4.9)","Menor a 4"))))</x:f>
        <x:v>Moderado (4-4.9)</x:v>
      </x:c>
      <x:c r="L1012" s="25" t="str">
        <x:f>IF(I1012&lt;70,"Superficial (&lt;70 km)",IF(I1012&lt;=300,"Intermedio (70-300 km)","Profundo (&gt;300 km)"))</x:f>
        <x:v>Superficial (&lt;70 km)</x:v>
      </x:c>
      <x:c r="M1012" s="25" t="str">
        <x:f>IF(J1012&gt;=5,"Sí","No")</x:f>
        <x:v>No</x:v>
      </x:c>
      <x:c r="N1012" s="25" t="str">
        <x:f>IF(J1012&gt;=6,"Sí","No")</x:f>
        <x:v>No</x:v>
      </x:c>
      <x:c r="O1012" s="25" t="str">
        <x:v>Pendiente: asignar con R/sf</x:v>
      </x:c>
    </x:row>
    <x:row r="1013">
      <x:c r="A1013" s="25" t="n">
        <x:v>1012</x:v>
      </x:c>
      <x:c r="B1013" s="26" t="n">
        <x:v>44046.76806712963</x:v>
      </x:c>
      <x:c r="C1013" s="27" t="n">
        <x:f>INT(B1013)</x:f>
        <x:v>44046</x:v>
      </x:c>
      <x:c r="D1013" s="28" t="n">
        <x:f>MOD(B1013,1)</x:f>
        <x:v>0.768067129632982</x:v>
      </x:c>
      <x:c r="E1013" s="29" t="n">
        <x:f>YEAR(B1013)</x:f>
        <x:v>2020</x:v>
      </x:c>
      <x:c r="F1013" s="29" t="n">
        <x:f>MONTH(B1013)</x:f>
        <x:v>8</x:v>
      </x:c>
      <x:c r="G1013" s="30" t="n">
        <x:v>-20.51</x:v>
      </x:c>
      <x:c r="H1013" s="30" t="n">
        <x:v>-69.04</x:v>
      </x:c>
      <x:c r="I1013" s="29" t="n">
        <x:v>102</x:v>
      </x:c>
      <x:c r="J1013" s="31" t="n">
        <x:v>4.6</x:v>
      </x:c>
      <x:c r="K1013" s="25" t="str">
        <x:f>IF(J1013&gt;=7,"Muy fuerte (&gt;=7)",IF(J1013&gt;=6,"Fuerte (6-6.9)",IF(J1013&gt;=5,"Moderado alto (5-5.9)",IF(J1013&gt;=4,"Moderado (4-4.9)","Menor a 4"))))</x:f>
        <x:v>Moderado (4-4.9)</x:v>
      </x:c>
      <x:c r="L1013" s="25" t="str">
        <x:f>IF(I1013&lt;70,"Superficial (&lt;70 km)",IF(I1013&lt;=300,"Intermedio (70-300 km)","Profundo (&gt;300 km)"))</x:f>
        <x:v>Intermedio (70-300 km)</x:v>
      </x:c>
      <x:c r="M1013" s="25" t="str">
        <x:f>IF(J1013&gt;=5,"Sí","No")</x:f>
        <x:v>No</x:v>
      </x:c>
      <x:c r="N1013" s="25" t="str">
        <x:f>IF(J1013&gt;=6,"Sí","No")</x:f>
        <x:v>No</x:v>
      </x:c>
      <x:c r="O1013" s="25" t="str">
        <x:v>Pendiente: asignar con R/sf</x:v>
      </x:c>
    </x:row>
    <x:row r="1014">
      <x:c r="A1014" s="25" t="n">
        <x:v>1013</x:v>
      </x:c>
      <x:c r="B1014" s="26" t="n">
        <x:v>44297.3521875</x:v>
      </x:c>
      <x:c r="C1014" s="27" t="n">
        <x:f>INT(B1014)</x:f>
        <x:v>44297</x:v>
      </x:c>
      <x:c r="D1014" s="28" t="n">
        <x:f>MOD(B1014,1)</x:f>
        <x:v>0.3521875000005821</x:v>
      </x:c>
      <x:c r="E1014" s="29" t="n">
        <x:f>YEAR(B1014)</x:f>
        <x:v>2021</x:v>
      </x:c>
      <x:c r="F1014" s="29" t="n">
        <x:f>MONTH(B1014)</x:f>
        <x:v>4</x:v>
      </x:c>
      <x:c r="G1014" s="30" t="n">
        <x:v>-19.3</x:v>
      </x:c>
      <x:c r="H1014" s="30" t="n">
        <x:v>-70.19</x:v>
      </x:c>
      <x:c r="I1014" s="29" t="n">
        <x:v>41</x:v>
      </x:c>
      <x:c r="J1014" s="31" t="n">
        <x:v>3.7</x:v>
      </x:c>
      <x:c r="K1014" s="25" t="str">
        <x:f>IF(J1014&gt;=7,"Muy fuerte (&gt;=7)",IF(J1014&gt;=6,"Fuerte (6-6.9)",IF(J1014&gt;=5,"Moderado alto (5-5.9)",IF(J1014&gt;=4,"Moderado (4-4.9)","Menor a 4"))))</x:f>
        <x:v>Menor a 4</x:v>
      </x:c>
      <x:c r="L1014" s="25" t="str">
        <x:f>IF(I1014&lt;70,"Superficial (&lt;70 km)",IF(I1014&lt;=300,"Intermedio (70-300 km)","Profundo (&gt;300 km)"))</x:f>
        <x:v>Superficial (&lt;70 km)</x:v>
      </x:c>
      <x:c r="M1014" s="25" t="str">
        <x:f>IF(J1014&gt;=5,"Sí","No")</x:f>
        <x:v>No</x:v>
      </x:c>
      <x:c r="N1014" s="25" t="str">
        <x:f>IF(J1014&gt;=6,"Sí","No")</x:f>
        <x:v>No</x:v>
      </x:c>
      <x:c r="O1014" s="25" t="str">
        <x:v>Pendiente: asignar con R/sf</x:v>
      </x:c>
    </x:row>
    <x:row r="1015">
      <x:c r="A1015" s="25" t="n">
        <x:v>1014</x:v>
      </x:c>
      <x:c r="B1015" s="26" t="n">
        <x:v>43974.63712962963</x:v>
      </x:c>
      <x:c r="C1015" s="27" t="n">
        <x:f>INT(B1015)</x:f>
        <x:v>43974</x:v>
      </x:c>
      <x:c r="D1015" s="28" t="n">
        <x:f>MOD(B1015,1)</x:f>
        <x:v>0.6371296296274522</x:v>
      </x:c>
      <x:c r="E1015" s="29" t="n">
        <x:f>YEAR(B1015)</x:f>
        <x:v>2020</x:v>
      </x:c>
      <x:c r="F1015" s="29" t="n">
        <x:f>MONTH(B1015)</x:f>
        <x:v>5</x:v>
      </x:c>
      <x:c r="G1015" s="30" t="n">
        <x:v>-19.74</x:v>
      </x:c>
      <x:c r="H1015" s="30" t="n">
        <x:v>-70.31</x:v>
      </x:c>
      <x:c r="I1015" s="29" t="n">
        <x:v>52</x:v>
      </x:c>
      <x:c r="J1015" s="31" t="n">
        <x:v>3.5</x:v>
      </x:c>
      <x:c r="K1015" s="25" t="str">
        <x:f>IF(J1015&gt;=7,"Muy fuerte (&gt;=7)",IF(J1015&gt;=6,"Fuerte (6-6.9)",IF(J1015&gt;=5,"Moderado alto (5-5.9)",IF(J1015&gt;=4,"Moderado (4-4.9)","Menor a 4"))))</x:f>
        <x:v>Menor a 4</x:v>
      </x:c>
      <x:c r="L1015" s="25" t="str">
        <x:f>IF(I1015&lt;70,"Superficial (&lt;70 km)",IF(I1015&lt;=300,"Intermedio (70-300 km)","Profundo (&gt;300 km)"))</x:f>
        <x:v>Superficial (&lt;70 km)</x:v>
      </x:c>
      <x:c r="M1015" s="25" t="str">
        <x:f>IF(J1015&gt;=5,"Sí","No")</x:f>
        <x:v>No</x:v>
      </x:c>
      <x:c r="N1015" s="25" t="str">
        <x:f>IF(J1015&gt;=6,"Sí","No")</x:f>
        <x:v>No</x:v>
      </x:c>
      <x:c r="O1015" s="25" t="str">
        <x:v>Pendiente: asignar con R/sf</x:v>
      </x:c>
    </x:row>
    <x:row r="1016">
      <x:c r="A1016" s="25" t="n">
        <x:v>1015</x:v>
      </x:c>
      <x:c r="B1016" s="26" t="n">
        <x:v>43892.62778935185</x:v>
      </x:c>
      <x:c r="C1016" s="27" t="n">
        <x:f>INT(B1016)</x:f>
        <x:v>43892</x:v>
      </x:c>
      <x:c r="D1016" s="28" t="n">
        <x:f>MOD(B1016,1)</x:f>
        <x:v>0.62778935184906</x:v>
      </x:c>
      <x:c r="E1016" s="29" t="n">
        <x:f>YEAR(B1016)</x:f>
        <x:v>2020</x:v>
      </x:c>
      <x:c r="F1016" s="29" t="n">
        <x:f>MONTH(B1016)</x:f>
        <x:v>3</x:v>
      </x:c>
      <x:c r="G1016" s="30" t="n">
        <x:v>-20.38</x:v>
      </x:c>
      <x:c r="H1016" s="30" t="n">
        <x:v>-69.33</x:v>
      </x:c>
      <x:c r="I1016" s="29" t="n">
        <x:v>87</x:v>
      </x:c>
      <x:c r="J1016" s="31" t="n">
        <x:v>4.1</x:v>
      </x:c>
      <x:c r="K1016" s="25" t="str">
        <x:f>IF(J1016&gt;=7,"Muy fuerte (&gt;=7)",IF(J1016&gt;=6,"Fuerte (6-6.9)",IF(J1016&gt;=5,"Moderado alto (5-5.9)",IF(J1016&gt;=4,"Moderado (4-4.9)","Menor a 4"))))</x:f>
        <x:v>Moderado (4-4.9)</x:v>
      </x:c>
      <x:c r="L1016" s="25" t="str">
        <x:f>IF(I1016&lt;70,"Superficial (&lt;70 km)",IF(I1016&lt;=300,"Intermedio (70-300 km)","Profundo (&gt;300 km)"))</x:f>
        <x:v>Intermedio (70-300 km)</x:v>
      </x:c>
      <x:c r="M1016" s="25" t="str">
        <x:f>IF(J1016&gt;=5,"Sí","No")</x:f>
        <x:v>No</x:v>
      </x:c>
      <x:c r="N1016" s="25" t="str">
        <x:f>IF(J1016&gt;=6,"Sí","No")</x:f>
        <x:v>No</x:v>
      </x:c>
      <x:c r="O1016" s="25" t="str">
        <x:v>Pendiente: asignar con R/sf</x:v>
      </x:c>
    </x:row>
    <x:row r="1017">
      <x:c r="A1017" s="25" t="n">
        <x:v>1016</x:v>
      </x:c>
      <x:c r="B1017" s="26" t="n">
        <x:v>44287.065520833334</x:v>
      </x:c>
      <x:c r="C1017" s="27" t="n">
        <x:f>INT(B1017)</x:f>
        <x:v>44287</x:v>
      </x:c>
      <x:c r="D1017" s="28" t="n">
        <x:f>MOD(B1017,1)</x:f>
        <x:v>0.06552083333372138</x:v>
      </x:c>
      <x:c r="E1017" s="29" t="n">
        <x:f>YEAR(B1017)</x:f>
        <x:v>2021</x:v>
      </x:c>
      <x:c r="F1017" s="29" t="n">
        <x:f>MONTH(B1017)</x:f>
        <x:v>4</x:v>
      </x:c>
      <x:c r="G1017" s="30" t="n">
        <x:v>-19.73</x:v>
      </x:c>
      <x:c r="H1017" s="30" t="n">
        <x:v>-69.02</x:v>
      </x:c>
      <x:c r="I1017" s="29" t="n">
        <x:v>139</x:v>
      </x:c>
      <x:c r="J1017" s="31" t="n">
        <x:v>4.9</x:v>
      </x:c>
      <x:c r="K1017" s="25" t="str">
        <x:f>IF(J1017&gt;=7,"Muy fuerte (&gt;=7)",IF(J1017&gt;=6,"Fuerte (6-6.9)",IF(J1017&gt;=5,"Moderado alto (5-5.9)",IF(J1017&gt;=4,"Moderado (4-4.9)","Menor a 4"))))</x:f>
        <x:v>Moderado (4-4.9)</x:v>
      </x:c>
      <x:c r="L1017" s="25" t="str">
        <x:f>IF(I1017&lt;70,"Superficial (&lt;70 km)",IF(I1017&lt;=300,"Intermedio (70-300 km)","Profundo (&gt;300 km)"))</x:f>
        <x:v>Intermedio (70-300 km)</x:v>
      </x:c>
      <x:c r="M1017" s="25" t="str">
        <x:f>IF(J1017&gt;=5,"Sí","No")</x:f>
        <x:v>No</x:v>
      </x:c>
      <x:c r="N1017" s="25" t="str">
        <x:f>IF(J1017&gt;=6,"Sí","No")</x:f>
        <x:v>No</x:v>
      </x:c>
      <x:c r="O1017" s="25" t="str">
        <x:v>Pendiente: asignar con R/sf</x:v>
      </x:c>
    </x:row>
    <x:row r="1018">
      <x:c r="A1018" s="25" t="n">
        <x:v>1017</x:v>
      </x:c>
      <x:c r="B1018" s="26" t="n">
        <x:v>44200.0162037037</x:v>
      </x:c>
      <x:c r="C1018" s="27" t="n">
        <x:f>INT(B1018)</x:f>
        <x:v>44200</x:v>
      </x:c>
      <x:c r="D1018" s="28" t="n">
        <x:f>MOD(B1018,1)</x:f>
        <x:v>0.016203703700739425</x:v>
      </x:c>
      <x:c r="E1018" s="29" t="n">
        <x:f>YEAR(B1018)</x:f>
        <x:v>2021</x:v>
      </x:c>
      <x:c r="F1018" s="29" t="n">
        <x:f>MONTH(B1018)</x:f>
        <x:v>1</x:v>
      </x:c>
      <x:c r="G1018" s="30" t="n">
        <x:v>-19.72</x:v>
      </x:c>
      <x:c r="H1018" s="30" t="n">
        <x:v>-69.47</x:v>
      </x:c>
      <x:c r="I1018" s="29" t="n">
        <x:v>94</x:v>
      </x:c>
      <x:c r="J1018" s="31" t="n">
        <x:v>4.4</x:v>
      </x:c>
      <x:c r="K1018" s="25" t="str">
        <x:f>IF(J1018&gt;=7,"Muy fuerte (&gt;=7)",IF(J1018&gt;=6,"Fuerte (6-6.9)",IF(J1018&gt;=5,"Moderado alto (5-5.9)",IF(J1018&gt;=4,"Moderado (4-4.9)","Menor a 4"))))</x:f>
        <x:v>Moderado (4-4.9)</x:v>
      </x:c>
      <x:c r="L1018" s="25" t="str">
        <x:f>IF(I1018&lt;70,"Superficial (&lt;70 km)",IF(I1018&lt;=300,"Intermedio (70-300 km)","Profundo (&gt;300 km)"))</x:f>
        <x:v>Intermedio (70-300 km)</x:v>
      </x:c>
      <x:c r="M1018" s="25" t="str">
        <x:f>IF(J1018&gt;=5,"Sí","No")</x:f>
        <x:v>No</x:v>
      </x:c>
      <x:c r="N1018" s="25" t="str">
        <x:f>IF(J1018&gt;=6,"Sí","No")</x:f>
        <x:v>No</x:v>
      </x:c>
      <x:c r="O1018" s="25" t="str">
        <x:v>Pendiente: asignar con R/sf</x:v>
      </x:c>
    </x:row>
    <x:row r="1019">
      <x:c r="A1019" s="25" t="n">
        <x:v>1018</x:v>
      </x:c>
      <x:c r="B1019" s="26" t="n">
        <x:v>44384.727951388886</x:v>
      </x:c>
      <x:c r="C1019" s="27" t="n">
        <x:f>INT(B1019)</x:f>
        <x:v>44384</x:v>
      </x:c>
      <x:c r="D1019" s="28" t="n">
        <x:f>MOD(B1019,1)</x:f>
        <x:v>0.7279513888861402</x:v>
      </x:c>
      <x:c r="E1019" s="29" t="n">
        <x:f>YEAR(B1019)</x:f>
        <x:v>2021</x:v>
      </x:c>
      <x:c r="F1019" s="29" t="n">
        <x:f>MONTH(B1019)</x:f>
        <x:v>7</x:v>
      </x:c>
      <x:c r="G1019" s="30" t="n">
        <x:v>-21.14</x:v>
      </x:c>
      <x:c r="H1019" s="30" t="n">
        <x:v>-68.7</x:v>
      </x:c>
      <x:c r="I1019" s="29" t="n">
        <x:v>127</x:v>
      </x:c>
      <x:c r="J1019" s="31" t="n">
        <x:v>4.7</x:v>
      </x:c>
      <x:c r="K1019" s="25" t="str">
        <x:f>IF(J1019&gt;=7,"Muy fuerte (&gt;=7)",IF(J1019&gt;=6,"Fuerte (6-6.9)",IF(J1019&gt;=5,"Moderado alto (5-5.9)",IF(J1019&gt;=4,"Moderado (4-4.9)","Menor a 4"))))</x:f>
        <x:v>Moderado (4-4.9)</x:v>
      </x:c>
      <x:c r="L1019" s="25" t="str">
        <x:f>IF(I1019&lt;70,"Superficial (&lt;70 km)",IF(I1019&lt;=300,"Intermedio (70-300 km)","Profundo (&gt;300 km)"))</x:f>
        <x:v>Intermedio (70-300 km)</x:v>
      </x:c>
      <x:c r="M1019" s="25" t="str">
        <x:f>IF(J1019&gt;=5,"Sí","No")</x:f>
        <x:v>No</x:v>
      </x:c>
      <x:c r="N1019" s="25" t="str">
        <x:f>IF(J1019&gt;=6,"Sí","No")</x:f>
        <x:v>No</x:v>
      </x:c>
      <x:c r="O1019" s="25" t="str">
        <x:v>Pendiente: asignar con R/sf</x:v>
      </x:c>
    </x:row>
    <x:row r="1020">
      <x:c r="A1020" s="25" t="n">
        <x:v>1019</x:v>
      </x:c>
      <x:c r="B1020" s="26" t="n">
        <x:v>44030.05540509259</x:v>
      </x:c>
      <x:c r="C1020" s="27" t="n">
        <x:f>INT(B1020)</x:f>
        <x:v>44030</x:v>
      </x:c>
      <x:c r="D1020" s="28" t="n">
        <x:f>MOD(B1020,1)</x:f>
        <x:v>0.05540509259299142</x:v>
      </x:c>
      <x:c r="E1020" s="29" t="n">
        <x:f>YEAR(B1020)</x:f>
        <x:v>2020</x:v>
      </x:c>
      <x:c r="F1020" s="29" t="n">
        <x:f>MONTH(B1020)</x:f>
        <x:v>7</x:v>
      </x:c>
      <x:c r="G1020" s="30" t="n">
        <x:v>-19.32</x:v>
      </x:c>
      <x:c r="H1020" s="30" t="n">
        <x:v>-69.99</x:v>
      </x:c>
      <x:c r="I1020" s="29" t="n">
        <x:v>50</x:v>
      </x:c>
      <x:c r="J1020" s="31" t="n">
        <x:v>3.1</x:v>
      </x:c>
      <x:c r="K1020" s="25" t="str">
        <x:f>IF(J1020&gt;=7,"Muy fuerte (&gt;=7)",IF(J1020&gt;=6,"Fuerte (6-6.9)",IF(J1020&gt;=5,"Moderado alto (5-5.9)",IF(J1020&gt;=4,"Moderado (4-4.9)","Menor a 4"))))</x:f>
        <x:v>Menor a 4</x:v>
      </x:c>
      <x:c r="L1020" s="25" t="str">
        <x:f>IF(I1020&lt;70,"Superficial (&lt;70 km)",IF(I1020&lt;=300,"Intermedio (70-300 km)","Profundo (&gt;300 km)"))</x:f>
        <x:v>Superficial (&lt;70 km)</x:v>
      </x:c>
      <x:c r="M1020" s="25" t="str">
        <x:f>IF(J1020&gt;=5,"Sí","No")</x:f>
        <x:v>No</x:v>
      </x:c>
      <x:c r="N1020" s="25" t="str">
        <x:f>IF(J1020&gt;=6,"Sí","No")</x:f>
        <x:v>No</x:v>
      </x:c>
      <x:c r="O1020" s="25" t="str">
        <x:v>Pendiente: asignar con R/sf</x:v>
      </x:c>
    </x:row>
    <x:row r="1021">
      <x:c r="A1021" s="25" t="n">
        <x:v>1020</x:v>
      </x:c>
      <x:c r="B1021" s="26" t="n">
        <x:v>44125.04289351852</x:v>
      </x:c>
      <x:c r="C1021" s="27" t="n">
        <x:f>INT(B1021)</x:f>
        <x:v>44125</x:v>
      </x:c>
      <x:c r="D1021" s="28" t="n">
        <x:f>MOD(B1021,1)</x:f>
        <x:v>0.042893518519122154</x:v>
      </x:c>
      <x:c r="E1021" s="29" t="n">
        <x:f>YEAR(B1021)</x:f>
        <x:v>2020</x:v>
      </x:c>
      <x:c r="F1021" s="29" t="n">
        <x:f>MONTH(B1021)</x:f>
        <x:v>10</x:v>
      </x:c>
      <x:c r="G1021" s="30" t="n">
        <x:v>-19.51</x:v>
      </x:c>
      <x:c r="H1021" s="30" t="n">
        <x:v>-69.98</x:v>
      </x:c>
      <x:c r="I1021" s="29" t="n">
        <x:v>9</x:v>
      </x:c>
      <x:c r="J1021" s="31" t="n">
        <x:v>4.2</x:v>
      </x:c>
      <x:c r="K1021" s="25" t="str">
        <x:f>IF(J1021&gt;=7,"Muy fuerte (&gt;=7)",IF(J1021&gt;=6,"Fuerte (6-6.9)",IF(J1021&gt;=5,"Moderado alto (5-5.9)",IF(J1021&gt;=4,"Moderado (4-4.9)","Menor a 4"))))</x:f>
        <x:v>Moderado (4-4.9)</x:v>
      </x:c>
      <x:c r="L1021" s="25" t="str">
        <x:f>IF(I1021&lt;70,"Superficial (&lt;70 km)",IF(I1021&lt;=300,"Intermedio (70-300 km)","Profundo (&gt;300 km)"))</x:f>
        <x:v>Superficial (&lt;70 km)</x:v>
      </x:c>
      <x:c r="M1021" s="25" t="str">
        <x:f>IF(J1021&gt;=5,"Sí","No")</x:f>
        <x:v>No</x:v>
      </x:c>
      <x:c r="N1021" s="25" t="str">
        <x:f>IF(J1021&gt;=6,"Sí","No")</x:f>
        <x:v>No</x:v>
      </x:c>
      <x:c r="O1021" s="25" t="str">
        <x:v>Pendiente: asignar con R/sf</x:v>
      </x:c>
    </x:row>
    <x:row r="1022">
      <x:c r="A1022" s="25" t="n">
        <x:v>1021</x:v>
      </x:c>
      <x:c r="B1022" s="26" t="n">
        <x:v>44385.747511574074</x:v>
      </x:c>
      <x:c r="C1022" s="27" t="n">
        <x:f>INT(B1022)</x:f>
        <x:v>44385</x:v>
      </x:c>
      <x:c r="D1022" s="28" t="n">
        <x:f>MOD(B1022,1)</x:f>
        <x:v>0.7475115740744513</x:v>
      </x:c>
      <x:c r="E1022" s="29" t="n">
        <x:f>YEAR(B1022)</x:f>
        <x:v>2021</x:v>
      </x:c>
      <x:c r="F1022" s="29" t="n">
        <x:f>MONTH(B1022)</x:f>
        <x:v>7</x:v>
      </x:c>
      <x:c r="G1022" s="30" t="n">
        <x:v>-34.76</x:v>
      </x:c>
      <x:c r="H1022" s="30" t="n">
        <x:v>-71.84</x:v>
      </x:c>
      <x:c r="I1022" s="29" t="n">
        <x:v>40</x:v>
      </x:c>
      <x:c r="J1022" s="31" t="n">
        <x:v>4.9</x:v>
      </x:c>
      <x:c r="K1022" s="25" t="str">
        <x:f>IF(J1022&gt;=7,"Muy fuerte (&gt;=7)",IF(J1022&gt;=6,"Fuerte (6-6.9)",IF(J1022&gt;=5,"Moderado alto (5-5.9)",IF(J1022&gt;=4,"Moderado (4-4.9)","Menor a 4"))))</x:f>
        <x:v>Moderado (4-4.9)</x:v>
      </x:c>
      <x:c r="L1022" s="25" t="str">
        <x:f>IF(I1022&lt;70,"Superficial (&lt;70 km)",IF(I1022&lt;=300,"Intermedio (70-300 km)","Profundo (&gt;300 km)"))</x:f>
        <x:v>Superficial (&lt;70 km)</x:v>
      </x:c>
      <x:c r="M1022" s="25" t="str">
        <x:f>IF(J1022&gt;=5,"Sí","No")</x:f>
        <x:v>No</x:v>
      </x:c>
      <x:c r="N1022" s="25" t="str">
        <x:f>IF(J1022&gt;=6,"Sí","No")</x:f>
        <x:v>No</x:v>
      </x:c>
      <x:c r="O1022" s="25" t="str">
        <x:v>Pendiente: asignar con R/sf</x:v>
      </x:c>
    </x:row>
    <x:row r="1023">
      <x:c r="A1023" s="25" t="n">
        <x:v>1022</x:v>
      </x:c>
      <x:c r="B1023" s="26" t="n">
        <x:v>44341.703368055554</x:v>
      </x:c>
      <x:c r="C1023" s="27" t="n">
        <x:f>INT(B1023)</x:f>
        <x:v>44341</x:v>
      </x:c>
      <x:c r="D1023" s="28" t="n">
        <x:f>MOD(B1023,1)</x:f>
        <x:v>0.703368055554165</x:v>
      </x:c>
      <x:c r="E1023" s="29" t="n">
        <x:f>YEAR(B1023)</x:f>
        <x:v>2021</x:v>
      </x:c>
      <x:c r="F1023" s="29" t="n">
        <x:f>MONTH(B1023)</x:f>
        <x:v>5</x:v>
      </x:c>
      <x:c r="G1023" s="30" t="n">
        <x:v>-20.24</x:v>
      </x:c>
      <x:c r="H1023" s="30" t="n">
        <x:v>-69.24</x:v>
      </x:c>
      <x:c r="I1023" s="29" t="n">
        <x:v>112</x:v>
      </x:c>
      <x:c r="J1023" s="31" t="n">
        <x:v>4</x:v>
      </x:c>
      <x:c r="K1023" s="25" t="str">
        <x:f>IF(J1023&gt;=7,"Muy fuerte (&gt;=7)",IF(J1023&gt;=6,"Fuerte (6-6.9)",IF(J1023&gt;=5,"Moderado alto (5-5.9)",IF(J1023&gt;=4,"Moderado (4-4.9)","Menor a 4"))))</x:f>
        <x:v>Moderado (4-4.9)</x:v>
      </x:c>
      <x:c r="L1023" s="25" t="str">
        <x:f>IF(I1023&lt;70,"Superficial (&lt;70 km)",IF(I1023&lt;=300,"Intermedio (70-300 km)","Profundo (&gt;300 km)"))</x:f>
        <x:v>Intermedio (70-300 km)</x:v>
      </x:c>
      <x:c r="M1023" s="25" t="str">
        <x:f>IF(J1023&gt;=5,"Sí","No")</x:f>
        <x:v>No</x:v>
      </x:c>
      <x:c r="N1023" s="25" t="str">
        <x:f>IF(J1023&gt;=6,"Sí","No")</x:f>
        <x:v>No</x:v>
      </x:c>
      <x:c r="O1023" s="25" t="str">
        <x:v>Pendiente: asignar con R/sf</x:v>
      </x:c>
    </x:row>
    <x:row r="1024">
      <x:c r="A1024" s="25" t="n">
        <x:v>1023</x:v>
      </x:c>
      <x:c r="B1024" s="26" t="n">
        <x:v>43941.58412037037</x:v>
      </x:c>
      <x:c r="C1024" s="27" t="n">
        <x:f>INT(B1024)</x:f>
        <x:v>43941</x:v>
      </x:c>
      <x:c r="D1024" s="28" t="n">
        <x:f>MOD(B1024,1)</x:f>
        <x:v>0.5841203703676001</x:v>
      </x:c>
      <x:c r="E1024" s="29" t="n">
        <x:f>YEAR(B1024)</x:f>
        <x:v>2020</x:v>
      </x:c>
      <x:c r="F1024" s="29" t="n">
        <x:f>MONTH(B1024)</x:f>
        <x:v>4</x:v>
      </x:c>
      <x:c r="G1024" s="30" t="n">
        <x:v>-19.53</x:v>
      </x:c>
      <x:c r="H1024" s="30" t="n">
        <x:v>-70.37</x:v>
      </x:c>
      <x:c r="I1024" s="29" t="n">
        <x:v>40</x:v>
      </x:c>
      <x:c r="J1024" s="31" t="n">
        <x:v>3.7</x:v>
      </x:c>
      <x:c r="K1024" s="25" t="str">
        <x:f>IF(J1024&gt;=7,"Muy fuerte (&gt;=7)",IF(J1024&gt;=6,"Fuerte (6-6.9)",IF(J1024&gt;=5,"Moderado alto (5-5.9)",IF(J1024&gt;=4,"Moderado (4-4.9)","Menor a 4"))))</x:f>
        <x:v>Menor a 4</x:v>
      </x:c>
      <x:c r="L1024" s="25" t="str">
        <x:f>IF(I1024&lt;70,"Superficial (&lt;70 km)",IF(I1024&lt;=300,"Intermedio (70-300 km)","Profundo (&gt;300 km)"))</x:f>
        <x:v>Superficial (&lt;70 km)</x:v>
      </x:c>
      <x:c r="M1024" s="25" t="str">
        <x:f>IF(J1024&gt;=5,"Sí","No")</x:f>
        <x:v>No</x:v>
      </x:c>
      <x:c r="N1024" s="25" t="str">
        <x:f>IF(J1024&gt;=6,"Sí","No")</x:f>
        <x:v>No</x:v>
      </x:c>
      <x:c r="O1024" s="25" t="str">
        <x:v>Pendiente: asignar con R/sf</x:v>
      </x:c>
    </x:row>
    <x:row r="1025">
      <x:c r="A1025" s="25" t="n">
        <x:v>1024</x:v>
      </x:c>
      <x:c r="B1025" s="26" t="n">
        <x:v>44302.05168981481</x:v>
      </x:c>
      <x:c r="C1025" s="27" t="n">
        <x:f>INT(B1025)</x:f>
        <x:v>44302</x:v>
      </x:c>
      <x:c r="D1025" s="28" t="n">
        <x:f>MOD(B1025,1)</x:f>
        <x:v>0.05168981481256196</x:v>
      </x:c>
      <x:c r="E1025" s="29" t="n">
        <x:f>YEAR(B1025)</x:f>
        <x:v>2021</x:v>
      </x:c>
      <x:c r="F1025" s="29" t="n">
        <x:f>MONTH(B1025)</x:f>
        <x:v>4</x:v>
      </x:c>
      <x:c r="G1025" s="30" t="n">
        <x:v>-19.52</x:v>
      </x:c>
      <x:c r="H1025" s="30" t="n">
        <x:v>-69.44</x:v>
      </x:c>
      <x:c r="I1025" s="29" t="n">
        <x:v>100</x:v>
      </x:c>
      <x:c r="J1025" s="31" t="n">
        <x:v>4.5</x:v>
      </x:c>
      <x:c r="K1025" s="25" t="str">
        <x:f>IF(J1025&gt;=7,"Muy fuerte (&gt;=7)",IF(J1025&gt;=6,"Fuerte (6-6.9)",IF(J1025&gt;=5,"Moderado alto (5-5.9)",IF(J1025&gt;=4,"Moderado (4-4.9)","Menor a 4"))))</x:f>
        <x:v>Moderado (4-4.9)</x:v>
      </x:c>
      <x:c r="L1025" s="25" t="str">
        <x:f>IF(I1025&lt;70,"Superficial (&lt;70 km)",IF(I1025&lt;=300,"Intermedio (70-300 km)","Profundo (&gt;300 km)"))</x:f>
        <x:v>Intermedio (70-300 km)</x:v>
      </x:c>
      <x:c r="M1025" s="25" t="str">
        <x:f>IF(J1025&gt;=5,"Sí","No")</x:f>
        <x:v>No</x:v>
      </x:c>
      <x:c r="N1025" s="25" t="str">
        <x:f>IF(J1025&gt;=6,"Sí","No")</x:f>
        <x:v>No</x:v>
      </x:c>
      <x:c r="O1025" s="25" t="str">
        <x:v>Pendiente: asignar con R/sf</x:v>
      </x:c>
    </x:row>
    <x:row r="1026">
      <x:c r="A1026" s="25" t="n">
        <x:v>1025</x:v>
      </x:c>
      <x:c r="B1026" s="26" t="n">
        <x:v>43951.49070601852</x:v>
      </x:c>
      <x:c r="C1026" s="27" t="n">
        <x:f>INT(B1026)</x:f>
        <x:v>43951</x:v>
      </x:c>
      <x:c r="D1026" s="28" t="n">
        <x:f>MOD(B1026,1)</x:f>
        <x:v>0.49070601852145046</x:v>
      </x:c>
      <x:c r="E1026" s="29" t="n">
        <x:f>YEAR(B1026)</x:f>
        <x:v>2020</x:v>
      </x:c>
      <x:c r="F1026" s="29" t="n">
        <x:f>MONTH(B1026)</x:f>
        <x:v>4</x:v>
      </x:c>
      <x:c r="G1026" s="30" t="n">
        <x:v>-19.61</x:v>
      </x:c>
      <x:c r="H1026" s="30" t="n">
        <x:v>-70.7</x:v>
      </x:c>
      <x:c r="I1026" s="29" t="n">
        <x:v>29</x:v>
      </x:c>
      <x:c r="J1026" s="31" t="n">
        <x:v>3.8</x:v>
      </x:c>
      <x:c r="K1026" s="25" t="str">
        <x:f>IF(J1026&gt;=7,"Muy fuerte (&gt;=7)",IF(J1026&gt;=6,"Fuerte (6-6.9)",IF(J1026&gt;=5,"Moderado alto (5-5.9)",IF(J1026&gt;=4,"Moderado (4-4.9)","Menor a 4"))))</x:f>
        <x:v>Menor a 4</x:v>
      </x:c>
      <x:c r="L1026" s="25" t="str">
        <x:f>IF(I1026&lt;70,"Superficial (&lt;70 km)",IF(I1026&lt;=300,"Intermedio (70-300 km)","Profundo (&gt;300 km)"))</x:f>
        <x:v>Superficial (&lt;70 km)</x:v>
      </x:c>
      <x:c r="M1026" s="25" t="str">
        <x:f>IF(J1026&gt;=5,"Sí","No")</x:f>
        <x:v>No</x:v>
      </x:c>
      <x:c r="N1026" s="25" t="str">
        <x:f>IF(J1026&gt;=6,"Sí","No")</x:f>
        <x:v>No</x:v>
      </x:c>
      <x:c r="O1026" s="25" t="str">
        <x:v>Pendiente: asignar con R/sf</x:v>
      </x:c>
    </x:row>
    <x:row r="1027">
      <x:c r="A1027" s="25" t="n">
        <x:v>1026</x:v>
      </x:c>
      <x:c r="B1027" s="26" t="n">
        <x:v>43721.33726851852</x:v>
      </x:c>
      <x:c r="C1027" s="27" t="n">
        <x:f>INT(B1027)</x:f>
        <x:v>43721</x:v>
      </x:c>
      <x:c r="D1027" s="28" t="n">
        <x:f>MOD(B1027,1)</x:f>
        <x:v>0.33726851851679385</x:v>
      </x:c>
      <x:c r="E1027" s="29" t="n">
        <x:f>YEAR(B1027)</x:f>
        <x:v>2019</x:v>
      </x:c>
      <x:c r="F1027" s="29" t="n">
        <x:f>MONTH(B1027)</x:f>
        <x:v>9</x:v>
      </x:c>
      <x:c r="G1027" s="30" t="n">
        <x:v>-19.77</x:v>
      </x:c>
      <x:c r="H1027" s="30" t="n">
        <x:v>-69.62</x:v>
      </x:c>
      <x:c r="I1027" s="29" t="n">
        <x:v>71</x:v>
      </x:c>
      <x:c r="J1027" s="31" t="n">
        <x:v>3.5</x:v>
      </x:c>
      <x:c r="K1027" s="25" t="str">
        <x:f>IF(J1027&gt;=7,"Muy fuerte (&gt;=7)",IF(J1027&gt;=6,"Fuerte (6-6.9)",IF(J1027&gt;=5,"Moderado alto (5-5.9)",IF(J1027&gt;=4,"Moderado (4-4.9)","Menor a 4"))))</x:f>
        <x:v>Menor a 4</x:v>
      </x:c>
      <x:c r="L1027" s="25" t="str">
        <x:f>IF(I1027&lt;70,"Superficial (&lt;70 km)",IF(I1027&lt;=300,"Intermedio (70-300 km)","Profundo (&gt;300 km)"))</x:f>
        <x:v>Intermedio (70-300 km)</x:v>
      </x:c>
      <x:c r="M1027" s="25" t="str">
        <x:f>IF(J1027&gt;=5,"Sí","No")</x:f>
        <x:v>No</x:v>
      </x:c>
      <x:c r="N1027" s="25" t="str">
        <x:f>IF(J1027&gt;=6,"Sí","No")</x:f>
        <x:v>No</x:v>
      </x:c>
      <x:c r="O1027" s="25" t="str">
        <x:v>Pendiente: asignar con R/sf</x:v>
      </x:c>
    </x:row>
    <x:row r="1028">
      <x:c r="A1028" s="25" t="n">
        <x:v>1027</x:v>
      </x:c>
      <x:c r="B1028" s="26" t="n">
        <x:v>44440.77484953704</x:v>
      </x:c>
      <x:c r="C1028" s="27" t="n">
        <x:f>INT(B1028)</x:f>
        <x:v>44440</x:v>
      </x:c>
      <x:c r="D1028" s="28" t="n">
        <x:f>MOD(B1028,1)</x:f>
        <x:v>0.7748495370396995</x:v>
      </x:c>
      <x:c r="E1028" s="29" t="n">
        <x:f>YEAR(B1028)</x:f>
        <x:v>2021</x:v>
      </x:c>
      <x:c r="F1028" s="29" t="n">
        <x:f>MONTH(B1028)</x:f>
        <x:v>9</x:v>
      </x:c>
      <x:c r="G1028" s="30" t="n">
        <x:v>-27.74</x:v>
      </x:c>
      <x:c r="H1028" s="30" t="n">
        <x:v>-71.12</x:v>
      </x:c>
      <x:c r="I1028" s="29" t="n">
        <x:v>15</x:v>
      </x:c>
      <x:c r="J1028" s="31" t="n">
        <x:v>5.5</x:v>
      </x:c>
      <x:c r="K1028" s="25" t="str">
        <x:f>IF(J1028&gt;=7,"Muy fuerte (&gt;=7)",IF(J1028&gt;=6,"Fuerte (6-6.9)",IF(J1028&gt;=5,"Moderado alto (5-5.9)",IF(J1028&gt;=4,"Moderado (4-4.9)","Menor a 4"))))</x:f>
        <x:v>Moderado alto (5-5.9)</x:v>
      </x:c>
      <x:c r="L1028" s="25" t="str">
        <x:f>IF(I1028&lt;70,"Superficial (&lt;70 km)",IF(I1028&lt;=300,"Intermedio (70-300 km)","Profundo (&gt;300 km)"))</x:f>
        <x:v>Superficial (&lt;70 km)</x:v>
      </x:c>
      <x:c r="M1028" s="25" t="str">
        <x:f>IF(J1028&gt;=5,"Sí","No")</x:f>
        <x:v>Sí</x:v>
      </x:c>
      <x:c r="N1028" s="25" t="str">
        <x:f>IF(J1028&gt;=6,"Sí","No")</x:f>
        <x:v>No</x:v>
      </x:c>
      <x:c r="O1028" s="25" t="str">
        <x:v>Pendiente: asignar con R/sf</x:v>
      </x:c>
    </x:row>
    <x:row r="1029">
      <x:c r="A1029" s="25" t="n">
        <x:v>1028</x:v>
      </x:c>
      <x:c r="B1029" s="26" t="n">
        <x:v>43718.24989583333</x:v>
      </x:c>
      <x:c r="C1029" s="27" t="n">
        <x:f>INT(B1029)</x:f>
        <x:v>43718</x:v>
      </x:c>
      <x:c r="D1029" s="28" t="n">
        <x:f>MOD(B1029,1)</x:f>
        <x:v>0.249895833330811</x:v>
      </x:c>
      <x:c r="E1029" s="29" t="n">
        <x:f>YEAR(B1029)</x:f>
        <x:v>2019</x:v>
      </x:c>
      <x:c r="F1029" s="29" t="n">
        <x:f>MONTH(B1029)</x:f>
        <x:v>9</x:v>
      </x:c>
      <x:c r="G1029" s="30" t="n">
        <x:v>-20.26</x:v>
      </x:c>
      <x:c r="H1029" s="30" t="n">
        <x:v>-70.24</x:v>
      </x:c>
      <x:c r="I1029" s="29" t="n">
        <x:v>40</x:v>
      </x:c>
      <x:c r="J1029" s="31" t="n">
        <x:v>3.1</x:v>
      </x:c>
      <x:c r="K1029" s="25" t="str">
        <x:f>IF(J1029&gt;=7,"Muy fuerte (&gt;=7)",IF(J1029&gt;=6,"Fuerte (6-6.9)",IF(J1029&gt;=5,"Moderado alto (5-5.9)",IF(J1029&gt;=4,"Moderado (4-4.9)","Menor a 4"))))</x:f>
        <x:v>Menor a 4</x:v>
      </x:c>
      <x:c r="L1029" s="25" t="str">
        <x:f>IF(I1029&lt;70,"Superficial (&lt;70 km)",IF(I1029&lt;=300,"Intermedio (70-300 km)","Profundo (&gt;300 km)"))</x:f>
        <x:v>Superficial (&lt;70 km)</x:v>
      </x:c>
      <x:c r="M1029" s="25" t="str">
        <x:f>IF(J1029&gt;=5,"Sí","No")</x:f>
        <x:v>No</x:v>
      </x:c>
      <x:c r="N1029" s="25" t="str">
        <x:f>IF(J1029&gt;=6,"Sí","No")</x:f>
        <x:v>No</x:v>
      </x:c>
      <x:c r="O1029" s="25" t="str">
        <x:v>Pendiente: asignar con R/sf</x:v>
      </x:c>
    </x:row>
    <x:row r="1030">
      <x:c r="A1030" s="25" t="n">
        <x:v>1029</x:v>
      </x:c>
      <x:c r="B1030" s="26" t="n">
        <x:v>44033.28454861111</x:v>
      </x:c>
      <x:c r="C1030" s="27" t="n">
        <x:f>INT(B1030)</x:f>
        <x:v>44033</x:v>
      </x:c>
      <x:c r="D1030" s="28" t="n">
        <x:f>MOD(B1030,1)</x:f>
        <x:v>0.2845486111109494</x:v>
      </x:c>
      <x:c r="E1030" s="29" t="n">
        <x:f>YEAR(B1030)</x:f>
        <x:v>2020</x:v>
      </x:c>
      <x:c r="F1030" s="29" t="n">
        <x:f>MONTH(B1030)</x:f>
        <x:v>7</x:v>
      </x:c>
      <x:c r="G1030" s="30" t="n">
        <x:v>-19.05</x:v>
      </x:c>
      <x:c r="H1030" s="30" t="n">
        <x:v>-69.46</x:v>
      </x:c>
      <x:c r="I1030" s="29" t="n">
        <x:v>102</x:v>
      </x:c>
      <x:c r="J1030" s="31" t="n">
        <x:v>4.5</x:v>
      </x:c>
      <x:c r="K1030" s="25" t="str">
        <x:f>IF(J1030&gt;=7,"Muy fuerte (&gt;=7)",IF(J1030&gt;=6,"Fuerte (6-6.9)",IF(J1030&gt;=5,"Moderado alto (5-5.9)",IF(J1030&gt;=4,"Moderado (4-4.9)","Menor a 4"))))</x:f>
        <x:v>Moderado (4-4.9)</x:v>
      </x:c>
      <x:c r="L1030" s="25" t="str">
        <x:f>IF(I1030&lt;70,"Superficial (&lt;70 km)",IF(I1030&lt;=300,"Intermedio (70-300 km)","Profundo (&gt;300 km)"))</x:f>
        <x:v>Intermedio (70-300 km)</x:v>
      </x:c>
      <x:c r="M1030" s="25" t="str">
        <x:f>IF(J1030&gt;=5,"Sí","No")</x:f>
        <x:v>No</x:v>
      </x:c>
      <x:c r="N1030" s="25" t="str">
        <x:f>IF(J1030&gt;=6,"Sí","No")</x:f>
        <x:v>No</x:v>
      </x:c>
      <x:c r="O1030" s="25" t="str">
        <x:v>Pendiente: asignar con R/sf</x:v>
      </x:c>
    </x:row>
    <x:row r="1031">
      <x:c r="A1031" s="25" t="n">
        <x:v>1030</x:v>
      </x:c>
      <x:c r="B1031" s="26" t="n">
        <x:v>43665.054456018515</x:v>
      </x:c>
      <x:c r="C1031" s="27" t="n">
        <x:f>INT(B1031)</x:f>
        <x:v>43665</x:v>
      </x:c>
      <x:c r="D1031" s="28" t="n">
        <x:f>MOD(B1031,1)</x:f>
        <x:v>0.054456018515338656</x:v>
      </x:c>
      <x:c r="E1031" s="29" t="n">
        <x:f>YEAR(B1031)</x:f>
        <x:v>2019</x:v>
      </x:c>
      <x:c r="F1031" s="29" t="n">
        <x:f>MONTH(B1031)</x:f>
        <x:v>7</x:v>
      </x:c>
      <x:c r="G1031" s="30" t="n">
        <x:v>-20.84</x:v>
      </x:c>
      <x:c r="H1031" s="30" t="n">
        <x:v>-67.59</x:v>
      </x:c>
      <x:c r="I1031" s="29" t="n">
        <x:v>223</x:v>
      </x:c>
      <x:c r="J1031" s="31" t="n">
        <x:v>5</x:v>
      </x:c>
      <x:c r="K1031" s="25" t="str">
        <x:f>IF(J1031&gt;=7,"Muy fuerte (&gt;=7)",IF(J1031&gt;=6,"Fuerte (6-6.9)",IF(J1031&gt;=5,"Moderado alto (5-5.9)",IF(J1031&gt;=4,"Moderado (4-4.9)","Menor a 4"))))</x:f>
        <x:v>Moderado alto (5-5.9)</x:v>
      </x:c>
      <x:c r="L1031" s="25" t="str">
        <x:f>IF(I1031&lt;70,"Superficial (&lt;70 km)",IF(I1031&lt;=300,"Intermedio (70-300 km)","Profundo (&gt;300 km)"))</x:f>
        <x:v>Intermedio (70-300 km)</x:v>
      </x:c>
      <x:c r="M1031" s="25" t="str">
        <x:f>IF(J1031&gt;=5,"Sí","No")</x:f>
        <x:v>Sí</x:v>
      </x:c>
      <x:c r="N1031" s="25" t="str">
        <x:f>IF(J1031&gt;=6,"Sí","No")</x:f>
        <x:v>No</x:v>
      </x:c>
      <x:c r="O1031" s="25" t="str">
        <x:v>Pendiente: asignar con R/sf</x:v>
      </x:c>
    </x:row>
    <x:row r="1032">
      <x:c r="A1032" s="25" t="n">
        <x:v>1031</x:v>
      </x:c>
      <x:c r="B1032" s="26" t="n">
        <x:v>44455.972662037035</x:v>
      </x:c>
      <x:c r="C1032" s="27" t="n">
        <x:f>INT(B1032)</x:f>
        <x:v>44455</x:v>
      </x:c>
      <x:c r="D1032" s="28" t="n">
        <x:f>MOD(B1032,1)</x:f>
        <x:v>0.9726620370347518</x:v>
      </x:c>
      <x:c r="E1032" s="29" t="n">
        <x:f>YEAR(B1032)</x:f>
        <x:v>2021</x:v>
      </x:c>
      <x:c r="F1032" s="29" t="n">
        <x:f>MONTH(B1032)</x:f>
        <x:v>9</x:v>
      </x:c>
      <x:c r="G1032" s="30" t="n">
        <x:v>-22.07</x:v>
      </x:c>
      <x:c r="H1032" s="30" t="n">
        <x:v>-70.36</x:v>
      </x:c>
      <x:c r="I1032" s="29" t="n">
        <x:v>30</x:v>
      </x:c>
      <x:c r="J1032" s="31" t="n">
        <x:v>3.8</x:v>
      </x:c>
      <x:c r="K1032" s="25" t="str">
        <x:f>IF(J1032&gt;=7,"Muy fuerte (&gt;=7)",IF(J1032&gt;=6,"Fuerte (6-6.9)",IF(J1032&gt;=5,"Moderado alto (5-5.9)",IF(J1032&gt;=4,"Moderado (4-4.9)","Menor a 4"))))</x:f>
        <x:v>Menor a 4</x:v>
      </x:c>
      <x:c r="L1032" s="25" t="str">
        <x:f>IF(I1032&lt;70,"Superficial (&lt;70 km)",IF(I1032&lt;=300,"Intermedio (70-300 km)","Profundo (&gt;300 km)"))</x:f>
        <x:v>Superficial (&lt;70 km)</x:v>
      </x:c>
      <x:c r="M1032" s="25" t="str">
        <x:f>IF(J1032&gt;=5,"Sí","No")</x:f>
        <x:v>No</x:v>
      </x:c>
      <x:c r="N1032" s="25" t="str">
        <x:f>IF(J1032&gt;=6,"Sí","No")</x:f>
        <x:v>No</x:v>
      </x:c>
      <x:c r="O1032" s="25" t="str">
        <x:v>Pendiente: asignar con R/sf</x:v>
      </x:c>
    </x:row>
    <x:row r="1033">
      <x:c r="A1033" s="25" t="n">
        <x:v>1032</x:v>
      </x:c>
      <x:c r="B1033" s="26" t="n">
        <x:v>44438.68508101852</x:v>
      </x:c>
      <x:c r="C1033" s="27" t="n">
        <x:f>INT(B1033)</x:f>
        <x:v>44438</x:v>
      </x:c>
      <x:c r="D1033" s="28" t="n">
        <x:f>MOD(B1033,1)</x:f>
        <x:v>0.6850810185205773</x:v>
      </x:c>
      <x:c r="E1033" s="29" t="n">
        <x:f>YEAR(B1033)</x:f>
        <x:v>2021</x:v>
      </x:c>
      <x:c r="F1033" s="29" t="n">
        <x:f>MONTH(B1033)</x:f>
        <x:v>8</x:v>
      </x:c>
      <x:c r="G1033" s="30" t="n">
        <x:v>-21.37</x:v>
      </x:c>
      <x:c r="H1033" s="30" t="n">
        <x:v>-69.8</x:v>
      </x:c>
      <x:c r="I1033" s="29" t="n">
        <x:v>51</x:v>
      </x:c>
      <x:c r="J1033" s="31" t="n">
        <x:v>4.1</x:v>
      </x:c>
      <x:c r="K1033" s="25" t="str">
        <x:f>IF(J1033&gt;=7,"Muy fuerte (&gt;=7)",IF(J1033&gt;=6,"Fuerte (6-6.9)",IF(J1033&gt;=5,"Moderado alto (5-5.9)",IF(J1033&gt;=4,"Moderado (4-4.9)","Menor a 4"))))</x:f>
        <x:v>Moderado (4-4.9)</x:v>
      </x:c>
      <x:c r="L1033" s="25" t="str">
        <x:f>IF(I1033&lt;70,"Superficial (&lt;70 km)",IF(I1033&lt;=300,"Intermedio (70-300 km)","Profundo (&gt;300 km)"))</x:f>
        <x:v>Superficial (&lt;70 km)</x:v>
      </x:c>
      <x:c r="M1033" s="25" t="str">
        <x:f>IF(J1033&gt;=5,"Sí","No")</x:f>
        <x:v>No</x:v>
      </x:c>
      <x:c r="N1033" s="25" t="str">
        <x:f>IF(J1033&gt;=6,"Sí","No")</x:f>
        <x:v>No</x:v>
      </x:c>
      <x:c r="O1033" s="25" t="str">
        <x:v>Pendiente: asignar con R/sf</x:v>
      </x:c>
    </x:row>
    <x:row r="1034">
      <x:c r="A1034" s="25" t="n">
        <x:v>1033</x:v>
      </x:c>
      <x:c r="B1034" s="26" t="n">
        <x:v>44320.91569444445</x:v>
      </x:c>
      <x:c r="C1034" s="27" t="n">
        <x:f>INT(B1034)</x:f>
        <x:v>44320</x:v>
      </x:c>
      <x:c r="D1034" s="28" t="n">
        <x:f>MOD(B1034,1)</x:f>
        <x:v>0.9156944444475812</x:v>
      </x:c>
      <x:c r="E1034" s="29" t="n">
        <x:f>YEAR(B1034)</x:f>
        <x:v>2021</x:v>
      </x:c>
      <x:c r="F1034" s="29" t="n">
        <x:f>MONTH(B1034)</x:f>
        <x:v>5</x:v>
      </x:c>
      <x:c r="G1034" s="30" t="n">
        <x:v>-20.65</x:v>
      </x:c>
      <x:c r="H1034" s="30" t="n">
        <x:v>-70.19</x:v>
      </x:c>
      <x:c r="I1034" s="29" t="n">
        <x:v>35</x:v>
      </x:c>
      <x:c r="J1034" s="31" t="n">
        <x:v>3.7</x:v>
      </x:c>
      <x:c r="K1034" s="25" t="str">
        <x:f>IF(J1034&gt;=7,"Muy fuerte (&gt;=7)",IF(J1034&gt;=6,"Fuerte (6-6.9)",IF(J1034&gt;=5,"Moderado alto (5-5.9)",IF(J1034&gt;=4,"Moderado (4-4.9)","Menor a 4"))))</x:f>
        <x:v>Menor a 4</x:v>
      </x:c>
      <x:c r="L1034" s="25" t="str">
        <x:f>IF(I1034&lt;70,"Superficial (&lt;70 km)",IF(I1034&lt;=300,"Intermedio (70-300 km)","Profundo (&gt;300 km)"))</x:f>
        <x:v>Superficial (&lt;70 km)</x:v>
      </x:c>
      <x:c r="M1034" s="25" t="str">
        <x:f>IF(J1034&gt;=5,"Sí","No")</x:f>
        <x:v>No</x:v>
      </x:c>
      <x:c r="N1034" s="25" t="str">
        <x:f>IF(J1034&gt;=6,"Sí","No")</x:f>
        <x:v>No</x:v>
      </x:c>
      <x:c r="O1034" s="25" t="str">
        <x:v>Pendiente: asignar con R/sf</x:v>
      </x:c>
    </x:row>
    <x:row r="1035">
      <x:c r="A1035" s="25" t="n">
        <x:v>1034</x:v>
      </x:c>
      <x:c r="B1035" s="26" t="n">
        <x:v>44408.64277777778</x:v>
      </x:c>
      <x:c r="C1035" s="27" t="n">
        <x:f>INT(B1035)</x:f>
        <x:v>44408</x:v>
      </x:c>
      <x:c r="D1035" s="28" t="n">
        <x:f>MOD(B1035,1)</x:f>
        <x:v>0.6427777777789743</x:v>
      </x:c>
      <x:c r="E1035" s="29" t="n">
        <x:f>YEAR(B1035)</x:f>
        <x:v>2021</x:v>
      </x:c>
      <x:c r="F1035" s="29" t="n">
        <x:f>MONTH(B1035)</x:f>
        <x:v>7</x:v>
      </x:c>
      <x:c r="G1035" s="30" t="n">
        <x:v>-20.38</x:v>
      </x:c>
      <x:c r="H1035" s="30" t="n">
        <x:v>-69.09</x:v>
      </x:c>
      <x:c r="I1035" s="29" t="n">
        <x:v>104</x:v>
      </x:c>
      <x:c r="J1035" s="31" t="n">
        <x:v>4</x:v>
      </x:c>
      <x:c r="K1035" s="25" t="str">
        <x:f>IF(J1035&gt;=7,"Muy fuerte (&gt;=7)",IF(J1035&gt;=6,"Fuerte (6-6.9)",IF(J1035&gt;=5,"Moderado alto (5-5.9)",IF(J1035&gt;=4,"Moderado (4-4.9)","Menor a 4"))))</x:f>
        <x:v>Moderado (4-4.9)</x:v>
      </x:c>
      <x:c r="L1035" s="25" t="str">
        <x:f>IF(I1035&lt;70,"Superficial (&lt;70 km)",IF(I1035&lt;=300,"Intermedio (70-300 km)","Profundo (&gt;300 km)"))</x:f>
        <x:v>Intermedio (70-300 km)</x:v>
      </x:c>
      <x:c r="M1035" s="25" t="str">
        <x:f>IF(J1035&gt;=5,"Sí","No")</x:f>
        <x:v>No</x:v>
      </x:c>
      <x:c r="N1035" s="25" t="str">
        <x:f>IF(J1035&gt;=6,"Sí","No")</x:f>
        <x:v>No</x:v>
      </x:c>
      <x:c r="O1035" s="25" t="str">
        <x:v>Pendiente: asignar con R/sf</x:v>
      </x:c>
    </x:row>
    <x:row r="1036">
      <x:c r="A1036" s="25" t="n">
        <x:v>1035</x:v>
      </x:c>
      <x:c r="B1036" s="26" t="n">
        <x:v>44410.498923611114</x:v>
      </x:c>
      <x:c r="C1036" s="27" t="n">
        <x:f>INT(B1036)</x:f>
        <x:v>44410</x:v>
      </x:c>
      <x:c r="D1036" s="28" t="n">
        <x:f>MOD(B1036,1)</x:f>
        <x:v>0.49892361111415084</x:v>
      </x:c>
      <x:c r="E1036" s="29" t="n">
        <x:f>YEAR(B1036)</x:f>
        <x:v>2021</x:v>
      </x:c>
      <x:c r="F1036" s="29" t="n">
        <x:f>MONTH(B1036)</x:f>
        <x:v>8</x:v>
      </x:c>
      <x:c r="G1036" s="30" t="n">
        <x:v>-21.06</x:v>
      </x:c>
      <x:c r="H1036" s="30" t="n">
        <x:v>-69.73</x:v>
      </x:c>
      <x:c r="I1036" s="29" t="n">
        <x:v>67</x:v>
      </x:c>
      <x:c r="J1036" s="31" t="n">
        <x:v>4.4</x:v>
      </x:c>
      <x:c r="K1036" s="25" t="str">
        <x:f>IF(J1036&gt;=7,"Muy fuerte (&gt;=7)",IF(J1036&gt;=6,"Fuerte (6-6.9)",IF(J1036&gt;=5,"Moderado alto (5-5.9)",IF(J1036&gt;=4,"Moderado (4-4.9)","Menor a 4"))))</x:f>
        <x:v>Moderado (4-4.9)</x:v>
      </x:c>
      <x:c r="L1036" s="25" t="str">
        <x:f>IF(I1036&lt;70,"Superficial (&lt;70 km)",IF(I1036&lt;=300,"Intermedio (70-300 km)","Profundo (&gt;300 km)"))</x:f>
        <x:v>Superficial (&lt;70 km)</x:v>
      </x:c>
      <x:c r="M1036" s="25" t="str">
        <x:f>IF(J1036&gt;=5,"Sí","No")</x:f>
        <x:v>No</x:v>
      </x:c>
      <x:c r="N1036" s="25" t="str">
        <x:f>IF(J1036&gt;=6,"Sí","No")</x:f>
        <x:v>No</x:v>
      </x:c>
      <x:c r="O1036" s="25" t="str">
        <x:v>Pendiente: asignar con R/sf</x:v>
      </x:c>
    </x:row>
    <x:row r="1037">
      <x:c r="A1037" s="25" t="n">
        <x:v>1036</x:v>
      </x:c>
      <x:c r="B1037" s="26" t="n">
        <x:v>44336.76938657407</x:v>
      </x:c>
      <x:c r="C1037" s="27" t="n">
        <x:f>INT(B1037)</x:f>
        <x:v>44336</x:v>
      </x:c>
      <x:c r="D1037" s="28" t="n">
        <x:f>MOD(B1037,1)</x:f>
        <x:v>0.7693865740729962</x:v>
      </x:c>
      <x:c r="E1037" s="29" t="n">
        <x:f>YEAR(B1037)</x:f>
        <x:v>2021</x:v>
      </x:c>
      <x:c r="F1037" s="29" t="n">
        <x:f>MONTH(B1037)</x:f>
        <x:v>5</x:v>
      </x:c>
      <x:c r="G1037" s="30" t="n">
        <x:v>-22.23</x:v>
      </x:c>
      <x:c r="H1037" s="30" t="n">
        <x:v>-68.67</x:v>
      </x:c>
      <x:c r="I1037" s="29" t="n">
        <x:v>119</x:v>
      </x:c>
      <x:c r="J1037" s="31" t="n">
        <x:v>5.1</x:v>
      </x:c>
      <x:c r="K1037" s="25" t="str">
        <x:f>IF(J1037&gt;=7,"Muy fuerte (&gt;=7)",IF(J1037&gt;=6,"Fuerte (6-6.9)",IF(J1037&gt;=5,"Moderado alto (5-5.9)",IF(J1037&gt;=4,"Moderado (4-4.9)","Menor a 4"))))</x:f>
        <x:v>Moderado alto (5-5.9)</x:v>
      </x:c>
      <x:c r="L1037" s="25" t="str">
        <x:f>IF(I1037&lt;70,"Superficial (&lt;70 km)",IF(I1037&lt;=300,"Intermedio (70-300 km)","Profundo (&gt;300 km)"))</x:f>
        <x:v>Intermedio (70-300 km)</x:v>
      </x:c>
      <x:c r="M1037" s="25" t="str">
        <x:f>IF(J1037&gt;=5,"Sí","No")</x:f>
        <x:v>Sí</x:v>
      </x:c>
      <x:c r="N1037" s="25" t="str">
        <x:f>IF(J1037&gt;=6,"Sí","No")</x:f>
        <x:v>No</x:v>
      </x:c>
      <x:c r="O1037" s="25" t="str">
        <x:v>Pendiente: asignar con R/sf</x:v>
      </x:c>
    </x:row>
    <x:row r="1038">
      <x:c r="A1038" s="25" t="n">
        <x:v>1037</x:v>
      </x:c>
      <x:c r="B1038" s="26" t="n">
        <x:v>44142.88613425926</x:v>
      </x:c>
      <x:c r="C1038" s="27" t="n">
        <x:f>INT(B1038)</x:f>
        <x:v>44142</x:v>
      </x:c>
      <x:c r="D1038" s="28" t="n">
        <x:f>MOD(B1038,1)</x:f>
        <x:v>0.8861342592572328</x:v>
      </x:c>
      <x:c r="E1038" s="29" t="n">
        <x:f>YEAR(B1038)</x:f>
        <x:v>2020</x:v>
      </x:c>
      <x:c r="F1038" s="29" t="n">
        <x:f>MONTH(B1038)</x:f>
        <x:v>11</x:v>
      </x:c>
      <x:c r="G1038" s="30" t="n">
        <x:v>-19.67</x:v>
      </x:c>
      <x:c r="H1038" s="30" t="n">
        <x:v>-70.23</x:v>
      </x:c>
      <x:c r="I1038" s="29" t="n">
        <x:v>70</x:v>
      </x:c>
      <x:c r="J1038" s="31" t="n">
        <x:v>3.7</x:v>
      </x:c>
      <x:c r="K1038" s="25" t="str">
        <x:f>IF(J1038&gt;=7,"Muy fuerte (&gt;=7)",IF(J1038&gt;=6,"Fuerte (6-6.9)",IF(J1038&gt;=5,"Moderado alto (5-5.9)",IF(J1038&gt;=4,"Moderado (4-4.9)","Menor a 4"))))</x:f>
        <x:v>Menor a 4</x:v>
      </x:c>
      <x:c r="L1038" s="25" t="str">
        <x:f>IF(I1038&lt;70,"Superficial (&lt;70 km)",IF(I1038&lt;=300,"Intermedio (70-300 km)","Profundo (&gt;300 km)"))</x:f>
        <x:v>Intermedio (70-300 km)</x:v>
      </x:c>
      <x:c r="M1038" s="25" t="str">
        <x:f>IF(J1038&gt;=5,"Sí","No")</x:f>
        <x:v>No</x:v>
      </x:c>
      <x:c r="N1038" s="25" t="str">
        <x:f>IF(J1038&gt;=6,"Sí","No")</x:f>
        <x:v>No</x:v>
      </x:c>
      <x:c r="O1038" s="25" t="str">
        <x:v>Pendiente: asignar con R/sf</x:v>
      </x:c>
    </x:row>
    <x:row r="1039">
      <x:c r="A1039" s="25" t="n">
        <x:v>1038</x:v>
      </x:c>
      <x:c r="B1039" s="26" t="n">
        <x:v>44168.30768518519</x:v>
      </x:c>
      <x:c r="C1039" s="27" t="n">
        <x:f>INT(B1039)</x:f>
        <x:v>44168</x:v>
      </x:c>
      <x:c r="D1039" s="28" t="n">
        <x:f>MOD(B1039,1)</x:f>
        <x:v>0.30768518518743804</x:v>
      </x:c>
      <x:c r="E1039" s="29" t="n">
        <x:f>YEAR(B1039)</x:f>
        <x:v>2020</x:v>
      </x:c>
      <x:c r="F1039" s="29" t="n">
        <x:f>MONTH(B1039)</x:f>
        <x:v>12</x:v>
      </x:c>
      <x:c r="G1039" s="30" t="n">
        <x:v>-20.45</x:v>
      </x:c>
      <x:c r="H1039" s="30" t="n">
        <x:v>-69.66</x:v>
      </x:c>
      <x:c r="I1039" s="29" t="n">
        <x:v>80</x:v>
      </x:c>
      <x:c r="J1039" s="31" t="n">
        <x:v>3.3</x:v>
      </x:c>
      <x:c r="K1039" s="25" t="str">
        <x:f>IF(J1039&gt;=7,"Muy fuerte (&gt;=7)",IF(J1039&gt;=6,"Fuerte (6-6.9)",IF(J1039&gt;=5,"Moderado alto (5-5.9)",IF(J1039&gt;=4,"Moderado (4-4.9)","Menor a 4"))))</x:f>
        <x:v>Menor a 4</x:v>
      </x:c>
      <x:c r="L1039" s="25" t="str">
        <x:f>IF(I1039&lt;70,"Superficial (&lt;70 km)",IF(I1039&lt;=300,"Intermedio (70-300 km)","Profundo (&gt;300 km)"))</x:f>
        <x:v>Intermedio (70-300 km)</x:v>
      </x:c>
      <x:c r="M1039" s="25" t="str">
        <x:f>IF(J1039&gt;=5,"Sí","No")</x:f>
        <x:v>No</x:v>
      </x:c>
      <x:c r="N1039" s="25" t="str">
        <x:f>IF(J1039&gt;=6,"Sí","No")</x:f>
        <x:v>No</x:v>
      </x:c>
      <x:c r="O1039" s="25" t="str">
        <x:v>Pendiente: asignar con R/sf</x:v>
      </x:c>
    </x:row>
    <x:row r="1040">
      <x:c r="A1040" s="25" t="n">
        <x:v>1039</x:v>
      </x:c>
      <x:c r="B1040" s="26" t="n">
        <x:v>44009.32828703704</x:v>
      </x:c>
      <x:c r="C1040" s="27" t="n">
        <x:f>INT(B1040)</x:f>
        <x:v>44009</x:v>
      </x:c>
      <x:c r="D1040" s="28" t="n">
        <x:f>MOD(B1040,1)</x:f>
        <x:v>0.32828703703853535</x:v>
      </x:c>
      <x:c r="E1040" s="29" t="n">
        <x:f>YEAR(B1040)</x:f>
        <x:v>2020</x:v>
      </x:c>
      <x:c r="F1040" s="29" t="n">
        <x:f>MONTH(B1040)</x:f>
        <x:v>6</x:v>
      </x:c>
      <x:c r="G1040" s="30" t="n">
        <x:v>-20.17</x:v>
      </x:c>
      <x:c r="H1040" s="30" t="n">
        <x:v>-70.73</x:v>
      </x:c>
      <x:c r="I1040" s="29" t="n">
        <x:v>37</x:v>
      </x:c>
      <x:c r="J1040" s="31" t="n">
        <x:v>5</x:v>
      </x:c>
      <x:c r="K1040" s="25" t="str">
        <x:f>IF(J1040&gt;=7,"Muy fuerte (&gt;=7)",IF(J1040&gt;=6,"Fuerte (6-6.9)",IF(J1040&gt;=5,"Moderado alto (5-5.9)",IF(J1040&gt;=4,"Moderado (4-4.9)","Menor a 4"))))</x:f>
        <x:v>Moderado alto (5-5.9)</x:v>
      </x:c>
      <x:c r="L1040" s="25" t="str">
        <x:f>IF(I1040&lt;70,"Superficial (&lt;70 km)",IF(I1040&lt;=300,"Intermedio (70-300 km)","Profundo (&gt;300 km)"))</x:f>
        <x:v>Superficial (&lt;70 km)</x:v>
      </x:c>
      <x:c r="M1040" s="25" t="str">
        <x:f>IF(J1040&gt;=5,"Sí","No")</x:f>
        <x:v>Sí</x:v>
      </x:c>
      <x:c r="N1040" s="25" t="str">
        <x:f>IF(J1040&gt;=6,"Sí","No")</x:f>
        <x:v>No</x:v>
      </x:c>
      <x:c r="O1040" s="25" t="str">
        <x:v>Pendiente: asignar con R/sf</x:v>
      </x:c>
    </x:row>
    <x:row r="1041">
      <x:c r="A1041" s="25" t="n">
        <x:v>1040</x:v>
      </x:c>
      <x:c r="B1041" s="26" t="n">
        <x:v>44129.886967592596</x:v>
      </x:c>
      <x:c r="C1041" s="27" t="n">
        <x:f>INT(B1041)</x:f>
        <x:v>44129</x:v>
      </x:c>
      <x:c r="D1041" s="28" t="n">
        <x:f>MOD(B1041,1)</x:f>
        <x:v>0.8869675925961928</x:v>
      </x:c>
      <x:c r="E1041" s="29" t="n">
        <x:f>YEAR(B1041)</x:f>
        <x:v>2020</x:v>
      </x:c>
      <x:c r="F1041" s="29" t="n">
        <x:f>MONTH(B1041)</x:f>
        <x:v>10</x:v>
      </x:c>
      <x:c r="G1041" s="30" t="n">
        <x:v>-19.97</x:v>
      </x:c>
      <x:c r="H1041" s="30" t="n">
        <x:v>-71.19</x:v>
      </x:c>
      <x:c r="I1041" s="29" t="n">
        <x:v>28</x:v>
      </x:c>
      <x:c r="J1041" s="31" t="n">
        <x:v>5.2</x:v>
      </x:c>
      <x:c r="K1041" s="25" t="str">
        <x:f>IF(J1041&gt;=7,"Muy fuerte (&gt;=7)",IF(J1041&gt;=6,"Fuerte (6-6.9)",IF(J1041&gt;=5,"Moderado alto (5-5.9)",IF(J1041&gt;=4,"Moderado (4-4.9)","Menor a 4"))))</x:f>
        <x:v>Moderado alto (5-5.9)</x:v>
      </x:c>
      <x:c r="L1041" s="25" t="str">
        <x:f>IF(I1041&lt;70,"Superficial (&lt;70 km)",IF(I1041&lt;=300,"Intermedio (70-300 km)","Profundo (&gt;300 km)"))</x:f>
        <x:v>Superficial (&lt;70 km)</x:v>
      </x:c>
      <x:c r="M1041" s="25" t="str">
        <x:f>IF(J1041&gt;=5,"Sí","No")</x:f>
        <x:v>Sí</x:v>
      </x:c>
      <x:c r="N1041" s="25" t="str">
        <x:f>IF(J1041&gt;=6,"Sí","No")</x:f>
        <x:v>No</x:v>
      </x:c>
      <x:c r="O1041" s="25" t="str">
        <x:v>Pendiente: asignar con R/sf</x:v>
      </x:c>
    </x:row>
    <x:row r="1042">
      <x:c r="A1042" s="25" t="n">
        <x:v>1041</x:v>
      </x:c>
      <x:c r="B1042" s="26" t="n">
        <x:v>44115.29599537037</x:v>
      </x:c>
      <x:c r="C1042" s="27" t="n">
        <x:f>INT(B1042)</x:f>
        <x:v>44115</x:v>
      </x:c>
      <x:c r="D1042" s="28" t="n">
        <x:f>MOD(B1042,1)</x:f>
        <x:v>0.29599537036847323</x:v>
      </x:c>
      <x:c r="E1042" s="29" t="n">
        <x:f>YEAR(B1042)</x:f>
        <x:v>2020</x:v>
      </x:c>
      <x:c r="F1042" s="29" t="n">
        <x:f>MONTH(B1042)</x:f>
        <x:v>10</x:v>
      </x:c>
      <x:c r="G1042" s="30" t="n">
        <x:v>-19.28</x:v>
      </x:c>
      <x:c r="H1042" s="30" t="n">
        <x:v>-70.14</x:v>
      </x:c>
      <x:c r="I1042" s="29" t="n">
        <x:v>56</x:v>
      </x:c>
      <x:c r="J1042" s="31" t="n">
        <x:v>3.8</x:v>
      </x:c>
      <x:c r="K1042" s="25" t="str">
        <x:f>IF(J1042&gt;=7,"Muy fuerte (&gt;=7)",IF(J1042&gt;=6,"Fuerte (6-6.9)",IF(J1042&gt;=5,"Moderado alto (5-5.9)",IF(J1042&gt;=4,"Moderado (4-4.9)","Menor a 4"))))</x:f>
        <x:v>Menor a 4</x:v>
      </x:c>
      <x:c r="L1042" s="25" t="str">
        <x:f>IF(I1042&lt;70,"Superficial (&lt;70 km)",IF(I1042&lt;=300,"Intermedio (70-300 km)","Profundo (&gt;300 km)"))</x:f>
        <x:v>Superficial (&lt;70 km)</x:v>
      </x:c>
      <x:c r="M1042" s="25" t="str">
        <x:f>IF(J1042&gt;=5,"Sí","No")</x:f>
        <x:v>No</x:v>
      </x:c>
      <x:c r="N1042" s="25" t="str">
        <x:f>IF(J1042&gt;=6,"Sí","No")</x:f>
        <x:v>No</x:v>
      </x:c>
      <x:c r="O1042" s="25" t="str">
        <x:v>Pendiente: asignar con R/sf</x:v>
      </x:c>
    </x:row>
    <x:row r="1043">
      <x:c r="A1043" s="25" t="n">
        <x:v>1042</x:v>
      </x:c>
      <x:c r="B1043" s="26" t="n">
        <x:v>44110.48112268518</x:v>
      </x:c>
      <x:c r="C1043" s="27" t="n">
        <x:f>INT(B1043)</x:f>
        <x:v>44110</x:v>
      </x:c>
      <x:c r="D1043" s="28" t="n">
        <x:f>MOD(B1043,1)</x:f>
        <x:v>0.48112268518161727</x:v>
      </x:c>
      <x:c r="E1043" s="29" t="n">
        <x:f>YEAR(B1043)</x:f>
        <x:v>2020</x:v>
      </x:c>
      <x:c r="F1043" s="29" t="n">
        <x:f>MONTH(B1043)</x:f>
        <x:v>10</x:v>
      </x:c>
      <x:c r="G1043" s="30" t="n">
        <x:v>-20.77</x:v>
      </x:c>
      <x:c r="H1043" s="30" t="n">
        <x:v>-70.08</x:v>
      </x:c>
      <x:c r="I1043" s="29" t="n">
        <x:v>48</x:v>
      </x:c>
      <x:c r="J1043" s="31" t="n">
        <x:v>3.4</x:v>
      </x:c>
      <x:c r="K1043" s="25" t="str">
        <x:f>IF(J1043&gt;=7,"Muy fuerte (&gt;=7)",IF(J1043&gt;=6,"Fuerte (6-6.9)",IF(J1043&gt;=5,"Moderado alto (5-5.9)",IF(J1043&gt;=4,"Moderado (4-4.9)","Menor a 4"))))</x:f>
        <x:v>Menor a 4</x:v>
      </x:c>
      <x:c r="L1043" s="25" t="str">
        <x:f>IF(I1043&lt;70,"Superficial (&lt;70 km)",IF(I1043&lt;=300,"Intermedio (70-300 km)","Profundo (&gt;300 km)"))</x:f>
        <x:v>Superficial (&lt;70 km)</x:v>
      </x:c>
      <x:c r="M1043" s="25" t="str">
        <x:f>IF(J1043&gt;=5,"Sí","No")</x:f>
        <x:v>No</x:v>
      </x:c>
      <x:c r="N1043" s="25" t="str">
        <x:f>IF(J1043&gt;=6,"Sí","No")</x:f>
        <x:v>No</x:v>
      </x:c>
      <x:c r="O1043" s="25" t="str">
        <x:v>Pendiente: asignar con R/sf</x:v>
      </x:c>
    </x:row>
    <x:row r="1044">
      <x:c r="A1044" s="25" t="n">
        <x:v>1043</x:v>
      </x:c>
      <x:c r="B1044" s="26" t="n">
        <x:v>43384.10313657407</x:v>
      </x:c>
      <x:c r="C1044" s="27" t="n">
        <x:f>INT(B1044)</x:f>
        <x:v>43384</x:v>
      </x:c>
      <x:c r="D1044" s="28" t="n">
        <x:f>MOD(B1044,1)</x:f>
        <x:v>0.10313657407095889</x:v>
      </x:c>
      <x:c r="E1044" s="29" t="n">
        <x:f>YEAR(B1044)</x:f>
        <x:v>2018</x:v>
      </x:c>
      <x:c r="F1044" s="29" t="n">
        <x:f>MONTH(B1044)</x:f>
        <x:v>10</x:v>
      </x:c>
      <x:c r="G1044" s="30" t="n">
        <x:v>-20.39</x:v>
      </x:c>
      <x:c r="H1044" s="30" t="n">
        <x:v>-69.93</x:v>
      </x:c>
      <x:c r="I1044" s="29" t="n">
        <x:v>55</x:v>
      </x:c>
      <x:c r="J1044" s="31" t="n">
        <x:v>3.3</x:v>
      </x:c>
      <x:c r="K1044" s="25" t="str">
        <x:f>IF(J1044&gt;=7,"Muy fuerte (&gt;=7)",IF(J1044&gt;=6,"Fuerte (6-6.9)",IF(J1044&gt;=5,"Moderado alto (5-5.9)",IF(J1044&gt;=4,"Moderado (4-4.9)","Menor a 4"))))</x:f>
        <x:v>Menor a 4</x:v>
      </x:c>
      <x:c r="L1044" s="25" t="str">
        <x:f>IF(I1044&lt;70,"Superficial (&lt;70 km)",IF(I1044&lt;=300,"Intermedio (70-300 km)","Profundo (&gt;300 km)"))</x:f>
        <x:v>Superficial (&lt;70 km)</x:v>
      </x:c>
      <x:c r="M1044" s="25" t="str">
        <x:f>IF(J1044&gt;=5,"Sí","No")</x:f>
        <x:v>No</x:v>
      </x:c>
      <x:c r="N1044" s="25" t="str">
        <x:f>IF(J1044&gt;=6,"Sí","No")</x:f>
        <x:v>No</x:v>
      </x:c>
      <x:c r="O1044" s="25" t="str">
        <x:v>Pendiente: asignar con R/sf</x:v>
      </x:c>
    </x:row>
    <x:row r="1045">
      <x:c r="A1045" s="25" t="n">
        <x:v>1044</x:v>
      </x:c>
      <x:c r="B1045" s="26" t="n">
        <x:v>44452.22096064815</x:v>
      </x:c>
      <x:c r="C1045" s="27" t="n">
        <x:f>INT(B1045)</x:f>
        <x:v>44452</x:v>
      </x:c>
      <x:c r="D1045" s="28" t="n">
        <x:f>MOD(B1045,1)</x:f>
        <x:v>0.22096064814832062</x:v>
      </x:c>
      <x:c r="E1045" s="29" t="n">
        <x:f>YEAR(B1045)</x:f>
        <x:v>2021</x:v>
      </x:c>
      <x:c r="F1045" s="29" t="n">
        <x:f>MONTH(B1045)</x:f>
        <x:v>9</x:v>
      </x:c>
      <x:c r="G1045" s="30" t="n">
        <x:v>-23.83</x:v>
      </x:c>
      <x:c r="H1045" s="30" t="n">
        <x:v>-67.46</x:v>
      </x:c>
      <x:c r="I1045" s="29" t="n">
        <x:v>257</x:v>
      </x:c>
      <x:c r="J1045" s="31" t="n">
        <x:v>6.4</x:v>
      </x:c>
      <x:c r="K1045" s="25" t="str">
        <x:f>IF(J1045&gt;=7,"Muy fuerte (&gt;=7)",IF(J1045&gt;=6,"Fuerte (6-6.9)",IF(J1045&gt;=5,"Moderado alto (5-5.9)",IF(J1045&gt;=4,"Moderado (4-4.9)","Menor a 4"))))</x:f>
        <x:v>Fuerte (6-6.9)</x:v>
      </x:c>
      <x:c r="L1045" s="25" t="str">
        <x:f>IF(I1045&lt;70,"Superficial (&lt;70 km)",IF(I1045&lt;=300,"Intermedio (70-300 km)","Profundo (&gt;300 km)"))</x:f>
        <x:v>Intermedio (70-300 km)</x:v>
      </x:c>
      <x:c r="M1045" s="25" t="str">
        <x:f>IF(J1045&gt;=5,"Sí","No")</x:f>
        <x:v>Sí</x:v>
      </x:c>
      <x:c r="N1045" s="25" t="str">
        <x:f>IF(J1045&gt;=6,"Sí","No")</x:f>
        <x:v>Sí</x:v>
      </x:c>
      <x:c r="O1045" s="25" t="str">
        <x:v>Pendiente: asignar con R/sf</x:v>
      </x:c>
    </x:row>
    <x:row r="1046">
      <x:c r="A1046" s="25" t="n">
        <x:v>1045</x:v>
      </x:c>
      <x:c r="B1046" s="26" t="n">
        <x:v>44263.72571759259</x:v>
      </x:c>
      <x:c r="C1046" s="27" t="n">
        <x:f>INT(B1046)</x:f>
        <x:v>44263</x:v>
      </x:c>
      <x:c r="D1046" s="28" t="n">
        <x:f>MOD(B1046,1)</x:f>
        <x:v>0.7257175925915362</x:v>
      </x:c>
      <x:c r="E1046" s="29" t="n">
        <x:f>YEAR(B1046)</x:f>
        <x:v>2021</x:v>
      </x:c>
      <x:c r="F1046" s="29" t="n">
        <x:f>MONTH(B1046)</x:f>
        <x:v>3</x:v>
      </x:c>
      <x:c r="G1046" s="30" t="n">
        <x:v>-20.78</x:v>
      </x:c>
      <x:c r="H1046" s="30" t="n">
        <x:v>-69.85</x:v>
      </x:c>
      <x:c r="I1046" s="29" t="n">
        <x:v>69</x:v>
      </x:c>
      <x:c r="J1046" s="31" t="n">
        <x:v>3.8</x:v>
      </x:c>
      <x:c r="K1046" s="25" t="str">
        <x:f>IF(J1046&gt;=7,"Muy fuerte (&gt;=7)",IF(J1046&gt;=6,"Fuerte (6-6.9)",IF(J1046&gt;=5,"Moderado alto (5-5.9)",IF(J1046&gt;=4,"Moderado (4-4.9)","Menor a 4"))))</x:f>
        <x:v>Menor a 4</x:v>
      </x:c>
      <x:c r="L1046" s="25" t="str">
        <x:f>IF(I1046&lt;70,"Superficial (&lt;70 km)",IF(I1046&lt;=300,"Intermedio (70-300 km)","Profundo (&gt;300 km)"))</x:f>
        <x:v>Superficial (&lt;70 km)</x:v>
      </x:c>
      <x:c r="M1046" s="25" t="str">
        <x:f>IF(J1046&gt;=5,"Sí","No")</x:f>
        <x:v>No</x:v>
      </x:c>
      <x:c r="N1046" s="25" t="str">
        <x:f>IF(J1046&gt;=6,"Sí","No")</x:f>
        <x:v>No</x:v>
      </x:c>
      <x:c r="O1046" s="25" t="str">
        <x:v>Pendiente: asignar con R/sf</x:v>
      </x:c>
    </x:row>
    <x:row r="1047">
      <x:c r="A1047" s="25" t="n">
        <x:v>1046</x:v>
      </x:c>
      <x:c r="B1047" s="26" t="n">
        <x:v>44175.545439814814</x:v>
      </x:c>
      <x:c r="C1047" s="27" t="n">
        <x:f>INT(B1047)</x:f>
        <x:v>44175</x:v>
      </x:c>
      <x:c r="D1047" s="28" t="n">
        <x:f>MOD(B1047,1)</x:f>
        <x:v>0.5454398148140172</x:v>
      </x:c>
      <x:c r="E1047" s="29" t="n">
        <x:f>YEAR(B1047)</x:f>
        <x:v>2020</x:v>
      </x:c>
      <x:c r="F1047" s="29" t="n">
        <x:f>MONTH(B1047)</x:f>
        <x:v>12</x:v>
      </x:c>
      <x:c r="G1047" s="30" t="n">
        <x:v>-20.59</x:v>
      </x:c>
      <x:c r="H1047" s="30" t="n">
        <x:v>-69.17</x:v>
      </x:c>
      <x:c r="I1047" s="29" t="n">
        <x:v>112</x:v>
      </x:c>
      <x:c r="J1047" s="31" t="n">
        <x:v>4.4</x:v>
      </x:c>
      <x:c r="K1047" s="25" t="str">
        <x:f>IF(J1047&gt;=7,"Muy fuerte (&gt;=7)",IF(J1047&gt;=6,"Fuerte (6-6.9)",IF(J1047&gt;=5,"Moderado alto (5-5.9)",IF(J1047&gt;=4,"Moderado (4-4.9)","Menor a 4"))))</x:f>
        <x:v>Moderado (4-4.9)</x:v>
      </x:c>
      <x:c r="L1047" s="25" t="str">
        <x:f>IF(I1047&lt;70,"Superficial (&lt;70 km)",IF(I1047&lt;=300,"Intermedio (70-300 km)","Profundo (&gt;300 km)"))</x:f>
        <x:v>Intermedio (70-300 km)</x:v>
      </x:c>
      <x:c r="M1047" s="25" t="str">
        <x:f>IF(J1047&gt;=5,"Sí","No")</x:f>
        <x:v>No</x:v>
      </x:c>
      <x:c r="N1047" s="25" t="str">
        <x:f>IF(J1047&gt;=6,"Sí","No")</x:f>
        <x:v>No</x:v>
      </x:c>
      <x:c r="O1047" s="25" t="str">
        <x:v>Pendiente: asignar con R/sf</x:v>
      </x:c>
    </x:row>
    <x:row r="1048">
      <x:c r="A1048" s="25" t="n">
        <x:v>1047</x:v>
      </x:c>
      <x:c r="B1048" s="26" t="n">
        <x:v>44179.01148148148</x:v>
      </x:c>
      <x:c r="C1048" s="27" t="n">
        <x:f>INT(B1048)</x:f>
        <x:v>44179</x:v>
      </x:c>
      <x:c r="D1048" s="28" t="n">
        <x:f>MOD(B1048,1)</x:f>
        <x:v>0.011481481480586808</x:v>
      </x:c>
      <x:c r="E1048" s="29" t="n">
        <x:f>YEAR(B1048)</x:f>
        <x:v>2020</x:v>
      </x:c>
      <x:c r="F1048" s="29" t="n">
        <x:f>MONTH(B1048)</x:f>
        <x:v>12</x:v>
      </x:c>
      <x:c r="G1048" s="30" t="n">
        <x:v>-20.81</x:v>
      </x:c>
      <x:c r="H1048" s="30" t="n">
        <x:v>-70.25</x:v>
      </x:c>
      <x:c r="I1048" s="29" t="n">
        <x:v>68</x:v>
      </x:c>
      <x:c r="J1048" s="31" t="n">
        <x:v>3.9</x:v>
      </x:c>
      <x:c r="K1048" s="25" t="str">
        <x:f>IF(J1048&gt;=7,"Muy fuerte (&gt;=7)",IF(J1048&gt;=6,"Fuerte (6-6.9)",IF(J1048&gt;=5,"Moderado alto (5-5.9)",IF(J1048&gt;=4,"Moderado (4-4.9)","Menor a 4"))))</x:f>
        <x:v>Menor a 4</x:v>
      </x:c>
      <x:c r="L1048" s="25" t="str">
        <x:f>IF(I1048&lt;70,"Superficial (&lt;70 km)",IF(I1048&lt;=300,"Intermedio (70-300 km)","Profundo (&gt;300 km)"))</x:f>
        <x:v>Superficial (&lt;70 km)</x:v>
      </x:c>
      <x:c r="M1048" s="25" t="str">
        <x:f>IF(J1048&gt;=5,"Sí","No")</x:f>
        <x:v>No</x:v>
      </x:c>
      <x:c r="N1048" s="25" t="str">
        <x:f>IF(J1048&gt;=6,"Sí","No")</x:f>
        <x:v>No</x:v>
      </x:c>
      <x:c r="O1048" s="25" t="str">
        <x:v>Pendiente: asignar con R/sf</x:v>
      </x:c>
    </x:row>
    <x:row r="1049">
      <x:c r="A1049" s="25" t="n">
        <x:v>1048</x:v>
      </x:c>
      <x:c r="B1049" s="26" t="n">
        <x:v>43978.146319444444</x:v>
      </x:c>
      <x:c r="C1049" s="27" t="n">
        <x:f>INT(B1049)</x:f>
        <x:v>43978</x:v>
      </x:c>
      <x:c r="D1049" s="28" t="n">
        <x:f>MOD(B1049,1)</x:f>
        <x:v>0.14631944444408873</x:v>
      </x:c>
      <x:c r="E1049" s="29" t="n">
        <x:f>YEAR(B1049)</x:f>
        <x:v>2020</x:v>
      </x:c>
      <x:c r="F1049" s="29" t="n">
        <x:f>MONTH(B1049)</x:f>
        <x:v>5</x:v>
      </x:c>
      <x:c r="G1049" s="30" t="n">
        <x:v>-19.26</x:v>
      </x:c>
      <x:c r="H1049" s="30" t="n">
        <x:v>-70.21</x:v>
      </x:c>
      <x:c r="I1049" s="29" t="n">
        <x:v>35</x:v>
      </x:c>
      <x:c r="J1049" s="31" t="n">
        <x:v>3.6</x:v>
      </x:c>
      <x:c r="K1049" s="25" t="str">
        <x:f>IF(J1049&gt;=7,"Muy fuerte (&gt;=7)",IF(J1049&gt;=6,"Fuerte (6-6.9)",IF(J1049&gt;=5,"Moderado alto (5-5.9)",IF(J1049&gt;=4,"Moderado (4-4.9)","Menor a 4"))))</x:f>
        <x:v>Menor a 4</x:v>
      </x:c>
      <x:c r="L1049" s="25" t="str">
        <x:f>IF(I1049&lt;70,"Superficial (&lt;70 km)",IF(I1049&lt;=300,"Intermedio (70-300 km)","Profundo (&gt;300 km)"))</x:f>
        <x:v>Superficial (&lt;70 km)</x:v>
      </x:c>
      <x:c r="M1049" s="25" t="str">
        <x:f>IF(J1049&gt;=5,"Sí","No")</x:f>
        <x:v>No</x:v>
      </x:c>
      <x:c r="N1049" s="25" t="str">
        <x:f>IF(J1049&gt;=6,"Sí","No")</x:f>
        <x:v>No</x:v>
      </x:c>
      <x:c r="O1049" s="25" t="str">
        <x:v>Pendiente: asignar con R/sf</x:v>
      </x:c>
    </x:row>
    <x:row r="1050">
      <x:c r="A1050" s="25" t="n">
        <x:v>1049</x:v>
      </x:c>
      <x:c r="B1050" s="26" t="n">
        <x:v>44283.38905092593</x:v>
      </x:c>
      <x:c r="C1050" s="27" t="n">
        <x:f>INT(B1050)</x:f>
        <x:v>44283</x:v>
      </x:c>
      <x:c r="D1050" s="28" t="n">
        <x:f>MOD(B1050,1)</x:f>
        <x:v>0.3890509259290411</x:v>
      </x:c>
      <x:c r="E1050" s="29" t="n">
        <x:f>YEAR(B1050)</x:f>
        <x:v>2021</x:v>
      </x:c>
      <x:c r="F1050" s="29" t="n">
        <x:f>MONTH(B1050)</x:f>
        <x:v>3</x:v>
      </x:c>
      <x:c r="G1050" s="30" t="n">
        <x:v>-20.19</x:v>
      </x:c>
      <x:c r="H1050" s="30" t="n">
        <x:v>-70.36</x:v>
      </x:c>
      <x:c r="I1050" s="29" t="n">
        <x:v>28</x:v>
      </x:c>
      <x:c r="J1050" s="31" t="n">
        <x:v>3.9</x:v>
      </x:c>
      <x:c r="K1050" s="25" t="str">
        <x:f>IF(J1050&gt;=7,"Muy fuerte (&gt;=7)",IF(J1050&gt;=6,"Fuerte (6-6.9)",IF(J1050&gt;=5,"Moderado alto (5-5.9)",IF(J1050&gt;=4,"Moderado (4-4.9)","Menor a 4"))))</x:f>
        <x:v>Menor a 4</x:v>
      </x:c>
      <x:c r="L1050" s="25" t="str">
        <x:f>IF(I1050&lt;70,"Superficial (&lt;70 km)",IF(I1050&lt;=300,"Intermedio (70-300 km)","Profundo (&gt;300 km)"))</x:f>
        <x:v>Superficial (&lt;70 km)</x:v>
      </x:c>
      <x:c r="M1050" s="25" t="str">
        <x:f>IF(J1050&gt;=5,"Sí","No")</x:f>
        <x:v>No</x:v>
      </x:c>
      <x:c r="N1050" s="25" t="str">
        <x:f>IF(J1050&gt;=6,"Sí","No")</x:f>
        <x:v>No</x:v>
      </x:c>
      <x:c r="O1050" s="25" t="str">
        <x:v>Pendiente: asignar con R/sf</x:v>
      </x:c>
    </x:row>
    <x:row r="1051">
      <x:c r="A1051" s="25" t="n">
        <x:v>1050</x:v>
      </x:c>
      <x:c r="B1051" s="26" t="n">
        <x:v>43359.593877314815</x:v>
      </x:c>
      <x:c r="C1051" s="27" t="n">
        <x:f>INT(B1051)</x:f>
        <x:v>43359</x:v>
      </x:c>
      <x:c r="D1051" s="28" t="n">
        <x:f>MOD(B1051,1)</x:f>
        <x:v>0.5938773148154723</x:v>
      </x:c>
      <x:c r="E1051" s="29" t="n">
        <x:f>YEAR(B1051)</x:f>
        <x:v>2018</x:v>
      </x:c>
      <x:c r="F1051" s="29" t="n">
        <x:f>MONTH(B1051)</x:f>
        <x:v>9</x:v>
      </x:c>
      <x:c r="G1051" s="30" t="n">
        <x:v>-20.39</x:v>
      </x:c>
      <x:c r="H1051" s="30" t="n">
        <x:v>-69.98</x:v>
      </x:c>
      <x:c r="I1051" s="29" t="n">
        <x:v>40</x:v>
      </x:c>
      <x:c r="J1051" s="31" t="n">
        <x:v>3.4</x:v>
      </x:c>
      <x:c r="K1051" s="25" t="str">
        <x:f>IF(J1051&gt;=7,"Muy fuerte (&gt;=7)",IF(J1051&gt;=6,"Fuerte (6-6.9)",IF(J1051&gt;=5,"Moderado alto (5-5.9)",IF(J1051&gt;=4,"Moderado (4-4.9)","Menor a 4"))))</x:f>
        <x:v>Menor a 4</x:v>
      </x:c>
      <x:c r="L1051" s="25" t="str">
        <x:f>IF(I1051&lt;70,"Superficial (&lt;70 km)",IF(I1051&lt;=300,"Intermedio (70-300 km)","Profundo (&gt;300 km)"))</x:f>
        <x:v>Superficial (&lt;70 km)</x:v>
      </x:c>
      <x:c r="M1051" s="25" t="str">
        <x:f>IF(J1051&gt;=5,"Sí","No")</x:f>
        <x:v>No</x:v>
      </x:c>
      <x:c r="N1051" s="25" t="str">
        <x:f>IF(J1051&gt;=6,"Sí","No")</x:f>
        <x:v>No</x:v>
      </x:c>
      <x:c r="O1051" s="25" t="str">
        <x:v>Pendiente: asignar con R/sf</x:v>
      </x:c>
    </x:row>
    <x:row r="1052">
      <x:c r="A1052" s="25" t="n">
        <x:v>1051</x:v>
      </x:c>
      <x:c r="B1052" s="26" t="n">
        <x:v>43934.40069444444</x:v>
      </x:c>
      <x:c r="C1052" s="27" t="n">
        <x:f>INT(B1052)</x:f>
        <x:v>43934</x:v>
      </x:c>
      <x:c r="D1052" s="28" t="n">
        <x:f>MOD(B1052,1)</x:f>
        <x:v>0.4006944444408873</x:v>
      </x:c>
      <x:c r="E1052" s="29" t="n">
        <x:f>YEAR(B1052)</x:f>
        <x:v>2020</x:v>
      </x:c>
      <x:c r="F1052" s="29" t="n">
        <x:f>MONTH(B1052)</x:f>
        <x:v>4</x:v>
      </x:c>
      <x:c r="G1052" s="30" t="n">
        <x:v>-19.3</x:v>
      </x:c>
      <x:c r="H1052" s="30" t="n">
        <x:v>-70.07</x:v>
      </x:c>
      <x:c r="I1052" s="29" t="n">
        <x:v>64</x:v>
      </x:c>
      <x:c r="J1052" s="31" t="n">
        <x:v>4.3</x:v>
      </x:c>
      <x:c r="K1052" s="25" t="str">
        <x:f>IF(J1052&gt;=7,"Muy fuerte (&gt;=7)",IF(J1052&gt;=6,"Fuerte (6-6.9)",IF(J1052&gt;=5,"Moderado alto (5-5.9)",IF(J1052&gt;=4,"Moderado (4-4.9)","Menor a 4"))))</x:f>
        <x:v>Moderado (4-4.9)</x:v>
      </x:c>
      <x:c r="L1052" s="25" t="str">
        <x:f>IF(I1052&lt;70,"Superficial (&lt;70 km)",IF(I1052&lt;=300,"Intermedio (70-300 km)","Profundo (&gt;300 km)"))</x:f>
        <x:v>Superficial (&lt;70 km)</x:v>
      </x:c>
      <x:c r="M1052" s="25" t="str">
        <x:f>IF(J1052&gt;=5,"Sí","No")</x:f>
        <x:v>No</x:v>
      </x:c>
      <x:c r="N1052" s="25" t="str">
        <x:f>IF(J1052&gt;=6,"Sí","No")</x:f>
        <x:v>No</x:v>
      </x:c>
      <x:c r="O1052" s="25" t="str">
        <x:v>Pendiente: asignar con R/sf</x:v>
      </x:c>
    </x:row>
    <x:row r="1053">
      <x:c r="A1053" s="25" t="n">
        <x:v>1052</x:v>
      </x:c>
      <x:c r="B1053" s="26" t="n">
        <x:v>43909.07740740741</x:v>
      </x:c>
      <x:c r="C1053" s="27" t="n">
        <x:f>INT(B1053)</x:f>
        <x:v>43909</x:v>
      </x:c>
      <x:c r="D1053" s="28" t="n">
        <x:f>MOD(B1053,1)</x:f>
        <x:v>0.07740740740700858</x:v>
      </x:c>
      <x:c r="E1053" s="29" t="n">
        <x:f>YEAR(B1053)</x:f>
        <x:v>2020</x:v>
      </x:c>
      <x:c r="F1053" s="29" t="n">
        <x:f>MONTH(B1053)</x:f>
        <x:v>3</x:v>
      </x:c>
      <x:c r="G1053" s="30" t="n">
        <x:v>-19.06</x:v>
      </x:c>
      <x:c r="H1053" s="30" t="n">
        <x:v>-70.04</x:v>
      </x:c>
      <x:c r="I1053" s="29" t="n">
        <x:v>74</x:v>
      </x:c>
      <x:c r="J1053" s="31" t="n">
        <x:v>3.9</x:v>
      </x:c>
      <x:c r="K1053" s="25" t="str">
        <x:f>IF(J1053&gt;=7,"Muy fuerte (&gt;=7)",IF(J1053&gt;=6,"Fuerte (6-6.9)",IF(J1053&gt;=5,"Moderado alto (5-5.9)",IF(J1053&gt;=4,"Moderado (4-4.9)","Menor a 4"))))</x:f>
        <x:v>Menor a 4</x:v>
      </x:c>
      <x:c r="L1053" s="25" t="str">
        <x:f>IF(I1053&lt;70,"Superficial (&lt;70 km)",IF(I1053&lt;=300,"Intermedio (70-300 km)","Profundo (&gt;300 km)"))</x:f>
        <x:v>Intermedio (70-300 km)</x:v>
      </x:c>
      <x:c r="M1053" s="25" t="str">
        <x:f>IF(J1053&gt;=5,"Sí","No")</x:f>
        <x:v>No</x:v>
      </x:c>
      <x:c r="N1053" s="25" t="str">
        <x:f>IF(J1053&gt;=6,"Sí","No")</x:f>
        <x:v>No</x:v>
      </x:c>
      <x:c r="O1053" s="25" t="str">
        <x:v>Pendiente: asignar con R/sf</x:v>
      </x:c>
    </x:row>
    <x:row r="1054">
      <x:c r="A1054" s="25" t="n">
        <x:v>1053</x:v>
      </x:c>
      <x:c r="B1054" s="26" t="n">
        <x:v>43551.34751157407</x:v>
      </x:c>
      <x:c r="C1054" s="27" t="n">
        <x:f>INT(B1054)</x:f>
        <x:v>43551</x:v>
      </x:c>
      <x:c r="D1054" s="28" t="n">
        <x:f>MOD(B1054,1)</x:f>
        <x:v>0.34751157407299615</x:v>
      </x:c>
      <x:c r="E1054" s="29" t="n">
        <x:f>YEAR(B1054)</x:f>
        <x:v>2019</x:v>
      </x:c>
      <x:c r="F1054" s="29" t="n">
        <x:f>MONTH(B1054)</x:f>
        <x:v>3</x:v>
      </x:c>
      <x:c r="G1054" s="30" t="n">
        <x:v>-19.9</x:v>
      </x:c>
      <x:c r="H1054" s="30" t="n">
        <x:v>-69.48</x:v>
      </x:c>
      <x:c r="I1054" s="29" t="n">
        <x:v>120</x:v>
      </x:c>
      <x:c r="J1054" s="31" t="n">
        <x:v>3.8</x:v>
      </x:c>
      <x:c r="K1054" s="25" t="str">
        <x:f>IF(J1054&gt;=7,"Muy fuerte (&gt;=7)",IF(J1054&gt;=6,"Fuerte (6-6.9)",IF(J1054&gt;=5,"Moderado alto (5-5.9)",IF(J1054&gt;=4,"Moderado (4-4.9)","Menor a 4"))))</x:f>
        <x:v>Menor a 4</x:v>
      </x:c>
      <x:c r="L1054" s="25" t="str">
        <x:f>IF(I1054&lt;70,"Superficial (&lt;70 km)",IF(I1054&lt;=300,"Intermedio (70-300 km)","Profundo (&gt;300 km)"))</x:f>
        <x:v>Intermedio (70-300 km)</x:v>
      </x:c>
      <x:c r="M1054" s="25" t="str">
        <x:f>IF(J1054&gt;=5,"Sí","No")</x:f>
        <x:v>No</x:v>
      </x:c>
      <x:c r="N1054" s="25" t="str">
        <x:f>IF(J1054&gt;=6,"Sí","No")</x:f>
        <x:v>No</x:v>
      </x:c>
      <x:c r="O1054" s="25" t="str">
        <x:v>Pendiente: asignar con R/sf</x:v>
      </x:c>
    </x:row>
    <x:row r="1055">
      <x:c r="A1055" s="25" t="n">
        <x:v>1054</x:v>
      </x:c>
      <x:c r="B1055" s="26" t="n">
        <x:v>44001.30050925926</x:v>
      </x:c>
      <x:c r="C1055" s="27" t="n">
        <x:f>INT(B1055)</x:f>
        <x:v>44001</x:v>
      </x:c>
      <x:c r="D1055" s="28" t="n">
        <x:f>MOD(B1055,1)</x:f>
        <x:v>0.3005092592575238</x:v>
      </x:c>
      <x:c r="E1055" s="29" t="n">
        <x:f>YEAR(B1055)</x:f>
        <x:v>2020</x:v>
      </x:c>
      <x:c r="F1055" s="29" t="n">
        <x:f>MONTH(B1055)</x:f>
        <x:v>6</x:v>
      </x:c>
      <x:c r="G1055" s="30" t="n">
        <x:v>-19.28</x:v>
      </x:c>
      <x:c r="H1055" s="30" t="n">
        <x:v>-70.14</x:v>
      </x:c>
      <x:c r="I1055" s="29" t="n">
        <x:v>52</x:v>
      </x:c>
      <x:c r="J1055" s="31" t="n">
        <x:v>3.8</x:v>
      </x:c>
      <x:c r="K1055" s="25" t="str">
        <x:f>IF(J1055&gt;=7,"Muy fuerte (&gt;=7)",IF(J1055&gt;=6,"Fuerte (6-6.9)",IF(J1055&gt;=5,"Moderado alto (5-5.9)",IF(J1055&gt;=4,"Moderado (4-4.9)","Menor a 4"))))</x:f>
        <x:v>Menor a 4</x:v>
      </x:c>
      <x:c r="L1055" s="25" t="str">
        <x:f>IF(I1055&lt;70,"Superficial (&lt;70 km)",IF(I1055&lt;=300,"Intermedio (70-300 km)","Profundo (&gt;300 km)"))</x:f>
        <x:v>Superficial (&lt;70 km)</x:v>
      </x:c>
      <x:c r="M1055" s="25" t="str">
        <x:f>IF(J1055&gt;=5,"Sí","No")</x:f>
        <x:v>No</x:v>
      </x:c>
      <x:c r="N1055" s="25" t="str">
        <x:f>IF(J1055&gt;=6,"Sí","No")</x:f>
        <x:v>No</x:v>
      </x:c>
      <x:c r="O1055" s="25" t="str">
        <x:v>Pendiente: asignar con R/sf</x:v>
      </x:c>
    </x:row>
    <x:row r="1056">
      <x:c r="A1056" s="25" t="n">
        <x:v>1055</x:v>
      </x:c>
      <x:c r="B1056" s="26" t="n">
        <x:v>44054.56800925926</x:v>
      </x:c>
      <x:c r="C1056" s="27" t="n">
        <x:f>INT(B1056)</x:f>
        <x:v>44054</x:v>
      </x:c>
      <x:c r="D1056" s="28" t="n">
        <x:f>MOD(B1056,1)</x:f>
        <x:v>0.56800925925927</x:v>
      </x:c>
      <x:c r="E1056" s="29" t="n">
        <x:f>YEAR(B1056)</x:f>
        <x:v>2020</x:v>
      </x:c>
      <x:c r="F1056" s="29" t="n">
        <x:f>MONTH(B1056)</x:f>
        <x:v>8</x:v>
      </x:c>
      <x:c r="G1056" s="30" t="n">
        <x:v>-19.4</x:v>
      </x:c>
      <x:c r="H1056" s="30" t="n">
        <x:v>-70.24</x:v>
      </x:c>
      <x:c r="I1056" s="29" t="n">
        <x:v>36</x:v>
      </x:c>
      <x:c r="J1056" s="31" t="n">
        <x:v>3.3</x:v>
      </x:c>
      <x:c r="K1056" s="25" t="str">
        <x:f>IF(J1056&gt;=7,"Muy fuerte (&gt;=7)",IF(J1056&gt;=6,"Fuerte (6-6.9)",IF(J1056&gt;=5,"Moderado alto (5-5.9)",IF(J1056&gt;=4,"Moderado (4-4.9)","Menor a 4"))))</x:f>
        <x:v>Menor a 4</x:v>
      </x:c>
      <x:c r="L1056" s="25" t="str">
        <x:f>IF(I1056&lt;70,"Superficial (&lt;70 km)",IF(I1056&lt;=300,"Intermedio (70-300 km)","Profundo (&gt;300 km)"))</x:f>
        <x:v>Superficial (&lt;70 km)</x:v>
      </x:c>
      <x:c r="M1056" s="25" t="str">
        <x:f>IF(J1056&gt;=5,"Sí","No")</x:f>
        <x:v>No</x:v>
      </x:c>
      <x:c r="N1056" s="25" t="str">
        <x:f>IF(J1056&gt;=6,"Sí","No")</x:f>
        <x:v>No</x:v>
      </x:c>
      <x:c r="O1056" s="25" t="str">
        <x:v>Pendiente: asignar con R/sf</x:v>
      </x:c>
    </x:row>
    <x:row r="1057">
      <x:c r="A1057" s="25" t="n">
        <x:v>1056</x:v>
      </x:c>
      <x:c r="B1057" s="26" t="n">
        <x:v>43974.96263888889</x:v>
      </x:c>
      <x:c r="C1057" s="27" t="n">
        <x:f>INT(B1057)</x:f>
        <x:v>43974</x:v>
      </x:c>
      <x:c r="D1057" s="28" t="n">
        <x:f>MOD(B1057,1)</x:f>
        <x:v>0.9626388888864312</x:v>
      </x:c>
      <x:c r="E1057" s="29" t="n">
        <x:f>YEAR(B1057)</x:f>
        <x:v>2020</x:v>
      </x:c>
      <x:c r="F1057" s="29" t="n">
        <x:f>MONTH(B1057)</x:f>
        <x:v>5</x:v>
      </x:c>
      <x:c r="G1057" s="30" t="n">
        <x:v>-19.55</x:v>
      </x:c>
      <x:c r="H1057" s="30" t="n">
        <x:v>-69.69</x:v>
      </x:c>
      <x:c r="I1057" s="29" t="n">
        <x:v>78</x:v>
      </x:c>
      <x:c r="J1057" s="31" t="n">
        <x:v>4</x:v>
      </x:c>
      <x:c r="K1057" s="25" t="str">
        <x:f>IF(J1057&gt;=7,"Muy fuerte (&gt;=7)",IF(J1057&gt;=6,"Fuerte (6-6.9)",IF(J1057&gt;=5,"Moderado alto (5-5.9)",IF(J1057&gt;=4,"Moderado (4-4.9)","Menor a 4"))))</x:f>
        <x:v>Moderado (4-4.9)</x:v>
      </x:c>
      <x:c r="L1057" s="25" t="str">
        <x:f>IF(I1057&lt;70,"Superficial (&lt;70 km)",IF(I1057&lt;=300,"Intermedio (70-300 km)","Profundo (&gt;300 km)"))</x:f>
        <x:v>Intermedio (70-300 km)</x:v>
      </x:c>
      <x:c r="M1057" s="25" t="str">
        <x:f>IF(J1057&gt;=5,"Sí","No")</x:f>
        <x:v>No</x:v>
      </x:c>
      <x:c r="N1057" s="25" t="str">
        <x:f>IF(J1057&gt;=6,"Sí","No")</x:f>
        <x:v>No</x:v>
      </x:c>
      <x:c r="O1057" s="25" t="str">
        <x:v>Pendiente: asignar con R/sf</x:v>
      </x:c>
    </x:row>
    <x:row r="1058">
      <x:c r="A1058" s="25" t="n">
        <x:v>1057</x:v>
      </x:c>
      <x:c r="B1058" s="26" t="n">
        <x:v>44127.090833333335</x:v>
      </x:c>
      <x:c r="C1058" s="27" t="n">
        <x:f>INT(B1058)</x:f>
        <x:v>44127</x:v>
      </x:c>
      <x:c r="D1058" s="28" t="n">
        <x:f>MOD(B1058,1)</x:f>
        <x:v>0.09083333333546761</x:v>
      </x:c>
      <x:c r="E1058" s="29" t="n">
        <x:f>YEAR(B1058)</x:f>
        <x:v>2020</x:v>
      </x:c>
      <x:c r="F1058" s="29" t="n">
        <x:f>MONTH(B1058)</x:f>
        <x:v>10</x:v>
      </x:c>
      <x:c r="G1058" s="30" t="n">
        <x:v>-25.52</x:v>
      </x:c>
      <x:c r="H1058" s="30" t="n">
        <x:v>-70.93</x:v>
      </x:c>
      <x:c r="I1058" s="29" t="n">
        <x:v>25</x:v>
      </x:c>
      <x:c r="J1058" s="31" t="n">
        <x:v>4.2</x:v>
      </x:c>
      <x:c r="K1058" s="25" t="str">
        <x:f>IF(J1058&gt;=7,"Muy fuerte (&gt;=7)",IF(J1058&gt;=6,"Fuerte (6-6.9)",IF(J1058&gt;=5,"Moderado alto (5-5.9)",IF(J1058&gt;=4,"Moderado (4-4.9)","Menor a 4"))))</x:f>
        <x:v>Moderado (4-4.9)</x:v>
      </x:c>
      <x:c r="L1058" s="25" t="str">
        <x:f>IF(I1058&lt;70,"Superficial (&lt;70 km)",IF(I1058&lt;=300,"Intermedio (70-300 km)","Profundo (&gt;300 km)"))</x:f>
        <x:v>Superficial (&lt;70 km)</x:v>
      </x:c>
      <x:c r="M1058" s="25" t="str">
        <x:f>IF(J1058&gt;=5,"Sí","No")</x:f>
        <x:v>No</x:v>
      </x:c>
      <x:c r="N1058" s="25" t="str">
        <x:f>IF(J1058&gt;=6,"Sí","No")</x:f>
        <x:v>No</x:v>
      </x:c>
      <x:c r="O1058" s="25" t="str">
        <x:v>Pendiente: asignar con R/sf</x:v>
      </x:c>
    </x:row>
    <x:row r="1059">
      <x:c r="A1059" s="25" t="n">
        <x:v>1058</x:v>
      </x:c>
      <x:c r="B1059" s="26" t="n">
        <x:v>43797.01614583333</x:v>
      </x:c>
      <x:c r="C1059" s="27" t="n">
        <x:f>INT(B1059)</x:f>
        <x:v>43797</x:v>
      </x:c>
      <x:c r="D1059" s="28" t="n">
        <x:f>MOD(B1059,1)</x:f>
        <x:v>0.016145833331393078</x:v>
      </x:c>
      <x:c r="E1059" s="29" t="n">
        <x:f>YEAR(B1059)</x:f>
        <x:v>2019</x:v>
      </x:c>
      <x:c r="F1059" s="29" t="n">
        <x:f>MONTH(B1059)</x:f>
        <x:v>11</x:v>
      </x:c>
      <x:c r="G1059" s="30" t="n">
        <x:v>-21.98</x:v>
      </x:c>
      <x:c r="H1059" s="30" t="n">
        <x:v>-70.4</x:v>
      </x:c>
      <x:c r="I1059" s="29" t="n">
        <x:v>35</x:v>
      </x:c>
      <x:c r="J1059" s="31" t="n">
        <x:v>3.9</x:v>
      </x:c>
      <x:c r="K1059" s="25" t="str">
        <x:f>IF(J1059&gt;=7,"Muy fuerte (&gt;=7)",IF(J1059&gt;=6,"Fuerte (6-6.9)",IF(J1059&gt;=5,"Moderado alto (5-5.9)",IF(J1059&gt;=4,"Moderado (4-4.9)","Menor a 4"))))</x:f>
        <x:v>Menor a 4</x:v>
      </x:c>
      <x:c r="L1059" s="25" t="str">
        <x:f>IF(I1059&lt;70,"Superficial (&lt;70 km)",IF(I1059&lt;=300,"Intermedio (70-300 km)","Profundo (&gt;300 km)"))</x:f>
        <x:v>Superficial (&lt;70 km)</x:v>
      </x:c>
      <x:c r="M1059" s="25" t="str">
        <x:f>IF(J1059&gt;=5,"Sí","No")</x:f>
        <x:v>No</x:v>
      </x:c>
      <x:c r="N1059" s="25" t="str">
        <x:f>IF(J1059&gt;=6,"Sí","No")</x:f>
        <x:v>No</x:v>
      </x:c>
      <x:c r="O1059" s="25" t="str">
        <x:v>Pendiente: asignar con R/sf</x:v>
      </x:c>
    </x:row>
    <x:row r="1060">
      <x:c r="A1060" s="25" t="n">
        <x:v>1059</x:v>
      </x:c>
      <x:c r="B1060" s="26" t="n">
        <x:v>44191.97760416667</x:v>
      </x:c>
      <x:c r="C1060" s="27" t="n">
        <x:f>INT(B1060)</x:f>
        <x:v>44191</x:v>
      </x:c>
      <x:c r="D1060" s="28" t="n">
        <x:f>MOD(B1060,1)</x:f>
        <x:v>0.9776041666700621</x:v>
      </x:c>
      <x:c r="E1060" s="29" t="n">
        <x:f>YEAR(B1060)</x:f>
        <x:v>2020</x:v>
      </x:c>
      <x:c r="F1060" s="29" t="n">
        <x:f>MONTH(B1060)</x:f>
        <x:v>12</x:v>
      </x:c>
      <x:c r="G1060" s="30" t="n">
        <x:v>-22.19</x:v>
      </x:c>
      <x:c r="H1060" s="30" t="n">
        <x:v>-70.2</x:v>
      </x:c>
      <x:c r="I1060" s="29" t="n">
        <x:v>32</x:v>
      </x:c>
      <x:c r="J1060" s="31" t="n">
        <x:v>3.7</x:v>
      </x:c>
      <x:c r="K1060" s="25" t="str">
        <x:f>IF(J1060&gt;=7,"Muy fuerte (&gt;=7)",IF(J1060&gt;=6,"Fuerte (6-6.9)",IF(J1060&gt;=5,"Moderado alto (5-5.9)",IF(J1060&gt;=4,"Moderado (4-4.9)","Menor a 4"))))</x:f>
        <x:v>Menor a 4</x:v>
      </x:c>
      <x:c r="L1060" s="25" t="str">
        <x:f>IF(I1060&lt;70,"Superficial (&lt;70 km)",IF(I1060&lt;=300,"Intermedio (70-300 km)","Profundo (&gt;300 km)"))</x:f>
        <x:v>Superficial (&lt;70 km)</x:v>
      </x:c>
      <x:c r="M1060" s="25" t="str">
        <x:f>IF(J1060&gt;=5,"Sí","No")</x:f>
        <x:v>No</x:v>
      </x:c>
      <x:c r="N1060" s="25" t="str">
        <x:f>IF(J1060&gt;=6,"Sí","No")</x:f>
        <x:v>No</x:v>
      </x:c>
      <x:c r="O1060" s="25" t="str">
        <x:v>Pendiente: asignar con R/sf</x:v>
      </x:c>
    </x:row>
    <x:row r="1061">
      <x:c r="A1061" s="25" t="n">
        <x:v>1060</x:v>
      </x:c>
      <x:c r="B1061" s="26" t="n">
        <x:v>44483.269224537034</x:v>
      </x:c>
      <x:c r="C1061" s="27" t="n">
        <x:f>INT(B1061)</x:f>
        <x:v>44483</x:v>
      </x:c>
      <x:c r="D1061" s="28" t="n">
        <x:f>MOD(B1061,1)</x:f>
        <x:v>0.2692245370344608</x:v>
      </x:c>
      <x:c r="E1061" s="29" t="n">
        <x:f>YEAR(B1061)</x:f>
        <x:v>2021</x:v>
      </x:c>
      <x:c r="F1061" s="29" t="n">
        <x:f>MONTH(B1061)</x:f>
        <x:v>10</x:v>
      </x:c>
      <x:c r="G1061" s="30" t="n">
        <x:v>-20.09</x:v>
      </x:c>
      <x:c r="H1061" s="30" t="n">
        <x:v>-70.12</x:v>
      </x:c>
      <x:c r="I1061" s="29" t="n">
        <x:v>55</x:v>
      </x:c>
      <x:c r="J1061" s="31" t="n">
        <x:v>3.6</x:v>
      </x:c>
      <x:c r="K1061" s="25" t="str">
        <x:f>IF(J1061&gt;=7,"Muy fuerte (&gt;=7)",IF(J1061&gt;=6,"Fuerte (6-6.9)",IF(J1061&gt;=5,"Moderado alto (5-5.9)",IF(J1061&gt;=4,"Moderado (4-4.9)","Menor a 4"))))</x:f>
        <x:v>Menor a 4</x:v>
      </x:c>
      <x:c r="L1061" s="25" t="str">
        <x:f>IF(I1061&lt;70,"Superficial (&lt;70 km)",IF(I1061&lt;=300,"Intermedio (70-300 km)","Profundo (&gt;300 km)"))</x:f>
        <x:v>Superficial (&lt;70 km)</x:v>
      </x:c>
      <x:c r="M1061" s="25" t="str">
        <x:f>IF(J1061&gt;=5,"Sí","No")</x:f>
        <x:v>No</x:v>
      </x:c>
      <x:c r="N1061" s="25" t="str">
        <x:f>IF(J1061&gt;=6,"Sí","No")</x:f>
        <x:v>No</x:v>
      </x:c>
      <x:c r="O1061" s="25" t="str">
        <x:v>Pendiente: asignar con R/sf</x:v>
      </x:c>
    </x:row>
    <x:row r="1062">
      <x:c r="A1062" s="25" t="n">
        <x:v>1061</x:v>
      </x:c>
      <x:c r="B1062" s="26" t="n">
        <x:v>44474.39115740741</x:v>
      </x:c>
      <x:c r="C1062" s="27" t="n">
        <x:f>INT(B1062)</x:f>
        <x:v>44474</x:v>
      </x:c>
      <x:c r="D1062" s="28" t="n">
        <x:f>MOD(B1062,1)</x:f>
        <x:v>0.39115740740817273</x:v>
      </x:c>
      <x:c r="E1062" s="29" t="n">
        <x:f>YEAR(B1062)</x:f>
        <x:v>2021</x:v>
      </x:c>
      <x:c r="F1062" s="29" t="n">
        <x:f>MONTH(B1062)</x:f>
        <x:v>10</x:v>
      </x:c>
      <x:c r="G1062" s="30" t="n">
        <x:v>-20.43</x:v>
      </x:c>
      <x:c r="H1062" s="30" t="n">
        <x:v>-69.94</x:v>
      </x:c>
      <x:c r="I1062" s="29" t="n">
        <x:v>87</x:v>
      </x:c>
      <x:c r="J1062" s="31" t="n">
        <x:v>3.9</x:v>
      </x:c>
      <x:c r="K1062" s="25" t="str">
        <x:f>IF(J1062&gt;=7,"Muy fuerte (&gt;=7)",IF(J1062&gt;=6,"Fuerte (6-6.9)",IF(J1062&gt;=5,"Moderado alto (5-5.9)",IF(J1062&gt;=4,"Moderado (4-4.9)","Menor a 4"))))</x:f>
        <x:v>Menor a 4</x:v>
      </x:c>
      <x:c r="L1062" s="25" t="str">
        <x:f>IF(I1062&lt;70,"Superficial (&lt;70 km)",IF(I1062&lt;=300,"Intermedio (70-300 km)","Profundo (&gt;300 km)"))</x:f>
        <x:v>Intermedio (70-300 km)</x:v>
      </x:c>
      <x:c r="M1062" s="25" t="str">
        <x:f>IF(J1062&gt;=5,"Sí","No")</x:f>
        <x:v>No</x:v>
      </x:c>
      <x:c r="N1062" s="25" t="str">
        <x:f>IF(J1062&gt;=6,"Sí","No")</x:f>
        <x:v>No</x:v>
      </x:c>
      <x:c r="O1062" s="25" t="str">
        <x:v>Pendiente: asignar con R/sf</x:v>
      </x:c>
    </x:row>
    <x:row r="1063">
      <x:c r="A1063" s="25" t="n">
        <x:v>1062</x:v>
      </x:c>
      <x:c r="B1063" s="26" t="n">
        <x:v>44180.32181712963</x:v>
      </x:c>
      <x:c r="C1063" s="27" t="n">
        <x:f>INT(B1063)</x:f>
        <x:v>44180</x:v>
      </x:c>
      <x:c r="D1063" s="28" t="n">
        <x:f>MOD(B1063,1)</x:f>
        <x:v>0.32181712963210884</x:v>
      </x:c>
      <x:c r="E1063" s="29" t="n">
        <x:f>YEAR(B1063)</x:f>
        <x:v>2020</x:v>
      </x:c>
      <x:c r="F1063" s="29" t="n">
        <x:f>MONTH(B1063)</x:f>
        <x:v>12</x:v>
      </x:c>
      <x:c r="G1063" s="30" t="n">
        <x:v>-25.68</x:v>
      </x:c>
      <x:c r="H1063" s="30" t="n">
        <x:v>-70.77</x:v>
      </x:c>
      <x:c r="I1063" s="29" t="n">
        <x:v>39</x:v>
      </x:c>
      <x:c r="J1063" s="31" t="n">
        <x:v>4.2</x:v>
      </x:c>
      <x:c r="K1063" s="25" t="str">
        <x:f>IF(J1063&gt;=7,"Muy fuerte (&gt;=7)",IF(J1063&gt;=6,"Fuerte (6-6.9)",IF(J1063&gt;=5,"Moderado alto (5-5.9)",IF(J1063&gt;=4,"Moderado (4-4.9)","Menor a 4"))))</x:f>
        <x:v>Moderado (4-4.9)</x:v>
      </x:c>
      <x:c r="L1063" s="25" t="str">
        <x:f>IF(I1063&lt;70,"Superficial (&lt;70 km)",IF(I1063&lt;=300,"Intermedio (70-300 km)","Profundo (&gt;300 km)"))</x:f>
        <x:v>Superficial (&lt;70 km)</x:v>
      </x:c>
      <x:c r="M1063" s="25" t="str">
        <x:f>IF(J1063&gt;=5,"Sí","No")</x:f>
        <x:v>No</x:v>
      </x:c>
      <x:c r="N1063" s="25" t="str">
        <x:f>IF(J1063&gt;=6,"Sí","No")</x:f>
        <x:v>No</x:v>
      </x:c>
      <x:c r="O1063" s="25" t="str">
        <x:v>Pendiente: asignar con R/sf</x:v>
      </x:c>
    </x:row>
    <x:row r="1064">
      <x:c r="A1064" s="25" t="n">
        <x:v>1063</x:v>
      </x:c>
      <x:c r="B1064" s="26" t="n">
        <x:v>44410.494097222225</x:v>
      </x:c>
      <x:c r="C1064" s="27" t="n">
        <x:f>INT(B1064)</x:f>
        <x:v>44410</x:v>
      </x:c>
      <x:c r="D1064" s="28" t="n">
        <x:f>MOD(B1064,1)</x:f>
        <x:v>0.49409722222480923</x:v>
      </x:c>
      <x:c r="E1064" s="29" t="n">
        <x:f>YEAR(B1064)</x:f>
        <x:v>2021</x:v>
      </x:c>
      <x:c r="F1064" s="29" t="n">
        <x:f>MONTH(B1064)</x:f>
        <x:v>8</x:v>
      </x:c>
      <x:c r="G1064" s="30" t="n">
        <x:v>-25.36</x:v>
      </x:c>
      <x:c r="H1064" s="30" t="n">
        <x:v>-70.42</x:v>
      </x:c>
      <x:c r="I1064" s="29" t="n">
        <x:v>72</x:v>
      </x:c>
      <x:c r="J1064" s="31" t="n">
        <x:v>4.4</x:v>
      </x:c>
      <x:c r="K1064" s="25" t="str">
        <x:f>IF(J1064&gt;=7,"Muy fuerte (&gt;=7)",IF(J1064&gt;=6,"Fuerte (6-6.9)",IF(J1064&gt;=5,"Moderado alto (5-5.9)",IF(J1064&gt;=4,"Moderado (4-4.9)","Menor a 4"))))</x:f>
        <x:v>Moderado (4-4.9)</x:v>
      </x:c>
      <x:c r="L1064" s="25" t="str">
        <x:f>IF(I1064&lt;70,"Superficial (&lt;70 km)",IF(I1064&lt;=300,"Intermedio (70-300 km)","Profundo (&gt;300 km)"))</x:f>
        <x:v>Intermedio (70-300 km)</x:v>
      </x:c>
      <x:c r="M1064" s="25" t="str">
        <x:f>IF(J1064&gt;=5,"Sí","No")</x:f>
        <x:v>No</x:v>
      </x:c>
      <x:c r="N1064" s="25" t="str">
        <x:f>IF(J1064&gt;=6,"Sí","No")</x:f>
        <x:v>No</x:v>
      </x:c>
      <x:c r="O1064" s="25" t="str">
        <x:v>Pendiente: asignar con R/sf</x:v>
      </x:c>
    </x:row>
    <x:row r="1065">
      <x:c r="A1065" s="25" t="n">
        <x:v>1064</x:v>
      </x:c>
      <x:c r="B1065" s="26" t="n">
        <x:v>44390.996724537035</x:v>
      </x:c>
      <x:c r="C1065" s="27" t="n">
        <x:f>INT(B1065)</x:f>
        <x:v>44390</x:v>
      </x:c>
      <x:c r="D1065" s="28" t="n">
        <x:f>MOD(B1065,1)</x:f>
        <x:v>0.9967245370353339</x:v>
      </x:c>
      <x:c r="E1065" s="29" t="n">
        <x:f>YEAR(B1065)</x:f>
        <x:v>2021</x:v>
      </x:c>
      <x:c r="F1065" s="29" t="n">
        <x:f>MONTH(B1065)</x:f>
        <x:v>7</x:v>
      </x:c>
      <x:c r="G1065" s="30" t="n">
        <x:v>-25.75</x:v>
      </x:c>
      <x:c r="H1065" s="30" t="n">
        <x:v>-69.09</x:v>
      </x:c>
      <x:c r="I1065" s="29" t="n">
        <x:v>137</x:v>
      </x:c>
      <x:c r="J1065" s="31" t="n">
        <x:v>5</x:v>
      </x:c>
      <x:c r="K1065" s="25" t="str">
        <x:f>IF(J1065&gt;=7,"Muy fuerte (&gt;=7)",IF(J1065&gt;=6,"Fuerte (6-6.9)",IF(J1065&gt;=5,"Moderado alto (5-5.9)",IF(J1065&gt;=4,"Moderado (4-4.9)","Menor a 4"))))</x:f>
        <x:v>Moderado alto (5-5.9)</x:v>
      </x:c>
      <x:c r="L1065" s="25" t="str">
        <x:f>IF(I1065&lt;70,"Superficial (&lt;70 km)",IF(I1065&lt;=300,"Intermedio (70-300 km)","Profundo (&gt;300 km)"))</x:f>
        <x:v>Intermedio (70-300 km)</x:v>
      </x:c>
      <x:c r="M1065" s="25" t="str">
        <x:f>IF(J1065&gt;=5,"Sí","No")</x:f>
        <x:v>Sí</x:v>
      </x:c>
      <x:c r="N1065" s="25" t="str">
        <x:f>IF(J1065&gt;=6,"Sí","No")</x:f>
        <x:v>No</x:v>
      </x:c>
      <x:c r="O1065" s="25" t="str">
        <x:v>Pendiente: asignar con R/sf</x:v>
      </x:c>
    </x:row>
    <x:row r="1066">
      <x:c r="A1066" s="25" t="n">
        <x:v>1065</x:v>
      </x:c>
      <x:c r="B1066" s="26" t="n">
        <x:v>44097.964849537035</x:v>
      </x:c>
      <x:c r="C1066" s="27" t="n">
        <x:f>INT(B1066)</x:f>
        <x:v>44097</x:v>
      </x:c>
      <x:c r="D1066" s="28" t="n">
        <x:f>MOD(B1066,1)</x:f>
        <x:v>0.9648495370347518</x:v>
      </x:c>
      <x:c r="E1066" s="29" t="n">
        <x:f>YEAR(B1066)</x:f>
        <x:v>2020</x:v>
      </x:c>
      <x:c r="F1066" s="29" t="n">
        <x:f>MONTH(B1066)</x:f>
        <x:v>9</x:v>
      </x:c>
      <x:c r="G1066" s="30" t="n">
        <x:v>-25.09</x:v>
      </x:c>
      <x:c r="H1066" s="30" t="n">
        <x:v>-70.83</x:v>
      </x:c>
      <x:c r="I1066" s="29" t="n">
        <x:v>40</x:v>
      </x:c>
      <x:c r="J1066" s="31" t="n">
        <x:v>4.1</x:v>
      </x:c>
      <x:c r="K1066" s="25" t="str">
        <x:f>IF(J1066&gt;=7,"Muy fuerte (&gt;=7)",IF(J1066&gt;=6,"Fuerte (6-6.9)",IF(J1066&gt;=5,"Moderado alto (5-5.9)",IF(J1066&gt;=4,"Moderado (4-4.9)","Menor a 4"))))</x:f>
        <x:v>Moderado (4-4.9)</x:v>
      </x:c>
      <x:c r="L1066" s="25" t="str">
        <x:f>IF(I1066&lt;70,"Superficial (&lt;70 km)",IF(I1066&lt;=300,"Intermedio (70-300 km)","Profundo (&gt;300 km)"))</x:f>
        <x:v>Superficial (&lt;70 km)</x:v>
      </x:c>
      <x:c r="M1066" s="25" t="str">
        <x:f>IF(J1066&gt;=5,"Sí","No")</x:f>
        <x:v>No</x:v>
      </x:c>
      <x:c r="N1066" s="25" t="str">
        <x:f>IF(J1066&gt;=6,"Sí","No")</x:f>
        <x:v>No</x:v>
      </x:c>
      <x:c r="O1066" s="25" t="str">
        <x:v>Pendiente: asignar con R/sf</x:v>
      </x:c>
    </x:row>
    <x:row r="1067">
      <x:c r="A1067" s="25" t="n">
        <x:v>1066</x:v>
      </x:c>
      <x:c r="B1067" s="26" t="n">
        <x:v>44469.84716435185</x:v>
      </x:c>
      <x:c r="C1067" s="27" t="n">
        <x:f>INT(B1067)</x:f>
        <x:v>44469</x:v>
      </x:c>
      <x:c r="D1067" s="28" t="n">
        <x:f>MOD(B1067,1)</x:f>
        <x:v>0.8471643518496421</x:v>
      </x:c>
      <x:c r="E1067" s="29" t="n">
        <x:f>YEAR(B1067)</x:f>
        <x:v>2021</x:v>
      </x:c>
      <x:c r="F1067" s="29" t="n">
        <x:f>MONTH(B1067)</x:f>
        <x:v>9</x:v>
      </x:c>
      <x:c r="G1067" s="30" t="n">
        <x:v>-19.33</x:v>
      </x:c>
      <x:c r="H1067" s="30" t="n">
        <x:v>-70.24</x:v>
      </x:c>
      <x:c r="I1067" s="29" t="n">
        <x:v>23</x:v>
      </x:c>
      <x:c r="J1067" s="31" t="n">
        <x:v>4.5</x:v>
      </x:c>
      <x:c r="K1067" s="25" t="str">
        <x:f>IF(J1067&gt;=7,"Muy fuerte (&gt;=7)",IF(J1067&gt;=6,"Fuerte (6-6.9)",IF(J1067&gt;=5,"Moderado alto (5-5.9)",IF(J1067&gt;=4,"Moderado (4-4.9)","Menor a 4"))))</x:f>
        <x:v>Moderado (4-4.9)</x:v>
      </x:c>
      <x:c r="L1067" s="25" t="str">
        <x:f>IF(I1067&lt;70,"Superficial (&lt;70 km)",IF(I1067&lt;=300,"Intermedio (70-300 km)","Profundo (&gt;300 km)"))</x:f>
        <x:v>Superficial (&lt;70 km)</x:v>
      </x:c>
      <x:c r="M1067" s="25" t="str">
        <x:f>IF(J1067&gt;=5,"Sí","No")</x:f>
        <x:v>No</x:v>
      </x:c>
      <x:c r="N1067" s="25" t="str">
        <x:f>IF(J1067&gt;=6,"Sí","No")</x:f>
        <x:v>No</x:v>
      </x:c>
      <x:c r="O1067" s="25" t="str">
        <x:v>Pendiente: asignar con R/sf</x:v>
      </x:c>
    </x:row>
    <x:row r="1068">
      <x:c r="A1068" s="25" t="n">
        <x:v>1067</x:v>
      </x:c>
      <x:c r="B1068" s="26" t="n">
        <x:v>44244.14271990741</x:v>
      </x:c>
      <x:c r="C1068" s="27" t="n">
        <x:f>INT(B1068)</x:f>
        <x:v>44244</x:v>
      </x:c>
      <x:c r="D1068" s="28" t="n">
        <x:f>MOD(B1068,1)</x:f>
        <x:v>0.14271990740962792</x:v>
      </x:c>
      <x:c r="E1068" s="29" t="n">
        <x:f>YEAR(B1068)</x:f>
        <x:v>2021</x:v>
      </x:c>
      <x:c r="F1068" s="29" t="n">
        <x:f>MONTH(B1068)</x:f>
        <x:v>2</x:v>
      </x:c>
      <x:c r="G1068" s="30" t="n">
        <x:v>-25.05</x:v>
      </x:c>
      <x:c r="H1068" s="30" t="n">
        <x:v>-70.97</x:v>
      </x:c>
      <x:c r="I1068" s="29" t="n">
        <x:v>42</x:v>
      </x:c>
      <x:c r="J1068" s="31" t="n">
        <x:v>4.4</x:v>
      </x:c>
      <x:c r="K1068" s="25" t="str">
        <x:f>IF(J1068&gt;=7,"Muy fuerte (&gt;=7)",IF(J1068&gt;=6,"Fuerte (6-6.9)",IF(J1068&gt;=5,"Moderado alto (5-5.9)",IF(J1068&gt;=4,"Moderado (4-4.9)","Menor a 4"))))</x:f>
        <x:v>Moderado (4-4.9)</x:v>
      </x:c>
      <x:c r="L1068" s="25" t="str">
        <x:f>IF(I1068&lt;70,"Superficial (&lt;70 km)",IF(I1068&lt;=300,"Intermedio (70-300 km)","Profundo (&gt;300 km)"))</x:f>
        <x:v>Superficial (&lt;70 km)</x:v>
      </x:c>
      <x:c r="M1068" s="25" t="str">
        <x:f>IF(J1068&gt;=5,"Sí","No")</x:f>
        <x:v>No</x:v>
      </x:c>
      <x:c r="N1068" s="25" t="str">
        <x:f>IF(J1068&gt;=6,"Sí","No")</x:f>
        <x:v>No</x:v>
      </x:c>
      <x:c r="O1068" s="25" t="str">
        <x:v>Pendiente: asignar con R/sf</x:v>
      </x:c>
    </x:row>
    <x:row r="1069">
      <x:c r="A1069" s="25" t="n">
        <x:v>1068</x:v>
      </x:c>
      <x:c r="B1069" s="26" t="n">
        <x:v>44140.320081018515</x:v>
      </x:c>
      <x:c r="C1069" s="27" t="n">
        <x:f>INT(B1069)</x:f>
        <x:v>44140</x:v>
      </x:c>
      <x:c r="D1069" s="28" t="n">
        <x:f>MOD(B1069,1)</x:f>
        <x:v>0.32008101851533866</x:v>
      </x:c>
      <x:c r="E1069" s="29" t="n">
        <x:f>YEAR(B1069)</x:f>
        <x:v>2020</x:v>
      </x:c>
      <x:c r="F1069" s="29" t="n">
        <x:f>MONTH(B1069)</x:f>
        <x:v>11</x:v>
      </x:c>
      <x:c r="G1069" s="30" t="n">
        <x:v>-25.47</x:v>
      </x:c>
      <x:c r="H1069" s="30" t="n">
        <x:v>-70.3</x:v>
      </x:c>
      <x:c r="I1069" s="29" t="n">
        <x:v>32</x:v>
      </x:c>
      <x:c r="J1069" s="31" t="n">
        <x:v>4.5</x:v>
      </x:c>
      <x:c r="K1069" s="25" t="str">
        <x:f>IF(J1069&gt;=7,"Muy fuerte (&gt;=7)",IF(J1069&gt;=6,"Fuerte (6-6.9)",IF(J1069&gt;=5,"Moderado alto (5-5.9)",IF(J1069&gt;=4,"Moderado (4-4.9)","Menor a 4"))))</x:f>
        <x:v>Moderado (4-4.9)</x:v>
      </x:c>
      <x:c r="L1069" s="25" t="str">
        <x:f>IF(I1069&lt;70,"Superficial (&lt;70 km)",IF(I1069&lt;=300,"Intermedio (70-300 km)","Profundo (&gt;300 km)"))</x:f>
        <x:v>Superficial (&lt;70 km)</x:v>
      </x:c>
      <x:c r="M1069" s="25" t="str">
        <x:f>IF(J1069&gt;=5,"Sí","No")</x:f>
        <x:v>No</x:v>
      </x:c>
      <x:c r="N1069" s="25" t="str">
        <x:f>IF(J1069&gt;=6,"Sí","No")</x:f>
        <x:v>No</x:v>
      </x:c>
      <x:c r="O1069" s="25" t="str">
        <x:v>Pendiente: asignar con R/sf</x:v>
      </x:c>
    </x:row>
    <x:row r="1070">
      <x:c r="A1070" s="25" t="n">
        <x:v>1069</x:v>
      </x:c>
      <x:c r="B1070" s="26" t="n">
        <x:v>44028.60925925926</x:v>
      </x:c>
      <x:c r="C1070" s="27" t="n">
        <x:f>INT(B1070)</x:f>
        <x:v>44028</x:v>
      </x:c>
      <x:c r="D1070" s="28" t="n">
        <x:f>MOD(B1070,1)</x:f>
        <x:v>0.6092592592613073</x:v>
      </x:c>
      <x:c r="E1070" s="29" t="n">
        <x:f>YEAR(B1070)</x:f>
        <x:v>2020</x:v>
      </x:c>
      <x:c r="F1070" s="29" t="n">
        <x:f>MONTH(B1070)</x:f>
        <x:v>7</x:v>
      </x:c>
      <x:c r="G1070" s="30" t="n">
        <x:v>-22.73</x:v>
      </x:c>
      <x:c r="H1070" s="30" t="n">
        <x:v>-70.17</x:v>
      </x:c>
      <x:c r="I1070" s="29" t="n">
        <x:v>70</x:v>
      </x:c>
      <x:c r="J1070" s="31" t="n">
        <x:v>4.1</x:v>
      </x:c>
      <x:c r="K1070" s="25" t="str">
        <x:f>IF(J1070&gt;=7,"Muy fuerte (&gt;=7)",IF(J1070&gt;=6,"Fuerte (6-6.9)",IF(J1070&gt;=5,"Moderado alto (5-5.9)",IF(J1070&gt;=4,"Moderado (4-4.9)","Menor a 4"))))</x:f>
        <x:v>Moderado (4-4.9)</x:v>
      </x:c>
      <x:c r="L1070" s="25" t="str">
        <x:f>IF(I1070&lt;70,"Superficial (&lt;70 km)",IF(I1070&lt;=300,"Intermedio (70-300 km)","Profundo (&gt;300 km)"))</x:f>
        <x:v>Intermedio (70-300 km)</x:v>
      </x:c>
      <x:c r="M1070" s="25" t="str">
        <x:f>IF(J1070&gt;=5,"Sí","No")</x:f>
        <x:v>No</x:v>
      </x:c>
      <x:c r="N1070" s="25" t="str">
        <x:f>IF(J1070&gt;=6,"Sí","No")</x:f>
        <x:v>No</x:v>
      </x:c>
      <x:c r="O1070" s="25" t="str">
        <x:v>Pendiente: asignar con R/sf</x:v>
      </x:c>
    </x:row>
    <x:row r="1071">
      <x:c r="A1071" s="25" t="n">
        <x:v>1070</x:v>
      </x:c>
      <x:c r="B1071" s="26" t="n">
        <x:v>44386.9109375</x:v>
      </x:c>
      <x:c r="C1071" s="27" t="n">
        <x:f>INT(B1071)</x:f>
        <x:v>44386</x:v>
      </x:c>
      <x:c r="D1071" s="28" t="n">
        <x:f>MOD(B1071,1)</x:f>
        <x:v>0.9109374999970896</x:v>
      </x:c>
      <x:c r="E1071" s="29" t="n">
        <x:f>YEAR(B1071)</x:f>
        <x:v>2021</x:v>
      </x:c>
      <x:c r="F1071" s="29" t="n">
        <x:f>MONTH(B1071)</x:f>
        <x:v>7</x:v>
      </x:c>
      <x:c r="G1071" s="30" t="n">
        <x:v>-25.76</x:v>
      </x:c>
      <x:c r="H1071" s="30" t="n">
        <x:v>-70.84</x:v>
      </x:c>
      <x:c r="I1071" s="29" t="n">
        <x:v>55</x:v>
      </x:c>
      <x:c r="J1071" s="31" t="n">
        <x:v>4.5</x:v>
      </x:c>
      <x:c r="K1071" s="25" t="str">
        <x:f>IF(J1071&gt;=7,"Muy fuerte (&gt;=7)",IF(J1071&gt;=6,"Fuerte (6-6.9)",IF(J1071&gt;=5,"Moderado alto (5-5.9)",IF(J1071&gt;=4,"Moderado (4-4.9)","Menor a 4"))))</x:f>
        <x:v>Moderado (4-4.9)</x:v>
      </x:c>
      <x:c r="L1071" s="25" t="str">
        <x:f>IF(I1071&lt;70,"Superficial (&lt;70 km)",IF(I1071&lt;=300,"Intermedio (70-300 km)","Profundo (&gt;300 km)"))</x:f>
        <x:v>Superficial (&lt;70 km)</x:v>
      </x:c>
      <x:c r="M1071" s="25" t="str">
        <x:f>IF(J1071&gt;=5,"Sí","No")</x:f>
        <x:v>No</x:v>
      </x:c>
      <x:c r="N1071" s="25" t="str">
        <x:f>IF(J1071&gt;=6,"Sí","No")</x:f>
        <x:v>No</x:v>
      </x:c>
      <x:c r="O1071" s="25" t="str">
        <x:v>Pendiente: asignar con R/sf</x:v>
      </x:c>
    </x:row>
    <x:row r="1072">
      <x:c r="A1072" s="25" t="n">
        <x:v>1071</x:v>
      </x:c>
      <x:c r="B1072" s="26" t="n">
        <x:v>44121.16186342593</x:v>
      </x:c>
      <x:c r="C1072" s="27" t="n">
        <x:f>INT(B1072)</x:f>
        <x:v>44121</x:v>
      </x:c>
      <x:c r="D1072" s="28" t="n">
        <x:f>MOD(B1072,1)</x:f>
        <x:v>0.16186342592845904</x:v>
      </x:c>
      <x:c r="E1072" s="29" t="n">
        <x:f>YEAR(B1072)</x:f>
        <x:v>2020</x:v>
      </x:c>
      <x:c r="F1072" s="29" t="n">
        <x:f>MONTH(B1072)</x:f>
        <x:v>10</x:v>
      </x:c>
      <x:c r="G1072" s="30" t="n">
        <x:v>-22.54</x:v>
      </x:c>
      <x:c r="H1072" s="30" t="n">
        <x:v>-70.42</x:v>
      </x:c>
      <x:c r="I1072" s="29" t="n">
        <x:v>29</x:v>
      </x:c>
      <x:c r="J1072" s="31" t="n">
        <x:v>4</x:v>
      </x:c>
      <x:c r="K1072" s="25" t="str">
        <x:f>IF(J1072&gt;=7,"Muy fuerte (&gt;=7)",IF(J1072&gt;=6,"Fuerte (6-6.9)",IF(J1072&gt;=5,"Moderado alto (5-5.9)",IF(J1072&gt;=4,"Moderado (4-4.9)","Menor a 4"))))</x:f>
        <x:v>Moderado (4-4.9)</x:v>
      </x:c>
      <x:c r="L1072" s="25" t="str">
        <x:f>IF(I1072&lt;70,"Superficial (&lt;70 km)",IF(I1072&lt;=300,"Intermedio (70-300 km)","Profundo (&gt;300 km)"))</x:f>
        <x:v>Superficial (&lt;70 km)</x:v>
      </x:c>
      <x:c r="M1072" s="25" t="str">
        <x:f>IF(J1072&gt;=5,"Sí","No")</x:f>
        <x:v>No</x:v>
      </x:c>
      <x:c r="N1072" s="25" t="str">
        <x:f>IF(J1072&gt;=6,"Sí","No")</x:f>
        <x:v>No</x:v>
      </x:c>
      <x:c r="O1072" s="25" t="str">
        <x:v>Pendiente: asignar con R/sf</x:v>
      </x:c>
    </x:row>
    <x:row r="1073">
      <x:c r="A1073" s="25" t="n">
        <x:v>1072</x:v>
      </x:c>
      <x:c r="B1073" s="26" t="n">
        <x:v>43996.72253472222</x:v>
      </x:c>
      <x:c r="C1073" s="27" t="n">
        <x:f>INT(B1073)</x:f>
        <x:v>43996</x:v>
      </x:c>
      <x:c r="D1073" s="28" t="n">
        <x:f>MOD(B1073,1)</x:f>
        <x:v>0.7225347222192795</x:v>
      </x:c>
      <x:c r="E1073" s="29" t="n">
        <x:f>YEAR(B1073)</x:f>
        <x:v>2020</x:v>
      </x:c>
      <x:c r="F1073" s="29" t="n">
        <x:f>MONTH(B1073)</x:f>
        <x:v>6</x:v>
      </x:c>
      <x:c r="G1073" s="30" t="n">
        <x:v>-25.56</x:v>
      </x:c>
      <x:c r="H1073" s="30" t="n">
        <x:v>-70.89</x:v>
      </x:c>
      <x:c r="I1073" s="29" t="n">
        <x:v>39</x:v>
      </x:c>
      <x:c r="J1073" s="31" t="n">
        <x:v>3.4</x:v>
      </x:c>
      <x:c r="K1073" s="25" t="str">
        <x:f>IF(J1073&gt;=7,"Muy fuerte (&gt;=7)",IF(J1073&gt;=6,"Fuerte (6-6.9)",IF(J1073&gt;=5,"Moderado alto (5-5.9)",IF(J1073&gt;=4,"Moderado (4-4.9)","Menor a 4"))))</x:f>
        <x:v>Menor a 4</x:v>
      </x:c>
      <x:c r="L1073" s="25" t="str">
        <x:f>IF(I1073&lt;70,"Superficial (&lt;70 km)",IF(I1073&lt;=300,"Intermedio (70-300 km)","Profundo (&gt;300 km)"))</x:f>
        <x:v>Superficial (&lt;70 km)</x:v>
      </x:c>
      <x:c r="M1073" s="25" t="str">
        <x:f>IF(J1073&gt;=5,"Sí","No")</x:f>
        <x:v>No</x:v>
      </x:c>
      <x:c r="N1073" s="25" t="str">
        <x:f>IF(J1073&gt;=6,"Sí","No")</x:f>
        <x:v>No</x:v>
      </x:c>
      <x:c r="O1073" s="25" t="str">
        <x:v>Pendiente: asignar con R/sf</x:v>
      </x:c>
    </x:row>
    <x:row r="1074">
      <x:c r="A1074" s="25" t="n">
        <x:v>1073</x:v>
      </x:c>
      <x:c r="B1074" s="26" t="n">
        <x:v>44170.438935185186</x:v>
      </x:c>
      <x:c r="C1074" s="27" t="n">
        <x:f>INT(B1074)</x:f>
        <x:v>44170</x:v>
      </x:c>
      <x:c r="D1074" s="28" t="n">
        <x:f>MOD(B1074,1)</x:f>
        <x:v>0.43893518518598285</x:v>
      </x:c>
      <x:c r="E1074" s="29" t="n">
        <x:f>YEAR(B1074)</x:f>
        <x:v>2020</x:v>
      </x:c>
      <x:c r="F1074" s="29" t="n">
        <x:f>MONTH(B1074)</x:f>
        <x:v>12</x:v>
      </x:c>
      <x:c r="G1074" s="30" t="n">
        <x:v>-22.39</x:v>
      </x:c>
      <x:c r="H1074" s="30" t="n">
        <x:v>-70.34</x:v>
      </x:c>
      <x:c r="I1074" s="29" t="n">
        <x:v>58</x:v>
      </x:c>
      <x:c r="J1074" s="31" t="n">
        <x:v>4.3</x:v>
      </x:c>
      <x:c r="K1074" s="25" t="str">
        <x:f>IF(J1074&gt;=7,"Muy fuerte (&gt;=7)",IF(J1074&gt;=6,"Fuerte (6-6.9)",IF(J1074&gt;=5,"Moderado alto (5-5.9)",IF(J1074&gt;=4,"Moderado (4-4.9)","Menor a 4"))))</x:f>
        <x:v>Moderado (4-4.9)</x:v>
      </x:c>
      <x:c r="L1074" s="25" t="str">
        <x:f>IF(I1074&lt;70,"Superficial (&lt;70 km)",IF(I1074&lt;=300,"Intermedio (70-300 km)","Profundo (&gt;300 km)"))</x:f>
        <x:v>Superficial (&lt;70 km)</x:v>
      </x:c>
      <x:c r="M1074" s="25" t="str">
        <x:f>IF(J1074&gt;=5,"Sí","No")</x:f>
        <x:v>No</x:v>
      </x:c>
      <x:c r="N1074" s="25" t="str">
        <x:f>IF(J1074&gt;=6,"Sí","No")</x:f>
        <x:v>No</x:v>
      </x:c>
      <x:c r="O1074" s="25" t="str">
        <x:v>Pendiente: asignar con R/sf</x:v>
      </x:c>
    </x:row>
    <x:row r="1075">
      <x:c r="A1075" s="25" t="n">
        <x:v>1074</x:v>
      </x:c>
      <x:c r="B1075" s="26" t="n">
        <x:v>44025.70260416667</x:v>
      </x:c>
      <x:c r="C1075" s="27" t="n">
        <x:f>INT(B1075)</x:f>
        <x:v>44025</x:v>
      </x:c>
      <x:c r="D1075" s="28" t="n">
        <x:f>MOD(B1075,1)</x:f>
        <x:v>0.7026041666686069</x:v>
      </x:c>
      <x:c r="E1075" s="29" t="n">
        <x:f>YEAR(B1075)</x:f>
        <x:v>2020</x:v>
      </x:c>
      <x:c r="F1075" s="29" t="n">
        <x:f>MONTH(B1075)</x:f>
        <x:v>7</x:v>
      </x:c>
      <x:c r="G1075" s="30" t="n">
        <x:v>-24.85</x:v>
      </x:c>
      <x:c r="H1075" s="30" t="n">
        <x:v>-70.2</x:v>
      </x:c>
      <x:c r="I1075" s="29" t="n">
        <x:v>47</x:v>
      </x:c>
      <x:c r="J1075" s="31" t="n">
        <x:v>4.5</x:v>
      </x:c>
      <x:c r="K1075" s="25" t="str">
        <x:f>IF(J1075&gt;=7,"Muy fuerte (&gt;=7)",IF(J1075&gt;=6,"Fuerte (6-6.9)",IF(J1075&gt;=5,"Moderado alto (5-5.9)",IF(J1075&gt;=4,"Moderado (4-4.9)","Menor a 4"))))</x:f>
        <x:v>Moderado (4-4.9)</x:v>
      </x:c>
      <x:c r="L1075" s="25" t="str">
        <x:f>IF(I1075&lt;70,"Superficial (&lt;70 km)",IF(I1075&lt;=300,"Intermedio (70-300 km)","Profundo (&gt;300 km)"))</x:f>
        <x:v>Superficial (&lt;70 km)</x:v>
      </x:c>
      <x:c r="M1075" s="25" t="str">
        <x:f>IF(J1075&gt;=5,"Sí","No")</x:f>
        <x:v>No</x:v>
      </x:c>
      <x:c r="N1075" s="25" t="str">
        <x:f>IF(J1075&gt;=6,"Sí","No")</x:f>
        <x:v>No</x:v>
      </x:c>
      <x:c r="O1075" s="25" t="str">
        <x:v>Pendiente: asignar con R/sf</x:v>
      </x:c>
    </x:row>
    <x:row r="1076">
      <x:c r="A1076" s="25" t="n">
        <x:v>1075</x:v>
      </x:c>
      <x:c r="B1076" s="26" t="n">
        <x:v>44265.0766087963</x:v>
      </x:c>
      <x:c r="C1076" s="27" t="n">
        <x:f>INT(B1076)</x:f>
        <x:v>44265</x:v>
      </x:c>
      <x:c r="D1076" s="28" t="n">
        <x:f>MOD(B1076,1)</x:f>
        <x:v>0.07660879629838746</x:v>
      </x:c>
      <x:c r="E1076" s="29" t="n">
        <x:f>YEAR(B1076)</x:f>
        <x:v>2021</x:v>
      </x:c>
      <x:c r="F1076" s="29" t="n">
        <x:f>MONTH(B1076)</x:f>
        <x:v>3</x:v>
      </x:c>
      <x:c r="G1076" s="30" t="n">
        <x:v>-25.27</x:v>
      </x:c>
      <x:c r="H1076" s="30" t="n">
        <x:v>-70.76</x:v>
      </x:c>
      <x:c r="I1076" s="29" t="n">
        <x:v>47</x:v>
      </x:c>
      <x:c r="J1076" s="31" t="n">
        <x:v>3.8</x:v>
      </x:c>
      <x:c r="K1076" s="25" t="str">
        <x:f>IF(J1076&gt;=7,"Muy fuerte (&gt;=7)",IF(J1076&gt;=6,"Fuerte (6-6.9)",IF(J1076&gt;=5,"Moderado alto (5-5.9)",IF(J1076&gt;=4,"Moderado (4-4.9)","Menor a 4"))))</x:f>
        <x:v>Menor a 4</x:v>
      </x:c>
      <x:c r="L1076" s="25" t="str">
        <x:f>IF(I1076&lt;70,"Superficial (&lt;70 km)",IF(I1076&lt;=300,"Intermedio (70-300 km)","Profundo (&gt;300 km)"))</x:f>
        <x:v>Superficial (&lt;70 km)</x:v>
      </x:c>
      <x:c r="M1076" s="25" t="str">
        <x:f>IF(J1076&gt;=5,"Sí","No")</x:f>
        <x:v>No</x:v>
      </x:c>
      <x:c r="N1076" s="25" t="str">
        <x:f>IF(J1076&gt;=6,"Sí","No")</x:f>
        <x:v>No</x:v>
      </x:c>
      <x:c r="O1076" s="25" t="str">
        <x:v>Pendiente: asignar con R/sf</x:v>
      </x:c>
    </x:row>
    <x:row r="1077">
      <x:c r="A1077" s="25" t="n">
        <x:v>1076</x:v>
      </x:c>
      <x:c r="B1077" s="26" t="n">
        <x:v>44032.85686342593</x:v>
      </x:c>
      <x:c r="C1077" s="27" t="n">
        <x:f>INT(B1077)</x:f>
        <x:v>44032</x:v>
      </x:c>
      <x:c r="D1077" s="28" t="n">
        <x:f>MOD(B1077,1)</x:f>
        <x:v>0.856863425928168</x:v>
      </x:c>
      <x:c r="E1077" s="29" t="n">
        <x:f>YEAR(B1077)</x:f>
        <x:v>2020</x:v>
      </x:c>
      <x:c r="F1077" s="29" t="n">
        <x:f>MONTH(B1077)</x:f>
        <x:v>7</x:v>
      </x:c>
      <x:c r="G1077" s="30" t="n">
        <x:v>-24.63</x:v>
      </x:c>
      <x:c r="H1077" s="30" t="n">
        <x:v>-70.28</x:v>
      </x:c>
      <x:c r="I1077" s="29" t="n">
        <x:v>49</x:v>
      </x:c>
      <x:c r="J1077" s="31" t="n">
        <x:v>4.5</x:v>
      </x:c>
      <x:c r="K1077" s="25" t="str">
        <x:f>IF(J1077&gt;=7,"Muy fuerte (&gt;=7)",IF(J1077&gt;=6,"Fuerte (6-6.9)",IF(J1077&gt;=5,"Moderado alto (5-5.9)",IF(J1077&gt;=4,"Moderado (4-4.9)","Menor a 4"))))</x:f>
        <x:v>Moderado (4-4.9)</x:v>
      </x:c>
      <x:c r="L1077" s="25" t="str">
        <x:f>IF(I1077&lt;70,"Superficial (&lt;70 km)",IF(I1077&lt;=300,"Intermedio (70-300 km)","Profundo (&gt;300 km)"))</x:f>
        <x:v>Superficial (&lt;70 km)</x:v>
      </x:c>
      <x:c r="M1077" s="25" t="str">
        <x:f>IF(J1077&gt;=5,"Sí","No")</x:f>
        <x:v>No</x:v>
      </x:c>
      <x:c r="N1077" s="25" t="str">
        <x:f>IF(J1077&gt;=6,"Sí","No")</x:f>
        <x:v>No</x:v>
      </x:c>
      <x:c r="O1077" s="25" t="str">
        <x:v>Pendiente: asignar con R/sf</x:v>
      </x:c>
    </x:row>
    <x:row r="1078">
      <x:c r="A1078" s="25" t="n">
        <x:v>1077</x:v>
      </x:c>
      <x:c r="B1078" s="26" t="n">
        <x:v>44167.65162037037</x:v>
      </x:c>
      <x:c r="C1078" s="27" t="n">
        <x:f>INT(B1078)</x:f>
        <x:v>44167</x:v>
      </x:c>
      <x:c r="D1078" s="28" t="n">
        <x:f>MOD(B1078,1)</x:f>
        <x:v>0.6516203703722567</x:v>
      </x:c>
      <x:c r="E1078" s="29" t="n">
        <x:f>YEAR(B1078)</x:f>
        <x:v>2020</x:v>
      </x:c>
      <x:c r="F1078" s="29" t="n">
        <x:f>MONTH(B1078)</x:f>
        <x:v>12</x:v>
      </x:c>
      <x:c r="G1078" s="30" t="n">
        <x:v>-25.89</x:v>
      </x:c>
      <x:c r="H1078" s="30" t="n">
        <x:v>-70.69</x:v>
      </x:c>
      <x:c r="I1078" s="29" t="n">
        <x:v>20</x:v>
      </x:c>
      <x:c r="J1078" s="31" t="n">
        <x:v>4.1</x:v>
      </x:c>
      <x:c r="K1078" s="25" t="str">
        <x:f>IF(J1078&gt;=7,"Muy fuerte (&gt;=7)",IF(J1078&gt;=6,"Fuerte (6-6.9)",IF(J1078&gt;=5,"Moderado alto (5-5.9)",IF(J1078&gt;=4,"Moderado (4-4.9)","Menor a 4"))))</x:f>
        <x:v>Moderado (4-4.9)</x:v>
      </x:c>
      <x:c r="L1078" s="25" t="str">
        <x:f>IF(I1078&lt;70,"Superficial (&lt;70 km)",IF(I1078&lt;=300,"Intermedio (70-300 km)","Profundo (&gt;300 km)"))</x:f>
        <x:v>Superficial (&lt;70 km)</x:v>
      </x:c>
      <x:c r="M1078" s="25" t="str">
        <x:f>IF(J1078&gt;=5,"Sí","No")</x:f>
        <x:v>No</x:v>
      </x:c>
      <x:c r="N1078" s="25" t="str">
        <x:f>IF(J1078&gt;=6,"Sí","No")</x:f>
        <x:v>No</x:v>
      </x:c>
      <x:c r="O1078" s="25" t="str">
        <x:v>Pendiente: asignar con R/sf</x:v>
      </x:c>
    </x:row>
    <x:row r="1079">
      <x:c r="A1079" s="25" t="n">
        <x:v>1078</x:v>
      </x:c>
      <x:c r="B1079" s="26" t="n">
        <x:v>44099.58678240741</x:v>
      </x:c>
      <x:c r="C1079" s="27" t="n">
        <x:f>INT(B1079)</x:f>
        <x:v>44099</x:v>
      </x:c>
      <x:c r="D1079" s="28" t="n">
        <x:f>MOD(B1079,1)</x:f>
        <x:v>0.5867824074084638</x:v>
      </x:c>
      <x:c r="E1079" s="29" t="n">
        <x:f>YEAR(B1079)</x:f>
        <x:v>2020</x:v>
      </x:c>
      <x:c r="F1079" s="29" t="n">
        <x:f>MONTH(B1079)</x:f>
        <x:v>9</x:v>
      </x:c>
      <x:c r="G1079" s="30" t="n">
        <x:v>-22.4</x:v>
      </x:c>
      <x:c r="H1079" s="30" t="n">
        <x:v>-69.52</x:v>
      </x:c>
      <x:c r="I1079" s="29" t="n">
        <x:v>81</x:v>
      </x:c>
      <x:c r="J1079" s="31" t="n">
        <x:v>4</x:v>
      </x:c>
      <x:c r="K1079" s="25" t="str">
        <x:f>IF(J1079&gt;=7,"Muy fuerte (&gt;=7)",IF(J1079&gt;=6,"Fuerte (6-6.9)",IF(J1079&gt;=5,"Moderado alto (5-5.9)",IF(J1079&gt;=4,"Moderado (4-4.9)","Menor a 4"))))</x:f>
        <x:v>Moderado (4-4.9)</x:v>
      </x:c>
      <x:c r="L1079" s="25" t="str">
        <x:f>IF(I1079&lt;70,"Superficial (&lt;70 km)",IF(I1079&lt;=300,"Intermedio (70-300 km)","Profundo (&gt;300 km)"))</x:f>
        <x:v>Intermedio (70-300 km)</x:v>
      </x:c>
      <x:c r="M1079" s="25" t="str">
        <x:f>IF(J1079&gt;=5,"Sí","No")</x:f>
        <x:v>No</x:v>
      </x:c>
      <x:c r="N1079" s="25" t="str">
        <x:f>IF(J1079&gt;=6,"Sí","No")</x:f>
        <x:v>No</x:v>
      </x:c>
      <x:c r="O1079" s="25" t="str">
        <x:v>Pendiente: asignar con R/sf</x:v>
      </x:c>
    </x:row>
    <x:row r="1080">
      <x:c r="A1080" s="25" t="n">
        <x:v>1079</x:v>
      </x:c>
      <x:c r="B1080" s="26" t="n">
        <x:v>44504.1794212963</x:v>
      </x:c>
      <x:c r="C1080" s="27" t="n">
        <x:f>INT(B1080)</x:f>
        <x:v>44504</x:v>
      </x:c>
      <x:c r="D1080" s="28" t="n">
        <x:f>MOD(B1080,1)</x:f>
        <x:v>0.1794212962995516</x:v>
      </x:c>
      <x:c r="E1080" s="29" t="n">
        <x:f>YEAR(B1080)</x:f>
        <x:v>2021</x:v>
      </x:c>
      <x:c r="F1080" s="29" t="n">
        <x:f>MONTH(B1080)</x:f>
        <x:v>11</x:v>
      </x:c>
      <x:c r="G1080" s="30" t="n">
        <x:v>-30.31</x:v>
      </x:c>
      <x:c r="H1080" s="30" t="n">
        <x:v>-71.22</x:v>
      </x:c>
      <x:c r="I1080" s="29" t="n">
        <x:v>52</x:v>
      </x:c>
      <x:c r="J1080" s="31" t="n">
        <x:v>5.2</x:v>
      </x:c>
      <x:c r="K1080" s="25" t="str">
        <x:f>IF(J1080&gt;=7,"Muy fuerte (&gt;=7)",IF(J1080&gt;=6,"Fuerte (6-6.9)",IF(J1080&gt;=5,"Moderado alto (5-5.9)",IF(J1080&gt;=4,"Moderado (4-4.9)","Menor a 4"))))</x:f>
        <x:v>Moderado alto (5-5.9)</x:v>
      </x:c>
      <x:c r="L1080" s="25" t="str">
        <x:f>IF(I1080&lt;70,"Superficial (&lt;70 km)",IF(I1080&lt;=300,"Intermedio (70-300 km)","Profundo (&gt;300 km)"))</x:f>
        <x:v>Superficial (&lt;70 km)</x:v>
      </x:c>
      <x:c r="M1080" s="25" t="str">
        <x:f>IF(J1080&gt;=5,"Sí","No")</x:f>
        <x:v>Sí</x:v>
      </x:c>
      <x:c r="N1080" s="25" t="str">
        <x:f>IF(J1080&gt;=6,"Sí","No")</x:f>
        <x:v>No</x:v>
      </x:c>
      <x:c r="O1080" s="25" t="str">
        <x:v>Pendiente: asignar con R/sf</x:v>
      </x:c>
    </x:row>
    <x:row r="1081">
      <x:c r="A1081" s="25" t="n">
        <x:v>1080</x:v>
      </x:c>
      <x:c r="B1081" s="26" t="n">
        <x:v>44513.011782407404</x:v>
      </x:c>
      <x:c r="C1081" s="27" t="n">
        <x:f>INT(B1081)</x:f>
        <x:v>44513</x:v>
      </x:c>
      <x:c r="D1081" s="28" t="n">
        <x:f>MOD(B1081,1)</x:f>
        <x:v>0.011782407404098194</x:v>
      </x:c>
      <x:c r="E1081" s="29" t="n">
        <x:f>YEAR(B1081)</x:f>
        <x:v>2021</x:v>
      </x:c>
      <x:c r="F1081" s="29" t="n">
        <x:f>MONTH(B1081)</x:f>
        <x:v>11</x:v>
      </x:c>
      <x:c r="G1081" s="30" t="n">
        <x:v>-22.14</x:v>
      </x:c>
      <x:c r="H1081" s="30" t="n">
        <x:v>-70.44</x:v>
      </x:c>
      <x:c r="I1081" s="29" t="n">
        <x:v>30</x:v>
      </x:c>
      <x:c r="J1081" s="31" t="n">
        <x:v>3.6</x:v>
      </x:c>
      <x:c r="K1081" s="25" t="str">
        <x:f>IF(J1081&gt;=7,"Muy fuerte (&gt;=7)",IF(J1081&gt;=6,"Fuerte (6-6.9)",IF(J1081&gt;=5,"Moderado alto (5-5.9)",IF(J1081&gt;=4,"Moderado (4-4.9)","Menor a 4"))))</x:f>
        <x:v>Menor a 4</x:v>
      </x:c>
      <x:c r="L1081" s="25" t="str">
        <x:f>IF(I1081&lt;70,"Superficial (&lt;70 km)",IF(I1081&lt;=300,"Intermedio (70-300 km)","Profundo (&gt;300 km)"))</x:f>
        <x:v>Superficial (&lt;70 km)</x:v>
      </x:c>
      <x:c r="M1081" s="25" t="str">
        <x:f>IF(J1081&gt;=5,"Sí","No")</x:f>
        <x:v>No</x:v>
      </x:c>
      <x:c r="N1081" s="25" t="str">
        <x:f>IF(J1081&gt;=6,"Sí","No")</x:f>
        <x:v>No</x:v>
      </x:c>
      <x:c r="O1081" s="25" t="str">
        <x:v>Pendiente: asignar con R/sf</x:v>
      </x:c>
    </x:row>
    <x:row r="1082">
      <x:c r="A1082" s="25" t="n">
        <x:v>1081</x:v>
      </x:c>
      <x:c r="B1082" s="26" t="n">
        <x:v>44503.137349537035</x:v>
      </x:c>
      <x:c r="C1082" s="27" t="n">
        <x:f>INT(B1082)</x:f>
        <x:v>44503</x:v>
      </x:c>
      <x:c r="D1082" s="28" t="n">
        <x:f>MOD(B1082,1)</x:f>
        <x:v>0.13734953703533392</x:v>
      </x:c>
      <x:c r="E1082" s="29" t="n">
        <x:f>YEAR(B1082)</x:f>
        <x:v>2021</x:v>
      </x:c>
      <x:c r="F1082" s="29" t="n">
        <x:f>MONTH(B1082)</x:f>
        <x:v>11</x:v>
      </x:c>
      <x:c r="G1082" s="30" t="n">
        <x:v>-32.66</x:v>
      </x:c>
      <x:c r="H1082" s="30" t="n">
        <x:v>-70.11</x:v>
      </x:c>
      <x:c r="I1082" s="29" t="n">
        <x:v>113</x:v>
      </x:c>
      <x:c r="J1082" s="31" t="n">
        <x:v>5.8</x:v>
      </x:c>
      <x:c r="K1082" s="25" t="str">
        <x:f>IF(J1082&gt;=7,"Muy fuerte (&gt;=7)",IF(J1082&gt;=6,"Fuerte (6-6.9)",IF(J1082&gt;=5,"Moderado alto (5-5.9)",IF(J1082&gt;=4,"Moderado (4-4.9)","Menor a 4"))))</x:f>
        <x:v>Moderado alto (5-5.9)</x:v>
      </x:c>
      <x:c r="L1082" s="25" t="str">
        <x:f>IF(I1082&lt;70,"Superficial (&lt;70 km)",IF(I1082&lt;=300,"Intermedio (70-300 km)","Profundo (&gt;300 km)"))</x:f>
        <x:v>Intermedio (70-300 km)</x:v>
      </x:c>
      <x:c r="M1082" s="25" t="str">
        <x:f>IF(J1082&gt;=5,"Sí","No")</x:f>
        <x:v>Sí</x:v>
      </x:c>
      <x:c r="N1082" s="25" t="str">
        <x:f>IF(J1082&gt;=6,"Sí","No")</x:f>
        <x:v>No</x:v>
      </x:c>
      <x:c r="O1082" s="25" t="str">
        <x:v>Pendiente: asignar con R/sf</x:v>
      </x:c>
    </x:row>
    <x:row r="1083">
      <x:c r="A1083" s="25" t="n">
        <x:v>1082</x:v>
      </x:c>
      <x:c r="B1083" s="26" t="n">
        <x:v>44518.59033564815</x:v>
      </x:c>
      <x:c r="C1083" s="27" t="n">
        <x:f>INT(B1083)</x:f>
        <x:v>44518</x:v>
      </x:c>
      <x:c r="D1083" s="28" t="n">
        <x:f>MOD(B1083,1)</x:f>
        <x:v>0.5903356481503579</x:v>
      </x:c>
      <x:c r="E1083" s="29" t="n">
        <x:f>YEAR(B1083)</x:f>
        <x:v>2021</x:v>
      </x:c>
      <x:c r="F1083" s="29" t="n">
        <x:f>MONTH(B1083)</x:f>
        <x:v>11</x:v>
      </x:c>
      <x:c r="G1083" s="30" t="n">
        <x:v>-20.93</x:v>
      </x:c>
      <x:c r="H1083" s="30" t="n">
        <x:v>-68.87</x:v>
      </x:c>
      <x:c r="I1083" s="29" t="n">
        <x:v>127</x:v>
      </x:c>
      <x:c r="J1083" s="31" t="n">
        <x:v>4.5</x:v>
      </x:c>
      <x:c r="K1083" s="25" t="str">
        <x:f>IF(J1083&gt;=7,"Muy fuerte (&gt;=7)",IF(J1083&gt;=6,"Fuerte (6-6.9)",IF(J1083&gt;=5,"Moderado alto (5-5.9)",IF(J1083&gt;=4,"Moderado (4-4.9)","Menor a 4"))))</x:f>
        <x:v>Moderado (4-4.9)</x:v>
      </x:c>
      <x:c r="L1083" s="25" t="str">
        <x:f>IF(I1083&lt;70,"Superficial (&lt;70 km)",IF(I1083&lt;=300,"Intermedio (70-300 km)","Profundo (&gt;300 km)"))</x:f>
        <x:v>Intermedio (70-300 km)</x:v>
      </x:c>
      <x:c r="M1083" s="25" t="str">
        <x:f>IF(J1083&gt;=5,"Sí","No")</x:f>
        <x:v>No</x:v>
      </x:c>
      <x:c r="N1083" s="25" t="str">
        <x:f>IF(J1083&gt;=6,"Sí","No")</x:f>
        <x:v>No</x:v>
      </x:c>
      <x:c r="O1083" s="25" t="str">
        <x:v>Pendiente: asignar con R/sf</x:v>
      </x:c>
    </x:row>
    <x:row r="1084">
      <x:c r="A1084" s="25" t="n">
        <x:v>1083</x:v>
      </x:c>
      <x:c r="B1084" s="26" t="n">
        <x:v>44524.96842592592</x:v>
      </x:c>
      <x:c r="C1084" s="27" t="n">
        <x:f>INT(B1084)</x:f>
        <x:v>44524</x:v>
      </x:c>
      <x:c r="D1084" s="28" t="n">
        <x:f>MOD(B1084,1)</x:f>
        <x:v>0.9684259259229293</x:v>
      </x:c>
      <x:c r="E1084" s="29" t="n">
        <x:f>YEAR(B1084)</x:f>
        <x:v>2021</x:v>
      </x:c>
      <x:c r="F1084" s="29" t="n">
        <x:f>MONTH(B1084)</x:f>
        <x:v>11</x:v>
      </x:c>
      <x:c r="G1084" s="30" t="n">
        <x:v>-20.52</x:v>
      </x:c>
      <x:c r="H1084" s="30" t="n">
        <x:v>-69.18</x:v>
      </x:c>
      <x:c r="I1084" s="29" t="n">
        <x:v>98</x:v>
      </x:c>
      <x:c r="J1084" s="31" t="n">
        <x:v>4.9</x:v>
      </x:c>
      <x:c r="K1084" s="25" t="str">
        <x:f>IF(J1084&gt;=7,"Muy fuerte (&gt;=7)",IF(J1084&gt;=6,"Fuerte (6-6.9)",IF(J1084&gt;=5,"Moderado alto (5-5.9)",IF(J1084&gt;=4,"Moderado (4-4.9)","Menor a 4"))))</x:f>
        <x:v>Moderado (4-4.9)</x:v>
      </x:c>
      <x:c r="L1084" s="25" t="str">
        <x:f>IF(I1084&lt;70,"Superficial (&lt;70 km)",IF(I1084&lt;=300,"Intermedio (70-300 km)","Profundo (&gt;300 km)"))</x:f>
        <x:v>Intermedio (70-300 km)</x:v>
      </x:c>
      <x:c r="M1084" s="25" t="str">
        <x:f>IF(J1084&gt;=5,"Sí","No")</x:f>
        <x:v>No</x:v>
      </x:c>
      <x:c r="N1084" s="25" t="str">
        <x:f>IF(J1084&gt;=6,"Sí","No")</x:f>
        <x:v>No</x:v>
      </x:c>
      <x:c r="O1084" s="25" t="str">
        <x:v>Pendiente: asignar con R/sf</x:v>
      </x:c>
    </x:row>
    <x:row r="1085">
      <x:c r="A1085" s="25" t="n">
        <x:v>1084</x:v>
      </x:c>
      <x:c r="B1085" s="26" t="n">
        <x:v>44241.493784722225</x:v>
      </x:c>
      <x:c r="C1085" s="27" t="n">
        <x:f>INT(B1085)</x:f>
        <x:v>44241</x:v>
      </x:c>
      <x:c r="D1085" s="28" t="n">
        <x:f>MOD(B1085,1)</x:f>
        <x:v>0.4937847222245182</x:v>
      </x:c>
      <x:c r="E1085" s="29" t="n">
        <x:f>YEAR(B1085)</x:f>
        <x:v>2021</x:v>
      </x:c>
      <x:c r="F1085" s="29" t="n">
        <x:f>MONTH(B1085)</x:f>
        <x:v>2</x:v>
      </x:c>
      <x:c r="G1085" s="30" t="n">
        <x:v>-39.8</x:v>
      </x:c>
      <x:c r="H1085" s="30" t="n">
        <x:v>-71.94</x:v>
      </x:c>
      <x:c r="I1085" s="29" t="n">
        <x:v>8</x:v>
      </x:c>
      <x:c r="J1085" s="31" t="n">
        <x:v>3.8</x:v>
      </x:c>
      <x:c r="K1085" s="25" t="str">
        <x:f>IF(J1085&gt;=7,"Muy fuerte (&gt;=7)",IF(J1085&gt;=6,"Fuerte (6-6.9)",IF(J1085&gt;=5,"Moderado alto (5-5.9)",IF(J1085&gt;=4,"Moderado (4-4.9)","Menor a 4"))))</x:f>
        <x:v>Menor a 4</x:v>
      </x:c>
      <x:c r="L1085" s="25" t="str">
        <x:f>IF(I1085&lt;70,"Superficial (&lt;70 km)",IF(I1085&lt;=300,"Intermedio (70-300 km)","Profundo (&gt;300 km)"))</x:f>
        <x:v>Superficial (&lt;70 km)</x:v>
      </x:c>
      <x:c r="M1085" s="25" t="str">
        <x:f>IF(J1085&gt;=5,"Sí","No")</x:f>
        <x:v>No</x:v>
      </x:c>
      <x:c r="N1085" s="25" t="str">
        <x:f>IF(J1085&gt;=6,"Sí","No")</x:f>
        <x:v>No</x:v>
      </x:c>
      <x:c r="O1085" s="25" t="str">
        <x:v>Pendiente: asignar con R/sf</x:v>
      </x:c>
    </x:row>
    <x:row r="1086">
      <x:c r="A1086" s="25" t="n">
        <x:v>1085</x:v>
      </x:c>
      <x:c r="B1086" s="26" t="n">
        <x:v>44531.19403935185</x:v>
      </x:c>
      <x:c r="C1086" s="27" t="n">
        <x:f>INT(B1086)</x:f>
        <x:v>44531</x:v>
      </x:c>
      <x:c r="D1086" s="28" t="n">
        <x:f>MOD(B1086,1)</x:f>
        <x:v>0.1940393518525525</x:v>
      </x:c>
      <x:c r="E1086" s="29" t="n">
        <x:f>YEAR(B1086)</x:f>
        <x:v>2021</x:v>
      </x:c>
      <x:c r="F1086" s="29" t="n">
        <x:f>MONTH(B1086)</x:f>
        <x:v>12</x:v>
      </x:c>
      <x:c r="G1086" s="30" t="n">
        <x:v>-37.95</x:v>
      </x:c>
      <x:c r="H1086" s="30" t="n">
        <x:v>-73.74</x:v>
      </x:c>
      <x:c r="I1086" s="29" t="n">
        <x:v>44</x:v>
      </x:c>
      <x:c r="J1086" s="31" t="n">
        <x:v>5.1</x:v>
      </x:c>
      <x:c r="K1086" s="25" t="str">
        <x:f>IF(J1086&gt;=7,"Muy fuerte (&gt;=7)",IF(J1086&gt;=6,"Fuerte (6-6.9)",IF(J1086&gt;=5,"Moderado alto (5-5.9)",IF(J1086&gt;=4,"Moderado (4-4.9)","Menor a 4"))))</x:f>
        <x:v>Moderado alto (5-5.9)</x:v>
      </x:c>
      <x:c r="L1086" s="25" t="str">
        <x:f>IF(I1086&lt;70,"Superficial (&lt;70 km)",IF(I1086&lt;=300,"Intermedio (70-300 km)","Profundo (&gt;300 km)"))</x:f>
        <x:v>Superficial (&lt;70 km)</x:v>
      </x:c>
      <x:c r="M1086" s="25" t="str">
        <x:f>IF(J1086&gt;=5,"Sí","No")</x:f>
        <x:v>Sí</x:v>
      </x:c>
      <x:c r="N1086" s="25" t="str">
        <x:f>IF(J1086&gt;=6,"Sí","No")</x:f>
        <x:v>No</x:v>
      </x:c>
      <x:c r="O1086" s="25" t="str">
        <x:v>Pendiente: asignar con R/sf</x:v>
      </x:c>
    </x:row>
    <x:row r="1087">
      <x:c r="A1087" s="25" t="n">
        <x:v>1086</x:v>
      </x:c>
      <x:c r="B1087" s="26" t="n">
        <x:v>44544.18329861111</x:v>
      </x:c>
      <x:c r="C1087" s="27" t="n">
        <x:f>INT(B1087)</x:f>
        <x:v>44544</x:v>
      </x:c>
      <x:c r="D1087" s="28" t="n">
        <x:f>MOD(B1087,1)</x:f>
        <x:v>0.18329861111124046</x:v>
      </x:c>
      <x:c r="E1087" s="29" t="n">
        <x:f>YEAR(B1087)</x:f>
        <x:v>2021</x:v>
      </x:c>
      <x:c r="F1087" s="29" t="n">
        <x:f>MONTH(B1087)</x:f>
        <x:v>12</x:v>
      </x:c>
      <x:c r="G1087" s="30" t="n">
        <x:v>-28.61</x:v>
      </x:c>
      <x:c r="H1087" s="30" t="n">
        <x:v>-71.28</x:v>
      </x:c>
      <x:c r="I1087" s="29" t="n">
        <x:v>37</x:v>
      </x:c>
      <x:c r="J1087" s="31" t="n">
        <x:v>5.3</x:v>
      </x:c>
      <x:c r="K1087" s="25" t="str">
        <x:f>IF(J1087&gt;=7,"Muy fuerte (&gt;=7)",IF(J1087&gt;=6,"Fuerte (6-6.9)",IF(J1087&gt;=5,"Moderado alto (5-5.9)",IF(J1087&gt;=4,"Moderado (4-4.9)","Menor a 4"))))</x:f>
        <x:v>Moderado alto (5-5.9)</x:v>
      </x:c>
      <x:c r="L1087" s="25" t="str">
        <x:f>IF(I1087&lt;70,"Superficial (&lt;70 km)",IF(I1087&lt;=300,"Intermedio (70-300 km)","Profundo (&gt;300 km)"))</x:f>
        <x:v>Superficial (&lt;70 km)</x:v>
      </x:c>
      <x:c r="M1087" s="25" t="str">
        <x:f>IF(J1087&gt;=5,"Sí","No")</x:f>
        <x:v>Sí</x:v>
      </x:c>
      <x:c r="N1087" s="25" t="str">
        <x:f>IF(J1087&gt;=6,"Sí","No")</x:f>
        <x:v>No</x:v>
      </x:c>
      <x:c r="O1087" s="25" t="str">
        <x:v>Pendiente: asignar con R/sf</x:v>
      </x:c>
    </x:row>
    <x:row r="1088">
      <x:c r="A1088" s="25" t="n">
        <x:v>1087</x:v>
      </x:c>
      <x:c r="B1088" s="26" t="n">
        <x:v>43737.76987268519</x:v>
      </x:c>
      <x:c r="C1088" s="27" t="n">
        <x:f>INT(B1088)</x:f>
        <x:v>43737</x:v>
      </x:c>
      <x:c r="D1088" s="28" t="n">
        <x:f>MOD(B1088,1)</x:f>
        <x:v>0.7698726851886022</x:v>
      </x:c>
      <x:c r="E1088" s="29" t="n">
        <x:f>YEAR(B1088)</x:f>
        <x:v>2019</x:v>
      </x:c>
      <x:c r="F1088" s="29" t="n">
        <x:f>MONTH(B1088)</x:f>
        <x:v>9</x:v>
      </x:c>
      <x:c r="G1088" s="30" t="n">
        <x:v>-35.52</x:v>
      </x:c>
      <x:c r="H1088" s="30" t="n">
        <x:v>-72.94</x:v>
      </x:c>
      <x:c r="I1088" s="29" t="n">
        <x:v>22</x:v>
      </x:c>
      <x:c r="J1088" s="31" t="n">
        <x:v>4.5</x:v>
      </x:c>
      <x:c r="K1088" s="25" t="str">
        <x:f>IF(J1088&gt;=7,"Muy fuerte (&gt;=7)",IF(J1088&gt;=6,"Fuerte (6-6.9)",IF(J1088&gt;=5,"Moderado alto (5-5.9)",IF(J1088&gt;=4,"Moderado (4-4.9)","Menor a 4"))))</x:f>
        <x:v>Moderado (4-4.9)</x:v>
      </x:c>
      <x:c r="L1088" s="25" t="str">
        <x:f>IF(I1088&lt;70,"Superficial (&lt;70 km)",IF(I1088&lt;=300,"Intermedio (70-300 km)","Profundo (&gt;300 km)"))</x:f>
        <x:v>Superficial (&lt;70 km)</x:v>
      </x:c>
      <x:c r="M1088" s="25" t="str">
        <x:f>IF(J1088&gt;=5,"Sí","No")</x:f>
        <x:v>No</x:v>
      </x:c>
      <x:c r="N1088" s="25" t="str">
        <x:f>IF(J1088&gt;=6,"Sí","No")</x:f>
        <x:v>No</x:v>
      </x:c>
      <x:c r="O1088" s="25" t="str">
        <x:v>Pendiente: asignar con R/sf</x:v>
      </x:c>
    </x:row>
    <x:row r="1089">
      <x:c r="A1089" s="25" t="n">
        <x:v>1088</x:v>
      </x:c>
      <x:c r="B1089" s="26" t="n">
        <x:v>44549.89975694445</x:v>
      </x:c>
      <x:c r="C1089" s="27" t="n">
        <x:f>INT(B1089)</x:f>
        <x:v>44549</x:v>
      </x:c>
      <x:c r="D1089" s="28" t="n">
        <x:f>MOD(B1089,1)</x:f>
        <x:v>0.8997569444472902</x:v>
      </x:c>
      <x:c r="E1089" s="29" t="n">
        <x:f>YEAR(B1089)</x:f>
        <x:v>2021</x:v>
      </x:c>
      <x:c r="F1089" s="29" t="n">
        <x:f>MONTH(B1089)</x:f>
        <x:v>12</x:v>
      </x:c>
      <x:c r="G1089" s="30" t="n">
        <x:v>-22.04</x:v>
      </x:c>
      <x:c r="H1089" s="30" t="n">
        <x:v>-70.33</x:v>
      </x:c>
      <x:c r="I1089" s="29" t="n">
        <x:v>54</x:v>
      </x:c>
      <x:c r="J1089" s="31" t="n">
        <x:v>4.5</x:v>
      </x:c>
      <x:c r="K1089" s="25" t="str">
        <x:f>IF(J1089&gt;=7,"Muy fuerte (&gt;=7)",IF(J1089&gt;=6,"Fuerte (6-6.9)",IF(J1089&gt;=5,"Moderado alto (5-5.9)",IF(J1089&gt;=4,"Moderado (4-4.9)","Menor a 4"))))</x:f>
        <x:v>Moderado (4-4.9)</x:v>
      </x:c>
      <x:c r="L1089" s="25" t="str">
        <x:f>IF(I1089&lt;70,"Superficial (&lt;70 km)",IF(I1089&lt;=300,"Intermedio (70-300 km)","Profundo (&gt;300 km)"))</x:f>
        <x:v>Superficial (&lt;70 km)</x:v>
      </x:c>
      <x:c r="M1089" s="25" t="str">
        <x:f>IF(J1089&gt;=5,"Sí","No")</x:f>
        <x:v>No</x:v>
      </x:c>
      <x:c r="N1089" s="25" t="str">
        <x:f>IF(J1089&gt;=6,"Sí","No")</x:f>
        <x:v>No</x:v>
      </x:c>
      <x:c r="O1089" s="25" t="str">
        <x:v>Pendiente: asignar con R/sf</x:v>
      </x:c>
    </x:row>
    <x:row r="1090">
      <x:c r="A1090" s="25" t="n">
        <x:v>1089</x:v>
      </x:c>
      <x:c r="B1090" s="26" t="n">
        <x:v>43881.33241898148</x:v>
      </x:c>
      <x:c r="C1090" s="27" t="n">
        <x:f>INT(B1090)</x:f>
        <x:v>43881</x:v>
      </x:c>
      <x:c r="D1090" s="28" t="n">
        <x:f>MOD(B1090,1)</x:f>
        <x:v>0.3324189814811689</x:v>
      </x:c>
      <x:c r="E1090" s="29" t="n">
        <x:f>YEAR(B1090)</x:f>
        <x:v>2020</x:v>
      </x:c>
      <x:c r="F1090" s="29" t="n">
        <x:f>MONTH(B1090)</x:f>
        <x:v>2</x:v>
      </x:c>
      <x:c r="G1090" s="30" t="n">
        <x:v>-35.54</x:v>
      </x:c>
      <x:c r="H1090" s="30" t="n">
        <x:v>-72.58</x:v>
      </x:c>
      <x:c r="I1090" s="29" t="n">
        <x:v>31</x:v>
      </x:c>
      <x:c r="J1090" s="31" t="n">
        <x:v>3.9</x:v>
      </x:c>
      <x:c r="K1090" s="25" t="str">
        <x:f>IF(J1090&gt;=7,"Muy fuerte (&gt;=7)",IF(J1090&gt;=6,"Fuerte (6-6.9)",IF(J1090&gt;=5,"Moderado alto (5-5.9)",IF(J1090&gt;=4,"Moderado (4-4.9)","Menor a 4"))))</x:f>
        <x:v>Menor a 4</x:v>
      </x:c>
      <x:c r="L1090" s="25" t="str">
        <x:f>IF(I1090&lt;70,"Superficial (&lt;70 km)",IF(I1090&lt;=300,"Intermedio (70-300 km)","Profundo (&gt;300 km)"))</x:f>
        <x:v>Superficial (&lt;70 km)</x:v>
      </x:c>
      <x:c r="M1090" s="25" t="str">
        <x:f>IF(J1090&gt;=5,"Sí","No")</x:f>
        <x:v>No</x:v>
      </x:c>
      <x:c r="N1090" s="25" t="str">
        <x:f>IF(J1090&gt;=6,"Sí","No")</x:f>
        <x:v>No</x:v>
      </x:c>
      <x:c r="O1090" s="25" t="str">
        <x:v>Pendiente: asignar con R/sf</x:v>
      </x:c>
    </x:row>
    <x:row r="1091">
      <x:c r="A1091" s="25" t="n">
        <x:v>1090</x:v>
      </x:c>
      <x:c r="B1091" s="26" t="n">
        <x:v>43737.69440972222</x:v>
      </x:c>
      <x:c r="C1091" s="27" t="n">
        <x:f>INT(B1091)</x:f>
        <x:v>43737</x:v>
      </x:c>
      <x:c r="D1091" s="28" t="n">
        <x:f>MOD(B1091,1)</x:f>
        <x:v>0.6944097222221899</x:v>
      </x:c>
      <x:c r="E1091" s="29" t="n">
        <x:f>YEAR(B1091)</x:f>
        <x:v>2019</x:v>
      </x:c>
      <x:c r="F1091" s="29" t="n">
        <x:f>MONTH(B1091)</x:f>
        <x:v>9</x:v>
      </x:c>
      <x:c r="G1091" s="30" t="n">
        <x:v>-35.53</x:v>
      </x:c>
      <x:c r="H1091" s="30" t="n">
        <x:v>-72.97</x:v>
      </x:c>
      <x:c r="I1091" s="29" t="n">
        <x:v>28</x:v>
      </x:c>
      <x:c r="J1091" s="31" t="n">
        <x:v>4.3</x:v>
      </x:c>
      <x:c r="K1091" s="25" t="str">
        <x:f>IF(J1091&gt;=7,"Muy fuerte (&gt;=7)",IF(J1091&gt;=6,"Fuerte (6-6.9)",IF(J1091&gt;=5,"Moderado alto (5-5.9)",IF(J1091&gt;=4,"Moderado (4-4.9)","Menor a 4"))))</x:f>
        <x:v>Moderado (4-4.9)</x:v>
      </x:c>
      <x:c r="L1091" s="25" t="str">
        <x:f>IF(I1091&lt;70,"Superficial (&lt;70 km)",IF(I1091&lt;=300,"Intermedio (70-300 km)","Profundo (&gt;300 km)"))</x:f>
        <x:v>Superficial (&lt;70 km)</x:v>
      </x:c>
      <x:c r="M1091" s="25" t="str">
        <x:f>IF(J1091&gt;=5,"Sí","No")</x:f>
        <x:v>No</x:v>
      </x:c>
      <x:c r="N1091" s="25" t="str">
        <x:f>IF(J1091&gt;=6,"Sí","No")</x:f>
        <x:v>No</x:v>
      </x:c>
      <x:c r="O1091" s="25" t="str">
        <x:v>Pendiente: asignar con R/sf</x:v>
      </x:c>
    </x:row>
    <x:row r="1092">
      <x:c r="A1092" s="25" t="n">
        <x:v>1091</x:v>
      </x:c>
      <x:c r="B1092" s="26" t="n">
        <x:v>44364.367789351854</x:v>
      </x:c>
      <x:c r="C1092" s="27" t="n">
        <x:f>INT(B1092)</x:f>
        <x:v>44364</x:v>
      </x:c>
      <x:c r="D1092" s="28" t="n">
        <x:f>MOD(B1092,1)</x:f>
        <x:v>0.36778935185429873</x:v>
      </x:c>
      <x:c r="E1092" s="29" t="n">
        <x:f>YEAR(B1092)</x:f>
        <x:v>2021</x:v>
      </x:c>
      <x:c r="F1092" s="29" t="n">
        <x:f>MONTH(B1092)</x:f>
        <x:v>6</x:v>
      </x:c>
      <x:c r="G1092" s="30" t="n">
        <x:v>-40.08</x:v>
      </x:c>
      <x:c r="H1092" s="30" t="n">
        <x:v>-72.45</x:v>
      </x:c>
      <x:c r="I1092" s="29" t="n">
        <x:v>9</x:v>
      </x:c>
      <x:c r="J1092" s="31" t="n">
        <x:v>4</x:v>
      </x:c>
      <x:c r="K1092" s="25" t="str">
        <x:f>IF(J1092&gt;=7,"Muy fuerte (&gt;=7)",IF(J1092&gt;=6,"Fuerte (6-6.9)",IF(J1092&gt;=5,"Moderado alto (5-5.9)",IF(J1092&gt;=4,"Moderado (4-4.9)","Menor a 4"))))</x:f>
        <x:v>Moderado (4-4.9)</x:v>
      </x:c>
      <x:c r="L1092" s="25" t="str">
        <x:f>IF(I1092&lt;70,"Superficial (&lt;70 km)",IF(I1092&lt;=300,"Intermedio (70-300 km)","Profundo (&gt;300 km)"))</x:f>
        <x:v>Superficial (&lt;70 km)</x:v>
      </x:c>
      <x:c r="M1092" s="25" t="str">
        <x:f>IF(J1092&gt;=5,"Sí","No")</x:f>
        <x:v>No</x:v>
      </x:c>
      <x:c r="N1092" s="25" t="str">
        <x:f>IF(J1092&gt;=6,"Sí","No")</x:f>
        <x:v>No</x:v>
      </x:c>
      <x:c r="O1092" s="25" t="str">
        <x:v>Pendiente: asignar con R/sf</x:v>
      </x:c>
    </x:row>
    <x:row r="1093">
      <x:c r="A1093" s="25" t="n">
        <x:v>1092</x:v>
      </x:c>
      <x:c r="B1093" s="26" t="n">
        <x:v>43798.458553240744</x:v>
      </x:c>
      <x:c r="C1093" s="27" t="n">
        <x:f>INT(B1093)</x:f>
        <x:v>43798</x:v>
      </x:c>
      <x:c r="D1093" s="28" t="n">
        <x:f>MOD(B1093,1)</x:f>
        <x:v>0.45855324074364034</x:v>
      </x:c>
      <x:c r="E1093" s="29" t="n">
        <x:f>YEAR(B1093)</x:f>
        <x:v>2019</x:v>
      </x:c>
      <x:c r="F1093" s="29" t="n">
        <x:f>MONTH(B1093)</x:f>
        <x:v>11</x:v>
      </x:c>
      <x:c r="G1093" s="30" t="n">
        <x:v>-36.11</x:v>
      </x:c>
      <x:c r="H1093" s="30" t="n">
        <x:v>-72.63</x:v>
      </x:c>
      <x:c r="I1093" s="29" t="n">
        <x:v>66</x:v>
      </x:c>
      <x:c r="J1093" s="31" t="n">
        <x:v>3.7</x:v>
      </x:c>
      <x:c r="K1093" s="25" t="str">
        <x:f>IF(J1093&gt;=7,"Muy fuerte (&gt;=7)",IF(J1093&gt;=6,"Fuerte (6-6.9)",IF(J1093&gt;=5,"Moderado alto (5-5.9)",IF(J1093&gt;=4,"Moderado (4-4.9)","Menor a 4"))))</x:f>
        <x:v>Menor a 4</x:v>
      </x:c>
      <x:c r="L1093" s="25" t="str">
        <x:f>IF(I1093&lt;70,"Superficial (&lt;70 km)",IF(I1093&lt;=300,"Intermedio (70-300 km)","Profundo (&gt;300 km)"))</x:f>
        <x:v>Superficial (&lt;70 km)</x:v>
      </x:c>
      <x:c r="M1093" s="25" t="str">
        <x:f>IF(J1093&gt;=5,"Sí","No")</x:f>
        <x:v>No</x:v>
      </x:c>
      <x:c r="N1093" s="25" t="str">
        <x:f>IF(J1093&gt;=6,"Sí","No")</x:f>
        <x:v>No</x:v>
      </x:c>
      <x:c r="O1093" s="25" t="str">
        <x:v>Pendiente: asignar con R/sf</x:v>
      </x:c>
    </x:row>
    <x:row r="1094">
      <x:c r="A1094" s="25" t="n">
        <x:v>1093</x:v>
      </x:c>
      <x:c r="B1094" s="26" t="n">
        <x:v>43737.84165509259</x:v>
      </x:c>
      <x:c r="C1094" s="27" t="n">
        <x:f>INT(B1094)</x:f>
        <x:v>43737</x:v>
      </x:c>
      <x:c r="D1094" s="28" t="n">
        <x:f>MOD(B1094,1)</x:f>
        <x:v>0.8416550925903721</x:v>
      </x:c>
      <x:c r="E1094" s="29" t="n">
        <x:f>YEAR(B1094)</x:f>
        <x:v>2019</x:v>
      </x:c>
      <x:c r="F1094" s="29" t="n">
        <x:f>MONTH(B1094)</x:f>
        <x:v>9</x:v>
      </x:c>
      <x:c r="G1094" s="30" t="n">
        <x:v>-35.53</x:v>
      </x:c>
      <x:c r="H1094" s="30" t="n">
        <x:v>-72.9</x:v>
      </x:c>
      <x:c r="I1094" s="29" t="n">
        <x:v>15</x:v>
      </x:c>
      <x:c r="J1094" s="31" t="n">
        <x:v>4.8</x:v>
      </x:c>
      <x:c r="K1094" s="25" t="str">
        <x:f>IF(J1094&gt;=7,"Muy fuerte (&gt;=7)",IF(J1094&gt;=6,"Fuerte (6-6.9)",IF(J1094&gt;=5,"Moderado alto (5-5.9)",IF(J1094&gt;=4,"Moderado (4-4.9)","Menor a 4"))))</x:f>
        <x:v>Moderado (4-4.9)</x:v>
      </x:c>
      <x:c r="L1094" s="25" t="str">
        <x:f>IF(I1094&lt;70,"Superficial (&lt;70 km)",IF(I1094&lt;=300,"Intermedio (70-300 km)","Profundo (&gt;300 km)"))</x:f>
        <x:v>Superficial (&lt;70 km)</x:v>
      </x:c>
      <x:c r="M1094" s="25" t="str">
        <x:f>IF(J1094&gt;=5,"Sí","No")</x:f>
        <x:v>No</x:v>
      </x:c>
      <x:c r="N1094" s="25" t="str">
        <x:f>IF(J1094&gt;=6,"Sí","No")</x:f>
        <x:v>No</x:v>
      </x:c>
      <x:c r="O1094" s="25" t="str">
        <x:v>Pendiente: asignar con R/sf</x:v>
      </x:c>
    </x:row>
    <x:row r="1095">
      <x:c r="A1095" s="25" t="n">
        <x:v>1094</x:v>
      </x:c>
      <x:c r="B1095" s="26" t="n">
        <x:v>43403.23818287037</x:v>
      </x:c>
      <x:c r="C1095" s="27" t="n">
        <x:f>INT(B1095)</x:f>
        <x:v>43403</x:v>
      </x:c>
      <x:c r="D1095" s="28" t="n">
        <x:f>MOD(B1095,1)</x:f>
        <x:v>0.2381828703728388</x:v>
      </x:c>
      <x:c r="E1095" s="29" t="n">
        <x:f>YEAR(B1095)</x:f>
        <x:v>2018</x:v>
      </x:c>
      <x:c r="F1095" s="29" t="n">
        <x:f>MONTH(B1095)</x:f>
        <x:v>10</x:v>
      </x:c>
      <x:c r="G1095" s="30" t="n">
        <x:v>-35.15</x:v>
      </x:c>
      <x:c r="H1095" s="30" t="n">
        <x:v>-72.06</x:v>
      </x:c>
      <x:c r="I1095" s="29" t="n">
        <x:v>18</x:v>
      </x:c>
      <x:c r="J1095" s="31" t="n">
        <x:v>3.7</x:v>
      </x:c>
      <x:c r="K1095" s="25" t="str">
        <x:f>IF(J1095&gt;=7,"Muy fuerte (&gt;=7)",IF(J1095&gt;=6,"Fuerte (6-6.9)",IF(J1095&gt;=5,"Moderado alto (5-5.9)",IF(J1095&gt;=4,"Moderado (4-4.9)","Menor a 4"))))</x:f>
        <x:v>Menor a 4</x:v>
      </x:c>
      <x:c r="L1095" s="25" t="str">
        <x:f>IF(I1095&lt;70,"Superficial (&lt;70 km)",IF(I1095&lt;=300,"Intermedio (70-300 km)","Profundo (&gt;300 km)"))</x:f>
        <x:v>Superficial (&lt;70 km)</x:v>
      </x:c>
      <x:c r="M1095" s="25" t="str">
        <x:f>IF(J1095&gt;=5,"Sí","No")</x:f>
        <x:v>No</x:v>
      </x:c>
      <x:c r="N1095" s="25" t="str">
        <x:f>IF(J1095&gt;=6,"Sí","No")</x:f>
        <x:v>No</x:v>
      </x:c>
      <x:c r="O1095" s="25" t="str">
        <x:v>Pendiente: asignar con R/sf</x:v>
      </x:c>
    </x:row>
    <x:row r="1096">
      <x:c r="A1096" s="25" t="n">
        <x:v>1095</x:v>
      </x:c>
      <x:c r="B1096" s="26" t="n">
        <x:v>44055.27591435185</x:v>
      </x:c>
      <x:c r="C1096" s="27" t="n">
        <x:f>INT(B1096)</x:f>
        <x:v>44055</x:v>
      </x:c>
      <x:c r="D1096" s="28" t="n">
        <x:f>MOD(B1096,1)</x:f>
        <x:v>0.275914351848769</x:v>
      </x:c>
      <x:c r="E1096" s="29" t="n">
        <x:f>YEAR(B1096)</x:f>
        <x:v>2020</x:v>
      </x:c>
      <x:c r="F1096" s="29" t="n">
        <x:f>MONTH(B1096)</x:f>
        <x:v>8</x:v>
      </x:c>
      <x:c r="G1096" s="30" t="n">
        <x:v>-34.98</x:v>
      </x:c>
      <x:c r="H1096" s="30" t="n">
        <x:v>-72.62</x:v>
      </x:c>
      <x:c r="I1096" s="29" t="n">
        <x:v>34</x:v>
      </x:c>
      <x:c r="J1096" s="31" t="n">
        <x:v>4.3</x:v>
      </x:c>
      <x:c r="K1096" s="25" t="str">
        <x:f>IF(J1096&gt;=7,"Muy fuerte (&gt;=7)",IF(J1096&gt;=6,"Fuerte (6-6.9)",IF(J1096&gt;=5,"Moderado alto (5-5.9)",IF(J1096&gt;=4,"Moderado (4-4.9)","Menor a 4"))))</x:f>
        <x:v>Moderado (4-4.9)</x:v>
      </x:c>
      <x:c r="L1096" s="25" t="str">
        <x:f>IF(I1096&lt;70,"Superficial (&lt;70 km)",IF(I1096&lt;=300,"Intermedio (70-300 km)","Profundo (&gt;300 km)"))</x:f>
        <x:v>Superficial (&lt;70 km)</x:v>
      </x:c>
      <x:c r="M1096" s="25" t="str">
        <x:f>IF(J1096&gt;=5,"Sí","No")</x:f>
        <x:v>No</x:v>
      </x:c>
      <x:c r="N1096" s="25" t="str">
        <x:f>IF(J1096&gt;=6,"Sí","No")</x:f>
        <x:v>No</x:v>
      </x:c>
      <x:c r="O1096" s="25" t="str">
        <x:v>Pendiente: asignar con R/sf</x:v>
      </x:c>
    </x:row>
    <x:row r="1097">
      <x:c r="A1097" s="25" t="n">
        <x:v>1096</x:v>
      </x:c>
      <x:c r="B1097" s="26" t="n">
        <x:v>43619.10733796296</x:v>
      </x:c>
      <x:c r="C1097" s="27" t="n">
        <x:f>INT(B1097)</x:f>
        <x:v>43619</x:v>
      </x:c>
      <x:c r="D1097" s="28" t="n">
        <x:f>MOD(B1097,1)</x:f>
        <x:v>0.10733796295971842</x:v>
      </x:c>
      <x:c r="E1097" s="29" t="n">
        <x:f>YEAR(B1097)</x:f>
        <x:v>2019</x:v>
      </x:c>
      <x:c r="F1097" s="29" t="n">
        <x:f>MONTH(B1097)</x:f>
        <x:v>6</x:v>
      </x:c>
      <x:c r="G1097" s="30" t="n">
        <x:v>-35.07</x:v>
      </x:c>
      <x:c r="H1097" s="30" t="n">
        <x:v>-72.43</x:v>
      </x:c>
      <x:c r="I1097" s="29" t="n">
        <x:v>43</x:v>
      </x:c>
      <x:c r="J1097" s="31" t="n">
        <x:v>3.6</x:v>
      </x:c>
      <x:c r="K1097" s="25" t="str">
        <x:f>IF(J1097&gt;=7,"Muy fuerte (&gt;=7)",IF(J1097&gt;=6,"Fuerte (6-6.9)",IF(J1097&gt;=5,"Moderado alto (5-5.9)",IF(J1097&gt;=4,"Moderado (4-4.9)","Menor a 4"))))</x:f>
        <x:v>Menor a 4</x:v>
      </x:c>
      <x:c r="L1097" s="25" t="str">
        <x:f>IF(I1097&lt;70,"Superficial (&lt;70 km)",IF(I1097&lt;=300,"Intermedio (70-300 km)","Profundo (&gt;300 km)"))</x:f>
        <x:v>Superficial (&lt;70 km)</x:v>
      </x:c>
      <x:c r="M1097" s="25" t="str">
        <x:f>IF(J1097&gt;=5,"Sí","No")</x:f>
        <x:v>No</x:v>
      </x:c>
      <x:c r="N1097" s="25" t="str">
        <x:f>IF(J1097&gt;=6,"Sí","No")</x:f>
        <x:v>No</x:v>
      </x:c>
      <x:c r="O1097" s="25" t="str">
        <x:v>Pendiente: asignar con R/sf</x:v>
      </x:c>
    </x:row>
    <x:row r="1098">
      <x:c r="A1098" s="25" t="n">
        <x:v>1097</x:v>
      </x:c>
      <x:c r="B1098" s="26" t="n">
        <x:v>43308.78728009259</x:v>
      </x:c>
      <x:c r="C1098" s="27" t="n">
        <x:f>INT(B1098)</x:f>
        <x:v>43308</x:v>
      </x:c>
      <x:c r="D1098" s="28" t="n">
        <x:f>MOD(B1098,1)</x:f>
        <x:v>0.7872800925906631</x:v>
      </x:c>
      <x:c r="E1098" s="29" t="n">
        <x:f>YEAR(B1098)</x:f>
        <x:v>2018</x:v>
      </x:c>
      <x:c r="F1098" s="29" t="n">
        <x:f>MONTH(B1098)</x:f>
        <x:v>7</x:v>
      </x:c>
      <x:c r="G1098" s="30" t="n">
        <x:v>-35.76</x:v>
      </x:c>
      <x:c r="H1098" s="30" t="n">
        <x:v>-73</x:v>
      </x:c>
      <x:c r="I1098" s="29" t="n">
        <x:v>28</x:v>
      </x:c>
      <x:c r="J1098" s="31" t="n">
        <x:v>4.2</x:v>
      </x:c>
      <x:c r="K1098" s="25" t="str">
        <x:f>IF(J1098&gt;=7,"Muy fuerte (&gt;=7)",IF(J1098&gt;=6,"Fuerte (6-6.9)",IF(J1098&gt;=5,"Moderado alto (5-5.9)",IF(J1098&gt;=4,"Moderado (4-4.9)","Menor a 4"))))</x:f>
        <x:v>Moderado (4-4.9)</x:v>
      </x:c>
      <x:c r="L1098" s="25" t="str">
        <x:f>IF(I1098&lt;70,"Superficial (&lt;70 km)",IF(I1098&lt;=300,"Intermedio (70-300 km)","Profundo (&gt;300 km)"))</x:f>
        <x:v>Superficial (&lt;70 km)</x:v>
      </x:c>
      <x:c r="M1098" s="25" t="str">
        <x:f>IF(J1098&gt;=5,"Sí","No")</x:f>
        <x:v>No</x:v>
      </x:c>
      <x:c r="N1098" s="25" t="str">
        <x:f>IF(J1098&gt;=6,"Sí","No")</x:f>
        <x:v>No</x:v>
      </x:c>
      <x:c r="O1098" s="25" t="str">
        <x:v>Pendiente: asignar con R/sf</x:v>
      </x:c>
    </x:row>
    <x:row r="1099">
      <x:c r="A1099" s="25" t="n">
        <x:v>1098</x:v>
      </x:c>
      <x:c r="B1099" s="26" t="n">
        <x:v>44531.767847222225</x:v>
      </x:c>
      <x:c r="C1099" s="27" t="n">
        <x:f>INT(B1099)</x:f>
        <x:v>44531</x:v>
      </x:c>
      <x:c r="D1099" s="28" t="n">
        <x:f>MOD(B1099,1)</x:f>
        <x:v>0.7678472222251003</x:v>
      </x:c>
      <x:c r="E1099" s="29" t="n">
        <x:f>YEAR(B1099)</x:f>
        <x:v>2021</x:v>
      </x:c>
      <x:c r="F1099" s="29" t="n">
        <x:f>MONTH(B1099)</x:f>
        <x:v>12</x:v>
      </x:c>
      <x:c r="G1099" s="30" t="n">
        <x:v>-19.25</x:v>
      </x:c>
      <x:c r="H1099" s="30" t="n">
        <x:v>-69.18</x:v>
      </x:c>
      <x:c r="I1099" s="29" t="n">
        <x:v>110</x:v>
      </x:c>
      <x:c r="J1099" s="31" t="n">
        <x:v>4.9</x:v>
      </x:c>
      <x:c r="K1099" s="25" t="str">
        <x:f>IF(J1099&gt;=7,"Muy fuerte (&gt;=7)",IF(J1099&gt;=6,"Fuerte (6-6.9)",IF(J1099&gt;=5,"Moderado alto (5-5.9)",IF(J1099&gt;=4,"Moderado (4-4.9)","Menor a 4"))))</x:f>
        <x:v>Moderado (4-4.9)</x:v>
      </x:c>
      <x:c r="L1099" s="25" t="str">
        <x:f>IF(I1099&lt;70,"Superficial (&lt;70 km)",IF(I1099&lt;=300,"Intermedio (70-300 km)","Profundo (&gt;300 km)"))</x:f>
        <x:v>Intermedio (70-300 km)</x:v>
      </x:c>
      <x:c r="M1099" s="25" t="str">
        <x:f>IF(J1099&gt;=5,"Sí","No")</x:f>
        <x:v>No</x:v>
      </x:c>
      <x:c r="N1099" s="25" t="str">
        <x:f>IF(J1099&gt;=6,"Sí","No")</x:f>
        <x:v>No</x:v>
      </x:c>
      <x:c r="O1099" s="25" t="str">
        <x:v>Pendiente: asignar con R/sf</x:v>
      </x:c>
    </x:row>
    <x:row r="1100">
      <x:c r="A1100" s="25" t="n">
        <x:v>1099</x:v>
      </x:c>
      <x:c r="B1100" s="26" t="n">
        <x:v>44347.5594212963</x:v>
      </x:c>
      <x:c r="C1100" s="27" t="n">
        <x:f>INT(B1100)</x:f>
        <x:v>44347</x:v>
      </x:c>
      <x:c r="D1100" s="28" t="n">
        <x:f>MOD(B1100,1)</x:f>
        <x:v>0.5594212962969323</x:v>
      </x:c>
      <x:c r="E1100" s="29" t="n">
        <x:f>YEAR(B1100)</x:f>
        <x:v>2021</x:v>
      </x:c>
      <x:c r="F1100" s="29" t="n">
        <x:f>MONTH(B1100)</x:f>
        <x:v>5</x:v>
      </x:c>
      <x:c r="G1100" s="30" t="n">
        <x:v>-40.08</x:v>
      </x:c>
      <x:c r="H1100" s="30" t="n">
        <x:v>-73.99</x:v>
      </x:c>
      <x:c r="I1100" s="29" t="n">
        <x:v>40</x:v>
      </x:c>
      <x:c r="J1100" s="31" t="n">
        <x:v>4.3</x:v>
      </x:c>
      <x:c r="K1100" s="25" t="str">
        <x:f>IF(J1100&gt;=7,"Muy fuerte (&gt;=7)",IF(J1100&gt;=6,"Fuerte (6-6.9)",IF(J1100&gt;=5,"Moderado alto (5-5.9)",IF(J1100&gt;=4,"Moderado (4-4.9)","Menor a 4"))))</x:f>
        <x:v>Moderado (4-4.9)</x:v>
      </x:c>
      <x:c r="L1100" s="25" t="str">
        <x:f>IF(I1100&lt;70,"Superficial (&lt;70 km)",IF(I1100&lt;=300,"Intermedio (70-300 km)","Profundo (&gt;300 km)"))</x:f>
        <x:v>Superficial (&lt;70 km)</x:v>
      </x:c>
      <x:c r="M1100" s="25" t="str">
        <x:f>IF(J1100&gt;=5,"Sí","No")</x:f>
        <x:v>No</x:v>
      </x:c>
      <x:c r="N1100" s="25" t="str">
        <x:f>IF(J1100&gt;=6,"Sí","No")</x:f>
        <x:v>No</x:v>
      </x:c>
      <x:c r="O1100" s="25" t="str">
        <x:v>Pendiente: asignar con R/sf</x:v>
      </x:c>
    </x:row>
    <x:row r="1101">
      <x:c r="A1101" s="25" t="n">
        <x:v>1100</x:v>
      </x:c>
      <x:c r="B1101" s="26" t="n">
        <x:v>44248.497766203705</x:v>
      </x:c>
      <x:c r="C1101" s="27" t="n">
        <x:f>INT(B1101)</x:f>
        <x:v>44248</x:v>
      </x:c>
      <x:c r="D1101" s="28" t="n">
        <x:f>MOD(B1101,1)</x:f>
        <x:v>0.49776620370539604</x:v>
      </x:c>
      <x:c r="E1101" s="29" t="n">
        <x:f>YEAR(B1101)</x:f>
        <x:v>2021</x:v>
      </x:c>
      <x:c r="F1101" s="29" t="n">
        <x:f>MONTH(B1101)</x:f>
        <x:v>2</x:v>
      </x:c>
      <x:c r="G1101" s="30" t="n">
        <x:v>-35.68</x:v>
      </x:c>
      <x:c r="H1101" s="30" t="n">
        <x:v>-73</x:v>
      </x:c>
      <x:c r="I1101" s="29" t="n">
        <x:v>10</x:v>
      </x:c>
      <x:c r="J1101" s="31" t="n">
        <x:v>4.2</x:v>
      </x:c>
      <x:c r="K1101" s="25" t="str">
        <x:f>IF(J1101&gt;=7,"Muy fuerte (&gt;=7)",IF(J1101&gt;=6,"Fuerte (6-6.9)",IF(J1101&gt;=5,"Moderado alto (5-5.9)",IF(J1101&gt;=4,"Moderado (4-4.9)","Menor a 4"))))</x:f>
        <x:v>Moderado (4-4.9)</x:v>
      </x:c>
      <x:c r="L1101" s="25" t="str">
        <x:f>IF(I1101&lt;70,"Superficial (&lt;70 km)",IF(I1101&lt;=300,"Intermedio (70-300 km)","Profundo (&gt;300 km)"))</x:f>
        <x:v>Superficial (&lt;70 km)</x:v>
      </x:c>
      <x:c r="M1101" s="25" t="str">
        <x:f>IF(J1101&gt;=5,"Sí","No")</x:f>
        <x:v>No</x:v>
      </x:c>
      <x:c r="N1101" s="25" t="str">
        <x:f>IF(J1101&gt;=6,"Sí","No")</x:f>
        <x:v>No</x:v>
      </x:c>
      <x:c r="O1101" s="25" t="str">
        <x:v>Pendiente: asignar con R/sf</x:v>
      </x:c>
    </x:row>
    <x:row r="1102">
      <x:c r="A1102" s="25" t="n">
        <x:v>1101</x:v>
      </x:c>
      <x:c r="B1102" s="26" t="n">
        <x:v>44357.59336805555</x:v>
      </x:c>
      <x:c r="C1102" s="27" t="n">
        <x:f>INT(B1102)</x:f>
        <x:v>44357</x:v>
      </x:c>
      <x:c r="D1102" s="28" t="n">
        <x:f>MOD(B1102,1)</x:f>
        <x:v>0.593368055553583</x:v>
      </x:c>
      <x:c r="E1102" s="29" t="n">
        <x:f>YEAR(B1102)</x:f>
        <x:v>2021</x:v>
      </x:c>
      <x:c r="F1102" s="29" t="n">
        <x:f>MONTH(B1102)</x:f>
        <x:v>6</x:v>
      </x:c>
      <x:c r="G1102" s="30" t="n">
        <x:v>-34.95</x:v>
      </x:c>
      <x:c r="H1102" s="30" t="n">
        <x:v>-71.66</x:v>
      </x:c>
      <x:c r="I1102" s="29" t="n">
        <x:v>47</x:v>
      </x:c>
      <x:c r="J1102" s="31" t="n">
        <x:v>4.3</x:v>
      </x:c>
      <x:c r="K1102" s="25" t="str">
        <x:f>IF(J1102&gt;=7,"Muy fuerte (&gt;=7)",IF(J1102&gt;=6,"Fuerte (6-6.9)",IF(J1102&gt;=5,"Moderado alto (5-5.9)",IF(J1102&gt;=4,"Moderado (4-4.9)","Menor a 4"))))</x:f>
        <x:v>Moderado (4-4.9)</x:v>
      </x:c>
      <x:c r="L1102" s="25" t="str">
        <x:f>IF(I1102&lt;70,"Superficial (&lt;70 km)",IF(I1102&lt;=300,"Intermedio (70-300 km)","Profundo (&gt;300 km)"))</x:f>
        <x:v>Superficial (&lt;70 km)</x:v>
      </x:c>
      <x:c r="M1102" s="25" t="str">
        <x:f>IF(J1102&gt;=5,"Sí","No")</x:f>
        <x:v>No</x:v>
      </x:c>
      <x:c r="N1102" s="25" t="str">
        <x:f>IF(J1102&gt;=6,"Sí","No")</x:f>
        <x:v>No</x:v>
      </x:c>
      <x:c r="O1102" s="25" t="str">
        <x:v>Pendiente: asignar con R/sf</x:v>
      </x:c>
    </x:row>
    <x:row r="1103">
      <x:c r="A1103" s="25" t="n">
        <x:v>1102</x:v>
      </x:c>
      <x:c r="B1103" s="26" t="n">
        <x:v>43859.38568287037</x:v>
      </x:c>
      <x:c r="C1103" s="27" t="n">
        <x:f>INT(B1103)</x:f>
        <x:v>43859</x:v>
      </x:c>
      <x:c r="D1103" s="28" t="n">
        <x:f>MOD(B1103,1)</x:f>
        <x:v>0.3856828703719657</x:v>
      </x:c>
      <x:c r="E1103" s="29" t="n">
        <x:f>YEAR(B1103)</x:f>
        <x:v>2020</x:v>
      </x:c>
      <x:c r="F1103" s="29" t="n">
        <x:f>MONTH(B1103)</x:f>
        <x:v>1</x:v>
      </x:c>
      <x:c r="G1103" s="30" t="n">
        <x:v>-39.39</x:v>
      </x:c>
      <x:c r="H1103" s="30" t="n">
        <x:v>-72.27</x:v>
      </x:c>
      <x:c r="I1103" s="29" t="n">
        <x:v>83</x:v>
      </x:c>
      <x:c r="J1103" s="31" t="n">
        <x:v>4.1</x:v>
      </x:c>
      <x:c r="K1103" s="25" t="str">
        <x:f>IF(J1103&gt;=7,"Muy fuerte (&gt;=7)",IF(J1103&gt;=6,"Fuerte (6-6.9)",IF(J1103&gt;=5,"Moderado alto (5-5.9)",IF(J1103&gt;=4,"Moderado (4-4.9)","Menor a 4"))))</x:f>
        <x:v>Moderado (4-4.9)</x:v>
      </x:c>
      <x:c r="L1103" s="25" t="str">
        <x:f>IF(I1103&lt;70,"Superficial (&lt;70 km)",IF(I1103&lt;=300,"Intermedio (70-300 km)","Profundo (&gt;300 km)"))</x:f>
        <x:v>Intermedio (70-300 km)</x:v>
      </x:c>
      <x:c r="M1103" s="25" t="str">
        <x:f>IF(J1103&gt;=5,"Sí","No")</x:f>
        <x:v>No</x:v>
      </x:c>
      <x:c r="N1103" s="25" t="str">
        <x:f>IF(J1103&gt;=6,"Sí","No")</x:f>
        <x:v>No</x:v>
      </x:c>
      <x:c r="O1103" s="25" t="str">
        <x:v>Pendiente: asignar con R/sf</x:v>
      </x:c>
    </x:row>
    <x:row r="1104">
      <x:c r="A1104" s="25" t="n">
        <x:v>1103</x:v>
      </x:c>
      <x:c r="B1104" s="26" t="n">
        <x:v>44229.73365740741</x:v>
      </x:c>
      <x:c r="C1104" s="27" t="n">
        <x:f>INT(B1104)</x:f>
        <x:v>44229</x:v>
      </x:c>
      <x:c r="D1104" s="28" t="n">
        <x:f>MOD(B1104,1)</x:f>
        <x:v>0.7336574074070086</x:v>
      </x:c>
      <x:c r="E1104" s="29" t="n">
        <x:f>YEAR(B1104)</x:f>
        <x:v>2021</x:v>
      </x:c>
      <x:c r="F1104" s="29" t="n">
        <x:f>MONTH(B1104)</x:f>
        <x:v>2</x:v>
      </x:c>
      <x:c r="G1104" s="30" t="n">
        <x:v>-39.76</x:v>
      </x:c>
      <x:c r="H1104" s="30" t="n">
        <x:v>-73.22</x:v>
      </x:c>
      <x:c r="I1104" s="29" t="n">
        <x:v>40</x:v>
      </x:c>
      <x:c r="J1104" s="31" t="n">
        <x:v>4.2</x:v>
      </x:c>
      <x:c r="K1104" s="25" t="str">
        <x:f>IF(J1104&gt;=7,"Muy fuerte (&gt;=7)",IF(J1104&gt;=6,"Fuerte (6-6.9)",IF(J1104&gt;=5,"Moderado alto (5-5.9)",IF(J1104&gt;=4,"Moderado (4-4.9)","Menor a 4"))))</x:f>
        <x:v>Moderado (4-4.9)</x:v>
      </x:c>
      <x:c r="L1104" s="25" t="str">
        <x:f>IF(I1104&lt;70,"Superficial (&lt;70 km)",IF(I1104&lt;=300,"Intermedio (70-300 km)","Profundo (&gt;300 km)"))</x:f>
        <x:v>Superficial (&lt;70 km)</x:v>
      </x:c>
      <x:c r="M1104" s="25" t="str">
        <x:f>IF(J1104&gt;=5,"Sí","No")</x:f>
        <x:v>No</x:v>
      </x:c>
      <x:c r="N1104" s="25" t="str">
        <x:f>IF(J1104&gt;=6,"Sí","No")</x:f>
        <x:v>No</x:v>
      </x:c>
      <x:c r="O1104" s="25" t="str">
        <x:v>Pendiente: asignar con R/sf</x:v>
      </x:c>
    </x:row>
    <x:row r="1105">
      <x:c r="A1105" s="25" t="n">
        <x:v>1104</x:v>
      </x:c>
      <x:c r="B1105" s="26" t="n">
        <x:v>43587.52373842592</x:v>
      </x:c>
      <x:c r="C1105" s="27" t="n">
        <x:f>INT(B1105)</x:f>
        <x:v>43587</x:v>
      </x:c>
      <x:c r="D1105" s="28" t="n">
        <x:f>MOD(B1105,1)</x:f>
        <x:v>0.5237384259235114</x:v>
      </x:c>
      <x:c r="E1105" s="29" t="n">
        <x:f>YEAR(B1105)</x:f>
        <x:v>2019</x:v>
      </x:c>
      <x:c r="F1105" s="29" t="n">
        <x:f>MONTH(B1105)</x:f>
        <x:v>5</x:v>
      </x:c>
      <x:c r="G1105" s="30" t="n">
        <x:v>-35.33</x:v>
      </x:c>
      <x:c r="H1105" s="30" t="n">
        <x:v>-72.18</x:v>
      </x:c>
      <x:c r="I1105" s="29" t="n">
        <x:v>55</x:v>
      </x:c>
      <x:c r="J1105" s="31" t="n">
        <x:v>3.8</x:v>
      </x:c>
      <x:c r="K1105" s="25" t="str">
        <x:f>IF(J1105&gt;=7,"Muy fuerte (&gt;=7)",IF(J1105&gt;=6,"Fuerte (6-6.9)",IF(J1105&gt;=5,"Moderado alto (5-5.9)",IF(J1105&gt;=4,"Moderado (4-4.9)","Menor a 4"))))</x:f>
        <x:v>Menor a 4</x:v>
      </x:c>
      <x:c r="L1105" s="25" t="str">
        <x:f>IF(I1105&lt;70,"Superficial (&lt;70 km)",IF(I1105&lt;=300,"Intermedio (70-300 km)","Profundo (&gt;300 km)"))</x:f>
        <x:v>Superficial (&lt;70 km)</x:v>
      </x:c>
      <x:c r="M1105" s="25" t="str">
        <x:f>IF(J1105&gt;=5,"Sí","No")</x:f>
        <x:v>No</x:v>
      </x:c>
      <x:c r="N1105" s="25" t="str">
        <x:f>IF(J1105&gt;=6,"Sí","No")</x:f>
        <x:v>No</x:v>
      </x:c>
      <x:c r="O1105" s="25" t="str">
        <x:v>Pendiente: asignar con R/sf</x:v>
      </x:c>
    </x:row>
    <x:row r="1106">
      <x:c r="A1106" s="25" t="n">
        <x:v>1105</x:v>
      </x:c>
      <x:c r="B1106" s="26" t="n">
        <x:v>44315.09532407407</x:v>
      </x:c>
      <x:c r="C1106" s="27" t="n">
        <x:f>INT(B1106)</x:f>
        <x:v>44315</x:v>
      </x:c>
      <x:c r="D1106" s="28" t="n">
        <x:f>MOD(B1106,1)</x:f>
        <x:v>0.09532407407095889</x:v>
      </x:c>
      <x:c r="E1106" s="29" t="n">
        <x:f>YEAR(B1106)</x:f>
        <x:v>2021</x:v>
      </x:c>
      <x:c r="F1106" s="29" t="n">
        <x:f>MONTH(B1106)</x:f>
        <x:v>4</x:v>
      </x:c>
      <x:c r="G1106" s="30" t="n">
        <x:v>-37.29</x:v>
      </x:c>
      <x:c r="H1106" s="30" t="n">
        <x:v>-71.16</x:v>
      </x:c>
      <x:c r="I1106" s="29" t="n">
        <x:v>149</x:v>
      </x:c>
      <x:c r="J1106" s="31" t="n">
        <x:v>5.6</x:v>
      </x:c>
      <x:c r="K1106" s="25" t="str">
        <x:f>IF(J1106&gt;=7,"Muy fuerte (&gt;=7)",IF(J1106&gt;=6,"Fuerte (6-6.9)",IF(J1106&gt;=5,"Moderado alto (5-5.9)",IF(J1106&gt;=4,"Moderado (4-4.9)","Menor a 4"))))</x:f>
        <x:v>Moderado alto (5-5.9)</x:v>
      </x:c>
      <x:c r="L1106" s="25" t="str">
        <x:f>IF(I1106&lt;70,"Superficial (&lt;70 km)",IF(I1106&lt;=300,"Intermedio (70-300 km)","Profundo (&gt;300 km)"))</x:f>
        <x:v>Intermedio (70-300 km)</x:v>
      </x:c>
      <x:c r="M1106" s="25" t="str">
        <x:f>IF(J1106&gt;=5,"Sí","No")</x:f>
        <x:v>Sí</x:v>
      </x:c>
      <x:c r="N1106" s="25" t="str">
        <x:f>IF(J1106&gt;=6,"Sí","No")</x:f>
        <x:v>No</x:v>
      </x:c>
      <x:c r="O1106" s="25" t="str">
        <x:v>Pendiente: asignar con R/sf</x:v>
      </x:c>
    </x:row>
    <x:row r="1107">
      <x:c r="A1107" s="25" t="n">
        <x:v>1106</x:v>
      </x:c>
      <x:c r="B1107" s="26" t="n">
        <x:v>44238.619259259256</x:v>
      </x:c>
      <x:c r="C1107" s="27" t="n">
        <x:f>INT(B1107)</x:f>
        <x:v>44238</x:v>
      </x:c>
      <x:c r="D1107" s="28" t="n">
        <x:f>MOD(B1107,1)</x:f>
        <x:v>0.6192592592560686</x:v>
      </x:c>
      <x:c r="E1107" s="29" t="n">
        <x:f>YEAR(B1107)</x:f>
        <x:v>2021</x:v>
      </x:c>
      <x:c r="F1107" s="29" t="n">
        <x:f>MONTH(B1107)</x:f>
        <x:v>2</x:v>
      </x:c>
      <x:c r="G1107" s="30" t="n">
        <x:v>-39.8</x:v>
      </x:c>
      <x:c r="H1107" s="30" t="n">
        <x:v>-71.94</x:v>
      </x:c>
      <x:c r="I1107" s="29" t="n">
        <x:v>5</x:v>
      </x:c>
      <x:c r="J1107" s="31" t="n">
        <x:v>4.2</x:v>
      </x:c>
      <x:c r="K1107" s="25" t="str">
        <x:f>IF(J1107&gt;=7,"Muy fuerte (&gt;=7)",IF(J1107&gt;=6,"Fuerte (6-6.9)",IF(J1107&gt;=5,"Moderado alto (5-5.9)",IF(J1107&gt;=4,"Moderado (4-4.9)","Menor a 4"))))</x:f>
        <x:v>Moderado (4-4.9)</x:v>
      </x:c>
      <x:c r="L1107" s="25" t="str">
        <x:f>IF(I1107&lt;70,"Superficial (&lt;70 km)",IF(I1107&lt;=300,"Intermedio (70-300 km)","Profundo (&gt;300 km)"))</x:f>
        <x:v>Superficial (&lt;70 km)</x:v>
      </x:c>
      <x:c r="M1107" s="25" t="str">
        <x:f>IF(J1107&gt;=5,"Sí","No")</x:f>
        <x:v>No</x:v>
      </x:c>
      <x:c r="N1107" s="25" t="str">
        <x:f>IF(J1107&gt;=6,"Sí","No")</x:f>
        <x:v>No</x:v>
      </x:c>
      <x:c r="O1107" s="25" t="str">
        <x:v>Pendiente: asignar con R/sf</x:v>
      </x:c>
    </x:row>
    <x:row r="1108">
      <x:c r="A1108" s="25" t="n">
        <x:v>1107</x:v>
      </x:c>
      <x:c r="B1108" s="26" t="n">
        <x:v>43839.95340277778</x:v>
      </x:c>
      <x:c r="C1108" s="27" t="n">
        <x:f>INT(B1108)</x:f>
        <x:v>43839</x:v>
      </x:c>
      <x:c r="D1108" s="28" t="n">
        <x:f>MOD(B1108,1)</x:f>
        <x:v>0.953402777777228</x:v>
      </x:c>
      <x:c r="E1108" s="29" t="n">
        <x:f>YEAR(B1108)</x:f>
        <x:v>2020</x:v>
      </x:c>
      <x:c r="F1108" s="29" t="n">
        <x:f>MONTH(B1108)</x:f>
        <x:v>1</x:v>
      </x:c>
      <x:c r="G1108" s="30" t="n">
        <x:v>-35.07</x:v>
      </x:c>
      <x:c r="H1108" s="30" t="n">
        <x:v>-71.08</x:v>
      </x:c>
      <x:c r="I1108" s="29" t="n">
        <x:v>94</x:v>
      </x:c>
      <x:c r="J1108" s="31" t="n">
        <x:v>4.3</x:v>
      </x:c>
      <x:c r="K1108" s="25" t="str">
        <x:f>IF(J1108&gt;=7,"Muy fuerte (&gt;=7)",IF(J1108&gt;=6,"Fuerte (6-6.9)",IF(J1108&gt;=5,"Moderado alto (5-5.9)",IF(J1108&gt;=4,"Moderado (4-4.9)","Menor a 4"))))</x:f>
        <x:v>Moderado (4-4.9)</x:v>
      </x:c>
      <x:c r="L1108" s="25" t="str">
        <x:f>IF(I1108&lt;70,"Superficial (&lt;70 km)",IF(I1108&lt;=300,"Intermedio (70-300 km)","Profundo (&gt;300 km)"))</x:f>
        <x:v>Intermedio (70-300 km)</x:v>
      </x:c>
      <x:c r="M1108" s="25" t="str">
        <x:f>IF(J1108&gt;=5,"Sí","No")</x:f>
        <x:v>No</x:v>
      </x:c>
      <x:c r="N1108" s="25" t="str">
        <x:f>IF(J1108&gt;=6,"Sí","No")</x:f>
        <x:v>No</x:v>
      </x:c>
      <x:c r="O1108" s="25" t="str">
        <x:v>Pendiente: asignar con R/sf</x:v>
      </x:c>
    </x:row>
    <x:row r="1109">
      <x:c r="A1109" s="25" t="n">
        <x:v>1108</x:v>
      </x:c>
      <x:c r="B1109" s="26" t="n">
        <x:v>44250.18462962963</x:v>
      </x:c>
      <x:c r="C1109" s="27" t="n">
        <x:f>INT(B1109)</x:f>
        <x:v>44250</x:v>
      </x:c>
      <x:c r="D1109" s="28" t="n">
        <x:f>MOD(B1109,1)</x:f>
        <x:v>0.1846296296280343</x:v>
      </x:c>
      <x:c r="E1109" s="29" t="n">
        <x:f>YEAR(B1109)</x:f>
        <x:v>2021</x:v>
      </x:c>
      <x:c r="F1109" s="29" t="n">
        <x:f>MONTH(B1109)</x:f>
        <x:v>2</x:v>
      </x:c>
      <x:c r="G1109" s="30" t="n">
        <x:v>-35.35</x:v>
      </x:c>
      <x:c r="H1109" s="30" t="n">
        <x:v>-72.38</x:v>
      </x:c>
      <x:c r="I1109" s="29" t="n">
        <x:v>34</x:v>
      </x:c>
      <x:c r="J1109" s="31" t="n">
        <x:v>4.4</x:v>
      </x:c>
      <x:c r="K1109" s="25" t="str">
        <x:f>IF(J1109&gt;=7,"Muy fuerte (&gt;=7)",IF(J1109&gt;=6,"Fuerte (6-6.9)",IF(J1109&gt;=5,"Moderado alto (5-5.9)",IF(J1109&gt;=4,"Moderado (4-4.9)","Menor a 4"))))</x:f>
        <x:v>Moderado (4-4.9)</x:v>
      </x:c>
      <x:c r="L1109" s="25" t="str">
        <x:f>IF(I1109&lt;70,"Superficial (&lt;70 km)",IF(I1109&lt;=300,"Intermedio (70-300 km)","Profundo (&gt;300 km)"))</x:f>
        <x:v>Superficial (&lt;70 km)</x:v>
      </x:c>
      <x:c r="M1109" s="25" t="str">
        <x:f>IF(J1109&gt;=5,"Sí","No")</x:f>
        <x:v>No</x:v>
      </x:c>
      <x:c r="N1109" s="25" t="str">
        <x:f>IF(J1109&gt;=6,"Sí","No")</x:f>
        <x:v>No</x:v>
      </x:c>
      <x:c r="O1109" s="25" t="str">
        <x:v>Pendiente: asignar con R/sf</x:v>
      </x:c>
    </x:row>
    <x:row r="1110">
      <x:c r="A1110" s="25" t="n">
        <x:v>1109</x:v>
      </x:c>
      <x:c r="B1110" s="26" t="n">
        <x:v>44157.310115740744</x:v>
      </x:c>
      <x:c r="C1110" s="27" t="n">
        <x:f>INT(B1110)</x:f>
        <x:v>44157</x:v>
      </x:c>
      <x:c r="D1110" s="28" t="n">
        <x:f>MOD(B1110,1)</x:f>
        <x:v>0.31011574074364034</x:v>
      </x:c>
      <x:c r="E1110" s="29" t="n">
        <x:f>YEAR(B1110)</x:f>
        <x:v>2020</x:v>
      </x:c>
      <x:c r="F1110" s="29" t="n">
        <x:f>MONTH(B1110)</x:f>
        <x:v>11</x:v>
      </x:c>
      <x:c r="G1110" s="30" t="n">
        <x:v>-34.62</x:v>
      </x:c>
      <x:c r="H1110" s="30" t="n">
        <x:v>-73.08</x:v>
      </x:c>
      <x:c r="I1110" s="29" t="n">
        <x:v>39</x:v>
      </x:c>
      <x:c r="J1110" s="31" t="n">
        <x:v>4.7</x:v>
      </x:c>
      <x:c r="K1110" s="25" t="str">
        <x:f>IF(J1110&gt;=7,"Muy fuerte (&gt;=7)",IF(J1110&gt;=6,"Fuerte (6-6.9)",IF(J1110&gt;=5,"Moderado alto (5-5.9)",IF(J1110&gt;=4,"Moderado (4-4.9)","Menor a 4"))))</x:f>
        <x:v>Moderado (4-4.9)</x:v>
      </x:c>
      <x:c r="L1110" s="25" t="str">
        <x:f>IF(I1110&lt;70,"Superficial (&lt;70 km)",IF(I1110&lt;=300,"Intermedio (70-300 km)","Profundo (&gt;300 km)"))</x:f>
        <x:v>Superficial (&lt;70 km)</x:v>
      </x:c>
      <x:c r="M1110" s="25" t="str">
        <x:f>IF(J1110&gt;=5,"Sí","No")</x:f>
        <x:v>No</x:v>
      </x:c>
      <x:c r="N1110" s="25" t="str">
        <x:f>IF(J1110&gt;=6,"Sí","No")</x:f>
        <x:v>No</x:v>
      </x:c>
      <x:c r="O1110" s="25" t="str">
        <x:v>Pendiente: asignar con R/sf</x:v>
      </x:c>
    </x:row>
    <x:row r="1111">
      <x:c r="A1111" s="25" t="n">
        <x:v>1110</x:v>
      </x:c>
      <x:c r="B1111" s="26" t="n">
        <x:v>44238.58435185185</x:v>
      </x:c>
      <x:c r="C1111" s="27" t="n">
        <x:f>INT(B1111)</x:f>
        <x:v>44238</x:v>
      </x:c>
      <x:c r="D1111" s="28" t="n">
        <x:f>MOD(B1111,1)</x:f>
        <x:v>0.5843518518522615</x:v>
      </x:c>
      <x:c r="E1111" s="29" t="n">
        <x:f>YEAR(B1111)</x:f>
        <x:v>2021</x:v>
      </x:c>
      <x:c r="F1111" s="29" t="n">
        <x:f>MONTH(B1111)</x:f>
        <x:v>2</x:v>
      </x:c>
      <x:c r="G1111" s="30" t="n">
        <x:v>-39.8</x:v>
      </x:c>
      <x:c r="H1111" s="30" t="n">
        <x:v>-71.95</x:v>
      </x:c>
      <x:c r="I1111" s="29" t="n">
        <x:v>5</x:v>
      </x:c>
      <x:c r="J1111" s="31" t="n">
        <x:v>4.7</x:v>
      </x:c>
      <x:c r="K1111" s="25" t="str">
        <x:f>IF(J1111&gt;=7,"Muy fuerte (&gt;=7)",IF(J1111&gt;=6,"Fuerte (6-6.9)",IF(J1111&gt;=5,"Moderado alto (5-5.9)",IF(J1111&gt;=4,"Moderado (4-4.9)","Menor a 4"))))</x:f>
        <x:v>Moderado (4-4.9)</x:v>
      </x:c>
      <x:c r="L1111" s="25" t="str">
        <x:f>IF(I1111&lt;70,"Superficial (&lt;70 km)",IF(I1111&lt;=300,"Intermedio (70-300 km)","Profundo (&gt;300 km)"))</x:f>
        <x:v>Superficial (&lt;70 km)</x:v>
      </x:c>
      <x:c r="M1111" s="25" t="str">
        <x:f>IF(J1111&gt;=5,"Sí","No")</x:f>
        <x:v>No</x:v>
      </x:c>
      <x:c r="N1111" s="25" t="str">
        <x:f>IF(J1111&gt;=6,"Sí","No")</x:f>
        <x:v>No</x:v>
      </x:c>
      <x:c r="O1111" s="25" t="str">
        <x:v>Pendiente: asignar con R/sf</x:v>
      </x:c>
    </x:row>
    <x:row r="1112">
      <x:c r="A1112" s="25" t="n">
        <x:v>1111</x:v>
      </x:c>
      <x:c r="B1112" s="26" t="n">
        <x:v>43476.88681712963</x:v>
      </x:c>
      <x:c r="C1112" s="27" t="n">
        <x:f>INT(B1112)</x:f>
        <x:v>43476</x:v>
      </x:c>
      <x:c r="D1112" s="28" t="n">
        <x:f>MOD(B1112,1)</x:f>
        <x:v>0.8868171296271612</x:v>
      </x:c>
      <x:c r="E1112" s="29" t="n">
        <x:f>YEAR(B1112)</x:f>
        <x:v>2019</x:v>
      </x:c>
      <x:c r="F1112" s="29" t="n">
        <x:f>MONTH(B1112)</x:f>
        <x:v>1</x:v>
      </x:c>
      <x:c r="G1112" s="30" t="n">
        <x:v>-39.7</x:v>
      </x:c>
      <x:c r="H1112" s="30" t="n">
        <x:v>-73.57</x:v>
      </x:c>
      <x:c r="I1112" s="29" t="n">
        <x:v>40</x:v>
      </x:c>
      <x:c r="J1112" s="31" t="n">
        <x:v>3.6</x:v>
      </x:c>
      <x:c r="K1112" s="25" t="str">
        <x:f>IF(J1112&gt;=7,"Muy fuerte (&gt;=7)",IF(J1112&gt;=6,"Fuerte (6-6.9)",IF(J1112&gt;=5,"Moderado alto (5-5.9)",IF(J1112&gt;=4,"Moderado (4-4.9)","Menor a 4"))))</x:f>
        <x:v>Menor a 4</x:v>
      </x:c>
      <x:c r="L1112" s="25" t="str">
        <x:f>IF(I1112&lt;70,"Superficial (&lt;70 km)",IF(I1112&lt;=300,"Intermedio (70-300 km)","Profundo (&gt;300 km)"))</x:f>
        <x:v>Superficial (&lt;70 km)</x:v>
      </x:c>
      <x:c r="M1112" s="25" t="str">
        <x:f>IF(J1112&gt;=5,"Sí","No")</x:f>
        <x:v>No</x:v>
      </x:c>
      <x:c r="N1112" s="25" t="str">
        <x:f>IF(J1112&gt;=6,"Sí","No")</x:f>
        <x:v>No</x:v>
      </x:c>
      <x:c r="O1112" s="25" t="str">
        <x:v>Pendiente: asignar con R/sf</x:v>
      </x:c>
    </x:row>
    <x:row r="1113">
      <x:c r="A1113" s="25" t="n">
        <x:v>1112</x:v>
      </x:c>
      <x:c r="B1113" s="26" t="n">
        <x:v>43915.09028935185</x:v>
      </x:c>
      <x:c r="C1113" s="27" t="n">
        <x:f>INT(B1113)</x:f>
        <x:v>43915</x:v>
      </x:c>
      <x:c r="D1113" s="28" t="n">
        <x:f>MOD(B1113,1)</x:f>
        <x:v>0.09028935185051523</x:v>
      </x:c>
      <x:c r="E1113" s="29" t="n">
        <x:f>YEAR(B1113)</x:f>
        <x:v>2020</x:v>
      </x:c>
      <x:c r="F1113" s="29" t="n">
        <x:f>MONTH(B1113)</x:f>
        <x:v>3</x:v>
      </x:c>
      <x:c r="G1113" s="30" t="n">
        <x:v>-35.35</x:v>
      </x:c>
      <x:c r="H1113" s="30" t="n">
        <x:v>-72.5</x:v>
      </x:c>
      <x:c r="I1113" s="29" t="n">
        <x:v>11</x:v>
      </x:c>
      <x:c r="J1113" s="31" t="n">
        <x:v>3.3</x:v>
      </x:c>
      <x:c r="K1113" s="25" t="str">
        <x:f>IF(J1113&gt;=7,"Muy fuerte (&gt;=7)",IF(J1113&gt;=6,"Fuerte (6-6.9)",IF(J1113&gt;=5,"Moderado alto (5-5.9)",IF(J1113&gt;=4,"Moderado (4-4.9)","Menor a 4"))))</x:f>
        <x:v>Menor a 4</x:v>
      </x:c>
      <x:c r="L1113" s="25" t="str">
        <x:f>IF(I1113&lt;70,"Superficial (&lt;70 km)",IF(I1113&lt;=300,"Intermedio (70-300 km)","Profundo (&gt;300 km)"))</x:f>
        <x:v>Superficial (&lt;70 km)</x:v>
      </x:c>
      <x:c r="M1113" s="25" t="str">
        <x:f>IF(J1113&gt;=5,"Sí","No")</x:f>
        <x:v>No</x:v>
      </x:c>
      <x:c r="N1113" s="25" t="str">
        <x:f>IF(J1113&gt;=6,"Sí","No")</x:f>
        <x:v>No</x:v>
      </x:c>
      <x:c r="O1113" s="25" t="str">
        <x:v>Pendiente: asignar con R/sf</x:v>
      </x:c>
    </x:row>
    <x:row r="1114">
      <x:c r="A1114" s="25" t="n">
        <x:v>1113</x:v>
      </x:c>
      <x:c r="B1114" s="26" t="n">
        <x:v>44005.05564814815</x:v>
      </x:c>
      <x:c r="C1114" s="27" t="n">
        <x:f>INT(B1114)</x:f>
        <x:v>44005</x:v>
      </x:c>
      <x:c r="D1114" s="28" t="n">
        <x:f>MOD(B1114,1)</x:f>
        <x:v>0.05564814814715646</x:v>
      </x:c>
      <x:c r="E1114" s="29" t="n">
        <x:f>YEAR(B1114)</x:f>
        <x:v>2020</x:v>
      </x:c>
      <x:c r="F1114" s="29" t="n">
        <x:f>MONTH(B1114)</x:f>
        <x:v>6</x:v>
      </x:c>
      <x:c r="G1114" s="30" t="n">
        <x:v>-36.71</x:v>
      </x:c>
      <x:c r="H1114" s="30" t="n">
        <x:v>-72.47</x:v>
      </x:c>
      <x:c r="I1114" s="29" t="n">
        <x:v>64</x:v>
      </x:c>
      <x:c r="J1114" s="31" t="n">
        <x:v>4.7</x:v>
      </x:c>
      <x:c r="K1114" s="25" t="str">
        <x:f>IF(J1114&gt;=7,"Muy fuerte (&gt;=7)",IF(J1114&gt;=6,"Fuerte (6-6.9)",IF(J1114&gt;=5,"Moderado alto (5-5.9)",IF(J1114&gt;=4,"Moderado (4-4.9)","Menor a 4"))))</x:f>
        <x:v>Moderado (4-4.9)</x:v>
      </x:c>
      <x:c r="L1114" s="25" t="str">
        <x:f>IF(I1114&lt;70,"Superficial (&lt;70 km)",IF(I1114&lt;=300,"Intermedio (70-300 km)","Profundo (&gt;300 km)"))</x:f>
        <x:v>Superficial (&lt;70 km)</x:v>
      </x:c>
      <x:c r="M1114" s="25" t="str">
        <x:f>IF(J1114&gt;=5,"Sí","No")</x:f>
        <x:v>No</x:v>
      </x:c>
      <x:c r="N1114" s="25" t="str">
        <x:f>IF(J1114&gt;=6,"Sí","No")</x:f>
        <x:v>No</x:v>
      </x:c>
      <x:c r="O1114" s="25" t="str">
        <x:v>Pendiente: asignar con R/sf</x:v>
      </x:c>
    </x:row>
    <x:row r="1115">
      <x:c r="A1115" s="25" t="n">
        <x:v>1114</x:v>
      </x:c>
      <x:c r="B1115" s="26" t="n">
        <x:v>43915.28655092593</x:v>
      </x:c>
      <x:c r="C1115" s="27" t="n">
        <x:f>INT(B1115)</x:f>
        <x:v>43915</x:v>
      </x:c>
      <x:c r="D1115" s="28" t="n">
        <x:f>MOD(B1115,1)</x:f>
        <x:v>0.286550925928168</x:v>
      </x:c>
      <x:c r="E1115" s="29" t="n">
        <x:f>YEAR(B1115)</x:f>
        <x:v>2020</x:v>
      </x:c>
      <x:c r="F1115" s="29" t="n">
        <x:f>MONTH(B1115)</x:f>
        <x:v>3</x:v>
      </x:c>
      <x:c r="G1115" s="30" t="n">
        <x:v>-35.7</x:v>
      </x:c>
      <x:c r="H1115" s="30" t="n">
        <x:v>-73.63</x:v>
      </x:c>
      <x:c r="I1115" s="29" t="n">
        <x:v>24</x:v>
      </x:c>
      <x:c r="J1115" s="31" t="n">
        <x:v>4.7</x:v>
      </x:c>
      <x:c r="K1115" s="25" t="str">
        <x:f>IF(J1115&gt;=7,"Muy fuerte (&gt;=7)",IF(J1115&gt;=6,"Fuerte (6-6.9)",IF(J1115&gt;=5,"Moderado alto (5-5.9)",IF(J1115&gt;=4,"Moderado (4-4.9)","Menor a 4"))))</x:f>
        <x:v>Moderado (4-4.9)</x:v>
      </x:c>
      <x:c r="L1115" s="25" t="str">
        <x:f>IF(I1115&lt;70,"Superficial (&lt;70 km)",IF(I1115&lt;=300,"Intermedio (70-300 km)","Profundo (&gt;300 km)"))</x:f>
        <x:v>Superficial (&lt;70 km)</x:v>
      </x:c>
      <x:c r="M1115" s="25" t="str">
        <x:f>IF(J1115&gt;=5,"Sí","No")</x:f>
        <x:v>No</x:v>
      </x:c>
      <x:c r="N1115" s="25" t="str">
        <x:f>IF(J1115&gt;=6,"Sí","No")</x:f>
        <x:v>No</x:v>
      </x:c>
      <x:c r="O1115" s="25" t="str">
        <x:v>Pendiente: asignar con R/sf</x:v>
      </x:c>
    </x:row>
    <x:row r="1116">
      <x:c r="A1116" s="25" t="n">
        <x:v>1115</x:v>
      </x:c>
      <x:c r="B1116" s="26" t="n">
        <x:v>43879.231099537035</x:v>
      </x:c>
      <x:c r="C1116" s="27" t="n">
        <x:f>INT(B1116)</x:f>
        <x:v>43879</x:v>
      </x:c>
      <x:c r="D1116" s="28" t="n">
        <x:f>MOD(B1116,1)</x:f>
        <x:v>0.23109953703533392</x:v>
      </x:c>
      <x:c r="E1116" s="29" t="n">
        <x:f>YEAR(B1116)</x:f>
        <x:v>2020</x:v>
      </x:c>
      <x:c r="F1116" s="29" t="n">
        <x:f>MONTH(B1116)</x:f>
        <x:v>2</x:v>
      </x:c>
      <x:c r="G1116" s="30" t="n">
        <x:v>-35.72</x:v>
      </x:c>
      <x:c r="H1116" s="30" t="n">
        <x:v>-73.11</x:v>
      </x:c>
      <x:c r="I1116" s="29" t="n">
        <x:v>10</x:v>
      </x:c>
      <x:c r="J1116" s="31" t="n">
        <x:v>5.1</x:v>
      </x:c>
      <x:c r="K1116" s="25" t="str">
        <x:f>IF(J1116&gt;=7,"Muy fuerte (&gt;=7)",IF(J1116&gt;=6,"Fuerte (6-6.9)",IF(J1116&gt;=5,"Moderado alto (5-5.9)",IF(J1116&gt;=4,"Moderado (4-4.9)","Menor a 4"))))</x:f>
        <x:v>Moderado alto (5-5.9)</x:v>
      </x:c>
      <x:c r="L1116" s="25" t="str">
        <x:f>IF(I1116&lt;70,"Superficial (&lt;70 km)",IF(I1116&lt;=300,"Intermedio (70-300 km)","Profundo (&gt;300 km)"))</x:f>
        <x:v>Superficial (&lt;70 km)</x:v>
      </x:c>
      <x:c r="M1116" s="25" t="str">
        <x:f>IF(J1116&gt;=5,"Sí","No")</x:f>
        <x:v>Sí</x:v>
      </x:c>
      <x:c r="N1116" s="25" t="str">
        <x:f>IF(J1116&gt;=6,"Sí","No")</x:f>
        <x:v>No</x:v>
      </x:c>
      <x:c r="O1116" s="25" t="str">
        <x:v>Pendiente: asignar con R/sf</x:v>
      </x:c>
    </x:row>
    <x:row r="1117">
      <x:c r="A1117" s="25" t="n">
        <x:v>1116</x:v>
      </x:c>
      <x:c r="B1117" s="26" t="n">
        <x:v>44541.621041666665</x:v>
      </x:c>
      <x:c r="C1117" s="27" t="n">
        <x:f>INT(B1117)</x:f>
        <x:v>44541</x:v>
      </x:c>
      <x:c r="D1117" s="28" t="n">
        <x:f>MOD(B1117,1)</x:f>
        <x:v>0.6210416666654055</x:v>
      </x:c>
      <x:c r="E1117" s="29" t="n">
        <x:f>YEAR(B1117)</x:f>
        <x:v>2021</x:v>
      </x:c>
      <x:c r="F1117" s="29" t="n">
        <x:f>MONTH(B1117)</x:f>
        <x:v>12</x:v>
      </x:c>
      <x:c r="G1117" s="30" t="n">
        <x:v>-29.54</x:v>
      </x:c>
      <x:c r="H1117" s="30" t="n">
        <x:v>-71.25</x:v>
      </x:c>
      <x:c r="I1117" s="29" t="n">
        <x:v>53</x:v>
      </x:c>
      <x:c r="J1117" s="31" t="n">
        <x:v>5.4</x:v>
      </x:c>
      <x:c r="K1117" s="25" t="str">
        <x:f>IF(J1117&gt;=7,"Muy fuerte (&gt;=7)",IF(J1117&gt;=6,"Fuerte (6-6.9)",IF(J1117&gt;=5,"Moderado alto (5-5.9)",IF(J1117&gt;=4,"Moderado (4-4.9)","Menor a 4"))))</x:f>
        <x:v>Moderado alto (5-5.9)</x:v>
      </x:c>
      <x:c r="L1117" s="25" t="str">
        <x:f>IF(I1117&lt;70,"Superficial (&lt;70 km)",IF(I1117&lt;=300,"Intermedio (70-300 km)","Profundo (&gt;300 km)"))</x:f>
        <x:v>Superficial (&lt;70 km)</x:v>
      </x:c>
      <x:c r="M1117" s="25" t="str">
        <x:f>IF(J1117&gt;=5,"Sí","No")</x:f>
        <x:v>Sí</x:v>
      </x:c>
      <x:c r="N1117" s="25" t="str">
        <x:f>IF(J1117&gt;=6,"Sí","No")</x:f>
        <x:v>No</x:v>
      </x:c>
      <x:c r="O1117" s="25" t="str">
        <x:v>Pendiente: asignar con R/sf</x:v>
      </x:c>
    </x:row>
    <x:row r="1118">
      <x:c r="A1118" s="25" t="n">
        <x:v>1117</x:v>
      </x:c>
      <x:c r="B1118" s="26" t="n">
        <x:v>43758.73091435185</x:v>
      </x:c>
      <x:c r="C1118" s="27" t="n">
        <x:f>INT(B1118)</x:f>
        <x:v>43758</x:v>
      </x:c>
      <x:c r="D1118" s="28" t="n">
        <x:f>MOD(B1118,1)</x:f>
        <x:v>0.7309143518505152</x:v>
      </x:c>
      <x:c r="E1118" s="29" t="n">
        <x:f>YEAR(B1118)</x:f>
        <x:v>2019</x:v>
      </x:c>
      <x:c r="F1118" s="29" t="n">
        <x:f>MONTH(B1118)</x:f>
        <x:v>10</x:v>
      </x:c>
      <x:c r="G1118" s="30" t="n">
        <x:v>-39.57</x:v>
      </x:c>
      <x:c r="H1118" s="30" t="n">
        <x:v>-72.46</x:v>
      </x:c>
      <x:c r="I1118" s="29" t="n">
        <x:v>86</x:v>
      </x:c>
      <x:c r="J1118" s="31" t="n">
        <x:v>4.1</x:v>
      </x:c>
      <x:c r="K1118" s="25" t="str">
        <x:f>IF(J1118&gt;=7,"Muy fuerte (&gt;=7)",IF(J1118&gt;=6,"Fuerte (6-6.9)",IF(J1118&gt;=5,"Moderado alto (5-5.9)",IF(J1118&gt;=4,"Moderado (4-4.9)","Menor a 4"))))</x:f>
        <x:v>Moderado (4-4.9)</x:v>
      </x:c>
      <x:c r="L1118" s="25" t="str">
        <x:f>IF(I1118&lt;70,"Superficial (&lt;70 km)",IF(I1118&lt;=300,"Intermedio (70-300 km)","Profundo (&gt;300 km)"))</x:f>
        <x:v>Intermedio (70-300 km)</x:v>
      </x:c>
      <x:c r="M1118" s="25" t="str">
        <x:f>IF(J1118&gt;=5,"Sí","No")</x:f>
        <x:v>No</x:v>
      </x:c>
      <x:c r="N1118" s="25" t="str">
        <x:f>IF(J1118&gt;=6,"Sí","No")</x:f>
        <x:v>No</x:v>
      </x:c>
      <x:c r="O1118" s="25" t="str">
        <x:v>Pendiente: asignar con R/sf</x:v>
      </x:c>
    </x:row>
    <x:row r="1119">
      <x:c r="A1119" s="25" t="n">
        <x:v>1118</x:v>
      </x:c>
      <x:c r="B1119" s="26" t="n">
        <x:v>44296.69020833333</x:v>
      </x:c>
      <x:c r="C1119" s="27" t="n">
        <x:f>INT(B1119)</x:f>
        <x:v>44296</x:v>
      </x:c>
      <x:c r="D1119" s="28" t="n">
        <x:f>MOD(B1119,1)</x:f>
        <x:v>0.6902083333334303</x:v>
      </x:c>
      <x:c r="E1119" s="29" t="n">
        <x:f>YEAR(B1119)</x:f>
        <x:v>2021</x:v>
      </x:c>
      <x:c r="F1119" s="29" t="n">
        <x:f>MONTH(B1119)</x:f>
        <x:v>4</x:v>
      </x:c>
      <x:c r="G1119" s="30" t="n">
        <x:v>-39.51</x:v>
      </x:c>
      <x:c r="H1119" s="30" t="n">
        <x:v>-73.14</x:v>
      </x:c>
      <x:c r="I1119" s="29" t="n">
        <x:v>51</x:v>
      </x:c>
      <x:c r="J1119" s="31" t="n">
        <x:v>4.8</x:v>
      </x:c>
      <x:c r="K1119" s="25" t="str">
        <x:f>IF(J1119&gt;=7,"Muy fuerte (&gt;=7)",IF(J1119&gt;=6,"Fuerte (6-6.9)",IF(J1119&gt;=5,"Moderado alto (5-5.9)",IF(J1119&gt;=4,"Moderado (4-4.9)","Menor a 4"))))</x:f>
        <x:v>Moderado (4-4.9)</x:v>
      </x:c>
      <x:c r="L1119" s="25" t="str">
        <x:f>IF(I1119&lt;70,"Superficial (&lt;70 km)",IF(I1119&lt;=300,"Intermedio (70-300 km)","Profundo (&gt;300 km)"))</x:f>
        <x:v>Superficial (&lt;70 km)</x:v>
      </x:c>
      <x:c r="M1119" s="25" t="str">
        <x:f>IF(J1119&gt;=5,"Sí","No")</x:f>
        <x:v>No</x:v>
      </x:c>
      <x:c r="N1119" s="25" t="str">
        <x:f>IF(J1119&gt;=6,"Sí","No")</x:f>
        <x:v>No</x:v>
      </x:c>
      <x:c r="O1119" s="25" t="str">
        <x:v>Pendiente: asignar con R/sf</x:v>
      </x:c>
    </x:row>
    <x:row r="1120">
      <x:c r="A1120" s="25" t="n">
        <x:v>1119</x:v>
      </x:c>
      <x:c r="B1120" s="26" t="n">
        <x:v>44586.56967592592</x:v>
      </x:c>
      <x:c r="C1120" s="27" t="n">
        <x:f>INT(B1120)</x:f>
        <x:v>44586</x:v>
      </x:c>
      <x:c r="D1120" s="28" t="n">
        <x:f>MOD(B1120,1)</x:f>
        <x:v>0.5696759259226383</x:v>
      </x:c>
      <x:c r="E1120" s="29" t="n">
        <x:f>YEAR(B1120)</x:f>
        <x:v>2022</x:v>
      </x:c>
      <x:c r="F1120" s="29" t="n">
        <x:f>MONTH(B1120)</x:f>
        <x:v>1</x:v>
      </x:c>
      <x:c r="G1120" s="30" t="n">
        <x:v>-19.64</x:v>
      </x:c>
      <x:c r="H1120" s="30" t="n">
        <x:v>-69.21</x:v>
      </x:c>
      <x:c r="I1120" s="29" t="n">
        <x:v>103</x:v>
      </x:c>
      <x:c r="J1120" s="31" t="n">
        <x:v>4.9</x:v>
      </x:c>
      <x:c r="K1120" s="25" t="str">
        <x:f>IF(J1120&gt;=7,"Muy fuerte (&gt;=7)",IF(J1120&gt;=6,"Fuerte (6-6.9)",IF(J1120&gt;=5,"Moderado alto (5-5.9)",IF(J1120&gt;=4,"Moderado (4-4.9)","Menor a 4"))))</x:f>
        <x:v>Moderado (4-4.9)</x:v>
      </x:c>
      <x:c r="L1120" s="25" t="str">
        <x:f>IF(I1120&lt;70,"Superficial (&lt;70 km)",IF(I1120&lt;=300,"Intermedio (70-300 km)","Profundo (&gt;300 km)"))</x:f>
        <x:v>Intermedio (70-300 km)</x:v>
      </x:c>
      <x:c r="M1120" s="25" t="str">
        <x:f>IF(J1120&gt;=5,"Sí","No")</x:f>
        <x:v>No</x:v>
      </x:c>
      <x:c r="N1120" s="25" t="str">
        <x:f>IF(J1120&gt;=6,"Sí","No")</x:f>
        <x:v>No</x:v>
      </x:c>
      <x:c r="O1120" s="25" t="str">
        <x:v>Pendiente: asignar con R/sf</x:v>
      </x:c>
    </x:row>
    <x:row r="1121">
      <x:c r="A1121" s="25" t="n">
        <x:v>1120</x:v>
      </x:c>
      <x:c r="B1121" s="26" t="n">
        <x:v>44492.073229166665</x:v>
      </x:c>
      <x:c r="C1121" s="27" t="n">
        <x:f>INT(B1121)</x:f>
        <x:v>44492</x:v>
      </x:c>
      <x:c r="D1121" s="28" t="n">
        <x:f>MOD(B1121,1)</x:f>
        <x:v>0.07322916666453239</x:v>
      </x:c>
      <x:c r="E1121" s="29" t="n">
        <x:f>YEAR(B1121)</x:f>
        <x:v>2021</x:v>
      </x:c>
      <x:c r="F1121" s="29" t="n">
        <x:f>MONTH(B1121)</x:f>
        <x:v>10</x:v>
      </x:c>
      <x:c r="G1121" s="30" t="n">
        <x:v>-37.01</x:v>
      </x:c>
      <x:c r="H1121" s="30" t="n">
        <x:v>-72.73</x:v>
      </x:c>
      <x:c r="I1121" s="29" t="n">
        <x:v>19</x:v>
      </x:c>
      <x:c r="J1121" s="31" t="n">
        <x:v>4.7</x:v>
      </x:c>
      <x:c r="K1121" s="25" t="str">
        <x:f>IF(J1121&gt;=7,"Muy fuerte (&gt;=7)",IF(J1121&gt;=6,"Fuerte (6-6.9)",IF(J1121&gt;=5,"Moderado alto (5-5.9)",IF(J1121&gt;=4,"Moderado (4-4.9)","Menor a 4"))))</x:f>
        <x:v>Moderado (4-4.9)</x:v>
      </x:c>
      <x:c r="L1121" s="25" t="str">
        <x:f>IF(I1121&lt;70,"Superficial (&lt;70 km)",IF(I1121&lt;=300,"Intermedio (70-300 km)","Profundo (&gt;300 km)"))</x:f>
        <x:v>Superficial (&lt;70 km)</x:v>
      </x:c>
      <x:c r="M1121" s="25" t="str">
        <x:f>IF(J1121&gt;=5,"Sí","No")</x:f>
        <x:v>No</x:v>
      </x:c>
      <x:c r="N1121" s="25" t="str">
        <x:f>IF(J1121&gt;=6,"Sí","No")</x:f>
        <x:v>No</x:v>
      </x:c>
      <x:c r="O1121" s="25" t="str">
        <x:v>Pendiente: asignar con R/sf</x:v>
      </x:c>
    </x:row>
    <x:row r="1122">
      <x:c r="A1122" s="25" t="n">
        <x:v>1121</x:v>
      </x:c>
      <x:c r="B1122" s="26" t="n">
        <x:v>44527.811793981484</x:v>
      </x:c>
      <x:c r="C1122" s="27" t="n">
        <x:f>INT(B1122)</x:f>
        <x:v>44527</x:v>
      </x:c>
      <x:c r="D1122" s="28" t="n">
        <x:f>MOD(B1122,1)</x:f>
        <x:v>0.8117939814837882</x:v>
      </x:c>
      <x:c r="E1122" s="29" t="n">
        <x:f>YEAR(B1122)</x:f>
        <x:v>2021</x:v>
      </x:c>
      <x:c r="F1122" s="29" t="n">
        <x:f>MONTH(B1122)</x:f>
        <x:v>11</x:v>
      </x:c>
      <x:c r="G1122" s="30" t="n">
        <x:v>-38.83</x:v>
      </x:c>
      <x:c r="H1122" s="30" t="n">
        <x:v>-73.61</x:v>
      </x:c>
      <x:c r="I1122" s="29" t="n">
        <x:v>33</x:v>
      </x:c>
      <x:c r="J1122" s="31" t="n">
        <x:v>4.7</x:v>
      </x:c>
      <x:c r="K1122" s="25" t="str">
        <x:f>IF(J1122&gt;=7,"Muy fuerte (&gt;=7)",IF(J1122&gt;=6,"Fuerte (6-6.9)",IF(J1122&gt;=5,"Moderado alto (5-5.9)",IF(J1122&gt;=4,"Moderado (4-4.9)","Menor a 4"))))</x:f>
        <x:v>Moderado (4-4.9)</x:v>
      </x:c>
      <x:c r="L1122" s="25" t="str">
        <x:f>IF(I1122&lt;70,"Superficial (&lt;70 km)",IF(I1122&lt;=300,"Intermedio (70-300 km)","Profundo (&gt;300 km)"))</x:f>
        <x:v>Superficial (&lt;70 km)</x:v>
      </x:c>
      <x:c r="M1122" s="25" t="str">
        <x:f>IF(J1122&gt;=5,"Sí","No")</x:f>
        <x:v>No</x:v>
      </x:c>
      <x:c r="N1122" s="25" t="str">
        <x:f>IF(J1122&gt;=6,"Sí","No")</x:f>
        <x:v>No</x:v>
      </x:c>
      <x:c r="O1122" s="25" t="str">
        <x:v>Pendiente: asignar con R/sf</x:v>
      </x:c>
    </x:row>
    <x:row r="1123">
      <x:c r="A1123" s="25" t="n">
        <x:v>1122</x:v>
      </x:c>
      <x:c r="B1123" s="26" t="n">
        <x:v>43455.239282407405</x:v>
      </x:c>
      <x:c r="C1123" s="27" t="n">
        <x:f>INT(B1123)</x:f>
        <x:v>43455</x:v>
      </x:c>
      <x:c r="D1123" s="28" t="n">
        <x:f>MOD(B1123,1)</x:f>
        <x:v>0.2392824074049713</x:v>
      </x:c>
      <x:c r="E1123" s="29" t="n">
        <x:f>YEAR(B1123)</x:f>
        <x:v>2018</x:v>
      </x:c>
      <x:c r="F1123" s="29" t="n">
        <x:f>MONTH(B1123)</x:f>
        <x:v>12</x:v>
      </x:c>
      <x:c r="G1123" s="30" t="n">
        <x:v>-37.8</x:v>
      </x:c>
      <x:c r="H1123" s="30" t="n">
        <x:v>-73.4</x:v>
      </x:c>
      <x:c r="I1123" s="29" t="n">
        <x:v>42</x:v>
      </x:c>
      <x:c r="J1123" s="31" t="n">
        <x:v>4.2</x:v>
      </x:c>
      <x:c r="K1123" s="25" t="str">
        <x:f>IF(J1123&gt;=7,"Muy fuerte (&gt;=7)",IF(J1123&gt;=6,"Fuerte (6-6.9)",IF(J1123&gt;=5,"Moderado alto (5-5.9)",IF(J1123&gt;=4,"Moderado (4-4.9)","Menor a 4"))))</x:f>
        <x:v>Moderado (4-4.9)</x:v>
      </x:c>
      <x:c r="L1123" s="25" t="str">
        <x:f>IF(I1123&lt;70,"Superficial (&lt;70 km)",IF(I1123&lt;=300,"Intermedio (70-300 km)","Profundo (&gt;300 km)"))</x:f>
        <x:v>Superficial (&lt;70 km)</x:v>
      </x:c>
      <x:c r="M1123" s="25" t="str">
        <x:f>IF(J1123&gt;=5,"Sí","No")</x:f>
        <x:v>No</x:v>
      </x:c>
      <x:c r="N1123" s="25" t="str">
        <x:f>IF(J1123&gt;=6,"Sí","No")</x:f>
        <x:v>No</x:v>
      </x:c>
      <x:c r="O1123" s="25" t="str">
        <x:v>Pendiente: asignar con R/sf</x:v>
      </x:c>
    </x:row>
    <x:row r="1124">
      <x:c r="A1124" s="25" t="n">
        <x:v>1123</x:v>
      </x:c>
      <x:c r="B1124" s="26" t="n">
        <x:v>43607.946180555555</x:v>
      </x:c>
      <x:c r="C1124" s="27" t="n">
        <x:f>INT(B1124)</x:f>
        <x:v>43607</x:v>
      </x:c>
      <x:c r="D1124" s="28" t="n">
        <x:f>MOD(B1124,1)</x:f>
        <x:v>0.9461805555547471</x:v>
      </x:c>
      <x:c r="E1124" s="29" t="n">
        <x:f>YEAR(B1124)</x:f>
        <x:v>2019</x:v>
      </x:c>
      <x:c r="F1124" s="29" t="n">
        <x:f>MONTH(B1124)</x:f>
        <x:v>5</x:v>
      </x:c>
      <x:c r="G1124" s="30" t="n">
        <x:v>-38.42</x:v>
      </x:c>
      <x:c r="H1124" s="30" t="n">
        <x:v>-72.18</x:v>
      </x:c>
      <x:c r="I1124" s="29" t="n">
        <x:v>77</x:v>
      </x:c>
      <x:c r="J1124" s="31" t="n">
        <x:v>4.1</x:v>
      </x:c>
      <x:c r="K1124" s="25" t="str">
        <x:f>IF(J1124&gt;=7,"Muy fuerte (&gt;=7)",IF(J1124&gt;=6,"Fuerte (6-6.9)",IF(J1124&gt;=5,"Moderado alto (5-5.9)",IF(J1124&gt;=4,"Moderado (4-4.9)","Menor a 4"))))</x:f>
        <x:v>Moderado (4-4.9)</x:v>
      </x:c>
      <x:c r="L1124" s="25" t="str">
        <x:f>IF(I1124&lt;70,"Superficial (&lt;70 km)",IF(I1124&lt;=300,"Intermedio (70-300 km)","Profundo (&gt;300 km)"))</x:f>
        <x:v>Intermedio (70-300 km)</x:v>
      </x:c>
      <x:c r="M1124" s="25" t="str">
        <x:f>IF(J1124&gt;=5,"Sí","No")</x:f>
        <x:v>No</x:v>
      </x:c>
      <x:c r="N1124" s="25" t="str">
        <x:f>IF(J1124&gt;=6,"Sí","No")</x:f>
        <x:v>No</x:v>
      </x:c>
      <x:c r="O1124" s="25" t="str">
        <x:v>Pendiente: asignar con R/sf</x:v>
      </x:c>
    </x:row>
    <x:row r="1125">
      <x:c r="A1125" s="25" t="n">
        <x:v>1124</x:v>
      </x:c>
      <x:c r="B1125" s="26" t="n">
        <x:v>44458.03219907408</x:v>
      </x:c>
      <x:c r="C1125" s="27" t="n">
        <x:f>INT(B1125)</x:f>
        <x:v>44458</x:v>
      </x:c>
      <x:c r="D1125" s="28" t="n">
        <x:f>MOD(B1125,1)</x:f>
        <x:v>0.03219907407765277</x:v>
      </x:c>
      <x:c r="E1125" s="29" t="n">
        <x:f>YEAR(B1125)</x:f>
        <x:v>2021</x:v>
      </x:c>
      <x:c r="F1125" s="29" t="n">
        <x:f>MONTH(B1125)</x:f>
        <x:v>9</x:v>
      </x:c>
      <x:c r="G1125" s="30" t="n">
        <x:v>-30.01</x:v>
      </x:c>
      <x:c r="H1125" s="30" t="n">
        <x:v>-71.66</x:v>
      </x:c>
      <x:c r="I1125" s="29" t="n">
        <x:v>36</x:v>
      </x:c>
      <x:c r="J1125" s="31" t="n">
        <x:v>4.8</x:v>
      </x:c>
      <x:c r="K1125" s="25" t="str">
        <x:f>IF(J1125&gt;=7,"Muy fuerte (&gt;=7)",IF(J1125&gt;=6,"Fuerte (6-6.9)",IF(J1125&gt;=5,"Moderado alto (5-5.9)",IF(J1125&gt;=4,"Moderado (4-4.9)","Menor a 4"))))</x:f>
        <x:v>Moderado (4-4.9)</x:v>
      </x:c>
      <x:c r="L1125" s="25" t="str">
        <x:f>IF(I1125&lt;70,"Superficial (&lt;70 km)",IF(I1125&lt;=300,"Intermedio (70-300 km)","Profundo (&gt;300 km)"))</x:f>
        <x:v>Superficial (&lt;70 km)</x:v>
      </x:c>
      <x:c r="M1125" s="25" t="str">
        <x:f>IF(J1125&gt;=5,"Sí","No")</x:f>
        <x:v>No</x:v>
      </x:c>
      <x:c r="N1125" s="25" t="str">
        <x:f>IF(J1125&gt;=6,"Sí","No")</x:f>
        <x:v>No</x:v>
      </x:c>
      <x:c r="O1125" s="25" t="str">
        <x:v>Pendiente: asignar con R/sf</x:v>
      </x:c>
    </x:row>
    <x:row r="1126">
      <x:c r="A1126" s="25" t="n">
        <x:v>1125</x:v>
      </x:c>
      <x:c r="B1126" s="26" t="n">
        <x:v>44527.81387731482</x:v>
      </x:c>
      <x:c r="C1126" s="27" t="n">
        <x:f>INT(B1126)</x:f>
        <x:v>44527</x:v>
      </x:c>
      <x:c r="D1126" s="28" t="n">
        <x:f>MOD(B1126,1)</x:f>
        <x:v>0.8138773148166365</x:v>
      </x:c>
      <x:c r="E1126" s="29" t="n">
        <x:f>YEAR(B1126)</x:f>
        <x:v>2021</x:v>
      </x:c>
      <x:c r="F1126" s="29" t="n">
        <x:f>MONTH(B1126)</x:f>
        <x:v>11</x:v>
      </x:c>
      <x:c r="G1126" s="30" t="n">
        <x:v>-38.94</x:v>
      </x:c>
      <x:c r="H1126" s="30" t="n">
        <x:v>-73.52</x:v>
      </x:c>
      <x:c r="I1126" s="29" t="n">
        <x:v>21</x:v>
      </x:c>
      <x:c r="J1126" s="31" t="n">
        <x:v>4.5</x:v>
      </x:c>
      <x:c r="K1126" s="25" t="str">
        <x:f>IF(J1126&gt;=7,"Muy fuerte (&gt;=7)",IF(J1126&gt;=6,"Fuerte (6-6.9)",IF(J1126&gt;=5,"Moderado alto (5-5.9)",IF(J1126&gt;=4,"Moderado (4-4.9)","Menor a 4"))))</x:f>
        <x:v>Moderado (4-4.9)</x:v>
      </x:c>
      <x:c r="L1126" s="25" t="str">
        <x:f>IF(I1126&lt;70,"Superficial (&lt;70 km)",IF(I1126&lt;=300,"Intermedio (70-300 km)","Profundo (&gt;300 km)"))</x:f>
        <x:v>Superficial (&lt;70 km)</x:v>
      </x:c>
      <x:c r="M1126" s="25" t="str">
        <x:f>IF(J1126&gt;=5,"Sí","No")</x:f>
        <x:v>No</x:v>
      </x:c>
      <x:c r="N1126" s="25" t="str">
        <x:f>IF(J1126&gt;=6,"Sí","No")</x:f>
        <x:v>No</x:v>
      </x:c>
      <x:c r="O1126" s="25" t="str">
        <x:v>Pendiente: asignar con R/sf</x:v>
      </x:c>
    </x:row>
    <x:row r="1127">
      <x:c r="A1127" s="25" t="n">
        <x:v>1126</x:v>
      </x:c>
      <x:c r="B1127" s="26" t="n">
        <x:v>44589.021840277775</x:v>
      </x:c>
      <x:c r="C1127" s="27" t="n">
        <x:f>INT(B1127)</x:f>
        <x:v>44589</x:v>
      </x:c>
      <x:c r="D1127" s="28" t="n">
        <x:f>MOD(B1127,1)</x:f>
        <x:v>0.02184027777548181</x:v>
      </x:c>
      <x:c r="E1127" s="29" t="n">
        <x:f>YEAR(B1127)</x:f>
        <x:v>2022</x:v>
      </x:c>
      <x:c r="F1127" s="29" t="n">
        <x:f>MONTH(B1127)</x:f>
        <x:v>1</x:v>
      </x:c>
      <x:c r="G1127" s="30" t="n">
        <x:v>-19.2</x:v>
      </x:c>
      <x:c r="H1127" s="30" t="n">
        <x:v>-69.76</x:v>
      </x:c>
      <x:c r="I1127" s="29" t="n">
        <x:v>115</x:v>
      </x:c>
      <x:c r="J1127" s="31" t="n">
        <x:v>5.4</x:v>
      </x:c>
      <x:c r="K1127" s="25" t="str">
        <x:f>IF(J1127&gt;=7,"Muy fuerte (&gt;=7)",IF(J1127&gt;=6,"Fuerte (6-6.9)",IF(J1127&gt;=5,"Moderado alto (5-5.9)",IF(J1127&gt;=4,"Moderado (4-4.9)","Menor a 4"))))</x:f>
        <x:v>Moderado alto (5-5.9)</x:v>
      </x:c>
      <x:c r="L1127" s="25" t="str">
        <x:f>IF(I1127&lt;70,"Superficial (&lt;70 km)",IF(I1127&lt;=300,"Intermedio (70-300 km)","Profundo (&gt;300 km)"))</x:f>
        <x:v>Intermedio (70-300 km)</x:v>
      </x:c>
      <x:c r="M1127" s="25" t="str">
        <x:f>IF(J1127&gt;=5,"Sí","No")</x:f>
        <x:v>Sí</x:v>
      </x:c>
      <x:c r="N1127" s="25" t="str">
        <x:f>IF(J1127&gt;=6,"Sí","No")</x:f>
        <x:v>No</x:v>
      </x:c>
      <x:c r="O1127" s="25" t="str">
        <x:v>Pendiente: asignar con R/sf</x:v>
      </x:c>
    </x:row>
    <x:row r="1128">
      <x:c r="A1128" s="25" t="n">
        <x:v>1127</x:v>
      </x:c>
      <x:c r="B1128" s="26" t="n">
        <x:v>44302.34018518519</x:v>
      </x:c>
      <x:c r="C1128" s="27" t="n">
        <x:f>INT(B1128)</x:f>
        <x:v>44302</x:v>
      </x:c>
      <x:c r="D1128" s="28" t="n">
        <x:f>MOD(B1128,1)</x:f>
        <x:v>0.3401851851886022</x:v>
      </x:c>
      <x:c r="E1128" s="29" t="n">
        <x:f>YEAR(B1128)</x:f>
        <x:v>2021</x:v>
      </x:c>
      <x:c r="F1128" s="29" t="n">
        <x:f>MONTH(B1128)</x:f>
        <x:v>4</x:v>
      </x:c>
      <x:c r="G1128" s="30" t="n">
        <x:v>-30.82</x:v>
      </x:c>
      <x:c r="H1128" s="30" t="n">
        <x:v>-71.4</x:v>
      </x:c>
      <x:c r="I1128" s="29" t="n">
        <x:v>46</x:v>
      </x:c>
      <x:c r="J1128" s="31" t="n">
        <x:v>4.3</x:v>
      </x:c>
      <x:c r="K1128" s="25" t="str">
        <x:f>IF(J1128&gt;=7,"Muy fuerte (&gt;=7)",IF(J1128&gt;=6,"Fuerte (6-6.9)",IF(J1128&gt;=5,"Moderado alto (5-5.9)",IF(J1128&gt;=4,"Moderado (4-4.9)","Menor a 4"))))</x:f>
        <x:v>Moderado (4-4.9)</x:v>
      </x:c>
      <x:c r="L1128" s="25" t="str">
        <x:f>IF(I1128&lt;70,"Superficial (&lt;70 km)",IF(I1128&lt;=300,"Intermedio (70-300 km)","Profundo (&gt;300 km)"))</x:f>
        <x:v>Superficial (&lt;70 km)</x:v>
      </x:c>
      <x:c r="M1128" s="25" t="str">
        <x:f>IF(J1128&gt;=5,"Sí","No")</x:f>
        <x:v>No</x:v>
      </x:c>
      <x:c r="N1128" s="25" t="str">
        <x:f>IF(J1128&gt;=6,"Sí","No")</x:f>
        <x:v>No</x:v>
      </x:c>
      <x:c r="O1128" s="25" t="str">
        <x:v>Pendiente: asignar con R/sf</x:v>
      </x:c>
    </x:row>
    <x:row r="1129">
      <x:c r="A1129" s="25" t="n">
        <x:v>1128</x:v>
      </x:c>
      <x:c r="B1129" s="26" t="n">
        <x:v>44508.203310185185</x:v>
      </x:c>
      <x:c r="C1129" s="27" t="n">
        <x:f>INT(B1129)</x:f>
        <x:v>44508</x:v>
      </x:c>
      <x:c r="D1129" s="28" t="n">
        <x:f>MOD(B1129,1)</x:f>
        <x:v>0.2033101851848187</x:v>
      </x:c>
      <x:c r="E1129" s="29" t="n">
        <x:f>YEAR(B1129)</x:f>
        <x:v>2021</x:v>
      </x:c>
      <x:c r="F1129" s="29" t="n">
        <x:f>MONTH(B1129)</x:f>
        <x:v>11</x:v>
      </x:c>
      <x:c r="G1129" s="30" t="n">
        <x:v>-29.2</x:v>
      </x:c>
      <x:c r="H1129" s="30" t="n">
        <x:v>-71.02</x:v>
      </x:c>
      <x:c r="I1129" s="29" t="n">
        <x:v>87</x:v>
      </x:c>
      <x:c r="J1129" s="31" t="n">
        <x:v>4.8</x:v>
      </x:c>
      <x:c r="K1129" s="25" t="str">
        <x:f>IF(J1129&gt;=7,"Muy fuerte (&gt;=7)",IF(J1129&gt;=6,"Fuerte (6-6.9)",IF(J1129&gt;=5,"Moderado alto (5-5.9)",IF(J1129&gt;=4,"Moderado (4-4.9)","Menor a 4"))))</x:f>
        <x:v>Moderado (4-4.9)</x:v>
      </x:c>
      <x:c r="L1129" s="25" t="str">
        <x:f>IF(I1129&lt;70,"Superficial (&lt;70 km)",IF(I1129&lt;=300,"Intermedio (70-300 km)","Profundo (&gt;300 km)"))</x:f>
        <x:v>Intermedio (70-300 km)</x:v>
      </x:c>
      <x:c r="M1129" s="25" t="str">
        <x:f>IF(J1129&gt;=5,"Sí","No")</x:f>
        <x:v>No</x:v>
      </x:c>
      <x:c r="N1129" s="25" t="str">
        <x:f>IF(J1129&gt;=6,"Sí","No")</x:f>
        <x:v>No</x:v>
      </x:c>
      <x:c r="O1129" s="25" t="str">
        <x:v>Pendiente: asignar con R/sf</x:v>
      </x:c>
    </x:row>
    <x:row r="1130">
      <x:c r="A1130" s="25" t="n">
        <x:v>1129</x:v>
      </x:c>
      <x:c r="B1130" s="26" t="n">
        <x:v>44560.692766203705</x:v>
      </x:c>
      <x:c r="C1130" s="27" t="n">
        <x:f>INT(B1130)</x:f>
        <x:v>44560</x:v>
      </x:c>
      <x:c r="D1130" s="28" t="n">
        <x:f>MOD(B1130,1)</x:f>
        <x:v>0.692766203705105</x:v>
      </x:c>
      <x:c r="E1130" s="29" t="n">
        <x:f>YEAR(B1130)</x:f>
        <x:v>2021</x:v>
      </x:c>
      <x:c r="F1130" s="29" t="n">
        <x:f>MONTH(B1130)</x:f>
        <x:v>12</x:v>
      </x:c>
      <x:c r="G1130" s="30" t="n">
        <x:v>-19.61</x:v>
      </x:c>
      <x:c r="H1130" s="30" t="n">
        <x:v>-69.2</x:v>
      </x:c>
      <x:c r="I1130" s="29" t="n">
        <x:v>105</x:v>
      </x:c>
      <x:c r="J1130" s="31" t="n">
        <x:v>4.8</x:v>
      </x:c>
      <x:c r="K1130" s="25" t="str">
        <x:f>IF(J1130&gt;=7,"Muy fuerte (&gt;=7)",IF(J1130&gt;=6,"Fuerte (6-6.9)",IF(J1130&gt;=5,"Moderado alto (5-5.9)",IF(J1130&gt;=4,"Moderado (4-4.9)","Menor a 4"))))</x:f>
        <x:v>Moderado (4-4.9)</x:v>
      </x:c>
      <x:c r="L1130" s="25" t="str">
        <x:f>IF(I1130&lt;70,"Superficial (&lt;70 km)",IF(I1130&lt;=300,"Intermedio (70-300 km)","Profundo (&gt;300 km)"))</x:f>
        <x:v>Intermedio (70-300 km)</x:v>
      </x:c>
      <x:c r="M1130" s="25" t="str">
        <x:f>IF(J1130&gt;=5,"Sí","No")</x:f>
        <x:v>No</x:v>
      </x:c>
      <x:c r="N1130" s="25" t="str">
        <x:f>IF(J1130&gt;=6,"Sí","No")</x:f>
        <x:v>No</x:v>
      </x:c>
      <x:c r="O1130" s="25" t="str">
        <x:v>Pendiente: asignar con R/sf</x:v>
      </x:c>
    </x:row>
    <x:row r="1131">
      <x:c r="A1131" s="25" t="n">
        <x:v>1130</x:v>
      </x:c>
      <x:c r="B1131" s="26" t="n">
        <x:v>44153.23030092593</x:v>
      </x:c>
      <x:c r="C1131" s="27" t="n">
        <x:f>INT(B1131)</x:f>
        <x:v>44153</x:v>
      </x:c>
      <x:c r="D1131" s="28" t="n">
        <x:f>MOD(B1131,1)</x:f>
        <x:v>0.2303009259267128</x:v>
      </x:c>
      <x:c r="E1131" s="29" t="n">
        <x:f>YEAR(B1131)</x:f>
        <x:v>2020</x:v>
      </x:c>
      <x:c r="F1131" s="29" t="n">
        <x:f>MONTH(B1131)</x:f>
        <x:v>11</x:v>
      </x:c>
      <x:c r="G1131" s="30" t="n">
        <x:v>-29.84</x:v>
      </x:c>
      <x:c r="H1131" s="30" t="n">
        <x:v>-71.13</x:v>
      </x:c>
      <x:c r="I1131" s="29" t="n">
        <x:v>28</x:v>
      </x:c>
      <x:c r="J1131" s="31" t="n">
        <x:v>3.9</x:v>
      </x:c>
      <x:c r="K1131" s="25" t="str">
        <x:f>IF(J1131&gt;=7,"Muy fuerte (&gt;=7)",IF(J1131&gt;=6,"Fuerte (6-6.9)",IF(J1131&gt;=5,"Moderado alto (5-5.9)",IF(J1131&gt;=4,"Moderado (4-4.9)","Menor a 4"))))</x:f>
        <x:v>Menor a 4</x:v>
      </x:c>
      <x:c r="L1131" s="25" t="str">
        <x:f>IF(I1131&lt;70,"Superficial (&lt;70 km)",IF(I1131&lt;=300,"Intermedio (70-300 km)","Profundo (&gt;300 km)"))</x:f>
        <x:v>Superficial (&lt;70 km)</x:v>
      </x:c>
      <x:c r="M1131" s="25" t="str">
        <x:f>IF(J1131&gt;=5,"Sí","No")</x:f>
        <x:v>No</x:v>
      </x:c>
      <x:c r="N1131" s="25" t="str">
        <x:f>IF(J1131&gt;=6,"Sí","No")</x:f>
        <x:v>No</x:v>
      </x:c>
      <x:c r="O1131" s="25" t="str">
        <x:v>Pendiente: asignar con R/sf</x:v>
      </x:c>
    </x:row>
    <x:row r="1132">
      <x:c r="A1132" s="25" t="n">
        <x:v>1131</x:v>
      </x:c>
      <x:c r="B1132" s="26" t="n">
        <x:v>44412.018900462965</x:v>
      </x:c>
      <x:c r="C1132" s="27" t="n">
        <x:f>INT(B1132)</x:f>
        <x:v>44412</x:v>
      </x:c>
      <x:c r="D1132" s="28" t="n">
        <x:f>MOD(B1132,1)</x:f>
        <x:v>0.018900462964666076</x:v>
      </x:c>
      <x:c r="E1132" s="29" t="n">
        <x:f>YEAR(B1132)</x:f>
        <x:v>2021</x:v>
      </x:c>
      <x:c r="F1132" s="29" t="n">
        <x:f>MONTH(B1132)</x:f>
        <x:v>8</x:v>
      </x:c>
      <x:c r="G1132" s="30" t="n">
        <x:v>-30.07</x:v>
      </x:c>
      <x:c r="H1132" s="30" t="n">
        <x:v>-71.57</x:v>
      </x:c>
      <x:c r="I1132" s="29" t="n">
        <x:v>37</x:v>
      </x:c>
      <x:c r="J1132" s="31" t="n">
        <x:v>4.7</x:v>
      </x:c>
      <x:c r="K1132" s="25" t="str">
        <x:f>IF(J1132&gt;=7,"Muy fuerte (&gt;=7)",IF(J1132&gt;=6,"Fuerte (6-6.9)",IF(J1132&gt;=5,"Moderado alto (5-5.9)",IF(J1132&gt;=4,"Moderado (4-4.9)","Menor a 4"))))</x:f>
        <x:v>Moderado (4-4.9)</x:v>
      </x:c>
      <x:c r="L1132" s="25" t="str">
        <x:f>IF(I1132&lt;70,"Superficial (&lt;70 km)",IF(I1132&lt;=300,"Intermedio (70-300 km)","Profundo (&gt;300 km)"))</x:f>
        <x:v>Superficial (&lt;70 km)</x:v>
      </x:c>
      <x:c r="M1132" s="25" t="str">
        <x:f>IF(J1132&gt;=5,"Sí","No")</x:f>
        <x:v>No</x:v>
      </x:c>
      <x:c r="N1132" s="25" t="str">
        <x:f>IF(J1132&gt;=6,"Sí","No")</x:f>
        <x:v>No</x:v>
      </x:c>
      <x:c r="O1132" s="25" t="str">
        <x:v>Pendiente: asignar con R/sf</x:v>
      </x:c>
    </x:row>
    <x:row r="1133">
      <x:c r="A1133" s="25" t="n">
        <x:v>1132</x:v>
      </x:c>
      <x:c r="B1133" s="26" t="n">
        <x:v>44438.21770833333</x:v>
      </x:c>
      <x:c r="C1133" s="27" t="n">
        <x:f>INT(B1133)</x:f>
        <x:v>44438</x:v>
      </x:c>
      <x:c r="D1133" s="28" t="n">
        <x:f>MOD(B1133,1)</x:f>
        <x:v>0.2177083333299379</x:v>
      </x:c>
      <x:c r="E1133" s="29" t="n">
        <x:f>YEAR(B1133)</x:f>
        <x:v>2021</x:v>
      </x:c>
      <x:c r="F1133" s="29" t="n">
        <x:f>MONTH(B1133)</x:f>
        <x:v>8</x:v>
      </x:c>
      <x:c r="G1133" s="30" t="n">
        <x:v>-30.57</x:v>
      </x:c>
      <x:c r="H1133" s="30" t="n">
        <x:v>-71.3</x:v>
      </x:c>
      <x:c r="I1133" s="29" t="n">
        <x:v>71</x:v>
      </x:c>
      <x:c r="J1133" s="31" t="n">
        <x:v>4.5</x:v>
      </x:c>
      <x:c r="K1133" s="25" t="str">
        <x:f>IF(J1133&gt;=7,"Muy fuerte (&gt;=7)",IF(J1133&gt;=6,"Fuerte (6-6.9)",IF(J1133&gt;=5,"Moderado alto (5-5.9)",IF(J1133&gt;=4,"Moderado (4-4.9)","Menor a 4"))))</x:f>
        <x:v>Moderado (4-4.9)</x:v>
      </x:c>
      <x:c r="L1133" s="25" t="str">
        <x:f>IF(I1133&lt;70,"Superficial (&lt;70 km)",IF(I1133&lt;=300,"Intermedio (70-300 km)","Profundo (&gt;300 km)"))</x:f>
        <x:v>Intermedio (70-300 km)</x:v>
      </x:c>
      <x:c r="M1133" s="25" t="str">
        <x:f>IF(J1133&gt;=5,"Sí","No")</x:f>
        <x:v>No</x:v>
      </x:c>
      <x:c r="N1133" s="25" t="str">
        <x:f>IF(J1133&gt;=6,"Sí","No")</x:f>
        <x:v>No</x:v>
      </x:c>
      <x:c r="O1133" s="25" t="str">
        <x:v>Pendiente: asignar con R/sf</x:v>
      </x:c>
    </x:row>
    <x:row r="1134">
      <x:c r="A1134" s="25" t="n">
        <x:v>1133</x:v>
      </x:c>
      <x:c r="B1134" s="26" t="n">
        <x:v>44601.485555555555</x:v>
      </x:c>
      <x:c r="C1134" s="27" t="n">
        <x:f>INT(B1134)</x:f>
        <x:v>44601</x:v>
      </x:c>
      <x:c r="D1134" s="28" t="n">
        <x:f>MOD(B1134,1)</x:f>
        <x:v>0.48555555555503815</x:v>
      </x:c>
      <x:c r="E1134" s="29" t="n">
        <x:f>YEAR(B1134)</x:f>
        <x:v>2022</x:v>
      </x:c>
      <x:c r="F1134" s="29" t="n">
        <x:f>MONTH(B1134)</x:f>
        <x:v>2</x:v>
      </x:c>
      <x:c r="G1134" s="30" t="n">
        <x:v>-20.6</x:v>
      </x:c>
      <x:c r="H1134" s="30" t="n">
        <x:v>-69.13</x:v>
      </x:c>
      <x:c r="I1134" s="29" t="n">
        <x:v>95</x:v>
      </x:c>
      <x:c r="J1134" s="31" t="n">
        <x:v>4.9</x:v>
      </x:c>
      <x:c r="K1134" s="25" t="str">
        <x:f>IF(J1134&gt;=7,"Muy fuerte (&gt;=7)",IF(J1134&gt;=6,"Fuerte (6-6.9)",IF(J1134&gt;=5,"Moderado alto (5-5.9)",IF(J1134&gt;=4,"Moderado (4-4.9)","Menor a 4"))))</x:f>
        <x:v>Moderado (4-4.9)</x:v>
      </x:c>
      <x:c r="L1134" s="25" t="str">
        <x:f>IF(I1134&lt;70,"Superficial (&lt;70 km)",IF(I1134&lt;=300,"Intermedio (70-300 km)","Profundo (&gt;300 km)"))</x:f>
        <x:v>Intermedio (70-300 km)</x:v>
      </x:c>
      <x:c r="M1134" s="25" t="str">
        <x:f>IF(J1134&gt;=5,"Sí","No")</x:f>
        <x:v>No</x:v>
      </x:c>
      <x:c r="N1134" s="25" t="str">
        <x:f>IF(J1134&gt;=6,"Sí","No")</x:f>
        <x:v>No</x:v>
      </x:c>
      <x:c r="O1134" s="25" t="str">
        <x:v>Pendiente: asignar con R/sf</x:v>
      </x:c>
    </x:row>
    <x:row r="1135">
      <x:c r="A1135" s="25" t="n">
        <x:v>1134</x:v>
      </x:c>
      <x:c r="B1135" s="26" t="n">
        <x:v>44614.064675925925</x:v>
      </x:c>
      <x:c r="C1135" s="27" t="n">
        <x:f>INT(B1135)</x:f>
        <x:v>44614</x:v>
      </x:c>
      <x:c r="D1135" s="28" t="n">
        <x:f>MOD(B1135,1)</x:f>
        <x:v>0.06467592592525762</x:v>
      </x:c>
      <x:c r="E1135" s="29" t="n">
        <x:f>YEAR(B1135)</x:f>
        <x:v>2022</x:v>
      </x:c>
      <x:c r="F1135" s="29" t="n">
        <x:f>MONTH(B1135)</x:f>
        <x:v>2</x:v>
      </x:c>
      <x:c r="G1135" s="30" t="n">
        <x:v>-22.09</x:v>
      </x:c>
      <x:c r="H1135" s="30" t="n">
        <x:v>-70.32</x:v>
      </x:c>
      <x:c r="I1135" s="29" t="n">
        <x:v>37</x:v>
      </x:c>
      <x:c r="J1135" s="31" t="n">
        <x:v>3.2</x:v>
      </x:c>
      <x:c r="K1135" s="25" t="str">
        <x:f>IF(J1135&gt;=7,"Muy fuerte (&gt;=7)",IF(J1135&gt;=6,"Fuerte (6-6.9)",IF(J1135&gt;=5,"Moderado alto (5-5.9)",IF(J1135&gt;=4,"Moderado (4-4.9)","Menor a 4"))))</x:f>
        <x:v>Menor a 4</x:v>
      </x:c>
      <x:c r="L1135" s="25" t="str">
        <x:f>IF(I1135&lt;70,"Superficial (&lt;70 km)",IF(I1135&lt;=300,"Intermedio (70-300 km)","Profundo (&gt;300 km)"))</x:f>
        <x:v>Superficial (&lt;70 km)</x:v>
      </x:c>
      <x:c r="M1135" s="25" t="str">
        <x:f>IF(J1135&gt;=5,"Sí","No")</x:f>
        <x:v>No</x:v>
      </x:c>
      <x:c r="N1135" s="25" t="str">
        <x:f>IF(J1135&gt;=6,"Sí","No")</x:f>
        <x:v>No</x:v>
      </x:c>
      <x:c r="O1135" s="25" t="str">
        <x:v>Pendiente: asignar con R/sf</x:v>
      </x:c>
    </x:row>
    <x:row r="1136">
      <x:c r="A1136" s="25" t="n">
        <x:v>1135</x:v>
      </x:c>
      <x:c r="B1136" s="26" t="n">
        <x:v>44614.25892361111</x:v>
      </x:c>
      <x:c r="C1136" s="27" t="n">
        <x:f>INT(B1136)</x:f>
        <x:v>44614</x:v>
      </x:c>
      <x:c r="D1136" s="28" t="n">
        <x:f>MOD(B1136,1)</x:f>
        <x:v>0.25892361110891216</x:v>
      </x:c>
      <x:c r="E1136" s="29" t="n">
        <x:f>YEAR(B1136)</x:f>
        <x:v>2022</x:v>
      </x:c>
      <x:c r="F1136" s="29" t="n">
        <x:f>MONTH(B1136)</x:f>
        <x:v>2</x:v>
      </x:c>
      <x:c r="G1136" s="30" t="n">
        <x:v>-22.67</x:v>
      </x:c>
      <x:c r="H1136" s="30" t="n">
        <x:v>-66.43</x:v>
      </x:c>
      <x:c r="I1136" s="29" t="n">
        <x:v>254</x:v>
      </x:c>
      <x:c r="J1136" s="31" t="n">
        <x:v>6.1</x:v>
      </x:c>
      <x:c r="K1136" s="25" t="str">
        <x:f>IF(J1136&gt;=7,"Muy fuerte (&gt;=7)",IF(J1136&gt;=6,"Fuerte (6-6.9)",IF(J1136&gt;=5,"Moderado alto (5-5.9)",IF(J1136&gt;=4,"Moderado (4-4.9)","Menor a 4"))))</x:f>
        <x:v>Fuerte (6-6.9)</x:v>
      </x:c>
      <x:c r="L1136" s="25" t="str">
        <x:f>IF(I1136&lt;70,"Superficial (&lt;70 km)",IF(I1136&lt;=300,"Intermedio (70-300 km)","Profundo (&gt;300 km)"))</x:f>
        <x:v>Intermedio (70-300 km)</x:v>
      </x:c>
      <x:c r="M1136" s="25" t="str">
        <x:f>IF(J1136&gt;=5,"Sí","No")</x:f>
        <x:v>Sí</x:v>
      </x:c>
      <x:c r="N1136" s="25" t="str">
        <x:f>IF(J1136&gt;=6,"Sí","No")</x:f>
        <x:v>Sí</x:v>
      </x:c>
      <x:c r="O1136" s="25" t="str">
        <x:v>Pendiente: asignar con R/sf</x:v>
      </x:c>
    </x:row>
    <x:row r="1137">
      <x:c r="A1137" s="25" t="n">
        <x:v>1136</x:v>
      </x:c>
      <x:c r="B1137" s="26" t="n">
        <x:v>44617.21591435185</x:v>
      </x:c>
      <x:c r="C1137" s="27" t="n">
        <x:f>INT(B1137)</x:f>
        <x:v>44617</x:v>
      </x:c>
      <x:c r="D1137" s="28" t="n">
        <x:f>MOD(B1137,1)</x:f>
        <x:v>0.2159143518510973</x:v>
      </x:c>
      <x:c r="E1137" s="29" t="n">
        <x:f>YEAR(B1137)</x:f>
        <x:v>2022</x:v>
      </x:c>
      <x:c r="F1137" s="29" t="n">
        <x:f>MONTH(B1137)</x:f>
        <x:v>2</x:v>
      </x:c>
      <x:c r="G1137" s="30" t="n">
        <x:v>-28.7</x:v>
      </x:c>
      <x:c r="H1137" s="30" t="n">
        <x:v>-70.35</x:v>
      </x:c>
      <x:c r="I1137" s="29" t="n">
        <x:v>101</x:v>
      </x:c>
      <x:c r="J1137" s="31" t="n">
        <x:v>5.2</x:v>
      </x:c>
      <x:c r="K1137" s="25" t="str">
        <x:f>IF(J1137&gt;=7,"Muy fuerte (&gt;=7)",IF(J1137&gt;=6,"Fuerte (6-6.9)",IF(J1137&gt;=5,"Moderado alto (5-5.9)",IF(J1137&gt;=4,"Moderado (4-4.9)","Menor a 4"))))</x:f>
        <x:v>Moderado alto (5-5.9)</x:v>
      </x:c>
      <x:c r="L1137" s="25" t="str">
        <x:f>IF(I1137&lt;70,"Superficial (&lt;70 km)",IF(I1137&lt;=300,"Intermedio (70-300 km)","Profundo (&gt;300 km)"))</x:f>
        <x:v>Intermedio (70-300 km)</x:v>
      </x:c>
      <x:c r="M1137" s="25" t="str">
        <x:f>IF(J1137&gt;=5,"Sí","No")</x:f>
        <x:v>Sí</x:v>
      </x:c>
      <x:c r="N1137" s="25" t="str">
        <x:f>IF(J1137&gt;=6,"Sí","No")</x:f>
        <x:v>No</x:v>
      </x:c>
      <x:c r="O1137" s="25" t="str">
        <x:v>Pendiente: asignar con R/sf</x:v>
      </x:c>
    </x:row>
    <x:row r="1138">
      <x:c r="A1138" s="25" t="n">
        <x:v>1137</x:v>
      </x:c>
      <x:c r="B1138" s="26" t="n">
        <x:v>44620.052256944444</x:v>
      </x:c>
      <x:c r="C1138" s="27" t="n">
        <x:f>INT(B1138)</x:f>
        <x:v>44620</x:v>
      </x:c>
      <x:c r="D1138" s="28" t="n">
        <x:f>MOD(B1138,1)</x:f>
        <x:v>0.05225694444379769</x:v>
      </x:c>
      <x:c r="E1138" s="29" t="n">
        <x:f>YEAR(B1138)</x:f>
        <x:v>2022</x:v>
      </x:c>
      <x:c r="F1138" s="29" t="n">
        <x:f>MONTH(B1138)</x:f>
        <x:v>2</x:v>
      </x:c>
      <x:c r="G1138" s="30" t="n">
        <x:v>-36.94</x:v>
      </x:c>
      <x:c r="H1138" s="30" t="n">
        <x:v>-74.15</x:v>
      </x:c>
      <x:c r="I1138" s="29" t="n">
        <x:v>33</x:v>
      </x:c>
      <x:c r="J1138" s="31" t="n">
        <x:v>5.6</x:v>
      </x:c>
      <x:c r="K1138" s="25" t="str">
        <x:f>IF(J1138&gt;=7,"Muy fuerte (&gt;=7)",IF(J1138&gt;=6,"Fuerte (6-6.9)",IF(J1138&gt;=5,"Moderado alto (5-5.9)",IF(J1138&gt;=4,"Moderado (4-4.9)","Menor a 4"))))</x:f>
        <x:v>Moderado alto (5-5.9)</x:v>
      </x:c>
      <x:c r="L1138" s="25" t="str">
        <x:f>IF(I1138&lt;70,"Superficial (&lt;70 km)",IF(I1138&lt;=300,"Intermedio (70-300 km)","Profundo (&gt;300 km)"))</x:f>
        <x:v>Superficial (&lt;70 km)</x:v>
      </x:c>
      <x:c r="M1138" s="25" t="str">
        <x:f>IF(J1138&gt;=5,"Sí","No")</x:f>
        <x:v>Sí</x:v>
      </x:c>
      <x:c r="N1138" s="25" t="str">
        <x:f>IF(J1138&gt;=6,"Sí","No")</x:f>
        <x:v>No</x:v>
      </x:c>
      <x:c r="O1138" s="25" t="str">
        <x:v>Pendiente: asignar con R/sf</x:v>
      </x:c>
    </x:row>
    <x:row r="1139">
      <x:c r="A1139" s="25" t="n">
        <x:v>1138</x:v>
      </x:c>
      <x:c r="B1139" s="26" t="n">
        <x:v>44589.57184027778</x:v>
      </x:c>
      <x:c r="C1139" s="27" t="n">
        <x:f>INT(B1139)</x:f>
        <x:v>44589</x:v>
      </x:c>
      <x:c r="D1139" s="28" t="n">
        <x:f>MOD(B1139,1)</x:f>
        <x:v>0.5718402777783922</x:v>
      </x:c>
      <x:c r="E1139" s="29" t="n">
        <x:f>YEAR(B1139)</x:f>
        <x:v>2022</x:v>
      </x:c>
      <x:c r="F1139" s="29" t="n">
        <x:f>MONTH(B1139)</x:f>
        <x:v>1</x:v>
      </x:c>
      <x:c r="G1139" s="30" t="n">
        <x:v>-18.77</x:v>
      </x:c>
      <x:c r="H1139" s="30" t="n">
        <x:v>-69.54</x:v>
      </x:c>
      <x:c r="I1139" s="29" t="n">
        <x:v>117</x:v>
      </x:c>
      <x:c r="J1139" s="31" t="n">
        <x:v>4.9</x:v>
      </x:c>
      <x:c r="K1139" s="25" t="str">
        <x:f>IF(J1139&gt;=7,"Muy fuerte (&gt;=7)",IF(J1139&gt;=6,"Fuerte (6-6.9)",IF(J1139&gt;=5,"Moderado alto (5-5.9)",IF(J1139&gt;=4,"Moderado (4-4.9)","Menor a 4"))))</x:f>
        <x:v>Moderado (4-4.9)</x:v>
      </x:c>
      <x:c r="L1139" s="25" t="str">
        <x:f>IF(I1139&lt;70,"Superficial (&lt;70 km)",IF(I1139&lt;=300,"Intermedio (70-300 km)","Profundo (&gt;300 km)"))</x:f>
        <x:v>Intermedio (70-300 km)</x:v>
      </x:c>
      <x:c r="M1139" s="25" t="str">
        <x:f>IF(J1139&gt;=5,"Sí","No")</x:f>
        <x:v>No</x:v>
      </x:c>
      <x:c r="N1139" s="25" t="str">
        <x:f>IF(J1139&gt;=6,"Sí","No")</x:f>
        <x:v>No</x:v>
      </x:c>
      <x:c r="O1139" s="25" t="str">
        <x:v>Pendiente: asignar con R/sf</x:v>
      </x:c>
    </x:row>
    <x:row r="1140">
      <x:c r="A1140" s="25" t="n">
        <x:v>1139</x:v>
      </x:c>
      <x:c r="B1140" s="26" t="n">
        <x:v>43811.83541666667</x:v>
      </x:c>
      <x:c r="C1140" s="27" t="n">
        <x:f>INT(B1140)</x:f>
        <x:v>43811</x:v>
      </x:c>
      <x:c r="D1140" s="28" t="n">
        <x:f>MOD(B1140,1)</x:f>
        <x:v>0.8354166666686069</x:v>
      </x:c>
      <x:c r="E1140" s="29" t="n">
        <x:f>YEAR(B1140)</x:f>
        <x:v>2019</x:v>
      </x:c>
      <x:c r="F1140" s="29" t="n">
        <x:f>MONTH(B1140)</x:f>
        <x:v>12</x:v>
      </x:c>
      <x:c r="G1140" s="30" t="n">
        <x:v>-21.91</x:v>
      </x:c>
      <x:c r="H1140" s="30" t="n">
        <x:v>-70.27</x:v>
      </x:c>
      <x:c r="I1140" s="29" t="n">
        <x:v>15</x:v>
      </x:c>
      <x:c r="J1140" s="31" t="n">
        <x:v>3.4</x:v>
      </x:c>
      <x:c r="K1140" s="25" t="str">
        <x:f>IF(J1140&gt;=7,"Muy fuerte (&gt;=7)",IF(J1140&gt;=6,"Fuerte (6-6.9)",IF(J1140&gt;=5,"Moderado alto (5-5.9)",IF(J1140&gt;=4,"Moderado (4-4.9)","Menor a 4"))))</x:f>
        <x:v>Menor a 4</x:v>
      </x:c>
      <x:c r="L1140" s="25" t="str">
        <x:f>IF(I1140&lt;70,"Superficial (&lt;70 km)",IF(I1140&lt;=300,"Intermedio (70-300 km)","Profundo (&gt;300 km)"))</x:f>
        <x:v>Superficial (&lt;70 km)</x:v>
      </x:c>
      <x:c r="M1140" s="25" t="str">
        <x:f>IF(J1140&gt;=5,"Sí","No")</x:f>
        <x:v>No</x:v>
      </x:c>
      <x:c r="N1140" s="25" t="str">
        <x:f>IF(J1140&gt;=6,"Sí","No")</x:f>
        <x:v>No</x:v>
      </x:c>
      <x:c r="O1140" s="25" t="str">
        <x:v>Pendiente: asignar con R/sf</x:v>
      </x:c>
    </x:row>
    <x:row r="1141">
      <x:c r="A1141" s="25" t="n">
        <x:v>1140</x:v>
      </x:c>
      <x:c r="B1141" s="26" t="n">
        <x:v>44701.38041666667</x:v>
      </x:c>
      <x:c r="C1141" s="27" t="n">
        <x:f>INT(B1141)</x:f>
        <x:v>44701</x:v>
      </x:c>
      <x:c r="D1141" s="28" t="n">
        <x:f>MOD(B1141,1)</x:f>
        <x:v>0.3804166666668607</x:v>
      </x:c>
      <x:c r="E1141" s="29" t="n">
        <x:f>YEAR(B1141)</x:f>
        <x:v>2022</x:v>
      </x:c>
      <x:c r="F1141" s="29" t="n">
        <x:f>MONTH(B1141)</x:f>
        <x:v>5</x:v>
      </x:c>
      <x:c r="G1141" s="30" t="n">
        <x:v>-29.55</x:v>
      </x:c>
      <x:c r="H1141" s="30" t="n">
        <x:v>-71.88</x:v>
      </x:c>
      <x:c r="I1141" s="29" t="n">
        <x:v>49</x:v>
      </x:c>
      <x:c r="J1141" s="31" t="n">
        <x:v>5.7</x:v>
      </x:c>
      <x:c r="K1141" s="25" t="str">
        <x:f>IF(J1141&gt;=7,"Muy fuerte (&gt;=7)",IF(J1141&gt;=6,"Fuerte (6-6.9)",IF(J1141&gt;=5,"Moderado alto (5-5.9)",IF(J1141&gt;=4,"Moderado (4-4.9)","Menor a 4"))))</x:f>
        <x:v>Moderado alto (5-5.9)</x:v>
      </x:c>
      <x:c r="L1141" s="25" t="str">
        <x:f>IF(I1141&lt;70,"Superficial (&lt;70 km)",IF(I1141&lt;=300,"Intermedio (70-300 km)","Profundo (&gt;300 km)"))</x:f>
        <x:v>Superficial (&lt;70 km)</x:v>
      </x:c>
      <x:c r="M1141" s="25" t="str">
        <x:f>IF(J1141&gt;=5,"Sí","No")</x:f>
        <x:v>Sí</x:v>
      </x:c>
      <x:c r="N1141" s="25" t="str">
        <x:f>IF(J1141&gt;=6,"Sí","No")</x:f>
        <x:v>No</x:v>
      </x:c>
      <x:c r="O1141" s="25" t="str">
        <x:v>Pendiente: asignar con R/sf</x:v>
      </x:c>
    </x:row>
    <x:row r="1142">
      <x:c r="A1142" s="25" t="n">
        <x:v>1141</x:v>
      </x:c>
      <x:c r="B1142" s="26" t="n">
        <x:v>44692.63976851852</x:v>
      </x:c>
      <x:c r="C1142" s="27" t="n">
        <x:f>INT(B1142)</x:f>
        <x:v>44692</x:v>
      </x:c>
      <x:c r="D1142" s="28" t="n">
        <x:f>MOD(B1142,1)</x:f>
        <x:v>0.6397685185220325</x:v>
      </x:c>
      <x:c r="E1142" s="29" t="n">
        <x:f>YEAR(B1142)</x:f>
        <x:v>2022</x:v>
      </x:c>
      <x:c r="F1142" s="29" t="n">
        <x:f>MONTH(B1142)</x:f>
        <x:v>5</x:v>
      </x:c>
      <x:c r="G1142" s="30" t="n">
        <x:v>-21.68</x:v>
      </x:c>
      <x:c r="H1142" s="30" t="n">
        <x:v>-70.19</x:v>
      </x:c>
      <x:c r="I1142" s="29" t="n">
        <x:v>67</x:v>
      </x:c>
      <x:c r="J1142" s="31" t="n">
        <x:v>5</x:v>
      </x:c>
      <x:c r="K1142" s="25" t="str">
        <x:f>IF(J1142&gt;=7,"Muy fuerte (&gt;=7)",IF(J1142&gt;=6,"Fuerte (6-6.9)",IF(J1142&gt;=5,"Moderado alto (5-5.9)",IF(J1142&gt;=4,"Moderado (4-4.9)","Menor a 4"))))</x:f>
        <x:v>Moderado alto (5-5.9)</x:v>
      </x:c>
      <x:c r="L1142" s="25" t="str">
        <x:f>IF(I1142&lt;70,"Superficial (&lt;70 km)",IF(I1142&lt;=300,"Intermedio (70-300 km)","Profundo (&gt;300 km)"))</x:f>
        <x:v>Superficial (&lt;70 km)</x:v>
      </x:c>
      <x:c r="M1142" s="25" t="str">
        <x:f>IF(J1142&gt;=5,"Sí","No")</x:f>
        <x:v>Sí</x:v>
      </x:c>
      <x:c r="N1142" s="25" t="str">
        <x:f>IF(J1142&gt;=6,"Sí","No")</x:f>
        <x:v>No</x:v>
      </x:c>
      <x:c r="O1142" s="25" t="str">
        <x:v>Pendiente: asignar con R/sf</x:v>
      </x:c>
    </x:row>
    <x:row r="1143">
      <x:c r="A1143" s="25" t="n">
        <x:v>1142</x:v>
      </x:c>
      <x:c r="B1143" s="26" t="n">
        <x:v>44118.248136574075</x:v>
      </x:c>
      <x:c r="C1143" s="27" t="n">
        <x:f>INT(B1143)</x:f>
        <x:v>44118</x:v>
      </x:c>
      <x:c r="D1143" s="28" t="n">
        <x:f>MOD(B1143,1)</x:f>
        <x:v>0.24813657407503342</x:v>
      </x:c>
      <x:c r="E1143" s="29" t="n">
        <x:f>YEAR(B1143)</x:f>
        <x:v>2020</x:v>
      </x:c>
      <x:c r="F1143" s="29" t="n">
        <x:f>MONTH(B1143)</x:f>
        <x:v>10</x:v>
      </x:c>
      <x:c r="G1143" s="30" t="n">
        <x:v>-21.85</x:v>
      </x:c>
      <x:c r="H1143" s="30" t="n">
        <x:v>-70.39</x:v>
      </x:c>
      <x:c r="I1143" s="29" t="n">
        <x:v>33</x:v>
      </x:c>
      <x:c r="J1143" s="31" t="n">
        <x:v>3.8</x:v>
      </x:c>
      <x:c r="K1143" s="25" t="str">
        <x:f>IF(J1143&gt;=7,"Muy fuerte (&gt;=7)",IF(J1143&gt;=6,"Fuerte (6-6.9)",IF(J1143&gt;=5,"Moderado alto (5-5.9)",IF(J1143&gt;=4,"Moderado (4-4.9)","Menor a 4"))))</x:f>
        <x:v>Menor a 4</x:v>
      </x:c>
      <x:c r="L1143" s="25" t="str">
        <x:f>IF(I1143&lt;70,"Superficial (&lt;70 km)",IF(I1143&lt;=300,"Intermedio (70-300 km)","Profundo (&gt;300 km)"))</x:f>
        <x:v>Superficial (&lt;70 km)</x:v>
      </x:c>
      <x:c r="M1143" s="25" t="str">
        <x:f>IF(J1143&gt;=5,"Sí","No")</x:f>
        <x:v>No</x:v>
      </x:c>
      <x:c r="N1143" s="25" t="str">
        <x:f>IF(J1143&gt;=6,"Sí","No")</x:f>
        <x:v>No</x:v>
      </x:c>
      <x:c r="O1143" s="25" t="str">
        <x:v>Pendiente: asignar con R/sf</x:v>
      </x:c>
    </x:row>
    <x:row r="1144">
      <x:c r="A1144" s="25" t="n">
        <x:v>1143</x:v>
      </x:c>
      <x:c r="B1144" s="26" t="n">
        <x:v>44668.76050925926</x:v>
      </x:c>
      <x:c r="C1144" s="27" t="n">
        <x:f>INT(B1144)</x:f>
        <x:v>44668</x:v>
      </x:c>
      <x:c r="D1144" s="28" t="n">
        <x:f>MOD(B1144,1)</x:f>
        <x:v>0.7605092592566507</x:v>
      </x:c>
      <x:c r="E1144" s="29" t="n">
        <x:f>YEAR(B1144)</x:f>
        <x:v>2022</x:v>
      </x:c>
      <x:c r="F1144" s="29" t="n">
        <x:f>MONTH(B1144)</x:f>
        <x:v>4</x:v>
      </x:c>
      <x:c r="G1144" s="30" t="n">
        <x:v>-21.93</x:v>
      </x:c>
      <x:c r="H1144" s="30" t="n">
        <x:v>-70.39</x:v>
      </x:c>
      <x:c r="I1144" s="29" t="n">
        <x:v>30</x:v>
      </x:c>
      <x:c r="J1144" s="31" t="n">
        <x:v>3.8</x:v>
      </x:c>
      <x:c r="K1144" s="25" t="str">
        <x:f>IF(J1144&gt;=7,"Muy fuerte (&gt;=7)",IF(J1144&gt;=6,"Fuerte (6-6.9)",IF(J1144&gt;=5,"Moderado alto (5-5.9)",IF(J1144&gt;=4,"Moderado (4-4.9)","Menor a 4"))))</x:f>
        <x:v>Menor a 4</x:v>
      </x:c>
      <x:c r="L1144" s="25" t="str">
        <x:f>IF(I1144&lt;70,"Superficial (&lt;70 km)",IF(I1144&lt;=300,"Intermedio (70-300 km)","Profundo (&gt;300 km)"))</x:f>
        <x:v>Superficial (&lt;70 km)</x:v>
      </x:c>
      <x:c r="M1144" s="25" t="str">
        <x:f>IF(J1144&gt;=5,"Sí","No")</x:f>
        <x:v>No</x:v>
      </x:c>
      <x:c r="N1144" s="25" t="str">
        <x:f>IF(J1144&gt;=6,"Sí","No")</x:f>
        <x:v>No</x:v>
      </x:c>
      <x:c r="O1144" s="25" t="str">
        <x:v>Pendiente: asignar con R/sf</x:v>
      </x:c>
    </x:row>
    <x:row r="1145">
      <x:c r="A1145" s="25" t="n">
        <x:v>1144</x:v>
      </x:c>
      <x:c r="B1145" s="26" t="n">
        <x:v>44708.23423611111</x:v>
      </x:c>
      <x:c r="C1145" s="27" t="n">
        <x:f>INT(B1145)</x:f>
        <x:v>44708</x:v>
      </x:c>
      <x:c r="D1145" s="28" t="n">
        <x:f>MOD(B1145,1)</x:f>
        <x:v>0.234236111107748</x:v>
      </x:c>
      <x:c r="E1145" s="29" t="n">
        <x:f>YEAR(B1145)</x:f>
        <x:v>2022</x:v>
      </x:c>
      <x:c r="F1145" s="29" t="n">
        <x:f>MONTH(B1145)</x:f>
        <x:v>5</x:v>
      </x:c>
      <x:c r="G1145" s="30" t="n">
        <x:v>-26.44</x:v>
      </x:c>
      <x:c r="H1145" s="30" t="n">
        <x:v>-70.4</x:v>
      </x:c>
      <x:c r="I1145" s="29" t="n">
        <x:v>88</x:v>
      </x:c>
      <x:c r="J1145" s="31" t="n">
        <x:v>5.3</x:v>
      </x:c>
      <x:c r="K1145" s="25" t="str">
        <x:f>IF(J1145&gt;=7,"Muy fuerte (&gt;=7)",IF(J1145&gt;=6,"Fuerte (6-6.9)",IF(J1145&gt;=5,"Moderado alto (5-5.9)",IF(J1145&gt;=4,"Moderado (4-4.9)","Menor a 4"))))</x:f>
        <x:v>Moderado alto (5-5.9)</x:v>
      </x:c>
      <x:c r="L1145" s="25" t="str">
        <x:f>IF(I1145&lt;70,"Superficial (&lt;70 km)",IF(I1145&lt;=300,"Intermedio (70-300 km)","Profundo (&gt;300 km)"))</x:f>
        <x:v>Intermedio (70-300 km)</x:v>
      </x:c>
      <x:c r="M1145" s="25" t="str">
        <x:f>IF(J1145&gt;=5,"Sí","No")</x:f>
        <x:v>Sí</x:v>
      </x:c>
      <x:c r="N1145" s="25" t="str">
        <x:f>IF(J1145&gt;=6,"Sí","No")</x:f>
        <x:v>No</x:v>
      </x:c>
      <x:c r="O1145" s="25" t="str">
        <x:v>Pendiente: asignar con R/sf</x:v>
      </x:c>
    </x:row>
    <x:row r="1146">
      <x:c r="A1146" s="25" t="n">
        <x:v>1145</x:v>
      </x:c>
      <x:c r="B1146" s="26" t="n">
        <x:v>44662.2565625</x:v>
      </x:c>
      <x:c r="C1146" s="27" t="n">
        <x:f>INT(B1146)</x:f>
        <x:v>44662</x:v>
      </x:c>
      <x:c r="D1146" s="28" t="n">
        <x:f>MOD(B1146,1)</x:f>
        <x:v>0.25656249999883585</x:v>
      </x:c>
      <x:c r="E1146" s="29" t="n">
        <x:f>YEAR(B1146)</x:f>
        <x:v>2022</x:v>
      </x:c>
      <x:c r="F1146" s="29" t="n">
        <x:f>MONTH(B1146)</x:f>
        <x:v>4</x:v>
      </x:c>
      <x:c r="G1146" s="30" t="n">
        <x:v>-22.28</x:v>
      </x:c>
      <x:c r="H1146" s="30" t="n">
        <x:v>-70.48</x:v>
      </x:c>
      <x:c r="I1146" s="29" t="n">
        <x:v>10</x:v>
      </x:c>
      <x:c r="J1146" s="31" t="n">
        <x:v>3.7</x:v>
      </x:c>
      <x:c r="K1146" s="25" t="str">
        <x:f>IF(J1146&gt;=7,"Muy fuerte (&gt;=7)",IF(J1146&gt;=6,"Fuerte (6-6.9)",IF(J1146&gt;=5,"Moderado alto (5-5.9)",IF(J1146&gt;=4,"Moderado (4-4.9)","Menor a 4"))))</x:f>
        <x:v>Menor a 4</x:v>
      </x:c>
      <x:c r="L1146" s="25" t="str">
        <x:f>IF(I1146&lt;70,"Superficial (&lt;70 km)",IF(I1146&lt;=300,"Intermedio (70-300 km)","Profundo (&gt;300 km)"))</x:f>
        <x:v>Superficial (&lt;70 km)</x:v>
      </x:c>
      <x:c r="M1146" s="25" t="str">
        <x:f>IF(J1146&gt;=5,"Sí","No")</x:f>
        <x:v>No</x:v>
      </x:c>
      <x:c r="N1146" s="25" t="str">
        <x:f>IF(J1146&gt;=6,"Sí","No")</x:f>
        <x:v>No</x:v>
      </x:c>
      <x:c r="O1146" s="25" t="str">
        <x:v>Pendiente: asignar con R/sf</x:v>
      </x:c>
    </x:row>
    <x:row r="1147">
      <x:c r="A1147" s="25" t="n">
        <x:v>1146</x:v>
      </x:c>
      <x:c r="B1147" s="26" t="n">
        <x:v>44668.780625</x:v>
      </x:c>
      <x:c r="C1147" s="27" t="n">
        <x:f>INT(B1147)</x:f>
        <x:v>44668</x:v>
      </x:c>
      <x:c r="D1147" s="28" t="n">
        <x:f>MOD(B1147,1)</x:f>
        <x:v>0.7806249999994179</x:v>
      </x:c>
      <x:c r="E1147" s="29" t="n">
        <x:f>YEAR(B1147)</x:f>
        <x:v>2022</x:v>
      </x:c>
      <x:c r="F1147" s="29" t="n">
        <x:f>MONTH(B1147)</x:f>
        <x:v>4</x:v>
      </x:c>
      <x:c r="G1147" s="30" t="n">
        <x:v>-21.94</x:v>
      </x:c>
      <x:c r="H1147" s="30" t="n">
        <x:v>-70.44</x:v>
      </x:c>
      <x:c r="I1147" s="29" t="n">
        <x:v>31</x:v>
      </x:c>
      <x:c r="J1147" s="31" t="n">
        <x:v>3.6</x:v>
      </x:c>
      <x:c r="K1147" s="25" t="str">
        <x:f>IF(J1147&gt;=7,"Muy fuerte (&gt;=7)",IF(J1147&gt;=6,"Fuerte (6-6.9)",IF(J1147&gt;=5,"Moderado alto (5-5.9)",IF(J1147&gt;=4,"Moderado (4-4.9)","Menor a 4"))))</x:f>
        <x:v>Menor a 4</x:v>
      </x:c>
      <x:c r="L1147" s="25" t="str">
        <x:f>IF(I1147&lt;70,"Superficial (&lt;70 km)",IF(I1147&lt;=300,"Intermedio (70-300 km)","Profundo (&gt;300 km)"))</x:f>
        <x:v>Superficial (&lt;70 km)</x:v>
      </x:c>
      <x:c r="M1147" s="25" t="str">
        <x:f>IF(J1147&gt;=5,"Sí","No")</x:f>
        <x:v>No</x:v>
      </x:c>
      <x:c r="N1147" s="25" t="str">
        <x:f>IF(J1147&gt;=6,"Sí","No")</x:f>
        <x:v>No</x:v>
      </x:c>
      <x:c r="O1147" s="25" t="str">
        <x:v>Pendiente: asignar con R/sf</x:v>
      </x:c>
    </x:row>
    <x:row r="1148">
      <x:c r="A1148" s="25" t="n">
        <x:v>1147</x:v>
      </x:c>
      <x:c r="B1148" s="26" t="n">
        <x:v>44705.1580787037</x:v>
      </x:c>
      <x:c r="C1148" s="27" t="n">
        <x:f>INT(B1148)</x:f>
        <x:v>44705</x:v>
      </x:c>
      <x:c r="D1148" s="28" t="n">
        <x:f>MOD(B1148,1)</x:f>
        <x:v>0.15807870370190358</x:v>
      </x:c>
      <x:c r="E1148" s="29" t="n">
        <x:f>YEAR(B1148)</x:f>
        <x:v>2022</x:v>
      </x:c>
      <x:c r="F1148" s="29" t="n">
        <x:f>MONTH(B1148)</x:f>
        <x:v>5</x:v>
      </x:c>
      <x:c r="G1148" s="30" t="n">
        <x:v>-28.15</x:v>
      </x:c>
      <x:c r="H1148" s="30" t="n">
        <x:v>-70.75</x:v>
      </x:c>
      <x:c r="I1148" s="29" t="n">
        <x:v>50</x:v>
      </x:c>
      <x:c r="J1148" s="31" t="n">
        <x:v>5.1</x:v>
      </x:c>
      <x:c r="K1148" s="25" t="str">
        <x:f>IF(J1148&gt;=7,"Muy fuerte (&gt;=7)",IF(J1148&gt;=6,"Fuerte (6-6.9)",IF(J1148&gt;=5,"Moderado alto (5-5.9)",IF(J1148&gt;=4,"Moderado (4-4.9)","Menor a 4"))))</x:f>
        <x:v>Moderado alto (5-5.9)</x:v>
      </x:c>
      <x:c r="L1148" s="25" t="str">
        <x:f>IF(I1148&lt;70,"Superficial (&lt;70 km)",IF(I1148&lt;=300,"Intermedio (70-300 km)","Profundo (&gt;300 km)"))</x:f>
        <x:v>Superficial (&lt;70 km)</x:v>
      </x:c>
      <x:c r="M1148" s="25" t="str">
        <x:f>IF(J1148&gt;=5,"Sí","No")</x:f>
        <x:v>Sí</x:v>
      </x:c>
      <x:c r="N1148" s="25" t="str">
        <x:f>IF(J1148&gt;=6,"Sí","No")</x:f>
        <x:v>No</x:v>
      </x:c>
      <x:c r="O1148" s="25" t="str">
        <x:v>Pendiente: asignar con R/sf</x:v>
      </x:c>
    </x:row>
    <x:row r="1149">
      <x:c r="A1149" s="25" t="n">
        <x:v>1148</x:v>
      </x:c>
      <x:c r="B1149" s="26" t="n">
        <x:v>44350.67469907407</x:v>
      </x:c>
      <x:c r="C1149" s="27" t="n">
        <x:f>INT(B1149)</x:f>
        <x:v>44350</x:v>
      </x:c>
      <x:c r="D1149" s="28" t="n">
        <x:f>MOD(B1149,1)</x:f>
        <x:v>0.674699074072123</x:v>
      </x:c>
      <x:c r="E1149" s="29" t="n">
        <x:f>YEAR(B1149)</x:f>
        <x:v>2021</x:v>
      </x:c>
      <x:c r="F1149" s="29" t="n">
        <x:f>MONTH(B1149)</x:f>
        <x:v>6</x:v>
      </x:c>
      <x:c r="G1149" s="30" t="n">
        <x:v>-21.7</x:v>
      </x:c>
      <x:c r="H1149" s="30" t="n">
        <x:v>-70.47</x:v>
      </x:c>
      <x:c r="I1149" s="29" t="n">
        <x:v>33</x:v>
      </x:c>
      <x:c r="J1149" s="31" t="n">
        <x:v>3.8</x:v>
      </x:c>
      <x:c r="K1149" s="25" t="str">
        <x:f>IF(J1149&gt;=7,"Muy fuerte (&gt;=7)",IF(J1149&gt;=6,"Fuerte (6-6.9)",IF(J1149&gt;=5,"Moderado alto (5-5.9)",IF(J1149&gt;=4,"Moderado (4-4.9)","Menor a 4"))))</x:f>
        <x:v>Menor a 4</x:v>
      </x:c>
      <x:c r="L1149" s="25" t="str">
        <x:f>IF(I1149&lt;70,"Superficial (&lt;70 km)",IF(I1149&lt;=300,"Intermedio (70-300 km)","Profundo (&gt;300 km)"))</x:f>
        <x:v>Superficial (&lt;70 km)</x:v>
      </x:c>
      <x:c r="M1149" s="25" t="str">
        <x:f>IF(J1149&gt;=5,"Sí","No")</x:f>
        <x:v>No</x:v>
      </x:c>
      <x:c r="N1149" s="25" t="str">
        <x:f>IF(J1149&gt;=6,"Sí","No")</x:f>
        <x:v>No</x:v>
      </x:c>
      <x:c r="O1149" s="25" t="str">
        <x:v>Pendiente: asignar con R/sf</x:v>
      </x:c>
    </x:row>
    <x:row r="1150">
      <x:c r="A1150" s="25" t="n">
        <x:v>1149</x:v>
      </x:c>
      <x:c r="B1150" s="26" t="n">
        <x:v>44691.96283564815</x:v>
      </x:c>
      <x:c r="C1150" s="27" t="n">
        <x:f>INT(B1150)</x:f>
        <x:v>44691</x:v>
      </x:c>
      <x:c r="D1150" s="28" t="n">
        <x:f>MOD(B1150,1)</x:f>
        <x:v>0.9628356481480296</x:v>
      </x:c>
      <x:c r="E1150" s="29" t="n">
        <x:f>YEAR(B1150)</x:f>
        <x:v>2022</x:v>
      </x:c>
      <x:c r="F1150" s="29" t="n">
        <x:f>MONTH(B1150)</x:f>
        <x:v>5</x:v>
      </x:c>
      <x:c r="G1150" s="30" t="n">
        <x:v>-23.38</x:v>
      </x:c>
      <x:c r="H1150" s="30" t="n">
        <x:v>-67.31</x:v>
      </x:c>
      <x:c r="I1150" s="29" t="n">
        <x:v>250</x:v>
      </x:c>
      <x:c r="J1150" s="31" t="n">
        <x:v>6.9</x:v>
      </x:c>
      <x:c r="K1150" s="25" t="str">
        <x:f>IF(J1150&gt;=7,"Muy fuerte (&gt;=7)",IF(J1150&gt;=6,"Fuerte (6-6.9)",IF(J1150&gt;=5,"Moderado alto (5-5.9)",IF(J1150&gt;=4,"Moderado (4-4.9)","Menor a 4"))))</x:f>
        <x:v>Fuerte (6-6.9)</x:v>
      </x:c>
      <x:c r="L1150" s="25" t="str">
        <x:f>IF(I1150&lt;70,"Superficial (&lt;70 km)",IF(I1150&lt;=300,"Intermedio (70-300 km)","Profundo (&gt;300 km)"))</x:f>
        <x:v>Intermedio (70-300 km)</x:v>
      </x:c>
      <x:c r="M1150" s="25" t="str">
        <x:f>IF(J1150&gt;=5,"Sí","No")</x:f>
        <x:v>Sí</x:v>
      </x:c>
      <x:c r="N1150" s="25" t="str">
        <x:f>IF(J1150&gt;=6,"Sí","No")</x:f>
        <x:v>Sí</x:v>
      </x:c>
      <x:c r="O1150" s="25" t="str">
        <x:v>Pendiente: asignar con R/sf</x:v>
      </x:c>
    </x:row>
    <x:row r="1151">
      <x:c r="A1151" s="25" t="n">
        <x:v>1150</x:v>
      </x:c>
      <x:c r="B1151" s="26" t="n">
        <x:v>44521.493738425925</x:v>
      </x:c>
      <x:c r="C1151" s="27" t="n">
        <x:f>INT(B1151)</x:f>
        <x:v>44521</x:v>
      </x:c>
      <x:c r="D1151" s="28" t="n">
        <x:f>MOD(B1151,1)</x:f>
        <x:v>0.49373842592467554</x:v>
      </x:c>
      <x:c r="E1151" s="29" t="n">
        <x:f>YEAR(B1151)</x:f>
        <x:v>2021</x:v>
      </x:c>
      <x:c r="F1151" s="29" t="n">
        <x:f>MONTH(B1151)</x:f>
        <x:v>11</x:v>
      </x:c>
      <x:c r="G1151" s="30" t="n">
        <x:v>-23.95</x:v>
      </x:c>
      <x:c r="H1151" s="30" t="n">
        <x:v>-70.43</x:v>
      </x:c>
      <x:c r="I1151" s="29" t="n">
        <x:v>32</x:v>
      </x:c>
      <x:c r="J1151" s="31" t="n">
        <x:v>4.8</x:v>
      </x:c>
      <x:c r="K1151" s="25" t="str">
        <x:f>IF(J1151&gt;=7,"Muy fuerte (&gt;=7)",IF(J1151&gt;=6,"Fuerte (6-6.9)",IF(J1151&gt;=5,"Moderado alto (5-5.9)",IF(J1151&gt;=4,"Moderado (4-4.9)","Menor a 4"))))</x:f>
        <x:v>Moderado (4-4.9)</x:v>
      </x:c>
      <x:c r="L1151" s="25" t="str">
        <x:f>IF(I1151&lt;70,"Superficial (&lt;70 km)",IF(I1151&lt;=300,"Intermedio (70-300 km)","Profundo (&gt;300 km)"))</x:f>
        <x:v>Superficial (&lt;70 km)</x:v>
      </x:c>
      <x:c r="M1151" s="25" t="str">
        <x:f>IF(J1151&gt;=5,"Sí","No")</x:f>
        <x:v>No</x:v>
      </x:c>
      <x:c r="N1151" s="25" t="str">
        <x:f>IF(J1151&gt;=6,"Sí","No")</x:f>
        <x:v>No</x:v>
      </x:c>
      <x:c r="O1151" s="25" t="str">
        <x:v>Pendiente: asignar con R/sf</x:v>
      </x:c>
    </x:row>
    <x:row r="1152">
      <x:c r="A1152" s="25" t="n">
        <x:v>1151</x:v>
      </x:c>
      <x:c r="B1152" s="26" t="n">
        <x:v>44685.28763888889</x:v>
      </x:c>
      <x:c r="C1152" s="27" t="n">
        <x:f>INT(B1152)</x:f>
        <x:v>44685</x:v>
      </x:c>
      <x:c r="D1152" s="28" t="n">
        <x:f>MOD(B1152,1)</x:f>
        <x:v>0.2876388888907968</x:v>
      </x:c>
      <x:c r="E1152" s="29" t="n">
        <x:f>YEAR(B1152)</x:f>
        <x:v>2022</x:v>
      </x:c>
      <x:c r="F1152" s="29" t="n">
        <x:f>MONTH(B1152)</x:f>
        <x:v>5</x:v>
      </x:c>
      <x:c r="G1152" s="30" t="n">
        <x:v>-32.25</x:v>
      </x:c>
      <x:c r="H1152" s="30" t="n">
        <x:v>-71.94</x:v>
      </x:c>
      <x:c r="I1152" s="29" t="n">
        <x:v>26</x:v>
      </x:c>
      <x:c r="J1152" s="31" t="n">
        <x:v>5.2</x:v>
      </x:c>
      <x:c r="K1152" s="25" t="str">
        <x:f>IF(J1152&gt;=7,"Muy fuerte (&gt;=7)",IF(J1152&gt;=6,"Fuerte (6-6.9)",IF(J1152&gt;=5,"Moderado alto (5-5.9)",IF(J1152&gt;=4,"Moderado (4-4.9)","Menor a 4"))))</x:f>
        <x:v>Moderado alto (5-5.9)</x:v>
      </x:c>
      <x:c r="L1152" s="25" t="str">
        <x:f>IF(I1152&lt;70,"Superficial (&lt;70 km)",IF(I1152&lt;=300,"Intermedio (70-300 km)","Profundo (&gt;300 km)"))</x:f>
        <x:v>Superficial (&lt;70 km)</x:v>
      </x:c>
      <x:c r="M1152" s="25" t="str">
        <x:f>IF(J1152&gt;=5,"Sí","No")</x:f>
        <x:v>Sí</x:v>
      </x:c>
      <x:c r="N1152" s="25" t="str">
        <x:f>IF(J1152&gt;=6,"Sí","No")</x:f>
        <x:v>No</x:v>
      </x:c>
      <x:c r="O1152" s="25" t="str">
        <x:v>Pendiente: asignar con R/sf</x:v>
      </x:c>
    </x:row>
    <x:row r="1153">
      <x:c r="A1153" s="25" t="n">
        <x:v>1152</x:v>
      </x:c>
      <x:c r="B1153" s="26" t="n">
        <x:v>44650.970243055555</x:v>
      </x:c>
      <x:c r="C1153" s="27" t="n">
        <x:f>INT(B1153)</x:f>
        <x:v>44650</x:v>
      </x:c>
      <x:c r="D1153" s="28" t="n">
        <x:f>MOD(B1153,1)</x:f>
        <x:v>0.9702430555553292</x:v>
      </x:c>
      <x:c r="E1153" s="29" t="n">
        <x:f>YEAR(B1153)</x:f>
        <x:v>2022</x:v>
      </x:c>
      <x:c r="F1153" s="29" t="n">
        <x:f>MONTH(B1153)</x:f>
        <x:v>3</x:v>
      </x:c>
      <x:c r="G1153" s="30" t="n">
        <x:v>-28.7</x:v>
      </x:c>
      <x:c r="H1153" s="30" t="n">
        <x:v>-71.49</x:v>
      </x:c>
      <x:c r="I1153" s="29" t="n">
        <x:v>27</x:v>
      </x:c>
      <x:c r="J1153" s="31" t="n">
        <x:v>5</x:v>
      </x:c>
      <x:c r="K1153" s="25" t="str">
        <x:f>IF(J1153&gt;=7,"Muy fuerte (&gt;=7)",IF(J1153&gt;=6,"Fuerte (6-6.9)",IF(J1153&gt;=5,"Moderado alto (5-5.9)",IF(J1153&gt;=4,"Moderado (4-4.9)","Menor a 4"))))</x:f>
        <x:v>Moderado alto (5-5.9)</x:v>
      </x:c>
      <x:c r="L1153" s="25" t="str">
        <x:f>IF(I1153&lt;70,"Superficial (&lt;70 km)",IF(I1153&lt;=300,"Intermedio (70-300 km)","Profundo (&gt;300 km)"))</x:f>
        <x:v>Superficial (&lt;70 km)</x:v>
      </x:c>
      <x:c r="M1153" s="25" t="str">
        <x:f>IF(J1153&gt;=5,"Sí","No")</x:f>
        <x:v>Sí</x:v>
      </x:c>
      <x:c r="N1153" s="25" t="str">
        <x:f>IF(J1153&gt;=6,"Sí","No")</x:f>
        <x:v>No</x:v>
      </x:c>
      <x:c r="O1153" s="25" t="str">
        <x:v>Pendiente: asignar con R/sf</x:v>
      </x:c>
    </x:row>
    <x:row r="1154">
      <x:c r="A1154" s="25" t="n">
        <x:v>1153</x:v>
      </x:c>
      <x:c r="B1154" s="26" t="n">
        <x:v>44635.57674768518</x:v>
      </x:c>
      <x:c r="C1154" s="27" t="n">
        <x:f>INT(B1154)</x:f>
        <x:v>44635</x:v>
      </x:c>
      <x:c r="D1154" s="28" t="n">
        <x:f>MOD(B1154,1)</x:f>
        <x:v>0.5767476851833635</x:v>
      </x:c>
      <x:c r="E1154" s="29" t="n">
        <x:f>YEAR(B1154)</x:f>
        <x:v>2022</x:v>
      </x:c>
      <x:c r="F1154" s="29" t="n">
        <x:f>MONTH(B1154)</x:f>
        <x:v>3</x:v>
      </x:c>
      <x:c r="G1154" s="30" t="n">
        <x:v>-21.09</x:v>
      </x:c>
      <x:c r="H1154" s="30" t="n">
        <x:v>-69.38</x:v>
      </x:c>
      <x:c r="I1154" s="29" t="n">
        <x:v>100</x:v>
      </x:c>
      <x:c r="J1154" s="31" t="n">
        <x:v>5</x:v>
      </x:c>
      <x:c r="K1154" s="25" t="str">
        <x:f>IF(J1154&gt;=7,"Muy fuerte (&gt;=7)",IF(J1154&gt;=6,"Fuerte (6-6.9)",IF(J1154&gt;=5,"Moderado alto (5-5.9)",IF(J1154&gt;=4,"Moderado (4-4.9)","Menor a 4"))))</x:f>
        <x:v>Moderado alto (5-5.9)</x:v>
      </x:c>
      <x:c r="L1154" s="25" t="str">
        <x:f>IF(I1154&lt;70,"Superficial (&lt;70 km)",IF(I1154&lt;=300,"Intermedio (70-300 km)","Profundo (&gt;300 km)"))</x:f>
        <x:v>Intermedio (70-300 km)</x:v>
      </x:c>
      <x:c r="M1154" s="25" t="str">
        <x:f>IF(J1154&gt;=5,"Sí","No")</x:f>
        <x:v>Sí</x:v>
      </x:c>
      <x:c r="N1154" s="25" t="str">
        <x:f>IF(J1154&gt;=6,"Sí","No")</x:f>
        <x:v>No</x:v>
      </x:c>
      <x:c r="O1154" s="25" t="str">
        <x:v>Pendiente: asignar con R/sf</x:v>
      </x:c>
    </x:row>
    <x:row r="1155">
      <x:c r="A1155" s="25" t="n">
        <x:v>1154</x:v>
      </x:c>
      <x:c r="B1155" s="26" t="n">
        <x:v>44174.54431712963</x:v>
      </x:c>
      <x:c r="C1155" s="27" t="n">
        <x:f>INT(B1155)</x:f>
        <x:v>44174</x:v>
      </x:c>
      <x:c r="D1155" s="28" t="n">
        <x:f>MOD(B1155,1)</x:f>
        <x:v>0.5443171296283253</x:v>
      </x:c>
      <x:c r="E1155" s="29" t="n">
        <x:f>YEAR(B1155)</x:f>
        <x:v>2020</x:v>
      </x:c>
      <x:c r="F1155" s="29" t="n">
        <x:f>MONTH(B1155)</x:f>
        <x:v>12</x:v>
      </x:c>
      <x:c r="G1155" s="30" t="n">
        <x:v>-36.68</x:v>
      </x:c>
      <x:c r="H1155" s="30" t="n">
        <x:v>-73.28</x:v>
      </x:c>
      <x:c r="I1155" s="29" t="n">
        <x:v>32</x:v>
      </x:c>
      <x:c r="J1155" s="31" t="n">
        <x:v>3.6</x:v>
      </x:c>
      <x:c r="K1155" s="25" t="str">
        <x:f>IF(J1155&gt;=7,"Muy fuerte (&gt;=7)",IF(J1155&gt;=6,"Fuerte (6-6.9)",IF(J1155&gt;=5,"Moderado alto (5-5.9)",IF(J1155&gt;=4,"Moderado (4-4.9)","Menor a 4"))))</x:f>
        <x:v>Menor a 4</x:v>
      </x:c>
      <x:c r="L1155" s="25" t="str">
        <x:f>IF(I1155&lt;70,"Superficial (&lt;70 km)",IF(I1155&lt;=300,"Intermedio (70-300 km)","Profundo (&gt;300 km)"))</x:f>
        <x:v>Superficial (&lt;70 km)</x:v>
      </x:c>
      <x:c r="M1155" s="25" t="str">
        <x:f>IF(J1155&gt;=5,"Sí","No")</x:f>
        <x:v>No</x:v>
      </x:c>
      <x:c r="N1155" s="25" t="str">
        <x:f>IF(J1155&gt;=6,"Sí","No")</x:f>
        <x:v>No</x:v>
      </x:c>
      <x:c r="O1155" s="25" t="str">
        <x:v>Pendiente: asignar con R/sf</x:v>
      </x:c>
    </x:row>
    <x:row r="1156">
      <x:c r="A1156" s="25" t="n">
        <x:v>1155</x:v>
      </x:c>
      <x:c r="B1156" s="26" t="n">
        <x:v>43796.39509259259</x:v>
      </x:c>
      <x:c r="C1156" s="27" t="n">
        <x:f>INT(B1156)</x:f>
        <x:v>43796</x:v>
      </x:c>
      <x:c r="D1156" s="28" t="n">
        <x:f>MOD(B1156,1)</x:f>
        <x:v>0.3950925925892079</x:v>
      </x:c>
      <x:c r="E1156" s="29" t="n">
        <x:f>YEAR(B1156)</x:f>
        <x:v>2019</x:v>
      </x:c>
      <x:c r="F1156" s="29" t="n">
        <x:f>MONTH(B1156)</x:f>
        <x:v>11</x:v>
      </x:c>
      <x:c r="G1156" s="30" t="n">
        <x:v>-37.31</x:v>
      </x:c>
      <x:c r="H1156" s="30" t="n">
        <x:v>-73.71</x:v>
      </x:c>
      <x:c r="I1156" s="29" t="n">
        <x:v>19</x:v>
      </x:c>
      <x:c r="J1156" s="31" t="n">
        <x:v>3.6</x:v>
      </x:c>
      <x:c r="K1156" s="25" t="str">
        <x:f>IF(J1156&gt;=7,"Muy fuerte (&gt;=7)",IF(J1156&gt;=6,"Fuerte (6-6.9)",IF(J1156&gt;=5,"Moderado alto (5-5.9)",IF(J1156&gt;=4,"Moderado (4-4.9)","Menor a 4"))))</x:f>
        <x:v>Menor a 4</x:v>
      </x:c>
      <x:c r="L1156" s="25" t="str">
        <x:f>IF(I1156&lt;70,"Superficial (&lt;70 km)",IF(I1156&lt;=300,"Intermedio (70-300 km)","Profundo (&gt;300 km)"))</x:f>
        <x:v>Superficial (&lt;70 km)</x:v>
      </x:c>
      <x:c r="M1156" s="25" t="str">
        <x:f>IF(J1156&gt;=5,"Sí","No")</x:f>
        <x:v>No</x:v>
      </x:c>
      <x:c r="N1156" s="25" t="str">
        <x:f>IF(J1156&gt;=6,"Sí","No")</x:f>
        <x:v>No</x:v>
      </x:c>
      <x:c r="O1156" s="25" t="str">
        <x:v>Pendiente: asignar con R/sf</x:v>
      </x:c>
    </x:row>
    <x:row r="1157">
      <x:c r="A1157" s="25" t="n">
        <x:v>1156</x:v>
      </x:c>
      <x:c r="B1157" s="26" t="n">
        <x:v>44515.07576388889</x:v>
      </x:c>
      <x:c r="C1157" s="27" t="n">
        <x:f>INT(B1157)</x:f>
        <x:v>44515</x:v>
      </x:c>
      <x:c r="D1157" s="28" t="n">
        <x:f>MOD(B1157,1)</x:f>
        <x:v>0.07576388888992369</x:v>
      </x:c>
      <x:c r="E1157" s="29" t="n">
        <x:f>YEAR(B1157)</x:f>
        <x:v>2021</x:v>
      </x:c>
      <x:c r="F1157" s="29" t="n">
        <x:f>MONTH(B1157)</x:f>
        <x:v>11</x:v>
      </x:c>
      <x:c r="G1157" s="30" t="n">
        <x:v>-37.56</x:v>
      </x:c>
      <x:c r="H1157" s="30" t="n">
        <x:v>-73.75</x:v>
      </x:c>
      <x:c r="I1157" s="29" t="n">
        <x:v>29</x:v>
      </x:c>
      <x:c r="J1157" s="31" t="n">
        <x:v>3.2</x:v>
      </x:c>
      <x:c r="K1157" s="25" t="str">
        <x:f>IF(J1157&gt;=7,"Muy fuerte (&gt;=7)",IF(J1157&gt;=6,"Fuerte (6-6.9)",IF(J1157&gt;=5,"Moderado alto (5-5.9)",IF(J1157&gt;=4,"Moderado (4-4.9)","Menor a 4"))))</x:f>
        <x:v>Menor a 4</x:v>
      </x:c>
      <x:c r="L1157" s="25" t="str">
        <x:f>IF(I1157&lt;70,"Superficial (&lt;70 km)",IF(I1157&lt;=300,"Intermedio (70-300 km)","Profundo (&gt;300 km)"))</x:f>
        <x:v>Superficial (&lt;70 km)</x:v>
      </x:c>
      <x:c r="M1157" s="25" t="str">
        <x:f>IF(J1157&gt;=5,"Sí","No")</x:f>
        <x:v>No</x:v>
      </x:c>
      <x:c r="N1157" s="25" t="str">
        <x:f>IF(J1157&gt;=6,"Sí","No")</x:f>
        <x:v>No</x:v>
      </x:c>
      <x:c r="O1157" s="25" t="str">
        <x:v>Pendiente: asignar con R/sf</x:v>
      </x:c>
    </x:row>
    <x:row r="1158">
      <x:c r="A1158" s="25" t="n">
        <x:v>1157</x:v>
      </x:c>
      <x:c r="B1158" s="26" t="n">
        <x:v>44521.81947916667</x:v>
      </x:c>
      <x:c r="C1158" s="27" t="n">
        <x:f>INT(B1158)</x:f>
        <x:v>44521</x:v>
      </x:c>
      <x:c r="D1158" s="28" t="n">
        <x:f>MOD(B1158,1)</x:f>
        <x:v>0.8194791666683159</x:v>
      </x:c>
      <x:c r="E1158" s="29" t="n">
        <x:f>YEAR(B1158)</x:f>
        <x:v>2021</x:v>
      </x:c>
      <x:c r="F1158" s="29" t="n">
        <x:f>MONTH(B1158)</x:f>
        <x:v>11</x:v>
      </x:c>
      <x:c r="G1158" s="30" t="n">
        <x:v>-36.54</x:v>
      </x:c>
      <x:c r="H1158" s="30" t="n">
        <x:v>-73.29</x:v>
      </x:c>
      <x:c r="I1158" s="29" t="n">
        <x:v>35</x:v>
      </x:c>
      <x:c r="J1158" s="31" t="n">
        <x:v>3.2</x:v>
      </x:c>
      <x:c r="K1158" s="25" t="str">
        <x:f>IF(J1158&gt;=7,"Muy fuerte (&gt;=7)",IF(J1158&gt;=6,"Fuerte (6-6.9)",IF(J1158&gt;=5,"Moderado alto (5-5.9)",IF(J1158&gt;=4,"Moderado (4-4.9)","Menor a 4"))))</x:f>
        <x:v>Menor a 4</x:v>
      </x:c>
      <x:c r="L1158" s="25" t="str">
        <x:f>IF(I1158&lt;70,"Superficial (&lt;70 km)",IF(I1158&lt;=300,"Intermedio (70-300 km)","Profundo (&gt;300 km)"))</x:f>
        <x:v>Superficial (&lt;70 km)</x:v>
      </x:c>
      <x:c r="M1158" s="25" t="str">
        <x:f>IF(J1158&gt;=5,"Sí","No")</x:f>
        <x:v>No</x:v>
      </x:c>
      <x:c r="N1158" s="25" t="str">
        <x:f>IF(J1158&gt;=6,"Sí","No")</x:f>
        <x:v>No</x:v>
      </x:c>
      <x:c r="O1158" s="25" t="str">
        <x:v>Pendiente: asignar con R/sf</x:v>
      </x:c>
    </x:row>
    <x:row r="1159">
      <x:c r="A1159" s="25" t="n">
        <x:v>1158</x:v>
      </x:c>
      <x:c r="B1159" s="26" t="n">
        <x:v>44542.01820601852</x:v>
      </x:c>
      <x:c r="C1159" s="27" t="n">
        <x:f>INT(B1159)</x:f>
        <x:v>44542</x:v>
      </x:c>
      <x:c r="D1159" s="28" t="n">
        <x:f>MOD(B1159,1)</x:f>
        <x:v>0.018206018517958</x:v>
      </x:c>
      <x:c r="E1159" s="29" t="n">
        <x:f>YEAR(B1159)</x:f>
        <x:v>2021</x:v>
      </x:c>
      <x:c r="F1159" s="29" t="n">
        <x:f>MONTH(B1159)</x:f>
        <x:v>12</x:v>
      </x:c>
      <x:c r="G1159" s="30" t="n">
        <x:v>-36.97</x:v>
      </x:c>
      <x:c r="H1159" s="30" t="n">
        <x:v>-73.37</x:v>
      </x:c>
      <x:c r="I1159" s="29" t="n">
        <x:v>36</x:v>
      </x:c>
      <x:c r="J1159" s="31" t="n">
        <x:v>4.2</x:v>
      </x:c>
      <x:c r="K1159" s="25" t="str">
        <x:f>IF(J1159&gt;=7,"Muy fuerte (&gt;=7)",IF(J1159&gt;=6,"Fuerte (6-6.9)",IF(J1159&gt;=5,"Moderado alto (5-5.9)",IF(J1159&gt;=4,"Moderado (4-4.9)","Menor a 4"))))</x:f>
        <x:v>Moderado (4-4.9)</x:v>
      </x:c>
      <x:c r="L1159" s="25" t="str">
        <x:f>IF(I1159&lt;70,"Superficial (&lt;70 km)",IF(I1159&lt;=300,"Intermedio (70-300 km)","Profundo (&gt;300 km)"))</x:f>
        <x:v>Superficial (&lt;70 km)</x:v>
      </x:c>
      <x:c r="M1159" s="25" t="str">
        <x:f>IF(J1159&gt;=5,"Sí","No")</x:f>
        <x:v>No</x:v>
      </x:c>
      <x:c r="N1159" s="25" t="str">
        <x:f>IF(J1159&gt;=6,"Sí","No")</x:f>
        <x:v>No</x:v>
      </x:c>
      <x:c r="O1159" s="25" t="str">
        <x:v>Pendiente: asignar con R/sf</x:v>
      </x:c>
    </x:row>
    <x:row r="1160">
      <x:c r="A1160" s="25" t="n">
        <x:v>1159</x:v>
      </x:c>
      <x:c r="B1160" s="26" t="n">
        <x:v>44482.330196759256</x:v>
      </x:c>
      <x:c r="C1160" s="27" t="n">
        <x:f>INT(B1160)</x:f>
        <x:v>44482</x:v>
      </x:c>
      <x:c r="D1160" s="28" t="n">
        <x:f>MOD(B1160,1)</x:f>
        <x:v>0.3301967592560686</x:v>
      </x:c>
      <x:c r="E1160" s="29" t="n">
        <x:f>YEAR(B1160)</x:f>
        <x:v>2021</x:v>
      </x:c>
      <x:c r="F1160" s="29" t="n">
        <x:f>MONTH(B1160)</x:f>
        <x:v>10</x:v>
      </x:c>
      <x:c r="G1160" s="30" t="n">
        <x:v>-50.29</x:v>
      </x:c>
      <x:c r="H1160" s="30" t="n">
        <x:v>-72.26</x:v>
      </x:c>
      <x:c r="I1160" s="29" t="n">
        <x:v>24</x:v>
      </x:c>
      <x:c r="J1160" s="31" t="n">
        <x:v>5.5</x:v>
      </x:c>
      <x:c r="K1160" s="25" t="str">
        <x:f>IF(J1160&gt;=7,"Muy fuerte (&gt;=7)",IF(J1160&gt;=6,"Fuerte (6-6.9)",IF(J1160&gt;=5,"Moderado alto (5-5.9)",IF(J1160&gt;=4,"Moderado (4-4.9)","Menor a 4"))))</x:f>
        <x:v>Moderado alto (5-5.9)</x:v>
      </x:c>
      <x:c r="L1160" s="25" t="str">
        <x:f>IF(I1160&lt;70,"Superficial (&lt;70 km)",IF(I1160&lt;=300,"Intermedio (70-300 km)","Profundo (&gt;300 km)"))</x:f>
        <x:v>Superficial (&lt;70 km)</x:v>
      </x:c>
      <x:c r="M1160" s="25" t="str">
        <x:f>IF(J1160&gt;=5,"Sí","No")</x:f>
        <x:v>Sí</x:v>
      </x:c>
      <x:c r="N1160" s="25" t="str">
        <x:f>IF(J1160&gt;=6,"Sí","No")</x:f>
        <x:v>No</x:v>
      </x:c>
      <x:c r="O1160" s="25" t="str">
        <x:v>Pendiente: asignar con R/sf</x:v>
      </x:c>
    </x:row>
    <x:row r="1161">
      <x:c r="A1161" s="25" t="n">
        <x:v>1160</x:v>
      </x:c>
      <x:c r="B1161" s="26" t="n">
        <x:v>44666.69689814815</x:v>
      </x:c>
      <x:c r="C1161" s="27" t="n">
        <x:f>INT(B1161)</x:f>
        <x:v>44666</x:v>
      </x:c>
      <x:c r="D1161" s="28" t="n">
        <x:f>MOD(B1161,1)</x:f>
        <x:v>0.6968981481477385</x:v>
      </x:c>
      <x:c r="E1161" s="29" t="n">
        <x:f>YEAR(B1161)</x:f>
        <x:v>2022</x:v>
      </x:c>
      <x:c r="F1161" s="29" t="n">
        <x:f>MONTH(B1161)</x:f>
        <x:v>4</x:v>
      </x:c>
      <x:c r="G1161" s="30" t="n">
        <x:v>-22.74</x:v>
      </x:c>
      <x:c r="H1161" s="30" t="n">
        <x:v>-69.91</x:v>
      </x:c>
      <x:c r="I1161" s="29" t="n">
        <x:v>69</x:v>
      </x:c>
      <x:c r="J1161" s="31" t="n">
        <x:v>5</x:v>
      </x:c>
      <x:c r="K1161" s="25" t="str">
        <x:f>IF(J1161&gt;=7,"Muy fuerte (&gt;=7)",IF(J1161&gt;=6,"Fuerte (6-6.9)",IF(J1161&gt;=5,"Moderado alto (5-5.9)",IF(J1161&gt;=4,"Moderado (4-4.9)","Menor a 4"))))</x:f>
        <x:v>Moderado alto (5-5.9)</x:v>
      </x:c>
      <x:c r="L1161" s="25" t="str">
        <x:f>IF(I1161&lt;70,"Superficial (&lt;70 km)",IF(I1161&lt;=300,"Intermedio (70-300 km)","Profundo (&gt;300 km)"))</x:f>
        <x:v>Superficial (&lt;70 km)</x:v>
      </x:c>
      <x:c r="M1161" s="25" t="str">
        <x:f>IF(J1161&gt;=5,"Sí","No")</x:f>
        <x:v>Sí</x:v>
      </x:c>
      <x:c r="N1161" s="25" t="str">
        <x:f>IF(J1161&gt;=6,"Sí","No")</x:f>
        <x:v>No</x:v>
      </x:c>
      <x:c r="O1161" s="25" t="str">
        <x:v>Pendiente: asignar con R/sf</x:v>
      </x:c>
    </x:row>
    <x:row r="1162">
      <x:c r="A1162" s="25" t="n">
        <x:v>1161</x:v>
      </x:c>
      <x:c r="B1162" s="26" t="n">
        <x:v>44671.471597222226</x:v>
      </x:c>
      <x:c r="C1162" s="27" t="n">
        <x:f>INT(B1162)</x:f>
        <x:v>44671</x:v>
      </x:c>
      <x:c r="D1162" s="28" t="n">
        <x:f>MOD(B1162,1)</x:f>
        <x:v>0.47159722222568234</x:v>
      </x:c>
      <x:c r="E1162" s="29" t="n">
        <x:f>YEAR(B1162)</x:f>
        <x:v>2022</x:v>
      </x:c>
      <x:c r="F1162" s="29" t="n">
        <x:f>MONTH(B1162)</x:f>
        <x:v>4</x:v>
      </x:c>
      <x:c r="G1162" s="30" t="n">
        <x:v>-22.88</x:v>
      </x:c>
      <x:c r="H1162" s="30" t="n">
        <x:v>-68.42</x:v>
      </x:c>
      <x:c r="I1162" s="29" t="n">
        <x:v>120</x:v>
      </x:c>
      <x:c r="J1162" s="31" t="n">
        <x:v>5.6</x:v>
      </x:c>
      <x:c r="K1162" s="25" t="str">
        <x:f>IF(J1162&gt;=7,"Muy fuerte (&gt;=7)",IF(J1162&gt;=6,"Fuerte (6-6.9)",IF(J1162&gt;=5,"Moderado alto (5-5.9)",IF(J1162&gt;=4,"Moderado (4-4.9)","Menor a 4"))))</x:f>
        <x:v>Moderado alto (5-5.9)</x:v>
      </x:c>
      <x:c r="L1162" s="25" t="str">
        <x:f>IF(I1162&lt;70,"Superficial (&lt;70 km)",IF(I1162&lt;=300,"Intermedio (70-300 km)","Profundo (&gt;300 km)"))</x:f>
        <x:v>Intermedio (70-300 km)</x:v>
      </x:c>
      <x:c r="M1162" s="25" t="str">
        <x:f>IF(J1162&gt;=5,"Sí","No")</x:f>
        <x:v>Sí</x:v>
      </x:c>
      <x:c r="N1162" s="25" t="str">
        <x:f>IF(J1162&gt;=6,"Sí","No")</x:f>
        <x:v>No</x:v>
      </x:c>
      <x:c r="O1162" s="25" t="str">
        <x:v>Pendiente: asignar con R/sf</x:v>
      </x:c>
    </x:row>
    <x:row r="1163">
      <x:c r="A1163" s="25" t="n">
        <x:v>1162</x:v>
      </x:c>
      <x:c r="B1163" s="26" t="n">
        <x:v>44515.04415509259</x:v>
      </x:c>
      <x:c r="C1163" s="27" t="n">
        <x:f>INT(B1163)</x:f>
        <x:v>44515</x:v>
      </x:c>
      <x:c r="D1163" s="28" t="n">
        <x:f>MOD(B1163,1)</x:f>
        <x:v>0.04415509258979</x:v>
      </x:c>
      <x:c r="E1163" s="29" t="n">
        <x:f>YEAR(B1163)</x:f>
        <x:v>2021</x:v>
      </x:c>
      <x:c r="F1163" s="29" t="n">
        <x:f>MONTH(B1163)</x:f>
        <x:v>11</x:v>
      </x:c>
      <x:c r="G1163" s="30" t="n">
        <x:v>-37.51</x:v>
      </x:c>
      <x:c r="H1163" s="30" t="n">
        <x:v>-73.67</x:v>
      </x:c>
      <x:c r="I1163" s="29" t="n">
        <x:v>22</x:v>
      </x:c>
      <x:c r="J1163" s="31" t="n">
        <x:v>4.4</x:v>
      </x:c>
      <x:c r="K1163" s="25" t="str">
        <x:f>IF(J1163&gt;=7,"Muy fuerte (&gt;=7)",IF(J1163&gt;=6,"Fuerte (6-6.9)",IF(J1163&gt;=5,"Moderado alto (5-5.9)",IF(J1163&gt;=4,"Moderado (4-4.9)","Menor a 4"))))</x:f>
        <x:v>Moderado (4-4.9)</x:v>
      </x:c>
      <x:c r="L1163" s="25" t="str">
        <x:f>IF(I1163&lt;70,"Superficial (&lt;70 km)",IF(I1163&lt;=300,"Intermedio (70-300 km)","Profundo (&gt;300 km)"))</x:f>
        <x:v>Superficial (&lt;70 km)</x:v>
      </x:c>
      <x:c r="M1163" s="25" t="str">
        <x:f>IF(J1163&gt;=5,"Sí","No")</x:f>
        <x:v>No</x:v>
      </x:c>
      <x:c r="N1163" s="25" t="str">
        <x:f>IF(J1163&gt;=6,"Sí","No")</x:f>
        <x:v>No</x:v>
      </x:c>
      <x:c r="O1163" s="25" t="str">
        <x:v>Pendiente: asignar con R/sf</x:v>
      </x:c>
    </x:row>
    <x:row r="1164">
      <x:c r="A1164" s="25" t="n">
        <x:v>1163</x:v>
      </x:c>
      <x:c r="B1164" s="26" t="n">
        <x:v>43731.35047453704</x:v>
      </x:c>
      <x:c r="C1164" s="27" t="n">
        <x:f>INT(B1164)</x:f>
        <x:v>43731</x:v>
      </x:c>
      <x:c r="D1164" s="28" t="n">
        <x:f>MOD(B1164,1)</x:f>
        <x:v>0.3504745370373712</x:v>
      </x:c>
      <x:c r="E1164" s="29" t="n">
        <x:f>YEAR(B1164)</x:f>
        <x:v>2019</x:v>
      </x:c>
      <x:c r="F1164" s="29" t="n">
        <x:f>MONTH(B1164)</x:f>
        <x:v>9</x:v>
      </x:c>
      <x:c r="G1164" s="30" t="n">
        <x:v>-36.05</x:v>
      </x:c>
      <x:c r="H1164" s="30" t="n">
        <x:v>-73.73</x:v>
      </x:c>
      <x:c r="I1164" s="29" t="n">
        <x:v>27</x:v>
      </x:c>
      <x:c r="J1164" s="31" t="n">
        <x:v>4.8</x:v>
      </x:c>
      <x:c r="K1164" s="25" t="str">
        <x:f>IF(J1164&gt;=7,"Muy fuerte (&gt;=7)",IF(J1164&gt;=6,"Fuerte (6-6.9)",IF(J1164&gt;=5,"Moderado alto (5-5.9)",IF(J1164&gt;=4,"Moderado (4-4.9)","Menor a 4"))))</x:f>
        <x:v>Moderado (4-4.9)</x:v>
      </x:c>
      <x:c r="L1164" s="25" t="str">
        <x:f>IF(I1164&lt;70,"Superficial (&lt;70 km)",IF(I1164&lt;=300,"Intermedio (70-300 km)","Profundo (&gt;300 km)"))</x:f>
        <x:v>Superficial (&lt;70 km)</x:v>
      </x:c>
      <x:c r="M1164" s="25" t="str">
        <x:f>IF(J1164&gt;=5,"Sí","No")</x:f>
        <x:v>No</x:v>
      </x:c>
      <x:c r="N1164" s="25" t="str">
        <x:f>IF(J1164&gt;=6,"Sí","No")</x:f>
        <x:v>No</x:v>
      </x:c>
      <x:c r="O1164" s="25" t="str">
        <x:v>Pendiente: asignar con R/sf</x:v>
      </x:c>
    </x:row>
    <x:row r="1165">
      <x:c r="A1165" s="25" t="n">
        <x:v>1164</x:v>
      </x:c>
      <x:c r="B1165" s="26" t="n">
        <x:v>44460.55167824074</x:v>
      </x:c>
      <x:c r="C1165" s="27" t="n">
        <x:f>INT(B1165)</x:f>
        <x:v>44460</x:v>
      </x:c>
      <x:c r="D1165" s="28" t="n">
        <x:f>MOD(B1165,1)</x:f>
        <x:v>0.5516782407430583</x:v>
      </x:c>
      <x:c r="E1165" s="29" t="n">
        <x:f>YEAR(B1165)</x:f>
        <x:v>2021</x:v>
      </x:c>
      <x:c r="F1165" s="29" t="n">
        <x:f>MONTH(B1165)</x:f>
        <x:v>9</x:v>
      </x:c>
      <x:c r="G1165" s="30" t="n">
        <x:v>-36.73</x:v>
      </x:c>
      <x:c r="H1165" s="30" t="n">
        <x:v>-74.93</x:v>
      </x:c>
      <x:c r="I1165" s="29" t="n">
        <x:v>10</x:v>
      </x:c>
      <x:c r="J1165" s="31" t="n">
        <x:v>5.8</x:v>
      </x:c>
      <x:c r="K1165" s="25" t="str">
        <x:f>IF(J1165&gt;=7,"Muy fuerte (&gt;=7)",IF(J1165&gt;=6,"Fuerte (6-6.9)",IF(J1165&gt;=5,"Moderado alto (5-5.9)",IF(J1165&gt;=4,"Moderado (4-4.9)","Menor a 4"))))</x:f>
        <x:v>Moderado alto (5-5.9)</x:v>
      </x:c>
      <x:c r="L1165" s="25" t="str">
        <x:f>IF(I1165&lt;70,"Superficial (&lt;70 km)",IF(I1165&lt;=300,"Intermedio (70-300 km)","Profundo (&gt;300 km)"))</x:f>
        <x:v>Superficial (&lt;70 km)</x:v>
      </x:c>
      <x:c r="M1165" s="25" t="str">
        <x:f>IF(J1165&gt;=5,"Sí","No")</x:f>
        <x:v>Sí</x:v>
      </x:c>
      <x:c r="N1165" s="25" t="str">
        <x:f>IF(J1165&gt;=6,"Sí","No")</x:f>
        <x:v>No</x:v>
      </x:c>
      <x:c r="O1165" s="25" t="str">
        <x:v>Pendiente: asignar con R/sf</x:v>
      </x:c>
    </x:row>
    <x:row r="1166">
      <x:c r="A1166" s="25" t="n">
        <x:v>1165</x:v>
      </x:c>
      <x:c r="B1166" s="26" t="n">
        <x:v>43994.03675925926</x:v>
      </x:c>
      <x:c r="C1166" s="27" t="n">
        <x:f>INT(B1166)</x:f>
        <x:v>43994</x:v>
      </x:c>
      <x:c r="D1166" s="28" t="n">
        <x:f>MOD(B1166,1)</x:f>
        <x:v>0.03675925925927004</x:v>
      </x:c>
      <x:c r="E1166" s="29" t="n">
        <x:f>YEAR(B1166)</x:f>
        <x:v>2020</x:v>
      </x:c>
      <x:c r="F1166" s="29" t="n">
        <x:f>MONTH(B1166)</x:f>
        <x:v>6</x:v>
      </x:c>
      <x:c r="G1166" s="30" t="n">
        <x:v>-36.95</x:v>
      </x:c>
      <x:c r="H1166" s="30" t="n">
        <x:v>-73.56</x:v>
      </x:c>
      <x:c r="I1166" s="29" t="n">
        <x:v>14</x:v>
      </x:c>
      <x:c r="J1166" s="31" t="n">
        <x:v>4</x:v>
      </x:c>
      <x:c r="K1166" s="25" t="str">
        <x:f>IF(J1166&gt;=7,"Muy fuerte (&gt;=7)",IF(J1166&gt;=6,"Fuerte (6-6.9)",IF(J1166&gt;=5,"Moderado alto (5-5.9)",IF(J1166&gt;=4,"Moderado (4-4.9)","Menor a 4"))))</x:f>
        <x:v>Moderado (4-4.9)</x:v>
      </x:c>
      <x:c r="L1166" s="25" t="str">
        <x:f>IF(I1166&lt;70,"Superficial (&lt;70 km)",IF(I1166&lt;=300,"Intermedio (70-300 km)","Profundo (&gt;300 km)"))</x:f>
        <x:v>Superficial (&lt;70 km)</x:v>
      </x:c>
      <x:c r="M1166" s="25" t="str">
        <x:f>IF(J1166&gt;=5,"Sí","No")</x:f>
        <x:v>No</x:v>
      </x:c>
      <x:c r="N1166" s="25" t="str">
        <x:f>IF(J1166&gt;=6,"Sí","No")</x:f>
        <x:v>No</x:v>
      </x:c>
      <x:c r="O1166" s="25" t="str">
        <x:v>Pendiente: asignar con R/sf</x:v>
      </x:c>
    </x:row>
    <x:row r="1167">
      <x:c r="A1167" s="25" t="n">
        <x:v>1166</x:v>
      </x:c>
      <x:c r="B1167" s="26" t="n">
        <x:v>44333.27987268518</x:v>
      </x:c>
      <x:c r="C1167" s="27" t="n">
        <x:f>INT(B1167)</x:f>
        <x:v>44333</x:v>
      </x:c>
      <x:c r="D1167" s="28" t="n">
        <x:f>MOD(B1167,1)</x:f>
        <x:v>0.2798726851833635</x:v>
      </x:c>
      <x:c r="E1167" s="29" t="n">
        <x:f>YEAR(B1167)</x:f>
        <x:v>2021</x:v>
      </x:c>
      <x:c r="F1167" s="29" t="n">
        <x:f>MONTH(B1167)</x:f>
        <x:v>5</x:v>
      </x:c>
      <x:c r="G1167" s="30" t="n">
        <x:v>-37.25</x:v>
      </x:c>
      <x:c r="H1167" s="30" t="n">
        <x:v>-73.44</x:v>
      </x:c>
      <x:c r="I1167" s="29" t="n">
        <x:v>31</x:v>
      </x:c>
      <x:c r="J1167" s="31" t="n">
        <x:v>3.6</x:v>
      </x:c>
      <x:c r="K1167" s="25" t="str">
        <x:f>IF(J1167&gt;=7,"Muy fuerte (&gt;=7)",IF(J1167&gt;=6,"Fuerte (6-6.9)",IF(J1167&gt;=5,"Moderado alto (5-5.9)",IF(J1167&gt;=4,"Moderado (4-4.9)","Menor a 4"))))</x:f>
        <x:v>Menor a 4</x:v>
      </x:c>
      <x:c r="L1167" s="25" t="str">
        <x:f>IF(I1167&lt;70,"Superficial (&lt;70 km)",IF(I1167&lt;=300,"Intermedio (70-300 km)","Profundo (&gt;300 km)"))</x:f>
        <x:v>Superficial (&lt;70 km)</x:v>
      </x:c>
      <x:c r="M1167" s="25" t="str">
        <x:f>IF(J1167&gt;=5,"Sí","No")</x:f>
        <x:v>No</x:v>
      </x:c>
      <x:c r="N1167" s="25" t="str">
        <x:f>IF(J1167&gt;=6,"Sí","No")</x:f>
        <x:v>No</x:v>
      </x:c>
      <x:c r="O1167" s="25" t="str">
        <x:v>Pendiente: asignar con R/sf</x:v>
      </x:c>
    </x:row>
    <x:row r="1168">
      <x:c r="A1168" s="25" t="n">
        <x:v>1167</x:v>
      </x:c>
      <x:c r="B1168" s="26" t="n">
        <x:v>44461.73753472222</x:v>
      </x:c>
      <x:c r="C1168" s="27" t="n">
        <x:f>INT(B1168)</x:f>
        <x:v>44461</x:v>
      </x:c>
      <x:c r="D1168" s="28" t="n">
        <x:f>MOD(B1168,1)</x:f>
        <x:v>0.7375347222186974</x:v>
      </x:c>
      <x:c r="E1168" s="29" t="n">
        <x:f>YEAR(B1168)</x:f>
        <x:v>2021</x:v>
      </x:c>
      <x:c r="F1168" s="29" t="n">
        <x:f>MONTH(B1168)</x:f>
        <x:v>9</x:v>
      </x:c>
      <x:c r="G1168" s="30" t="n">
        <x:v>-36.9</x:v>
      </x:c>
      <x:c r="H1168" s="30" t="n">
        <x:v>-74.03</x:v>
      </x:c>
      <x:c r="I1168" s="29" t="n">
        <x:v>17</x:v>
      </x:c>
      <x:c r="J1168" s="31" t="n">
        <x:v>5</x:v>
      </x:c>
      <x:c r="K1168" s="25" t="str">
        <x:f>IF(J1168&gt;=7,"Muy fuerte (&gt;=7)",IF(J1168&gt;=6,"Fuerte (6-6.9)",IF(J1168&gt;=5,"Moderado alto (5-5.9)",IF(J1168&gt;=4,"Moderado (4-4.9)","Menor a 4"))))</x:f>
        <x:v>Moderado alto (5-5.9)</x:v>
      </x:c>
      <x:c r="L1168" s="25" t="str">
        <x:f>IF(I1168&lt;70,"Superficial (&lt;70 km)",IF(I1168&lt;=300,"Intermedio (70-300 km)","Profundo (&gt;300 km)"))</x:f>
        <x:v>Superficial (&lt;70 km)</x:v>
      </x:c>
      <x:c r="M1168" s="25" t="str">
        <x:f>IF(J1168&gt;=5,"Sí","No")</x:f>
        <x:v>Sí</x:v>
      </x:c>
      <x:c r="N1168" s="25" t="str">
        <x:f>IF(J1168&gt;=6,"Sí","No")</x:f>
        <x:v>No</x:v>
      </x:c>
      <x:c r="O1168" s="25" t="str">
        <x:v>Pendiente: asignar con R/sf</x:v>
      </x:c>
    </x:row>
    <x:row r="1169">
      <x:c r="A1169" s="25" t="n">
        <x:v>1168</x:v>
      </x:c>
      <x:c r="B1169" s="26" t="n">
        <x:v>43918.434224537035</x:v>
      </x:c>
      <x:c r="C1169" s="27" t="n">
        <x:f>INT(B1169)</x:f>
        <x:v>43918</x:v>
      </x:c>
      <x:c r="D1169" s="28" t="n">
        <x:f>MOD(B1169,1)</x:f>
        <x:v>0.4342245370353339</x:v>
      </x:c>
      <x:c r="E1169" s="29" t="n">
        <x:f>YEAR(B1169)</x:f>
        <x:v>2020</x:v>
      </x:c>
      <x:c r="F1169" s="29" t="n">
        <x:f>MONTH(B1169)</x:f>
        <x:v>3</x:v>
      </x:c>
      <x:c r="G1169" s="30" t="n">
        <x:v>-37.69</x:v>
      </x:c>
      <x:c r="H1169" s="30" t="n">
        <x:v>-73.8</x:v>
      </x:c>
      <x:c r="I1169" s="29" t="n">
        <x:v>18</x:v>
      </x:c>
      <x:c r="J1169" s="31" t="n">
        <x:v>3.8</x:v>
      </x:c>
      <x:c r="K1169" s="25" t="str">
        <x:f>IF(J1169&gt;=7,"Muy fuerte (&gt;=7)",IF(J1169&gt;=6,"Fuerte (6-6.9)",IF(J1169&gt;=5,"Moderado alto (5-5.9)",IF(J1169&gt;=4,"Moderado (4-4.9)","Menor a 4"))))</x:f>
        <x:v>Menor a 4</x:v>
      </x:c>
      <x:c r="L1169" s="25" t="str">
        <x:f>IF(I1169&lt;70,"Superficial (&lt;70 km)",IF(I1169&lt;=300,"Intermedio (70-300 km)","Profundo (&gt;300 km)"))</x:f>
        <x:v>Superficial (&lt;70 km)</x:v>
      </x:c>
      <x:c r="M1169" s="25" t="str">
        <x:f>IF(J1169&gt;=5,"Sí","No")</x:f>
        <x:v>No</x:v>
      </x:c>
      <x:c r="N1169" s="25" t="str">
        <x:f>IF(J1169&gt;=6,"Sí","No")</x:f>
        <x:v>No</x:v>
      </x:c>
      <x:c r="O1169" s="25" t="str">
        <x:v>Pendiente: asignar con R/sf</x:v>
      </x:c>
    </x:row>
    <x:row r="1170">
      <x:c r="A1170" s="25" t="n">
        <x:v>1169</x:v>
      </x:c>
      <x:c r="B1170" s="26" t="n">
        <x:v>44123.14763888889</x:v>
      </x:c>
      <x:c r="C1170" s="27" t="n">
        <x:f>INT(B1170)</x:f>
        <x:v>44123</x:v>
      </x:c>
      <x:c r="D1170" s="28" t="n">
        <x:f>MOD(B1170,1)</x:f>
        <x:v>0.14763888889137888</x:v>
      </x:c>
      <x:c r="E1170" s="29" t="n">
        <x:f>YEAR(B1170)</x:f>
        <x:v>2020</x:v>
      </x:c>
      <x:c r="F1170" s="29" t="n">
        <x:f>MONTH(B1170)</x:f>
        <x:v>10</x:v>
      </x:c>
      <x:c r="G1170" s="30" t="n">
        <x:v>-37.33</x:v>
      </x:c>
      <x:c r="H1170" s="30" t="n">
        <x:v>-73.65</x:v>
      </x:c>
      <x:c r="I1170" s="29" t="n">
        <x:v>21</x:v>
      </x:c>
      <x:c r="J1170" s="31" t="n">
        <x:v>4.2</x:v>
      </x:c>
      <x:c r="K1170" s="25" t="str">
        <x:f>IF(J1170&gt;=7,"Muy fuerte (&gt;=7)",IF(J1170&gt;=6,"Fuerte (6-6.9)",IF(J1170&gt;=5,"Moderado alto (5-5.9)",IF(J1170&gt;=4,"Moderado (4-4.9)","Menor a 4"))))</x:f>
        <x:v>Moderado (4-4.9)</x:v>
      </x:c>
      <x:c r="L1170" s="25" t="str">
        <x:f>IF(I1170&lt;70,"Superficial (&lt;70 km)",IF(I1170&lt;=300,"Intermedio (70-300 km)","Profundo (&gt;300 km)"))</x:f>
        <x:v>Superficial (&lt;70 km)</x:v>
      </x:c>
      <x:c r="M1170" s="25" t="str">
        <x:f>IF(J1170&gt;=5,"Sí","No")</x:f>
        <x:v>No</x:v>
      </x:c>
      <x:c r="N1170" s="25" t="str">
        <x:f>IF(J1170&gt;=6,"Sí","No")</x:f>
        <x:v>No</x:v>
      </x:c>
      <x:c r="O1170" s="25" t="str">
        <x:v>Pendiente: asignar con R/sf</x:v>
      </x:c>
    </x:row>
    <x:row r="1171">
      <x:c r="A1171" s="25" t="n">
        <x:v>1170</x:v>
      </x:c>
      <x:c r="B1171" s="26" t="n">
        <x:v>44291.49402777778</x:v>
      </x:c>
      <x:c r="C1171" s="27" t="n">
        <x:f>INT(B1171)</x:f>
        <x:v>44291</x:v>
      </x:c>
      <x:c r="D1171" s="28" t="n">
        <x:f>MOD(B1171,1)</x:f>
        <x:v>0.49402777777868323</x:v>
      </x:c>
      <x:c r="E1171" s="29" t="n">
        <x:f>YEAR(B1171)</x:f>
        <x:v>2021</x:v>
      </x:c>
      <x:c r="F1171" s="29" t="n">
        <x:f>MONTH(B1171)</x:f>
        <x:v>4</x:v>
      </x:c>
      <x:c r="G1171" s="30" t="n">
        <x:v>-36.22</x:v>
      </x:c>
      <x:c r="H1171" s="30" t="n">
        <x:v>-73.32</x:v>
      </x:c>
      <x:c r="I1171" s="29" t="n">
        <x:v>30</x:v>
      </x:c>
      <x:c r="J1171" s="31" t="n">
        <x:v>4</x:v>
      </x:c>
      <x:c r="K1171" s="25" t="str">
        <x:f>IF(J1171&gt;=7,"Muy fuerte (&gt;=7)",IF(J1171&gt;=6,"Fuerte (6-6.9)",IF(J1171&gt;=5,"Moderado alto (5-5.9)",IF(J1171&gt;=4,"Moderado (4-4.9)","Menor a 4"))))</x:f>
        <x:v>Moderado (4-4.9)</x:v>
      </x:c>
      <x:c r="L1171" s="25" t="str">
        <x:f>IF(I1171&lt;70,"Superficial (&lt;70 km)",IF(I1171&lt;=300,"Intermedio (70-300 km)","Profundo (&gt;300 km)"))</x:f>
        <x:v>Superficial (&lt;70 km)</x:v>
      </x:c>
      <x:c r="M1171" s="25" t="str">
        <x:f>IF(J1171&gt;=5,"Sí","No")</x:f>
        <x:v>No</x:v>
      </x:c>
      <x:c r="N1171" s="25" t="str">
        <x:f>IF(J1171&gt;=6,"Sí","No")</x:f>
        <x:v>No</x:v>
      </x:c>
      <x:c r="O1171" s="25" t="str">
        <x:v>Pendiente: asignar con R/sf</x:v>
      </x:c>
    </x:row>
    <x:row r="1172">
      <x:c r="A1172" s="25" t="n">
        <x:v>1171</x:v>
      </x:c>
      <x:c r="B1172" s="26" t="n">
        <x:v>44675.61466435185</x:v>
      </x:c>
      <x:c r="C1172" s="27" t="n">
        <x:f>INT(B1172)</x:f>
        <x:v>44675</x:v>
      </x:c>
      <x:c r="D1172" s="28" t="n">
        <x:f>MOD(B1172,1)</x:f>
        <x:v>0.6146643518513883</x:v>
      </x:c>
      <x:c r="E1172" s="29" t="n">
        <x:f>YEAR(B1172)</x:f>
        <x:v>2022</x:v>
      </x:c>
      <x:c r="F1172" s="29" t="n">
        <x:f>MONTH(B1172)</x:f>
        <x:v>4</x:v>
      </x:c>
      <x:c r="G1172" s="30" t="n">
        <x:v>-35.22</x:v>
      </x:c>
      <x:c r="H1172" s="30" t="n">
        <x:v>-71.34</x:v>
      </x:c>
      <x:c r="I1172" s="29" t="n">
        <x:v>93</x:v>
      </x:c>
      <x:c r="J1172" s="31" t="n">
        <x:v>5.2</x:v>
      </x:c>
      <x:c r="K1172" s="25" t="str">
        <x:f>IF(J1172&gt;=7,"Muy fuerte (&gt;=7)",IF(J1172&gt;=6,"Fuerte (6-6.9)",IF(J1172&gt;=5,"Moderado alto (5-5.9)",IF(J1172&gt;=4,"Moderado (4-4.9)","Menor a 4"))))</x:f>
        <x:v>Moderado alto (5-5.9)</x:v>
      </x:c>
      <x:c r="L1172" s="25" t="str">
        <x:f>IF(I1172&lt;70,"Superficial (&lt;70 km)",IF(I1172&lt;=300,"Intermedio (70-300 km)","Profundo (&gt;300 km)"))</x:f>
        <x:v>Intermedio (70-300 km)</x:v>
      </x:c>
      <x:c r="M1172" s="25" t="str">
        <x:f>IF(J1172&gt;=5,"Sí","No")</x:f>
        <x:v>Sí</x:v>
      </x:c>
      <x:c r="N1172" s="25" t="str">
        <x:f>IF(J1172&gt;=6,"Sí","No")</x:f>
        <x:v>No</x:v>
      </x:c>
      <x:c r="O1172" s="25" t="str">
        <x:v>Pendiente: asignar con R/sf</x:v>
      </x:c>
    </x:row>
    <x:row r="1173">
      <x:c r="A1173" s="25" t="n">
        <x:v>1172</x:v>
      </x:c>
      <x:c r="B1173" s="26" t="n">
        <x:v>44275.42167824074</x:v>
      </x:c>
      <x:c r="C1173" s="27" t="n">
        <x:f>INT(B1173)</x:f>
        <x:v>44275</x:v>
      </x:c>
      <x:c r="D1173" s="28" t="n">
        <x:f>MOD(B1173,1)</x:f>
        <x:v>0.42167824073840166</x:v>
      </x:c>
      <x:c r="E1173" s="29" t="n">
        <x:f>YEAR(B1173)</x:f>
        <x:v>2021</x:v>
      </x:c>
      <x:c r="F1173" s="29" t="n">
        <x:f>MONTH(B1173)</x:f>
        <x:v>3</x:v>
      </x:c>
      <x:c r="G1173" s="30" t="n">
        <x:v>-37.53</x:v>
      </x:c>
      <x:c r="H1173" s="30" t="n">
        <x:v>-73.8</x:v>
      </x:c>
      <x:c r="I1173" s="29" t="n">
        <x:v>41</x:v>
      </x:c>
      <x:c r="J1173" s="31" t="n">
        <x:v>3.6</x:v>
      </x:c>
      <x:c r="K1173" s="25" t="str">
        <x:f>IF(J1173&gt;=7,"Muy fuerte (&gt;=7)",IF(J1173&gt;=6,"Fuerte (6-6.9)",IF(J1173&gt;=5,"Moderado alto (5-5.9)",IF(J1173&gt;=4,"Moderado (4-4.9)","Menor a 4"))))</x:f>
        <x:v>Menor a 4</x:v>
      </x:c>
      <x:c r="L1173" s="25" t="str">
        <x:f>IF(I1173&lt;70,"Superficial (&lt;70 km)",IF(I1173&lt;=300,"Intermedio (70-300 km)","Profundo (&gt;300 km)"))</x:f>
        <x:v>Superficial (&lt;70 km)</x:v>
      </x:c>
      <x:c r="M1173" s="25" t="str">
        <x:f>IF(J1173&gt;=5,"Sí","No")</x:f>
        <x:v>No</x:v>
      </x:c>
      <x:c r="N1173" s="25" t="str">
        <x:f>IF(J1173&gt;=6,"Sí","No")</x:f>
        <x:v>No</x:v>
      </x:c>
      <x:c r="O1173" s="25" t="str">
        <x:v>Pendiente: asignar con R/sf</x:v>
      </x:c>
    </x:row>
    <x:row r="1174">
      <x:c r="A1174" s="25" t="n">
        <x:v>1173</x:v>
      </x:c>
      <x:c r="B1174" s="26" t="n">
        <x:v>45546.013877314814</x:v>
      </x:c>
      <x:c r="C1174" s="27" t="n">
        <x:f>INT(B1174)</x:f>
        <x:v>45546</x:v>
      </x:c>
      <x:c r="D1174" s="28" t="n">
        <x:f>MOD(B1174,1)</x:f>
        <x:v>0.013877314813726116</x:v>
      </x:c>
      <x:c r="E1174" s="29" t="n">
        <x:f>YEAR(B1174)</x:f>
        <x:v>2024</x:v>
      </x:c>
      <x:c r="F1174" s="29" t="n">
        <x:f>MONTH(B1174)</x:f>
        <x:v>9</x:v>
      </x:c>
      <x:c r="G1174" s="30" t="n">
        <x:v>-18.2</x:v>
      </x:c>
      <x:c r="H1174" s="30" t="n">
        <x:v>-69.62</x:v>
      </x:c>
      <x:c r="I1174" s="29" t="n">
        <x:v>122</x:v>
      </x:c>
      <x:c r="J1174" s="31" t="n">
        <x:v>4.4</x:v>
      </x:c>
      <x:c r="K1174" s="25" t="str">
        <x:f>IF(J1174&gt;=7,"Muy fuerte (&gt;=7)",IF(J1174&gt;=6,"Fuerte (6-6.9)",IF(J1174&gt;=5,"Moderado alto (5-5.9)",IF(J1174&gt;=4,"Moderado (4-4.9)","Menor a 4"))))</x:f>
        <x:v>Moderado (4-4.9)</x:v>
      </x:c>
      <x:c r="L1174" s="25" t="str">
        <x:f>IF(I1174&lt;70,"Superficial (&lt;70 km)",IF(I1174&lt;=300,"Intermedio (70-300 km)","Profundo (&gt;300 km)"))</x:f>
        <x:v>Intermedio (70-300 km)</x:v>
      </x:c>
      <x:c r="M1174" s="25" t="str">
        <x:f>IF(J1174&gt;=5,"Sí","No")</x:f>
        <x:v>No</x:v>
      </x:c>
      <x:c r="N1174" s="25" t="str">
        <x:f>IF(J1174&gt;=6,"Sí","No")</x:f>
        <x:v>No</x:v>
      </x:c>
      <x:c r="O1174" s="25" t="str">
        <x:v>Pendiente: asignar con R/sf</x:v>
      </x:c>
    </x:row>
    <x:row r="1175">
      <x:c r="A1175" s="25" t="n">
        <x:v>1174</x:v>
      </x:c>
      <x:c r="B1175" s="26" t="n">
        <x:v>45689.85236111111</x:v>
      </x:c>
      <x:c r="C1175" s="27" t="n">
        <x:f>INT(B1175)</x:f>
        <x:v>45689</x:v>
      </x:c>
      <x:c r="D1175" s="28" t="n">
        <x:f>MOD(B1175,1)</x:f>
        <x:v>0.8523611111086211</x:v>
      </x:c>
      <x:c r="E1175" s="29" t="n">
        <x:f>YEAR(B1175)</x:f>
        <x:v>2025</x:v>
      </x:c>
      <x:c r="F1175" s="29" t="n">
        <x:f>MONTH(B1175)</x:f>
        <x:v>2</x:v>
      </x:c>
      <x:c r="G1175" s="30" t="n">
        <x:v>-18.17</x:v>
      </x:c>
      <x:c r="H1175" s="30" t="n">
        <x:v>-69.86</x:v>
      </x:c>
      <x:c r="I1175" s="29" t="n">
        <x:v>132</x:v>
      </x:c>
      <x:c r="J1175" s="31" t="n">
        <x:v>4.5</x:v>
      </x:c>
      <x:c r="K1175" s="25" t="str">
        <x:f>IF(J1175&gt;=7,"Muy fuerte (&gt;=7)",IF(J1175&gt;=6,"Fuerte (6-6.9)",IF(J1175&gt;=5,"Moderado alto (5-5.9)",IF(J1175&gt;=4,"Moderado (4-4.9)","Menor a 4"))))</x:f>
        <x:v>Moderado (4-4.9)</x:v>
      </x:c>
      <x:c r="L1175" s="25" t="str">
        <x:f>IF(I1175&lt;70,"Superficial (&lt;70 km)",IF(I1175&lt;=300,"Intermedio (70-300 km)","Profundo (&gt;300 km)"))</x:f>
        <x:v>Intermedio (70-300 km)</x:v>
      </x:c>
      <x:c r="M1175" s="25" t="str">
        <x:f>IF(J1175&gt;=5,"Sí","No")</x:f>
        <x:v>No</x:v>
      </x:c>
      <x:c r="N1175" s="25" t="str">
        <x:f>IF(J1175&gt;=6,"Sí","No")</x:f>
        <x:v>No</x:v>
      </x:c>
      <x:c r="O1175" s="25" t="str">
        <x:v>Pendiente: asignar con R/sf</x:v>
      </x:c>
    </x:row>
    <x:row r="1176">
      <x:c r="A1176" s="25" t="n">
        <x:v>1175</x:v>
      </x:c>
      <x:c r="B1176" s="26" t="n">
        <x:v>45779.641539351855</x:v>
      </x:c>
      <x:c r="C1176" s="27" t="n">
        <x:f>INT(B1176)</x:f>
        <x:v>45779</x:v>
      </x:c>
      <x:c r="D1176" s="28" t="n">
        <x:f>MOD(B1176,1)</x:f>
        <x:v>0.6415393518545898</x:v>
      </x:c>
      <x:c r="E1176" s="29" t="n">
        <x:f>YEAR(B1176)</x:f>
        <x:v>2025</x:v>
      </x:c>
      <x:c r="F1176" s="29" t="n">
        <x:f>MONTH(B1176)</x:f>
        <x:v>5</x:v>
      </x:c>
      <x:c r="G1176" s="30" t="n">
        <x:v>-27.52</x:v>
      </x:c>
      <x:c r="H1176" s="30" t="n">
        <x:v>-72.48</x:v>
      </x:c>
      <x:c r="I1176" s="29" t="n">
        <x:v>30</x:v>
      </x:c>
      <x:c r="J1176" s="31" t="n">
        <x:v>5.8</x:v>
      </x:c>
      <x:c r="K1176" s="25" t="str">
        <x:f>IF(J1176&gt;=7,"Muy fuerte (&gt;=7)",IF(J1176&gt;=6,"Fuerte (6-6.9)",IF(J1176&gt;=5,"Moderado alto (5-5.9)",IF(J1176&gt;=4,"Moderado (4-4.9)","Menor a 4"))))</x:f>
        <x:v>Moderado alto (5-5.9)</x:v>
      </x:c>
      <x:c r="L1176" s="25" t="str">
        <x:f>IF(I1176&lt;70,"Superficial (&lt;70 km)",IF(I1176&lt;=300,"Intermedio (70-300 km)","Profundo (&gt;300 km)"))</x:f>
        <x:v>Superficial (&lt;70 km)</x:v>
      </x:c>
      <x:c r="M1176" s="25" t="str">
        <x:f>IF(J1176&gt;=5,"Sí","No")</x:f>
        <x:v>Sí</x:v>
      </x:c>
      <x:c r="N1176" s="25" t="str">
        <x:f>IF(J1176&gt;=6,"Sí","No")</x:f>
        <x:v>No</x:v>
      </x:c>
      <x:c r="O1176" s="25" t="str">
        <x:v>Pendiente: asignar con R/sf</x:v>
      </x:c>
    </x:row>
    <x:row r="1177">
      <x:c r="A1177" s="25" t="n">
        <x:v>1176</x:v>
      </x:c>
      <x:c r="B1177" s="26" t="n">
        <x:v>45782.09569444445</x:v>
      </x:c>
      <x:c r="C1177" s="27" t="n">
        <x:f>INT(B1177)</x:f>
        <x:v>45782</x:v>
      </x:c>
      <x:c r="D1177" s="28" t="n">
        <x:f>MOD(B1177,1)</x:f>
        <x:v>0.09569444444787223</x:v>
      </x:c>
      <x:c r="E1177" s="29" t="n">
        <x:f>YEAR(B1177)</x:f>
        <x:v>2025</x:v>
      </x:c>
      <x:c r="F1177" s="29" t="n">
        <x:f>MONTH(B1177)</x:f>
        <x:v>5</x:v>
      </x:c>
      <x:c r="G1177" s="30" t="n">
        <x:v>-31.89</x:v>
      </x:c>
      <x:c r="H1177" s="30" t="n">
        <x:v>-70.88</x:v>
      </x:c>
      <x:c r="I1177" s="29" t="n">
        <x:v>88</x:v>
      </x:c>
      <x:c r="J1177" s="31" t="n">
        <x:v>5.1</x:v>
      </x:c>
      <x:c r="K1177" s="25" t="str">
        <x:f>IF(J1177&gt;=7,"Muy fuerte (&gt;=7)",IF(J1177&gt;=6,"Fuerte (6-6.9)",IF(J1177&gt;=5,"Moderado alto (5-5.9)",IF(J1177&gt;=4,"Moderado (4-4.9)","Menor a 4"))))</x:f>
        <x:v>Moderado alto (5-5.9)</x:v>
      </x:c>
      <x:c r="L1177" s="25" t="str">
        <x:f>IF(I1177&lt;70,"Superficial (&lt;70 km)",IF(I1177&lt;=300,"Intermedio (70-300 km)","Profundo (&gt;300 km)"))</x:f>
        <x:v>Intermedio (70-300 km)</x:v>
      </x:c>
      <x:c r="M1177" s="25" t="str">
        <x:f>IF(J1177&gt;=5,"Sí","No")</x:f>
        <x:v>Sí</x:v>
      </x:c>
      <x:c r="N1177" s="25" t="str">
        <x:f>IF(J1177&gt;=6,"Sí","No")</x:f>
        <x:v>No</x:v>
      </x:c>
      <x:c r="O1177" s="25" t="str">
        <x:v>Pendiente: asignar con R/sf</x:v>
      </x:c>
    </x:row>
    <x:row r="1178">
      <x:c r="A1178" s="25" t="n">
        <x:v>1177</x:v>
      </x:c>
      <x:c r="B1178" s="26" t="n">
        <x:v>45782.4075</x:v>
      </x:c>
      <x:c r="C1178" s="27" t="n">
        <x:f>INT(B1178)</x:f>
        <x:v>45782</x:v>
      </x:c>
      <x:c r="D1178" s="28" t="n">
        <x:f>MOD(B1178,1)</x:f>
        <x:v>0.40750000000116415</x:v>
      </x:c>
      <x:c r="E1178" s="29" t="n">
        <x:f>YEAR(B1178)</x:f>
        <x:v>2025</x:v>
      </x:c>
      <x:c r="F1178" s="29" t="n">
        <x:f>MONTH(B1178)</x:f>
        <x:v>5</x:v>
      </x:c>
      <x:c r="G1178" s="30" t="n">
        <x:v>-29.49</x:v>
      </x:c>
      <x:c r="H1178" s="30" t="n">
        <x:v>-71.84</x:v>
      </x:c>
      <x:c r="I1178" s="29" t="n">
        <x:v>48</x:v>
      </x:c>
      <x:c r="J1178" s="31" t="n">
        <x:v>5</x:v>
      </x:c>
      <x:c r="K1178" s="25" t="str">
        <x:f>IF(J1178&gt;=7,"Muy fuerte (&gt;=7)",IF(J1178&gt;=6,"Fuerte (6-6.9)",IF(J1178&gt;=5,"Moderado alto (5-5.9)",IF(J1178&gt;=4,"Moderado (4-4.9)","Menor a 4"))))</x:f>
        <x:v>Moderado alto (5-5.9)</x:v>
      </x:c>
      <x:c r="L1178" s="25" t="str">
        <x:f>IF(I1178&lt;70,"Superficial (&lt;70 km)",IF(I1178&lt;=300,"Intermedio (70-300 km)","Profundo (&gt;300 km)"))</x:f>
        <x:v>Superficial (&lt;70 km)</x:v>
      </x:c>
      <x:c r="M1178" s="25" t="str">
        <x:f>IF(J1178&gt;=5,"Sí","No")</x:f>
        <x:v>Sí</x:v>
      </x:c>
      <x:c r="N1178" s="25" t="str">
        <x:f>IF(J1178&gt;=6,"Sí","No")</x:f>
        <x:v>No</x:v>
      </x:c>
      <x:c r="O1178" s="25" t="str">
        <x:v>Pendiente: asignar con R/sf</x:v>
      </x:c>
    </x:row>
    <x:row r="1179">
      <x:c r="A1179" s="25" t="n">
        <x:v>1178</x:v>
      </x:c>
      <x:c r="B1179" s="26" t="n">
        <x:v>45790.03331018519</x:v>
      </x:c>
      <x:c r="C1179" s="27" t="n">
        <x:f>INT(B1179)</x:f>
        <x:v>45790</x:v>
      </x:c>
      <x:c r="D1179" s="28" t="n">
        <x:f>MOD(B1179,1)</x:f>
        <x:v>0.03331018518656492</x:v>
      </x:c>
      <x:c r="E1179" s="29" t="n">
        <x:f>YEAR(B1179)</x:f>
        <x:v>2025</x:v>
      </x:c>
      <x:c r="F1179" s="29" t="n">
        <x:f>MONTH(B1179)</x:f>
        <x:v>5</x:v>
      </x:c>
      <x:c r="G1179" s="30" t="n">
        <x:v>-51.25</x:v>
      </x:c>
      <x:c r="H1179" s="30" t="n">
        <x:v>-72.28</x:v>
      </x:c>
      <x:c r="I1179" s="29" t="n">
        <x:v>28</x:v>
      </x:c>
      <x:c r="J1179" s="31" t="n">
        <x:v>5.1</x:v>
      </x:c>
      <x:c r="K1179" s="25" t="str">
        <x:f>IF(J1179&gt;=7,"Muy fuerte (&gt;=7)",IF(J1179&gt;=6,"Fuerte (6-6.9)",IF(J1179&gt;=5,"Moderado alto (5-5.9)",IF(J1179&gt;=4,"Moderado (4-4.9)","Menor a 4"))))</x:f>
        <x:v>Moderado alto (5-5.9)</x:v>
      </x:c>
      <x:c r="L1179" s="25" t="str">
        <x:f>IF(I1179&lt;70,"Superficial (&lt;70 km)",IF(I1179&lt;=300,"Intermedio (70-300 km)","Profundo (&gt;300 km)"))</x:f>
        <x:v>Superficial (&lt;70 km)</x:v>
      </x:c>
      <x:c r="M1179" s="25" t="str">
        <x:f>IF(J1179&gt;=5,"Sí","No")</x:f>
        <x:v>Sí</x:v>
      </x:c>
      <x:c r="N1179" s="25" t="str">
        <x:f>IF(J1179&gt;=6,"Sí","No")</x:f>
        <x:v>No</x:v>
      </x:c>
      <x:c r="O1179" s="25" t="str">
        <x:v>Pendiente: asignar con R/sf</x:v>
      </x:c>
    </x:row>
    <x:row r="1180">
      <x:c r="A1180" s="25" t="n">
        <x:v>1179</x:v>
      </x:c>
      <x:c r="B1180" s="26" t="n">
        <x:v>45803.16003472222</x:v>
      </x:c>
      <x:c r="C1180" s="27" t="n">
        <x:f>INT(B1180)</x:f>
        <x:v>45803</x:v>
      </x:c>
      <x:c r="D1180" s="28" t="n">
        <x:f>MOD(B1180,1)</x:f>
        <x:v>0.1600347222192795</x:v>
      </x:c>
      <x:c r="E1180" s="29" t="n">
        <x:f>YEAR(B1180)</x:f>
        <x:v>2025</x:v>
      </x:c>
      <x:c r="F1180" s="29" t="n">
        <x:f>MONTH(B1180)</x:f>
        <x:v>5</x:v>
      </x:c>
      <x:c r="G1180" s="30" t="n">
        <x:v>-19.63</x:v>
      </x:c>
      <x:c r="H1180" s="30" t="n">
        <x:v>-69.49</x:v>
      </x:c>
      <x:c r="I1180" s="29" t="n">
        <x:v>97</x:v>
      </x:c>
      <x:c r="J1180" s="31" t="n">
        <x:v>5.6</x:v>
      </x:c>
      <x:c r="K1180" s="25" t="str">
        <x:f>IF(J1180&gt;=7,"Muy fuerte (&gt;=7)",IF(J1180&gt;=6,"Fuerte (6-6.9)",IF(J1180&gt;=5,"Moderado alto (5-5.9)",IF(J1180&gt;=4,"Moderado (4-4.9)","Menor a 4"))))</x:f>
        <x:v>Moderado alto (5-5.9)</x:v>
      </x:c>
      <x:c r="L1180" s="25" t="str">
        <x:f>IF(I1180&lt;70,"Superficial (&lt;70 km)",IF(I1180&lt;=300,"Intermedio (70-300 km)","Profundo (&gt;300 km)"))</x:f>
        <x:v>Intermedio (70-300 km)</x:v>
      </x:c>
      <x:c r="M1180" s="25" t="str">
        <x:f>IF(J1180&gt;=5,"Sí","No")</x:f>
        <x:v>Sí</x:v>
      </x:c>
      <x:c r="N1180" s="25" t="str">
        <x:f>IF(J1180&gt;=6,"Sí","No")</x:f>
        <x:v>No</x:v>
      </x:c>
      <x:c r="O1180" s="25" t="str">
        <x:v>Pendiente: asignar con R/sf</x:v>
      </x:c>
    </x:row>
    <x:row r="1181">
      <x:c r="A1181" s="25" t="n">
        <x:v>1180</x:v>
      </x:c>
      <x:c r="B1181" s="26" t="n">
        <x:v>45704.87567129629</x:v>
      </x:c>
      <x:c r="C1181" s="27" t="n">
        <x:f>INT(B1181)</x:f>
        <x:v>45704</x:v>
      </x:c>
      <x:c r="D1181" s="28" t="n">
        <x:f>MOD(B1181,1)</x:f>
        <x:v>0.8756712962931488</x:v>
      </x:c>
      <x:c r="E1181" s="29" t="n">
        <x:f>YEAR(B1181)</x:f>
        <x:v>2025</x:v>
      </x:c>
      <x:c r="F1181" s="29" t="n">
        <x:f>MONTH(B1181)</x:f>
        <x:v>2</x:v>
      </x:c>
      <x:c r="G1181" s="30" t="n">
        <x:v>-19.43</x:v>
      </x:c>
      <x:c r="H1181" s="30" t="n">
        <x:v>-69.56</x:v>
      </x:c>
      <x:c r="I1181" s="29" t="n">
        <x:v>115</x:v>
      </x:c>
      <x:c r="J1181" s="31" t="n">
        <x:v>4.6</x:v>
      </x:c>
      <x:c r="K1181" s="25" t="str">
        <x:f>IF(J1181&gt;=7,"Muy fuerte (&gt;=7)",IF(J1181&gt;=6,"Fuerte (6-6.9)",IF(J1181&gt;=5,"Moderado alto (5-5.9)",IF(J1181&gt;=4,"Moderado (4-4.9)","Menor a 4"))))</x:f>
        <x:v>Moderado (4-4.9)</x:v>
      </x:c>
      <x:c r="L1181" s="25" t="str">
        <x:f>IF(I1181&lt;70,"Superficial (&lt;70 km)",IF(I1181&lt;=300,"Intermedio (70-300 km)","Profundo (&gt;300 km)"))</x:f>
        <x:v>Intermedio (70-300 km)</x:v>
      </x:c>
      <x:c r="M1181" s="25" t="str">
        <x:f>IF(J1181&gt;=5,"Sí","No")</x:f>
        <x:v>No</x:v>
      </x:c>
      <x:c r="N1181" s="25" t="str">
        <x:f>IF(J1181&gt;=6,"Sí","No")</x:f>
        <x:v>No</x:v>
      </x:c>
      <x:c r="O1181" s="25" t="str">
        <x:v>Pendiente: asignar con R/sf</x:v>
      </x:c>
    </x:row>
    <x:row r="1182">
      <x:c r="A1182" s="25" t="n">
        <x:v>1181</x:v>
      </x:c>
      <x:c r="B1182" s="26" t="n">
        <x:v>45725.33788194445</x:v>
      </x:c>
      <x:c r="C1182" s="27" t="n">
        <x:f>INT(B1182)</x:f>
        <x:v>45725</x:v>
      </x:c>
      <x:c r="D1182" s="28" t="n">
        <x:f>MOD(B1182,1)</x:f>
        <x:v>0.33788194444787223</x:v>
      </x:c>
      <x:c r="E1182" s="29" t="n">
        <x:f>YEAR(B1182)</x:f>
        <x:v>2025</x:v>
      </x:c>
      <x:c r="F1182" s="29" t="n">
        <x:f>MONTH(B1182)</x:f>
        <x:v>3</x:v>
      </x:c>
      <x:c r="G1182" s="30" t="n">
        <x:v>-18.15</x:v>
      </x:c>
      <x:c r="H1182" s="30" t="n">
        <x:v>-70.19</x:v>
      </x:c>
      <x:c r="I1182" s="29" t="n">
        <x:v>117</x:v>
      </x:c>
      <x:c r="J1182" s="31" t="n">
        <x:v>4.5</x:v>
      </x:c>
      <x:c r="K1182" s="25" t="str">
        <x:f>IF(J1182&gt;=7,"Muy fuerte (&gt;=7)",IF(J1182&gt;=6,"Fuerte (6-6.9)",IF(J1182&gt;=5,"Moderado alto (5-5.9)",IF(J1182&gt;=4,"Moderado (4-4.9)","Menor a 4"))))</x:f>
        <x:v>Moderado (4-4.9)</x:v>
      </x:c>
      <x:c r="L1182" s="25" t="str">
        <x:f>IF(I1182&lt;70,"Superficial (&lt;70 km)",IF(I1182&lt;=300,"Intermedio (70-300 km)","Profundo (&gt;300 km)"))</x:f>
        <x:v>Intermedio (70-300 km)</x:v>
      </x:c>
      <x:c r="M1182" s="25" t="str">
        <x:f>IF(J1182&gt;=5,"Sí","No")</x:f>
        <x:v>No</x:v>
      </x:c>
      <x:c r="N1182" s="25" t="str">
        <x:f>IF(J1182&gt;=6,"Sí","No")</x:f>
        <x:v>No</x:v>
      </x:c>
      <x:c r="O1182" s="25" t="str">
        <x:v>Pendiente: asignar con R/sf</x:v>
      </x:c>
    </x:row>
    <x:row r="1183">
      <x:c r="A1183" s="25" t="n">
        <x:v>1182</x:v>
      </x:c>
      <x:c r="B1183" s="26" t="n">
        <x:v>45567.33825231482</x:v>
      </x:c>
      <x:c r="C1183" s="27" t="n">
        <x:f>INT(B1183)</x:f>
        <x:v>45567</x:v>
      </x:c>
      <x:c r="D1183" s="28" t="n">
        <x:f>MOD(B1183,1)</x:f>
        <x:v>0.3382523148175096</x:v>
      </x:c>
      <x:c r="E1183" s="29" t="n">
        <x:f>YEAR(B1183)</x:f>
        <x:v>2024</x:v>
      </x:c>
      <x:c r="F1183" s="29" t="n">
        <x:f>MONTH(B1183)</x:f>
        <x:v>10</x:v>
      </x:c>
      <x:c r="G1183" s="30" t="n">
        <x:v>-32.64</x:v>
      </x:c>
      <x:c r="H1183" s="30" t="n">
        <x:v>-71.61</x:v>
      </x:c>
      <x:c r="I1183" s="29" t="n">
        <x:v>44</x:v>
      </x:c>
      <x:c r="J1183" s="31" t="n">
        <x:v>4</x:v>
      </x:c>
      <x:c r="K1183" s="25" t="str">
        <x:f>IF(J1183&gt;=7,"Muy fuerte (&gt;=7)",IF(J1183&gt;=6,"Fuerte (6-6.9)",IF(J1183&gt;=5,"Moderado alto (5-5.9)",IF(J1183&gt;=4,"Moderado (4-4.9)","Menor a 4"))))</x:f>
        <x:v>Moderado (4-4.9)</x:v>
      </x:c>
      <x:c r="L1183" s="25" t="str">
        <x:f>IF(I1183&lt;70,"Superficial (&lt;70 km)",IF(I1183&lt;=300,"Intermedio (70-300 km)","Profundo (&gt;300 km)"))</x:f>
        <x:v>Superficial (&lt;70 km)</x:v>
      </x:c>
      <x:c r="M1183" s="25" t="str">
        <x:f>IF(J1183&gt;=5,"Sí","No")</x:f>
        <x:v>No</x:v>
      </x:c>
      <x:c r="N1183" s="25" t="str">
        <x:f>IF(J1183&gt;=6,"Sí","No")</x:f>
        <x:v>No</x:v>
      </x:c>
      <x:c r="O1183" s="25" t="str">
        <x:v>Pendiente: asignar con R/sf</x:v>
      </x:c>
    </x:row>
    <x:row r="1184">
      <x:c r="A1184" s="25" t="n">
        <x:v>1183</x:v>
      </x:c>
      <x:c r="B1184" s="26" t="n">
        <x:v>45593.5287962963</x:v>
      </x:c>
      <x:c r="C1184" s="27" t="n">
        <x:f>INT(B1184)</x:f>
        <x:v>45593</x:v>
      </x:c>
      <x:c r="D1184" s="28" t="n">
        <x:f>MOD(B1184,1)</x:f>
        <x:v>0.5287962962975143</x:v>
      </x:c>
      <x:c r="E1184" s="29" t="n">
        <x:f>YEAR(B1184)</x:f>
        <x:v>2024</x:v>
      </x:c>
      <x:c r="F1184" s="29" t="n">
        <x:f>MONTH(B1184)</x:f>
        <x:v>10</x:v>
      </x:c>
      <x:c r="G1184" s="30" t="n">
        <x:v>-33.05</x:v>
      </x:c>
      <x:c r="H1184" s="30" t="n">
        <x:v>-71.8</x:v>
      </x:c>
      <x:c r="I1184" s="29" t="n">
        <x:v>34</x:v>
      </x:c>
      <x:c r="J1184" s="31" t="n">
        <x:v>3.9</x:v>
      </x:c>
      <x:c r="K1184" s="25" t="str">
        <x:f>IF(J1184&gt;=7,"Muy fuerte (&gt;=7)",IF(J1184&gt;=6,"Fuerte (6-6.9)",IF(J1184&gt;=5,"Moderado alto (5-5.9)",IF(J1184&gt;=4,"Moderado (4-4.9)","Menor a 4"))))</x:f>
        <x:v>Menor a 4</x:v>
      </x:c>
      <x:c r="L1184" s="25" t="str">
        <x:f>IF(I1184&lt;70,"Superficial (&lt;70 km)",IF(I1184&lt;=300,"Intermedio (70-300 km)","Profundo (&gt;300 km)"))</x:f>
        <x:v>Superficial (&lt;70 km)</x:v>
      </x:c>
      <x:c r="M1184" s="25" t="str">
        <x:f>IF(J1184&gt;=5,"Sí","No")</x:f>
        <x:v>No</x:v>
      </x:c>
      <x:c r="N1184" s="25" t="str">
        <x:f>IF(J1184&gt;=6,"Sí","No")</x:f>
        <x:v>No</x:v>
      </x:c>
      <x:c r="O1184" s="25" t="str">
        <x:v>Pendiente: asignar con R/sf</x:v>
      </x:c>
    </x:row>
    <x:row r="1185">
      <x:c r="A1185" s="25" t="n">
        <x:v>1184</x:v>
      </x:c>
      <x:c r="B1185" s="26" t="n">
        <x:v>45651.96842592592</x:v>
      </x:c>
      <x:c r="C1185" s="27" t="n">
        <x:f>INT(B1185)</x:f>
        <x:v>45651</x:v>
      </x:c>
      <x:c r="D1185" s="28" t="n">
        <x:f>MOD(B1185,1)</x:f>
        <x:v>0.9684259259229293</x:v>
      </x:c>
      <x:c r="E1185" s="29" t="n">
        <x:f>YEAR(B1185)</x:f>
        <x:v>2024</x:v>
      </x:c>
      <x:c r="F1185" s="29" t="n">
        <x:f>MONTH(B1185)</x:f>
        <x:v>12</x:v>
      </x:c>
      <x:c r="G1185" s="30" t="n">
        <x:v>-32.98</x:v>
      </x:c>
      <x:c r="H1185" s="30" t="n">
        <x:v>-71.93</x:v>
      </x:c>
      <x:c r="I1185" s="29" t="n">
        <x:v>35</x:v>
      </x:c>
      <x:c r="J1185" s="31" t="n">
        <x:v>4.3</x:v>
      </x:c>
      <x:c r="K1185" s="25" t="str">
        <x:f>IF(J1185&gt;=7,"Muy fuerte (&gt;=7)",IF(J1185&gt;=6,"Fuerte (6-6.9)",IF(J1185&gt;=5,"Moderado alto (5-5.9)",IF(J1185&gt;=4,"Moderado (4-4.9)","Menor a 4"))))</x:f>
        <x:v>Moderado (4-4.9)</x:v>
      </x:c>
      <x:c r="L1185" s="25" t="str">
        <x:f>IF(I1185&lt;70,"Superficial (&lt;70 km)",IF(I1185&lt;=300,"Intermedio (70-300 km)","Profundo (&gt;300 km)"))</x:f>
        <x:v>Superficial (&lt;70 km)</x:v>
      </x:c>
      <x:c r="M1185" s="25" t="str">
        <x:f>IF(J1185&gt;=5,"Sí","No")</x:f>
        <x:v>No</x:v>
      </x:c>
      <x:c r="N1185" s="25" t="str">
        <x:f>IF(J1185&gt;=6,"Sí","No")</x:f>
        <x:v>No</x:v>
      </x:c>
      <x:c r="O1185" s="25" t="str">
        <x:v>Pendiente: asignar con R/sf</x:v>
      </x:c>
    </x:row>
    <x:row r="1186">
      <x:c r="A1186" s="25" t="n">
        <x:v>1185</x:v>
      </x:c>
      <x:c r="B1186" s="26" t="n">
        <x:v>45664.15251157407</x:v>
      </x:c>
      <x:c r="C1186" s="27" t="n">
        <x:f>INT(B1186)</x:f>
        <x:v>45664</x:v>
      </x:c>
      <x:c r="D1186" s="28" t="n">
        <x:f>MOD(B1186,1)</x:f>
        <x:v>0.1525115740732872</x:v>
      </x:c>
      <x:c r="E1186" s="29" t="n">
        <x:f>YEAR(B1186)</x:f>
        <x:v>2025</x:v>
      </x:c>
      <x:c r="F1186" s="29" t="n">
        <x:f>MONTH(B1186)</x:f>
        <x:v>1</x:v>
      </x:c>
      <x:c r="G1186" s="30" t="n">
        <x:v>-32.53</x:v>
      </x:c>
      <x:c r="H1186" s="30" t="n">
        <x:v>-71.73</x:v>
      </x:c>
      <x:c r="I1186" s="29" t="n">
        <x:v>36</x:v>
      </x:c>
      <x:c r="J1186" s="31" t="n">
        <x:v>4.1</x:v>
      </x:c>
      <x:c r="K1186" s="25" t="str">
        <x:f>IF(J1186&gt;=7,"Muy fuerte (&gt;=7)",IF(J1186&gt;=6,"Fuerte (6-6.9)",IF(J1186&gt;=5,"Moderado alto (5-5.9)",IF(J1186&gt;=4,"Moderado (4-4.9)","Menor a 4"))))</x:f>
        <x:v>Moderado (4-4.9)</x:v>
      </x:c>
      <x:c r="L1186" s="25" t="str">
        <x:f>IF(I1186&lt;70,"Superficial (&lt;70 km)",IF(I1186&lt;=300,"Intermedio (70-300 km)","Profundo (&gt;300 km)"))</x:f>
        <x:v>Superficial (&lt;70 km)</x:v>
      </x:c>
      <x:c r="M1186" s="25" t="str">
        <x:f>IF(J1186&gt;=5,"Sí","No")</x:f>
        <x:v>No</x:v>
      </x:c>
      <x:c r="N1186" s="25" t="str">
        <x:f>IF(J1186&gt;=6,"Sí","No")</x:f>
        <x:v>No</x:v>
      </x:c>
      <x:c r="O1186" s="25" t="str">
        <x:v>Pendiente: asignar con R/sf</x:v>
      </x:c>
    </x:row>
    <x:row r="1187">
      <x:c r="A1187" s="25" t="n">
        <x:v>1186</x:v>
      </x:c>
      <x:c r="B1187" s="26" t="n">
        <x:v>45732.015555555554</x:v>
      </x:c>
      <x:c r="C1187" s="27" t="n">
        <x:f>INT(B1187)</x:f>
        <x:v>45732</x:v>
      </x:c>
      <x:c r="D1187" s="28" t="n">
        <x:f>MOD(B1187,1)</x:f>
        <x:v>0.015555555553874001</x:v>
      </x:c>
      <x:c r="E1187" s="29" t="n">
        <x:f>YEAR(B1187)</x:f>
        <x:v>2025</x:v>
      </x:c>
      <x:c r="F1187" s="29" t="n">
        <x:f>MONTH(B1187)</x:f>
        <x:v>3</x:v>
      </x:c>
      <x:c r="G1187" s="30" t="n">
        <x:v>-32.59</x:v>
      </x:c>
      <x:c r="H1187" s="30" t="n">
        <x:v>-71.57</x:v>
      </x:c>
      <x:c r="I1187" s="29" t="n">
        <x:v>59</x:v>
      </x:c>
      <x:c r="J1187" s="31" t="n">
        <x:v>4.4</x:v>
      </x:c>
      <x:c r="K1187" s="25" t="str">
        <x:f>IF(J1187&gt;=7,"Muy fuerte (&gt;=7)",IF(J1187&gt;=6,"Fuerte (6-6.9)",IF(J1187&gt;=5,"Moderado alto (5-5.9)",IF(J1187&gt;=4,"Moderado (4-4.9)","Menor a 4"))))</x:f>
        <x:v>Moderado (4-4.9)</x:v>
      </x:c>
      <x:c r="L1187" s="25" t="str">
        <x:f>IF(I1187&lt;70,"Superficial (&lt;70 km)",IF(I1187&lt;=300,"Intermedio (70-300 km)","Profundo (&gt;300 km)"))</x:f>
        <x:v>Superficial (&lt;70 km)</x:v>
      </x:c>
      <x:c r="M1187" s="25" t="str">
        <x:f>IF(J1187&gt;=5,"Sí","No")</x:f>
        <x:v>No</x:v>
      </x:c>
      <x:c r="N1187" s="25" t="str">
        <x:f>IF(J1187&gt;=6,"Sí","No")</x:f>
        <x:v>No</x:v>
      </x:c>
      <x:c r="O1187" s="25" t="str">
        <x:v>Pendiente: asignar con R/sf</x:v>
      </x:c>
    </x:row>
    <x:row r="1188">
      <x:c r="A1188" s="25" t="n">
        <x:v>1187</x:v>
      </x:c>
      <x:c r="B1188" s="26" t="n">
        <x:v>45626.77427083333</x:v>
      </x:c>
      <x:c r="C1188" s="27" t="n">
        <x:f>INT(B1188)</x:f>
        <x:v>45626</x:v>
      </x:c>
      <x:c r="D1188" s="28" t="n">
        <x:f>MOD(B1188,1)</x:f>
        <x:v>0.7742708333316841</x:v>
      </x:c>
      <x:c r="E1188" s="29" t="n">
        <x:f>YEAR(B1188)</x:f>
        <x:v>2024</x:v>
      </x:c>
      <x:c r="F1188" s="29" t="n">
        <x:f>MONTH(B1188)</x:f>
        <x:v>11</x:v>
      </x:c>
      <x:c r="G1188" s="30" t="n">
        <x:v>-18.38</x:v>
      </x:c>
      <x:c r="H1188" s="30" t="n">
        <x:v>-69.65</x:v>
      </x:c>
      <x:c r="I1188" s="29" t="n">
        <x:v>115</x:v>
      </x:c>
      <x:c r="J1188" s="31" t="n">
        <x:v>4.6</x:v>
      </x:c>
      <x:c r="K1188" s="25" t="str">
        <x:f>IF(J1188&gt;=7,"Muy fuerte (&gt;=7)",IF(J1188&gt;=6,"Fuerte (6-6.9)",IF(J1188&gt;=5,"Moderado alto (5-5.9)",IF(J1188&gt;=4,"Moderado (4-4.9)","Menor a 4"))))</x:f>
        <x:v>Moderado (4-4.9)</x:v>
      </x:c>
      <x:c r="L1188" s="25" t="str">
        <x:f>IF(I1188&lt;70,"Superficial (&lt;70 km)",IF(I1188&lt;=300,"Intermedio (70-300 km)","Profundo (&gt;300 km)"))</x:f>
        <x:v>Intermedio (70-300 km)</x:v>
      </x:c>
      <x:c r="M1188" s="25" t="str">
        <x:f>IF(J1188&gt;=5,"Sí","No")</x:f>
        <x:v>No</x:v>
      </x:c>
      <x:c r="N1188" s="25" t="str">
        <x:f>IF(J1188&gt;=6,"Sí","No")</x:f>
        <x:v>No</x:v>
      </x:c>
      <x:c r="O1188" s="25" t="str">
        <x:v>Pendiente: asignar con R/sf</x:v>
      </x:c>
    </x:row>
    <x:row r="1189">
      <x:c r="A1189" s="25" t="n">
        <x:v>1188</x:v>
      </x:c>
      <x:c r="B1189" s="26" t="n">
        <x:v>45355.91773148148</x:v>
      </x:c>
      <x:c r="C1189" s="27" t="n">
        <x:f>INT(B1189)</x:f>
        <x:v>45355</x:v>
      </x:c>
      <x:c r="D1189" s="28" t="n">
        <x:f>MOD(B1189,1)</x:f>
        <x:v>0.9177314814805868</x:v>
      </x:c>
      <x:c r="E1189" s="29" t="n">
        <x:f>YEAR(B1189)</x:f>
        <x:v>2024</x:v>
      </x:c>
      <x:c r="F1189" s="29" t="n">
        <x:f>MONTH(B1189)</x:f>
        <x:v>3</x:v>
      </x:c>
      <x:c r="G1189" s="30" t="n">
        <x:v>-19.19</x:v>
      </x:c>
      <x:c r="H1189" s="30" t="n">
        <x:v>-69.39</x:v>
      </x:c>
      <x:c r="I1189" s="29" t="n">
        <x:v>102</x:v>
      </x:c>
      <x:c r="J1189" s="31" t="n">
        <x:v>4.7</x:v>
      </x:c>
      <x:c r="K1189" s="25" t="str">
        <x:f>IF(J1189&gt;=7,"Muy fuerte (&gt;=7)",IF(J1189&gt;=6,"Fuerte (6-6.9)",IF(J1189&gt;=5,"Moderado alto (5-5.9)",IF(J1189&gt;=4,"Moderado (4-4.9)","Menor a 4"))))</x:f>
        <x:v>Moderado (4-4.9)</x:v>
      </x:c>
      <x:c r="L1189" s="25" t="str">
        <x:f>IF(I1189&lt;70,"Superficial (&lt;70 km)",IF(I1189&lt;=300,"Intermedio (70-300 km)","Profundo (&gt;300 km)"))</x:f>
        <x:v>Intermedio (70-300 km)</x:v>
      </x:c>
      <x:c r="M1189" s="25" t="str">
        <x:f>IF(J1189&gt;=5,"Sí","No")</x:f>
        <x:v>No</x:v>
      </x:c>
      <x:c r="N1189" s="25" t="str">
        <x:f>IF(J1189&gt;=6,"Sí","No")</x:f>
        <x:v>No</x:v>
      </x:c>
      <x:c r="O1189" s="25" t="str">
        <x:v>Pendiente: asignar con R/sf</x:v>
      </x:c>
    </x:row>
    <x:row r="1190">
      <x:c r="A1190" s="25" t="n">
        <x:v>1189</x:v>
      </x:c>
      <x:c r="B1190" s="26" t="n">
        <x:v>45392.71028935185</x:v>
      </x:c>
      <x:c r="C1190" s="27" t="n">
        <x:f>INT(B1190)</x:f>
        <x:v>45392</x:v>
      </x:c>
      <x:c r="D1190" s="28" t="n">
        <x:f>MOD(B1190,1)</x:f>
        <x:v>0.7102893518531346</x:v>
      </x:c>
      <x:c r="E1190" s="29" t="n">
        <x:f>YEAR(B1190)</x:f>
        <x:v>2024</x:v>
      </x:c>
      <x:c r="F1190" s="29" t="n">
        <x:f>MONTH(B1190)</x:f>
        <x:v>4</x:v>
      </x:c>
      <x:c r="G1190" s="30" t="n">
        <x:v>-18.25</x:v>
      </x:c>
      <x:c r="H1190" s="30" t="n">
        <x:v>-69.43</x:v>
      </x:c>
      <x:c r="I1190" s="29" t="n">
        <x:v>6</x:v>
      </x:c>
      <x:c r="J1190" s="31" t="n">
        <x:v>4.7</x:v>
      </x:c>
      <x:c r="K1190" s="25" t="str">
        <x:f>IF(J1190&gt;=7,"Muy fuerte (&gt;=7)",IF(J1190&gt;=6,"Fuerte (6-6.9)",IF(J1190&gt;=5,"Moderado alto (5-5.9)",IF(J1190&gt;=4,"Moderado (4-4.9)","Menor a 4"))))</x:f>
        <x:v>Moderado (4-4.9)</x:v>
      </x:c>
      <x:c r="L1190" s="25" t="str">
        <x:f>IF(I1190&lt;70,"Superficial (&lt;70 km)",IF(I1190&lt;=300,"Intermedio (70-300 km)","Profundo (&gt;300 km)"))</x:f>
        <x:v>Superficial (&lt;70 km)</x:v>
      </x:c>
      <x:c r="M1190" s="25" t="str">
        <x:f>IF(J1190&gt;=5,"Sí","No")</x:f>
        <x:v>No</x:v>
      </x:c>
      <x:c r="N1190" s="25" t="str">
        <x:f>IF(J1190&gt;=6,"Sí","No")</x:f>
        <x:v>No</x:v>
      </x:c>
      <x:c r="O1190" s="25" t="str">
        <x:v>Pendiente: asignar con R/sf</x:v>
      </x:c>
    </x:row>
    <x:row r="1191">
      <x:c r="A1191" s="25" t="n">
        <x:v>1190</x:v>
      </x:c>
      <x:c r="B1191" s="26" t="n">
        <x:v>45512.69988425926</x:v>
      </x:c>
      <x:c r="C1191" s="27" t="n">
        <x:f>INT(B1191)</x:f>
        <x:v>45512</x:v>
      </x:c>
      <x:c r="D1191" s="28" t="n">
        <x:f>MOD(B1191,1)</x:f>
        <x:v>0.6998842592583969</x:v>
      </x:c>
      <x:c r="E1191" s="29" t="n">
        <x:f>YEAR(B1191)</x:f>
        <x:v>2024</x:v>
      </x:c>
      <x:c r="F1191" s="29" t="n">
        <x:f>MONTH(B1191)</x:f>
        <x:v>8</x:v>
      </x:c>
      <x:c r="G1191" s="30" t="n">
        <x:v>-33.1</x:v>
      </x:c>
      <x:c r="H1191" s="30" t="n">
        <x:v>-71.7</x:v>
      </x:c>
      <x:c r="I1191" s="29" t="n">
        <x:v>39</x:v>
      </x:c>
      <x:c r="J1191" s="31" t="n">
        <x:v>3.7</x:v>
      </x:c>
      <x:c r="K1191" s="25" t="str">
        <x:f>IF(J1191&gt;=7,"Muy fuerte (&gt;=7)",IF(J1191&gt;=6,"Fuerte (6-6.9)",IF(J1191&gt;=5,"Moderado alto (5-5.9)",IF(J1191&gt;=4,"Moderado (4-4.9)","Menor a 4"))))</x:f>
        <x:v>Menor a 4</x:v>
      </x:c>
      <x:c r="L1191" s="25" t="str">
        <x:f>IF(I1191&lt;70,"Superficial (&lt;70 km)",IF(I1191&lt;=300,"Intermedio (70-300 km)","Profundo (&gt;300 km)"))</x:f>
        <x:v>Superficial (&lt;70 km)</x:v>
      </x:c>
      <x:c r="M1191" s="25" t="str">
        <x:f>IF(J1191&gt;=5,"Sí","No")</x:f>
        <x:v>No</x:v>
      </x:c>
      <x:c r="N1191" s="25" t="str">
        <x:f>IF(J1191&gt;=6,"Sí","No")</x:f>
        <x:v>No</x:v>
      </x:c>
      <x:c r="O1191" s="25" t="str">
        <x:v>Pendiente: asignar con R/sf</x:v>
      </x:c>
    </x:row>
    <x:row r="1192">
      <x:c r="A1192" s="25" t="n">
        <x:v>1191</x:v>
      </x:c>
      <x:c r="B1192" s="26" t="n">
        <x:v>45588.35706018518</x:v>
      </x:c>
      <x:c r="C1192" s="27" t="n">
        <x:f>INT(B1192)</x:f>
        <x:v>45588</x:v>
      </x:c>
      <x:c r="D1192" s="28" t="n">
        <x:f>MOD(B1192,1)</x:f>
        <x:v>0.3570601851824904</x:v>
      </x:c>
      <x:c r="E1192" s="29" t="n">
        <x:f>YEAR(B1192)</x:f>
        <x:v>2024</x:v>
      </x:c>
      <x:c r="F1192" s="29" t="n">
        <x:f>MONTH(B1192)</x:f>
        <x:v>10</x:v>
      </x:c>
      <x:c r="G1192" s="30" t="n">
        <x:v>-32.75</x:v>
      </x:c>
      <x:c r="H1192" s="30" t="n">
        <x:v>-71.77</x:v>
      </x:c>
      <x:c r="I1192" s="29" t="n">
        <x:v>33</x:v>
      </x:c>
      <x:c r="J1192" s="31" t="n">
        <x:v>3.4</x:v>
      </x:c>
      <x:c r="K1192" s="25" t="str">
        <x:f>IF(J1192&gt;=7,"Muy fuerte (&gt;=7)",IF(J1192&gt;=6,"Fuerte (6-6.9)",IF(J1192&gt;=5,"Moderado alto (5-5.9)",IF(J1192&gt;=4,"Moderado (4-4.9)","Menor a 4"))))</x:f>
        <x:v>Menor a 4</x:v>
      </x:c>
      <x:c r="L1192" s="25" t="str">
        <x:f>IF(I1192&lt;70,"Superficial (&lt;70 km)",IF(I1192&lt;=300,"Intermedio (70-300 km)","Profundo (&gt;300 km)"))</x:f>
        <x:v>Superficial (&lt;70 km)</x:v>
      </x:c>
      <x:c r="M1192" s="25" t="str">
        <x:f>IF(J1192&gt;=5,"Sí","No")</x:f>
        <x:v>No</x:v>
      </x:c>
      <x:c r="N1192" s="25" t="str">
        <x:f>IF(J1192&gt;=6,"Sí","No")</x:f>
        <x:v>No</x:v>
      </x:c>
      <x:c r="O1192" s="25" t="str">
        <x:v>Pendiente: asignar con R/sf</x:v>
      </x:c>
    </x:row>
    <x:row r="1193">
      <x:c r="A1193" s="25" t="n">
        <x:v>1192</x:v>
      </x:c>
      <x:c r="B1193" s="26" t="n">
        <x:v>45640.70002314815</x:v>
      </x:c>
      <x:c r="C1193" s="27" t="n">
        <x:f>INT(B1193)</x:f>
        <x:v>45640</x:v>
      </x:c>
      <x:c r="D1193" s="28" t="n">
        <x:f>MOD(B1193,1)</x:f>
        <x:v>0.7000231481506489</x:v>
      </x:c>
      <x:c r="E1193" s="29" t="n">
        <x:f>YEAR(B1193)</x:f>
        <x:v>2024</x:v>
      </x:c>
      <x:c r="F1193" s="29" t="n">
        <x:f>MONTH(B1193)</x:f>
        <x:v>12</x:v>
      </x:c>
      <x:c r="G1193" s="30" t="n">
        <x:v>-32.78</x:v>
      </x:c>
      <x:c r="H1193" s="30" t="n">
        <x:v>-71.57</x:v>
      </x:c>
      <x:c r="I1193" s="29" t="n">
        <x:v>16</x:v>
      </x:c>
      <x:c r="J1193" s="31" t="n">
        <x:v>3.3</x:v>
      </x:c>
      <x:c r="K1193" s="25" t="str">
        <x:f>IF(J1193&gt;=7,"Muy fuerte (&gt;=7)",IF(J1193&gt;=6,"Fuerte (6-6.9)",IF(J1193&gt;=5,"Moderado alto (5-5.9)",IF(J1193&gt;=4,"Moderado (4-4.9)","Menor a 4"))))</x:f>
        <x:v>Menor a 4</x:v>
      </x:c>
      <x:c r="L1193" s="25" t="str">
        <x:f>IF(I1193&lt;70,"Superficial (&lt;70 km)",IF(I1193&lt;=300,"Intermedio (70-300 km)","Profundo (&gt;300 km)"))</x:f>
        <x:v>Superficial (&lt;70 km)</x:v>
      </x:c>
      <x:c r="M1193" s="25" t="str">
        <x:f>IF(J1193&gt;=5,"Sí","No")</x:f>
        <x:v>No</x:v>
      </x:c>
      <x:c r="N1193" s="25" t="str">
        <x:f>IF(J1193&gt;=6,"Sí","No")</x:f>
        <x:v>No</x:v>
      </x:c>
      <x:c r="O1193" s="25" t="str">
        <x:v>Pendiente: asignar con R/sf</x:v>
      </x:c>
    </x:row>
    <x:row r="1194">
      <x:c r="A1194" s="25" t="n">
        <x:v>1193</x:v>
      </x:c>
      <x:c r="B1194" s="26" t="n">
        <x:v>45651.97277777778</x:v>
      </x:c>
      <x:c r="C1194" s="27" t="n">
        <x:f>INT(B1194)</x:f>
        <x:v>45651</x:v>
      </x:c>
      <x:c r="D1194" s="28" t="n">
        <x:f>MOD(B1194,1)</x:f>
        <x:v>0.9727777777807205</x:v>
      </x:c>
      <x:c r="E1194" s="29" t="n">
        <x:f>YEAR(B1194)</x:f>
        <x:v>2024</x:v>
      </x:c>
      <x:c r="F1194" s="29" t="n">
        <x:f>MONTH(B1194)</x:f>
        <x:v>12</x:v>
      </x:c>
      <x:c r="G1194" s="30" t="n">
        <x:v>-32.97</x:v>
      </x:c>
      <x:c r="H1194" s="30" t="n">
        <x:v>-71.65</x:v>
      </x:c>
      <x:c r="I1194" s="29" t="n">
        <x:v>46</x:v>
      </x:c>
      <x:c r="J1194" s="31" t="n">
        <x:v>3.2</x:v>
      </x:c>
      <x:c r="K1194" s="25" t="str">
        <x:f>IF(J1194&gt;=7,"Muy fuerte (&gt;=7)",IF(J1194&gt;=6,"Fuerte (6-6.9)",IF(J1194&gt;=5,"Moderado alto (5-5.9)",IF(J1194&gt;=4,"Moderado (4-4.9)","Menor a 4"))))</x:f>
        <x:v>Menor a 4</x:v>
      </x:c>
      <x:c r="L1194" s="25" t="str">
        <x:f>IF(I1194&lt;70,"Superficial (&lt;70 km)",IF(I1194&lt;=300,"Intermedio (70-300 km)","Profundo (&gt;300 km)"))</x:f>
        <x:v>Superficial (&lt;70 km)</x:v>
      </x:c>
      <x:c r="M1194" s="25" t="str">
        <x:f>IF(J1194&gt;=5,"Sí","No")</x:f>
        <x:v>No</x:v>
      </x:c>
      <x:c r="N1194" s="25" t="str">
        <x:f>IF(J1194&gt;=6,"Sí","No")</x:f>
        <x:v>No</x:v>
      </x:c>
      <x:c r="O1194" s="25" t="str">
        <x:v>Pendiente: asignar con R/sf</x:v>
      </x:c>
    </x:row>
    <x:row r="1195">
      <x:c r="A1195" s="25" t="n">
        <x:v>1194</x:v>
      </x:c>
      <x:c r="B1195" s="26" t="n">
        <x:v>45814.71880787037</x:v>
      </x:c>
      <x:c r="C1195" s="27" t="n">
        <x:f>INT(B1195)</x:f>
        <x:v>45814</x:v>
      </x:c>
      <x:c r="D1195" s="28" t="n">
        <x:f>MOD(B1195,1)</x:f>
        <x:v>0.7188078703693463</x:v>
      </x:c>
      <x:c r="E1195" s="29" t="n">
        <x:f>YEAR(B1195)</x:f>
        <x:v>2025</x:v>
      </x:c>
      <x:c r="F1195" s="29" t="n">
        <x:f>MONTH(B1195)</x:f>
        <x:v>6</x:v>
      </x:c>
      <x:c r="G1195" s="30" t="n">
        <x:v>-26.87</x:v>
      </x:c>
      <x:c r="H1195" s="30" t="n">
        <x:v>-70.14</x:v>
      </x:c>
      <x:c r="I1195" s="29" t="n">
        <x:v>66</x:v>
      </x:c>
      <x:c r="J1195" s="31" t="n">
        <x:v>6.4</x:v>
      </x:c>
      <x:c r="K1195" s="25" t="str">
        <x:f>IF(J1195&gt;=7,"Muy fuerte (&gt;=7)",IF(J1195&gt;=6,"Fuerte (6-6.9)",IF(J1195&gt;=5,"Moderado alto (5-5.9)",IF(J1195&gt;=4,"Moderado (4-4.9)","Menor a 4"))))</x:f>
        <x:v>Fuerte (6-6.9)</x:v>
      </x:c>
      <x:c r="L1195" s="25" t="str">
        <x:f>IF(I1195&lt;70,"Superficial (&lt;70 km)",IF(I1195&lt;=300,"Intermedio (70-300 km)","Profundo (&gt;300 km)"))</x:f>
        <x:v>Superficial (&lt;70 km)</x:v>
      </x:c>
      <x:c r="M1195" s="25" t="str">
        <x:f>IF(J1195&gt;=5,"Sí","No")</x:f>
        <x:v>Sí</x:v>
      </x:c>
      <x:c r="N1195" s="25" t="str">
        <x:f>IF(J1195&gt;=6,"Sí","No")</x:f>
        <x:v>Sí</x:v>
      </x:c>
      <x:c r="O1195" s="25" t="str">
        <x:v>Pendiente: asignar con R/sf</x:v>
      </x:c>
    </x:row>
    <x:row r="1196">
      <x:c r="A1196" s="25" t="n">
        <x:v>1195</x:v>
      </x:c>
      <x:c r="B1196" s="26" t="n">
        <x:v>45836.415717592594</x:v>
      </x:c>
      <x:c r="C1196" s="27" t="n">
        <x:f>INT(B1196)</x:f>
        <x:v>45836</x:v>
      </x:c>
      <x:c r="D1196" s="28" t="n">
        <x:f>MOD(B1196,1)</x:f>
        <x:v>0.41571759259386454</x:v>
      </x:c>
      <x:c r="E1196" s="29" t="n">
        <x:f>YEAR(B1196)</x:f>
        <x:v>2025</x:v>
      </x:c>
      <x:c r="F1196" s="29" t="n">
        <x:f>MONTH(B1196)</x:f>
        <x:v>6</x:v>
      </x:c>
      <x:c r="G1196" s="30" t="n">
        <x:v>-29.75</x:v>
      </x:c>
      <x:c r="H1196" s="30" t="n">
        <x:v>-71.28</x:v>
      </x:c>
      <x:c r="I1196" s="29" t="n">
        <x:v>57</x:v>
      </x:c>
      <x:c r="J1196" s="31" t="n">
        <x:v>5</x:v>
      </x:c>
      <x:c r="K1196" s="25" t="str">
        <x:f>IF(J1196&gt;=7,"Muy fuerte (&gt;=7)",IF(J1196&gt;=6,"Fuerte (6-6.9)",IF(J1196&gt;=5,"Moderado alto (5-5.9)",IF(J1196&gt;=4,"Moderado (4-4.9)","Menor a 4"))))</x:f>
        <x:v>Moderado alto (5-5.9)</x:v>
      </x:c>
      <x:c r="L1196" s="25" t="str">
        <x:f>IF(I1196&lt;70,"Superficial (&lt;70 km)",IF(I1196&lt;=300,"Intermedio (70-300 km)","Profundo (&gt;300 km)"))</x:f>
        <x:v>Superficial (&lt;70 km)</x:v>
      </x:c>
      <x:c r="M1196" s="25" t="str">
        <x:f>IF(J1196&gt;=5,"Sí","No")</x:f>
        <x:v>Sí</x:v>
      </x:c>
      <x:c r="N1196" s="25" t="str">
        <x:f>IF(J1196&gt;=6,"Sí","No")</x:f>
        <x:v>No</x:v>
      </x:c>
      <x:c r="O1196" s="25" t="str">
        <x:v>Pendiente: asignar con R/sf</x:v>
      </x:c>
    </x:row>
    <x:row r="1197">
      <x:c r="A1197" s="25" t="n">
        <x:v>1196</x:v>
      </x:c>
      <x:c r="B1197" s="26" t="n">
        <x:v>44593.77359953704</x:v>
      </x:c>
      <x:c r="C1197" s="27" t="n">
        <x:f>INT(B1197)</x:f>
        <x:v>44593</x:v>
      </x:c>
      <x:c r="D1197" s="28" t="n">
        <x:f>MOD(B1197,1)</x:f>
        <x:v>0.7735995370385353</x:v>
      </x:c>
      <x:c r="E1197" s="29" t="n">
        <x:f>YEAR(B1197)</x:f>
        <x:v>2022</x:v>
      </x:c>
      <x:c r="F1197" s="29" t="n">
        <x:f>MONTH(B1197)</x:f>
        <x:v>2</x:v>
      </x:c>
      <x:c r="G1197" s="30" t="n">
        <x:v>-20.58</x:v>
      </x:c>
      <x:c r="H1197" s="30" t="n">
        <x:v>-69.78</x:v>
      </x:c>
      <x:c r="I1197" s="29" t="n">
        <x:v>67</x:v>
      </x:c>
      <x:c r="J1197" s="31" t="n">
        <x:v>3.6</x:v>
      </x:c>
      <x:c r="K1197" s="25" t="str">
        <x:f>IF(J1197&gt;=7,"Muy fuerte (&gt;=7)",IF(J1197&gt;=6,"Fuerte (6-6.9)",IF(J1197&gt;=5,"Moderado alto (5-5.9)",IF(J1197&gt;=4,"Moderado (4-4.9)","Menor a 4"))))</x:f>
        <x:v>Menor a 4</x:v>
      </x:c>
      <x:c r="L1197" s="25" t="str">
        <x:f>IF(I1197&lt;70,"Superficial (&lt;70 km)",IF(I1197&lt;=300,"Intermedio (70-300 km)","Profundo (&gt;300 km)"))</x:f>
        <x:v>Superficial (&lt;70 km)</x:v>
      </x:c>
      <x:c r="M1197" s="25" t="str">
        <x:f>IF(J1197&gt;=5,"Sí","No")</x:f>
        <x:v>No</x:v>
      </x:c>
      <x:c r="N1197" s="25" t="str">
        <x:f>IF(J1197&gt;=6,"Sí","No")</x:f>
        <x:v>No</x:v>
      </x:c>
      <x:c r="O1197" s="25" t="str">
        <x:v>Pendiente: asignar con R/sf</x:v>
      </x:c>
    </x:row>
    <x:row r="1198">
      <x:c r="A1198" s="25" t="n">
        <x:v>1197</x:v>
      </x:c>
      <x:c r="B1198" s="26" t="n">
        <x:v>44593.84104166667</x:v>
      </x:c>
      <x:c r="C1198" s="27" t="n">
        <x:f>INT(B1198)</x:f>
        <x:v>44593</x:v>
      </x:c>
      <x:c r="D1198" s="28" t="n">
        <x:f>MOD(B1198,1)</x:f>
        <x:v>0.8410416666665697</x:v>
      </x:c>
      <x:c r="E1198" s="29" t="n">
        <x:f>YEAR(B1198)</x:f>
        <x:v>2022</x:v>
      </x:c>
      <x:c r="F1198" s="29" t="n">
        <x:f>MONTH(B1198)</x:f>
        <x:v>2</x:v>
      </x:c>
      <x:c r="G1198" s="30" t="n">
        <x:v>-20.59</x:v>
      </x:c>
      <x:c r="H1198" s="30" t="n">
        <x:v>-69.78</x:v>
      </x:c>
      <x:c r="I1198" s="29" t="n">
        <x:v>65</x:v>
      </x:c>
      <x:c r="J1198" s="31" t="n">
        <x:v>3.5</x:v>
      </x:c>
      <x:c r="K1198" s="25" t="str">
        <x:f>IF(J1198&gt;=7,"Muy fuerte (&gt;=7)",IF(J1198&gt;=6,"Fuerte (6-6.9)",IF(J1198&gt;=5,"Moderado alto (5-5.9)",IF(J1198&gt;=4,"Moderado (4-4.9)","Menor a 4"))))</x:f>
        <x:v>Menor a 4</x:v>
      </x:c>
      <x:c r="L1198" s="25" t="str">
        <x:f>IF(I1198&lt;70,"Superficial (&lt;70 km)",IF(I1198&lt;=300,"Intermedio (70-300 km)","Profundo (&gt;300 km)"))</x:f>
        <x:v>Superficial (&lt;70 km)</x:v>
      </x:c>
      <x:c r="M1198" s="25" t="str">
        <x:f>IF(J1198&gt;=5,"Sí","No")</x:f>
        <x:v>No</x:v>
      </x:c>
      <x:c r="N1198" s="25" t="str">
        <x:f>IF(J1198&gt;=6,"Sí","No")</x:f>
        <x:v>No</x:v>
      </x:c>
      <x:c r="O1198" s="25" t="str">
        <x:v>Pendiente: asignar con R/sf</x:v>
      </x:c>
    </x:row>
    <x:row r="1199">
      <x:c r="A1199" s="25" t="n">
        <x:v>1198</x:v>
      </x:c>
      <x:c r="B1199" s="26" t="n">
        <x:v>44689.34649305556</x:v>
      </x:c>
      <x:c r="C1199" s="27" t="n">
        <x:f>INT(B1199)</x:f>
        <x:v>44689</x:v>
      </x:c>
      <x:c r="D1199" s="28" t="n">
        <x:f>MOD(B1199,1)</x:f>
        <x:v>0.34649305555649335</x:v>
      </x:c>
      <x:c r="E1199" s="29" t="n">
        <x:f>YEAR(B1199)</x:f>
        <x:v>2022</x:v>
      </x:c>
      <x:c r="F1199" s="29" t="n">
        <x:f>MONTH(B1199)</x:f>
        <x:v>5</x:v>
      </x:c>
      <x:c r="G1199" s="30" t="n">
        <x:v>-20.17</x:v>
      </x:c>
      <x:c r="H1199" s="30" t="n">
        <x:v>-70.55</x:v>
      </x:c>
      <x:c r="I1199" s="29" t="n">
        <x:v>31</x:v>
      </x:c>
      <x:c r="J1199" s="31" t="n">
        <x:v>3.4</x:v>
      </x:c>
      <x:c r="K1199" s="25" t="str">
        <x:f>IF(J1199&gt;=7,"Muy fuerte (&gt;=7)",IF(J1199&gt;=6,"Fuerte (6-6.9)",IF(J1199&gt;=5,"Moderado alto (5-5.9)",IF(J1199&gt;=4,"Moderado (4-4.9)","Menor a 4"))))</x:f>
        <x:v>Menor a 4</x:v>
      </x:c>
      <x:c r="L1199" s="25" t="str">
        <x:f>IF(I1199&lt;70,"Superficial (&lt;70 km)",IF(I1199&lt;=300,"Intermedio (70-300 km)","Profundo (&gt;300 km)"))</x:f>
        <x:v>Superficial (&lt;70 km)</x:v>
      </x:c>
      <x:c r="M1199" s="25" t="str">
        <x:f>IF(J1199&gt;=5,"Sí","No")</x:f>
        <x:v>No</x:v>
      </x:c>
      <x:c r="N1199" s="25" t="str">
        <x:f>IF(J1199&gt;=6,"Sí","No")</x:f>
        <x:v>No</x:v>
      </x:c>
      <x:c r="O1199" s="25" t="str">
        <x:v>Pendiente: asignar con R/sf</x:v>
      </x:c>
    </x:row>
    <x:row r="1200">
      <x:c r="A1200" s="25" t="n">
        <x:v>1199</x:v>
      </x:c>
      <x:c r="B1200" s="26" t="n">
        <x:v>44804.12972222222</x:v>
      </x:c>
      <x:c r="C1200" s="27" t="n">
        <x:f>INT(B1200)</x:f>
        <x:v>44804</x:v>
      </x:c>
      <x:c r="D1200" s="28" t="n">
        <x:f>MOD(B1200,1)</x:f>
        <x:v>0.12972222222015262</x:v>
      </x:c>
      <x:c r="E1200" s="29" t="n">
        <x:f>YEAR(B1200)</x:f>
        <x:v>2022</x:v>
      </x:c>
      <x:c r="F1200" s="29" t="n">
        <x:f>MONTH(B1200)</x:f>
        <x:v>8</x:v>
      </x:c>
      <x:c r="G1200" s="30" t="n">
        <x:v>-20.46</x:v>
      </x:c>
      <x:c r="H1200" s="30" t="n">
        <x:v>-69.82</x:v>
      </x:c>
      <x:c r="I1200" s="29" t="n">
        <x:v>83</x:v>
      </x:c>
      <x:c r="J1200" s="31" t="n">
        <x:v>3.4</x:v>
      </x:c>
      <x:c r="K1200" s="25" t="str">
        <x:f>IF(J1200&gt;=7,"Muy fuerte (&gt;=7)",IF(J1200&gt;=6,"Fuerte (6-6.9)",IF(J1200&gt;=5,"Moderado alto (5-5.9)",IF(J1200&gt;=4,"Moderado (4-4.9)","Menor a 4"))))</x:f>
        <x:v>Menor a 4</x:v>
      </x:c>
      <x:c r="L1200" s="25" t="str">
        <x:f>IF(I1200&lt;70,"Superficial (&lt;70 km)",IF(I1200&lt;=300,"Intermedio (70-300 km)","Profundo (&gt;300 km)"))</x:f>
        <x:v>Intermedio (70-300 km)</x:v>
      </x:c>
      <x:c r="M1200" s="25" t="str">
        <x:f>IF(J1200&gt;=5,"Sí","No")</x:f>
        <x:v>No</x:v>
      </x:c>
      <x:c r="N1200" s="25" t="str">
        <x:f>IF(J1200&gt;=6,"Sí","No")</x:f>
        <x:v>No</x:v>
      </x:c>
      <x:c r="O1200" s="25" t="str">
        <x:v>Pendiente: asignar con R/sf</x:v>
      </x:c>
    </x:row>
    <x:row r="1201">
      <x:c r="A1201" s="25" t="n">
        <x:v>1200</x:v>
      </x:c>
      <x:c r="B1201" s="26" t="n">
        <x:v>44821.62849537037</x:v>
      </x:c>
      <x:c r="C1201" s="27" t="n">
        <x:f>INT(B1201)</x:f>
        <x:v>44821</x:v>
      </x:c>
      <x:c r="D1201" s="28" t="n">
        <x:f>MOD(B1201,1)</x:f>
        <x:v>0.6284953703725478</x:v>
      </x:c>
      <x:c r="E1201" s="29" t="n">
        <x:f>YEAR(B1201)</x:f>
        <x:v>2022</x:v>
      </x:c>
      <x:c r="F1201" s="29" t="n">
        <x:f>MONTH(B1201)</x:f>
        <x:v>9</x:v>
      </x:c>
      <x:c r="G1201" s="30" t="n">
        <x:v>-20.17</x:v>
      </x:c>
      <x:c r="H1201" s="30" t="n">
        <x:v>-69.15</x:v>
      </x:c>
      <x:c r="I1201" s="29" t="n">
        <x:v>95</x:v>
      </x:c>
      <x:c r="J1201" s="31" t="n">
        <x:v>4.2</x:v>
      </x:c>
      <x:c r="K1201" s="25" t="str">
        <x:f>IF(J1201&gt;=7,"Muy fuerte (&gt;=7)",IF(J1201&gt;=6,"Fuerte (6-6.9)",IF(J1201&gt;=5,"Moderado alto (5-5.9)",IF(J1201&gt;=4,"Moderado (4-4.9)","Menor a 4"))))</x:f>
        <x:v>Moderado (4-4.9)</x:v>
      </x:c>
      <x:c r="L1201" s="25" t="str">
        <x:f>IF(I1201&lt;70,"Superficial (&lt;70 km)",IF(I1201&lt;=300,"Intermedio (70-300 km)","Profundo (&gt;300 km)"))</x:f>
        <x:v>Intermedio (70-300 km)</x:v>
      </x:c>
      <x:c r="M1201" s="25" t="str">
        <x:f>IF(J1201&gt;=5,"Sí","No")</x:f>
        <x:v>No</x:v>
      </x:c>
      <x:c r="N1201" s="25" t="str">
        <x:f>IF(J1201&gt;=6,"Sí","No")</x:f>
        <x:v>No</x:v>
      </x:c>
      <x:c r="O1201" s="25" t="str">
        <x:v>Pendiente: asignar con R/sf</x:v>
      </x:c>
    </x:row>
    <x:row r="1202">
      <x:c r="A1202" s="25" t="n">
        <x:v>1201</x:v>
      </x:c>
      <x:c r="B1202" s="26" t="n">
        <x:v>44869.57357638889</x:v>
      </x:c>
      <x:c r="C1202" s="27" t="n">
        <x:f>INT(B1202)</x:f>
        <x:v>44869</x:v>
      </x:c>
      <x:c r="D1202" s="28" t="n">
        <x:f>MOD(B1202,1)</x:f>
        <x:v>0.5735763888878864</x:v>
      </x:c>
      <x:c r="E1202" s="29" t="n">
        <x:f>YEAR(B1202)</x:f>
        <x:v>2022</x:v>
      </x:c>
      <x:c r="F1202" s="29" t="n">
        <x:f>MONTH(B1202)</x:f>
        <x:v>11</x:v>
      </x:c>
      <x:c r="G1202" s="30" t="n">
        <x:v>-20.15</x:v>
      </x:c>
      <x:c r="H1202" s="30" t="n">
        <x:v>-70.56</x:v>
      </x:c>
      <x:c r="I1202" s="29" t="n">
        <x:v>26</x:v>
      </x:c>
      <x:c r="J1202" s="31" t="n">
        <x:v>4</x:v>
      </x:c>
      <x:c r="K1202" s="25" t="str">
        <x:f>IF(J1202&gt;=7,"Muy fuerte (&gt;=7)",IF(J1202&gt;=6,"Fuerte (6-6.9)",IF(J1202&gt;=5,"Moderado alto (5-5.9)",IF(J1202&gt;=4,"Moderado (4-4.9)","Menor a 4"))))</x:f>
        <x:v>Moderado (4-4.9)</x:v>
      </x:c>
      <x:c r="L1202" s="25" t="str">
        <x:f>IF(I1202&lt;70,"Superficial (&lt;70 km)",IF(I1202&lt;=300,"Intermedio (70-300 km)","Profundo (&gt;300 km)"))</x:f>
        <x:v>Superficial (&lt;70 km)</x:v>
      </x:c>
      <x:c r="M1202" s="25" t="str">
        <x:f>IF(J1202&gt;=5,"Sí","No")</x:f>
        <x:v>No</x:v>
      </x:c>
      <x:c r="N1202" s="25" t="str">
        <x:f>IF(J1202&gt;=6,"Sí","No")</x:f>
        <x:v>No</x:v>
      </x:c>
      <x:c r="O1202" s="25" t="str">
        <x:v>Pendiente: asignar con R/sf</x:v>
      </x:c>
    </x:row>
    <x:row r="1203">
      <x:c r="A1203" s="25" t="n">
        <x:v>1202</x:v>
      </x:c>
      <x:c r="B1203" s="26" t="n">
        <x:v>45061.80841435185</x:v>
      </x:c>
      <x:c r="C1203" s="27" t="n">
        <x:f>INT(B1203)</x:f>
        <x:v>45061</x:v>
      </x:c>
      <x:c r="D1203" s="28" t="n">
        <x:f>MOD(B1203,1)</x:f>
        <x:v>0.8084143518499332</x:v>
      </x:c>
      <x:c r="E1203" s="29" t="n">
        <x:f>YEAR(B1203)</x:f>
        <x:v>2023</x:v>
      </x:c>
      <x:c r="F1203" s="29" t="n">
        <x:f>MONTH(B1203)</x:f>
        <x:v>5</x:v>
      </x:c>
      <x:c r="G1203" s="30" t="n">
        <x:v>-20.08</x:v>
      </x:c>
      <x:c r="H1203" s="30" t="n">
        <x:v>-69.07</x:v>
      </x:c>
      <x:c r="I1203" s="29" t="n">
        <x:v>104</x:v>
      </x:c>
      <x:c r="J1203" s="31" t="n">
        <x:v>4.3</x:v>
      </x:c>
      <x:c r="K1203" s="25" t="str">
        <x:f>IF(J1203&gt;=7,"Muy fuerte (&gt;=7)",IF(J1203&gt;=6,"Fuerte (6-6.9)",IF(J1203&gt;=5,"Moderado alto (5-5.9)",IF(J1203&gt;=4,"Moderado (4-4.9)","Menor a 4"))))</x:f>
        <x:v>Moderado (4-4.9)</x:v>
      </x:c>
      <x:c r="L1203" s="25" t="str">
        <x:f>IF(I1203&lt;70,"Superficial (&lt;70 km)",IF(I1203&lt;=300,"Intermedio (70-300 km)","Profundo (&gt;300 km)"))</x:f>
        <x:v>Intermedio (70-300 km)</x:v>
      </x:c>
      <x:c r="M1203" s="25" t="str">
        <x:f>IF(J1203&gt;=5,"Sí","No")</x:f>
        <x:v>No</x:v>
      </x:c>
      <x:c r="N1203" s="25" t="str">
        <x:f>IF(J1203&gt;=6,"Sí","No")</x:f>
        <x:v>No</x:v>
      </x:c>
      <x:c r="O1203" s="25" t="str">
        <x:v>Pendiente: asignar con R/sf</x:v>
      </x:c>
    </x:row>
    <x:row r="1204">
      <x:c r="A1204" s="25" t="n">
        <x:v>1203</x:v>
      </x:c>
      <x:c r="B1204" s="26" t="n">
        <x:v>45093.99190972222</x:v>
      </x:c>
      <x:c r="C1204" s="27" t="n">
        <x:f>INT(B1204)</x:f>
        <x:v>45093</x:v>
      </x:c>
      <x:c r="D1204" s="28" t="n">
        <x:f>MOD(B1204,1)</x:f>
        <x:v>0.991909722222772</x:v>
      </x:c>
      <x:c r="E1204" s="29" t="n">
        <x:f>YEAR(B1204)</x:f>
        <x:v>2023</x:v>
      </x:c>
      <x:c r="F1204" s="29" t="n">
        <x:f>MONTH(B1204)</x:f>
        <x:v>6</x:v>
      </x:c>
      <x:c r="G1204" s="30" t="n">
        <x:v>-20.63</x:v>
      </x:c>
      <x:c r="H1204" s="30" t="n">
        <x:v>-70.53</x:v>
      </x:c>
      <x:c r="I1204" s="29" t="n">
        <x:v>43</x:v>
      </x:c>
      <x:c r="J1204" s="31" t="n">
        <x:v>4.1</x:v>
      </x:c>
      <x:c r="K1204" s="25" t="str">
        <x:f>IF(J1204&gt;=7,"Muy fuerte (&gt;=7)",IF(J1204&gt;=6,"Fuerte (6-6.9)",IF(J1204&gt;=5,"Moderado alto (5-5.9)",IF(J1204&gt;=4,"Moderado (4-4.9)","Menor a 4"))))</x:f>
        <x:v>Moderado (4-4.9)</x:v>
      </x:c>
      <x:c r="L1204" s="25" t="str">
        <x:f>IF(I1204&lt;70,"Superficial (&lt;70 km)",IF(I1204&lt;=300,"Intermedio (70-300 km)","Profundo (&gt;300 km)"))</x:f>
        <x:v>Superficial (&lt;70 km)</x:v>
      </x:c>
      <x:c r="M1204" s="25" t="str">
        <x:f>IF(J1204&gt;=5,"Sí","No")</x:f>
        <x:v>No</x:v>
      </x:c>
      <x:c r="N1204" s="25" t="str">
        <x:f>IF(J1204&gt;=6,"Sí","No")</x:f>
        <x:v>No</x:v>
      </x:c>
      <x:c r="O1204" s="25" t="str">
        <x:v>Pendiente: asignar con R/sf</x:v>
      </x:c>
    </x:row>
    <x:row r="1205">
      <x:c r="A1205" s="25" t="n">
        <x:v>1204</x:v>
      </x:c>
      <x:c r="B1205" s="26" t="n">
        <x:v>45174.50840277778</x:v>
      </x:c>
      <x:c r="C1205" s="27" t="n">
        <x:f>INT(B1205)</x:f>
        <x:v>45174</x:v>
      </x:c>
      <x:c r="D1205" s="28" t="n">
        <x:f>MOD(B1205,1)</x:f>
        <x:v>0.5084027777775191</x:v>
      </x:c>
      <x:c r="E1205" s="29" t="n">
        <x:f>YEAR(B1205)</x:f>
        <x:v>2023</x:v>
      </x:c>
      <x:c r="F1205" s="29" t="n">
        <x:f>MONTH(B1205)</x:f>
        <x:v>9</x:v>
      </x:c>
      <x:c r="G1205" s="30" t="n">
        <x:v>-20.06</x:v>
      </x:c>
      <x:c r="H1205" s="30" t="n">
        <x:v>-70.21</x:v>
      </x:c>
      <x:c r="I1205" s="29" t="n">
        <x:v>43</x:v>
      </x:c>
      <x:c r="J1205" s="31" t="n">
        <x:v>3.7</x:v>
      </x:c>
      <x:c r="K1205" s="25" t="str">
        <x:f>IF(J1205&gt;=7,"Muy fuerte (&gt;=7)",IF(J1205&gt;=6,"Fuerte (6-6.9)",IF(J1205&gt;=5,"Moderado alto (5-5.9)",IF(J1205&gt;=4,"Moderado (4-4.9)","Menor a 4"))))</x:f>
        <x:v>Menor a 4</x:v>
      </x:c>
      <x:c r="L1205" s="25" t="str">
        <x:f>IF(I1205&lt;70,"Superficial (&lt;70 km)",IF(I1205&lt;=300,"Intermedio (70-300 km)","Profundo (&gt;300 km)"))</x:f>
        <x:v>Superficial (&lt;70 km)</x:v>
      </x:c>
      <x:c r="M1205" s="25" t="str">
        <x:f>IF(J1205&gt;=5,"Sí","No")</x:f>
        <x:v>No</x:v>
      </x:c>
      <x:c r="N1205" s="25" t="str">
        <x:f>IF(J1205&gt;=6,"Sí","No")</x:f>
        <x:v>No</x:v>
      </x:c>
      <x:c r="O1205" s="25" t="str">
        <x:v>Pendiente: asignar con R/sf</x:v>
      </x:c>
    </x:row>
    <x:row r="1206">
      <x:c r="A1206" s="25" t="n">
        <x:v>1205</x:v>
      </x:c>
      <x:c r="B1206" s="26" t="n">
        <x:v>45256.5649537037</x:v>
      </x:c>
      <x:c r="C1206" s="27" t="n">
        <x:f>INT(B1206)</x:f>
        <x:v>45256</x:v>
      </x:c>
      <x:c r="D1206" s="28" t="n">
        <x:f>MOD(B1206,1)</x:f>
        <x:v>0.5649537037024857</x:v>
      </x:c>
      <x:c r="E1206" s="29" t="n">
        <x:f>YEAR(B1206)</x:f>
        <x:v>2023</x:v>
      </x:c>
      <x:c r="F1206" s="29" t="n">
        <x:f>MONTH(B1206)</x:f>
        <x:v>11</x:v>
      </x:c>
      <x:c r="G1206" s="30" t="n">
        <x:v>-21.48</x:v>
      </x:c>
      <x:c r="H1206" s="30" t="n">
        <x:v>-68.89</x:v>
      </x:c>
      <x:c r="I1206" s="29" t="n">
        <x:v>96</x:v>
      </x:c>
      <x:c r="J1206" s="31" t="n">
        <x:v>4.8</x:v>
      </x:c>
      <x:c r="K1206" s="25" t="str">
        <x:f>IF(J1206&gt;=7,"Muy fuerte (&gt;=7)",IF(J1206&gt;=6,"Fuerte (6-6.9)",IF(J1206&gt;=5,"Moderado alto (5-5.9)",IF(J1206&gt;=4,"Moderado (4-4.9)","Menor a 4"))))</x:f>
        <x:v>Moderado (4-4.9)</x:v>
      </x:c>
      <x:c r="L1206" s="25" t="str">
        <x:f>IF(I1206&lt;70,"Superficial (&lt;70 km)",IF(I1206&lt;=300,"Intermedio (70-300 km)","Profundo (&gt;300 km)"))</x:f>
        <x:v>Intermedio (70-300 km)</x:v>
      </x:c>
      <x:c r="M1206" s="25" t="str">
        <x:f>IF(J1206&gt;=5,"Sí","No")</x:f>
        <x:v>No</x:v>
      </x:c>
      <x:c r="N1206" s="25" t="str">
        <x:f>IF(J1206&gt;=6,"Sí","No")</x:f>
        <x:v>No</x:v>
      </x:c>
      <x:c r="O1206" s="25" t="str">
        <x:v>Pendiente: asignar con R/sf</x:v>
      </x:c>
    </x:row>
    <x:row r="1207">
      <x:c r="A1207" s="25" t="n">
        <x:v>1206</x:v>
      </x:c>
      <x:c r="B1207" s="26" t="n">
        <x:v>45289.11133101852</x:v>
      </x:c>
      <x:c r="C1207" s="27" t="n">
        <x:f>INT(B1207)</x:f>
        <x:v>45289</x:v>
      </x:c>
      <x:c r="D1207" s="28" t="n">
        <x:f>MOD(B1207,1)</x:f>
        <x:v>0.11133101851737592</x:v>
      </x:c>
      <x:c r="E1207" s="29" t="n">
        <x:f>YEAR(B1207)</x:f>
        <x:v>2023</x:v>
      </x:c>
      <x:c r="F1207" s="29" t="n">
        <x:f>MONTH(B1207)</x:f>
        <x:v>12</x:v>
      </x:c>
      <x:c r="G1207" s="30" t="n">
        <x:v>-20.44</x:v>
      </x:c>
      <x:c r="H1207" s="30" t="n">
        <x:v>-69.87</x:v>
      </x:c>
      <x:c r="I1207" s="29" t="n">
        <x:v>84</x:v>
      </x:c>
      <x:c r="J1207" s="31" t="n">
        <x:v>3.7</x:v>
      </x:c>
      <x:c r="K1207" s="25" t="str">
        <x:f>IF(J1207&gt;=7,"Muy fuerte (&gt;=7)",IF(J1207&gt;=6,"Fuerte (6-6.9)",IF(J1207&gt;=5,"Moderado alto (5-5.9)",IF(J1207&gt;=4,"Moderado (4-4.9)","Menor a 4"))))</x:f>
        <x:v>Menor a 4</x:v>
      </x:c>
      <x:c r="L1207" s="25" t="str">
        <x:f>IF(I1207&lt;70,"Superficial (&lt;70 km)",IF(I1207&lt;=300,"Intermedio (70-300 km)","Profundo (&gt;300 km)"))</x:f>
        <x:v>Intermedio (70-300 km)</x:v>
      </x:c>
      <x:c r="M1207" s="25" t="str">
        <x:f>IF(J1207&gt;=5,"Sí","No")</x:f>
        <x:v>No</x:v>
      </x:c>
      <x:c r="N1207" s="25" t="str">
        <x:f>IF(J1207&gt;=6,"Sí","No")</x:f>
        <x:v>No</x:v>
      </x:c>
      <x:c r="O1207" s="25" t="str">
        <x:v>Pendiente: asignar con R/sf</x:v>
      </x:c>
    </x:row>
    <x:row r="1208">
      <x:c r="A1208" s="25" t="n">
        <x:v>1207</x:v>
      </x:c>
      <x:c r="B1208" s="26" t="n">
        <x:v>45305.04738425926</x:v>
      </x:c>
      <x:c r="C1208" s="27" t="n">
        <x:f>INT(B1208)</x:f>
        <x:v>45305</x:v>
      </x:c>
      <x:c r="D1208" s="28" t="n">
        <x:f>MOD(B1208,1)</x:f>
        <x:v>0.04738425926188938</x:v>
      </x:c>
      <x:c r="E1208" s="29" t="n">
        <x:f>YEAR(B1208)</x:f>
        <x:v>2024</x:v>
      </x:c>
      <x:c r="F1208" s="29" t="n">
        <x:f>MONTH(B1208)</x:f>
        <x:v>1</x:v>
      </x:c>
      <x:c r="G1208" s="30" t="n">
        <x:v>-21.14</x:v>
      </x:c>
      <x:c r="H1208" s="30" t="n">
        <x:v>-68.55</x:v>
      </x:c>
      <x:c r="I1208" s="29" t="n">
        <x:v>127</x:v>
      </x:c>
      <x:c r="J1208" s="31" t="n">
        <x:v>5</x:v>
      </x:c>
      <x:c r="K1208" s="25" t="str">
        <x:f>IF(J1208&gt;=7,"Muy fuerte (&gt;=7)",IF(J1208&gt;=6,"Fuerte (6-6.9)",IF(J1208&gt;=5,"Moderado alto (5-5.9)",IF(J1208&gt;=4,"Moderado (4-4.9)","Menor a 4"))))</x:f>
        <x:v>Moderado alto (5-5.9)</x:v>
      </x:c>
      <x:c r="L1208" s="25" t="str">
        <x:f>IF(I1208&lt;70,"Superficial (&lt;70 km)",IF(I1208&lt;=300,"Intermedio (70-300 km)","Profundo (&gt;300 km)"))</x:f>
        <x:v>Intermedio (70-300 km)</x:v>
      </x:c>
      <x:c r="M1208" s="25" t="str">
        <x:f>IF(J1208&gt;=5,"Sí","No")</x:f>
        <x:v>Sí</x:v>
      </x:c>
      <x:c r="N1208" s="25" t="str">
        <x:f>IF(J1208&gt;=6,"Sí","No")</x:f>
        <x:v>No</x:v>
      </x:c>
      <x:c r="O1208" s="25" t="str">
        <x:v>Pendiente: asignar con R/sf</x:v>
      </x:c>
    </x:row>
    <x:row r="1209">
      <x:c r="A1209" s="25" t="n">
        <x:v>1208</x:v>
      </x:c>
      <x:c r="B1209" s="26" t="n">
        <x:v>45413.36550925926</x:v>
      </x:c>
      <x:c r="C1209" s="27" t="n">
        <x:f>INT(B1209)</x:f>
        <x:v>45413</x:v>
      </x:c>
      <x:c r="D1209" s="28" t="n">
        <x:f>MOD(B1209,1)</x:f>
        <x:v>0.3655092592598521</x:v>
      </x:c>
      <x:c r="E1209" s="29" t="n">
        <x:f>YEAR(B1209)</x:f>
        <x:v>2024</x:v>
      </x:c>
      <x:c r="F1209" s="29" t="n">
        <x:f>MONTH(B1209)</x:f>
        <x:v>5</x:v>
      </x:c>
      <x:c r="G1209" s="30" t="n">
        <x:v>-20.94</x:v>
      </x:c>
      <x:c r="H1209" s="30" t="n">
        <x:v>-68.92</x:v>
      </x:c>
      <x:c r="I1209" s="29" t="n">
        <x:v>105</x:v>
      </x:c>
      <x:c r="J1209" s="31" t="n">
        <x:v>4.5</x:v>
      </x:c>
      <x:c r="K1209" s="25" t="str">
        <x:f>IF(J1209&gt;=7,"Muy fuerte (&gt;=7)",IF(J1209&gt;=6,"Fuerte (6-6.9)",IF(J1209&gt;=5,"Moderado alto (5-5.9)",IF(J1209&gt;=4,"Moderado (4-4.9)","Menor a 4"))))</x:f>
        <x:v>Moderado (4-4.9)</x:v>
      </x:c>
      <x:c r="L1209" s="25" t="str">
        <x:f>IF(I1209&lt;70,"Superficial (&lt;70 km)",IF(I1209&lt;=300,"Intermedio (70-300 km)","Profundo (&gt;300 km)"))</x:f>
        <x:v>Intermedio (70-300 km)</x:v>
      </x:c>
      <x:c r="M1209" s="25" t="str">
        <x:f>IF(J1209&gt;=5,"Sí","No")</x:f>
        <x:v>No</x:v>
      </x:c>
      <x:c r="N1209" s="25" t="str">
        <x:f>IF(J1209&gt;=6,"Sí","No")</x:f>
        <x:v>No</x:v>
      </x:c>
      <x:c r="O1209" s="25" t="str">
        <x:v>Pendiente: asignar con R/sf</x:v>
      </x:c>
    </x:row>
    <x:row r="1210">
      <x:c r="A1210" s="25" t="n">
        <x:v>1209</x:v>
      </x:c>
      <x:c r="B1210" s="26" t="n">
        <x:v>45447.73167824074</x:v>
      </x:c>
      <x:c r="C1210" s="27" t="n">
        <x:f>INT(B1210)</x:f>
        <x:v>45447</x:v>
      </x:c>
      <x:c r="D1210" s="28" t="n">
        <x:f>MOD(B1210,1)</x:f>
        <x:v>0.7316782407433493</x:v>
      </x:c>
      <x:c r="E1210" s="29" t="n">
        <x:f>YEAR(B1210)</x:f>
        <x:v>2024</x:v>
      </x:c>
      <x:c r="F1210" s="29" t="n">
        <x:f>MONTH(B1210)</x:f>
        <x:v>6</x:v>
      </x:c>
      <x:c r="G1210" s="30" t="n">
        <x:v>-20.85</x:v>
      </x:c>
      <x:c r="H1210" s="30" t="n">
        <x:v>-70.49</x:v>
      </x:c>
      <x:c r="I1210" s="29" t="n">
        <x:v>58</x:v>
      </x:c>
      <x:c r="J1210" s="31" t="n">
        <x:v>3.9</x:v>
      </x:c>
      <x:c r="K1210" s="25" t="str">
        <x:f>IF(J1210&gt;=7,"Muy fuerte (&gt;=7)",IF(J1210&gt;=6,"Fuerte (6-6.9)",IF(J1210&gt;=5,"Moderado alto (5-5.9)",IF(J1210&gt;=4,"Moderado (4-4.9)","Menor a 4"))))</x:f>
        <x:v>Menor a 4</x:v>
      </x:c>
      <x:c r="L1210" s="25" t="str">
        <x:f>IF(I1210&lt;70,"Superficial (&lt;70 km)",IF(I1210&lt;=300,"Intermedio (70-300 km)","Profundo (&gt;300 km)"))</x:f>
        <x:v>Superficial (&lt;70 km)</x:v>
      </x:c>
      <x:c r="M1210" s="25" t="str">
        <x:f>IF(J1210&gt;=5,"Sí","No")</x:f>
        <x:v>No</x:v>
      </x:c>
      <x:c r="N1210" s="25" t="str">
        <x:f>IF(J1210&gt;=6,"Sí","No")</x:f>
        <x:v>No</x:v>
      </x:c>
      <x:c r="O1210" s="25" t="str">
        <x:v>Pendiente: asignar con R/sf</x:v>
      </x:c>
    </x:row>
    <x:row r="1211">
      <x:c r="A1211" s="25" t="n">
        <x:v>1210</x:v>
      </x:c>
      <x:c r="B1211" s="26" t="n">
        <x:v>45499.04001157408</x:v>
      </x:c>
      <x:c r="C1211" s="27" t="n">
        <x:f>INT(B1211)</x:f>
        <x:v>45499</x:v>
      </x:c>
      <x:c r="D1211" s="28" t="n">
        <x:f>MOD(B1211,1)</x:f>
        <x:v>0.04001157407765277</x:v>
      </x:c>
      <x:c r="E1211" s="29" t="n">
        <x:f>YEAR(B1211)</x:f>
        <x:v>2024</x:v>
      </x:c>
      <x:c r="F1211" s="29" t="n">
        <x:f>MONTH(B1211)</x:f>
        <x:v>7</x:v>
      </x:c>
      <x:c r="G1211" s="30" t="n">
        <x:v>-19.68</x:v>
      </x:c>
      <x:c r="H1211" s="30" t="n">
        <x:v>-69.5</x:v>
      </x:c>
      <x:c r="I1211" s="29" t="n">
        <x:v>92</x:v>
      </x:c>
      <x:c r="J1211" s="31" t="n">
        <x:v>4.3</x:v>
      </x:c>
      <x:c r="K1211" s="25" t="str">
        <x:f>IF(J1211&gt;=7,"Muy fuerte (&gt;=7)",IF(J1211&gt;=6,"Fuerte (6-6.9)",IF(J1211&gt;=5,"Moderado alto (5-5.9)",IF(J1211&gt;=4,"Moderado (4-4.9)","Menor a 4"))))</x:f>
        <x:v>Moderado (4-4.9)</x:v>
      </x:c>
      <x:c r="L1211" s="25" t="str">
        <x:f>IF(I1211&lt;70,"Superficial (&lt;70 km)",IF(I1211&lt;=300,"Intermedio (70-300 km)","Profundo (&gt;300 km)"))</x:f>
        <x:v>Intermedio (70-300 km)</x:v>
      </x:c>
      <x:c r="M1211" s="25" t="str">
        <x:f>IF(J1211&gt;=5,"Sí","No")</x:f>
        <x:v>No</x:v>
      </x:c>
      <x:c r="N1211" s="25" t="str">
        <x:f>IF(J1211&gt;=6,"Sí","No")</x:f>
        <x:v>No</x:v>
      </x:c>
      <x:c r="O1211" s="25" t="str">
        <x:v>Pendiente: asignar con R/sf</x:v>
      </x:c>
    </x:row>
    <x:row r="1212">
      <x:c r="A1212" s="25" t="n">
        <x:v>1211</x:v>
      </x:c>
      <x:c r="B1212" s="26" t="n">
        <x:v>45525.28841435185</x:v>
      </x:c>
      <x:c r="C1212" s="27" t="n">
        <x:f>INT(B1212)</x:f>
        <x:v>45525</x:v>
      </x:c>
      <x:c r="D1212" s="28" t="n">
        <x:f>MOD(B1212,1)</x:f>
        <x:v>0.2884143518531346</x:v>
      </x:c>
      <x:c r="E1212" s="29" t="n">
        <x:f>YEAR(B1212)</x:f>
        <x:v>2024</x:v>
      </x:c>
      <x:c r="F1212" s="29" t="n">
        <x:f>MONTH(B1212)</x:f>
        <x:v>8</x:v>
      </x:c>
      <x:c r="G1212" s="30" t="n">
        <x:v>-22.27</x:v>
      </x:c>
      <x:c r="H1212" s="30" t="n">
        <x:v>-66.1</x:v>
      </x:c>
      <x:c r="I1212" s="29" t="n">
        <x:v>263</x:v>
      </x:c>
      <x:c r="J1212" s="31" t="n">
        <x:v>5.5</x:v>
      </x:c>
      <x:c r="K1212" s="25" t="str">
        <x:f>IF(J1212&gt;=7,"Muy fuerte (&gt;=7)",IF(J1212&gt;=6,"Fuerte (6-6.9)",IF(J1212&gt;=5,"Moderado alto (5-5.9)",IF(J1212&gt;=4,"Moderado (4-4.9)","Menor a 4"))))</x:f>
        <x:v>Moderado alto (5-5.9)</x:v>
      </x:c>
      <x:c r="L1212" s="25" t="str">
        <x:f>IF(I1212&lt;70,"Superficial (&lt;70 km)",IF(I1212&lt;=300,"Intermedio (70-300 km)","Profundo (&gt;300 km)"))</x:f>
        <x:v>Intermedio (70-300 km)</x:v>
      </x:c>
      <x:c r="M1212" s="25" t="str">
        <x:f>IF(J1212&gt;=5,"Sí","No")</x:f>
        <x:v>Sí</x:v>
      </x:c>
      <x:c r="N1212" s="25" t="str">
        <x:f>IF(J1212&gt;=6,"Sí","No")</x:f>
        <x:v>No</x:v>
      </x:c>
      <x:c r="O1212" s="25" t="str">
        <x:v>Pendiente: asignar con R/sf</x:v>
      </x:c>
    </x:row>
    <x:row r="1213">
      <x:c r="A1213" s="25" t="n">
        <x:v>1212</x:v>
      </x:c>
      <x:c r="B1213" s="26" t="n">
        <x:v>45543.26650462963</x:v>
      </x:c>
      <x:c r="C1213" s="27" t="n">
        <x:f>INT(B1213)</x:f>
        <x:v>45543</x:v>
      </x:c>
      <x:c r="D1213" s="28" t="n">
        <x:f>MOD(B1213,1)</x:f>
        <x:v>0.26650462963152677</x:v>
      </x:c>
      <x:c r="E1213" s="29" t="n">
        <x:f>YEAR(B1213)</x:f>
        <x:v>2024</x:v>
      </x:c>
      <x:c r="F1213" s="29" t="n">
        <x:f>MONTH(B1213)</x:f>
        <x:v>9</x:v>
      </x:c>
      <x:c r="G1213" s="30" t="n">
        <x:v>-20.97</x:v>
      </x:c>
      <x:c r="H1213" s="30" t="n">
        <x:v>-68.99</x:v>
      </x:c>
      <x:c r="I1213" s="29" t="n">
        <x:v>115</x:v>
      </x:c>
      <x:c r="J1213" s="31" t="n">
        <x:v>4.8</x:v>
      </x:c>
      <x:c r="K1213" s="25" t="str">
        <x:f>IF(J1213&gt;=7,"Muy fuerte (&gt;=7)",IF(J1213&gt;=6,"Fuerte (6-6.9)",IF(J1213&gt;=5,"Moderado alto (5-5.9)",IF(J1213&gt;=4,"Moderado (4-4.9)","Menor a 4"))))</x:f>
        <x:v>Moderado (4-4.9)</x:v>
      </x:c>
      <x:c r="L1213" s="25" t="str">
        <x:f>IF(I1213&lt;70,"Superficial (&lt;70 km)",IF(I1213&lt;=300,"Intermedio (70-300 km)","Profundo (&gt;300 km)"))</x:f>
        <x:v>Intermedio (70-300 km)</x:v>
      </x:c>
      <x:c r="M1213" s="25" t="str">
        <x:f>IF(J1213&gt;=5,"Sí","No")</x:f>
        <x:v>No</x:v>
      </x:c>
      <x:c r="N1213" s="25" t="str">
        <x:f>IF(J1213&gt;=6,"Sí","No")</x:f>
        <x:v>No</x:v>
      </x:c>
      <x:c r="O1213" s="25" t="str">
        <x:v>Pendiente: asignar con R/sf</x:v>
      </x:c>
    </x:row>
    <x:row r="1214">
      <x:c r="A1214" s="25" t="n">
        <x:v>1213</x:v>
      </x:c>
      <x:c r="B1214" s="26" t="n">
        <x:v>45543.502905092595</x:v>
      </x:c>
      <x:c r="C1214" s="27" t="n">
        <x:f>INT(B1214)</x:f>
        <x:v>45543</x:v>
      </x:c>
      <x:c r="D1214" s="28" t="n">
        <x:f>MOD(B1214,1)</x:f>
        <x:v>0.5029050925950287</x:v>
      </x:c>
      <x:c r="E1214" s="29" t="n">
        <x:f>YEAR(B1214)</x:f>
        <x:v>2024</x:v>
      </x:c>
      <x:c r="F1214" s="29" t="n">
        <x:f>MONTH(B1214)</x:f>
        <x:v>9</x:v>
      </x:c>
      <x:c r="G1214" s="30" t="n">
        <x:v>-20.25</x:v>
      </x:c>
      <x:c r="H1214" s="30" t="n">
        <x:v>-69.43</x:v>
      </x:c>
      <x:c r="I1214" s="29" t="n">
        <x:v>107</x:v>
      </x:c>
      <x:c r="J1214" s="31" t="n">
        <x:v>4.4</x:v>
      </x:c>
      <x:c r="K1214" s="25" t="str">
        <x:f>IF(J1214&gt;=7,"Muy fuerte (&gt;=7)",IF(J1214&gt;=6,"Fuerte (6-6.9)",IF(J1214&gt;=5,"Moderado alto (5-5.9)",IF(J1214&gt;=4,"Moderado (4-4.9)","Menor a 4"))))</x:f>
        <x:v>Moderado (4-4.9)</x:v>
      </x:c>
      <x:c r="L1214" s="25" t="str">
        <x:f>IF(I1214&lt;70,"Superficial (&lt;70 km)",IF(I1214&lt;=300,"Intermedio (70-300 km)","Profundo (&gt;300 km)"))</x:f>
        <x:v>Intermedio (70-300 km)</x:v>
      </x:c>
      <x:c r="M1214" s="25" t="str">
        <x:f>IF(J1214&gt;=5,"Sí","No")</x:f>
        <x:v>No</x:v>
      </x:c>
      <x:c r="N1214" s="25" t="str">
        <x:f>IF(J1214&gt;=6,"Sí","No")</x:f>
        <x:v>No</x:v>
      </x:c>
      <x:c r="O1214" s="25" t="str">
        <x:v>Pendiente: asignar con R/sf</x:v>
      </x:c>
    </x:row>
    <x:row r="1215">
      <x:c r="A1215" s="25" t="n">
        <x:v>1214</x:v>
      </x:c>
      <x:c r="B1215" s="26" t="n">
        <x:v>45564.074016203704</x:v>
      </x:c>
      <x:c r="C1215" s="27" t="n">
        <x:f>INT(B1215)</x:f>
        <x:v>45564</x:v>
      </x:c>
      <x:c r="D1215" s="28" t="n">
        <x:f>MOD(B1215,1)</x:f>
        <x:v>0.07401620370364981</x:v>
      </x:c>
      <x:c r="E1215" s="29" t="n">
        <x:f>YEAR(B1215)</x:f>
        <x:v>2024</x:v>
      </x:c>
      <x:c r="F1215" s="29" t="n">
        <x:f>MONTH(B1215)</x:f>
        <x:v>9</x:v>
      </x:c>
      <x:c r="G1215" s="30" t="n">
        <x:v>-21.18</x:v>
      </x:c>
      <x:c r="H1215" s="30" t="n">
        <x:v>-70.19</x:v>
      </x:c>
      <x:c r="I1215" s="29" t="n">
        <x:v>69</x:v>
      </x:c>
      <x:c r="J1215" s="31" t="n">
        <x:v>4.5</x:v>
      </x:c>
      <x:c r="K1215" s="25" t="str">
        <x:f>IF(J1215&gt;=7,"Muy fuerte (&gt;=7)",IF(J1215&gt;=6,"Fuerte (6-6.9)",IF(J1215&gt;=5,"Moderado alto (5-5.9)",IF(J1215&gt;=4,"Moderado (4-4.9)","Menor a 4"))))</x:f>
        <x:v>Moderado (4-4.9)</x:v>
      </x:c>
      <x:c r="L1215" s="25" t="str">
        <x:f>IF(I1215&lt;70,"Superficial (&lt;70 km)",IF(I1215&lt;=300,"Intermedio (70-300 km)","Profundo (&gt;300 km)"))</x:f>
        <x:v>Superficial (&lt;70 km)</x:v>
      </x:c>
      <x:c r="M1215" s="25" t="str">
        <x:f>IF(J1215&gt;=5,"Sí","No")</x:f>
        <x:v>No</x:v>
      </x:c>
      <x:c r="N1215" s="25" t="str">
        <x:f>IF(J1215&gt;=6,"Sí","No")</x:f>
        <x:v>No</x:v>
      </x:c>
      <x:c r="O1215" s="25" t="str">
        <x:v>Pendiente: asignar con R/sf</x:v>
      </x:c>
    </x:row>
    <x:row r="1216">
      <x:c r="A1216" s="25" t="n">
        <x:v>1215</x:v>
      </x:c>
      <x:c r="B1216" s="26" t="n">
        <x:v>45635.685428240744</x:v>
      </x:c>
      <x:c r="C1216" s="27" t="n">
        <x:f>INT(B1216)</x:f>
        <x:v>45635</x:v>
      </x:c>
      <x:c r="D1216" s="28" t="n">
        <x:f>MOD(B1216,1)</x:f>
        <x:v>0.6854282407439314</x:v>
      </x:c>
      <x:c r="E1216" s="29" t="n">
        <x:f>YEAR(B1216)</x:f>
        <x:v>2024</x:v>
      </x:c>
      <x:c r="F1216" s="29" t="n">
        <x:f>MONTH(B1216)</x:f>
        <x:v>12</x:v>
      </x:c>
      <x:c r="G1216" s="30" t="n">
        <x:v>-20.26</x:v>
      </x:c>
      <x:c r="H1216" s="30" t="n">
        <x:v>-70.25</x:v>
      </x:c>
      <x:c r="I1216" s="29" t="n">
        <x:v>39</x:v>
      </x:c>
      <x:c r="J1216" s="31" t="n">
        <x:v>5</x:v>
      </x:c>
      <x:c r="K1216" s="25" t="str">
        <x:f>IF(J1216&gt;=7,"Muy fuerte (&gt;=7)",IF(J1216&gt;=6,"Fuerte (6-6.9)",IF(J1216&gt;=5,"Moderado alto (5-5.9)",IF(J1216&gt;=4,"Moderado (4-4.9)","Menor a 4"))))</x:f>
        <x:v>Moderado alto (5-5.9)</x:v>
      </x:c>
      <x:c r="L1216" s="25" t="str">
        <x:f>IF(I1216&lt;70,"Superficial (&lt;70 km)",IF(I1216&lt;=300,"Intermedio (70-300 km)","Profundo (&gt;300 km)"))</x:f>
        <x:v>Superficial (&lt;70 km)</x:v>
      </x:c>
      <x:c r="M1216" s="25" t="str">
        <x:f>IF(J1216&gt;=5,"Sí","No")</x:f>
        <x:v>Sí</x:v>
      </x:c>
      <x:c r="N1216" s="25" t="str">
        <x:f>IF(J1216&gt;=6,"Sí","No")</x:f>
        <x:v>No</x:v>
      </x:c>
      <x:c r="O1216" s="25" t="str">
        <x:v>Pendiente: asignar con R/sf</x:v>
      </x:c>
    </x:row>
    <x:row r="1217">
      <x:c r="A1217" s="25" t="n">
        <x:v>1216</x:v>
      </x:c>
      <x:c r="B1217" s="26" t="n">
        <x:v>45671.01629629629</x:v>
      </x:c>
      <x:c r="C1217" s="27" t="n">
        <x:f>INT(B1217)</x:f>
        <x:v>45671</x:v>
      </x:c>
      <x:c r="D1217" s="28" t="n">
        <x:f>MOD(B1217,1)</x:f>
        <x:v>0.01629629629314877</x:v>
      </x:c>
      <x:c r="E1217" s="29" t="n">
        <x:f>YEAR(B1217)</x:f>
        <x:v>2025</x:v>
      </x:c>
      <x:c r="F1217" s="29" t="n">
        <x:f>MONTH(B1217)</x:f>
        <x:v>1</x:v>
      </x:c>
      <x:c r="G1217" s="30" t="n">
        <x:v>-20.29</x:v>
      </x:c>
      <x:c r="H1217" s="30" t="n">
        <x:v>-69.19</x:v>
      </x:c>
      <x:c r="I1217" s="29" t="n">
        <x:v>97</x:v>
      </x:c>
      <x:c r="J1217" s="31" t="n">
        <x:v>4.6</x:v>
      </x:c>
      <x:c r="K1217" s="25" t="str">
        <x:f>IF(J1217&gt;=7,"Muy fuerte (&gt;=7)",IF(J1217&gt;=6,"Fuerte (6-6.9)",IF(J1217&gt;=5,"Moderado alto (5-5.9)",IF(J1217&gt;=4,"Moderado (4-4.9)","Menor a 4"))))</x:f>
        <x:v>Moderado (4-4.9)</x:v>
      </x:c>
      <x:c r="L1217" s="25" t="str">
        <x:f>IF(I1217&lt;70,"Superficial (&lt;70 km)",IF(I1217&lt;=300,"Intermedio (70-300 km)","Profundo (&gt;300 km)"))</x:f>
        <x:v>Intermedio (70-300 km)</x:v>
      </x:c>
      <x:c r="M1217" s="25" t="str">
        <x:f>IF(J1217&gt;=5,"Sí","No")</x:f>
        <x:v>No</x:v>
      </x:c>
      <x:c r="N1217" s="25" t="str">
        <x:f>IF(J1217&gt;=6,"Sí","No")</x:f>
        <x:v>No</x:v>
      </x:c>
      <x:c r="O1217" s="25" t="str">
        <x:v>Pendiente: asignar con R/sf</x:v>
      </x:c>
    </x:row>
    <x:row r="1218">
      <x:c r="A1218" s="25" t="n">
        <x:v>1217</x:v>
      </x:c>
      <x:c r="B1218" s="26" t="n">
        <x:v>45718.93284722222</x:v>
      </x:c>
      <x:c r="C1218" s="27" t="n">
        <x:f>INT(B1218)</x:f>
        <x:v>45718</x:v>
      </x:c>
      <x:c r="D1218" s="28" t="n">
        <x:f>MOD(B1218,1)</x:f>
        <x:v>0.9328472222186974</x:v>
      </x:c>
      <x:c r="E1218" s="29" t="n">
        <x:f>YEAR(B1218)</x:f>
        <x:v>2025</x:v>
      </x:c>
      <x:c r="F1218" s="29" t="n">
        <x:f>MONTH(B1218)</x:f>
        <x:v>3</x:v>
      </x:c>
      <x:c r="G1218" s="30" t="n">
        <x:v>-20.69</x:v>
      </x:c>
      <x:c r="H1218" s="30" t="n">
        <x:v>-69.59</x:v>
      </x:c>
      <x:c r="I1218" s="29" t="n">
        <x:v>91</x:v>
      </x:c>
      <x:c r="J1218" s="31" t="n">
        <x:v>4.6</x:v>
      </x:c>
      <x:c r="K1218" s="25" t="str">
        <x:f>IF(J1218&gt;=7,"Muy fuerte (&gt;=7)",IF(J1218&gt;=6,"Fuerte (6-6.9)",IF(J1218&gt;=5,"Moderado alto (5-5.9)",IF(J1218&gt;=4,"Moderado (4-4.9)","Menor a 4"))))</x:f>
        <x:v>Moderado (4-4.9)</x:v>
      </x:c>
      <x:c r="L1218" s="25" t="str">
        <x:f>IF(I1218&lt;70,"Superficial (&lt;70 km)",IF(I1218&lt;=300,"Intermedio (70-300 km)","Profundo (&gt;300 km)"))</x:f>
        <x:v>Intermedio (70-300 km)</x:v>
      </x:c>
      <x:c r="M1218" s="25" t="str">
        <x:f>IF(J1218&gt;=5,"Sí","No")</x:f>
        <x:v>No</x:v>
      </x:c>
      <x:c r="N1218" s="25" t="str">
        <x:f>IF(J1218&gt;=6,"Sí","No")</x:f>
        <x:v>No</x:v>
      </x:c>
      <x:c r="O1218" s="25" t="str">
        <x:v>Pendiente: asignar con R/sf</x:v>
      </x:c>
    </x:row>
    <x:row r="1219">
      <x:c r="A1219" s="25" t="n">
        <x:v>1218</x:v>
      </x:c>
      <x:c r="B1219" s="26" t="n">
        <x:v>45783.684386574074</x:v>
      </x:c>
      <x:c r="C1219" s="27" t="n">
        <x:f>INT(B1219)</x:f>
        <x:v>45783</x:v>
      </x:c>
      <x:c r="D1219" s="28" t="n">
        <x:f>MOD(B1219,1)</x:f>
        <x:v>0.6843865740738693</x:v>
      </x:c>
      <x:c r="E1219" s="29" t="n">
        <x:f>YEAR(B1219)</x:f>
        <x:v>2025</x:v>
      </x:c>
      <x:c r="F1219" s="29" t="n">
        <x:f>MONTH(B1219)</x:f>
        <x:v>5</x:v>
      </x:c>
      <x:c r="G1219" s="30" t="n">
        <x:v>-21</x:v>
      </x:c>
      <x:c r="H1219" s="30" t="n">
        <x:v>-69.63</x:v>
      </x:c>
      <x:c r="I1219" s="29" t="n">
        <x:v>67</x:v>
      </x:c>
      <x:c r="J1219" s="31" t="n">
        <x:v>4.5</x:v>
      </x:c>
      <x:c r="K1219" s="25" t="str">
        <x:f>IF(J1219&gt;=7,"Muy fuerte (&gt;=7)",IF(J1219&gt;=6,"Fuerte (6-6.9)",IF(J1219&gt;=5,"Moderado alto (5-5.9)",IF(J1219&gt;=4,"Moderado (4-4.9)","Menor a 4"))))</x:f>
        <x:v>Moderado (4-4.9)</x:v>
      </x:c>
      <x:c r="L1219" s="25" t="str">
        <x:f>IF(I1219&lt;70,"Superficial (&lt;70 km)",IF(I1219&lt;=300,"Intermedio (70-300 km)","Profundo (&gt;300 km)"))</x:f>
        <x:v>Superficial (&lt;70 km)</x:v>
      </x:c>
      <x:c r="M1219" s="25" t="str">
        <x:f>IF(J1219&gt;=5,"Sí","No")</x:f>
        <x:v>No</x:v>
      </x:c>
      <x:c r="N1219" s="25" t="str">
        <x:f>IF(J1219&gt;=6,"Sí","No")</x:f>
        <x:v>No</x:v>
      </x:c>
      <x:c r="O1219" s="25" t="str">
        <x:v>Pendiente: asignar con R/sf</x:v>
      </x:c>
    </x:row>
    <x:row r="1220">
      <x:c r="A1220" s="25" t="n">
        <x:v>1219</x:v>
      </x:c>
      <x:c r="B1220" s="26" t="n">
        <x:v>45569.5402662037</x:v>
      </x:c>
      <x:c r="C1220" s="27" t="n">
        <x:f>INT(B1220)</x:f>
        <x:v>45569</x:v>
      </x:c>
      <x:c r="D1220" s="28" t="n">
        <x:f>MOD(B1220,1)</x:f>
        <x:v>0.5402662037013215</x:v>
      </x:c>
      <x:c r="E1220" s="29" t="n">
        <x:f>YEAR(B1220)</x:f>
        <x:v>2024</x:v>
      </x:c>
      <x:c r="F1220" s="29" t="n">
        <x:f>MONTH(B1220)</x:f>
        <x:v>10</x:v>
      </x:c>
      <x:c r="G1220" s="30" t="n">
        <x:v>-20.32</x:v>
      </x:c>
      <x:c r="H1220" s="30" t="n">
        <x:v>-69.95</x:v>
      </x:c>
      <x:c r="I1220" s="29" t="n">
        <x:v>52</x:v>
      </x:c>
      <x:c r="J1220" s="31" t="n">
        <x:v>4.2</x:v>
      </x:c>
      <x:c r="K1220" s="25" t="str">
        <x:f>IF(J1220&gt;=7,"Muy fuerte (&gt;=7)",IF(J1220&gt;=6,"Fuerte (6-6.9)",IF(J1220&gt;=5,"Moderado alto (5-5.9)",IF(J1220&gt;=4,"Moderado (4-4.9)","Menor a 4"))))</x:f>
        <x:v>Moderado (4-4.9)</x:v>
      </x:c>
      <x:c r="L1220" s="25" t="str">
        <x:f>IF(I1220&lt;70,"Superficial (&lt;70 km)",IF(I1220&lt;=300,"Intermedio (70-300 km)","Profundo (&gt;300 km)"))</x:f>
        <x:v>Superficial (&lt;70 km)</x:v>
      </x:c>
      <x:c r="M1220" s="25" t="str">
        <x:f>IF(J1220&gt;=5,"Sí","No")</x:f>
        <x:v>No</x:v>
      </x:c>
      <x:c r="N1220" s="25" t="str">
        <x:f>IF(J1220&gt;=6,"Sí","No")</x:f>
        <x:v>No</x:v>
      </x:c>
      <x:c r="O1220" s="25" t="str">
        <x:v>Pendiente: asignar con R/sf</x:v>
      </x:c>
    </x:row>
    <x:row r="1221">
      <x:c r="A1221" s="25" t="n">
        <x:v>1220</x:v>
      </x:c>
      <x:c r="B1221" s="26" t="n">
        <x:v>45579.140173611115</x:v>
      </x:c>
      <x:c r="C1221" s="27" t="n">
        <x:f>INT(B1221)</x:f>
        <x:v>45579</x:v>
      </x:c>
      <x:c r="D1221" s="28" t="n">
        <x:f>MOD(B1221,1)</x:f>
        <x:v>0.14017361111473292</x:v>
      </x:c>
      <x:c r="E1221" s="29" t="n">
        <x:f>YEAR(B1221)</x:f>
        <x:v>2024</x:v>
      </x:c>
      <x:c r="F1221" s="29" t="n">
        <x:f>MONTH(B1221)</x:f>
        <x:v>10</x:v>
      </x:c>
      <x:c r="G1221" s="30" t="n">
        <x:v>-20.19</x:v>
      </x:c>
      <x:c r="H1221" s="30" t="n">
        <x:v>-69.29</x:v>
      </x:c>
      <x:c r="I1221" s="29" t="n">
        <x:v>101</x:v>
      </x:c>
      <x:c r="J1221" s="31" t="n">
        <x:v>4.5</x:v>
      </x:c>
      <x:c r="K1221" s="25" t="str">
        <x:f>IF(J1221&gt;=7,"Muy fuerte (&gt;=7)",IF(J1221&gt;=6,"Fuerte (6-6.9)",IF(J1221&gt;=5,"Moderado alto (5-5.9)",IF(J1221&gt;=4,"Moderado (4-4.9)","Menor a 4"))))</x:f>
        <x:v>Moderado (4-4.9)</x:v>
      </x:c>
      <x:c r="L1221" s="25" t="str">
        <x:f>IF(I1221&lt;70,"Superficial (&lt;70 km)",IF(I1221&lt;=300,"Intermedio (70-300 km)","Profundo (&gt;300 km)"))</x:f>
        <x:v>Intermedio (70-300 km)</x:v>
      </x:c>
      <x:c r="M1221" s="25" t="str">
        <x:f>IF(J1221&gt;=5,"Sí","No")</x:f>
        <x:v>No</x:v>
      </x:c>
      <x:c r="N1221" s="25" t="str">
        <x:f>IF(J1221&gt;=6,"Sí","No")</x:f>
        <x:v>No</x:v>
      </x:c>
      <x:c r="O1221" s="25" t="str">
        <x:v>Pendiente: asignar con R/sf</x:v>
      </x:c>
    </x:row>
    <x:row r="1222">
      <x:c r="A1222" s="25" t="n">
        <x:v>1221</x:v>
      </x:c>
      <x:c r="B1222" s="26" t="n">
        <x:v>45643.667175925926</x:v>
      </x:c>
      <x:c r="C1222" s="27" t="n">
        <x:f>INT(B1222)</x:f>
        <x:v>45643</x:v>
      </x:c>
      <x:c r="D1222" s="28" t="n">
        <x:f>MOD(B1222,1)</x:f>
        <x:v>0.6671759259261307</x:v>
      </x:c>
      <x:c r="E1222" s="29" t="n">
        <x:f>YEAR(B1222)</x:f>
        <x:v>2024</x:v>
      </x:c>
      <x:c r="F1222" s="29" t="n">
        <x:f>MONTH(B1222)</x:f>
        <x:v>12</x:v>
      </x:c>
      <x:c r="G1222" s="30" t="n">
        <x:v>-19.32</x:v>
      </x:c>
      <x:c r="H1222" s="30" t="n">
        <x:v>-69.32</x:v>
      </x:c>
      <x:c r="I1222" s="29" t="n">
        <x:v>99</x:v>
      </x:c>
      <x:c r="J1222" s="31" t="n">
        <x:v>4.5</x:v>
      </x:c>
      <x:c r="K1222" s="25" t="str">
        <x:f>IF(J1222&gt;=7,"Muy fuerte (&gt;=7)",IF(J1222&gt;=6,"Fuerte (6-6.9)",IF(J1222&gt;=5,"Moderado alto (5-5.9)",IF(J1222&gt;=4,"Moderado (4-4.9)","Menor a 4"))))</x:f>
        <x:v>Moderado (4-4.9)</x:v>
      </x:c>
      <x:c r="L1222" s="25" t="str">
        <x:f>IF(I1222&lt;70,"Superficial (&lt;70 km)",IF(I1222&lt;=300,"Intermedio (70-300 km)","Profundo (&gt;300 km)"))</x:f>
        <x:v>Intermedio (70-300 km)</x:v>
      </x:c>
      <x:c r="M1222" s="25" t="str">
        <x:f>IF(J1222&gt;=5,"Sí","No")</x:f>
        <x:v>No</x:v>
      </x:c>
      <x:c r="N1222" s="25" t="str">
        <x:f>IF(J1222&gt;=6,"Sí","No")</x:f>
        <x:v>No</x:v>
      </x:c>
      <x:c r="O1222" s="25" t="str">
        <x:v>Pendiente: asignar con R/sf</x:v>
      </x:c>
    </x:row>
    <x:row r="1223">
      <x:c r="A1223" s="25" t="n">
        <x:v>1222</x:v>
      </x:c>
      <x:c r="B1223" s="26" t="n">
        <x:v>45719.100069444445</x:v>
      </x:c>
      <x:c r="C1223" s="27" t="n">
        <x:f>INT(B1223)</x:f>
        <x:v>45719</x:v>
      </x:c>
      <x:c r="D1223" s="28" t="n">
        <x:f>MOD(B1223,1)</x:f>
        <x:v>0.10006944444467081</x:v>
      </x:c>
      <x:c r="E1223" s="29" t="n">
        <x:f>YEAR(B1223)</x:f>
        <x:v>2025</x:v>
      </x:c>
      <x:c r="F1223" s="29" t="n">
        <x:f>MONTH(B1223)</x:f>
        <x:v>3</x:v>
      </x:c>
      <x:c r="G1223" s="30" t="n">
        <x:v>-20.62</x:v>
      </x:c>
      <x:c r="H1223" s="30" t="n">
        <x:v>-69.63</x:v>
      </x:c>
      <x:c r="I1223" s="29" t="n">
        <x:v>42</x:v>
      </x:c>
      <x:c r="J1223" s="31" t="n">
        <x:v>3.6</x:v>
      </x:c>
      <x:c r="K1223" s="25" t="str">
        <x:f>IF(J1223&gt;=7,"Muy fuerte (&gt;=7)",IF(J1223&gt;=6,"Fuerte (6-6.9)",IF(J1223&gt;=5,"Moderado alto (5-5.9)",IF(J1223&gt;=4,"Moderado (4-4.9)","Menor a 4"))))</x:f>
        <x:v>Menor a 4</x:v>
      </x:c>
      <x:c r="L1223" s="25" t="str">
        <x:f>IF(I1223&lt;70,"Superficial (&lt;70 km)",IF(I1223&lt;=300,"Intermedio (70-300 km)","Profundo (&gt;300 km)"))</x:f>
        <x:v>Superficial (&lt;70 km)</x:v>
      </x:c>
      <x:c r="M1223" s="25" t="str">
        <x:f>IF(J1223&gt;=5,"Sí","No")</x:f>
        <x:v>No</x:v>
      </x:c>
      <x:c r="N1223" s="25" t="str">
        <x:f>IF(J1223&gt;=6,"Sí","No")</x:f>
        <x:v>No</x:v>
      </x:c>
      <x:c r="O1223" s="25" t="str">
        <x:v>Pendiente: asignar con R/sf</x:v>
      </x:c>
    </x:row>
    <x:row r="1224">
      <x:c r="A1224" s="25" t="n">
        <x:v>1223</x:v>
      </x:c>
      <x:c r="B1224" s="26" t="n">
        <x:v>45721.17083333333</x:v>
      </x:c>
      <x:c r="C1224" s="27" t="n">
        <x:f>INT(B1224)</x:f>
        <x:v>45721</x:v>
      </x:c>
      <x:c r="D1224" s="28" t="n">
        <x:f>MOD(B1224,1)</x:f>
        <x:v>0.1708333333299379</x:v>
      </x:c>
      <x:c r="E1224" s="29" t="n">
        <x:f>YEAR(B1224)</x:f>
        <x:v>2025</x:v>
      </x:c>
      <x:c r="F1224" s="29" t="n">
        <x:f>MONTH(B1224)</x:f>
        <x:v>3</x:v>
      </x:c>
      <x:c r="G1224" s="30" t="n">
        <x:v>-19.97</x:v>
      </x:c>
      <x:c r="H1224" s="30" t="n">
        <x:v>-70.14</x:v>
      </x:c>
      <x:c r="I1224" s="29" t="n">
        <x:v>45</x:v>
      </x:c>
      <x:c r="J1224" s="31" t="n">
        <x:v>4.2</x:v>
      </x:c>
      <x:c r="K1224" s="25" t="str">
        <x:f>IF(J1224&gt;=7,"Muy fuerte (&gt;=7)",IF(J1224&gt;=6,"Fuerte (6-6.9)",IF(J1224&gt;=5,"Moderado alto (5-5.9)",IF(J1224&gt;=4,"Moderado (4-4.9)","Menor a 4"))))</x:f>
        <x:v>Moderado (4-4.9)</x:v>
      </x:c>
      <x:c r="L1224" s="25" t="str">
        <x:f>IF(I1224&lt;70,"Superficial (&lt;70 km)",IF(I1224&lt;=300,"Intermedio (70-300 km)","Profundo (&gt;300 km)"))</x:f>
        <x:v>Superficial (&lt;70 km)</x:v>
      </x:c>
      <x:c r="M1224" s="25" t="str">
        <x:f>IF(J1224&gt;=5,"Sí","No")</x:f>
        <x:v>No</x:v>
      </x:c>
      <x:c r="N1224" s="25" t="str">
        <x:f>IF(J1224&gt;=6,"Sí","No")</x:f>
        <x:v>No</x:v>
      </x:c>
      <x:c r="O1224" s="25" t="str">
        <x:v>Pendiente: asignar con R/sf</x:v>
      </x:c>
    </x:row>
    <x:row r="1225">
      <x:c r="A1225" s="25" t="n">
        <x:v>1224</x:v>
      </x:c>
      <x:c r="B1225" s="26" t="n">
        <x:v>45732.060520833336</x:v>
      </x:c>
      <x:c r="C1225" s="27" t="n">
        <x:f>INT(B1225)</x:f>
        <x:v>45732</x:v>
      </x:c>
      <x:c r="D1225" s="28" t="n">
        <x:f>MOD(B1225,1)</x:f>
        <x:v>0.06052083333634073</x:v>
      </x:c>
      <x:c r="E1225" s="29" t="n">
        <x:f>YEAR(B1225)</x:f>
        <x:v>2025</x:v>
      </x:c>
      <x:c r="F1225" s="29" t="n">
        <x:f>MONTH(B1225)</x:f>
        <x:v>3</x:v>
      </x:c>
      <x:c r="G1225" s="30" t="n">
        <x:v>-20.19</x:v>
      </x:c>
      <x:c r="H1225" s="30" t="n">
        <x:v>-69.27</x:v>
      </x:c>
      <x:c r="I1225" s="29" t="n">
        <x:v>99</x:v>
      </x:c>
      <x:c r="J1225" s="31" t="n">
        <x:v>5.1</x:v>
      </x:c>
      <x:c r="K1225" s="25" t="str">
        <x:f>IF(J1225&gt;=7,"Muy fuerte (&gt;=7)",IF(J1225&gt;=6,"Fuerte (6-6.9)",IF(J1225&gt;=5,"Moderado alto (5-5.9)",IF(J1225&gt;=4,"Moderado (4-4.9)","Menor a 4"))))</x:f>
        <x:v>Moderado alto (5-5.9)</x:v>
      </x:c>
      <x:c r="L1225" s="25" t="str">
        <x:f>IF(I1225&lt;70,"Superficial (&lt;70 km)",IF(I1225&lt;=300,"Intermedio (70-300 km)","Profundo (&gt;300 km)"))</x:f>
        <x:v>Intermedio (70-300 km)</x:v>
      </x:c>
      <x:c r="M1225" s="25" t="str">
        <x:f>IF(J1225&gt;=5,"Sí","No")</x:f>
        <x:v>Sí</x:v>
      </x:c>
      <x:c r="N1225" s="25" t="str">
        <x:f>IF(J1225&gt;=6,"Sí","No")</x:f>
        <x:v>No</x:v>
      </x:c>
      <x:c r="O1225" s="25" t="str">
        <x:v>Pendiente: asignar con R/sf</x:v>
      </x:c>
    </x:row>
    <x:row r="1226">
      <x:c r="A1226" s="25" t="n">
        <x:v>1225</x:v>
      </x:c>
      <x:c r="B1226" s="26" t="n">
        <x:v>45737.58267361111</x:v>
      </x:c>
      <x:c r="C1226" s="27" t="n">
        <x:f>INT(B1226)</x:f>
        <x:v>45737</x:v>
      </x:c>
      <x:c r="D1226" s="28" t="n">
        <x:f>MOD(B1226,1)</x:f>
        <x:v>0.5826736111121136</x:v>
      </x:c>
      <x:c r="E1226" s="29" t="n">
        <x:f>YEAR(B1226)</x:f>
        <x:v>2025</x:v>
      </x:c>
      <x:c r="F1226" s="29" t="n">
        <x:f>MONTH(B1226)</x:f>
        <x:v>3</x:v>
      </x:c>
      <x:c r="G1226" s="30" t="n">
        <x:v>-20.42</x:v>
      </x:c>
      <x:c r="H1226" s="30" t="n">
        <x:v>-69.08</x:v>
      </x:c>
      <x:c r="I1226" s="29" t="n">
        <x:v>104</x:v>
      </x:c>
      <x:c r="J1226" s="31" t="n">
        <x:v>4.7</x:v>
      </x:c>
      <x:c r="K1226" s="25" t="str">
        <x:f>IF(J1226&gt;=7,"Muy fuerte (&gt;=7)",IF(J1226&gt;=6,"Fuerte (6-6.9)",IF(J1226&gt;=5,"Moderado alto (5-5.9)",IF(J1226&gt;=4,"Moderado (4-4.9)","Menor a 4"))))</x:f>
        <x:v>Moderado (4-4.9)</x:v>
      </x:c>
      <x:c r="L1226" s="25" t="str">
        <x:f>IF(I1226&lt;70,"Superficial (&lt;70 km)",IF(I1226&lt;=300,"Intermedio (70-300 km)","Profundo (&gt;300 km)"))</x:f>
        <x:v>Intermedio (70-300 km)</x:v>
      </x:c>
      <x:c r="M1226" s="25" t="str">
        <x:f>IF(J1226&gt;=5,"Sí","No")</x:f>
        <x:v>No</x:v>
      </x:c>
      <x:c r="N1226" s="25" t="str">
        <x:f>IF(J1226&gt;=6,"Sí","No")</x:f>
        <x:v>No</x:v>
      </x:c>
      <x:c r="O1226" s="25" t="str">
        <x:v>Pendiente: asignar con R/sf</x:v>
      </x:c>
    </x:row>
    <x:row r="1227">
      <x:c r="A1227" s="25" t="n">
        <x:v>1226</x:v>
      </x:c>
      <x:c r="B1227" s="26" t="n">
        <x:v>45777.24925925926</x:v>
      </x:c>
      <x:c r="C1227" s="27" t="n">
        <x:f>INT(B1227)</x:f>
        <x:v>45777</x:v>
      </x:c>
      <x:c r="D1227" s="28" t="n">
        <x:f>MOD(B1227,1)</x:f>
        <x:v>0.24925925926072523</x:v>
      </x:c>
      <x:c r="E1227" s="29" t="n">
        <x:f>YEAR(B1227)</x:f>
        <x:v>2025</x:v>
      </x:c>
      <x:c r="F1227" s="29" t="n">
        <x:f>MONTH(B1227)</x:f>
        <x:v>4</x:v>
      </x:c>
      <x:c r="G1227" s="30" t="n">
        <x:v>-20.59</x:v>
      </x:c>
      <x:c r="H1227" s="30" t="n">
        <x:v>-69.77</x:v>
      </x:c>
      <x:c r="I1227" s="29" t="n">
        <x:v>22</x:v>
      </x:c>
      <x:c r="J1227" s="31" t="n">
        <x:v>4.1</x:v>
      </x:c>
      <x:c r="K1227" s="25" t="str">
        <x:f>IF(J1227&gt;=7,"Muy fuerte (&gt;=7)",IF(J1227&gt;=6,"Fuerte (6-6.9)",IF(J1227&gt;=5,"Moderado alto (5-5.9)",IF(J1227&gt;=4,"Moderado (4-4.9)","Menor a 4"))))</x:f>
        <x:v>Moderado (4-4.9)</x:v>
      </x:c>
      <x:c r="L1227" s="25" t="str">
        <x:f>IF(I1227&lt;70,"Superficial (&lt;70 km)",IF(I1227&lt;=300,"Intermedio (70-300 km)","Profundo (&gt;300 km)"))</x:f>
        <x:v>Superficial (&lt;70 km)</x:v>
      </x:c>
      <x:c r="M1227" s="25" t="str">
        <x:f>IF(J1227&gt;=5,"Sí","No")</x:f>
        <x:v>No</x:v>
      </x:c>
      <x:c r="N1227" s="25" t="str">
        <x:f>IF(J1227&gt;=6,"Sí","No")</x:f>
        <x:v>No</x:v>
      </x:c>
      <x:c r="O1227" s="25" t="str">
        <x:v>Pendiente: asignar con R/sf</x:v>
      </x:c>
    </x:row>
    <x:row r="1228">
      <x:c r="A1228" s="25" t="n">
        <x:v>1227</x:v>
      </x:c>
      <x:c r="B1228" s="26" t="n">
        <x:v>45560.08159722222</x:v>
      </x:c>
      <x:c r="C1228" s="27" t="n">
        <x:f>INT(B1228)</x:f>
        <x:v>45560</x:v>
      </x:c>
      <x:c r="D1228" s="28" t="n">
        <x:f>MOD(B1228,1)</x:f>
        <x:v>0.08159722221898846</x:v>
      </x:c>
      <x:c r="E1228" s="29" t="n">
        <x:f>YEAR(B1228)</x:f>
        <x:v>2024</x:v>
      </x:c>
      <x:c r="F1228" s="29" t="n">
        <x:f>MONTH(B1228)</x:f>
        <x:v>9</x:v>
      </x:c>
      <x:c r="G1228" s="30" t="n">
        <x:v>-21.15</x:v>
      </x:c>
      <x:c r="H1228" s="30" t="n">
        <x:v>-70.21</x:v>
      </x:c>
      <x:c r="I1228" s="29" t="n">
        <x:v>60</x:v>
      </x:c>
      <x:c r="J1228" s="31" t="n">
        <x:v>4.6</x:v>
      </x:c>
      <x:c r="K1228" s="25" t="str">
        <x:f>IF(J1228&gt;=7,"Muy fuerte (&gt;=7)",IF(J1228&gt;=6,"Fuerte (6-6.9)",IF(J1228&gt;=5,"Moderado alto (5-5.9)",IF(J1228&gt;=4,"Moderado (4-4.9)","Menor a 4"))))</x:f>
        <x:v>Moderado (4-4.9)</x:v>
      </x:c>
      <x:c r="L1228" s="25" t="str">
        <x:f>IF(I1228&lt;70,"Superficial (&lt;70 km)",IF(I1228&lt;=300,"Intermedio (70-300 km)","Profundo (&gt;300 km)"))</x:f>
        <x:v>Superficial (&lt;70 km)</x:v>
      </x:c>
      <x:c r="M1228" s="25" t="str">
        <x:f>IF(J1228&gt;=5,"Sí","No")</x:f>
        <x:v>No</x:v>
      </x:c>
      <x:c r="N1228" s="25" t="str">
        <x:f>IF(J1228&gt;=6,"Sí","No")</x:f>
        <x:v>No</x:v>
      </x:c>
      <x:c r="O1228" s="25" t="str">
        <x:v>Pendiente: asignar con R/sf</x:v>
      </x:c>
    </x:row>
    <x:row r="1229">
      <x:c r="A1229" s="25" t="n">
        <x:v>1228</x:v>
      </x:c>
      <x:c r="B1229" s="26" t="n">
        <x:v>45096.09940972222</x:v>
      </x:c>
      <x:c r="C1229" s="27" t="n">
        <x:f>INT(B1229)</x:f>
        <x:v>45096</x:v>
      </x:c>
      <x:c r="D1229" s="28" t="n">
        <x:f>MOD(B1229,1)</x:f>
        <x:v>0.09940972222102573</x:v>
      </x:c>
      <x:c r="E1229" s="29" t="n">
        <x:f>YEAR(B1229)</x:f>
        <x:v>2023</x:v>
      </x:c>
      <x:c r="F1229" s="29" t="n">
        <x:f>MONTH(B1229)</x:f>
        <x:v>6</x:v>
      </x:c>
      <x:c r="G1229" s="30" t="n">
        <x:v>-22.63</x:v>
      </x:c>
      <x:c r="H1229" s="30" t="n">
        <x:v>-69.01</x:v>
      </x:c>
      <x:c r="I1229" s="29" t="n">
        <x:v>127</x:v>
      </x:c>
      <x:c r="J1229" s="31" t="n">
        <x:v>4.8</x:v>
      </x:c>
      <x:c r="K1229" s="25" t="str">
        <x:f>IF(J1229&gt;=7,"Muy fuerte (&gt;=7)",IF(J1229&gt;=6,"Fuerte (6-6.9)",IF(J1229&gt;=5,"Moderado alto (5-5.9)",IF(J1229&gt;=4,"Moderado (4-4.9)","Menor a 4"))))</x:f>
        <x:v>Moderado (4-4.9)</x:v>
      </x:c>
      <x:c r="L1229" s="25" t="str">
        <x:f>IF(I1229&lt;70,"Superficial (&lt;70 km)",IF(I1229&lt;=300,"Intermedio (70-300 km)","Profundo (&gt;300 km)"))</x:f>
        <x:v>Intermedio (70-300 km)</x:v>
      </x:c>
      <x:c r="M1229" s="25" t="str">
        <x:f>IF(J1229&gt;=5,"Sí","No")</x:f>
        <x:v>No</x:v>
      </x:c>
      <x:c r="N1229" s="25" t="str">
        <x:f>IF(J1229&gt;=6,"Sí","No")</x:f>
        <x:v>No</x:v>
      </x:c>
      <x:c r="O1229" s="25" t="str">
        <x:v>Pendiente: asignar con R/sf</x:v>
      </x:c>
    </x:row>
    <x:row r="1230">
      <x:c r="A1230" s="25" t="n">
        <x:v>1229</x:v>
      </x:c>
      <x:c r="B1230" s="26" t="n">
        <x:v>45531.25172453704</x:v>
      </x:c>
      <x:c r="C1230" s="27" t="n">
        <x:f>INT(B1230)</x:f>
        <x:v>45531</x:v>
      </x:c>
      <x:c r="D1230" s="28" t="n">
        <x:f>MOD(B1230,1)</x:f>
        <x:v>0.25172453703999054</x:v>
      </x:c>
      <x:c r="E1230" s="29" t="n">
        <x:f>YEAR(B1230)</x:f>
        <x:v>2024</x:v>
      </x:c>
      <x:c r="F1230" s="29" t="n">
        <x:f>MONTH(B1230)</x:f>
        <x:v>8</x:v>
      </x:c>
      <x:c r="G1230" s="30" t="n">
        <x:v>-22.49</x:v>
      </x:c>
      <x:c r="H1230" s="30" t="n">
        <x:v>-69.21</x:v>
      </x:c>
      <x:c r="I1230" s="29" t="n">
        <x:v>94</x:v>
      </x:c>
      <x:c r="J1230" s="31" t="n">
        <x:v>4.6</x:v>
      </x:c>
      <x:c r="K1230" s="25" t="str">
        <x:f>IF(J1230&gt;=7,"Muy fuerte (&gt;=7)",IF(J1230&gt;=6,"Fuerte (6-6.9)",IF(J1230&gt;=5,"Moderado alto (5-5.9)",IF(J1230&gt;=4,"Moderado (4-4.9)","Menor a 4"))))</x:f>
        <x:v>Moderado (4-4.9)</x:v>
      </x:c>
      <x:c r="L1230" s="25" t="str">
        <x:f>IF(I1230&lt;70,"Superficial (&lt;70 km)",IF(I1230&lt;=300,"Intermedio (70-300 km)","Profundo (&gt;300 km)"))</x:f>
        <x:v>Intermedio (70-300 km)</x:v>
      </x:c>
      <x:c r="M1230" s="25" t="str">
        <x:f>IF(J1230&gt;=5,"Sí","No")</x:f>
        <x:v>No</x:v>
      </x:c>
      <x:c r="N1230" s="25" t="str">
        <x:f>IF(J1230&gt;=6,"Sí","No")</x:f>
        <x:v>No</x:v>
      </x:c>
      <x:c r="O1230" s="25" t="str">
        <x:v>Pendiente: asignar con R/sf</x:v>
      </x:c>
    </x:row>
    <x:row r="1231">
      <x:c r="A1231" s="25" t="n">
        <x:v>1230</x:v>
      </x:c>
      <x:c r="B1231" s="26" t="n">
        <x:v>45620.53979166667</x:v>
      </x:c>
      <x:c r="C1231" s="27" t="n">
        <x:f>INT(B1231)</x:f>
        <x:v>45620</x:v>
      </x:c>
      <x:c r="D1231" s="28" t="n">
        <x:f>MOD(B1231,1)</x:f>
        <x:v>0.5397916666697711</x:v>
      </x:c>
      <x:c r="E1231" s="29" t="n">
        <x:f>YEAR(B1231)</x:f>
        <x:v>2024</x:v>
      </x:c>
      <x:c r="F1231" s="29" t="n">
        <x:f>MONTH(B1231)</x:f>
        <x:v>11</x:v>
      </x:c>
      <x:c r="G1231" s="30" t="n">
        <x:v>-22.38</x:v>
      </x:c>
      <x:c r="H1231" s="30" t="n">
        <x:v>-68.54</x:v>
      </x:c>
      <x:c r="I1231" s="29" t="n">
        <x:v>131</x:v>
      </x:c>
      <x:c r="J1231" s="31" t="n">
        <x:v>4.9</x:v>
      </x:c>
      <x:c r="K1231" s="25" t="str">
        <x:f>IF(J1231&gt;=7,"Muy fuerte (&gt;=7)",IF(J1231&gt;=6,"Fuerte (6-6.9)",IF(J1231&gt;=5,"Moderado alto (5-5.9)",IF(J1231&gt;=4,"Moderado (4-4.9)","Menor a 4"))))</x:f>
        <x:v>Moderado (4-4.9)</x:v>
      </x:c>
      <x:c r="L1231" s="25" t="str">
        <x:f>IF(I1231&lt;70,"Superficial (&lt;70 km)",IF(I1231&lt;=300,"Intermedio (70-300 km)","Profundo (&gt;300 km)"))</x:f>
        <x:v>Intermedio (70-300 km)</x:v>
      </x:c>
      <x:c r="M1231" s="25" t="str">
        <x:f>IF(J1231&gt;=5,"Sí","No")</x:f>
        <x:v>No</x:v>
      </x:c>
      <x:c r="N1231" s="25" t="str">
        <x:f>IF(J1231&gt;=6,"Sí","No")</x:f>
        <x:v>No</x:v>
      </x:c>
      <x:c r="O1231" s="25" t="str">
        <x:v>Pendiente: asignar con R/sf</x:v>
      </x:c>
    </x:row>
    <x:row r="1232">
      <x:c r="A1232" s="25" t="n">
        <x:v>1231</x:v>
      </x:c>
      <x:c r="B1232" s="26" t="n">
        <x:v>45306.220613425925</x:v>
      </x:c>
      <x:c r="C1232" s="27" t="n">
        <x:f>INT(B1232)</x:f>
        <x:v>45306</x:v>
      </x:c>
      <x:c r="D1232" s="28" t="n">
        <x:f>MOD(B1232,1)</x:f>
        <x:v>0.22061342592496658</x:v>
      </x:c>
      <x:c r="E1232" s="29" t="n">
        <x:f>YEAR(B1232)</x:f>
        <x:v>2024</x:v>
      </x:c>
      <x:c r="F1232" s="29" t="n">
        <x:f>MONTH(B1232)</x:f>
        <x:v>1</x:v>
      </x:c>
      <x:c r="G1232" s="30" t="n">
        <x:v>-22.78</x:v>
      </x:c>
      <x:c r="H1232" s="30" t="n">
        <x:v>-68.39</x:v>
      </x:c>
      <x:c r="I1232" s="29" t="n">
        <x:v>106</x:v>
      </x:c>
      <x:c r="J1232" s="31" t="n">
        <x:v>4.9</x:v>
      </x:c>
      <x:c r="K1232" s="25" t="str">
        <x:f>IF(J1232&gt;=7,"Muy fuerte (&gt;=7)",IF(J1232&gt;=6,"Fuerte (6-6.9)",IF(J1232&gt;=5,"Moderado alto (5-5.9)",IF(J1232&gt;=4,"Moderado (4-4.9)","Menor a 4"))))</x:f>
        <x:v>Moderado (4-4.9)</x:v>
      </x:c>
      <x:c r="L1232" s="25" t="str">
        <x:f>IF(I1232&lt;70,"Superficial (&lt;70 km)",IF(I1232&lt;=300,"Intermedio (70-300 km)","Profundo (&gt;300 km)"))</x:f>
        <x:v>Intermedio (70-300 km)</x:v>
      </x:c>
      <x:c r="M1232" s="25" t="str">
        <x:f>IF(J1232&gt;=5,"Sí","No")</x:f>
        <x:v>No</x:v>
      </x:c>
      <x:c r="N1232" s="25" t="str">
        <x:f>IF(J1232&gt;=6,"Sí","No")</x:f>
        <x:v>No</x:v>
      </x:c>
      <x:c r="O1232" s="25" t="str">
        <x:v>Pendiente: asignar con R/sf</x:v>
      </x:c>
    </x:row>
    <x:row r="1233">
      <x:c r="A1233" s="25" t="n">
        <x:v>1232</x:v>
      </x:c>
      <x:c r="B1233" s="26" t="n">
        <x:v>45360.83256944444</x:v>
      </x:c>
      <x:c r="C1233" s="27" t="n">
        <x:f>INT(B1233)</x:f>
        <x:v>45360</x:v>
      </x:c>
      <x:c r="D1233" s="28" t="n">
        <x:f>MOD(B1233,1)</x:f>
        <x:v>0.8325694444429246</x:v>
      </x:c>
      <x:c r="E1233" s="29" t="n">
        <x:f>YEAR(B1233)</x:f>
        <x:v>2024</x:v>
      </x:c>
      <x:c r="F1233" s="29" t="n">
        <x:f>MONTH(B1233)</x:f>
        <x:v>3</x:v>
      </x:c>
      <x:c r="G1233" s="30" t="n">
        <x:v>-22.36</x:v>
      </x:c>
      <x:c r="H1233" s="30" t="n">
        <x:v>-68.79</x:v>
      </x:c>
      <x:c r="I1233" s="29" t="n">
        <x:v>126</x:v>
      </x:c>
      <x:c r="J1233" s="31" t="n">
        <x:v>4.6</x:v>
      </x:c>
      <x:c r="K1233" s="25" t="str">
        <x:f>IF(J1233&gt;=7,"Muy fuerte (&gt;=7)",IF(J1233&gt;=6,"Fuerte (6-6.9)",IF(J1233&gt;=5,"Moderado alto (5-5.9)",IF(J1233&gt;=4,"Moderado (4-4.9)","Menor a 4"))))</x:f>
        <x:v>Moderado (4-4.9)</x:v>
      </x:c>
      <x:c r="L1233" s="25" t="str">
        <x:f>IF(I1233&lt;70,"Superficial (&lt;70 km)",IF(I1233&lt;=300,"Intermedio (70-300 km)","Profundo (&gt;300 km)"))</x:f>
        <x:v>Intermedio (70-300 km)</x:v>
      </x:c>
      <x:c r="M1233" s="25" t="str">
        <x:f>IF(J1233&gt;=5,"Sí","No")</x:f>
        <x:v>No</x:v>
      </x:c>
      <x:c r="N1233" s="25" t="str">
        <x:f>IF(J1233&gt;=6,"Sí","No")</x:f>
        <x:v>No</x:v>
      </x:c>
      <x:c r="O1233" s="25" t="str">
        <x:v>Pendiente: asignar con R/sf</x:v>
      </x:c>
    </x:row>
    <x:row r="1234">
      <x:c r="A1234" s="25" t="n">
        <x:v>1233</x:v>
      </x:c>
      <x:c r="B1234" s="26" t="n">
        <x:v>45433.34804398148</x:v>
      </x:c>
      <x:c r="C1234" s="27" t="n">
        <x:f>INT(B1234)</x:f>
        <x:v>45433</x:v>
      </x:c>
      <x:c r="D1234" s="28" t="n">
        <x:f>MOD(B1234,1)</x:f>
        <x:v>0.3480439814811689</x:v>
      </x:c>
      <x:c r="E1234" s="29" t="n">
        <x:f>YEAR(B1234)</x:f>
        <x:v>2024</x:v>
      </x:c>
      <x:c r="F1234" s="29" t="n">
        <x:f>MONTH(B1234)</x:f>
        <x:v>5</x:v>
      </x:c>
      <x:c r="G1234" s="30" t="n">
        <x:v>-21.93</x:v>
      </x:c>
      <x:c r="H1234" s="30" t="n">
        <x:v>-68.66</x:v>
      </x:c>
      <x:c r="I1234" s="29" t="n">
        <x:v>118</x:v>
      </x:c>
      <x:c r="J1234" s="31" t="n">
        <x:v>5</x:v>
      </x:c>
      <x:c r="K1234" s="25" t="str">
        <x:f>IF(J1234&gt;=7,"Muy fuerte (&gt;=7)",IF(J1234&gt;=6,"Fuerte (6-6.9)",IF(J1234&gt;=5,"Moderado alto (5-5.9)",IF(J1234&gt;=4,"Moderado (4-4.9)","Menor a 4"))))</x:f>
        <x:v>Moderado alto (5-5.9)</x:v>
      </x:c>
      <x:c r="L1234" s="25" t="str">
        <x:f>IF(I1234&lt;70,"Superficial (&lt;70 km)",IF(I1234&lt;=300,"Intermedio (70-300 km)","Profundo (&gt;300 km)"))</x:f>
        <x:v>Intermedio (70-300 km)</x:v>
      </x:c>
      <x:c r="M1234" s="25" t="str">
        <x:f>IF(J1234&gt;=5,"Sí","No")</x:f>
        <x:v>Sí</x:v>
      </x:c>
      <x:c r="N1234" s="25" t="str">
        <x:f>IF(J1234&gt;=6,"Sí","No")</x:f>
        <x:v>No</x:v>
      </x:c>
      <x:c r="O1234" s="25" t="str">
        <x:v>Pendiente: asignar con R/sf</x:v>
      </x:c>
    </x:row>
    <x:row r="1235">
      <x:c r="A1235" s="25" t="n">
        <x:v>1234</x:v>
      </x:c>
      <x:c r="B1235" s="26" t="n">
        <x:v>45449.73458333333</x:v>
      </x:c>
      <x:c r="C1235" s="27" t="n">
        <x:f>INT(B1235)</x:f>
        <x:v>45449</x:v>
      </x:c>
      <x:c r="D1235" s="28" t="n">
        <x:f>MOD(B1235,1)</x:f>
        <x:v>0.734583333331102</x:v>
      </x:c>
      <x:c r="E1235" s="29" t="n">
        <x:f>YEAR(B1235)</x:f>
        <x:v>2024</x:v>
      </x:c>
      <x:c r="F1235" s="29" t="n">
        <x:f>MONTH(B1235)</x:f>
        <x:v>6</x:v>
      </x:c>
      <x:c r="G1235" s="30" t="n">
        <x:v>-22.31</x:v>
      </x:c>
      <x:c r="H1235" s="30" t="n">
        <x:v>-70.15</x:v>
      </x:c>
      <x:c r="I1235" s="29" t="n">
        <x:v>55</x:v>
      </x:c>
      <x:c r="J1235" s="31" t="n">
        <x:v>4.8</x:v>
      </x:c>
      <x:c r="K1235" s="25" t="str">
        <x:f>IF(J1235&gt;=7,"Muy fuerte (&gt;=7)",IF(J1235&gt;=6,"Fuerte (6-6.9)",IF(J1235&gt;=5,"Moderado alto (5-5.9)",IF(J1235&gt;=4,"Moderado (4-4.9)","Menor a 4"))))</x:f>
        <x:v>Moderado (4-4.9)</x:v>
      </x:c>
      <x:c r="L1235" s="25" t="str">
        <x:f>IF(I1235&lt;70,"Superficial (&lt;70 km)",IF(I1235&lt;=300,"Intermedio (70-300 km)","Profundo (&gt;300 km)"))</x:f>
        <x:v>Superficial (&lt;70 km)</x:v>
      </x:c>
      <x:c r="M1235" s="25" t="str">
        <x:f>IF(J1235&gt;=5,"Sí","No")</x:f>
        <x:v>No</x:v>
      </x:c>
      <x:c r="N1235" s="25" t="str">
        <x:f>IF(J1235&gt;=6,"Sí","No")</x:f>
        <x:v>No</x:v>
      </x:c>
      <x:c r="O1235" s="25" t="str">
        <x:v>Pendiente: asignar con R/sf</x:v>
      </x:c>
    </x:row>
    <x:row r="1236">
      <x:c r="A1236" s="25" t="n">
        <x:v>1235</x:v>
      </x:c>
      <x:c r="B1236" s="26" t="n">
        <x:v>45762.43686342592</x:v>
      </x:c>
      <x:c r="C1236" s="27" t="n">
        <x:f>INT(B1236)</x:f>
        <x:v>45762</x:v>
      </x:c>
      <x:c r="D1236" s="28" t="n">
        <x:f>MOD(B1236,1)</x:f>
        <x:v>0.43686342592263827</x:v>
      </x:c>
      <x:c r="E1236" s="29" t="n">
        <x:f>YEAR(B1236)</x:f>
        <x:v>2025</x:v>
      </x:c>
      <x:c r="F1236" s="29" t="n">
        <x:f>MONTH(B1236)</x:f>
        <x:v>4</x:v>
      </x:c>
      <x:c r="G1236" s="30" t="n">
        <x:v>-22.34</x:v>
      </x:c>
      <x:c r="H1236" s="30" t="n">
        <x:v>-68.88</x:v>
      </x:c>
      <x:c r="I1236" s="29" t="n">
        <x:v>122</x:v>
      </x:c>
      <x:c r="J1236" s="31" t="n">
        <x:v>4.5</x:v>
      </x:c>
      <x:c r="K1236" s="25" t="str">
        <x:f>IF(J1236&gt;=7,"Muy fuerte (&gt;=7)",IF(J1236&gt;=6,"Fuerte (6-6.9)",IF(J1236&gt;=5,"Moderado alto (5-5.9)",IF(J1236&gt;=4,"Moderado (4-4.9)","Menor a 4"))))</x:f>
        <x:v>Moderado (4-4.9)</x:v>
      </x:c>
      <x:c r="L1236" s="25" t="str">
        <x:f>IF(I1236&lt;70,"Superficial (&lt;70 km)",IF(I1236&lt;=300,"Intermedio (70-300 km)","Profundo (&gt;300 km)"))</x:f>
        <x:v>Intermedio (70-300 km)</x:v>
      </x:c>
      <x:c r="M1236" s="25" t="str">
        <x:f>IF(J1236&gt;=5,"Sí","No")</x:f>
        <x:v>No</x:v>
      </x:c>
      <x:c r="N1236" s="25" t="str">
        <x:f>IF(J1236&gt;=6,"Sí","No")</x:f>
        <x:v>No</x:v>
      </x:c>
      <x:c r="O1236" s="25" t="str">
        <x:v>Pendiente: asignar con R/sf</x:v>
      </x:c>
    </x:row>
    <x:row r="1237">
      <x:c r="A1237" s="25" t="n">
        <x:v>1236</x:v>
      </x:c>
      <x:c r="B1237" s="26" t="n">
        <x:v>45088.85791666667</x:v>
      </x:c>
      <x:c r="C1237" s="27" t="n">
        <x:f>INT(B1237)</x:f>
        <x:v>45088</x:v>
      </x:c>
      <x:c r="D1237" s="28" t="n">
        <x:f>MOD(B1237,1)</x:f>
        <x:v>0.8579166666677338</x:v>
      </x:c>
      <x:c r="E1237" s="29" t="n">
        <x:f>YEAR(B1237)</x:f>
        <x:v>2023</x:v>
      </x:c>
      <x:c r="F1237" s="29" t="n">
        <x:f>MONTH(B1237)</x:f>
        <x:v>6</x:v>
      </x:c>
      <x:c r="G1237" s="30" t="n">
        <x:v>-22.02</x:v>
      </x:c>
      <x:c r="H1237" s="30" t="n">
        <x:v>-68.81</x:v>
      </x:c>
      <x:c r="I1237" s="29" t="n">
        <x:v>106</x:v>
      </x:c>
      <x:c r="J1237" s="31" t="n">
        <x:v>4.5</x:v>
      </x:c>
      <x:c r="K1237" s="25" t="str">
        <x:f>IF(J1237&gt;=7,"Muy fuerte (&gt;=7)",IF(J1237&gt;=6,"Fuerte (6-6.9)",IF(J1237&gt;=5,"Moderado alto (5-5.9)",IF(J1237&gt;=4,"Moderado (4-4.9)","Menor a 4"))))</x:f>
        <x:v>Moderado (4-4.9)</x:v>
      </x:c>
      <x:c r="L1237" s="25" t="str">
        <x:f>IF(I1237&lt;70,"Superficial (&lt;70 km)",IF(I1237&lt;=300,"Intermedio (70-300 km)","Profundo (&gt;300 km)"))</x:f>
        <x:v>Intermedio (70-300 km)</x:v>
      </x:c>
      <x:c r="M1237" s="25" t="str">
        <x:f>IF(J1237&gt;=5,"Sí","No")</x:f>
        <x:v>No</x:v>
      </x:c>
      <x:c r="N1237" s="25" t="str">
        <x:f>IF(J1237&gt;=6,"Sí","No")</x:f>
        <x:v>No</x:v>
      </x:c>
      <x:c r="O1237" s="25" t="str">
        <x:v>Pendiente: asignar con R/sf</x:v>
      </x:c>
    </x:row>
    <x:row r="1238">
      <x:c r="A1238" s="25" t="n">
        <x:v>1237</x:v>
      </x:c>
      <x:c r="B1238" s="26" t="n">
        <x:v>45238.45814814815</x:v>
      </x:c>
      <x:c r="C1238" s="27" t="n">
        <x:f>INT(B1238)</x:f>
        <x:v>45238</x:v>
      </x:c>
      <x:c r="D1238" s="28" t="n">
        <x:f>MOD(B1238,1)</x:f>
        <x:v>0.45814814815093996</x:v>
      </x:c>
      <x:c r="E1238" s="29" t="n">
        <x:f>YEAR(B1238)</x:f>
        <x:v>2023</x:v>
      </x:c>
      <x:c r="F1238" s="29" t="n">
        <x:f>MONTH(B1238)</x:f>
        <x:v>11</x:v>
      </x:c>
      <x:c r="G1238" s="30" t="n">
        <x:v>-22.04</x:v>
      </x:c>
      <x:c r="H1238" s="30" t="n">
        <x:v>-68.79</x:v>
      </x:c>
      <x:c r="I1238" s="29" t="n">
        <x:v>113</x:v>
      </x:c>
      <x:c r="J1238" s="31" t="n">
        <x:v>4.1</x:v>
      </x:c>
      <x:c r="K1238" s="25" t="str">
        <x:f>IF(J1238&gt;=7,"Muy fuerte (&gt;=7)",IF(J1238&gt;=6,"Fuerte (6-6.9)",IF(J1238&gt;=5,"Moderado alto (5-5.9)",IF(J1238&gt;=4,"Moderado (4-4.9)","Menor a 4"))))</x:f>
        <x:v>Moderado (4-4.9)</x:v>
      </x:c>
      <x:c r="L1238" s="25" t="str">
        <x:f>IF(I1238&lt;70,"Superficial (&lt;70 km)",IF(I1238&lt;=300,"Intermedio (70-300 km)","Profundo (&gt;300 km)"))</x:f>
        <x:v>Intermedio (70-300 km)</x:v>
      </x:c>
      <x:c r="M1238" s="25" t="str">
        <x:f>IF(J1238&gt;=5,"Sí","No")</x:f>
        <x:v>No</x:v>
      </x:c>
      <x:c r="N1238" s="25" t="str">
        <x:f>IF(J1238&gt;=6,"Sí","No")</x:f>
        <x:v>No</x:v>
      </x:c>
      <x:c r="O1238" s="25" t="str">
        <x:v>Pendiente: asignar con R/sf</x:v>
      </x:c>
    </x:row>
    <x:row r="1239">
      <x:c r="A1239" s="25" t="n">
        <x:v>1238</x:v>
      </x:c>
      <x:c r="B1239" s="26" t="n">
        <x:v>45410.84741898148</x:v>
      </x:c>
      <x:c r="C1239" s="27" t="n">
        <x:f>INT(B1239)</x:f>
        <x:v>45410</x:v>
      </x:c>
      <x:c r="D1239" s="28" t="n">
        <x:f>MOD(B1239,1)</x:f>
        <x:v>0.8474189814805868</x:v>
      </x:c>
      <x:c r="E1239" s="29" t="n">
        <x:f>YEAR(B1239)</x:f>
        <x:v>2024</x:v>
      </x:c>
      <x:c r="F1239" s="29" t="n">
        <x:f>MONTH(B1239)</x:f>
        <x:v>4</x:v>
      </x:c>
      <x:c r="G1239" s="30" t="n">
        <x:v>-21.94</x:v>
      </x:c>
      <x:c r="H1239" s="30" t="n">
        <x:v>-68.69</x:v>
      </x:c>
      <x:c r="I1239" s="29" t="n">
        <x:v>107</x:v>
      </x:c>
      <x:c r="J1239" s="31" t="n">
        <x:v>4.6</x:v>
      </x:c>
      <x:c r="K1239" s="25" t="str">
        <x:f>IF(J1239&gt;=7,"Muy fuerte (&gt;=7)",IF(J1239&gt;=6,"Fuerte (6-6.9)",IF(J1239&gt;=5,"Moderado alto (5-5.9)",IF(J1239&gt;=4,"Moderado (4-4.9)","Menor a 4"))))</x:f>
        <x:v>Moderado (4-4.9)</x:v>
      </x:c>
      <x:c r="L1239" s="25" t="str">
        <x:f>IF(I1239&lt;70,"Superficial (&lt;70 km)",IF(I1239&lt;=300,"Intermedio (70-300 km)","Profundo (&gt;300 km)"))</x:f>
        <x:v>Intermedio (70-300 km)</x:v>
      </x:c>
      <x:c r="M1239" s="25" t="str">
        <x:f>IF(J1239&gt;=5,"Sí","No")</x:f>
        <x:v>No</x:v>
      </x:c>
      <x:c r="N1239" s="25" t="str">
        <x:f>IF(J1239&gt;=6,"Sí","No")</x:f>
        <x:v>No</x:v>
      </x:c>
      <x:c r="O1239" s="25" t="str">
        <x:v>Pendiente: asignar con R/sf</x:v>
      </x:c>
    </x:row>
    <x:row r="1240">
      <x:c r="A1240" s="25" t="n">
        <x:v>1239</x:v>
      </x:c>
      <x:c r="B1240" s="26" t="n">
        <x:v>45639.91678240741</x:v>
      </x:c>
      <x:c r="C1240" s="27" t="n">
        <x:f>INT(B1240)</x:f>
        <x:v>45639</x:v>
      </x:c>
      <x:c r="D1240" s="28" t="n">
        <x:f>MOD(B1240,1)</x:f>
        <x:v>0.91678240741021</x:v>
      </x:c>
      <x:c r="E1240" s="29" t="n">
        <x:f>YEAR(B1240)</x:f>
        <x:v>2024</x:v>
      </x:c>
      <x:c r="F1240" s="29" t="n">
        <x:f>MONTH(B1240)</x:f>
        <x:v>12</x:v>
      </x:c>
      <x:c r="G1240" s="30" t="n">
        <x:v>-22.08</x:v>
      </x:c>
      <x:c r="H1240" s="30" t="n">
        <x:v>-68.71</x:v>
      </x:c>
      <x:c r="I1240" s="29" t="n">
        <x:v>117</x:v>
      </x:c>
      <x:c r="J1240" s="31" t="n">
        <x:v>4.8</x:v>
      </x:c>
      <x:c r="K1240" s="25" t="str">
        <x:f>IF(J1240&gt;=7,"Muy fuerte (&gt;=7)",IF(J1240&gt;=6,"Fuerte (6-6.9)",IF(J1240&gt;=5,"Moderado alto (5-5.9)",IF(J1240&gt;=4,"Moderado (4-4.9)","Menor a 4"))))</x:f>
        <x:v>Moderado (4-4.9)</x:v>
      </x:c>
      <x:c r="L1240" s="25" t="str">
        <x:f>IF(I1240&lt;70,"Superficial (&lt;70 km)",IF(I1240&lt;=300,"Intermedio (70-300 km)","Profundo (&gt;300 km)"))</x:f>
        <x:v>Intermedio (70-300 km)</x:v>
      </x:c>
      <x:c r="M1240" s="25" t="str">
        <x:f>IF(J1240&gt;=5,"Sí","No")</x:f>
        <x:v>No</x:v>
      </x:c>
      <x:c r="N1240" s="25" t="str">
        <x:f>IF(J1240&gt;=6,"Sí","No")</x:f>
        <x:v>No</x:v>
      </x:c>
      <x:c r="O1240" s="25" t="str">
        <x:v>Pendiente: asignar con R/sf</x:v>
      </x:c>
    </x:row>
    <x:row r="1241">
      <x:c r="A1241" s="25" t="n">
        <x:v>1240</x:v>
      </x:c>
      <x:c r="B1241" s="26" t="n">
        <x:v>45685.51828703703</x:v>
      </x:c>
      <x:c r="C1241" s="27" t="n">
        <x:f>INT(B1241)</x:f>
        <x:v>45685</x:v>
      </x:c>
      <x:c r="D1241" s="28" t="n">
        <x:f>MOD(B1241,1)</x:f>
        <x:v>0.5182870370335877</x:v>
      </x:c>
      <x:c r="E1241" s="29" t="n">
        <x:f>YEAR(B1241)</x:f>
        <x:v>2025</x:v>
      </x:c>
      <x:c r="F1241" s="29" t="n">
        <x:f>MONTH(B1241)</x:f>
        <x:v>1</x:v>
      </x:c>
      <x:c r="G1241" s="30" t="n">
        <x:v>-22.71</x:v>
      </x:c>
      <x:c r="H1241" s="30" t="n">
        <x:v>-69.07</x:v>
      </x:c>
      <x:c r="I1241" s="29" t="n">
        <x:v>108</x:v>
      </x:c>
      <x:c r="J1241" s="31" t="n">
        <x:v>4.4</x:v>
      </x:c>
      <x:c r="K1241" s="25" t="str">
        <x:f>IF(J1241&gt;=7,"Muy fuerte (&gt;=7)",IF(J1241&gt;=6,"Fuerte (6-6.9)",IF(J1241&gt;=5,"Moderado alto (5-5.9)",IF(J1241&gt;=4,"Moderado (4-4.9)","Menor a 4"))))</x:f>
        <x:v>Moderado (4-4.9)</x:v>
      </x:c>
      <x:c r="L1241" s="25" t="str">
        <x:f>IF(I1241&lt;70,"Superficial (&lt;70 km)",IF(I1241&lt;=300,"Intermedio (70-300 km)","Profundo (&gt;300 km)"))</x:f>
        <x:v>Intermedio (70-300 km)</x:v>
      </x:c>
      <x:c r="M1241" s="25" t="str">
        <x:f>IF(J1241&gt;=5,"Sí","No")</x:f>
        <x:v>No</x:v>
      </x:c>
      <x:c r="N1241" s="25" t="str">
        <x:f>IF(J1241&gt;=6,"Sí","No")</x:f>
        <x:v>No</x:v>
      </x:c>
      <x:c r="O1241" s="25" t="str">
        <x:v>Pendiente: asignar con R/sf</x:v>
      </x:c>
    </x:row>
    <x:row r="1242">
      <x:c r="A1242" s="25" t="n">
        <x:v>1241</x:v>
      </x:c>
      <x:c r="B1242" s="26" t="n">
        <x:v>45770.37961805556</x:v>
      </x:c>
      <x:c r="C1242" s="27" t="n">
        <x:f>INT(B1242)</x:f>
        <x:v>45770</x:v>
      </x:c>
      <x:c r="D1242" s="28" t="n">
        <x:f>MOD(B1242,1)</x:f>
        <x:v>0.3796180555582396</x:v>
      </x:c>
      <x:c r="E1242" s="29" t="n">
        <x:f>YEAR(B1242)</x:f>
        <x:v>2025</x:v>
      </x:c>
      <x:c r="F1242" s="29" t="n">
        <x:f>MONTH(B1242)</x:f>
        <x:v>4</x:v>
      </x:c>
      <x:c r="G1242" s="30" t="n">
        <x:v>-21.93</x:v>
      </x:c>
      <x:c r="H1242" s="30" t="n">
        <x:v>-68.53</x:v>
      </x:c>
      <x:c r="I1242" s="29" t="n">
        <x:v>128</x:v>
      </x:c>
      <x:c r="J1242" s="31" t="n">
        <x:v>4.5</x:v>
      </x:c>
      <x:c r="K1242" s="25" t="str">
        <x:f>IF(J1242&gt;=7,"Muy fuerte (&gt;=7)",IF(J1242&gt;=6,"Fuerte (6-6.9)",IF(J1242&gt;=5,"Moderado alto (5-5.9)",IF(J1242&gt;=4,"Moderado (4-4.9)","Menor a 4"))))</x:f>
        <x:v>Moderado (4-4.9)</x:v>
      </x:c>
      <x:c r="L1242" s="25" t="str">
        <x:f>IF(I1242&lt;70,"Superficial (&lt;70 km)",IF(I1242&lt;=300,"Intermedio (70-300 km)","Profundo (&gt;300 km)"))</x:f>
        <x:v>Intermedio (70-300 km)</x:v>
      </x:c>
      <x:c r="M1242" s="25" t="str">
        <x:f>IF(J1242&gt;=5,"Sí","No")</x:f>
        <x:v>No</x:v>
      </x:c>
      <x:c r="N1242" s="25" t="str">
        <x:f>IF(J1242&gt;=6,"Sí","No")</x:f>
        <x:v>No</x:v>
      </x:c>
      <x:c r="O1242" s="25" t="str">
        <x:v>Pendiente: asignar con R/sf</x:v>
      </x:c>
    </x:row>
    <x:row r="1243">
      <x:c r="A1243" s="25" t="n">
        <x:v>1242</x:v>
      </x:c>
      <x:c r="B1243" s="26" t="n">
        <x:v>45003.85425925926</x:v>
      </x:c>
      <x:c r="C1243" s="27" t="n">
        <x:f>INT(B1243)</x:f>
        <x:v>45003</x:v>
      </x:c>
      <x:c r="D1243" s="28" t="n">
        <x:f>MOD(B1243,1)</x:f>
        <x:v>0.8542592592566507</x:v>
      </x:c>
      <x:c r="E1243" s="29" t="n">
        <x:f>YEAR(B1243)</x:f>
        <x:v>2023</x:v>
      </x:c>
      <x:c r="F1243" s="29" t="n">
        <x:f>MONTH(B1243)</x:f>
        <x:v>3</x:v>
      </x:c>
      <x:c r="G1243" s="30" t="n">
        <x:v>-23.04</x:v>
      </x:c>
      <x:c r="H1243" s="30" t="n">
        <x:v>-68.89</x:v>
      </x:c>
      <x:c r="I1243" s="29" t="n">
        <x:v>98</x:v>
      </x:c>
      <x:c r="J1243" s="31" t="n">
        <x:v>4.6</x:v>
      </x:c>
      <x:c r="K1243" s="25" t="str">
        <x:f>IF(J1243&gt;=7,"Muy fuerte (&gt;=7)",IF(J1243&gt;=6,"Fuerte (6-6.9)",IF(J1243&gt;=5,"Moderado alto (5-5.9)",IF(J1243&gt;=4,"Moderado (4-4.9)","Menor a 4"))))</x:f>
        <x:v>Moderado (4-4.9)</x:v>
      </x:c>
      <x:c r="L1243" s="25" t="str">
        <x:f>IF(I1243&lt;70,"Superficial (&lt;70 km)",IF(I1243&lt;=300,"Intermedio (70-300 km)","Profundo (&gt;300 km)"))</x:f>
        <x:v>Intermedio (70-300 km)</x:v>
      </x:c>
      <x:c r="M1243" s="25" t="str">
        <x:f>IF(J1243&gt;=5,"Sí","No")</x:f>
        <x:v>No</x:v>
      </x:c>
      <x:c r="N1243" s="25" t="str">
        <x:f>IF(J1243&gt;=6,"Sí","No")</x:f>
        <x:v>No</x:v>
      </x:c>
      <x:c r="O1243" s="25" t="str">
        <x:v>Pendiente: asignar con R/sf</x:v>
      </x:c>
    </x:row>
    <x:row r="1244">
      <x:c r="A1244" s="25" t="n">
        <x:v>1243</x:v>
      </x:c>
      <x:c r="B1244" s="26" t="n">
        <x:v>45347.70162037037</x:v>
      </x:c>
      <x:c r="C1244" s="27" t="n">
        <x:f>INT(B1244)</x:f>
        <x:v>45347</x:v>
      </x:c>
      <x:c r="D1244" s="28" t="n">
        <x:f>MOD(B1244,1)</x:f>
        <x:v>0.7016203703678912</x:v>
      </x:c>
      <x:c r="E1244" s="29" t="n">
        <x:f>YEAR(B1244)</x:f>
        <x:v>2024</x:v>
      </x:c>
      <x:c r="F1244" s="29" t="n">
        <x:f>MONTH(B1244)</x:f>
        <x:v>2</x:v>
      </x:c>
      <x:c r="G1244" s="30" t="n">
        <x:v>-22.22</x:v>
      </x:c>
      <x:c r="H1244" s="30" t="n">
        <x:v>-68.67</x:v>
      </x:c>
      <x:c r="I1244" s="29" t="n">
        <x:v>118</x:v>
      </x:c>
      <x:c r="J1244" s="31" t="n">
        <x:v>4.8</x:v>
      </x:c>
      <x:c r="K1244" s="25" t="str">
        <x:f>IF(J1244&gt;=7,"Muy fuerte (&gt;=7)",IF(J1244&gt;=6,"Fuerte (6-6.9)",IF(J1244&gt;=5,"Moderado alto (5-5.9)",IF(J1244&gt;=4,"Moderado (4-4.9)","Menor a 4"))))</x:f>
        <x:v>Moderado (4-4.9)</x:v>
      </x:c>
      <x:c r="L1244" s="25" t="str">
        <x:f>IF(I1244&lt;70,"Superficial (&lt;70 km)",IF(I1244&lt;=300,"Intermedio (70-300 km)","Profundo (&gt;300 km)"))</x:f>
        <x:v>Intermedio (70-300 km)</x:v>
      </x:c>
      <x:c r="M1244" s="25" t="str">
        <x:f>IF(J1244&gt;=5,"Sí","No")</x:f>
        <x:v>No</x:v>
      </x:c>
      <x:c r="N1244" s="25" t="str">
        <x:f>IF(J1244&gt;=6,"Sí","No")</x:f>
        <x:v>No</x:v>
      </x:c>
      <x:c r="O1244" s="25" t="str">
        <x:v>Pendiente: asignar con R/sf</x:v>
      </x:c>
    </x:row>
    <x:row r="1245">
      <x:c r="A1245" s="25" t="n">
        <x:v>1244</x:v>
      </x:c>
      <x:c r="B1245" s="26" t="n">
        <x:v>45653.76086805556</x:v>
      </x:c>
      <x:c r="C1245" s="27" t="n">
        <x:f>INT(B1245)</x:f>
        <x:v>45653</x:v>
      </x:c>
      <x:c r="D1245" s="28" t="n">
        <x:f>MOD(B1245,1)</x:f>
        <x:v>0.7608680555567844</x:v>
      </x:c>
      <x:c r="E1245" s="29" t="n">
        <x:f>YEAR(B1245)</x:f>
        <x:v>2024</x:v>
      </x:c>
      <x:c r="F1245" s="29" t="n">
        <x:f>MONTH(B1245)</x:f>
        <x:v>12</x:v>
      </x:c>
      <x:c r="G1245" s="30" t="n">
        <x:v>-22.21</x:v>
      </x:c>
      <x:c r="H1245" s="30" t="n">
        <x:v>-68.73</x:v>
      </x:c>
      <x:c r="I1245" s="29" t="n">
        <x:v>125</x:v>
      </x:c>
      <x:c r="J1245" s="31" t="n">
        <x:v>4.9</x:v>
      </x:c>
      <x:c r="K1245" s="25" t="str">
        <x:f>IF(J1245&gt;=7,"Muy fuerte (&gt;=7)",IF(J1245&gt;=6,"Fuerte (6-6.9)",IF(J1245&gt;=5,"Moderado alto (5-5.9)",IF(J1245&gt;=4,"Moderado (4-4.9)","Menor a 4"))))</x:f>
        <x:v>Moderado (4-4.9)</x:v>
      </x:c>
      <x:c r="L1245" s="25" t="str">
        <x:f>IF(I1245&lt;70,"Superficial (&lt;70 km)",IF(I1245&lt;=300,"Intermedio (70-300 km)","Profundo (&gt;300 km)"))</x:f>
        <x:v>Intermedio (70-300 km)</x:v>
      </x:c>
      <x:c r="M1245" s="25" t="str">
        <x:f>IF(J1245&gt;=5,"Sí","No")</x:f>
        <x:v>No</x:v>
      </x:c>
      <x:c r="N1245" s="25" t="str">
        <x:f>IF(J1245&gt;=6,"Sí","No")</x:f>
        <x:v>No</x:v>
      </x:c>
      <x:c r="O1245" s="25" t="str">
        <x:v>Pendiente: asignar con R/sf</x:v>
      </x:c>
    </x:row>
    <x:row r="1246">
      <x:c r="A1246" s="25" t="n">
        <x:v>1245</x:v>
      </x:c>
      <x:c r="B1246" s="26" t="n">
        <x:v>44992.32791666667</x:v>
      </x:c>
      <x:c r="C1246" s="27" t="n">
        <x:f>INT(B1246)</x:f>
        <x:v>44992</x:v>
      </x:c>
      <x:c r="D1246" s="28" t="n">
        <x:f>MOD(B1246,1)</x:f>
        <x:v>0.32791666666889796</x:v>
      </x:c>
      <x:c r="E1246" s="29" t="n">
        <x:f>YEAR(B1246)</x:f>
        <x:v>2023</x:v>
      </x:c>
      <x:c r="F1246" s="29" t="n">
        <x:f>MONTH(B1246)</x:f>
        <x:v>3</x:v>
      </x:c>
      <x:c r="G1246" s="30" t="n">
        <x:v>-23.09</x:v>
      </x:c>
      <x:c r="H1246" s="30" t="n">
        <x:v>-69.56</x:v>
      </x:c>
      <x:c r="I1246" s="29" t="n">
        <x:v>97</x:v>
      </x:c>
      <x:c r="J1246" s="31" t="n">
        <x:v>4.4</x:v>
      </x:c>
      <x:c r="K1246" s="25" t="str">
        <x:f>IF(J1246&gt;=7,"Muy fuerte (&gt;=7)",IF(J1246&gt;=6,"Fuerte (6-6.9)",IF(J1246&gt;=5,"Moderado alto (5-5.9)",IF(J1246&gt;=4,"Moderado (4-4.9)","Menor a 4"))))</x:f>
        <x:v>Moderado (4-4.9)</x:v>
      </x:c>
      <x:c r="L1246" s="25" t="str">
        <x:f>IF(I1246&lt;70,"Superficial (&lt;70 km)",IF(I1246&lt;=300,"Intermedio (70-300 km)","Profundo (&gt;300 km)"))</x:f>
        <x:v>Intermedio (70-300 km)</x:v>
      </x:c>
      <x:c r="M1246" s="25" t="str">
        <x:f>IF(J1246&gt;=5,"Sí","No")</x:f>
        <x:v>No</x:v>
      </x:c>
      <x:c r="N1246" s="25" t="str">
        <x:f>IF(J1246&gt;=6,"Sí","No")</x:f>
        <x:v>No</x:v>
      </x:c>
      <x:c r="O1246" s="25" t="str">
        <x:v>Pendiente: asignar con R/sf</x:v>
      </x:c>
    </x:row>
    <x:row r="1247">
      <x:c r="A1247" s="25" t="n">
        <x:v>1246</x:v>
      </x:c>
      <x:c r="B1247" s="26" t="n">
        <x:v>44994.89585648148</x:v>
      </x:c>
      <x:c r="C1247" s="27" t="n">
        <x:f>INT(B1247)</x:f>
        <x:v>44994</x:v>
      </x:c>
      <x:c r="D1247" s="28" t="n">
        <x:f>MOD(B1247,1)</x:f>
        <x:v>0.895856481482042</x:v>
      </x:c>
      <x:c r="E1247" s="29" t="n">
        <x:f>YEAR(B1247)</x:f>
        <x:v>2023</x:v>
      </x:c>
      <x:c r="F1247" s="29" t="n">
        <x:f>MONTH(B1247)</x:f>
        <x:v>3</x:v>
      </x:c>
      <x:c r="G1247" s="30" t="n">
        <x:v>-23.11</x:v>
      </x:c>
      <x:c r="H1247" s="30" t="n">
        <x:v>-69.35</x:v>
      </x:c>
      <x:c r="I1247" s="29" t="n">
        <x:v>96</x:v>
      </x:c>
      <x:c r="J1247" s="31" t="n">
        <x:v>4.3</x:v>
      </x:c>
      <x:c r="K1247" s="25" t="str">
        <x:f>IF(J1247&gt;=7,"Muy fuerte (&gt;=7)",IF(J1247&gt;=6,"Fuerte (6-6.9)",IF(J1247&gt;=5,"Moderado alto (5-5.9)",IF(J1247&gt;=4,"Moderado (4-4.9)","Menor a 4"))))</x:f>
        <x:v>Moderado (4-4.9)</x:v>
      </x:c>
      <x:c r="L1247" s="25" t="str">
        <x:f>IF(I1247&lt;70,"Superficial (&lt;70 km)",IF(I1247&lt;=300,"Intermedio (70-300 km)","Profundo (&gt;300 km)"))</x:f>
        <x:v>Intermedio (70-300 km)</x:v>
      </x:c>
      <x:c r="M1247" s="25" t="str">
        <x:f>IF(J1247&gt;=5,"Sí","No")</x:f>
        <x:v>No</x:v>
      </x:c>
      <x:c r="N1247" s="25" t="str">
        <x:f>IF(J1247&gt;=6,"Sí","No")</x:f>
        <x:v>No</x:v>
      </x:c>
      <x:c r="O1247" s="25" t="str">
        <x:v>Pendiente: asignar con R/sf</x:v>
      </x:c>
    </x:row>
    <x:row r="1248">
      <x:c r="A1248" s="25" t="n">
        <x:v>1247</x:v>
      </x:c>
      <x:c r="B1248" s="26" t="n">
        <x:v>45007.65181712963</x:v>
      </x:c>
      <x:c r="C1248" s="27" t="n">
        <x:f>INT(B1248)</x:f>
        <x:v>45007</x:v>
      </x:c>
      <x:c r="D1248" s="28" t="n">
        <x:f>MOD(B1248,1)</x:f>
        <x:v>0.6518171296265791</x:v>
      </x:c>
      <x:c r="E1248" s="29" t="n">
        <x:f>YEAR(B1248)</x:f>
        <x:v>2023</x:v>
      </x:c>
      <x:c r="F1248" s="29" t="n">
        <x:f>MONTH(B1248)</x:f>
        <x:v>3</x:v>
      </x:c>
      <x:c r="G1248" s="30" t="n">
        <x:v>-22.72</x:v>
      </x:c>
      <x:c r="H1248" s="30" t="n">
        <x:v>-68.97</x:v>
      </x:c>
      <x:c r="I1248" s="29" t="n">
        <x:v>109</x:v>
      </x:c>
      <x:c r="J1248" s="31" t="n">
        <x:v>4.4</x:v>
      </x:c>
      <x:c r="K1248" s="25" t="str">
        <x:f>IF(J1248&gt;=7,"Muy fuerte (&gt;=7)",IF(J1248&gt;=6,"Fuerte (6-6.9)",IF(J1248&gt;=5,"Moderado alto (5-5.9)",IF(J1248&gt;=4,"Moderado (4-4.9)","Menor a 4"))))</x:f>
        <x:v>Moderado (4-4.9)</x:v>
      </x:c>
      <x:c r="L1248" s="25" t="str">
        <x:f>IF(I1248&lt;70,"Superficial (&lt;70 km)",IF(I1248&lt;=300,"Intermedio (70-300 km)","Profundo (&gt;300 km)"))</x:f>
        <x:v>Intermedio (70-300 km)</x:v>
      </x:c>
      <x:c r="M1248" s="25" t="str">
        <x:f>IF(J1248&gt;=5,"Sí","No")</x:f>
        <x:v>No</x:v>
      </x:c>
      <x:c r="N1248" s="25" t="str">
        <x:f>IF(J1248&gt;=6,"Sí","No")</x:f>
        <x:v>No</x:v>
      </x:c>
      <x:c r="O1248" s="25" t="str">
        <x:v>Pendiente: asignar con R/sf</x:v>
      </x:c>
    </x:row>
    <x:row r="1249">
      <x:c r="A1249" s="25" t="n">
        <x:v>1248</x:v>
      </x:c>
      <x:c r="B1249" s="26" t="n">
        <x:v>45086.88854166667</x:v>
      </x:c>
      <x:c r="C1249" s="27" t="n">
        <x:f>INT(B1249)</x:f>
        <x:v>45086</x:v>
      </x:c>
      <x:c r="D1249" s="28" t="n">
        <x:f>MOD(B1249,1)</x:f>
        <x:v>0.8885416666671517</x:v>
      </x:c>
      <x:c r="E1249" s="29" t="n">
        <x:f>YEAR(B1249)</x:f>
        <x:v>2023</x:v>
      </x:c>
      <x:c r="F1249" s="29" t="n">
        <x:f>MONTH(B1249)</x:f>
        <x:v>6</x:v>
      </x:c>
      <x:c r="G1249" s="30" t="n">
        <x:v>-23.48</x:v>
      </x:c>
      <x:c r="H1249" s="30" t="n">
        <x:v>-69.61</x:v>
      </x:c>
      <x:c r="I1249" s="29" t="n">
        <x:v>81</x:v>
      </x:c>
      <x:c r="J1249" s="31" t="n">
        <x:v>4</x:v>
      </x:c>
      <x:c r="K1249" s="25" t="str">
        <x:f>IF(J1249&gt;=7,"Muy fuerte (&gt;=7)",IF(J1249&gt;=6,"Fuerte (6-6.9)",IF(J1249&gt;=5,"Moderado alto (5-5.9)",IF(J1249&gt;=4,"Moderado (4-4.9)","Menor a 4"))))</x:f>
        <x:v>Moderado (4-4.9)</x:v>
      </x:c>
      <x:c r="L1249" s="25" t="str">
        <x:f>IF(I1249&lt;70,"Superficial (&lt;70 km)",IF(I1249&lt;=300,"Intermedio (70-300 km)","Profundo (&gt;300 km)"))</x:f>
        <x:v>Intermedio (70-300 km)</x:v>
      </x:c>
      <x:c r="M1249" s="25" t="str">
        <x:f>IF(J1249&gt;=5,"Sí","No")</x:f>
        <x:v>No</x:v>
      </x:c>
      <x:c r="N1249" s="25" t="str">
        <x:f>IF(J1249&gt;=6,"Sí","No")</x:f>
        <x:v>No</x:v>
      </x:c>
      <x:c r="O1249" s="25" t="str">
        <x:v>Pendiente: asignar con R/sf</x:v>
      </x:c>
    </x:row>
    <x:row r="1250">
      <x:c r="A1250" s="25" t="n">
        <x:v>1249</x:v>
      </x:c>
      <x:c r="B1250" s="26" t="n">
        <x:v>45111.63730324074</x:v>
      </x:c>
      <x:c r="C1250" s="27" t="n">
        <x:f>INT(B1250)</x:f>
        <x:v>45111</x:v>
      </x:c>
      <x:c r="D1250" s="28" t="n">
        <x:f>MOD(B1250,1)</x:f>
        <x:v>0.6373032407427672</x:v>
      </x:c>
      <x:c r="E1250" s="29" t="n">
        <x:f>YEAR(B1250)</x:f>
        <x:v>2023</x:v>
      </x:c>
      <x:c r="F1250" s="29" t="n">
        <x:f>MONTH(B1250)</x:f>
        <x:v>7</x:v>
      </x:c>
      <x:c r="G1250" s="30" t="n">
        <x:v>-23.45</x:v>
      </x:c>
      <x:c r="H1250" s="30" t="n">
        <x:v>-69.55</x:v>
      </x:c>
      <x:c r="I1250" s="29" t="n">
        <x:v>83</x:v>
      </x:c>
      <x:c r="J1250" s="31" t="n">
        <x:v>4.2</x:v>
      </x:c>
      <x:c r="K1250" s="25" t="str">
        <x:f>IF(J1250&gt;=7,"Muy fuerte (&gt;=7)",IF(J1250&gt;=6,"Fuerte (6-6.9)",IF(J1250&gt;=5,"Moderado alto (5-5.9)",IF(J1250&gt;=4,"Moderado (4-4.9)","Menor a 4"))))</x:f>
        <x:v>Moderado (4-4.9)</x:v>
      </x:c>
      <x:c r="L1250" s="25" t="str">
        <x:f>IF(I1250&lt;70,"Superficial (&lt;70 km)",IF(I1250&lt;=300,"Intermedio (70-300 km)","Profundo (&gt;300 km)"))</x:f>
        <x:v>Intermedio (70-300 km)</x:v>
      </x:c>
      <x:c r="M1250" s="25" t="str">
        <x:f>IF(J1250&gt;=5,"Sí","No")</x:f>
        <x:v>No</x:v>
      </x:c>
      <x:c r="N1250" s="25" t="str">
        <x:f>IF(J1250&gt;=6,"Sí","No")</x:f>
        <x:v>No</x:v>
      </x:c>
      <x:c r="O1250" s="25" t="str">
        <x:v>Pendiente: asignar con R/sf</x:v>
      </x:c>
    </x:row>
    <x:row r="1251">
      <x:c r="A1251" s="25" t="n">
        <x:v>1250</x:v>
      </x:c>
      <x:c r="B1251" s="26" t="n">
        <x:v>45156.682905092595</x:v>
      </x:c>
      <x:c r="C1251" s="27" t="n">
        <x:f>INT(B1251)</x:f>
        <x:v>45156</x:v>
      </x:c>
      <x:c r="D1251" s="28" t="n">
        <x:f>MOD(B1251,1)</x:f>
        <x:v>0.6829050925953197</x:v>
      </x:c>
      <x:c r="E1251" s="29" t="n">
        <x:f>YEAR(B1251)</x:f>
        <x:v>2023</x:v>
      </x:c>
      <x:c r="F1251" s="29" t="n">
        <x:f>MONTH(B1251)</x:f>
        <x:v>8</x:v>
      </x:c>
      <x:c r="G1251" s="30" t="n">
        <x:v>-23.34</x:v>
      </x:c>
      <x:c r="H1251" s="30" t="n">
        <x:v>-69.41</x:v>
      </x:c>
      <x:c r="I1251" s="29" t="n">
        <x:v>70</x:v>
      </x:c>
      <x:c r="J1251" s="31" t="n">
        <x:v>4.4</x:v>
      </x:c>
      <x:c r="K1251" s="25" t="str">
        <x:f>IF(J1251&gt;=7,"Muy fuerte (&gt;=7)",IF(J1251&gt;=6,"Fuerte (6-6.9)",IF(J1251&gt;=5,"Moderado alto (5-5.9)",IF(J1251&gt;=4,"Moderado (4-4.9)","Menor a 4"))))</x:f>
        <x:v>Moderado (4-4.9)</x:v>
      </x:c>
      <x:c r="L1251" s="25" t="str">
        <x:f>IF(I1251&lt;70,"Superficial (&lt;70 km)",IF(I1251&lt;=300,"Intermedio (70-300 km)","Profundo (&gt;300 km)"))</x:f>
        <x:v>Intermedio (70-300 km)</x:v>
      </x:c>
      <x:c r="M1251" s="25" t="str">
        <x:f>IF(J1251&gt;=5,"Sí","No")</x:f>
        <x:v>No</x:v>
      </x:c>
      <x:c r="N1251" s="25" t="str">
        <x:f>IF(J1251&gt;=6,"Sí","No")</x:f>
        <x:v>No</x:v>
      </x:c>
      <x:c r="O1251" s="25" t="str">
        <x:v>Pendiente: asignar con R/sf</x:v>
      </x:c>
    </x:row>
    <x:row r="1252">
      <x:c r="A1252" s="25" t="n">
        <x:v>1251</x:v>
      </x:c>
      <x:c r="B1252" s="26" t="n">
        <x:v>45214.967256944445</x:v>
      </x:c>
      <x:c r="C1252" s="27" t="n">
        <x:f>INT(B1252)</x:f>
        <x:v>45214</x:v>
      </x:c>
      <x:c r="D1252" s="28" t="n">
        <x:f>MOD(B1252,1)</x:f>
        <x:v>0.9672569444446708</x:v>
      </x:c>
      <x:c r="E1252" s="29" t="n">
        <x:f>YEAR(B1252)</x:f>
        <x:v>2023</x:v>
      </x:c>
      <x:c r="F1252" s="29" t="n">
        <x:f>MONTH(B1252)</x:f>
        <x:v>10</x:v>
      </x:c>
      <x:c r="G1252" s="30" t="n">
        <x:v>-23.32</x:v>
      </x:c>
      <x:c r="H1252" s="30" t="n">
        <x:v>-69.29</x:v>
      </x:c>
      <x:c r="I1252" s="29" t="n">
        <x:v>87</x:v>
      </x:c>
      <x:c r="J1252" s="31" t="n">
        <x:v>4.4</x:v>
      </x:c>
      <x:c r="K1252" s="25" t="str">
        <x:f>IF(J1252&gt;=7,"Muy fuerte (&gt;=7)",IF(J1252&gt;=6,"Fuerte (6-6.9)",IF(J1252&gt;=5,"Moderado alto (5-5.9)",IF(J1252&gt;=4,"Moderado (4-4.9)","Menor a 4"))))</x:f>
        <x:v>Moderado (4-4.9)</x:v>
      </x:c>
      <x:c r="L1252" s="25" t="str">
        <x:f>IF(I1252&lt;70,"Superficial (&lt;70 km)",IF(I1252&lt;=300,"Intermedio (70-300 km)","Profundo (&gt;300 km)"))</x:f>
        <x:v>Intermedio (70-300 km)</x:v>
      </x:c>
      <x:c r="M1252" s="25" t="str">
        <x:f>IF(J1252&gt;=5,"Sí","No")</x:f>
        <x:v>No</x:v>
      </x:c>
      <x:c r="N1252" s="25" t="str">
        <x:f>IF(J1252&gt;=6,"Sí","No")</x:f>
        <x:v>No</x:v>
      </x:c>
      <x:c r="O1252" s="25" t="str">
        <x:v>Pendiente: asignar con R/sf</x:v>
      </x:c>
    </x:row>
    <x:row r="1253">
      <x:c r="A1253" s="25" t="n">
        <x:v>1252</x:v>
      </x:c>
      <x:c r="B1253" s="26" t="n">
        <x:v>45221.44310185185</x:v>
      </x:c>
      <x:c r="C1253" s="27" t="n">
        <x:f>INT(B1253)</x:f>
        <x:v>45221</x:v>
      </x:c>
      <x:c r="D1253" s="28" t="n">
        <x:f>MOD(B1253,1)</x:f>
        <x:v>0.4431018518516794</x:v>
      </x:c>
      <x:c r="E1253" s="29" t="n">
        <x:f>YEAR(B1253)</x:f>
        <x:v>2023</x:v>
      </x:c>
      <x:c r="F1253" s="29" t="n">
        <x:f>MONTH(B1253)</x:f>
        <x:v>10</x:v>
      </x:c>
      <x:c r="G1253" s="30" t="n">
        <x:v>-22.88</x:v>
      </x:c>
      <x:c r="H1253" s="30" t="n">
        <x:v>-69.3</x:v>
      </x:c>
      <x:c r="I1253" s="29" t="n">
        <x:v>85</x:v>
      </x:c>
      <x:c r="J1253" s="31" t="n">
        <x:v>4.2</x:v>
      </x:c>
      <x:c r="K1253" s="25" t="str">
        <x:f>IF(J1253&gt;=7,"Muy fuerte (&gt;=7)",IF(J1253&gt;=6,"Fuerte (6-6.9)",IF(J1253&gt;=5,"Moderado alto (5-5.9)",IF(J1253&gt;=4,"Moderado (4-4.9)","Menor a 4"))))</x:f>
        <x:v>Moderado (4-4.9)</x:v>
      </x:c>
      <x:c r="L1253" s="25" t="str">
        <x:f>IF(I1253&lt;70,"Superficial (&lt;70 km)",IF(I1253&lt;=300,"Intermedio (70-300 km)","Profundo (&gt;300 km)"))</x:f>
        <x:v>Intermedio (70-300 km)</x:v>
      </x:c>
      <x:c r="M1253" s="25" t="str">
        <x:f>IF(J1253&gt;=5,"Sí","No")</x:f>
        <x:v>No</x:v>
      </x:c>
      <x:c r="N1253" s="25" t="str">
        <x:f>IF(J1253&gt;=6,"Sí","No")</x:f>
        <x:v>No</x:v>
      </x:c>
      <x:c r="O1253" s="25" t="str">
        <x:v>Pendiente: asignar con R/sf</x:v>
      </x:c>
    </x:row>
    <x:row r="1254">
      <x:c r="A1254" s="25" t="n">
        <x:v>1253</x:v>
      </x:c>
      <x:c r="B1254" s="26" t="n">
        <x:v>45245.68853009259</x:v>
      </x:c>
      <x:c r="C1254" s="27" t="n">
        <x:f>INT(B1254)</x:f>
        <x:v>45245</x:v>
      </x:c>
      <x:c r="D1254" s="28" t="n">
        <x:f>MOD(B1254,1)</x:f>
        <x:v>0.6885300925932825</x:v>
      </x:c>
      <x:c r="E1254" s="29" t="n">
        <x:f>YEAR(B1254)</x:f>
        <x:v>2023</x:v>
      </x:c>
      <x:c r="F1254" s="29" t="n">
        <x:f>MONTH(B1254)</x:f>
        <x:v>11</x:v>
      </x:c>
      <x:c r="G1254" s="30" t="n">
        <x:v>-22.76</x:v>
      </x:c>
      <x:c r="H1254" s="30" t="n">
        <x:v>-68.85</x:v>
      </x:c>
      <x:c r="I1254" s="29" t="n">
        <x:v>103</x:v>
      </x:c>
      <x:c r="J1254" s="31" t="n">
        <x:v>4.3</x:v>
      </x:c>
      <x:c r="K1254" s="25" t="str">
        <x:f>IF(J1254&gt;=7,"Muy fuerte (&gt;=7)",IF(J1254&gt;=6,"Fuerte (6-6.9)",IF(J1254&gt;=5,"Moderado alto (5-5.9)",IF(J1254&gt;=4,"Moderado (4-4.9)","Menor a 4"))))</x:f>
        <x:v>Moderado (4-4.9)</x:v>
      </x:c>
      <x:c r="L1254" s="25" t="str">
        <x:f>IF(I1254&lt;70,"Superficial (&lt;70 km)",IF(I1254&lt;=300,"Intermedio (70-300 km)","Profundo (&gt;300 km)"))</x:f>
        <x:v>Intermedio (70-300 km)</x:v>
      </x:c>
      <x:c r="M1254" s="25" t="str">
        <x:f>IF(J1254&gt;=5,"Sí","No")</x:f>
        <x:v>No</x:v>
      </x:c>
      <x:c r="N1254" s="25" t="str">
        <x:f>IF(J1254&gt;=6,"Sí","No")</x:f>
        <x:v>No</x:v>
      </x:c>
      <x:c r="O1254" s="25" t="str">
        <x:v>Pendiente: asignar con R/sf</x:v>
      </x:c>
    </x:row>
    <x:row r="1255">
      <x:c r="A1255" s="25" t="n">
        <x:v>1254</x:v>
      </x:c>
      <x:c r="B1255" s="26" t="n">
        <x:v>45252.306284722225</x:v>
      </x:c>
      <x:c r="C1255" s="27" t="n">
        <x:f>INT(B1255)</x:f>
        <x:v>45252</x:v>
      </x:c>
      <x:c r="D1255" s="28" t="n">
        <x:f>MOD(B1255,1)</x:f>
        <x:v>0.3062847222245182</x:v>
      </x:c>
      <x:c r="E1255" s="29" t="n">
        <x:f>YEAR(B1255)</x:f>
        <x:v>2023</x:v>
      </x:c>
      <x:c r="F1255" s="29" t="n">
        <x:f>MONTH(B1255)</x:f>
        <x:v>11</x:v>
      </x:c>
      <x:c r="G1255" s="30" t="n">
        <x:v>-22.89</x:v>
      </x:c>
      <x:c r="H1255" s="30" t="n">
        <x:v>-69.09</x:v>
      </x:c>
      <x:c r="I1255" s="29" t="n">
        <x:v>105</x:v>
      </x:c>
      <x:c r="J1255" s="31" t="n">
        <x:v>4.7</x:v>
      </x:c>
      <x:c r="K1255" s="25" t="str">
        <x:f>IF(J1255&gt;=7,"Muy fuerte (&gt;=7)",IF(J1255&gt;=6,"Fuerte (6-6.9)",IF(J1255&gt;=5,"Moderado alto (5-5.9)",IF(J1255&gt;=4,"Moderado (4-4.9)","Menor a 4"))))</x:f>
        <x:v>Moderado (4-4.9)</x:v>
      </x:c>
      <x:c r="L1255" s="25" t="str">
        <x:f>IF(I1255&lt;70,"Superficial (&lt;70 km)",IF(I1255&lt;=300,"Intermedio (70-300 km)","Profundo (&gt;300 km)"))</x:f>
        <x:v>Intermedio (70-300 km)</x:v>
      </x:c>
      <x:c r="M1255" s="25" t="str">
        <x:f>IF(J1255&gt;=5,"Sí","No")</x:f>
        <x:v>No</x:v>
      </x:c>
      <x:c r="N1255" s="25" t="str">
        <x:f>IF(J1255&gt;=6,"Sí","No")</x:f>
        <x:v>No</x:v>
      </x:c>
      <x:c r="O1255" s="25" t="str">
        <x:v>Pendiente: asignar con R/sf</x:v>
      </x:c>
    </x:row>
    <x:row r="1256">
      <x:c r="A1256" s="25" t="n">
        <x:v>1255</x:v>
      </x:c>
      <x:c r="B1256" s="26" t="n">
        <x:v>45400.329039351855</x:v>
      </x:c>
      <x:c r="C1256" s="27" t="n">
        <x:f>INT(B1256)</x:f>
        <x:v>45400</x:v>
      </x:c>
      <x:c r="D1256" s="28" t="n">
        <x:f>MOD(B1256,1)</x:f>
        <x:v>0.32903935185458977</x:v>
      </x:c>
      <x:c r="E1256" s="29" t="n">
        <x:f>YEAR(B1256)</x:f>
        <x:v>2024</x:v>
      </x:c>
      <x:c r="F1256" s="29" t="n">
        <x:f>MONTH(B1256)</x:f>
        <x:v>4</x:v>
      </x:c>
      <x:c r="G1256" s="30" t="n">
        <x:v>-23.31</x:v>
      </x:c>
      <x:c r="H1256" s="30" t="n">
        <x:v>-69.22</x:v>
      </x:c>
      <x:c r="I1256" s="29" t="n">
        <x:v>98</x:v>
      </x:c>
      <x:c r="J1256" s="31" t="n">
        <x:v>4.1</x:v>
      </x:c>
      <x:c r="K1256" s="25" t="str">
        <x:f>IF(J1256&gt;=7,"Muy fuerte (&gt;=7)",IF(J1256&gt;=6,"Fuerte (6-6.9)",IF(J1256&gt;=5,"Moderado alto (5-5.9)",IF(J1256&gt;=4,"Moderado (4-4.9)","Menor a 4"))))</x:f>
        <x:v>Moderado (4-4.9)</x:v>
      </x:c>
      <x:c r="L1256" s="25" t="str">
        <x:f>IF(I1256&lt;70,"Superficial (&lt;70 km)",IF(I1256&lt;=300,"Intermedio (70-300 km)","Profundo (&gt;300 km)"))</x:f>
        <x:v>Intermedio (70-300 km)</x:v>
      </x:c>
      <x:c r="M1256" s="25" t="str">
        <x:f>IF(J1256&gt;=5,"Sí","No")</x:f>
        <x:v>No</x:v>
      </x:c>
      <x:c r="N1256" s="25" t="str">
        <x:f>IF(J1256&gt;=6,"Sí","No")</x:f>
        <x:v>No</x:v>
      </x:c>
      <x:c r="O1256" s="25" t="str">
        <x:v>Pendiente: asignar con R/sf</x:v>
      </x:c>
    </x:row>
    <x:row r="1257">
      <x:c r="A1257" s="25" t="n">
        <x:v>1256</x:v>
      </x:c>
      <x:c r="B1257" s="26" t="n">
        <x:v>45468.681863425925</x:v>
      </x:c>
      <x:c r="C1257" s="27" t="n">
        <x:f>INT(B1257)</x:f>
        <x:v>45468</x:v>
      </x:c>
      <x:c r="D1257" s="28" t="n">
        <x:f>MOD(B1257,1)</x:f>
        <x:v>0.6818634259252576</x:v>
      </x:c>
      <x:c r="E1257" s="29" t="n">
        <x:f>YEAR(B1257)</x:f>
        <x:v>2024</x:v>
      </x:c>
      <x:c r="F1257" s="29" t="n">
        <x:f>MONTH(B1257)</x:f>
        <x:v>6</x:v>
      </x:c>
      <x:c r="G1257" s="30" t="n">
        <x:v>-22.84</x:v>
      </x:c>
      <x:c r="H1257" s="30" t="n">
        <x:v>-68.9</x:v>
      </x:c>
      <x:c r="I1257" s="29" t="n">
        <x:v>106</x:v>
      </x:c>
      <x:c r="J1257" s="31" t="n">
        <x:v>4.1</x:v>
      </x:c>
      <x:c r="K1257" s="25" t="str">
        <x:f>IF(J1257&gt;=7,"Muy fuerte (&gt;=7)",IF(J1257&gt;=6,"Fuerte (6-6.9)",IF(J1257&gt;=5,"Moderado alto (5-5.9)",IF(J1257&gt;=4,"Moderado (4-4.9)","Menor a 4"))))</x:f>
        <x:v>Moderado (4-4.9)</x:v>
      </x:c>
      <x:c r="L1257" s="25" t="str">
        <x:f>IF(I1257&lt;70,"Superficial (&lt;70 km)",IF(I1257&lt;=300,"Intermedio (70-300 km)","Profundo (&gt;300 km)"))</x:f>
        <x:v>Intermedio (70-300 km)</x:v>
      </x:c>
      <x:c r="M1257" s="25" t="str">
        <x:f>IF(J1257&gt;=5,"Sí","No")</x:f>
        <x:v>No</x:v>
      </x:c>
      <x:c r="N1257" s="25" t="str">
        <x:f>IF(J1257&gt;=6,"Sí","No")</x:f>
        <x:v>No</x:v>
      </x:c>
      <x:c r="O1257" s="25" t="str">
        <x:v>Pendiente: asignar con R/sf</x:v>
      </x:c>
    </x:row>
    <x:row r="1258">
      <x:c r="A1258" s="25" t="n">
        <x:v>1257</x:v>
      </x:c>
      <x:c r="B1258" s="26" t="n">
        <x:v>45501.5619212963</x:v>
      </x:c>
      <x:c r="C1258" s="27" t="n">
        <x:f>INT(B1258)</x:f>
        <x:v>45501</x:v>
      </x:c>
      <x:c r="D1258" s="28" t="n">
        <x:f>MOD(B1258,1)</x:f>
        <x:v>0.5619212962992606</x:v>
      </x:c>
      <x:c r="E1258" s="29" t="n">
        <x:f>YEAR(B1258)</x:f>
        <x:v>2024</x:v>
      </x:c>
      <x:c r="F1258" s="29" t="n">
        <x:f>MONTH(B1258)</x:f>
        <x:v>7</x:v>
      </x:c>
      <x:c r="G1258" s="30" t="n">
        <x:v>-23.18</x:v>
      </x:c>
      <x:c r="H1258" s="30" t="n">
        <x:v>-69.23</x:v>
      </x:c>
      <x:c r="I1258" s="29" t="n">
        <x:v>84</x:v>
      </x:c>
      <x:c r="J1258" s="31" t="n">
        <x:v>3.8</x:v>
      </x:c>
      <x:c r="K1258" s="25" t="str">
        <x:f>IF(J1258&gt;=7,"Muy fuerte (&gt;=7)",IF(J1258&gt;=6,"Fuerte (6-6.9)",IF(J1258&gt;=5,"Moderado alto (5-5.9)",IF(J1258&gt;=4,"Moderado (4-4.9)","Menor a 4"))))</x:f>
        <x:v>Menor a 4</x:v>
      </x:c>
      <x:c r="L1258" s="25" t="str">
        <x:f>IF(I1258&lt;70,"Superficial (&lt;70 km)",IF(I1258&lt;=300,"Intermedio (70-300 km)","Profundo (&gt;300 km)"))</x:f>
        <x:v>Intermedio (70-300 km)</x:v>
      </x:c>
      <x:c r="M1258" s="25" t="str">
        <x:f>IF(J1258&gt;=5,"Sí","No")</x:f>
        <x:v>No</x:v>
      </x:c>
      <x:c r="N1258" s="25" t="str">
        <x:f>IF(J1258&gt;=6,"Sí","No")</x:f>
        <x:v>No</x:v>
      </x:c>
      <x:c r="O1258" s="25" t="str">
        <x:v>Pendiente: asignar con R/sf</x:v>
      </x:c>
    </x:row>
    <x:row r="1259">
      <x:c r="A1259" s="25" t="n">
        <x:v>1258</x:v>
      </x:c>
      <x:c r="B1259" s="26" t="n">
        <x:v>45502.78706018518</x:v>
      </x:c>
      <x:c r="C1259" s="27" t="n">
        <x:f>INT(B1259)</x:f>
        <x:v>45502</x:v>
      </x:c>
      <x:c r="D1259" s="28" t="n">
        <x:f>MOD(B1259,1)</x:f>
        <x:v>0.7870601851827814</x:v>
      </x:c>
      <x:c r="E1259" s="29" t="n">
        <x:f>YEAR(B1259)</x:f>
        <x:v>2024</x:v>
      </x:c>
      <x:c r="F1259" s="29" t="n">
        <x:f>MONTH(B1259)</x:f>
        <x:v>7</x:v>
      </x:c>
      <x:c r="G1259" s="30" t="n">
        <x:v>-22.76</x:v>
      </x:c>
      <x:c r="H1259" s="30" t="n">
        <x:v>-68.85</x:v>
      </x:c>
      <x:c r="I1259" s="29" t="n">
        <x:v>99</x:v>
      </x:c>
      <x:c r="J1259" s="31" t="n">
        <x:v>3.8</x:v>
      </x:c>
      <x:c r="K1259" s="25" t="str">
        <x:f>IF(J1259&gt;=7,"Muy fuerte (&gt;=7)",IF(J1259&gt;=6,"Fuerte (6-6.9)",IF(J1259&gt;=5,"Moderado alto (5-5.9)",IF(J1259&gt;=4,"Moderado (4-4.9)","Menor a 4"))))</x:f>
        <x:v>Menor a 4</x:v>
      </x:c>
      <x:c r="L1259" s="25" t="str">
        <x:f>IF(I1259&lt;70,"Superficial (&lt;70 km)",IF(I1259&lt;=300,"Intermedio (70-300 km)","Profundo (&gt;300 km)"))</x:f>
        <x:v>Intermedio (70-300 km)</x:v>
      </x:c>
      <x:c r="M1259" s="25" t="str">
        <x:f>IF(J1259&gt;=5,"Sí","No")</x:f>
        <x:v>No</x:v>
      </x:c>
      <x:c r="N1259" s="25" t="str">
        <x:f>IF(J1259&gt;=6,"Sí","No")</x:f>
        <x:v>No</x:v>
      </x:c>
      <x:c r="O1259" s="25" t="str">
        <x:v>Pendiente: asignar con R/sf</x:v>
      </x:c>
    </x:row>
    <x:row r="1260">
      <x:c r="A1260" s="25" t="n">
        <x:v>1259</x:v>
      </x:c>
      <x:c r="B1260" s="26" t="n">
        <x:v>45529.015625</x:v>
      </x:c>
      <x:c r="C1260" s="27" t="n">
        <x:f>INT(B1260)</x:f>
        <x:v>45529</x:v>
      </x:c>
      <x:c r="D1260" s="28" t="n">
        <x:f>MOD(B1260,1)</x:f>
        <x:v>0.015625</x:v>
      </x:c>
      <x:c r="E1260" s="29" t="n">
        <x:f>YEAR(B1260)</x:f>
        <x:v>2024</x:v>
      </x:c>
      <x:c r="F1260" s="29" t="n">
        <x:f>MONTH(B1260)</x:f>
        <x:v>8</x:v>
      </x:c>
      <x:c r="G1260" s="30" t="n">
        <x:v>-22.94</x:v>
      </x:c>
      <x:c r="H1260" s="30" t="n">
        <x:v>-69.75</x:v>
      </x:c>
      <x:c r="I1260" s="29" t="n">
        <x:v>69</x:v>
      </x:c>
      <x:c r="J1260" s="31" t="n">
        <x:v>3.9</x:v>
      </x:c>
      <x:c r="K1260" s="25" t="str">
        <x:f>IF(J1260&gt;=7,"Muy fuerte (&gt;=7)",IF(J1260&gt;=6,"Fuerte (6-6.9)",IF(J1260&gt;=5,"Moderado alto (5-5.9)",IF(J1260&gt;=4,"Moderado (4-4.9)","Menor a 4"))))</x:f>
        <x:v>Menor a 4</x:v>
      </x:c>
      <x:c r="L1260" s="25" t="str">
        <x:f>IF(I1260&lt;70,"Superficial (&lt;70 km)",IF(I1260&lt;=300,"Intermedio (70-300 km)","Profundo (&gt;300 km)"))</x:f>
        <x:v>Superficial (&lt;70 km)</x:v>
      </x:c>
      <x:c r="M1260" s="25" t="str">
        <x:f>IF(J1260&gt;=5,"Sí","No")</x:f>
        <x:v>No</x:v>
      </x:c>
      <x:c r="N1260" s="25" t="str">
        <x:f>IF(J1260&gt;=6,"Sí","No")</x:f>
        <x:v>No</x:v>
      </x:c>
      <x:c r="O1260" s="25" t="str">
        <x:v>Pendiente: asignar con R/sf</x:v>
      </x:c>
    </x:row>
    <x:row r="1261">
      <x:c r="A1261" s="25" t="n">
        <x:v>1260</x:v>
      </x:c>
      <x:c r="B1261" s="26" t="n">
        <x:v>45572.23273148148</x:v>
      </x:c>
      <x:c r="C1261" s="27" t="n">
        <x:f>INT(B1261)</x:f>
        <x:v>45572</x:v>
      </x:c>
      <x:c r="D1261" s="28" t="n">
        <x:f>MOD(B1261,1)</x:f>
        <x:v>0.23273148148291511</x:v>
      </x:c>
      <x:c r="E1261" s="29" t="n">
        <x:f>YEAR(B1261)</x:f>
        <x:v>2024</x:v>
      </x:c>
      <x:c r="F1261" s="29" t="n">
        <x:f>MONTH(B1261)</x:f>
        <x:v>10</x:v>
      </x:c>
      <x:c r="G1261" s="30" t="n">
        <x:v>-24.12</x:v>
      </x:c>
      <x:c r="H1261" s="30" t="n">
        <x:v>-67.78</x:v>
      </x:c>
      <x:c r="I1261" s="29" t="n">
        <x:v>243</x:v>
      </x:c>
      <x:c r="J1261" s="31" t="n">
        <x:v>4.9</x:v>
      </x:c>
      <x:c r="K1261" s="25" t="str">
        <x:f>IF(J1261&gt;=7,"Muy fuerte (&gt;=7)",IF(J1261&gt;=6,"Fuerte (6-6.9)",IF(J1261&gt;=5,"Moderado alto (5-5.9)",IF(J1261&gt;=4,"Moderado (4-4.9)","Menor a 4"))))</x:f>
        <x:v>Moderado (4-4.9)</x:v>
      </x:c>
      <x:c r="L1261" s="25" t="str">
        <x:f>IF(I1261&lt;70,"Superficial (&lt;70 km)",IF(I1261&lt;=300,"Intermedio (70-300 km)","Profundo (&gt;300 km)"))</x:f>
        <x:v>Intermedio (70-300 km)</x:v>
      </x:c>
      <x:c r="M1261" s="25" t="str">
        <x:f>IF(J1261&gt;=5,"Sí","No")</x:f>
        <x:v>No</x:v>
      </x:c>
      <x:c r="N1261" s="25" t="str">
        <x:f>IF(J1261&gt;=6,"Sí","No")</x:f>
        <x:v>No</x:v>
      </x:c>
      <x:c r="O1261" s="25" t="str">
        <x:v>Pendiente: asignar con R/sf</x:v>
      </x:c>
    </x:row>
    <x:row r="1262">
      <x:c r="A1262" s="25" t="n">
        <x:v>1261</x:v>
      </x:c>
      <x:c r="B1262" s="26" t="n">
        <x:v>45575.90688657408</x:v>
      </x:c>
      <x:c r="C1262" s="27" t="n">
        <x:f>INT(B1262)</x:f>
        <x:v>45575</x:v>
      </x:c>
      <x:c r="D1262" s="28" t="n">
        <x:f>MOD(B1262,1)</x:f>
        <x:v>0.9068865740773617</x:v>
      </x:c>
      <x:c r="E1262" s="29" t="n">
        <x:f>YEAR(B1262)</x:f>
        <x:v>2024</x:v>
      </x:c>
      <x:c r="F1262" s="29" t="n">
        <x:f>MONTH(B1262)</x:f>
        <x:v>10</x:v>
      </x:c>
      <x:c r="G1262" s="30" t="n">
        <x:v>-23.47</x:v>
      </x:c>
      <x:c r="H1262" s="30" t="n">
        <x:v>-69.4</x:v>
      </x:c>
      <x:c r="I1262" s="29" t="n">
        <x:v>74</x:v>
      </x:c>
      <x:c r="J1262" s="31" t="n">
        <x:v>4.2</x:v>
      </x:c>
      <x:c r="K1262" s="25" t="str">
        <x:f>IF(J1262&gt;=7,"Muy fuerte (&gt;=7)",IF(J1262&gt;=6,"Fuerte (6-6.9)",IF(J1262&gt;=5,"Moderado alto (5-5.9)",IF(J1262&gt;=4,"Moderado (4-4.9)","Menor a 4"))))</x:f>
        <x:v>Moderado (4-4.9)</x:v>
      </x:c>
      <x:c r="L1262" s="25" t="str">
        <x:f>IF(I1262&lt;70,"Superficial (&lt;70 km)",IF(I1262&lt;=300,"Intermedio (70-300 km)","Profundo (&gt;300 km)"))</x:f>
        <x:v>Intermedio (70-300 km)</x:v>
      </x:c>
      <x:c r="M1262" s="25" t="str">
        <x:f>IF(J1262&gt;=5,"Sí","No")</x:f>
        <x:v>No</x:v>
      </x:c>
      <x:c r="N1262" s="25" t="str">
        <x:f>IF(J1262&gt;=6,"Sí","No")</x:f>
        <x:v>No</x:v>
      </x:c>
      <x:c r="O1262" s="25" t="str">
        <x:v>Pendiente: asignar con R/sf</x:v>
      </x:c>
    </x:row>
    <x:row r="1263">
      <x:c r="A1263" s="25" t="n">
        <x:v>1262</x:v>
      </x:c>
      <x:c r="B1263" s="26" t="n">
        <x:v>45623.346875</x:v>
      </x:c>
      <x:c r="C1263" s="27" t="n">
        <x:f>INT(B1263)</x:f>
        <x:v>45623</x:v>
      </x:c>
      <x:c r="D1263" s="28" t="n">
        <x:f>MOD(B1263,1)</x:f>
        <x:v>0.3468750000029104</x:v>
      </x:c>
      <x:c r="E1263" s="29" t="n">
        <x:f>YEAR(B1263)</x:f>
        <x:v>2024</x:v>
      </x:c>
      <x:c r="F1263" s="29" t="n">
        <x:f>MONTH(B1263)</x:f>
        <x:v>11</x:v>
      </x:c>
      <x:c r="G1263" s="30" t="n">
        <x:v>-22.96</x:v>
      </x:c>
      <x:c r="H1263" s="30" t="n">
        <x:v>-68.86</x:v>
      </x:c>
      <x:c r="I1263" s="29" t="n">
        <x:v>111</x:v>
      </x:c>
      <x:c r="J1263" s="31" t="n">
        <x:v>4.1</x:v>
      </x:c>
      <x:c r="K1263" s="25" t="str">
        <x:f>IF(J1263&gt;=7,"Muy fuerte (&gt;=7)",IF(J1263&gt;=6,"Fuerte (6-6.9)",IF(J1263&gt;=5,"Moderado alto (5-5.9)",IF(J1263&gt;=4,"Moderado (4-4.9)","Menor a 4"))))</x:f>
        <x:v>Moderado (4-4.9)</x:v>
      </x:c>
      <x:c r="L1263" s="25" t="str">
        <x:f>IF(I1263&lt;70,"Superficial (&lt;70 km)",IF(I1263&lt;=300,"Intermedio (70-300 km)","Profundo (&gt;300 km)"))</x:f>
        <x:v>Intermedio (70-300 km)</x:v>
      </x:c>
      <x:c r="M1263" s="25" t="str">
        <x:f>IF(J1263&gt;=5,"Sí","No")</x:f>
        <x:v>No</x:v>
      </x:c>
      <x:c r="N1263" s="25" t="str">
        <x:f>IF(J1263&gt;=6,"Sí","No")</x:f>
        <x:v>No</x:v>
      </x:c>
      <x:c r="O1263" s="25" t="str">
        <x:v>Pendiente: asignar con R/sf</x:v>
      </x:c>
    </x:row>
    <x:row r="1264">
      <x:c r="A1264" s="25" t="n">
        <x:v>1263</x:v>
      </x:c>
      <x:c r="B1264" s="26" t="n">
        <x:v>45711.96359953703</x:v>
      </x:c>
      <x:c r="C1264" s="27" t="n">
        <x:f>INT(B1264)</x:f>
        <x:v>45711</x:v>
      </x:c>
      <x:c r="D1264" s="28" t="n">
        <x:f>MOD(B1264,1)</x:f>
        <x:v>0.9635995370335877</x:v>
      </x:c>
      <x:c r="E1264" s="29" t="n">
        <x:f>YEAR(B1264)</x:f>
        <x:v>2025</x:v>
      </x:c>
      <x:c r="F1264" s="29" t="n">
        <x:f>MONTH(B1264)</x:f>
        <x:v>2</x:v>
      </x:c>
      <x:c r="G1264" s="30" t="n">
        <x:v>-24.04</x:v>
      </x:c>
      <x:c r="H1264" s="30" t="n">
        <x:v>-69.02</x:v>
      </x:c>
      <x:c r="I1264" s="29" t="n">
        <x:v>100</x:v>
      </x:c>
      <x:c r="J1264" s="31" t="n">
        <x:v>4.6</x:v>
      </x:c>
      <x:c r="K1264" s="25" t="str">
        <x:f>IF(J1264&gt;=7,"Muy fuerte (&gt;=7)",IF(J1264&gt;=6,"Fuerte (6-6.9)",IF(J1264&gt;=5,"Moderado alto (5-5.9)",IF(J1264&gt;=4,"Moderado (4-4.9)","Menor a 4"))))</x:f>
        <x:v>Moderado (4-4.9)</x:v>
      </x:c>
      <x:c r="L1264" s="25" t="str">
        <x:f>IF(I1264&lt;70,"Superficial (&lt;70 km)",IF(I1264&lt;=300,"Intermedio (70-300 km)","Profundo (&gt;300 km)"))</x:f>
        <x:v>Intermedio (70-300 km)</x:v>
      </x:c>
      <x:c r="M1264" s="25" t="str">
        <x:f>IF(J1264&gt;=5,"Sí","No")</x:f>
        <x:v>No</x:v>
      </x:c>
      <x:c r="N1264" s="25" t="str">
        <x:f>IF(J1264&gt;=6,"Sí","No")</x:f>
        <x:v>No</x:v>
      </x:c>
      <x:c r="O1264" s="25" t="str">
        <x:v>Pendiente: asignar con R/sf</x:v>
      </x:c>
    </x:row>
    <x:row r="1265">
      <x:c r="A1265" s="25" t="n">
        <x:v>1264</x:v>
      </x:c>
      <x:c r="B1265" s="26" t="n">
        <x:v>45724.3734375</x:v>
      </x:c>
      <x:c r="C1265" s="27" t="n">
        <x:f>INT(B1265)</x:f>
        <x:v>45724</x:v>
      </x:c>
      <x:c r="D1265" s="28" t="n">
        <x:f>MOD(B1265,1)</x:f>
        <x:v>0.3734374999985448</x:v>
      </x:c>
      <x:c r="E1265" s="29" t="n">
        <x:f>YEAR(B1265)</x:f>
        <x:v>2025</x:v>
      </x:c>
      <x:c r="F1265" s="29" t="n">
        <x:f>MONTH(B1265)</x:f>
        <x:v>3</x:v>
      </x:c>
      <x:c r="G1265" s="30" t="n">
        <x:v>-22.89</x:v>
      </x:c>
      <x:c r="H1265" s="30" t="n">
        <x:v>-68.99</x:v>
      </x:c>
      <x:c r="I1265" s="29" t="n">
        <x:v>109</x:v>
      </x:c>
      <x:c r="J1265" s="31" t="n">
        <x:v>4.5</x:v>
      </x:c>
      <x:c r="K1265" s="25" t="str">
        <x:f>IF(J1265&gt;=7,"Muy fuerte (&gt;=7)",IF(J1265&gt;=6,"Fuerte (6-6.9)",IF(J1265&gt;=5,"Moderado alto (5-5.9)",IF(J1265&gt;=4,"Moderado (4-4.9)","Menor a 4"))))</x:f>
        <x:v>Moderado (4-4.9)</x:v>
      </x:c>
      <x:c r="L1265" s="25" t="str">
        <x:f>IF(I1265&lt;70,"Superficial (&lt;70 km)",IF(I1265&lt;=300,"Intermedio (70-300 km)","Profundo (&gt;300 km)"))</x:f>
        <x:v>Intermedio (70-300 km)</x:v>
      </x:c>
      <x:c r="M1265" s="25" t="str">
        <x:f>IF(J1265&gt;=5,"Sí","No")</x:f>
        <x:v>No</x:v>
      </x:c>
      <x:c r="N1265" s="25" t="str">
        <x:f>IF(J1265&gt;=6,"Sí","No")</x:f>
        <x:v>No</x:v>
      </x:c>
      <x:c r="O1265" s="25" t="str">
        <x:v>Pendiente: asignar con R/sf</x:v>
      </x:c>
    </x:row>
    <x:row r="1266">
      <x:c r="A1266" s="25" t="n">
        <x:v>1265</x:v>
      </x:c>
      <x:c r="B1266" s="26" t="n">
        <x:v>45785.15377314815</x:v>
      </x:c>
      <x:c r="C1266" s="27" t="n">
        <x:f>INT(B1266)</x:f>
        <x:v>45785</x:v>
      </x:c>
      <x:c r="D1266" s="28" t="n">
        <x:f>MOD(B1266,1)</x:f>
        <x:v>0.153773148151231</x:v>
      </x:c>
      <x:c r="E1266" s="29" t="n">
        <x:f>YEAR(B1266)</x:f>
        <x:v>2025</x:v>
      </x:c>
      <x:c r="F1266" s="29" t="n">
        <x:f>MONTH(B1266)</x:f>
        <x:v>5</x:v>
      </x:c>
      <x:c r="G1266" s="30" t="n">
        <x:v>-23.13</x:v>
      </x:c>
      <x:c r="H1266" s="30" t="n">
        <x:v>-69.19</x:v>
      </x:c>
      <x:c r="I1266" s="29" t="n">
        <x:v>90</x:v>
      </x:c>
      <x:c r="J1266" s="31" t="n">
        <x:v>4.7</x:v>
      </x:c>
      <x:c r="K1266" s="25" t="str">
        <x:f>IF(J1266&gt;=7,"Muy fuerte (&gt;=7)",IF(J1266&gt;=6,"Fuerte (6-6.9)",IF(J1266&gt;=5,"Moderado alto (5-5.9)",IF(J1266&gt;=4,"Moderado (4-4.9)","Menor a 4"))))</x:f>
        <x:v>Moderado (4-4.9)</x:v>
      </x:c>
      <x:c r="L1266" s="25" t="str">
        <x:f>IF(I1266&lt;70,"Superficial (&lt;70 km)",IF(I1266&lt;=300,"Intermedio (70-300 km)","Profundo (&gt;300 km)"))</x:f>
        <x:v>Intermedio (70-300 km)</x:v>
      </x:c>
      <x:c r="M1266" s="25" t="str">
        <x:f>IF(J1266&gt;=5,"Sí","No")</x:f>
        <x:v>No</x:v>
      </x:c>
      <x:c r="N1266" s="25" t="str">
        <x:f>IF(J1266&gt;=6,"Sí","No")</x:f>
        <x:v>No</x:v>
      </x:c>
      <x:c r="O1266" s="25" t="str">
        <x:v>Pendiente: asignar con R/sf</x:v>
      </x:c>
    </x:row>
    <x:row r="1267">
      <x:c r="A1267" s="25" t="n">
        <x:v>1266</x:v>
      </x:c>
      <x:c r="B1267" s="26" t="n">
        <x:v>44449.24023148148</x:v>
      </x:c>
      <x:c r="C1267" s="27" t="n">
        <x:f>INT(B1267)</x:f>
        <x:v>44449</x:v>
      </x:c>
      <x:c r="D1267" s="28" t="n">
        <x:f>MOD(B1267,1)</x:f>
        <x:v>0.24023148148262408</x:v>
      </x:c>
      <x:c r="E1267" s="29" t="n">
        <x:f>YEAR(B1267)</x:f>
        <x:v>2021</x:v>
      </x:c>
      <x:c r="F1267" s="29" t="n">
        <x:f>MONTH(B1267)</x:f>
        <x:v>9</x:v>
      </x:c>
      <x:c r="G1267" s="30" t="n">
        <x:v>-20.64</x:v>
      </x:c>
      <x:c r="H1267" s="30" t="n">
        <x:v>-69.23</x:v>
      </x:c>
      <x:c r="I1267" s="29" t="n">
        <x:v>90</x:v>
      </x:c>
      <x:c r="J1267" s="31" t="n">
        <x:v>4.3</x:v>
      </x:c>
      <x:c r="K1267" s="25" t="str">
        <x:f>IF(J1267&gt;=7,"Muy fuerte (&gt;=7)",IF(J1267&gt;=6,"Fuerte (6-6.9)",IF(J1267&gt;=5,"Moderado alto (5-5.9)",IF(J1267&gt;=4,"Moderado (4-4.9)","Menor a 4"))))</x:f>
        <x:v>Moderado (4-4.9)</x:v>
      </x:c>
      <x:c r="L1267" s="25" t="str">
        <x:f>IF(I1267&lt;70,"Superficial (&lt;70 km)",IF(I1267&lt;=300,"Intermedio (70-300 km)","Profundo (&gt;300 km)"))</x:f>
        <x:v>Intermedio (70-300 km)</x:v>
      </x:c>
      <x:c r="M1267" s="25" t="str">
        <x:f>IF(J1267&gt;=5,"Sí","No")</x:f>
        <x:v>No</x:v>
      </x:c>
      <x:c r="N1267" s="25" t="str">
        <x:f>IF(J1267&gt;=6,"Sí","No")</x:f>
        <x:v>No</x:v>
      </x:c>
      <x:c r="O1267" s="25" t="str">
        <x:v>Pendiente: asignar con R/sf</x:v>
      </x:c>
    </x:row>
    <x:row r="1268">
      <x:c r="A1268" s="25" t="n">
        <x:v>1267</x:v>
      </x:c>
      <x:c r="B1268" s="26" t="n">
        <x:v>44491.39630787037</x:v>
      </x:c>
      <x:c r="C1268" s="27" t="n">
        <x:f>INT(B1268)</x:f>
        <x:v>44491</x:v>
      </x:c>
      <x:c r="D1268" s="28" t="n">
        <x:f>MOD(B1268,1)</x:f>
        <x:v>0.3963078703673091</x:v>
      </x:c>
      <x:c r="E1268" s="29" t="n">
        <x:f>YEAR(B1268)</x:f>
        <x:v>2021</x:v>
      </x:c>
      <x:c r="F1268" s="29" t="n">
        <x:f>MONTH(B1268)</x:f>
        <x:v>10</x:v>
      </x:c>
      <x:c r="G1268" s="30" t="n">
        <x:v>-20.27</x:v>
      </x:c>
      <x:c r="H1268" s="30" t="n">
        <x:v>-70.23</x:v>
      </x:c>
      <x:c r="I1268" s="29" t="n">
        <x:v>40</x:v>
      </x:c>
      <x:c r="J1268" s="31" t="n">
        <x:v>3.1</x:v>
      </x:c>
      <x:c r="K1268" s="25" t="str">
        <x:f>IF(J1268&gt;=7,"Muy fuerte (&gt;=7)",IF(J1268&gt;=6,"Fuerte (6-6.9)",IF(J1268&gt;=5,"Moderado alto (5-5.9)",IF(J1268&gt;=4,"Moderado (4-4.9)","Menor a 4"))))</x:f>
        <x:v>Menor a 4</x:v>
      </x:c>
      <x:c r="L1268" s="25" t="str">
        <x:f>IF(I1268&lt;70,"Superficial (&lt;70 km)",IF(I1268&lt;=300,"Intermedio (70-300 km)","Profundo (&gt;300 km)"))</x:f>
        <x:v>Superficial (&lt;70 km)</x:v>
      </x:c>
      <x:c r="M1268" s="25" t="str">
        <x:f>IF(J1268&gt;=5,"Sí","No")</x:f>
        <x:v>No</x:v>
      </x:c>
      <x:c r="N1268" s="25" t="str">
        <x:f>IF(J1268&gt;=6,"Sí","No")</x:f>
        <x:v>No</x:v>
      </x:c>
      <x:c r="O1268" s="25" t="str">
        <x:v>Pendiente: asignar con R/sf</x:v>
      </x:c>
    </x:row>
    <x:row r="1269">
      <x:c r="A1269" s="25" t="n">
        <x:v>1268</x:v>
      </x:c>
      <x:c r="B1269" s="26" t="n">
        <x:v>44691.1709837963</x:v>
      </x:c>
      <x:c r="C1269" s="27" t="n">
        <x:f>INT(B1269)</x:f>
        <x:v>44691</x:v>
      </x:c>
      <x:c r="D1269" s="28" t="n">
        <x:f>MOD(B1269,1)</x:f>
        <x:v>0.17098379629896954</x:v>
      </x:c>
      <x:c r="E1269" s="29" t="n">
        <x:f>YEAR(B1269)</x:f>
        <x:v>2022</x:v>
      </x:c>
      <x:c r="F1269" s="29" t="n">
        <x:f>MONTH(B1269)</x:f>
        <x:v>5</x:v>
      </x:c>
      <x:c r="G1269" s="30" t="n">
        <x:v>-20.24</x:v>
      </x:c>
      <x:c r="H1269" s="30" t="n">
        <x:v>-70.25</x:v>
      </x:c>
      <x:c r="I1269" s="29" t="n">
        <x:v>41</x:v>
      </x:c>
      <x:c r="J1269" s="31" t="n">
        <x:v>3</x:v>
      </x:c>
      <x:c r="K1269" s="25" t="str">
        <x:f>IF(J1269&gt;=7,"Muy fuerte (&gt;=7)",IF(J1269&gt;=6,"Fuerte (6-6.9)",IF(J1269&gt;=5,"Moderado alto (5-5.9)",IF(J1269&gt;=4,"Moderado (4-4.9)","Menor a 4"))))</x:f>
        <x:v>Menor a 4</x:v>
      </x:c>
      <x:c r="L1269" s="25" t="str">
        <x:f>IF(I1269&lt;70,"Superficial (&lt;70 km)",IF(I1269&lt;=300,"Intermedio (70-300 km)","Profundo (&gt;300 km)"))</x:f>
        <x:v>Superficial (&lt;70 km)</x:v>
      </x:c>
      <x:c r="M1269" s="25" t="str">
        <x:f>IF(J1269&gt;=5,"Sí","No")</x:f>
        <x:v>No</x:v>
      </x:c>
      <x:c r="N1269" s="25" t="str">
        <x:f>IF(J1269&gt;=6,"Sí","No")</x:f>
        <x:v>No</x:v>
      </x:c>
      <x:c r="O1269" s="25" t="str">
        <x:v>Pendiente: asignar con R/sf</x:v>
      </x:c>
    </x:row>
    <x:row r="1270">
      <x:c r="A1270" s="25" t="n">
        <x:v>1269</x:v>
      </x:c>
      <x:c r="B1270" s="26" t="n">
        <x:v>44770.37068287037</x:v>
      </x:c>
      <x:c r="C1270" s="27" t="n">
        <x:f>INT(B1270)</x:f>
        <x:v>44770</x:v>
      </x:c>
      <x:c r="D1270" s="28" t="n">
        <x:f>MOD(B1270,1)</x:f>
        <x:v>0.37068287037254777</x:v>
      </x:c>
      <x:c r="E1270" s="29" t="n">
        <x:f>YEAR(B1270)</x:f>
        <x:v>2022</x:v>
      </x:c>
      <x:c r="F1270" s="29" t="n">
        <x:f>MONTH(B1270)</x:f>
        <x:v>7</x:v>
      </x:c>
      <x:c r="G1270" s="30" t="n">
        <x:v>-21.41</x:v>
      </x:c>
      <x:c r="H1270" s="30" t="n">
        <x:v>-70.15</x:v>
      </x:c>
      <x:c r="I1270" s="29" t="n">
        <x:v>73</x:v>
      </x:c>
      <x:c r="J1270" s="31" t="n">
        <x:v>4.2</x:v>
      </x:c>
      <x:c r="K1270" s="25" t="str">
        <x:f>IF(J1270&gt;=7,"Muy fuerte (&gt;=7)",IF(J1270&gt;=6,"Fuerte (6-6.9)",IF(J1270&gt;=5,"Moderado alto (5-5.9)",IF(J1270&gt;=4,"Moderado (4-4.9)","Menor a 4"))))</x:f>
        <x:v>Moderado (4-4.9)</x:v>
      </x:c>
      <x:c r="L1270" s="25" t="str">
        <x:f>IF(I1270&lt;70,"Superficial (&lt;70 km)",IF(I1270&lt;=300,"Intermedio (70-300 km)","Profundo (&gt;300 km)"))</x:f>
        <x:v>Intermedio (70-300 km)</x:v>
      </x:c>
      <x:c r="M1270" s="25" t="str">
        <x:f>IF(J1270&gt;=5,"Sí","No")</x:f>
        <x:v>No</x:v>
      </x:c>
      <x:c r="N1270" s="25" t="str">
        <x:f>IF(J1270&gt;=6,"Sí","No")</x:f>
        <x:v>No</x:v>
      </x:c>
      <x:c r="O1270" s="25" t="str">
        <x:v>Pendiente: asignar con R/sf</x:v>
      </x:c>
    </x:row>
    <x:row r="1271">
      <x:c r="A1271" s="25" t="n">
        <x:v>1270</x:v>
      </x:c>
      <x:c r="B1271" s="26" t="n">
        <x:v>44789.757627314815</x:v>
      </x:c>
      <x:c r="C1271" s="27" t="n">
        <x:f>INT(B1271)</x:f>
        <x:v>44789</x:v>
      </x:c>
      <x:c r="D1271" s="28" t="n">
        <x:f>MOD(B1271,1)</x:f>
        <x:v>0.7576273148151813</x:v>
      </x:c>
      <x:c r="E1271" s="29" t="n">
        <x:f>YEAR(B1271)</x:f>
        <x:v>2022</x:v>
      </x:c>
      <x:c r="F1271" s="29" t="n">
        <x:f>MONTH(B1271)</x:f>
        <x:v>8</x:v>
      </x:c>
      <x:c r="G1271" s="30" t="n">
        <x:v>-20.16</x:v>
      </x:c>
      <x:c r="H1271" s="30" t="n">
        <x:v>-69.88</x:v>
      </x:c>
      <x:c r="I1271" s="29" t="n">
        <x:v>60</x:v>
      </x:c>
      <x:c r="J1271" s="31" t="n">
        <x:v>3.3</x:v>
      </x:c>
      <x:c r="K1271" s="25" t="str">
        <x:f>IF(J1271&gt;=7,"Muy fuerte (&gt;=7)",IF(J1271&gt;=6,"Fuerte (6-6.9)",IF(J1271&gt;=5,"Moderado alto (5-5.9)",IF(J1271&gt;=4,"Moderado (4-4.9)","Menor a 4"))))</x:f>
        <x:v>Menor a 4</x:v>
      </x:c>
      <x:c r="L1271" s="25" t="str">
        <x:f>IF(I1271&lt;70,"Superficial (&lt;70 km)",IF(I1271&lt;=300,"Intermedio (70-300 km)","Profundo (&gt;300 km)"))</x:f>
        <x:v>Superficial (&lt;70 km)</x:v>
      </x:c>
      <x:c r="M1271" s="25" t="str">
        <x:f>IF(J1271&gt;=5,"Sí","No")</x:f>
        <x:v>No</x:v>
      </x:c>
      <x:c r="N1271" s="25" t="str">
        <x:f>IF(J1271&gt;=6,"Sí","No")</x:f>
        <x:v>No</x:v>
      </x:c>
      <x:c r="O1271" s="25" t="str">
        <x:v>Pendiente: asignar con R/sf</x:v>
      </x:c>
    </x:row>
    <x:row r="1272">
      <x:c r="A1272" s="25" t="n">
        <x:v>1271</x:v>
      </x:c>
      <x:c r="B1272" s="26" t="n">
        <x:v>44879.268472222226</x:v>
      </x:c>
      <x:c r="C1272" s="27" t="n">
        <x:f>INT(B1272)</x:f>
        <x:v>44879</x:v>
      </x:c>
      <x:c r="D1272" s="28" t="n">
        <x:f>MOD(B1272,1)</x:f>
        <x:v>0.26847222222568234</x:v>
      </x:c>
      <x:c r="E1272" s="29" t="n">
        <x:f>YEAR(B1272)</x:f>
        <x:v>2022</x:v>
      </x:c>
      <x:c r="F1272" s="29" t="n">
        <x:f>MONTH(B1272)</x:f>
        <x:v>11</x:v>
      </x:c>
      <x:c r="G1272" s="30" t="n">
        <x:v>-20.78</x:v>
      </x:c>
      <x:c r="H1272" s="30" t="n">
        <x:v>-70.03</x:v>
      </x:c>
      <x:c r="I1272" s="29" t="n">
        <x:v>76</x:v>
      </x:c>
      <x:c r="J1272" s="31" t="n">
        <x:v>3.4</x:v>
      </x:c>
      <x:c r="K1272" s="25" t="str">
        <x:f>IF(J1272&gt;=7,"Muy fuerte (&gt;=7)",IF(J1272&gt;=6,"Fuerte (6-6.9)",IF(J1272&gt;=5,"Moderado alto (5-5.9)",IF(J1272&gt;=4,"Moderado (4-4.9)","Menor a 4"))))</x:f>
        <x:v>Menor a 4</x:v>
      </x:c>
      <x:c r="L1272" s="25" t="str">
        <x:f>IF(I1272&lt;70,"Superficial (&lt;70 km)",IF(I1272&lt;=300,"Intermedio (70-300 km)","Profundo (&gt;300 km)"))</x:f>
        <x:v>Intermedio (70-300 km)</x:v>
      </x:c>
      <x:c r="M1272" s="25" t="str">
        <x:f>IF(J1272&gt;=5,"Sí","No")</x:f>
        <x:v>No</x:v>
      </x:c>
      <x:c r="N1272" s="25" t="str">
        <x:f>IF(J1272&gt;=6,"Sí","No")</x:f>
        <x:v>No</x:v>
      </x:c>
      <x:c r="O1272" s="25" t="str">
        <x:v>Pendiente: asignar con R/sf</x:v>
      </x:c>
    </x:row>
    <x:row r="1273">
      <x:c r="A1273" s="25" t="n">
        <x:v>1272</x:v>
      </x:c>
      <x:c r="B1273" s="26" t="n">
        <x:v>45463.23165509259</x:v>
      </x:c>
      <x:c r="C1273" s="27" t="n">
        <x:f>INT(B1273)</x:f>
        <x:v>45463</x:v>
      </x:c>
      <x:c r="D1273" s="28" t="n">
        <x:f>MOD(B1273,1)</x:f>
        <x:v>0.23165509258979</x:v>
      </x:c>
      <x:c r="E1273" s="29" t="n">
        <x:f>YEAR(B1273)</x:f>
        <x:v>2024</x:v>
      </x:c>
      <x:c r="F1273" s="29" t="n">
        <x:f>MONTH(B1273)</x:f>
        <x:v>6</x:v>
      </x:c>
      <x:c r="G1273" s="30" t="n">
        <x:v>-20.76</x:v>
      </x:c>
      <x:c r="H1273" s="30" t="n">
        <x:v>-70.08</x:v>
      </x:c>
      <x:c r="I1273" s="29" t="n">
        <x:v>84</x:v>
      </x:c>
      <x:c r="J1273" s="31" t="n">
        <x:v>3.4</x:v>
      </x:c>
      <x:c r="K1273" s="25" t="str">
        <x:f>IF(J1273&gt;=7,"Muy fuerte (&gt;=7)",IF(J1273&gt;=6,"Fuerte (6-6.9)",IF(J1273&gt;=5,"Moderado alto (5-5.9)",IF(J1273&gt;=4,"Moderado (4-4.9)","Menor a 4"))))</x:f>
        <x:v>Menor a 4</x:v>
      </x:c>
      <x:c r="L1273" s="25" t="str">
        <x:f>IF(I1273&lt;70,"Superficial (&lt;70 km)",IF(I1273&lt;=300,"Intermedio (70-300 km)","Profundo (&gt;300 km)"))</x:f>
        <x:v>Intermedio (70-300 km)</x:v>
      </x:c>
      <x:c r="M1273" s="25" t="str">
        <x:f>IF(J1273&gt;=5,"Sí","No")</x:f>
        <x:v>No</x:v>
      </x:c>
      <x:c r="N1273" s="25" t="str">
        <x:f>IF(J1273&gt;=6,"Sí","No")</x:f>
        <x:v>No</x:v>
      </x:c>
      <x:c r="O1273" s="25" t="str">
        <x:v>Pendiente: asignar con R/sf</x:v>
      </x:c>
    </x:row>
    <x:row r="1274">
      <x:c r="A1274" s="25" t="n">
        <x:v>1273</x:v>
      </x:c>
      <x:c r="B1274" s="26" t="n">
        <x:v>45512.350625</x:v>
      </x:c>
      <x:c r="C1274" s="27" t="n">
        <x:f>INT(B1274)</x:f>
        <x:v>45512</x:v>
      </x:c>
      <x:c r="D1274" s="28" t="n">
        <x:f>MOD(B1274,1)</x:f>
        <x:v>0.3506249999991269</x:v>
      </x:c>
      <x:c r="E1274" s="29" t="n">
        <x:f>YEAR(B1274)</x:f>
        <x:v>2024</x:v>
      </x:c>
      <x:c r="F1274" s="29" t="n">
        <x:f>MONTH(B1274)</x:f>
        <x:v>8</x:v>
      </x:c>
      <x:c r="G1274" s="30" t="n">
        <x:v>-20.79</x:v>
      </x:c>
      <x:c r="H1274" s="30" t="n">
        <x:v>-70.43</x:v>
      </x:c>
      <x:c r="I1274" s="29" t="n">
        <x:v>61</x:v>
      </x:c>
      <x:c r="J1274" s="31" t="n">
        <x:v>3.8</x:v>
      </x:c>
      <x:c r="K1274" s="25" t="str">
        <x:f>IF(J1274&gt;=7,"Muy fuerte (&gt;=7)",IF(J1274&gt;=6,"Fuerte (6-6.9)",IF(J1274&gt;=5,"Moderado alto (5-5.9)",IF(J1274&gt;=4,"Moderado (4-4.9)","Menor a 4"))))</x:f>
        <x:v>Menor a 4</x:v>
      </x:c>
      <x:c r="L1274" s="25" t="str">
        <x:f>IF(I1274&lt;70,"Superficial (&lt;70 km)",IF(I1274&lt;=300,"Intermedio (70-300 km)","Profundo (&gt;300 km)"))</x:f>
        <x:v>Superficial (&lt;70 km)</x:v>
      </x:c>
      <x:c r="M1274" s="25" t="str">
        <x:f>IF(J1274&gt;=5,"Sí","No")</x:f>
        <x:v>No</x:v>
      </x:c>
      <x:c r="N1274" s="25" t="str">
        <x:f>IF(J1274&gt;=6,"Sí","No")</x:f>
        <x:v>No</x:v>
      </x:c>
      <x:c r="O1274" s="25" t="str">
        <x:v>Pendiente: asignar con R/sf</x:v>
      </x:c>
    </x:row>
    <x:row r="1275">
      <x:c r="A1275" s="25" t="n">
        <x:v>1274</x:v>
      </x:c>
      <x:c r="B1275" s="26" t="n">
        <x:v>44677.7103587963</x:v>
      </x:c>
      <x:c r="C1275" s="27" t="n">
        <x:f>INT(B1275)</x:f>
        <x:v>44677</x:v>
      </x:c>
      <x:c r="D1275" s="28" t="n">
        <x:f>MOD(B1275,1)</x:f>
        <x:v>0.7103587962992606</x:v>
      </x:c>
      <x:c r="E1275" s="29" t="n">
        <x:f>YEAR(B1275)</x:f>
        <x:v>2022</x:v>
      </x:c>
      <x:c r="F1275" s="29" t="n">
        <x:f>MONTH(B1275)</x:f>
        <x:v>4</x:v>
      </x:c>
      <x:c r="G1275" s="30" t="n">
        <x:v>-20.18</x:v>
      </x:c>
      <x:c r="H1275" s="30" t="n">
        <x:v>-69.61</x:v>
      </x:c>
      <x:c r="I1275" s="29" t="n">
        <x:v>37</x:v>
      </x:c>
      <x:c r="J1275" s="31" t="n">
        <x:v>3.7</x:v>
      </x:c>
      <x:c r="K1275" s="25" t="str">
        <x:f>IF(J1275&gt;=7,"Muy fuerte (&gt;=7)",IF(J1275&gt;=6,"Fuerte (6-6.9)",IF(J1275&gt;=5,"Moderado alto (5-5.9)",IF(J1275&gt;=4,"Moderado (4-4.9)","Menor a 4"))))</x:f>
        <x:v>Menor a 4</x:v>
      </x:c>
      <x:c r="L1275" s="25" t="str">
        <x:f>IF(I1275&lt;70,"Superficial (&lt;70 km)",IF(I1275&lt;=300,"Intermedio (70-300 km)","Profundo (&gt;300 km)"))</x:f>
        <x:v>Superficial (&lt;70 km)</x:v>
      </x:c>
      <x:c r="M1275" s="25" t="str">
        <x:f>IF(J1275&gt;=5,"Sí","No")</x:f>
        <x:v>No</x:v>
      </x:c>
      <x:c r="N1275" s="25" t="str">
        <x:f>IF(J1275&gt;=6,"Sí","No")</x:f>
        <x:v>No</x:v>
      </x:c>
      <x:c r="O1275" s="25" t="str">
        <x:v>Pendiente: asignar con R/sf</x:v>
      </x:c>
    </x:row>
    <x:row r="1276">
      <x:c r="A1276" s="25" t="n">
        <x:v>1275</x:v>
      </x:c>
      <x:c r="B1276" s="26" t="n">
        <x:v>45571.861354166664</x:v>
      </x:c>
      <x:c r="C1276" s="27" t="n">
        <x:f>INT(B1276)</x:f>
        <x:v>45571</x:v>
      </x:c>
      <x:c r="D1276" s="28" t="n">
        <x:f>MOD(B1276,1)</x:f>
        <x:v>0.8613541666636593</x:v>
      </x:c>
      <x:c r="E1276" s="29" t="n">
        <x:f>YEAR(B1276)</x:f>
        <x:v>2024</x:v>
      </x:c>
      <x:c r="F1276" s="29" t="n">
        <x:f>MONTH(B1276)</x:f>
        <x:v>10</x:v>
      </x:c>
      <x:c r="G1276" s="30" t="n">
        <x:v>-20.35</x:v>
      </x:c>
      <x:c r="H1276" s="30" t="n">
        <x:v>-70.07</x:v>
      </x:c>
      <x:c r="I1276" s="29" t="n">
        <x:v>54</x:v>
      </x:c>
      <x:c r="J1276" s="31" t="n">
        <x:v>3.6</x:v>
      </x:c>
      <x:c r="K1276" s="25" t="str">
        <x:f>IF(J1276&gt;=7,"Muy fuerte (&gt;=7)",IF(J1276&gt;=6,"Fuerte (6-6.9)",IF(J1276&gt;=5,"Moderado alto (5-5.9)",IF(J1276&gt;=4,"Moderado (4-4.9)","Menor a 4"))))</x:f>
        <x:v>Menor a 4</x:v>
      </x:c>
      <x:c r="L1276" s="25" t="str">
        <x:f>IF(I1276&lt;70,"Superficial (&lt;70 km)",IF(I1276&lt;=300,"Intermedio (70-300 km)","Profundo (&gt;300 km)"))</x:f>
        <x:v>Superficial (&lt;70 km)</x:v>
      </x:c>
      <x:c r="M1276" s="25" t="str">
        <x:f>IF(J1276&gt;=5,"Sí","No")</x:f>
        <x:v>No</x:v>
      </x:c>
      <x:c r="N1276" s="25" t="str">
        <x:f>IF(J1276&gt;=6,"Sí","No")</x:f>
        <x:v>No</x:v>
      </x:c>
      <x:c r="O1276" s="25" t="str">
        <x:v>Pendiente: asignar con R/sf</x:v>
      </x:c>
    </x:row>
    <x:row r="1277">
      <x:c r="A1277" s="25" t="n">
        <x:v>1276</x:v>
      </x:c>
      <x:c r="B1277" s="26" t="n">
        <x:v>45650.228055555555</x:v>
      </x:c>
      <x:c r="C1277" s="27" t="n">
        <x:f>INT(B1277)</x:f>
        <x:v>45650</x:v>
      </x:c>
      <x:c r="D1277" s="28" t="n">
        <x:f>MOD(B1277,1)</x:f>
        <x:v>0.2280555555553292</x:v>
      </x:c>
      <x:c r="E1277" s="29" t="n">
        <x:f>YEAR(B1277)</x:f>
        <x:v>2024</x:v>
      </x:c>
      <x:c r="F1277" s="29" t="n">
        <x:f>MONTH(B1277)</x:f>
        <x:v>12</x:v>
      </x:c>
      <x:c r="G1277" s="30" t="n">
        <x:v>-20.43</x:v>
      </x:c>
      <x:c r="H1277" s="30" t="n">
        <x:v>-69.79</x:v>
      </x:c>
      <x:c r="I1277" s="29" t="n">
        <x:v>54</x:v>
      </x:c>
      <x:c r="J1277" s="31" t="n">
        <x:v>3.7</x:v>
      </x:c>
      <x:c r="K1277" s="25" t="str">
        <x:f>IF(J1277&gt;=7,"Muy fuerte (&gt;=7)",IF(J1277&gt;=6,"Fuerte (6-6.9)",IF(J1277&gt;=5,"Moderado alto (5-5.9)",IF(J1277&gt;=4,"Moderado (4-4.9)","Menor a 4"))))</x:f>
        <x:v>Menor a 4</x:v>
      </x:c>
      <x:c r="L1277" s="25" t="str">
        <x:f>IF(I1277&lt;70,"Superficial (&lt;70 km)",IF(I1277&lt;=300,"Intermedio (70-300 km)","Profundo (&gt;300 km)"))</x:f>
        <x:v>Superficial (&lt;70 km)</x:v>
      </x:c>
      <x:c r="M1277" s="25" t="str">
        <x:f>IF(J1277&gt;=5,"Sí","No")</x:f>
        <x:v>No</x:v>
      </x:c>
      <x:c r="N1277" s="25" t="str">
        <x:f>IF(J1277&gt;=6,"Sí","No")</x:f>
        <x:v>No</x:v>
      </x:c>
      <x:c r="O1277" s="25" t="str">
        <x:v>Pendiente: asignar con R/sf</x:v>
      </x:c>
    </x:row>
    <x:row r="1278">
      <x:c r="A1278" s="25" t="n">
        <x:v>1277</x:v>
      </x:c>
      <x:c r="B1278" s="26" t="n">
        <x:v>45799.607719907406</x:v>
      </x:c>
      <x:c r="C1278" s="27" t="n">
        <x:f>INT(B1278)</x:f>
        <x:v>45799</x:v>
      </x:c>
      <x:c r="D1278" s="28" t="n">
        <x:f>MOD(B1278,1)</x:f>
        <x:v>0.6077199074061355</x:v>
      </x:c>
      <x:c r="E1278" s="29" t="n">
        <x:f>YEAR(B1278)</x:f>
        <x:v>2025</x:v>
      </x:c>
      <x:c r="F1278" s="29" t="n">
        <x:f>MONTH(B1278)</x:f>
        <x:v>5</x:v>
      </x:c>
      <x:c r="G1278" s="30" t="n">
        <x:v>-20.61</x:v>
      </x:c>
      <x:c r="H1278" s="30" t="n">
        <x:v>-69.8</x:v>
      </x:c>
      <x:c r="I1278" s="29" t="n">
        <x:v>51</x:v>
      </x:c>
      <x:c r="J1278" s="31" t="n">
        <x:v>4</x:v>
      </x:c>
      <x:c r="K1278" s="25" t="str">
        <x:f>IF(J1278&gt;=7,"Muy fuerte (&gt;=7)",IF(J1278&gt;=6,"Fuerte (6-6.9)",IF(J1278&gt;=5,"Moderado alto (5-5.9)",IF(J1278&gt;=4,"Moderado (4-4.9)","Menor a 4"))))</x:f>
        <x:v>Moderado (4-4.9)</x:v>
      </x:c>
      <x:c r="L1278" s="25" t="str">
        <x:f>IF(I1278&lt;70,"Superficial (&lt;70 km)",IF(I1278&lt;=300,"Intermedio (70-300 km)","Profundo (&gt;300 km)"))</x:f>
        <x:v>Superficial (&lt;70 km)</x:v>
      </x:c>
      <x:c r="M1278" s="25" t="str">
        <x:f>IF(J1278&gt;=5,"Sí","No")</x:f>
        <x:v>No</x:v>
      </x:c>
      <x:c r="N1278" s="25" t="str">
        <x:f>IF(J1278&gt;=6,"Sí","No")</x:f>
        <x:v>No</x:v>
      </x:c>
      <x:c r="O1278" s="25" t="str">
        <x:v>Pendiente: asignar con R/sf</x:v>
      </x:c>
    </x:row>
    <x:row r="1279">
      <x:c r="A1279" s="25" t="n">
        <x:v>1278</x:v>
      </x:c>
      <x:c r="B1279" s="26" t="n">
        <x:v>45191.42269675926</x:v>
      </x:c>
      <x:c r="C1279" s="27" t="n">
        <x:f>INT(B1279)</x:f>
        <x:v>45191</x:v>
      </x:c>
      <x:c r="D1279" s="28" t="n">
        <x:f>MOD(B1279,1)</x:f>
        <x:v>0.4226967592621804</x:v>
      </x:c>
      <x:c r="E1279" s="29" t="n">
        <x:f>YEAR(B1279)</x:f>
        <x:v>2023</x:v>
      </x:c>
      <x:c r="F1279" s="29" t="n">
        <x:f>MONTH(B1279)</x:f>
        <x:v>9</x:v>
      </x:c>
      <x:c r="G1279" s="30" t="n">
        <x:v>-22.53</x:v>
      </x:c>
      <x:c r="H1279" s="30" t="n">
        <x:v>-69.35</x:v>
      </x:c>
      <x:c r="I1279" s="29" t="n">
        <x:v>102</x:v>
      </x:c>
      <x:c r="J1279" s="31" t="n">
        <x:v>3.1</x:v>
      </x:c>
      <x:c r="K1279" s="25" t="str">
        <x:f>IF(J1279&gt;=7,"Muy fuerte (&gt;=7)",IF(J1279&gt;=6,"Fuerte (6-6.9)",IF(J1279&gt;=5,"Moderado alto (5-5.9)",IF(J1279&gt;=4,"Moderado (4-4.9)","Menor a 4"))))</x:f>
        <x:v>Menor a 4</x:v>
      </x:c>
      <x:c r="L1279" s="25" t="str">
        <x:f>IF(I1279&lt;70,"Superficial (&lt;70 km)",IF(I1279&lt;=300,"Intermedio (70-300 km)","Profundo (&gt;300 km)"))</x:f>
        <x:v>Intermedio (70-300 km)</x:v>
      </x:c>
      <x:c r="M1279" s="25" t="str">
        <x:f>IF(J1279&gt;=5,"Sí","No")</x:f>
        <x:v>No</x:v>
      </x:c>
      <x:c r="N1279" s="25" t="str">
        <x:f>IF(J1279&gt;=6,"Sí","No")</x:f>
        <x:v>No</x:v>
      </x:c>
      <x:c r="O1279" s="25" t="str">
        <x:v>Pendiente: asignar con R/sf</x:v>
      </x:c>
    </x:row>
    <x:row r="1280">
      <x:c r="A1280" s="25" t="n">
        <x:v>1279</x:v>
      </x:c>
      <x:c r="B1280" s="26" t="n">
        <x:v>45472.72460648148</x:v>
      </x:c>
      <x:c r="C1280" s="27" t="n">
        <x:f>INT(B1280)</x:f>
        <x:v>45472</x:v>
      </x:c>
      <x:c r="D1280" s="28" t="n">
        <x:f>MOD(B1280,1)</x:f>
        <x:v>0.7246064814826241</x:v>
      </x:c>
      <x:c r="E1280" s="29" t="n">
        <x:f>YEAR(B1280)</x:f>
        <x:v>2024</x:v>
      </x:c>
      <x:c r="F1280" s="29" t="n">
        <x:f>MONTH(B1280)</x:f>
        <x:v>6</x:v>
      </x:c>
      <x:c r="G1280" s="30" t="n">
        <x:v>-22.88</x:v>
      </x:c>
      <x:c r="H1280" s="30" t="n">
        <x:v>-69.31</x:v>
      </x:c>
      <x:c r="I1280" s="29" t="n">
        <x:v>74</x:v>
      </x:c>
      <x:c r="J1280" s="31" t="n">
        <x:v>3.8</x:v>
      </x:c>
      <x:c r="K1280" s="25" t="str">
        <x:f>IF(J1280&gt;=7,"Muy fuerte (&gt;=7)",IF(J1280&gt;=6,"Fuerte (6-6.9)",IF(J1280&gt;=5,"Moderado alto (5-5.9)",IF(J1280&gt;=4,"Moderado (4-4.9)","Menor a 4"))))</x:f>
        <x:v>Menor a 4</x:v>
      </x:c>
      <x:c r="L1280" s="25" t="str">
        <x:f>IF(I1280&lt;70,"Superficial (&lt;70 km)",IF(I1280&lt;=300,"Intermedio (70-300 km)","Profundo (&gt;300 km)"))</x:f>
        <x:v>Intermedio (70-300 km)</x:v>
      </x:c>
      <x:c r="M1280" s="25" t="str">
        <x:f>IF(J1280&gt;=5,"Sí","No")</x:f>
        <x:v>No</x:v>
      </x:c>
      <x:c r="N1280" s="25" t="str">
        <x:f>IF(J1280&gt;=6,"Sí","No")</x:f>
        <x:v>No</x:v>
      </x:c>
      <x:c r="O1280" s="25" t="str">
        <x:v>Pendiente: asignar con R/sf</x:v>
      </x:c>
    </x:row>
    <x:row r="1281">
      <x:c r="A1281" s="25" t="n">
        <x:v>1280</x:v>
      </x:c>
      <x:c r="B1281" s="26" t="n">
        <x:v>45606.414456018516</x:v>
      </x:c>
      <x:c r="C1281" s="27" t="n">
        <x:f>INT(B1281)</x:f>
        <x:v>45606</x:v>
      </x:c>
      <x:c r="D1281" s="28" t="n">
        <x:f>MOD(B1281,1)</x:f>
        <x:v>0.41445601851592073</x:v>
      </x:c>
      <x:c r="E1281" s="29" t="n">
        <x:f>YEAR(B1281)</x:f>
        <x:v>2024</x:v>
      </x:c>
      <x:c r="F1281" s="29" t="n">
        <x:f>MONTH(B1281)</x:f>
        <x:v>11</x:v>
      </x:c>
      <x:c r="G1281" s="30" t="n">
        <x:v>-22.64</x:v>
      </x:c>
      <x:c r="H1281" s="30" t="n">
        <x:v>-69.65</x:v>
      </x:c>
      <x:c r="I1281" s="29" t="n">
        <x:v>55</x:v>
      </x:c>
      <x:c r="J1281" s="31" t="n">
        <x:v>3.3</x:v>
      </x:c>
      <x:c r="K1281" s="25" t="str">
        <x:f>IF(J1281&gt;=7,"Muy fuerte (&gt;=7)",IF(J1281&gt;=6,"Fuerte (6-6.9)",IF(J1281&gt;=5,"Moderado alto (5-5.9)",IF(J1281&gt;=4,"Moderado (4-4.9)","Menor a 4"))))</x:f>
        <x:v>Menor a 4</x:v>
      </x:c>
      <x:c r="L1281" s="25" t="str">
        <x:f>IF(I1281&lt;70,"Superficial (&lt;70 km)",IF(I1281&lt;=300,"Intermedio (70-300 km)","Profundo (&gt;300 km)"))</x:f>
        <x:v>Superficial (&lt;70 km)</x:v>
      </x:c>
      <x:c r="M1281" s="25" t="str">
        <x:f>IF(J1281&gt;=5,"Sí","No")</x:f>
        <x:v>No</x:v>
      </x:c>
      <x:c r="N1281" s="25" t="str">
        <x:f>IF(J1281&gt;=6,"Sí","No")</x:f>
        <x:v>No</x:v>
      </x:c>
      <x:c r="O1281" s="25" t="str">
        <x:v>Pendiente: asignar con R/sf</x:v>
      </x:c>
    </x:row>
    <x:row r="1282">
      <x:c r="A1282" s="25" t="n">
        <x:v>1281</x:v>
      </x:c>
      <x:c r="B1282" s="26" t="n">
        <x:v>45609.39157407408</x:v>
      </x:c>
      <x:c r="C1282" s="27" t="n">
        <x:f>INT(B1282)</x:f>
        <x:v>45609</x:v>
      </x:c>
      <x:c r="D1282" s="28" t="n">
        <x:f>MOD(B1282,1)</x:f>
        <x:v>0.39157407407765277</x:v>
      </x:c>
      <x:c r="E1282" s="29" t="n">
        <x:f>YEAR(B1282)</x:f>
        <x:v>2024</x:v>
      </x:c>
      <x:c r="F1282" s="29" t="n">
        <x:f>MONTH(B1282)</x:f>
        <x:v>11</x:v>
      </x:c>
      <x:c r="G1282" s="30" t="n">
        <x:v>-23.08</x:v>
      </x:c>
      <x:c r="H1282" s="30" t="n">
        <x:v>-69.42</x:v>
      </x:c>
      <x:c r="I1282" s="29" t="n">
        <x:v>75</x:v>
      </x:c>
      <x:c r="J1282" s="31" t="n">
        <x:v>4.2</x:v>
      </x:c>
      <x:c r="K1282" s="25" t="str">
        <x:f>IF(J1282&gt;=7,"Muy fuerte (&gt;=7)",IF(J1282&gt;=6,"Fuerte (6-6.9)",IF(J1282&gt;=5,"Moderado alto (5-5.9)",IF(J1282&gt;=4,"Moderado (4-4.9)","Menor a 4"))))</x:f>
        <x:v>Moderado (4-4.9)</x:v>
      </x:c>
      <x:c r="L1282" s="25" t="str">
        <x:f>IF(I1282&lt;70,"Superficial (&lt;70 km)",IF(I1282&lt;=300,"Intermedio (70-300 km)","Profundo (&gt;300 km)"))</x:f>
        <x:v>Intermedio (70-300 km)</x:v>
      </x:c>
      <x:c r="M1282" s="25" t="str">
        <x:f>IF(J1282&gt;=5,"Sí","No")</x:f>
        <x:v>No</x:v>
      </x:c>
      <x:c r="N1282" s="25" t="str">
        <x:f>IF(J1282&gt;=6,"Sí","No")</x:f>
        <x:v>No</x:v>
      </x:c>
      <x:c r="O1282" s="25" t="str">
        <x:v>Pendiente: asignar con R/sf</x:v>
      </x:c>
    </x:row>
    <x:row r="1283">
      <x:c r="A1283" s="25" t="n">
        <x:v>1282</x:v>
      </x:c>
      <x:c r="B1283" s="26" t="n">
        <x:v>44765.90476851852</x:v>
      </x:c>
      <x:c r="C1283" s="27" t="n">
        <x:f>INT(B1283)</x:f>
        <x:v>44765</x:v>
      </x:c>
      <x:c r="D1283" s="28" t="n">
        <x:f>MOD(B1283,1)</x:f>
        <x:v>0.9047685185214505</x:v>
      </x:c>
      <x:c r="E1283" s="29" t="n">
        <x:f>YEAR(B1283)</x:f>
        <x:v>2022</x:v>
      </x:c>
      <x:c r="F1283" s="29" t="n">
        <x:f>MONTH(B1283)</x:f>
        <x:v>7</x:v>
      </x:c>
      <x:c r="G1283" s="30" t="n">
        <x:v>-19.51</x:v>
      </x:c>
      <x:c r="H1283" s="30" t="n">
        <x:v>-69.81</x:v>
      </x:c>
      <x:c r="I1283" s="29" t="n">
        <x:v>69</x:v>
      </x:c>
      <x:c r="J1283" s="31" t="n">
        <x:v>4</x:v>
      </x:c>
      <x:c r="K1283" s="25" t="str">
        <x:f>IF(J1283&gt;=7,"Muy fuerte (&gt;=7)",IF(J1283&gt;=6,"Fuerte (6-6.9)",IF(J1283&gt;=5,"Moderado alto (5-5.9)",IF(J1283&gt;=4,"Moderado (4-4.9)","Menor a 4"))))</x:f>
        <x:v>Moderado (4-4.9)</x:v>
      </x:c>
      <x:c r="L1283" s="25" t="str">
        <x:f>IF(I1283&lt;70,"Superficial (&lt;70 km)",IF(I1283&lt;=300,"Intermedio (70-300 km)","Profundo (&gt;300 km)"))</x:f>
        <x:v>Superficial (&lt;70 km)</x:v>
      </x:c>
      <x:c r="M1283" s="25" t="str">
        <x:f>IF(J1283&gt;=5,"Sí","No")</x:f>
        <x:v>No</x:v>
      </x:c>
      <x:c r="N1283" s="25" t="str">
        <x:f>IF(J1283&gt;=6,"Sí","No")</x:f>
        <x:v>No</x:v>
      </x:c>
      <x:c r="O1283" s="25" t="str">
        <x:v>Pendiente: asignar con R/sf</x:v>
      </x:c>
    </x:row>
    <x:row r="1284">
      <x:c r="A1284" s="25" t="n">
        <x:v>1283</x:v>
      </x:c>
      <x:c r="B1284" s="26" t="n">
        <x:v>45854.529699074075</x:v>
      </x:c>
      <x:c r="C1284" s="27" t="n">
        <x:f>INT(B1284)</x:f>
        <x:v>45854</x:v>
      </x:c>
      <x:c r="D1284" s="28" t="n">
        <x:f>MOD(B1284,1)</x:f>
        <x:v>0.5296990740753245</x:v>
      </x:c>
      <x:c r="E1284" s="29" t="n">
        <x:f>YEAR(B1284)</x:f>
        <x:v>2025</x:v>
      </x:c>
      <x:c r="F1284" s="29" t="n">
        <x:f>MONTH(B1284)</x:f>
        <x:v>7</x:v>
      </x:c>
      <x:c r="G1284" s="30" t="n">
        <x:v>-28.19</x:v>
      </x:c>
      <x:c r="H1284" s="30" t="n">
        <x:v>-70.75</x:v>
      </x:c>
      <x:c r="I1284" s="29" t="n">
        <x:v>52</x:v>
      </x:c>
      <x:c r="J1284" s="31" t="n">
        <x:v>5.2</x:v>
      </x:c>
      <x:c r="K1284" s="25" t="str">
        <x:f>IF(J1284&gt;=7,"Muy fuerte (&gt;=7)",IF(J1284&gt;=6,"Fuerte (6-6.9)",IF(J1284&gt;=5,"Moderado alto (5-5.9)",IF(J1284&gt;=4,"Moderado (4-4.9)","Menor a 4"))))</x:f>
        <x:v>Moderado alto (5-5.9)</x:v>
      </x:c>
      <x:c r="L1284" s="25" t="str">
        <x:f>IF(I1284&lt;70,"Superficial (&lt;70 km)",IF(I1284&lt;=300,"Intermedio (70-300 km)","Profundo (&gt;300 km)"))</x:f>
        <x:v>Superficial (&lt;70 km)</x:v>
      </x:c>
      <x:c r="M1284" s="25" t="str">
        <x:f>IF(J1284&gt;=5,"Sí","No")</x:f>
        <x:v>Sí</x:v>
      </x:c>
      <x:c r="N1284" s="25" t="str">
        <x:f>IF(J1284&gt;=6,"Sí","No")</x:f>
        <x:v>No</x:v>
      </x:c>
      <x:c r="O1284" s="25" t="str">
        <x:v>Pendiente: asignar con R/sf</x:v>
      </x:c>
    </x:row>
    <x:row r="1285">
      <x:c r="A1285" s="25" t="n">
        <x:v>1284</x:v>
      </x:c>
      <x:c r="B1285" s="26" t="n">
        <x:v>45855.855208333334</x:v>
      </x:c>
      <x:c r="C1285" s="27" t="n">
        <x:f>INT(B1285)</x:f>
        <x:v>45855</x:v>
      </x:c>
      <x:c r="D1285" s="28" t="n">
        <x:f>MOD(B1285,1)</x:f>
        <x:v>0.8552083333343035</x:v>
      </x:c>
      <x:c r="E1285" s="29" t="n">
        <x:f>YEAR(B1285)</x:f>
        <x:v>2025</x:v>
      </x:c>
      <x:c r="F1285" s="29" t="n">
        <x:f>MONTH(B1285)</x:f>
        <x:v>7</x:v>
      </x:c>
      <x:c r="G1285" s="30" t="n">
        <x:v>-24.25</x:v>
      </x:c>
      <x:c r="H1285" s="30" t="n">
        <x:v>-69.77</x:v>
      </x:c>
      <x:c r="I1285" s="29" t="n">
        <x:v>76</x:v>
      </x:c>
      <x:c r="J1285" s="31" t="n">
        <x:v>5.3</x:v>
      </x:c>
      <x:c r="K1285" s="25" t="str">
        <x:f>IF(J1285&gt;=7,"Muy fuerte (&gt;=7)",IF(J1285&gt;=6,"Fuerte (6-6.9)",IF(J1285&gt;=5,"Moderado alto (5-5.9)",IF(J1285&gt;=4,"Moderado (4-4.9)","Menor a 4"))))</x:f>
        <x:v>Moderado alto (5-5.9)</x:v>
      </x:c>
      <x:c r="L1285" s="25" t="str">
        <x:f>IF(I1285&lt;70,"Superficial (&lt;70 km)",IF(I1285&lt;=300,"Intermedio (70-300 km)","Profundo (&gt;300 km)"))</x:f>
        <x:v>Intermedio (70-300 km)</x:v>
      </x:c>
      <x:c r="M1285" s="25" t="str">
        <x:f>IF(J1285&gt;=5,"Sí","No")</x:f>
        <x:v>Sí</x:v>
      </x:c>
      <x:c r="N1285" s="25" t="str">
        <x:f>IF(J1285&gt;=6,"Sí","No")</x:f>
        <x:v>No</x:v>
      </x:c>
      <x:c r="O1285" s="25" t="str">
        <x:v>Pendiente: asignar con R/sf</x:v>
      </x:c>
    </x:row>
    <x:row r="1286">
      <x:c r="A1286" s="25" t="n">
        <x:v>1285</x:v>
      </x:c>
      <x:c r="B1286" s="26" t="n">
        <x:v>45082.879270833335</x:v>
      </x:c>
      <x:c r="C1286" s="27" t="n">
        <x:f>INT(B1286)</x:f>
        <x:v>45082</x:v>
      </x:c>
      <x:c r="D1286" s="28" t="n">
        <x:f>MOD(B1286,1)</x:f>
        <x:v>0.8792708333348855</x:v>
      </x:c>
      <x:c r="E1286" s="29" t="n">
        <x:f>YEAR(B1286)</x:f>
        <x:v>2023</x:v>
      </x:c>
      <x:c r="F1286" s="29" t="n">
        <x:f>MONTH(B1286)</x:f>
        <x:v>6</x:v>
      </x:c>
      <x:c r="G1286" s="30" t="n">
        <x:v>-27.58</x:v>
      </x:c>
      <x:c r="H1286" s="30" t="n">
        <x:v>-69.95</x:v>
      </x:c>
      <x:c r="I1286" s="29" t="n">
        <x:v>91</x:v>
      </x:c>
      <x:c r="J1286" s="31" t="n">
        <x:v>3.6</x:v>
      </x:c>
      <x:c r="K1286" s="25" t="str">
        <x:f>IF(J1286&gt;=7,"Muy fuerte (&gt;=7)",IF(J1286&gt;=6,"Fuerte (6-6.9)",IF(J1286&gt;=5,"Moderado alto (5-5.9)",IF(J1286&gt;=4,"Moderado (4-4.9)","Menor a 4"))))</x:f>
        <x:v>Menor a 4</x:v>
      </x:c>
      <x:c r="L1286" s="25" t="str">
        <x:f>IF(I1286&lt;70,"Superficial (&lt;70 km)",IF(I1286&lt;=300,"Intermedio (70-300 km)","Profundo (&gt;300 km)"))</x:f>
        <x:v>Intermedio (70-300 km)</x:v>
      </x:c>
      <x:c r="M1286" s="25" t="str">
        <x:f>IF(J1286&gt;=5,"Sí","No")</x:f>
        <x:v>No</x:v>
      </x:c>
      <x:c r="N1286" s="25" t="str">
        <x:f>IF(J1286&gt;=6,"Sí","No")</x:f>
        <x:v>No</x:v>
      </x:c>
      <x:c r="O1286" s="25" t="str">
        <x:v>Pendiente: asignar con R/sf</x:v>
      </x:c>
    </x:row>
    <x:row r="1287">
      <x:c r="A1287" s="25" t="n">
        <x:v>1286</x:v>
      </x:c>
      <x:c r="B1287" s="26" t="n">
        <x:v>45126.45416666667</x:v>
      </x:c>
      <x:c r="C1287" s="27" t="n">
        <x:f>INT(B1287)</x:f>
        <x:v>45126</x:v>
      </x:c>
      <x:c r="D1287" s="28" t="n">
        <x:f>MOD(B1287,1)</x:f>
        <x:v>0.4541666666700621</x:v>
      </x:c>
      <x:c r="E1287" s="29" t="n">
        <x:f>YEAR(B1287)</x:f>
        <x:v>2023</x:v>
      </x:c>
      <x:c r="F1287" s="29" t="n">
        <x:f>MONTH(B1287)</x:f>
        <x:v>7</x:v>
      </x:c>
      <x:c r="G1287" s="30" t="n">
        <x:v>-27.48</x:v>
      </x:c>
      <x:c r="H1287" s="30" t="n">
        <x:v>-70.17</x:v>
      </x:c>
      <x:c r="I1287" s="29" t="n">
        <x:v>84</x:v>
      </x:c>
      <x:c r="J1287" s="31" t="n">
        <x:v>3.7</x:v>
      </x:c>
      <x:c r="K1287" s="25" t="str">
        <x:f>IF(J1287&gt;=7,"Muy fuerte (&gt;=7)",IF(J1287&gt;=6,"Fuerte (6-6.9)",IF(J1287&gt;=5,"Moderado alto (5-5.9)",IF(J1287&gt;=4,"Moderado (4-4.9)","Menor a 4"))))</x:f>
        <x:v>Menor a 4</x:v>
      </x:c>
      <x:c r="L1287" s="25" t="str">
        <x:f>IF(I1287&lt;70,"Superficial (&lt;70 km)",IF(I1287&lt;=300,"Intermedio (70-300 km)","Profundo (&gt;300 km)"))</x:f>
        <x:v>Intermedio (70-300 km)</x:v>
      </x:c>
      <x:c r="M1287" s="25" t="str">
        <x:f>IF(J1287&gt;=5,"Sí","No")</x:f>
        <x:v>No</x:v>
      </x:c>
      <x:c r="N1287" s="25" t="str">
        <x:f>IF(J1287&gt;=6,"Sí","No")</x:f>
        <x:v>No</x:v>
      </x:c>
      <x:c r="O1287" s="25" t="str">
        <x:v>Pendiente: asignar con R/sf</x:v>
      </x:c>
    </x:row>
    <x:row r="1288">
      <x:c r="A1288" s="25" t="n">
        <x:v>1287</x:v>
      </x:c>
      <x:c r="B1288" s="26" t="n">
        <x:v>45370.00077546296</x:v>
      </x:c>
      <x:c r="C1288" s="27" t="n">
        <x:f>INT(B1288)</x:f>
        <x:v>45370</x:v>
      </x:c>
      <x:c r="D1288" s="28" t="n">
        <x:f>MOD(B1288,1)</x:f>
        <x:v>0.0007754629623377696</x:v>
      </x:c>
      <x:c r="E1288" s="29" t="n">
        <x:f>YEAR(B1288)</x:f>
        <x:v>2024</x:v>
      </x:c>
      <x:c r="F1288" s="29" t="n">
        <x:f>MONTH(B1288)</x:f>
        <x:v>3</x:v>
      </x:c>
      <x:c r="G1288" s="30" t="n">
        <x:v>-27.39</x:v>
      </x:c>
      <x:c r="H1288" s="30" t="n">
        <x:v>-69.74</x:v>
      </x:c>
      <x:c r="I1288" s="29" t="n">
        <x:v>112</x:v>
      </x:c>
      <x:c r="J1288" s="31" t="n">
        <x:v>4.2</x:v>
      </x:c>
      <x:c r="K1288" s="25" t="str">
        <x:f>IF(J1288&gt;=7,"Muy fuerte (&gt;=7)",IF(J1288&gt;=6,"Fuerte (6-6.9)",IF(J1288&gt;=5,"Moderado alto (5-5.9)",IF(J1288&gt;=4,"Moderado (4-4.9)","Menor a 4"))))</x:f>
        <x:v>Moderado (4-4.9)</x:v>
      </x:c>
      <x:c r="L1288" s="25" t="str">
        <x:f>IF(I1288&lt;70,"Superficial (&lt;70 km)",IF(I1288&lt;=300,"Intermedio (70-300 km)","Profundo (&gt;300 km)"))</x:f>
        <x:v>Intermedio (70-300 km)</x:v>
      </x:c>
      <x:c r="M1288" s="25" t="str">
        <x:f>IF(J1288&gt;=5,"Sí","No")</x:f>
        <x:v>No</x:v>
      </x:c>
      <x:c r="N1288" s="25" t="str">
        <x:f>IF(J1288&gt;=6,"Sí","No")</x:f>
        <x:v>No</x:v>
      </x:c>
      <x:c r="O1288" s="25" t="str">
        <x:v>Pendiente: asignar con R/sf</x:v>
      </x:c>
    </x:row>
    <x:row r="1289">
      <x:c r="A1289" s="25" t="n">
        <x:v>1288</x:v>
      </x:c>
      <x:c r="B1289" s="26" t="n">
        <x:v>45414.29006944445</x:v>
      </x:c>
      <x:c r="C1289" s="27" t="n">
        <x:f>INT(B1289)</x:f>
        <x:v>45414</x:v>
      </x:c>
      <x:c r="D1289" s="28" t="n">
        <x:f>MOD(B1289,1)</x:f>
        <x:v>0.2900694444469991</x:v>
      </x:c>
      <x:c r="E1289" s="29" t="n">
        <x:f>YEAR(B1289)</x:f>
        <x:v>2024</x:v>
      </x:c>
      <x:c r="F1289" s="29" t="n">
        <x:f>MONTH(B1289)</x:f>
        <x:v>5</x:v>
      </x:c>
      <x:c r="G1289" s="30" t="n">
        <x:v>-27.59</x:v>
      </x:c>
      <x:c r="H1289" s="30" t="n">
        <x:v>-69.95</x:v>
      </x:c>
      <x:c r="I1289" s="29" t="n">
        <x:v>96</x:v>
      </x:c>
      <x:c r="J1289" s="31" t="n">
        <x:v>3.9</x:v>
      </x:c>
      <x:c r="K1289" s="25" t="str">
        <x:f>IF(J1289&gt;=7,"Muy fuerte (&gt;=7)",IF(J1289&gt;=6,"Fuerte (6-6.9)",IF(J1289&gt;=5,"Moderado alto (5-5.9)",IF(J1289&gt;=4,"Moderado (4-4.9)","Menor a 4"))))</x:f>
        <x:v>Menor a 4</x:v>
      </x:c>
      <x:c r="L1289" s="25" t="str">
        <x:f>IF(I1289&lt;70,"Superficial (&lt;70 km)",IF(I1289&lt;=300,"Intermedio (70-300 km)","Profundo (&gt;300 km)"))</x:f>
        <x:v>Intermedio (70-300 km)</x:v>
      </x:c>
      <x:c r="M1289" s="25" t="str">
        <x:f>IF(J1289&gt;=5,"Sí","No")</x:f>
        <x:v>No</x:v>
      </x:c>
      <x:c r="N1289" s="25" t="str">
        <x:f>IF(J1289&gt;=6,"Sí","No")</x:f>
        <x:v>No</x:v>
      </x:c>
      <x:c r="O1289" s="25" t="str">
        <x:v>Pendiente: asignar con R/sf</x:v>
      </x:c>
    </x:row>
    <x:row r="1290">
      <x:c r="A1290" s="25" t="n">
        <x:v>1289</x:v>
      </x:c>
      <x:c r="B1290" s="26" t="n">
        <x:v>45560.88369212963</x:v>
      </x:c>
      <x:c r="C1290" s="27" t="n">
        <x:f>INT(B1290)</x:f>
        <x:v>45560</x:v>
      </x:c>
      <x:c r="D1290" s="28" t="n">
        <x:f>MOD(B1290,1)</x:f>
        <x:v>0.8836921296315268</x:v>
      </x:c>
      <x:c r="E1290" s="29" t="n">
        <x:f>YEAR(B1290)</x:f>
        <x:v>2024</x:v>
      </x:c>
      <x:c r="F1290" s="29" t="n">
        <x:f>MONTH(B1290)</x:f>
        <x:v>9</x:v>
      </x:c>
      <x:c r="G1290" s="30" t="n">
        <x:v>-28.54</x:v>
      </x:c>
      <x:c r="H1290" s="30" t="n">
        <x:v>-69.72</x:v>
      </x:c>
      <x:c r="I1290" s="29" t="n">
        <x:v>109</x:v>
      </x:c>
      <x:c r="J1290" s="31" t="n">
        <x:v>4.4</x:v>
      </x:c>
      <x:c r="K1290" s="25" t="str">
        <x:f>IF(J1290&gt;=7,"Muy fuerte (&gt;=7)",IF(J1290&gt;=6,"Fuerte (6-6.9)",IF(J1290&gt;=5,"Moderado alto (5-5.9)",IF(J1290&gt;=4,"Moderado (4-4.9)","Menor a 4"))))</x:f>
        <x:v>Moderado (4-4.9)</x:v>
      </x:c>
      <x:c r="L1290" s="25" t="str">
        <x:f>IF(I1290&lt;70,"Superficial (&lt;70 km)",IF(I1290&lt;=300,"Intermedio (70-300 km)","Profundo (&gt;300 km)"))</x:f>
        <x:v>Intermedio (70-300 km)</x:v>
      </x:c>
      <x:c r="M1290" s="25" t="str">
        <x:f>IF(J1290&gt;=5,"Sí","No")</x:f>
        <x:v>No</x:v>
      </x:c>
      <x:c r="N1290" s="25" t="str">
        <x:f>IF(J1290&gt;=6,"Sí","No")</x:f>
        <x:v>No</x:v>
      </x:c>
      <x:c r="O1290" s="25" t="str">
        <x:v>Pendiente: asignar con R/sf</x:v>
      </x:c>
    </x:row>
    <x:row r="1291">
      <x:c r="A1291" s="25" t="n">
        <x:v>1290</x:v>
      </x:c>
      <x:c r="B1291" s="26" t="n">
        <x:v>45576.62170138889</x:v>
      </x:c>
      <x:c r="C1291" s="27" t="n">
        <x:f>INT(B1291)</x:f>
        <x:v>45576</x:v>
      </x:c>
      <x:c r="D1291" s="28" t="n">
        <x:f>MOD(B1291,1)</x:f>
        <x:v>0.6217013888890506</x:v>
      </x:c>
      <x:c r="E1291" s="29" t="n">
        <x:f>YEAR(B1291)</x:f>
        <x:v>2024</x:v>
      </x:c>
      <x:c r="F1291" s="29" t="n">
        <x:f>MONTH(B1291)</x:f>
        <x:v>10</x:v>
      </x:c>
      <x:c r="G1291" s="30" t="n">
        <x:v>-28.43</x:v>
      </x:c>
      <x:c r="H1291" s="30" t="n">
        <x:v>-69.79</x:v>
      </x:c>
      <x:c r="I1291" s="29" t="n">
        <x:v>107</x:v>
      </x:c>
      <x:c r="J1291" s="31" t="n">
        <x:v>4.4</x:v>
      </x:c>
      <x:c r="K1291" s="25" t="str">
        <x:f>IF(J1291&gt;=7,"Muy fuerte (&gt;=7)",IF(J1291&gt;=6,"Fuerte (6-6.9)",IF(J1291&gt;=5,"Moderado alto (5-5.9)",IF(J1291&gt;=4,"Moderado (4-4.9)","Menor a 4"))))</x:f>
        <x:v>Moderado (4-4.9)</x:v>
      </x:c>
      <x:c r="L1291" s="25" t="str">
        <x:f>IF(I1291&lt;70,"Superficial (&lt;70 km)",IF(I1291&lt;=300,"Intermedio (70-300 km)","Profundo (&gt;300 km)"))</x:f>
        <x:v>Intermedio (70-300 km)</x:v>
      </x:c>
      <x:c r="M1291" s="25" t="str">
        <x:f>IF(J1291&gt;=5,"Sí","No")</x:f>
        <x:v>No</x:v>
      </x:c>
      <x:c r="N1291" s="25" t="str">
        <x:f>IF(J1291&gt;=6,"Sí","No")</x:f>
        <x:v>No</x:v>
      </x:c>
      <x:c r="O1291" s="25" t="str">
        <x:v>Pendiente: asignar con R/sf</x:v>
      </x:c>
    </x:row>
    <x:row r="1292">
      <x:c r="A1292" s="25" t="n">
        <x:v>1291</x:v>
      </x:c>
      <x:c r="B1292" s="26" t="n">
        <x:v>45580.815613425926</x:v>
      </x:c>
      <x:c r="C1292" s="27" t="n">
        <x:f>INT(B1292)</x:f>
        <x:v>45580</x:v>
      </x:c>
      <x:c r="D1292" s="28" t="n">
        <x:f>MOD(B1292,1)</x:f>
        <x:v>0.8156134259261307</x:v>
      </x:c>
      <x:c r="E1292" s="29" t="n">
        <x:f>YEAR(B1292)</x:f>
        <x:v>2024</x:v>
      </x:c>
      <x:c r="F1292" s="29" t="n">
        <x:f>MONTH(B1292)</x:f>
        <x:v>10</x:v>
      </x:c>
      <x:c r="G1292" s="30" t="n">
        <x:v>-27.51</x:v>
      </x:c>
      <x:c r="H1292" s="30" t="n">
        <x:v>-69.55</x:v>
      </x:c>
      <x:c r="I1292" s="29" t="n">
        <x:v>110</x:v>
      </x:c>
      <x:c r="J1292" s="31" t="n">
        <x:v>4.4</x:v>
      </x:c>
      <x:c r="K1292" s="25" t="str">
        <x:f>IF(J1292&gt;=7,"Muy fuerte (&gt;=7)",IF(J1292&gt;=6,"Fuerte (6-6.9)",IF(J1292&gt;=5,"Moderado alto (5-5.9)",IF(J1292&gt;=4,"Moderado (4-4.9)","Menor a 4"))))</x:f>
        <x:v>Moderado (4-4.9)</x:v>
      </x:c>
      <x:c r="L1292" s="25" t="str">
        <x:f>IF(I1292&lt;70,"Superficial (&lt;70 km)",IF(I1292&lt;=300,"Intermedio (70-300 km)","Profundo (&gt;300 km)"))</x:f>
        <x:v>Intermedio (70-300 km)</x:v>
      </x:c>
      <x:c r="M1292" s="25" t="str">
        <x:f>IF(J1292&gt;=5,"Sí","No")</x:f>
        <x:v>No</x:v>
      </x:c>
      <x:c r="N1292" s="25" t="str">
        <x:f>IF(J1292&gt;=6,"Sí","No")</x:f>
        <x:v>No</x:v>
      </x:c>
      <x:c r="O1292" s="25" t="str">
        <x:v>Pendiente: asignar con R/sf</x:v>
      </x:c>
    </x:row>
    <x:row r="1293">
      <x:c r="A1293" s="25" t="n">
        <x:v>1292</x:v>
      </x:c>
      <x:c r="B1293" s="26" t="n">
        <x:v>45589.090219907404</x:v>
      </x:c>
      <x:c r="C1293" s="27" t="n">
        <x:f>INT(B1293)</x:f>
        <x:v>45589</x:v>
      </x:c>
      <x:c r="D1293" s="28" t="n">
        <x:f>MOD(B1293,1)</x:f>
        <x:v>0.09021990740438923</x:v>
      </x:c>
      <x:c r="E1293" s="29" t="n">
        <x:f>YEAR(B1293)</x:f>
        <x:v>2024</x:v>
      </x:c>
      <x:c r="F1293" s="29" t="n">
        <x:f>MONTH(B1293)</x:f>
        <x:v>10</x:v>
      </x:c>
      <x:c r="G1293" s="30" t="n">
        <x:v>-27.31</x:v>
      </x:c>
      <x:c r="H1293" s="30" t="n">
        <x:v>-69.62</x:v>
      </x:c>
      <x:c r="I1293" s="29" t="n">
        <x:v>116</x:v>
      </x:c>
      <x:c r="J1293" s="31" t="n">
        <x:v>4.2</x:v>
      </x:c>
      <x:c r="K1293" s="25" t="str">
        <x:f>IF(J1293&gt;=7,"Muy fuerte (&gt;=7)",IF(J1293&gt;=6,"Fuerte (6-6.9)",IF(J1293&gt;=5,"Moderado alto (5-5.9)",IF(J1293&gt;=4,"Moderado (4-4.9)","Menor a 4"))))</x:f>
        <x:v>Moderado (4-4.9)</x:v>
      </x:c>
      <x:c r="L1293" s="25" t="str">
        <x:f>IF(I1293&lt;70,"Superficial (&lt;70 km)",IF(I1293&lt;=300,"Intermedio (70-300 km)","Profundo (&gt;300 km)"))</x:f>
        <x:v>Intermedio (70-300 km)</x:v>
      </x:c>
      <x:c r="M1293" s="25" t="str">
        <x:f>IF(J1293&gt;=5,"Sí","No")</x:f>
        <x:v>No</x:v>
      </x:c>
      <x:c r="N1293" s="25" t="str">
        <x:f>IF(J1293&gt;=6,"Sí","No")</x:f>
        <x:v>No</x:v>
      </x:c>
      <x:c r="O1293" s="25" t="str">
        <x:v>Pendiente: asignar con R/sf</x:v>
      </x:c>
    </x:row>
    <x:row r="1294">
      <x:c r="A1294" s="25" t="n">
        <x:v>1293</x:v>
      </x:c>
      <x:c r="B1294" s="26" t="n">
        <x:v>45711.0853125</x:v>
      </x:c>
      <x:c r="C1294" s="27" t="n">
        <x:f>INT(B1294)</x:f>
        <x:v>45711</x:v>
      </x:c>
      <x:c r="D1294" s="28" t="n">
        <x:f>MOD(B1294,1)</x:f>
        <x:v>0.08531249999941792</x:v>
      </x:c>
      <x:c r="E1294" s="29" t="n">
        <x:f>YEAR(B1294)</x:f>
        <x:v>2025</x:v>
      </x:c>
      <x:c r="F1294" s="29" t="n">
        <x:f>MONTH(B1294)</x:f>
        <x:v>2</x:v>
      </x:c>
      <x:c r="G1294" s="30" t="n">
        <x:v>-27.22</x:v>
      </x:c>
      <x:c r="H1294" s="30" t="n">
        <x:v>-70.19</x:v>
      </x:c>
      <x:c r="I1294" s="29" t="n">
        <x:v>97</x:v>
      </x:c>
      <x:c r="J1294" s="31" t="n">
        <x:v>3.7</x:v>
      </x:c>
      <x:c r="K1294" s="25" t="str">
        <x:f>IF(J1294&gt;=7,"Muy fuerte (&gt;=7)",IF(J1294&gt;=6,"Fuerte (6-6.9)",IF(J1294&gt;=5,"Moderado alto (5-5.9)",IF(J1294&gt;=4,"Moderado (4-4.9)","Menor a 4"))))</x:f>
        <x:v>Menor a 4</x:v>
      </x:c>
      <x:c r="L1294" s="25" t="str">
        <x:f>IF(I1294&lt;70,"Superficial (&lt;70 km)",IF(I1294&lt;=300,"Intermedio (70-300 km)","Profundo (&gt;300 km)"))</x:f>
        <x:v>Intermedio (70-300 km)</x:v>
      </x:c>
      <x:c r="M1294" s="25" t="str">
        <x:f>IF(J1294&gt;=5,"Sí","No")</x:f>
        <x:v>No</x:v>
      </x:c>
      <x:c r="N1294" s="25" t="str">
        <x:f>IF(J1294&gt;=6,"Sí","No")</x:f>
        <x:v>No</x:v>
      </x:c>
      <x:c r="O1294" s="25" t="str">
        <x:v>Pendiente: asignar con R/sf</x:v>
      </x:c>
    </x:row>
    <x:row r="1295">
      <x:c r="A1295" s="25" t="n">
        <x:v>1294</x:v>
      </x:c>
      <x:c r="B1295" s="26" t="n">
        <x:v>45713.88234953704</x:v>
      </x:c>
      <x:c r="C1295" s="27" t="n">
        <x:f>INT(B1295)</x:f>
        <x:v>45713</x:v>
      </x:c>
      <x:c r="D1295" s="28" t="n">
        <x:f>MOD(B1295,1)</x:f>
        <x:v>0.8823495370379533</x:v>
      </x:c>
      <x:c r="E1295" s="29" t="n">
        <x:f>YEAR(B1295)</x:f>
        <x:v>2025</x:v>
      </x:c>
      <x:c r="F1295" s="29" t="n">
        <x:f>MONTH(B1295)</x:f>
        <x:v>2</x:v>
      </x:c>
      <x:c r="G1295" s="30" t="n">
        <x:v>-27.52</x:v>
      </x:c>
      <x:c r="H1295" s="30" t="n">
        <x:v>-69.73</x:v>
      </x:c>
      <x:c r="I1295" s="29" t="n">
        <x:v>116</x:v>
      </x:c>
      <x:c r="J1295" s="31" t="n">
        <x:v>4.3</x:v>
      </x:c>
      <x:c r="K1295" s="25" t="str">
        <x:f>IF(J1295&gt;=7,"Muy fuerte (&gt;=7)",IF(J1295&gt;=6,"Fuerte (6-6.9)",IF(J1295&gt;=5,"Moderado alto (5-5.9)",IF(J1295&gt;=4,"Moderado (4-4.9)","Menor a 4"))))</x:f>
        <x:v>Moderado (4-4.9)</x:v>
      </x:c>
      <x:c r="L1295" s="25" t="str">
        <x:f>IF(I1295&lt;70,"Superficial (&lt;70 km)",IF(I1295&lt;=300,"Intermedio (70-300 km)","Profundo (&gt;300 km)"))</x:f>
        <x:v>Intermedio (70-300 km)</x:v>
      </x:c>
      <x:c r="M1295" s="25" t="str">
        <x:f>IF(J1295&gt;=5,"Sí","No")</x:f>
        <x:v>No</x:v>
      </x:c>
      <x:c r="N1295" s="25" t="str">
        <x:f>IF(J1295&gt;=6,"Sí","No")</x:f>
        <x:v>No</x:v>
      </x:c>
      <x:c r="O1295" s="25" t="str">
        <x:v>Pendiente: asignar con R/sf</x:v>
      </x:c>
    </x:row>
    <x:row r="1296">
      <x:c r="A1296" s="25" t="n">
        <x:v>1295</x:v>
      </x:c>
      <x:c r="B1296" s="26" t="n">
        <x:v>45736.30490740741</x:v>
      </x:c>
      <x:c r="C1296" s="27" t="n">
        <x:f>INT(B1296)</x:f>
        <x:v>45736</x:v>
      </x:c>
      <x:c r="D1296" s="28" t="n">
        <x:f>MOD(B1296,1)</x:f>
        <x:v>0.3049074074078817</x:v>
      </x:c>
      <x:c r="E1296" s="29" t="n">
        <x:f>YEAR(B1296)</x:f>
        <x:v>2025</x:v>
      </x:c>
      <x:c r="F1296" s="29" t="n">
        <x:f>MONTH(B1296)</x:f>
        <x:v>3</x:v>
      </x:c>
      <x:c r="G1296" s="30" t="n">
        <x:v>-27.17</x:v>
      </x:c>
      <x:c r="H1296" s="30" t="n">
        <x:v>-69.6</x:v>
      </x:c>
      <x:c r="I1296" s="29" t="n">
        <x:v>112</x:v>
      </x:c>
      <x:c r="J1296" s="31" t="n">
        <x:v>4.3</x:v>
      </x:c>
      <x:c r="K1296" s="25" t="str">
        <x:f>IF(J1296&gt;=7,"Muy fuerte (&gt;=7)",IF(J1296&gt;=6,"Fuerte (6-6.9)",IF(J1296&gt;=5,"Moderado alto (5-5.9)",IF(J1296&gt;=4,"Moderado (4-4.9)","Menor a 4"))))</x:f>
        <x:v>Moderado (4-4.9)</x:v>
      </x:c>
      <x:c r="L1296" s="25" t="str">
        <x:f>IF(I1296&lt;70,"Superficial (&lt;70 km)",IF(I1296&lt;=300,"Intermedio (70-300 km)","Profundo (&gt;300 km)"))</x:f>
        <x:v>Intermedio (70-300 km)</x:v>
      </x:c>
      <x:c r="M1296" s="25" t="str">
        <x:f>IF(J1296&gt;=5,"Sí","No")</x:f>
        <x:v>No</x:v>
      </x:c>
      <x:c r="N1296" s="25" t="str">
        <x:f>IF(J1296&gt;=6,"Sí","No")</x:f>
        <x:v>No</x:v>
      </x:c>
      <x:c r="O1296" s="25" t="str">
        <x:v>Pendiente: asignar con R/sf</x:v>
      </x:c>
    </x:row>
    <x:row r="1297">
      <x:c r="A1297" s="25" t="n">
        <x:v>1296</x:v>
      </x:c>
      <x:c r="B1297" s="26" t="n">
        <x:v>45745.33430555555</x:v>
      </x:c>
      <x:c r="C1297" s="27" t="n">
        <x:f>INT(B1297)</x:f>
        <x:v>45745</x:v>
      </x:c>
      <x:c r="D1297" s="28" t="n">
        <x:f>MOD(B1297,1)</x:f>
        <x:v>0.3343055555524188</x:v>
      </x:c>
      <x:c r="E1297" s="29" t="n">
        <x:f>YEAR(B1297)</x:f>
        <x:v>2025</x:v>
      </x:c>
      <x:c r="F1297" s="29" t="n">
        <x:f>MONTH(B1297)</x:f>
        <x:v>3</x:v>
      </x:c>
      <x:c r="G1297" s="30" t="n">
        <x:v>-26.62</x:v>
      </x:c>
      <x:c r="H1297" s="30" t="n">
        <x:v>-70.62</x:v>
      </x:c>
      <x:c r="I1297" s="29" t="n">
        <x:v>45</x:v>
      </x:c>
      <x:c r="J1297" s="31" t="n">
        <x:v>4.2</x:v>
      </x:c>
      <x:c r="K1297" s="25" t="str">
        <x:f>IF(J1297&gt;=7,"Muy fuerte (&gt;=7)",IF(J1297&gt;=6,"Fuerte (6-6.9)",IF(J1297&gt;=5,"Moderado alto (5-5.9)",IF(J1297&gt;=4,"Moderado (4-4.9)","Menor a 4"))))</x:f>
        <x:v>Moderado (4-4.9)</x:v>
      </x:c>
      <x:c r="L1297" s="25" t="str">
        <x:f>IF(I1297&lt;70,"Superficial (&lt;70 km)",IF(I1297&lt;=300,"Intermedio (70-300 km)","Profundo (&gt;300 km)"))</x:f>
        <x:v>Superficial (&lt;70 km)</x:v>
      </x:c>
      <x:c r="M1297" s="25" t="str">
        <x:f>IF(J1297&gt;=5,"Sí","No")</x:f>
        <x:v>No</x:v>
      </x:c>
      <x:c r="N1297" s="25" t="str">
        <x:f>IF(J1297&gt;=6,"Sí","No")</x:f>
        <x:v>No</x:v>
      </x:c>
      <x:c r="O1297" s="25" t="str">
        <x:v>Pendiente: asignar con R/sf</x:v>
      </x:c>
    </x:row>
    <x:row r="1298">
      <x:c r="A1298" s="25" t="n">
        <x:v>1297</x:v>
      </x:c>
      <x:c r="B1298" s="26" t="n">
        <x:v>45769.245891203704</x:v>
      </x:c>
      <x:c r="C1298" s="27" t="n">
        <x:f>INT(B1298)</x:f>
        <x:v>45769</x:v>
      </x:c>
      <x:c r="D1298" s="28" t="n">
        <x:f>MOD(B1298,1)</x:f>
        <x:v>0.2458912037036498</x:v>
      </x:c>
      <x:c r="E1298" s="29" t="n">
        <x:f>YEAR(B1298)</x:f>
        <x:v>2025</x:v>
      </x:c>
      <x:c r="F1298" s="29" t="n">
        <x:f>MONTH(B1298)</x:f>
        <x:v>4</x:v>
      </x:c>
      <x:c r="G1298" s="30" t="n">
        <x:v>-27.55</x:v>
      </x:c>
      <x:c r="H1298" s="30" t="n">
        <x:v>-69.44</x:v>
      </x:c>
      <x:c r="I1298" s="29" t="n">
        <x:v>114</x:v>
      </x:c>
      <x:c r="J1298" s="31" t="n">
        <x:v>4.6</x:v>
      </x:c>
      <x:c r="K1298" s="25" t="str">
        <x:f>IF(J1298&gt;=7,"Muy fuerte (&gt;=7)",IF(J1298&gt;=6,"Fuerte (6-6.9)",IF(J1298&gt;=5,"Moderado alto (5-5.9)",IF(J1298&gt;=4,"Moderado (4-4.9)","Menor a 4"))))</x:f>
        <x:v>Moderado (4-4.9)</x:v>
      </x:c>
      <x:c r="L1298" s="25" t="str">
        <x:f>IF(I1298&lt;70,"Superficial (&lt;70 km)",IF(I1298&lt;=300,"Intermedio (70-300 km)","Profundo (&gt;300 km)"))</x:f>
        <x:v>Intermedio (70-300 km)</x:v>
      </x:c>
      <x:c r="M1298" s="25" t="str">
        <x:f>IF(J1298&gt;=5,"Sí","No")</x:f>
        <x:v>No</x:v>
      </x:c>
      <x:c r="N1298" s="25" t="str">
        <x:f>IF(J1298&gt;=6,"Sí","No")</x:f>
        <x:v>No</x:v>
      </x:c>
      <x:c r="O1298" s="25" t="str">
        <x:v>Pendiente: asignar con R/sf</x:v>
      </x:c>
    </x:row>
    <x:row r="1299">
      <x:c r="A1299" s="25" t="n">
        <x:v>1298</x:v>
      </x:c>
      <x:c r="B1299" s="26" t="n">
        <x:v>45815.15644675926</x:v>
      </x:c>
      <x:c r="C1299" s="27" t="n">
        <x:f>INT(B1299)</x:f>
        <x:v>45815</x:v>
      </x:c>
      <x:c r="D1299" s="28" t="n">
        <x:f>MOD(B1299,1)</x:f>
        <x:v>0.15644675926159834</x:v>
      </x:c>
      <x:c r="E1299" s="29" t="n">
        <x:f>YEAR(B1299)</x:f>
        <x:v>2025</x:v>
      </x:c>
      <x:c r="F1299" s="29" t="n">
        <x:f>MONTH(B1299)</x:f>
        <x:v>6</x:v>
      </x:c>
      <x:c r="G1299" s="30" t="n">
        <x:v>-27.18</x:v>
      </x:c>
      <x:c r="H1299" s="30" t="n">
        <x:v>-69.91</x:v>
      </x:c>
      <x:c r="I1299" s="29" t="n">
        <x:v>105</x:v>
      </x:c>
      <x:c r="J1299" s="31" t="n">
        <x:v>3.8</x:v>
      </x:c>
      <x:c r="K1299" s="25" t="str">
        <x:f>IF(J1299&gt;=7,"Muy fuerte (&gt;=7)",IF(J1299&gt;=6,"Fuerte (6-6.9)",IF(J1299&gt;=5,"Moderado alto (5-5.9)",IF(J1299&gt;=4,"Moderado (4-4.9)","Menor a 4"))))</x:f>
        <x:v>Menor a 4</x:v>
      </x:c>
      <x:c r="L1299" s="25" t="str">
        <x:f>IF(I1299&lt;70,"Superficial (&lt;70 km)",IF(I1299&lt;=300,"Intermedio (70-300 km)","Profundo (&gt;300 km)"))</x:f>
        <x:v>Intermedio (70-300 km)</x:v>
      </x:c>
      <x:c r="M1299" s="25" t="str">
        <x:f>IF(J1299&gt;=5,"Sí","No")</x:f>
        <x:v>No</x:v>
      </x:c>
      <x:c r="N1299" s="25" t="str">
        <x:f>IF(J1299&gt;=6,"Sí","No")</x:f>
        <x:v>No</x:v>
      </x:c>
      <x:c r="O1299" s="25" t="str">
        <x:v>Pendiente: asignar con R/sf</x:v>
      </x:c>
    </x:row>
    <x:row r="1300">
      <x:c r="A1300" s="25" t="n">
        <x:v>1299</x:v>
      </x:c>
      <x:c r="B1300" s="26" t="n">
        <x:v>45524.457291666666</x:v>
      </x:c>
      <x:c r="C1300" s="27" t="n">
        <x:f>INT(B1300)</x:f>
        <x:v>45524</x:v>
      </x:c>
      <x:c r="D1300" s="28" t="n">
        <x:f>MOD(B1300,1)</x:f>
        <x:v>0.45729166666569654</x:v>
      </x:c>
      <x:c r="E1300" s="29" t="n">
        <x:f>YEAR(B1300)</x:f>
        <x:v>2024</x:v>
      </x:c>
      <x:c r="F1300" s="29" t="n">
        <x:f>MONTH(B1300)</x:f>
        <x:v>8</x:v>
      </x:c>
      <x:c r="G1300" s="30" t="n">
        <x:v>-28.81</x:v>
      </x:c>
      <x:c r="H1300" s="30" t="n">
        <x:v>-71.43</x:v>
      </x:c>
      <x:c r="I1300" s="29" t="n">
        <x:v>38</x:v>
      </x:c>
      <x:c r="J1300" s="31" t="n">
        <x:v>3.6</x:v>
      </x:c>
      <x:c r="K1300" s="25" t="str">
        <x:f>IF(J1300&gt;=7,"Muy fuerte (&gt;=7)",IF(J1300&gt;=6,"Fuerte (6-6.9)",IF(J1300&gt;=5,"Moderado alto (5-5.9)",IF(J1300&gt;=4,"Moderado (4-4.9)","Menor a 4"))))</x:f>
        <x:v>Menor a 4</x:v>
      </x:c>
      <x:c r="L1300" s="25" t="str">
        <x:f>IF(I1300&lt;70,"Superficial (&lt;70 km)",IF(I1300&lt;=300,"Intermedio (70-300 km)","Profundo (&gt;300 km)"))</x:f>
        <x:v>Superficial (&lt;70 km)</x:v>
      </x:c>
      <x:c r="M1300" s="25" t="str">
        <x:f>IF(J1300&gt;=5,"Sí","No")</x:f>
        <x:v>No</x:v>
      </x:c>
      <x:c r="N1300" s="25" t="str">
        <x:f>IF(J1300&gt;=6,"Sí","No")</x:f>
        <x:v>No</x:v>
      </x:c>
      <x:c r="O1300" s="25" t="str">
        <x:v>Pendiente: asignar con R/sf</x:v>
      </x:c>
    </x:row>
    <x:row r="1301">
      <x:c r="A1301" s="25" t="n">
        <x:v>1300</x:v>
      </x:c>
      <x:c r="B1301" s="26" t="n">
        <x:v>45609.144594907404</x:v>
      </x:c>
      <x:c r="C1301" s="27" t="n">
        <x:f>INT(B1301)</x:f>
        <x:v>45609</x:v>
      </x:c>
      <x:c r="D1301" s="28" t="n">
        <x:f>MOD(B1301,1)</x:f>
        <x:v>0.1445949074040982</x:v>
      </x:c>
      <x:c r="E1301" s="29" t="n">
        <x:f>YEAR(B1301)</x:f>
        <x:v>2024</x:v>
      </x:c>
      <x:c r="F1301" s="29" t="n">
        <x:f>MONTH(B1301)</x:f>
        <x:v>11</x:v>
      </x:c>
      <x:c r="G1301" s="30" t="n">
        <x:v>-29.05</x:v>
      </x:c>
      <x:c r="H1301" s="30" t="n">
        <x:v>-71.5</x:v>
      </x:c>
      <x:c r="I1301" s="29" t="n">
        <x:v>34</x:v>
      </x:c>
      <x:c r="J1301" s="31" t="n">
        <x:v>4.5</x:v>
      </x:c>
      <x:c r="K1301" s="25" t="str">
        <x:f>IF(J1301&gt;=7,"Muy fuerte (&gt;=7)",IF(J1301&gt;=6,"Fuerte (6-6.9)",IF(J1301&gt;=5,"Moderado alto (5-5.9)",IF(J1301&gt;=4,"Moderado (4-4.9)","Menor a 4"))))</x:f>
        <x:v>Moderado (4-4.9)</x:v>
      </x:c>
      <x:c r="L1301" s="25" t="str">
        <x:f>IF(I1301&lt;70,"Superficial (&lt;70 km)",IF(I1301&lt;=300,"Intermedio (70-300 km)","Profundo (&gt;300 km)"))</x:f>
        <x:v>Superficial (&lt;70 km)</x:v>
      </x:c>
      <x:c r="M1301" s="25" t="str">
        <x:f>IF(J1301&gt;=5,"Sí","No")</x:f>
        <x:v>No</x:v>
      </x:c>
      <x:c r="N1301" s="25" t="str">
        <x:f>IF(J1301&gt;=6,"Sí","No")</x:f>
        <x:v>No</x:v>
      </x:c>
      <x:c r="O1301" s="25" t="str">
        <x:v>Pendiente: asignar con R/sf</x:v>
      </x:c>
    </x:row>
    <x:row r="1302">
      <x:c r="A1302" s="25" t="n">
        <x:v>1301</x:v>
      </x:c>
      <x:c r="B1302" s="26" t="n">
        <x:v>45630.78991898148</x:v>
      </x:c>
      <x:c r="C1302" s="27" t="n">
        <x:f>INT(B1302)</x:f>
        <x:v>45630</x:v>
      </x:c>
      <x:c r="D1302" s="28" t="n">
        <x:f>MOD(B1302,1)</x:f>
        <x:v>0.7899189814779675</x:v>
      </x:c>
      <x:c r="E1302" s="29" t="n">
        <x:f>YEAR(B1302)</x:f>
        <x:v>2024</x:v>
      </x:c>
      <x:c r="F1302" s="29" t="n">
        <x:f>MONTH(B1302)</x:f>
        <x:v>12</x:v>
      </x:c>
      <x:c r="G1302" s="30" t="n">
        <x:v>-28.98</x:v>
      </x:c>
      <x:c r="H1302" s="30" t="n">
        <x:v>-71.33</x:v>
      </x:c>
      <x:c r="I1302" s="29" t="n">
        <x:v>56</x:v>
      </x:c>
      <x:c r="J1302" s="31" t="n">
        <x:v>3.7</x:v>
      </x:c>
      <x:c r="K1302" s="25" t="str">
        <x:f>IF(J1302&gt;=7,"Muy fuerte (&gt;=7)",IF(J1302&gt;=6,"Fuerte (6-6.9)",IF(J1302&gt;=5,"Moderado alto (5-5.9)",IF(J1302&gt;=4,"Moderado (4-4.9)","Menor a 4"))))</x:f>
        <x:v>Menor a 4</x:v>
      </x:c>
      <x:c r="L1302" s="25" t="str">
        <x:f>IF(I1302&lt;70,"Superficial (&lt;70 km)",IF(I1302&lt;=300,"Intermedio (70-300 km)","Profundo (&gt;300 km)"))</x:f>
        <x:v>Superficial (&lt;70 km)</x:v>
      </x:c>
      <x:c r="M1302" s="25" t="str">
        <x:f>IF(J1302&gt;=5,"Sí","No")</x:f>
        <x:v>No</x:v>
      </x:c>
      <x:c r="N1302" s="25" t="str">
        <x:f>IF(J1302&gt;=6,"Sí","No")</x:f>
        <x:v>No</x:v>
      </x:c>
      <x:c r="O1302" s="25" t="str">
        <x:v>Pendiente: asignar con R/sf</x:v>
      </x:c>
    </x:row>
    <x:row r="1303">
      <x:c r="A1303" s="25" t="n">
        <x:v>1302</x:v>
      </x:c>
      <x:c r="B1303" s="26" t="n">
        <x:v>45638.37925925926</x:v>
      </x:c>
      <x:c r="C1303" s="27" t="n">
        <x:f>INT(B1303)</x:f>
        <x:v>45638</x:v>
      </x:c>
      <x:c r="D1303" s="28" t="n">
        <x:f>MOD(B1303,1)</x:f>
        <x:v>0.3792592592581059</x:v>
      </x:c>
      <x:c r="E1303" s="29" t="n">
        <x:f>YEAR(B1303)</x:f>
        <x:v>2024</x:v>
      </x:c>
      <x:c r="F1303" s="29" t="n">
        <x:f>MONTH(B1303)</x:f>
        <x:v>12</x:v>
      </x:c>
      <x:c r="G1303" s="30" t="n">
        <x:v>-28.68</x:v>
      </x:c>
      <x:c r="H1303" s="30" t="n">
        <x:v>-71.42</x:v>
      </x:c>
      <x:c r="I1303" s="29" t="n">
        <x:v>49</x:v>
      </x:c>
      <x:c r="J1303" s="31" t="n">
        <x:v>4.1</x:v>
      </x:c>
      <x:c r="K1303" s="25" t="str">
        <x:f>IF(J1303&gt;=7,"Muy fuerte (&gt;=7)",IF(J1303&gt;=6,"Fuerte (6-6.9)",IF(J1303&gt;=5,"Moderado alto (5-5.9)",IF(J1303&gt;=4,"Moderado (4-4.9)","Menor a 4"))))</x:f>
        <x:v>Moderado (4-4.9)</x:v>
      </x:c>
      <x:c r="L1303" s="25" t="str">
        <x:f>IF(I1303&lt;70,"Superficial (&lt;70 km)",IF(I1303&lt;=300,"Intermedio (70-300 km)","Profundo (&gt;300 km)"))</x:f>
        <x:v>Superficial (&lt;70 km)</x:v>
      </x:c>
      <x:c r="M1303" s="25" t="str">
        <x:f>IF(J1303&gt;=5,"Sí","No")</x:f>
        <x:v>No</x:v>
      </x:c>
      <x:c r="N1303" s="25" t="str">
        <x:f>IF(J1303&gt;=6,"Sí","No")</x:f>
        <x:v>No</x:v>
      </x:c>
      <x:c r="O1303" s="25" t="str">
        <x:v>Pendiente: asignar con R/sf</x:v>
      </x:c>
    </x:row>
    <x:row r="1304">
      <x:c r="A1304" s="25" t="n">
        <x:v>1303</x:v>
      </x:c>
      <x:c r="B1304" s="26" t="n">
        <x:v>45656.41579861111</x:v>
      </x:c>
      <x:c r="C1304" s="27" t="n">
        <x:f>INT(B1304)</x:f>
        <x:v>45656</x:v>
      </x:c>
      <x:c r="D1304" s="28" t="n">
        <x:f>MOD(B1304,1)</x:f>
        <x:v>0.41579861110949423</x:v>
      </x:c>
      <x:c r="E1304" s="29" t="n">
        <x:f>YEAR(B1304)</x:f>
        <x:v>2024</x:v>
      </x:c>
      <x:c r="F1304" s="29" t="n">
        <x:f>MONTH(B1304)</x:f>
        <x:v>12</x:v>
      </x:c>
      <x:c r="G1304" s="30" t="n">
        <x:v>-29.37</x:v>
      </x:c>
      <x:c r="H1304" s="30" t="n">
        <x:v>-71.25</x:v>
      </x:c>
      <x:c r="I1304" s="29" t="n">
        <x:v>51</x:v>
      </x:c>
      <x:c r="J1304" s="31" t="n">
        <x:v>5</x:v>
      </x:c>
      <x:c r="K1304" s="25" t="str">
        <x:f>IF(J1304&gt;=7,"Muy fuerte (&gt;=7)",IF(J1304&gt;=6,"Fuerte (6-6.9)",IF(J1304&gt;=5,"Moderado alto (5-5.9)",IF(J1304&gt;=4,"Moderado (4-4.9)","Menor a 4"))))</x:f>
        <x:v>Moderado alto (5-5.9)</x:v>
      </x:c>
      <x:c r="L1304" s="25" t="str">
        <x:f>IF(I1304&lt;70,"Superficial (&lt;70 km)",IF(I1304&lt;=300,"Intermedio (70-300 km)","Profundo (&gt;300 km)"))</x:f>
        <x:v>Superficial (&lt;70 km)</x:v>
      </x:c>
      <x:c r="M1304" s="25" t="str">
        <x:f>IF(J1304&gt;=5,"Sí","No")</x:f>
        <x:v>Sí</x:v>
      </x:c>
      <x:c r="N1304" s="25" t="str">
        <x:f>IF(J1304&gt;=6,"Sí","No")</x:f>
        <x:v>No</x:v>
      </x:c>
      <x:c r="O1304" s="25" t="str">
        <x:v>Pendiente: asignar con R/sf</x:v>
      </x:c>
    </x:row>
    <x:row r="1305">
      <x:c r="A1305" s="25" t="n">
        <x:v>1304</x:v>
      </x:c>
      <x:c r="B1305" s="26" t="n">
        <x:v>45679.949594907404</x:v>
      </x:c>
      <x:c r="C1305" s="27" t="n">
        <x:f>INT(B1305)</x:f>
        <x:v>45679</x:v>
      </x:c>
      <x:c r="D1305" s="28" t="n">
        <x:f>MOD(B1305,1)</x:f>
        <x:v>0.9495949074043892</x:v>
      </x:c>
      <x:c r="E1305" s="29" t="n">
        <x:f>YEAR(B1305)</x:f>
        <x:v>2025</x:v>
      </x:c>
      <x:c r="F1305" s="29" t="n">
        <x:f>MONTH(B1305)</x:f>
        <x:v>1</x:v>
      </x:c>
      <x:c r="G1305" s="30" t="n">
        <x:v>-29.43</x:v>
      </x:c>
      <x:c r="H1305" s="30" t="n">
        <x:v>-71.07</x:v>
      </x:c>
      <x:c r="I1305" s="29" t="n">
        <x:v>62</x:v>
      </x:c>
      <x:c r="J1305" s="31" t="n">
        <x:v>4.4</x:v>
      </x:c>
      <x:c r="K1305" s="25" t="str">
        <x:f>IF(J1305&gt;=7,"Muy fuerte (&gt;=7)",IF(J1305&gt;=6,"Fuerte (6-6.9)",IF(J1305&gt;=5,"Moderado alto (5-5.9)",IF(J1305&gt;=4,"Moderado (4-4.9)","Menor a 4"))))</x:f>
        <x:v>Moderado (4-4.9)</x:v>
      </x:c>
      <x:c r="L1305" s="25" t="str">
        <x:f>IF(I1305&lt;70,"Superficial (&lt;70 km)",IF(I1305&lt;=300,"Intermedio (70-300 km)","Profundo (&gt;300 km)"))</x:f>
        <x:v>Superficial (&lt;70 km)</x:v>
      </x:c>
      <x:c r="M1305" s="25" t="str">
        <x:f>IF(J1305&gt;=5,"Sí","No")</x:f>
        <x:v>No</x:v>
      </x:c>
      <x:c r="N1305" s="25" t="str">
        <x:f>IF(J1305&gt;=6,"Sí","No")</x:f>
        <x:v>No</x:v>
      </x:c>
      <x:c r="O1305" s="25" t="str">
        <x:v>Pendiente: asignar con R/sf</x:v>
      </x:c>
    </x:row>
    <x:row r="1306">
      <x:c r="A1306" s="25" t="n">
        <x:v>1305</x:v>
      </x:c>
      <x:c r="B1306" s="26" t="n">
        <x:v>45721.590844907405</x:v>
      </x:c>
      <x:c r="C1306" s="27" t="n">
        <x:f>INT(B1306)</x:f>
        <x:v>45721</x:v>
      </x:c>
      <x:c r="D1306" s="28" t="n">
        <x:f>MOD(B1306,1)</x:f>
        <x:v>0.5908449074049713</x:v>
      </x:c>
      <x:c r="E1306" s="29" t="n">
        <x:f>YEAR(B1306)</x:f>
        <x:v>2025</x:v>
      </x:c>
      <x:c r="F1306" s="29" t="n">
        <x:f>MONTH(B1306)</x:f>
        <x:v>3</x:v>
      </x:c>
      <x:c r="G1306" s="30" t="n">
        <x:v>-29.34</x:v>
      </x:c>
      <x:c r="H1306" s="30" t="n">
        <x:v>-71.18</x:v>
      </x:c>
      <x:c r="I1306" s="29" t="n">
        <x:v>64</x:v>
      </x:c>
      <x:c r="J1306" s="31" t="n">
        <x:v>4.3</x:v>
      </x:c>
      <x:c r="K1306" s="25" t="str">
        <x:f>IF(J1306&gt;=7,"Muy fuerte (&gt;=7)",IF(J1306&gt;=6,"Fuerte (6-6.9)",IF(J1306&gt;=5,"Moderado alto (5-5.9)",IF(J1306&gt;=4,"Moderado (4-4.9)","Menor a 4"))))</x:f>
        <x:v>Moderado (4-4.9)</x:v>
      </x:c>
      <x:c r="L1306" s="25" t="str">
        <x:f>IF(I1306&lt;70,"Superficial (&lt;70 km)",IF(I1306&lt;=300,"Intermedio (70-300 km)","Profundo (&gt;300 km)"))</x:f>
        <x:v>Superficial (&lt;70 km)</x:v>
      </x:c>
      <x:c r="M1306" s="25" t="str">
        <x:f>IF(J1306&gt;=5,"Sí","No")</x:f>
        <x:v>No</x:v>
      </x:c>
      <x:c r="N1306" s="25" t="str">
        <x:f>IF(J1306&gt;=6,"Sí","No")</x:f>
        <x:v>No</x:v>
      </x:c>
      <x:c r="O1306" s="25" t="str">
        <x:v>Pendiente: asignar con R/sf</x:v>
      </x:c>
    </x:row>
    <x:row r="1307">
      <x:c r="A1307" s="25" t="n">
        <x:v>1306</x:v>
      </x:c>
      <x:c r="B1307" s="26" t="n">
        <x:v>45798.08537037037</x:v>
      </x:c>
      <x:c r="C1307" s="27" t="n">
        <x:f>INT(B1307)</x:f>
        <x:v>45798</x:v>
      </x:c>
      <x:c r="D1307" s="28" t="n">
        <x:f>MOD(B1307,1)</x:f>
        <x:v>0.08537037036876427</x:v>
      </x:c>
      <x:c r="E1307" s="29" t="n">
        <x:f>YEAR(B1307)</x:f>
        <x:v>2025</x:v>
      </x:c>
      <x:c r="F1307" s="29" t="n">
        <x:f>MONTH(B1307)</x:f>
        <x:v>5</x:v>
      </x:c>
      <x:c r="G1307" s="30" t="n">
        <x:v>-28.64</x:v>
      </x:c>
      <x:c r="H1307" s="30" t="n">
        <x:v>-71.31</x:v>
      </x:c>
      <x:c r="I1307" s="29" t="n">
        <x:v>32</x:v>
      </x:c>
      <x:c r="J1307" s="31" t="n">
        <x:v>4.4</x:v>
      </x:c>
      <x:c r="K1307" s="25" t="str">
        <x:f>IF(J1307&gt;=7,"Muy fuerte (&gt;=7)",IF(J1307&gt;=6,"Fuerte (6-6.9)",IF(J1307&gt;=5,"Moderado alto (5-5.9)",IF(J1307&gt;=4,"Moderado (4-4.9)","Menor a 4"))))</x:f>
        <x:v>Moderado (4-4.9)</x:v>
      </x:c>
      <x:c r="L1307" s="25" t="str">
        <x:f>IF(I1307&lt;70,"Superficial (&lt;70 km)",IF(I1307&lt;=300,"Intermedio (70-300 km)","Profundo (&gt;300 km)"))</x:f>
        <x:v>Superficial (&lt;70 km)</x:v>
      </x:c>
      <x:c r="M1307" s="25" t="str">
        <x:f>IF(J1307&gt;=5,"Sí","No")</x:f>
        <x:v>No</x:v>
      </x:c>
      <x:c r="N1307" s="25" t="str">
        <x:f>IF(J1307&gt;=6,"Sí","No")</x:f>
        <x:v>No</x:v>
      </x:c>
      <x:c r="O1307" s="25" t="str">
        <x:v>Pendiente: asignar con R/sf</x:v>
      </x:c>
    </x:row>
    <x:row r="1308">
      <x:c r="A1308" s="25" t="n">
        <x:v>1307</x:v>
      </x:c>
      <x:c r="B1308" s="26" t="n">
        <x:v>45832.123923611114</x:v>
      </x:c>
      <x:c r="C1308" s="27" t="n">
        <x:f>INT(B1308)</x:f>
        <x:v>45832</x:v>
      </x:c>
      <x:c r="D1308" s="28" t="n">
        <x:f>MOD(B1308,1)</x:f>
        <x:v>0.12392361111415084</x:v>
      </x:c>
      <x:c r="E1308" s="29" t="n">
        <x:f>YEAR(B1308)</x:f>
        <x:v>2025</x:v>
      </x:c>
      <x:c r="F1308" s="29" t="n">
        <x:f>MONTH(B1308)</x:f>
        <x:v>6</x:v>
      </x:c>
      <x:c r="G1308" s="30" t="n">
        <x:v>-29.34</x:v>
      </x:c>
      <x:c r="H1308" s="30" t="n">
        <x:v>-71.53</x:v>
      </x:c>
      <x:c r="I1308" s="29" t="n">
        <x:v>64</x:v>
      </x:c>
      <x:c r="J1308" s="31" t="n">
        <x:v>4.3</x:v>
      </x:c>
      <x:c r="K1308" s="25" t="str">
        <x:f>IF(J1308&gt;=7,"Muy fuerte (&gt;=7)",IF(J1308&gt;=6,"Fuerte (6-6.9)",IF(J1308&gt;=5,"Moderado alto (5-5.9)",IF(J1308&gt;=4,"Moderado (4-4.9)","Menor a 4"))))</x:f>
        <x:v>Moderado (4-4.9)</x:v>
      </x:c>
      <x:c r="L1308" s="25" t="str">
        <x:f>IF(I1308&lt;70,"Superficial (&lt;70 km)",IF(I1308&lt;=300,"Intermedio (70-300 km)","Profundo (&gt;300 km)"))</x:f>
        <x:v>Superficial (&lt;70 km)</x:v>
      </x:c>
      <x:c r="M1308" s="25" t="str">
        <x:f>IF(J1308&gt;=5,"Sí","No")</x:f>
        <x:v>No</x:v>
      </x:c>
      <x:c r="N1308" s="25" t="str">
        <x:f>IF(J1308&gt;=6,"Sí","No")</x:f>
        <x:v>No</x:v>
      </x:c>
      <x:c r="O1308" s="25" t="str">
        <x:v>Pendiente: asignar con R/sf</x:v>
      </x:c>
    </x:row>
    <x:row r="1309">
      <x:c r="A1309" s="25" t="n">
        <x:v>1308</x:v>
      </x:c>
      <x:c r="B1309" s="26" t="n">
        <x:v>44531.792650462965</x:v>
      </x:c>
      <x:c r="C1309" s="27" t="n">
        <x:f>INT(B1309)</x:f>
        <x:v>44531</x:v>
      </x:c>
      <x:c r="D1309" s="28" t="n">
        <x:f>MOD(B1309,1)</x:f>
        <x:v>0.7926504629649571</x:v>
      </x:c>
      <x:c r="E1309" s="29" t="n">
        <x:f>YEAR(B1309)</x:f>
        <x:v>2021</x:v>
      </x:c>
      <x:c r="F1309" s="29" t="n">
        <x:f>MONTH(B1309)</x:f>
        <x:v>12</x:v>
      </x:c>
      <x:c r="G1309" s="30" t="n">
        <x:v>-19.21</x:v>
      </x:c>
      <x:c r="H1309" s="30" t="n">
        <x:v>-70.31</x:v>
      </x:c>
      <x:c r="I1309" s="29" t="n">
        <x:v>74</x:v>
      </x:c>
      <x:c r="J1309" s="31" t="n">
        <x:v>3.5</x:v>
      </x:c>
      <x:c r="K1309" s="25" t="str">
        <x:f>IF(J1309&gt;=7,"Muy fuerte (&gt;=7)",IF(J1309&gt;=6,"Fuerte (6-6.9)",IF(J1309&gt;=5,"Moderado alto (5-5.9)",IF(J1309&gt;=4,"Moderado (4-4.9)","Menor a 4"))))</x:f>
        <x:v>Menor a 4</x:v>
      </x:c>
      <x:c r="L1309" s="25" t="str">
        <x:f>IF(I1309&lt;70,"Superficial (&lt;70 km)",IF(I1309&lt;=300,"Intermedio (70-300 km)","Profundo (&gt;300 km)"))</x:f>
        <x:v>Intermedio (70-300 km)</x:v>
      </x:c>
      <x:c r="M1309" s="25" t="str">
        <x:f>IF(J1309&gt;=5,"Sí","No")</x:f>
        <x:v>No</x:v>
      </x:c>
      <x:c r="N1309" s="25" t="str">
        <x:f>IF(J1309&gt;=6,"Sí","No")</x:f>
        <x:v>No</x:v>
      </x:c>
      <x:c r="O1309" s="25" t="str">
        <x:v>Pendiente: asignar con R/sf</x:v>
      </x:c>
    </x:row>
    <x:row r="1310">
      <x:c r="A1310" s="25" t="n">
        <x:v>1309</x:v>
      </x:c>
      <x:c r="B1310" s="26" t="n">
        <x:v>44804.84328703704</x:v>
      </x:c>
      <x:c r="C1310" s="27" t="n">
        <x:f>INT(B1310)</x:f>
        <x:v>44804</x:v>
      </x:c>
      <x:c r="D1310" s="28" t="n">
        <x:f>MOD(B1310,1)</x:f>
        <x:v>0.8432870370379533</x:v>
      </x:c>
      <x:c r="E1310" s="29" t="n">
        <x:f>YEAR(B1310)</x:f>
        <x:v>2022</x:v>
      </x:c>
      <x:c r="F1310" s="29" t="n">
        <x:f>MONTH(B1310)</x:f>
        <x:v>8</x:v>
      </x:c>
      <x:c r="G1310" s="30" t="n">
        <x:v>-19.11</x:v>
      </x:c>
      <x:c r="H1310" s="30" t="n">
        <x:v>-70.53</x:v>
      </x:c>
      <x:c r="I1310" s="29" t="n">
        <x:v>44</x:v>
      </x:c>
      <x:c r="J1310" s="31" t="n">
        <x:v>4</x:v>
      </x:c>
      <x:c r="K1310" s="25" t="str">
        <x:f>IF(J1310&gt;=7,"Muy fuerte (&gt;=7)",IF(J1310&gt;=6,"Fuerte (6-6.9)",IF(J1310&gt;=5,"Moderado alto (5-5.9)",IF(J1310&gt;=4,"Moderado (4-4.9)","Menor a 4"))))</x:f>
        <x:v>Moderado (4-4.9)</x:v>
      </x:c>
      <x:c r="L1310" s="25" t="str">
        <x:f>IF(I1310&lt;70,"Superficial (&lt;70 km)",IF(I1310&lt;=300,"Intermedio (70-300 km)","Profundo (&gt;300 km)"))</x:f>
        <x:v>Superficial (&lt;70 km)</x:v>
      </x:c>
      <x:c r="M1310" s="25" t="str">
        <x:f>IF(J1310&gt;=5,"Sí","No")</x:f>
        <x:v>No</x:v>
      </x:c>
      <x:c r="N1310" s="25" t="str">
        <x:f>IF(J1310&gt;=6,"Sí","No")</x:f>
        <x:v>No</x:v>
      </x:c>
      <x:c r="O1310" s="25" t="str">
        <x:v>Pendiente: asignar con R/sf</x:v>
      </x:c>
    </x:row>
    <x:row r="1311">
      <x:c r="A1311" s="25" t="n">
        <x:v>1310</x:v>
      </x:c>
      <x:c r="B1311" s="26" t="n">
        <x:v>44966.595983796295</x:v>
      </x:c>
      <x:c r="C1311" s="27" t="n">
        <x:f>INT(B1311)</x:f>
        <x:v>44966</x:v>
      </x:c>
      <x:c r="D1311" s="28" t="n">
        <x:f>MOD(B1311,1)</x:f>
        <x:v>0.595983796294604</x:v>
      </x:c>
      <x:c r="E1311" s="29" t="n">
        <x:f>YEAR(B1311)</x:f>
        <x:v>2023</x:v>
      </x:c>
      <x:c r="F1311" s="29" t="n">
        <x:f>MONTH(B1311)</x:f>
        <x:v>2</x:v>
      </x:c>
      <x:c r="G1311" s="30" t="n">
        <x:v>-19.25</x:v>
      </x:c>
      <x:c r="H1311" s="30" t="n">
        <x:v>-70.14</x:v>
      </x:c>
      <x:c r="I1311" s="29" t="n">
        <x:v>50</x:v>
      </x:c>
      <x:c r="J1311" s="31" t="n">
        <x:v>4</x:v>
      </x:c>
      <x:c r="K1311" s="25" t="str">
        <x:f>IF(J1311&gt;=7,"Muy fuerte (&gt;=7)",IF(J1311&gt;=6,"Fuerte (6-6.9)",IF(J1311&gt;=5,"Moderado alto (5-5.9)",IF(J1311&gt;=4,"Moderado (4-4.9)","Menor a 4"))))</x:f>
        <x:v>Moderado (4-4.9)</x:v>
      </x:c>
      <x:c r="L1311" s="25" t="str">
        <x:f>IF(I1311&lt;70,"Superficial (&lt;70 km)",IF(I1311&lt;=300,"Intermedio (70-300 km)","Profundo (&gt;300 km)"))</x:f>
        <x:v>Superficial (&lt;70 km)</x:v>
      </x:c>
      <x:c r="M1311" s="25" t="str">
        <x:f>IF(J1311&gt;=5,"Sí","No")</x:f>
        <x:v>No</x:v>
      </x:c>
      <x:c r="N1311" s="25" t="str">
        <x:f>IF(J1311&gt;=6,"Sí","No")</x:f>
        <x:v>No</x:v>
      </x:c>
      <x:c r="O1311" s="25" t="str">
        <x:v>Pendiente: asignar con R/sf</x:v>
      </x:c>
    </x:row>
    <x:row r="1312">
      <x:c r="A1312" s="25" t="n">
        <x:v>1311</x:v>
      </x:c>
      <x:c r="B1312" s="26" t="n">
        <x:v>45025.22539351852</x:v>
      </x:c>
      <x:c r="C1312" s="27" t="n">
        <x:f>INT(B1312)</x:f>
        <x:v>45025</x:v>
      </x:c>
      <x:c r="D1312" s="28" t="n">
        <x:f>MOD(B1312,1)</x:f>
        <x:v>0.2253935185217415</x:v>
      </x:c>
      <x:c r="E1312" s="29" t="n">
        <x:f>YEAR(B1312)</x:f>
        <x:v>2023</x:v>
      </x:c>
      <x:c r="F1312" s="29" t="n">
        <x:f>MONTH(B1312)</x:f>
        <x:v>4</x:v>
      </x:c>
      <x:c r="G1312" s="30" t="n">
        <x:v>-19.28</x:v>
      </x:c>
      <x:c r="H1312" s="30" t="n">
        <x:v>-70.2</x:v>
      </x:c>
      <x:c r="I1312" s="29" t="n">
        <x:v>44</x:v>
      </x:c>
      <x:c r="J1312" s="31" t="n">
        <x:v>4.3</x:v>
      </x:c>
      <x:c r="K1312" s="25" t="str">
        <x:f>IF(J1312&gt;=7,"Muy fuerte (&gt;=7)",IF(J1312&gt;=6,"Fuerte (6-6.9)",IF(J1312&gt;=5,"Moderado alto (5-5.9)",IF(J1312&gt;=4,"Moderado (4-4.9)","Menor a 4"))))</x:f>
        <x:v>Moderado (4-4.9)</x:v>
      </x:c>
      <x:c r="L1312" s="25" t="str">
        <x:f>IF(I1312&lt;70,"Superficial (&lt;70 km)",IF(I1312&lt;=300,"Intermedio (70-300 km)","Profundo (&gt;300 km)"))</x:f>
        <x:v>Superficial (&lt;70 km)</x:v>
      </x:c>
      <x:c r="M1312" s="25" t="str">
        <x:f>IF(J1312&gt;=5,"Sí","No")</x:f>
        <x:v>No</x:v>
      </x:c>
      <x:c r="N1312" s="25" t="str">
        <x:f>IF(J1312&gt;=6,"Sí","No")</x:f>
        <x:v>No</x:v>
      </x:c>
      <x:c r="O1312" s="25" t="str">
        <x:v>Pendiente: asignar con R/sf</x:v>
      </x:c>
    </x:row>
    <x:row r="1313">
      <x:c r="A1313" s="25" t="n">
        <x:v>1312</x:v>
      </x:c>
      <x:c r="B1313" s="26" t="n">
        <x:v>45096.93681712963</x:v>
      </x:c>
      <x:c r="C1313" s="27" t="n">
        <x:f>INT(B1313)</x:f>
        <x:v>45096</x:v>
      </x:c>
      <x:c r="D1313" s="28" t="n">
        <x:f>MOD(B1313,1)</x:f>
        <x:v>0.9368171296300716</x:v>
      </x:c>
      <x:c r="E1313" s="29" t="n">
        <x:f>YEAR(B1313)</x:f>
        <x:v>2023</x:v>
      </x:c>
      <x:c r="F1313" s="29" t="n">
        <x:f>MONTH(B1313)</x:f>
        <x:v>6</x:v>
      </x:c>
      <x:c r="G1313" s="30" t="n">
        <x:v>-19.34</x:v>
      </x:c>
      <x:c r="H1313" s="30" t="n">
        <x:v>-69.91</x:v>
      </x:c>
      <x:c r="I1313" s="29" t="n">
        <x:v>5</x:v>
      </x:c>
      <x:c r="J1313" s="31" t="n">
        <x:v>3.5</x:v>
      </x:c>
      <x:c r="K1313" s="25" t="str">
        <x:f>IF(J1313&gt;=7,"Muy fuerte (&gt;=7)",IF(J1313&gt;=6,"Fuerte (6-6.9)",IF(J1313&gt;=5,"Moderado alto (5-5.9)",IF(J1313&gt;=4,"Moderado (4-4.9)","Menor a 4"))))</x:f>
        <x:v>Menor a 4</x:v>
      </x:c>
      <x:c r="L1313" s="25" t="str">
        <x:f>IF(I1313&lt;70,"Superficial (&lt;70 km)",IF(I1313&lt;=300,"Intermedio (70-300 km)","Profundo (&gt;300 km)"))</x:f>
        <x:v>Superficial (&lt;70 km)</x:v>
      </x:c>
      <x:c r="M1313" s="25" t="str">
        <x:f>IF(J1313&gt;=5,"Sí","No")</x:f>
        <x:v>No</x:v>
      </x:c>
      <x:c r="N1313" s="25" t="str">
        <x:f>IF(J1313&gt;=6,"Sí","No")</x:f>
        <x:v>No</x:v>
      </x:c>
      <x:c r="O1313" s="25" t="str">
        <x:v>Pendiente: asignar con R/sf</x:v>
      </x:c>
    </x:row>
    <x:row r="1314">
      <x:c r="A1314" s="25" t="n">
        <x:v>1313</x:v>
      </x:c>
      <x:c r="B1314" s="26" t="n">
        <x:v>45151.591458333336</x:v>
      </x:c>
      <x:c r="C1314" s="27" t="n">
        <x:f>INT(B1314)</x:f>
        <x:v>45151</x:v>
      </x:c>
      <x:c r="D1314" s="28" t="n">
        <x:f>MOD(B1314,1)</x:f>
        <x:v>0.5914583333360497</x:v>
      </x:c>
      <x:c r="E1314" s="29" t="n">
        <x:f>YEAR(B1314)</x:f>
        <x:v>2023</x:v>
      </x:c>
      <x:c r="F1314" s="29" t="n">
        <x:f>MONTH(B1314)</x:f>
        <x:v>8</x:v>
      </x:c>
      <x:c r="G1314" s="30" t="n">
        <x:v>-19.28</x:v>
      </x:c>
      <x:c r="H1314" s="30" t="n">
        <x:v>-70.1</x:v>
      </x:c>
      <x:c r="I1314" s="29" t="n">
        <x:v>50</x:v>
      </x:c>
      <x:c r="J1314" s="31" t="n">
        <x:v>3.8</x:v>
      </x:c>
      <x:c r="K1314" s="25" t="str">
        <x:f>IF(J1314&gt;=7,"Muy fuerte (&gt;=7)",IF(J1314&gt;=6,"Fuerte (6-6.9)",IF(J1314&gt;=5,"Moderado alto (5-5.9)",IF(J1314&gt;=4,"Moderado (4-4.9)","Menor a 4"))))</x:f>
        <x:v>Menor a 4</x:v>
      </x:c>
      <x:c r="L1314" s="25" t="str">
        <x:f>IF(I1314&lt;70,"Superficial (&lt;70 km)",IF(I1314&lt;=300,"Intermedio (70-300 km)","Profundo (&gt;300 km)"))</x:f>
        <x:v>Superficial (&lt;70 km)</x:v>
      </x:c>
      <x:c r="M1314" s="25" t="str">
        <x:f>IF(J1314&gt;=5,"Sí","No")</x:f>
        <x:v>No</x:v>
      </x:c>
      <x:c r="N1314" s="25" t="str">
        <x:f>IF(J1314&gt;=6,"Sí","No")</x:f>
        <x:v>No</x:v>
      </x:c>
      <x:c r="O1314" s="25" t="str">
        <x:v>Pendiente: asignar con R/sf</x:v>
      </x:c>
    </x:row>
    <x:row r="1315">
      <x:c r="A1315" s="25" t="n">
        <x:v>1314</x:v>
      </x:c>
      <x:c r="B1315" s="26" t="n">
        <x:v>45338.26923611111</x:v>
      </x:c>
      <x:c r="C1315" s="27" t="n">
        <x:f>INT(B1315)</x:f>
        <x:v>45338</x:v>
      </x:c>
      <x:c r="D1315" s="28" t="n">
        <x:f>MOD(B1315,1)</x:f>
        <x:v>0.26923611111124046</x:v>
      </x:c>
      <x:c r="E1315" s="29" t="n">
        <x:f>YEAR(B1315)</x:f>
        <x:v>2024</x:v>
      </x:c>
      <x:c r="F1315" s="29" t="n">
        <x:f>MONTH(B1315)</x:f>
        <x:v>2</x:v>
      </x:c>
      <x:c r="G1315" s="30" t="n">
        <x:v>-19.67</x:v>
      </x:c>
      <x:c r="H1315" s="30" t="n">
        <x:v>-71</x:v>
      </x:c>
      <x:c r="I1315" s="29" t="n">
        <x:v>15</x:v>
      </x:c>
      <x:c r="J1315" s="31" t="n">
        <x:v>4.8</x:v>
      </x:c>
      <x:c r="K1315" s="25" t="str">
        <x:f>IF(J1315&gt;=7,"Muy fuerte (&gt;=7)",IF(J1315&gt;=6,"Fuerte (6-6.9)",IF(J1315&gt;=5,"Moderado alto (5-5.9)",IF(J1315&gt;=4,"Moderado (4-4.9)","Menor a 4"))))</x:f>
        <x:v>Moderado (4-4.9)</x:v>
      </x:c>
      <x:c r="L1315" s="25" t="str">
        <x:f>IF(I1315&lt;70,"Superficial (&lt;70 km)",IF(I1315&lt;=300,"Intermedio (70-300 km)","Profundo (&gt;300 km)"))</x:f>
        <x:v>Superficial (&lt;70 km)</x:v>
      </x:c>
      <x:c r="M1315" s="25" t="str">
        <x:f>IF(J1315&gt;=5,"Sí","No")</x:f>
        <x:v>No</x:v>
      </x:c>
      <x:c r="N1315" s="25" t="str">
        <x:f>IF(J1315&gt;=6,"Sí","No")</x:f>
        <x:v>No</x:v>
      </x:c>
      <x:c r="O1315" s="25" t="str">
        <x:v>Pendiente: asignar con R/sf</x:v>
      </x:c>
    </x:row>
    <x:row r="1316">
      <x:c r="A1316" s="25" t="n">
        <x:v>1315</x:v>
      </x:c>
      <x:c r="B1316" s="26" t="n">
        <x:v>45364.92390046296</x:v>
      </x:c>
      <x:c r="C1316" s="27" t="n">
        <x:f>INT(B1316)</x:f>
        <x:v>45364</x:v>
      </x:c>
      <x:c r="D1316" s="28" t="n">
        <x:f>MOD(B1316,1)</x:f>
        <x:v>0.9239004629635019</x:v>
      </x:c>
      <x:c r="E1316" s="29" t="n">
        <x:f>YEAR(B1316)</x:f>
        <x:v>2024</x:v>
      </x:c>
      <x:c r="F1316" s="29" t="n">
        <x:f>MONTH(B1316)</x:f>
        <x:v>3</x:v>
      </x:c>
      <x:c r="G1316" s="30" t="n">
        <x:v>-19.68</x:v>
      </x:c>
      <x:c r="H1316" s="30" t="n">
        <x:v>-70.96</x:v>
      </x:c>
      <x:c r="I1316" s="29" t="n">
        <x:v>33</x:v>
      </x:c>
      <x:c r="J1316" s="31" t="n">
        <x:v>4.4</x:v>
      </x:c>
      <x:c r="K1316" s="25" t="str">
        <x:f>IF(J1316&gt;=7,"Muy fuerte (&gt;=7)",IF(J1316&gt;=6,"Fuerte (6-6.9)",IF(J1316&gt;=5,"Moderado alto (5-5.9)",IF(J1316&gt;=4,"Moderado (4-4.9)","Menor a 4"))))</x:f>
        <x:v>Moderado (4-4.9)</x:v>
      </x:c>
      <x:c r="L1316" s="25" t="str">
        <x:f>IF(I1316&lt;70,"Superficial (&lt;70 km)",IF(I1316&lt;=300,"Intermedio (70-300 km)","Profundo (&gt;300 km)"))</x:f>
        <x:v>Superficial (&lt;70 km)</x:v>
      </x:c>
      <x:c r="M1316" s="25" t="str">
        <x:f>IF(J1316&gt;=5,"Sí","No")</x:f>
        <x:v>No</x:v>
      </x:c>
      <x:c r="N1316" s="25" t="str">
        <x:f>IF(J1316&gt;=6,"Sí","No")</x:f>
        <x:v>No</x:v>
      </x:c>
      <x:c r="O1316" s="25" t="str">
        <x:v>Pendiente: asignar con R/sf</x:v>
      </x:c>
    </x:row>
    <x:row r="1317">
      <x:c r="A1317" s="25" t="n">
        <x:v>1316</x:v>
      </x:c>
      <x:c r="B1317" s="26" t="n">
        <x:v>45578.435162037036</x:v>
      </x:c>
      <x:c r="C1317" s="27" t="n">
        <x:f>INT(B1317)</x:f>
        <x:v>45578</x:v>
      </x:c>
      <x:c r="D1317" s="28" t="n">
        <x:f>MOD(B1317,1)</x:f>
        <x:v>0.43516203703620704</x:v>
      </x:c>
      <x:c r="E1317" s="29" t="n">
        <x:f>YEAR(B1317)</x:f>
        <x:v>2024</x:v>
      </x:c>
      <x:c r="F1317" s="29" t="n">
        <x:f>MONTH(B1317)</x:f>
        <x:v>10</x:v>
      </x:c>
      <x:c r="G1317" s="30" t="n">
        <x:v>-19.32</x:v>
      </x:c>
      <x:c r="H1317" s="30" t="n">
        <x:v>-70.24</x:v>
      </x:c>
      <x:c r="I1317" s="29" t="n">
        <x:v>34</x:v>
      </x:c>
      <x:c r="J1317" s="31" t="n">
        <x:v>3.5</x:v>
      </x:c>
      <x:c r="K1317" s="25" t="str">
        <x:f>IF(J1317&gt;=7,"Muy fuerte (&gt;=7)",IF(J1317&gt;=6,"Fuerte (6-6.9)",IF(J1317&gt;=5,"Moderado alto (5-5.9)",IF(J1317&gt;=4,"Moderado (4-4.9)","Menor a 4"))))</x:f>
        <x:v>Menor a 4</x:v>
      </x:c>
      <x:c r="L1317" s="25" t="str">
        <x:f>IF(I1317&lt;70,"Superficial (&lt;70 km)",IF(I1317&lt;=300,"Intermedio (70-300 km)","Profundo (&gt;300 km)"))</x:f>
        <x:v>Superficial (&lt;70 km)</x:v>
      </x:c>
      <x:c r="M1317" s="25" t="str">
        <x:f>IF(J1317&gt;=5,"Sí","No")</x:f>
        <x:v>No</x:v>
      </x:c>
      <x:c r="N1317" s="25" t="str">
        <x:f>IF(J1317&gt;=6,"Sí","No")</x:f>
        <x:v>No</x:v>
      </x:c>
      <x:c r="O1317" s="25" t="str">
        <x:v>Pendiente: asignar con R/sf</x:v>
      </x:c>
    </x:row>
    <x:row r="1318">
      <x:c r="A1318" s="25" t="n">
        <x:v>1317</x:v>
      </x:c>
      <x:c r="B1318" s="26" t="n">
        <x:v>45773.799629629626</x:v>
      </x:c>
      <x:c r="C1318" s="27" t="n">
        <x:f>INT(B1318)</x:f>
        <x:v>45773</x:v>
      </x:c>
      <x:c r="D1318" s="28" t="n">
        <x:f>MOD(B1318,1)</x:f>
        <x:v>0.799629629625997</x:v>
      </x:c>
      <x:c r="E1318" s="29" t="n">
        <x:f>YEAR(B1318)</x:f>
        <x:v>2025</x:v>
      </x:c>
      <x:c r="F1318" s="29" t="n">
        <x:f>MONTH(B1318)</x:f>
        <x:v>4</x:v>
      </x:c>
      <x:c r="G1318" s="30" t="n">
        <x:v>-19.09</x:v>
      </x:c>
      <x:c r="H1318" s="30" t="n">
        <x:v>-70.04</x:v>
      </x:c>
      <x:c r="I1318" s="29" t="n">
        <x:v>66</x:v>
      </x:c>
      <x:c r="J1318" s="31" t="n">
        <x:v>4.2</x:v>
      </x:c>
      <x:c r="K1318" s="25" t="str">
        <x:f>IF(J1318&gt;=7,"Muy fuerte (&gt;=7)",IF(J1318&gt;=6,"Fuerte (6-6.9)",IF(J1318&gt;=5,"Moderado alto (5-5.9)",IF(J1318&gt;=4,"Moderado (4-4.9)","Menor a 4"))))</x:f>
        <x:v>Moderado (4-4.9)</x:v>
      </x:c>
      <x:c r="L1318" s="25" t="str">
        <x:f>IF(I1318&lt;70,"Superficial (&lt;70 km)",IF(I1318&lt;=300,"Intermedio (70-300 km)","Profundo (&gt;300 km)"))</x:f>
        <x:v>Superficial (&lt;70 km)</x:v>
      </x:c>
      <x:c r="M1318" s="25" t="str">
        <x:f>IF(J1318&gt;=5,"Sí","No")</x:f>
        <x:v>No</x:v>
      </x:c>
      <x:c r="N1318" s="25" t="str">
        <x:f>IF(J1318&gt;=6,"Sí","No")</x:f>
        <x:v>No</x:v>
      </x:c>
      <x:c r="O1318" s="25" t="str">
        <x:v>Pendiente: asignar con R/sf</x:v>
      </x:c>
    </x:row>
    <x:row r="1319">
      <x:c r="A1319" s="25" t="n">
        <x:v>1318</x:v>
      </x:c>
      <x:c r="B1319" s="26" t="n">
        <x:v>45789.623506944445</x:v>
      </x:c>
      <x:c r="C1319" s="27" t="n">
        <x:f>INT(B1319)</x:f>
        <x:v>45789</x:v>
      </x:c>
      <x:c r="D1319" s="28" t="n">
        <x:f>MOD(B1319,1)</x:f>
        <x:v>0.6235069444446708</x:v>
      </x:c>
      <x:c r="E1319" s="29" t="n">
        <x:f>YEAR(B1319)</x:f>
        <x:v>2025</x:v>
      </x:c>
      <x:c r="F1319" s="29" t="n">
        <x:f>MONTH(B1319)</x:f>
        <x:v>5</x:v>
      </x:c>
      <x:c r="G1319" s="30" t="n">
        <x:v>-18.37</x:v>
      </x:c>
      <x:c r="H1319" s="30" t="n">
        <x:v>-69.45</x:v>
      </x:c>
      <x:c r="I1319" s="29" t="n">
        <x:v>142</x:v>
      </x:c>
      <x:c r="J1319" s="31" t="n">
        <x:v>4.9</x:v>
      </x:c>
      <x:c r="K1319" s="25" t="str">
        <x:f>IF(J1319&gt;=7,"Muy fuerte (&gt;=7)",IF(J1319&gt;=6,"Fuerte (6-6.9)",IF(J1319&gt;=5,"Moderado alto (5-5.9)",IF(J1319&gt;=4,"Moderado (4-4.9)","Menor a 4"))))</x:f>
        <x:v>Moderado (4-4.9)</x:v>
      </x:c>
      <x:c r="L1319" s="25" t="str">
        <x:f>IF(I1319&lt;70,"Superficial (&lt;70 km)",IF(I1319&lt;=300,"Intermedio (70-300 km)","Profundo (&gt;300 km)"))</x:f>
        <x:v>Intermedio (70-300 km)</x:v>
      </x:c>
      <x:c r="M1319" s="25" t="str">
        <x:f>IF(J1319&gt;=5,"Sí","No")</x:f>
        <x:v>No</x:v>
      </x:c>
      <x:c r="N1319" s="25" t="str">
        <x:f>IF(J1319&gt;=6,"Sí","No")</x:f>
        <x:v>No</x:v>
      </x:c>
      <x:c r="O1319" s="25" t="str">
        <x:v>Pendiente: asignar con R/sf</x:v>
      </x:c>
    </x:row>
    <x:row r="1320">
      <x:c r="A1320" s="25" t="n">
        <x:v>1319</x:v>
      </x:c>
      <x:c r="B1320" s="26" t="n">
        <x:v>45802.79591435185</x:v>
      </x:c>
      <x:c r="C1320" s="27" t="n">
        <x:f>INT(B1320)</x:f>
        <x:v>45802</x:v>
      </x:c>
      <x:c r="D1320" s="28" t="n">
        <x:f>MOD(B1320,1)</x:f>
        <x:v>0.7959143518528435</x:v>
      </x:c>
      <x:c r="E1320" s="29" t="n">
        <x:f>YEAR(B1320)</x:f>
        <x:v>2025</x:v>
      </x:c>
      <x:c r="F1320" s="29" t="n">
        <x:f>MONTH(B1320)</x:f>
        <x:v>5</x:v>
      </x:c>
      <x:c r="G1320" s="30" t="n">
        <x:v>-18.94</x:v>
      </x:c>
      <x:c r="H1320" s="30" t="n">
        <x:v>-70.39</x:v>
      </x:c>
      <x:c r="I1320" s="29" t="n">
        <x:v>13</x:v>
      </x:c>
      <x:c r="J1320" s="31" t="n">
        <x:v>4</x:v>
      </x:c>
      <x:c r="K1320" s="25" t="str">
        <x:f>IF(J1320&gt;=7,"Muy fuerte (&gt;=7)",IF(J1320&gt;=6,"Fuerte (6-6.9)",IF(J1320&gt;=5,"Moderado alto (5-5.9)",IF(J1320&gt;=4,"Moderado (4-4.9)","Menor a 4"))))</x:f>
        <x:v>Moderado (4-4.9)</x:v>
      </x:c>
      <x:c r="L1320" s="25" t="str">
        <x:f>IF(I1320&lt;70,"Superficial (&lt;70 km)",IF(I1320&lt;=300,"Intermedio (70-300 km)","Profundo (&gt;300 km)"))</x:f>
        <x:v>Superficial (&lt;70 km)</x:v>
      </x:c>
      <x:c r="M1320" s="25" t="str">
        <x:f>IF(J1320&gt;=5,"Sí","No")</x:f>
        <x:v>No</x:v>
      </x:c>
      <x:c r="N1320" s="25" t="str">
        <x:f>IF(J1320&gt;=6,"Sí","No")</x:f>
        <x:v>No</x:v>
      </x:c>
      <x:c r="O1320" s="25" t="str">
        <x:v>Pendiente: asignar con R/sf</x:v>
      </x:c>
    </x:row>
    <x:row r="1321">
      <x:c r="A1321" s="25" t="n">
        <x:v>1320</x:v>
      </x:c>
      <x:c r="B1321" s="26" t="n">
        <x:v>45324.23</x:v>
      </x:c>
      <x:c r="C1321" s="27" t="n">
        <x:f>INT(B1321)</x:f>
        <x:v>45324</x:v>
      </x:c>
      <x:c r="D1321" s="28" t="n">
        <x:f>MOD(B1321,1)</x:f>
        <x:v>0.23000000000320142</x:v>
      </x:c>
      <x:c r="E1321" s="29" t="n">
        <x:f>YEAR(B1321)</x:f>
        <x:v>2024</x:v>
      </x:c>
      <x:c r="F1321" s="29" t="n">
        <x:f>MONTH(B1321)</x:f>
        <x:v>2</x:v>
      </x:c>
      <x:c r="G1321" s="30" t="n">
        <x:v>-18.29</x:v>
      </x:c>
      <x:c r="H1321" s="30" t="n">
        <x:v>-69.74</x:v>
      </x:c>
      <x:c r="I1321" s="29" t="n">
        <x:v>119</x:v>
      </x:c>
      <x:c r="J1321" s="31" t="n">
        <x:v>4.2</x:v>
      </x:c>
      <x:c r="K1321" s="25" t="str">
        <x:f>IF(J1321&gt;=7,"Muy fuerte (&gt;=7)",IF(J1321&gt;=6,"Fuerte (6-6.9)",IF(J1321&gt;=5,"Moderado alto (5-5.9)",IF(J1321&gt;=4,"Moderado (4-4.9)","Menor a 4"))))</x:f>
        <x:v>Moderado (4-4.9)</x:v>
      </x:c>
      <x:c r="L1321" s="25" t="str">
        <x:f>IF(I1321&lt;70,"Superficial (&lt;70 km)",IF(I1321&lt;=300,"Intermedio (70-300 km)","Profundo (&gt;300 km)"))</x:f>
        <x:v>Intermedio (70-300 km)</x:v>
      </x:c>
      <x:c r="M1321" s="25" t="str">
        <x:f>IF(J1321&gt;=5,"Sí","No")</x:f>
        <x:v>No</x:v>
      </x:c>
      <x:c r="N1321" s="25" t="str">
        <x:f>IF(J1321&gt;=6,"Sí","No")</x:f>
        <x:v>No</x:v>
      </x:c>
      <x:c r="O1321" s="25" t="str">
        <x:v>Pendiente: asignar con R/sf</x:v>
      </x:c>
    </x:row>
    <x:row r="1322">
      <x:c r="A1322" s="25" t="n">
        <x:v>1321</x:v>
      </x:c>
      <x:c r="B1322" s="26" t="n">
        <x:v>45666.86980324074</x:v>
      </x:c>
      <x:c r="C1322" s="27" t="n">
        <x:f>INT(B1322)</x:f>
        <x:v>45666</x:v>
      </x:c>
      <x:c r="D1322" s="28" t="n">
        <x:f>MOD(B1322,1)</x:f>
        <x:v>0.869803240741021</x:v>
      </x:c>
      <x:c r="E1322" s="29" t="n">
        <x:f>YEAR(B1322)</x:f>
        <x:v>2025</x:v>
      </x:c>
      <x:c r="F1322" s="29" t="n">
        <x:f>MONTH(B1322)</x:f>
        <x:v>1</x:v>
      </x:c>
      <x:c r="G1322" s="30" t="n">
        <x:v>-18.97</x:v>
      </x:c>
      <x:c r="H1322" s="30" t="n">
        <x:v>-69.45</x:v>
      </x:c>
      <x:c r="I1322" s="29" t="n">
        <x:v>101</x:v>
      </x:c>
      <x:c r="J1322" s="31" t="n">
        <x:v>4.8</x:v>
      </x:c>
      <x:c r="K1322" s="25" t="str">
        <x:f>IF(J1322&gt;=7,"Muy fuerte (&gt;=7)",IF(J1322&gt;=6,"Fuerte (6-6.9)",IF(J1322&gt;=5,"Moderado alto (5-5.9)",IF(J1322&gt;=4,"Moderado (4-4.9)","Menor a 4"))))</x:f>
        <x:v>Moderado (4-4.9)</x:v>
      </x:c>
      <x:c r="L1322" s="25" t="str">
        <x:f>IF(I1322&lt;70,"Superficial (&lt;70 km)",IF(I1322&lt;=300,"Intermedio (70-300 km)","Profundo (&gt;300 km)"))</x:f>
        <x:v>Intermedio (70-300 km)</x:v>
      </x:c>
      <x:c r="M1322" s="25" t="str">
        <x:f>IF(J1322&gt;=5,"Sí","No")</x:f>
        <x:v>No</x:v>
      </x:c>
      <x:c r="N1322" s="25" t="str">
        <x:f>IF(J1322&gt;=6,"Sí","No")</x:f>
        <x:v>No</x:v>
      </x:c>
      <x:c r="O1322" s="25" t="str">
        <x:v>Pendiente: asignar con R/sf</x:v>
      </x:c>
    </x:row>
    <x:row r="1323">
      <x:c r="A1323" s="25" t="n">
        <x:v>1322</x:v>
      </x:c>
      <x:c r="B1323" s="26" t="n">
        <x:v>45833.81009259259</x:v>
      </x:c>
      <x:c r="C1323" s="27" t="n">
        <x:f>INT(B1323)</x:f>
        <x:v>45833</x:v>
      </x:c>
      <x:c r="D1323" s="28" t="n">
        <x:f>MOD(B1323,1)</x:f>
        <x:v>0.810092592590081</x:v>
      </x:c>
      <x:c r="E1323" s="29" t="n">
        <x:f>YEAR(B1323)</x:f>
        <x:v>2025</x:v>
      </x:c>
      <x:c r="F1323" s="29" t="n">
        <x:f>MONTH(B1323)</x:f>
        <x:v>6</x:v>
      </x:c>
      <x:c r="G1323" s="30" t="n">
        <x:v>-19.44</x:v>
      </x:c>
      <x:c r="H1323" s="30" t="n">
        <x:v>-70.18</x:v>
      </x:c>
      <x:c r="I1323" s="29" t="n">
        <x:v>39</x:v>
      </x:c>
      <x:c r="J1323" s="31" t="n">
        <x:v>4.2</x:v>
      </x:c>
      <x:c r="K1323" s="25" t="str">
        <x:f>IF(J1323&gt;=7,"Muy fuerte (&gt;=7)",IF(J1323&gt;=6,"Fuerte (6-6.9)",IF(J1323&gt;=5,"Moderado alto (5-5.9)",IF(J1323&gt;=4,"Moderado (4-4.9)","Menor a 4"))))</x:f>
        <x:v>Moderado (4-4.9)</x:v>
      </x:c>
      <x:c r="L1323" s="25" t="str">
        <x:f>IF(I1323&lt;70,"Superficial (&lt;70 km)",IF(I1323&lt;=300,"Intermedio (70-300 km)","Profundo (&gt;300 km)"))</x:f>
        <x:v>Superficial (&lt;70 km)</x:v>
      </x:c>
      <x:c r="M1323" s="25" t="str">
        <x:f>IF(J1323&gt;=5,"Sí","No")</x:f>
        <x:v>No</x:v>
      </x:c>
      <x:c r="N1323" s="25" t="str">
        <x:f>IF(J1323&gt;=6,"Sí","No")</x:f>
        <x:v>No</x:v>
      </x:c>
      <x:c r="O1323" s="25" t="str">
        <x:v>Pendiente: asignar con R/sf</x:v>
      </x:c>
    </x:row>
    <x:row r="1324">
      <x:c r="A1324" s="25" t="n">
        <x:v>1323</x:v>
      </x:c>
      <x:c r="B1324" s="26" t="n">
        <x:v>45848.393125</x:v>
      </x:c>
      <x:c r="C1324" s="27" t="n">
        <x:f>INT(B1324)</x:f>
        <x:v>45848</x:v>
      </x:c>
      <x:c r="D1324" s="28" t="n">
        <x:f>MOD(B1324,1)</x:f>
        <x:v>0.3931250000023283</x:v>
      </x:c>
      <x:c r="E1324" s="29" t="n">
        <x:f>YEAR(B1324)</x:f>
        <x:v>2025</x:v>
      </x:c>
      <x:c r="F1324" s="29" t="n">
        <x:f>MONTH(B1324)</x:f>
        <x:v>7</x:v>
      </x:c>
      <x:c r="G1324" s="30" t="n">
        <x:v>-19.02</x:v>
      </x:c>
      <x:c r="H1324" s="30" t="n">
        <x:v>-69.26</x:v>
      </x:c>
      <x:c r="I1324" s="29" t="n">
        <x:v>115</x:v>
      </x:c>
      <x:c r="J1324" s="31" t="n">
        <x:v>5.1</x:v>
      </x:c>
      <x:c r="K1324" s="25" t="str">
        <x:f>IF(J1324&gt;=7,"Muy fuerte (&gt;=7)",IF(J1324&gt;=6,"Fuerte (6-6.9)",IF(J1324&gt;=5,"Moderado alto (5-5.9)",IF(J1324&gt;=4,"Moderado (4-4.9)","Menor a 4"))))</x:f>
        <x:v>Moderado alto (5-5.9)</x:v>
      </x:c>
      <x:c r="L1324" s="25" t="str">
        <x:f>IF(I1324&lt;70,"Superficial (&lt;70 km)",IF(I1324&lt;=300,"Intermedio (70-300 km)","Profundo (&gt;300 km)"))</x:f>
        <x:v>Intermedio (70-300 km)</x:v>
      </x:c>
      <x:c r="M1324" s="25" t="str">
        <x:f>IF(J1324&gt;=5,"Sí","No")</x:f>
        <x:v>Sí</x:v>
      </x:c>
      <x:c r="N1324" s="25" t="str">
        <x:f>IF(J1324&gt;=6,"Sí","No")</x:f>
        <x:v>No</x:v>
      </x:c>
      <x:c r="O1324" s="25" t="str">
        <x:v>Pendiente: asignar con R/sf</x:v>
      </x:c>
    </x:row>
    <x:row r="1325">
      <x:c r="A1325" s="25" t="n">
        <x:v>1324</x:v>
      </x:c>
      <x:c r="B1325" s="26" t="n">
        <x:v>45859.19422453704</x:v>
      </x:c>
      <x:c r="C1325" s="27" t="n">
        <x:f>INT(B1325)</x:f>
        <x:v>45859</x:v>
      </x:c>
      <x:c r="D1325" s="28" t="n">
        <x:f>MOD(B1325,1)</x:f>
        <x:v>0.1942245370373712</x:v>
      </x:c>
      <x:c r="E1325" s="29" t="n">
        <x:f>YEAR(B1325)</x:f>
        <x:v>2025</x:v>
      </x:c>
      <x:c r="F1325" s="29" t="n">
        <x:f>MONTH(B1325)</x:f>
        <x:v>7</x:v>
      </x:c>
      <x:c r="G1325" s="30" t="n">
        <x:v>-18.95</x:v>
      </x:c>
      <x:c r="H1325" s="30" t="n">
        <x:v>-69.61</x:v>
      </x:c>
      <x:c r="I1325" s="29" t="n">
        <x:v>101</x:v>
      </x:c>
      <x:c r="J1325" s="31" t="n">
        <x:v>4</x:v>
      </x:c>
      <x:c r="K1325" s="25" t="str">
        <x:f>IF(J1325&gt;=7,"Muy fuerte (&gt;=7)",IF(J1325&gt;=6,"Fuerte (6-6.9)",IF(J1325&gt;=5,"Moderado alto (5-5.9)",IF(J1325&gt;=4,"Moderado (4-4.9)","Menor a 4"))))</x:f>
        <x:v>Moderado (4-4.9)</x:v>
      </x:c>
      <x:c r="L1325" s="25" t="str">
        <x:f>IF(I1325&lt;70,"Superficial (&lt;70 km)",IF(I1325&lt;=300,"Intermedio (70-300 km)","Profundo (&gt;300 km)"))</x:f>
        <x:v>Intermedio (70-300 km)</x:v>
      </x:c>
      <x:c r="M1325" s="25" t="str">
        <x:f>IF(J1325&gt;=5,"Sí","No")</x:f>
        <x:v>No</x:v>
      </x:c>
      <x:c r="N1325" s="25" t="str">
        <x:f>IF(J1325&gt;=6,"Sí","No")</x:f>
        <x:v>No</x:v>
      </x:c>
      <x:c r="O1325" s="25" t="str">
        <x:v>Pendiente: asignar con R/sf</x:v>
      </x:c>
    </x:row>
    <x:row r="1326">
      <x:c r="A1326" s="25" t="n">
        <x:v>1325</x:v>
      </x:c>
      <x:c r="B1326" s="26" t="n">
        <x:v>45859.368472222224</x:v>
      </x:c>
      <x:c r="C1326" s="27" t="n">
        <x:f>INT(B1326)</x:f>
        <x:v>45859</x:v>
      </x:c>
      <x:c r="D1326" s="28" t="n">
        <x:f>MOD(B1326,1)</x:f>
        <x:v>0.36847222222422715</x:v>
      </x:c>
      <x:c r="E1326" s="29" t="n">
        <x:f>YEAR(B1326)</x:f>
        <x:v>2025</x:v>
      </x:c>
      <x:c r="F1326" s="29" t="n">
        <x:f>MONTH(B1326)</x:f>
        <x:v>7</x:v>
      </x:c>
      <x:c r="G1326" s="30" t="n">
        <x:v>-20.01</x:v>
      </x:c>
      <x:c r="H1326" s="30" t="n">
        <x:v>-70.25</x:v>
      </x:c>
      <x:c r="I1326" s="29" t="n">
        <x:v>40</x:v>
      </x:c>
      <x:c r="J1326" s="31" t="n">
        <x:v>4.4</x:v>
      </x:c>
      <x:c r="K1326" s="25" t="str">
        <x:f>IF(J1326&gt;=7,"Muy fuerte (&gt;=7)",IF(J1326&gt;=6,"Fuerte (6-6.9)",IF(J1326&gt;=5,"Moderado alto (5-5.9)",IF(J1326&gt;=4,"Moderado (4-4.9)","Menor a 4"))))</x:f>
        <x:v>Moderado (4-4.9)</x:v>
      </x:c>
      <x:c r="L1326" s="25" t="str">
        <x:f>IF(I1326&lt;70,"Superficial (&lt;70 km)",IF(I1326&lt;=300,"Intermedio (70-300 km)","Profundo (&gt;300 km)"))</x:f>
        <x:v>Superficial (&lt;70 km)</x:v>
      </x:c>
      <x:c r="M1326" s="25" t="str">
        <x:f>IF(J1326&gt;=5,"Sí","No")</x:f>
        <x:v>No</x:v>
      </x:c>
      <x:c r="N1326" s="25" t="str">
        <x:f>IF(J1326&gt;=6,"Sí","No")</x:f>
        <x:v>No</x:v>
      </x:c>
      <x:c r="O1326" s="25" t="str">
        <x:v>Pendiente: asignar con R/sf</x:v>
      </x:c>
    </x:row>
    <x:row r="1327">
      <x:c r="A1327" s="25" t="n">
        <x:v>1326</x:v>
      </x:c>
      <x:c r="B1327" s="26" t="n">
        <x:v>45699.083645833336</x:v>
      </x:c>
      <x:c r="C1327" s="27" t="n">
        <x:f>INT(B1327)</x:f>
        <x:v>45699</x:v>
      </x:c>
      <x:c r="D1327" s="28" t="n">
        <x:f>MOD(B1327,1)</x:f>
        <x:v>0.08364583333604969</x:v>
      </x:c>
      <x:c r="E1327" s="29" t="n">
        <x:f>YEAR(B1327)</x:f>
        <x:v>2025</x:v>
      </x:c>
      <x:c r="F1327" s="29" t="n">
        <x:f>MONTH(B1327)</x:f>
        <x:v>2</x:v>
      </x:c>
      <x:c r="G1327" s="30" t="n">
        <x:v>-18.3</x:v>
      </x:c>
      <x:c r="H1327" s="30" t="n">
        <x:v>-69.81</x:v>
      </x:c>
      <x:c r="I1327" s="29" t="n">
        <x:v>117</x:v>
      </x:c>
      <x:c r="J1327" s="31" t="n">
        <x:v>4.7</x:v>
      </x:c>
      <x:c r="K1327" s="25" t="str">
        <x:f>IF(J1327&gt;=7,"Muy fuerte (&gt;=7)",IF(J1327&gt;=6,"Fuerte (6-6.9)",IF(J1327&gt;=5,"Moderado alto (5-5.9)",IF(J1327&gt;=4,"Moderado (4-4.9)","Menor a 4"))))</x:f>
        <x:v>Moderado (4-4.9)</x:v>
      </x:c>
      <x:c r="L1327" s="25" t="str">
        <x:f>IF(I1327&lt;70,"Superficial (&lt;70 km)",IF(I1327&lt;=300,"Intermedio (70-300 km)","Profundo (&gt;300 km)"))</x:f>
        <x:v>Intermedio (70-300 km)</x:v>
      </x:c>
      <x:c r="M1327" s="25" t="str">
        <x:f>IF(J1327&gt;=5,"Sí","No")</x:f>
        <x:v>No</x:v>
      </x:c>
      <x:c r="N1327" s="25" t="str">
        <x:f>IF(J1327&gt;=6,"Sí","No")</x:f>
        <x:v>No</x:v>
      </x:c>
      <x:c r="O1327" s="25" t="str">
        <x:v>Pendiente: asignar con R/sf</x:v>
      </x:c>
    </x:row>
    <x:row r="1328">
      <x:c r="A1328" s="25" t="n">
        <x:v>1327</x:v>
      </x:c>
      <x:c r="B1328" s="26" t="n">
        <x:v>44781.84159722222</x:v>
      </x:c>
      <x:c r="C1328" s="27" t="n">
        <x:f>INT(B1328)</x:f>
        <x:v>44781</x:v>
      </x:c>
      <x:c r="D1328" s="28" t="n">
        <x:f>MOD(B1328,1)</x:f>
        <x:v>0.8415972222210257</x:v>
      </x:c>
      <x:c r="E1328" s="29" t="n">
        <x:f>YEAR(B1328)</x:f>
        <x:v>2022</x:v>
      </x:c>
      <x:c r="F1328" s="29" t="n">
        <x:f>MONTH(B1328)</x:f>
        <x:v>8</x:v>
      </x:c>
      <x:c r="G1328" s="30" t="n">
        <x:v>-20.31</x:v>
      </x:c>
      <x:c r="H1328" s="30" t="n">
        <x:v>-69.29</x:v>
      </x:c>
      <x:c r="I1328" s="29" t="n">
        <x:v>108</x:v>
      </x:c>
      <x:c r="J1328" s="31" t="n">
        <x:v>3.8</x:v>
      </x:c>
      <x:c r="K1328" s="25" t="str">
        <x:f>IF(J1328&gt;=7,"Muy fuerte (&gt;=7)",IF(J1328&gt;=6,"Fuerte (6-6.9)",IF(J1328&gt;=5,"Moderado alto (5-5.9)",IF(J1328&gt;=4,"Moderado (4-4.9)","Menor a 4"))))</x:f>
        <x:v>Menor a 4</x:v>
      </x:c>
      <x:c r="L1328" s="25" t="str">
        <x:f>IF(I1328&lt;70,"Superficial (&lt;70 km)",IF(I1328&lt;=300,"Intermedio (70-300 km)","Profundo (&gt;300 km)"))</x:f>
        <x:v>Intermedio (70-300 km)</x:v>
      </x:c>
      <x:c r="M1328" s="25" t="str">
        <x:f>IF(J1328&gt;=5,"Sí","No")</x:f>
        <x:v>No</x:v>
      </x:c>
      <x:c r="N1328" s="25" t="str">
        <x:f>IF(J1328&gt;=6,"Sí","No")</x:f>
        <x:v>No</x:v>
      </x:c>
      <x:c r="O1328" s="25" t="str">
        <x:v>Pendiente: asignar con R/sf</x:v>
      </x:c>
    </x:row>
    <x:row r="1329">
      <x:c r="A1329" s="25" t="n">
        <x:v>1328</x:v>
      </x:c>
      <x:c r="B1329" s="26" t="n">
        <x:v>44809.60486111111</x:v>
      </x:c>
      <x:c r="C1329" s="27" t="n">
        <x:f>INT(B1329)</x:f>
        <x:v>44809</x:v>
      </x:c>
      <x:c r="D1329" s="28" t="n">
        <x:f>MOD(B1329,1)</x:f>
        <x:v>0.6048611111109494</x:v>
      </x:c>
      <x:c r="E1329" s="29" t="n">
        <x:f>YEAR(B1329)</x:f>
        <x:v>2022</x:v>
      </x:c>
      <x:c r="F1329" s="29" t="n">
        <x:f>MONTH(B1329)</x:f>
        <x:v>9</x:v>
      </x:c>
      <x:c r="G1329" s="30" t="n">
        <x:v>-19.88</x:v>
      </x:c>
      <x:c r="H1329" s="30" t="n">
        <x:v>-70.03</x:v>
      </x:c>
      <x:c r="I1329" s="29" t="n">
        <x:v>53</x:v>
      </x:c>
      <x:c r="J1329" s="31" t="n">
        <x:v>3.5</x:v>
      </x:c>
      <x:c r="K1329" s="25" t="str">
        <x:f>IF(J1329&gt;=7,"Muy fuerte (&gt;=7)",IF(J1329&gt;=6,"Fuerte (6-6.9)",IF(J1329&gt;=5,"Moderado alto (5-5.9)",IF(J1329&gt;=4,"Moderado (4-4.9)","Menor a 4"))))</x:f>
        <x:v>Menor a 4</x:v>
      </x:c>
      <x:c r="L1329" s="25" t="str">
        <x:f>IF(I1329&lt;70,"Superficial (&lt;70 km)",IF(I1329&lt;=300,"Intermedio (70-300 km)","Profundo (&gt;300 km)"))</x:f>
        <x:v>Superficial (&lt;70 km)</x:v>
      </x:c>
      <x:c r="M1329" s="25" t="str">
        <x:f>IF(J1329&gt;=5,"Sí","No")</x:f>
        <x:v>No</x:v>
      </x:c>
      <x:c r="N1329" s="25" t="str">
        <x:f>IF(J1329&gt;=6,"Sí","No")</x:f>
        <x:v>No</x:v>
      </x:c>
      <x:c r="O1329" s="25" t="str">
        <x:v>Pendiente: asignar con R/sf</x:v>
      </x:c>
    </x:row>
    <x:row r="1330">
      <x:c r="A1330" s="25" t="n">
        <x:v>1329</x:v>
      </x:c>
      <x:c r="B1330" s="26" t="n">
        <x:v>44825.820925925924</x:v>
      </x:c>
      <x:c r="C1330" s="27" t="n">
        <x:f>INT(B1330)</x:f>
        <x:v>44825</x:v>
      </x:c>
      <x:c r="D1330" s="28" t="n">
        <x:f>MOD(B1330,1)</x:f>
        <x:v>0.8209259259238024</x:v>
      </x:c>
      <x:c r="E1330" s="29" t="n">
        <x:f>YEAR(B1330)</x:f>
        <x:v>2022</x:v>
      </x:c>
      <x:c r="F1330" s="29" t="n">
        <x:f>MONTH(B1330)</x:f>
        <x:v>9</x:v>
      </x:c>
      <x:c r="G1330" s="30" t="n">
        <x:v>-20.1</x:v>
      </x:c>
      <x:c r="H1330" s="30" t="n">
        <x:v>-69.06</x:v>
      </x:c>
      <x:c r="I1330" s="29" t="n">
        <x:v>107</x:v>
      </x:c>
      <x:c r="J1330" s="31" t="n">
        <x:v>4.1</x:v>
      </x:c>
      <x:c r="K1330" s="25" t="str">
        <x:f>IF(J1330&gt;=7,"Muy fuerte (&gt;=7)",IF(J1330&gt;=6,"Fuerte (6-6.9)",IF(J1330&gt;=5,"Moderado alto (5-5.9)",IF(J1330&gt;=4,"Moderado (4-4.9)","Menor a 4"))))</x:f>
        <x:v>Moderado (4-4.9)</x:v>
      </x:c>
      <x:c r="L1330" s="25" t="str">
        <x:f>IF(I1330&lt;70,"Superficial (&lt;70 km)",IF(I1330&lt;=300,"Intermedio (70-300 km)","Profundo (&gt;300 km)"))</x:f>
        <x:v>Intermedio (70-300 km)</x:v>
      </x:c>
      <x:c r="M1330" s="25" t="str">
        <x:f>IF(J1330&gt;=5,"Sí","No")</x:f>
        <x:v>No</x:v>
      </x:c>
      <x:c r="N1330" s="25" t="str">
        <x:f>IF(J1330&gt;=6,"Sí","No")</x:f>
        <x:v>No</x:v>
      </x:c>
      <x:c r="O1330" s="25" t="str">
        <x:v>Pendiente: asignar con R/sf</x:v>
      </x:c>
    </x:row>
    <x:row r="1331">
      <x:c r="A1331" s="25" t="n">
        <x:v>1330</x:v>
      </x:c>
      <x:c r="B1331" s="26" t="n">
        <x:v>44967.44804398148</x:v>
      </x:c>
      <x:c r="C1331" s="27" t="n">
        <x:f>INT(B1331)</x:f>
        <x:v>44967</x:v>
      </x:c>
      <x:c r="D1331" s="28" t="n">
        <x:f>MOD(B1331,1)</x:f>
        <x:v>0.4480439814797137</x:v>
      </x:c>
      <x:c r="E1331" s="29" t="n">
        <x:f>YEAR(B1331)</x:f>
        <x:v>2023</x:v>
      </x:c>
      <x:c r="F1331" s="29" t="n">
        <x:f>MONTH(B1331)</x:f>
        <x:v>2</x:v>
      </x:c>
      <x:c r="G1331" s="30" t="n">
        <x:v>-20.24</x:v>
      </x:c>
      <x:c r="H1331" s="30" t="n">
        <x:v>-69.29</x:v>
      </x:c>
      <x:c r="I1331" s="29" t="n">
        <x:v>112</x:v>
      </x:c>
      <x:c r="J1331" s="31" t="n">
        <x:v>4.1</x:v>
      </x:c>
      <x:c r="K1331" s="25" t="str">
        <x:f>IF(J1331&gt;=7,"Muy fuerte (&gt;=7)",IF(J1331&gt;=6,"Fuerte (6-6.9)",IF(J1331&gt;=5,"Moderado alto (5-5.9)",IF(J1331&gt;=4,"Moderado (4-4.9)","Menor a 4"))))</x:f>
        <x:v>Moderado (4-4.9)</x:v>
      </x:c>
      <x:c r="L1331" s="25" t="str">
        <x:f>IF(I1331&lt;70,"Superficial (&lt;70 km)",IF(I1331&lt;=300,"Intermedio (70-300 km)","Profundo (&gt;300 km)"))</x:f>
        <x:v>Intermedio (70-300 km)</x:v>
      </x:c>
      <x:c r="M1331" s="25" t="str">
        <x:f>IF(J1331&gt;=5,"Sí","No")</x:f>
        <x:v>No</x:v>
      </x:c>
      <x:c r="N1331" s="25" t="str">
        <x:f>IF(J1331&gt;=6,"Sí","No")</x:f>
        <x:v>No</x:v>
      </x:c>
      <x:c r="O1331" s="25" t="str">
        <x:v>Pendiente: asignar con R/sf</x:v>
      </x:c>
    </x:row>
    <x:row r="1332">
      <x:c r="A1332" s="25" t="n">
        <x:v>1331</x:v>
      </x:c>
      <x:c r="B1332" s="26" t="n">
        <x:v>45188.11503472222</x:v>
      </x:c>
      <x:c r="C1332" s="27" t="n">
        <x:f>INT(B1332)</x:f>
        <x:v>45188</x:v>
      </x:c>
      <x:c r="D1332" s="28" t="n">
        <x:f>MOD(B1332,1)</x:f>
        <x:v>0.11503472222102573</x:v>
      </x:c>
      <x:c r="E1332" s="29" t="n">
        <x:f>YEAR(B1332)</x:f>
        <x:v>2023</x:v>
      </x:c>
      <x:c r="F1332" s="29" t="n">
        <x:f>MONTH(B1332)</x:f>
        <x:v>9</x:v>
      </x:c>
      <x:c r="G1332" s="30" t="n">
        <x:v>-20.04</x:v>
      </x:c>
      <x:c r="H1332" s="30" t="n">
        <x:v>-69.33</x:v>
      </x:c>
      <x:c r="I1332" s="29" t="n">
        <x:v>85</x:v>
      </x:c>
      <x:c r="J1332" s="31" t="n">
        <x:v>3.8</x:v>
      </x:c>
      <x:c r="K1332" s="25" t="str">
        <x:f>IF(J1332&gt;=7,"Muy fuerte (&gt;=7)",IF(J1332&gt;=6,"Fuerte (6-6.9)",IF(J1332&gt;=5,"Moderado alto (5-5.9)",IF(J1332&gt;=4,"Moderado (4-4.9)","Menor a 4"))))</x:f>
        <x:v>Menor a 4</x:v>
      </x:c>
      <x:c r="L1332" s="25" t="str">
        <x:f>IF(I1332&lt;70,"Superficial (&lt;70 km)",IF(I1332&lt;=300,"Intermedio (70-300 km)","Profundo (&gt;300 km)"))</x:f>
        <x:v>Intermedio (70-300 km)</x:v>
      </x:c>
      <x:c r="M1332" s="25" t="str">
        <x:f>IF(J1332&gt;=5,"Sí","No")</x:f>
        <x:v>No</x:v>
      </x:c>
      <x:c r="N1332" s="25" t="str">
        <x:f>IF(J1332&gt;=6,"Sí","No")</x:f>
        <x:v>No</x:v>
      </x:c>
      <x:c r="O1332" s="25" t="str">
        <x:v>Pendiente: asignar con R/sf</x:v>
      </x:c>
    </x:row>
    <x:row r="1333">
      <x:c r="A1333" s="25" t="n">
        <x:v>1332</x:v>
      </x:c>
      <x:c r="B1333" s="26" t="n">
        <x:v>45360.69665509259</x:v>
      </x:c>
      <x:c r="C1333" s="27" t="n">
        <x:f>INT(B1333)</x:f>
        <x:v>45360</x:v>
      </x:c>
      <x:c r="D1333" s="28" t="n">
        <x:f>MOD(B1333,1)</x:f>
        <x:v>0.6966550925935735</x:v>
      </x:c>
      <x:c r="E1333" s="29" t="n">
        <x:f>YEAR(B1333)</x:f>
        <x:v>2024</x:v>
      </x:c>
      <x:c r="F1333" s="29" t="n">
        <x:f>MONTH(B1333)</x:f>
        <x:v>3</x:v>
      </x:c>
      <x:c r="G1333" s="30" t="n">
        <x:v>-20.14</x:v>
      </x:c>
      <x:c r="H1333" s="30" t="n">
        <x:v>-69.28</x:v>
      </x:c>
      <x:c r="I1333" s="29" t="n">
        <x:v>112</x:v>
      </x:c>
      <x:c r="J1333" s="31" t="n">
        <x:v>4.1</x:v>
      </x:c>
      <x:c r="K1333" s="25" t="str">
        <x:f>IF(J1333&gt;=7,"Muy fuerte (&gt;=7)",IF(J1333&gt;=6,"Fuerte (6-6.9)",IF(J1333&gt;=5,"Moderado alto (5-5.9)",IF(J1333&gt;=4,"Moderado (4-4.9)","Menor a 4"))))</x:f>
        <x:v>Moderado (4-4.9)</x:v>
      </x:c>
      <x:c r="L1333" s="25" t="str">
        <x:f>IF(I1333&lt;70,"Superficial (&lt;70 km)",IF(I1333&lt;=300,"Intermedio (70-300 km)","Profundo (&gt;300 km)"))</x:f>
        <x:v>Intermedio (70-300 km)</x:v>
      </x:c>
      <x:c r="M1333" s="25" t="str">
        <x:f>IF(J1333&gt;=5,"Sí","No")</x:f>
        <x:v>No</x:v>
      </x:c>
      <x:c r="N1333" s="25" t="str">
        <x:f>IF(J1333&gt;=6,"Sí","No")</x:f>
        <x:v>No</x:v>
      </x:c>
      <x:c r="O1333" s="25" t="str">
        <x:v>Pendiente: asignar con R/sf</x:v>
      </x:c>
    </x:row>
    <x:row r="1334">
      <x:c r="A1334" s="25" t="n">
        <x:v>1333</x:v>
      </x:c>
      <x:c r="B1334" s="26" t="n">
        <x:v>45447.561377314814</x:v>
      </x:c>
      <x:c r="C1334" s="27" t="n">
        <x:f>INT(B1334)</x:f>
        <x:v>45447</x:v>
      </x:c>
      <x:c r="D1334" s="28" t="n">
        <x:f>MOD(B1334,1)</x:f>
        <x:v>0.5613773148143082</x:v>
      </x:c>
      <x:c r="E1334" s="29" t="n">
        <x:f>YEAR(B1334)</x:f>
        <x:v>2024</x:v>
      </x:c>
      <x:c r="F1334" s="29" t="n">
        <x:f>MONTH(B1334)</x:f>
        <x:v>6</x:v>
      </x:c>
      <x:c r="G1334" s="30" t="n">
        <x:v>-19.52</x:v>
      </x:c>
      <x:c r="H1334" s="30" t="n">
        <x:v>-69.5</x:v>
      </x:c>
      <x:c r="I1334" s="29" t="n">
        <x:v>97</x:v>
      </x:c>
      <x:c r="J1334" s="31" t="n">
        <x:v>4.1</x:v>
      </x:c>
      <x:c r="K1334" s="25" t="str">
        <x:f>IF(J1334&gt;=7,"Muy fuerte (&gt;=7)",IF(J1334&gt;=6,"Fuerte (6-6.9)",IF(J1334&gt;=5,"Moderado alto (5-5.9)",IF(J1334&gt;=4,"Moderado (4-4.9)","Menor a 4"))))</x:f>
        <x:v>Moderado (4-4.9)</x:v>
      </x:c>
      <x:c r="L1334" s="25" t="str">
        <x:f>IF(I1334&lt;70,"Superficial (&lt;70 km)",IF(I1334&lt;=300,"Intermedio (70-300 km)","Profundo (&gt;300 km)"))</x:f>
        <x:v>Intermedio (70-300 km)</x:v>
      </x:c>
      <x:c r="M1334" s="25" t="str">
        <x:f>IF(J1334&gt;=5,"Sí","No")</x:f>
        <x:v>No</x:v>
      </x:c>
      <x:c r="N1334" s="25" t="str">
        <x:f>IF(J1334&gt;=6,"Sí","No")</x:f>
        <x:v>No</x:v>
      </x:c>
      <x:c r="O1334" s="25" t="str">
        <x:v>Pendiente: asignar con R/sf</x:v>
      </x:c>
    </x:row>
    <x:row r="1335">
      <x:c r="A1335" s="25" t="n">
        <x:v>1334</x:v>
      </x:c>
      <x:c r="B1335" s="26" t="n">
        <x:v>45640.53787037037</x:v>
      </x:c>
      <x:c r="C1335" s="27" t="n">
        <x:f>INT(B1335)</x:f>
        <x:v>45640</x:v>
      </x:c>
      <x:c r="D1335" s="28" t="n">
        <x:f>MOD(B1335,1)</x:f>
        <x:v>0.5378703703681822</x:v>
      </x:c>
      <x:c r="E1335" s="29" t="n">
        <x:f>YEAR(B1335)</x:f>
        <x:v>2024</x:v>
      </x:c>
      <x:c r="F1335" s="29" t="n">
        <x:f>MONTH(B1335)</x:f>
        <x:v>12</x:v>
      </x:c>
      <x:c r="G1335" s="30" t="n">
        <x:v>-21.31</x:v>
      </x:c>
      <x:c r="H1335" s="30" t="n">
        <x:v>-67.57</x:v>
      </x:c>
      <x:c r="I1335" s="29" t="n">
        <x:v>230</x:v>
      </x:c>
      <x:c r="J1335" s="31" t="n">
        <x:v>4.7</x:v>
      </x:c>
      <x:c r="K1335" s="25" t="str">
        <x:f>IF(J1335&gt;=7,"Muy fuerte (&gt;=7)",IF(J1335&gt;=6,"Fuerte (6-6.9)",IF(J1335&gt;=5,"Moderado alto (5-5.9)",IF(J1335&gt;=4,"Moderado (4-4.9)","Menor a 4"))))</x:f>
        <x:v>Moderado (4-4.9)</x:v>
      </x:c>
      <x:c r="L1335" s="25" t="str">
        <x:f>IF(I1335&lt;70,"Superficial (&lt;70 km)",IF(I1335&lt;=300,"Intermedio (70-300 km)","Profundo (&gt;300 km)"))</x:f>
        <x:v>Intermedio (70-300 km)</x:v>
      </x:c>
      <x:c r="M1335" s="25" t="str">
        <x:f>IF(J1335&gt;=5,"Sí","No")</x:f>
        <x:v>No</x:v>
      </x:c>
      <x:c r="N1335" s="25" t="str">
        <x:f>IF(J1335&gt;=6,"Sí","No")</x:f>
        <x:v>No</x:v>
      </x:c>
      <x:c r="O1335" s="25" t="str">
        <x:v>Pendiente: asignar con R/sf</x:v>
      </x:c>
    </x:row>
    <x:row r="1336">
      <x:c r="A1336" s="25" t="n">
        <x:v>1335</x:v>
      </x:c>
      <x:c r="B1336" s="26" t="n">
        <x:v>45681.679930555554</x:v>
      </x:c>
      <x:c r="C1336" s="27" t="n">
        <x:f>INT(B1336)</x:f>
        <x:v>45681</x:v>
      </x:c>
      <x:c r="D1336" s="28" t="n">
        <x:f>MOD(B1336,1)</x:f>
        <x:v>0.679930555554165</x:v>
      </x:c>
      <x:c r="E1336" s="29" t="n">
        <x:f>YEAR(B1336)</x:f>
        <x:v>2025</x:v>
      </x:c>
      <x:c r="F1336" s="29" t="n">
        <x:f>MONTH(B1336)</x:f>
        <x:v>1</x:v>
      </x:c>
      <x:c r="G1336" s="30" t="n">
        <x:v>-18.19</x:v>
      </x:c>
      <x:c r="H1336" s="30" t="n">
        <x:v>-69.43</x:v>
      </x:c>
      <x:c r="I1336" s="29" t="n">
        <x:v>133</x:v>
      </x:c>
      <x:c r="J1336" s="31" t="n">
        <x:v>5.3</x:v>
      </x:c>
      <x:c r="K1336" s="25" t="str">
        <x:f>IF(J1336&gt;=7,"Muy fuerte (&gt;=7)",IF(J1336&gt;=6,"Fuerte (6-6.9)",IF(J1336&gt;=5,"Moderado alto (5-5.9)",IF(J1336&gt;=4,"Moderado (4-4.9)","Menor a 4"))))</x:f>
        <x:v>Moderado alto (5-5.9)</x:v>
      </x:c>
      <x:c r="L1336" s="25" t="str">
        <x:f>IF(I1336&lt;70,"Superficial (&lt;70 km)",IF(I1336&lt;=300,"Intermedio (70-300 km)","Profundo (&gt;300 km)"))</x:f>
        <x:v>Intermedio (70-300 km)</x:v>
      </x:c>
      <x:c r="M1336" s="25" t="str">
        <x:f>IF(J1336&gt;=5,"Sí","No")</x:f>
        <x:v>Sí</x:v>
      </x:c>
      <x:c r="N1336" s="25" t="str">
        <x:f>IF(J1336&gt;=6,"Sí","No")</x:f>
        <x:v>No</x:v>
      </x:c>
      <x:c r="O1336" s="25" t="str">
        <x:v>Pendiente: asignar con R/sf</x:v>
      </x:c>
    </x:row>
    <x:row r="1337">
      <x:c r="A1337" s="25" t="n">
        <x:v>1336</x:v>
      </x:c>
      <x:c r="B1337" s="26" t="n">
        <x:v>45693.38070601852</x:v>
      </x:c>
      <x:c r="C1337" s="27" t="n">
        <x:f>INT(B1337)</x:f>
        <x:v>45693</x:v>
      </x:c>
      <x:c r="D1337" s="28" t="n">
        <x:f>MOD(B1337,1)</x:f>
        <x:v>0.3807060185208684</x:v>
      </x:c>
      <x:c r="E1337" s="29" t="n">
        <x:f>YEAR(B1337)</x:f>
        <x:v>2025</x:v>
      </x:c>
      <x:c r="F1337" s="29" t="n">
        <x:f>MONTH(B1337)</x:f>
        <x:v>2</x:v>
      </x:c>
      <x:c r="G1337" s="30" t="n">
        <x:v>-20.31</x:v>
      </x:c>
      <x:c r="H1337" s="30" t="n">
        <x:v>-69.25</x:v>
      </x:c>
      <x:c r="I1337" s="29" t="n">
        <x:v>102</x:v>
      </x:c>
      <x:c r="J1337" s="31" t="n">
        <x:v>4.6</x:v>
      </x:c>
      <x:c r="K1337" s="25" t="str">
        <x:f>IF(J1337&gt;=7,"Muy fuerte (&gt;=7)",IF(J1337&gt;=6,"Fuerte (6-6.9)",IF(J1337&gt;=5,"Moderado alto (5-5.9)",IF(J1337&gt;=4,"Moderado (4-4.9)","Menor a 4"))))</x:f>
        <x:v>Moderado (4-4.9)</x:v>
      </x:c>
      <x:c r="L1337" s="25" t="str">
        <x:f>IF(I1337&lt;70,"Superficial (&lt;70 km)",IF(I1337&lt;=300,"Intermedio (70-300 km)","Profundo (&gt;300 km)"))</x:f>
        <x:v>Intermedio (70-300 km)</x:v>
      </x:c>
      <x:c r="M1337" s="25" t="str">
        <x:f>IF(J1337&gt;=5,"Sí","No")</x:f>
        <x:v>No</x:v>
      </x:c>
      <x:c r="N1337" s="25" t="str">
        <x:f>IF(J1337&gt;=6,"Sí","No")</x:f>
        <x:v>No</x:v>
      </x:c>
      <x:c r="O1337" s="25" t="str">
        <x:v>Pendiente: asignar con R/sf</x:v>
      </x:c>
    </x:row>
    <x:row r="1338">
      <x:c r="A1338" s="25" t="n">
        <x:v>1337</x:v>
      </x:c>
      <x:c r="B1338" s="26" t="n">
        <x:v>45728.717199074075</x:v>
      </x:c>
      <x:c r="C1338" s="27" t="n">
        <x:f>INT(B1338)</x:f>
        <x:v>45728</x:v>
      </x:c>
      <x:c r="D1338" s="28" t="n">
        <x:f>MOD(B1338,1)</x:f>
        <x:v>0.7171990740753245</x:v>
      </x:c>
      <x:c r="E1338" s="29" t="n">
        <x:f>YEAR(B1338)</x:f>
        <x:v>2025</x:v>
      </x:c>
      <x:c r="F1338" s="29" t="n">
        <x:f>MONTH(B1338)</x:f>
        <x:v>3</x:v>
      </x:c>
      <x:c r="G1338" s="30" t="n">
        <x:v>-20.25</x:v>
      </x:c>
      <x:c r="H1338" s="30" t="n">
        <x:v>-69.23</x:v>
      </x:c>
      <x:c r="I1338" s="29" t="n">
        <x:v>94</x:v>
      </x:c>
      <x:c r="J1338" s="31" t="n">
        <x:v>4</x:v>
      </x:c>
      <x:c r="K1338" s="25" t="str">
        <x:f>IF(J1338&gt;=7,"Muy fuerte (&gt;=7)",IF(J1338&gt;=6,"Fuerte (6-6.9)",IF(J1338&gt;=5,"Moderado alto (5-5.9)",IF(J1338&gt;=4,"Moderado (4-4.9)","Menor a 4"))))</x:f>
        <x:v>Moderado (4-4.9)</x:v>
      </x:c>
      <x:c r="L1338" s="25" t="str">
        <x:f>IF(I1338&lt;70,"Superficial (&lt;70 km)",IF(I1338&lt;=300,"Intermedio (70-300 km)","Profundo (&gt;300 km)"))</x:f>
        <x:v>Intermedio (70-300 km)</x:v>
      </x:c>
      <x:c r="M1338" s="25" t="str">
        <x:f>IF(J1338&gt;=5,"Sí","No")</x:f>
        <x:v>No</x:v>
      </x:c>
      <x:c r="N1338" s="25" t="str">
        <x:f>IF(J1338&gt;=6,"Sí","No")</x:f>
        <x:v>No</x:v>
      </x:c>
      <x:c r="O1338" s="25" t="str">
        <x:v>Pendiente: asignar con R/sf</x:v>
      </x:c>
    </x:row>
    <x:row r="1339">
      <x:c r="A1339" s="25" t="n">
        <x:v>1338</x:v>
      </x:c>
      <x:c r="B1339" s="26" t="n">
        <x:v>45776.327361111114</x:v>
      </x:c>
      <x:c r="C1339" s="27" t="n">
        <x:f>INT(B1339)</x:f>
        <x:v>45776</x:v>
      </x:c>
      <x:c r="D1339" s="28" t="n">
        <x:f>MOD(B1339,1)</x:f>
        <x:v>0.3273611111144419</x:v>
      </x:c>
      <x:c r="E1339" s="29" t="n">
        <x:f>YEAR(B1339)</x:f>
        <x:v>2025</x:v>
      </x:c>
      <x:c r="F1339" s="29" t="n">
        <x:f>MONTH(B1339)</x:f>
        <x:v>4</x:v>
      </x:c>
      <x:c r="G1339" s="30" t="n">
        <x:v>-20.84</x:v>
      </x:c>
      <x:c r="H1339" s="30" t="n">
        <x:v>-68.97</x:v>
      </x:c>
      <x:c r="I1339" s="29" t="n">
        <x:v>102</x:v>
      </x:c>
      <x:c r="J1339" s="31" t="n">
        <x:v>4.7</x:v>
      </x:c>
      <x:c r="K1339" s="25" t="str">
        <x:f>IF(J1339&gt;=7,"Muy fuerte (&gt;=7)",IF(J1339&gt;=6,"Fuerte (6-6.9)",IF(J1339&gt;=5,"Moderado alto (5-5.9)",IF(J1339&gt;=4,"Moderado (4-4.9)","Menor a 4"))))</x:f>
        <x:v>Moderado (4-4.9)</x:v>
      </x:c>
      <x:c r="L1339" s="25" t="str">
        <x:f>IF(I1339&lt;70,"Superficial (&lt;70 km)",IF(I1339&lt;=300,"Intermedio (70-300 km)","Profundo (&gt;300 km)"))</x:f>
        <x:v>Intermedio (70-300 km)</x:v>
      </x:c>
      <x:c r="M1339" s="25" t="str">
        <x:f>IF(J1339&gt;=5,"Sí","No")</x:f>
        <x:v>No</x:v>
      </x:c>
      <x:c r="N1339" s="25" t="str">
        <x:f>IF(J1339&gt;=6,"Sí","No")</x:f>
        <x:v>No</x:v>
      </x:c>
      <x:c r="O1339" s="25" t="str">
        <x:v>Pendiente: asignar con R/sf</x:v>
      </x:c>
    </x:row>
    <x:row r="1340">
      <x:c r="A1340" s="25" t="n">
        <x:v>1339</x:v>
      </x:c>
      <x:c r="B1340" s="26" t="n">
        <x:v>45815.584444444445</x:v>
      </x:c>
      <x:c r="C1340" s="27" t="n">
        <x:f>INT(B1340)</x:f>
        <x:v>45815</x:v>
      </x:c>
      <x:c r="D1340" s="28" t="n">
        <x:f>MOD(B1340,1)</x:f>
        <x:v>0.5844444444446708</x:v>
      </x:c>
      <x:c r="E1340" s="29" t="n">
        <x:f>YEAR(B1340)</x:f>
        <x:v>2025</x:v>
      </x:c>
      <x:c r="F1340" s="29" t="n">
        <x:f>MONTH(B1340)</x:f>
        <x:v>6</x:v>
      </x:c>
      <x:c r="G1340" s="30" t="n">
        <x:v>-21.05</x:v>
      </x:c>
      <x:c r="H1340" s="30" t="n">
        <x:v>-68.95</x:v>
      </x:c>
      <x:c r="I1340" s="29" t="n">
        <x:v>116</x:v>
      </x:c>
      <x:c r="J1340" s="31" t="n">
        <x:v>4.6</x:v>
      </x:c>
      <x:c r="K1340" s="25" t="str">
        <x:f>IF(J1340&gt;=7,"Muy fuerte (&gt;=7)",IF(J1340&gt;=6,"Fuerte (6-6.9)",IF(J1340&gt;=5,"Moderado alto (5-5.9)",IF(J1340&gt;=4,"Moderado (4-4.9)","Menor a 4"))))</x:f>
        <x:v>Moderado (4-4.9)</x:v>
      </x:c>
      <x:c r="L1340" s="25" t="str">
        <x:f>IF(I1340&lt;70,"Superficial (&lt;70 km)",IF(I1340&lt;=300,"Intermedio (70-300 km)","Profundo (&gt;300 km)"))</x:f>
        <x:v>Intermedio (70-300 km)</x:v>
      </x:c>
      <x:c r="M1340" s="25" t="str">
        <x:f>IF(J1340&gt;=5,"Sí","No")</x:f>
        <x:v>No</x:v>
      </x:c>
      <x:c r="N1340" s="25" t="str">
        <x:f>IF(J1340&gt;=6,"Sí","No")</x:f>
        <x:v>No</x:v>
      </x:c>
      <x:c r="O1340" s="25" t="str">
        <x:v>Pendiente: asignar con R/sf</x:v>
      </x:c>
    </x:row>
    <x:row r="1341">
      <x:c r="A1341" s="25" t="n">
        <x:v>1340</x:v>
      </x:c>
      <x:c r="B1341" s="26" t="n">
        <x:v>45851.81616898148</x:v>
      </x:c>
      <x:c r="C1341" s="27" t="n">
        <x:f>INT(B1341)</x:f>
        <x:v>45851</x:v>
      </x:c>
      <x:c r="D1341" s="28" t="n">
        <x:f>MOD(B1341,1)</x:f>
        <x:v>0.8161689814805868</x:v>
      </x:c>
      <x:c r="E1341" s="29" t="n">
        <x:f>YEAR(B1341)</x:f>
        <x:v>2025</x:v>
      </x:c>
      <x:c r="F1341" s="29" t="n">
        <x:f>MONTH(B1341)</x:f>
        <x:v>7</x:v>
      </x:c>
      <x:c r="G1341" s="30" t="n">
        <x:v>-20.09</x:v>
      </x:c>
      <x:c r="H1341" s="30" t="n">
        <x:v>-69.03</x:v>
      </x:c>
      <x:c r="I1341" s="29" t="n">
        <x:v>103</x:v>
      </x:c>
      <x:c r="J1341" s="31" t="n">
        <x:v>3.8</x:v>
      </x:c>
      <x:c r="K1341" s="25" t="str">
        <x:f>IF(J1341&gt;=7,"Muy fuerte (&gt;=7)",IF(J1341&gt;=6,"Fuerte (6-6.9)",IF(J1341&gt;=5,"Moderado alto (5-5.9)",IF(J1341&gt;=4,"Moderado (4-4.9)","Menor a 4"))))</x:f>
        <x:v>Menor a 4</x:v>
      </x:c>
      <x:c r="L1341" s="25" t="str">
        <x:f>IF(I1341&lt;70,"Superficial (&lt;70 km)",IF(I1341&lt;=300,"Intermedio (70-300 km)","Profundo (&gt;300 km)"))</x:f>
        <x:v>Intermedio (70-300 km)</x:v>
      </x:c>
      <x:c r="M1341" s="25" t="str">
        <x:f>IF(J1341&gt;=5,"Sí","No")</x:f>
        <x:v>No</x:v>
      </x:c>
      <x:c r="N1341" s="25" t="str">
        <x:f>IF(J1341&gt;=6,"Sí","No")</x:f>
        <x:v>No</x:v>
      </x:c>
      <x:c r="O1341" s="25" t="str">
        <x:v>Pendiente: asignar con R/sf</x:v>
      </x:c>
    </x:row>
    <x:row r="1342">
      <x:c r="A1342" s="25" t="n">
        <x:v>1341</x:v>
      </x:c>
      <x:c r="B1342" s="26" t="n">
        <x:v>44787.62018518519</x:v>
      </x:c>
      <x:c r="C1342" s="27" t="n">
        <x:f>INT(B1342)</x:f>
        <x:v>44787</x:v>
      </x:c>
      <x:c r="D1342" s="28" t="n">
        <x:f>MOD(B1342,1)</x:f>
        <x:v>0.620185185187438</x:v>
      </x:c>
      <x:c r="E1342" s="29" t="n">
        <x:f>YEAR(B1342)</x:f>
        <x:v>2022</x:v>
      </x:c>
      <x:c r="F1342" s="29" t="n">
        <x:f>MONTH(B1342)</x:f>
        <x:v>8</x:v>
      </x:c>
      <x:c r="G1342" s="30" t="n">
        <x:v>-19.73</x:v>
      </x:c>
      <x:c r="H1342" s="30" t="n">
        <x:v>-69.51</x:v>
      </x:c>
      <x:c r="I1342" s="29" t="n">
        <x:v>107</x:v>
      </x:c>
      <x:c r="J1342" s="31" t="n">
        <x:v>3.7</x:v>
      </x:c>
      <x:c r="K1342" s="25" t="str">
        <x:f>IF(J1342&gt;=7,"Muy fuerte (&gt;=7)",IF(J1342&gt;=6,"Fuerte (6-6.9)",IF(J1342&gt;=5,"Moderado alto (5-5.9)",IF(J1342&gt;=4,"Moderado (4-4.9)","Menor a 4"))))</x:f>
        <x:v>Menor a 4</x:v>
      </x:c>
      <x:c r="L1342" s="25" t="str">
        <x:f>IF(I1342&lt;70,"Superficial (&lt;70 km)",IF(I1342&lt;=300,"Intermedio (70-300 km)","Profundo (&gt;300 km)"))</x:f>
        <x:v>Intermedio (70-300 km)</x:v>
      </x:c>
      <x:c r="M1342" s="25" t="str">
        <x:f>IF(J1342&gt;=5,"Sí","No")</x:f>
        <x:v>No</x:v>
      </x:c>
      <x:c r="N1342" s="25" t="str">
        <x:f>IF(J1342&gt;=6,"Sí","No")</x:f>
        <x:v>No</x:v>
      </x:c>
      <x:c r="O1342" s="25" t="str">
        <x:v>Pendiente: asignar con R/sf</x:v>
      </x:c>
    </x:row>
    <x:row r="1343">
      <x:c r="A1343" s="25" t="n">
        <x:v>1342</x:v>
      </x:c>
      <x:c r="B1343" s="26" t="n">
        <x:v>44908.109606481485</x:v>
      </x:c>
      <x:c r="C1343" s="27" t="n">
        <x:f>INT(B1343)</x:f>
        <x:v>44908</x:v>
      </x:c>
      <x:c r="D1343" s="28" t="n">
        <x:f>MOD(B1343,1)</x:f>
        <x:v>0.10960648148466134</x:v>
      </x:c>
      <x:c r="E1343" s="29" t="n">
        <x:f>YEAR(B1343)</x:f>
        <x:v>2022</x:v>
      </x:c>
      <x:c r="F1343" s="29" t="n">
        <x:f>MONTH(B1343)</x:f>
        <x:v>12</x:v>
      </x:c>
      <x:c r="G1343" s="30" t="n">
        <x:v>-20.02</x:v>
      </x:c>
      <x:c r="H1343" s="30" t="n">
        <x:v>-69.41</x:v>
      </x:c>
      <x:c r="I1343" s="29" t="n">
        <x:v>81</x:v>
      </x:c>
      <x:c r="J1343" s="31" t="n">
        <x:v>3.1</x:v>
      </x:c>
      <x:c r="K1343" s="25" t="str">
        <x:f>IF(J1343&gt;=7,"Muy fuerte (&gt;=7)",IF(J1343&gt;=6,"Fuerte (6-6.9)",IF(J1343&gt;=5,"Moderado alto (5-5.9)",IF(J1343&gt;=4,"Moderado (4-4.9)","Menor a 4"))))</x:f>
        <x:v>Menor a 4</x:v>
      </x:c>
      <x:c r="L1343" s="25" t="str">
        <x:f>IF(I1343&lt;70,"Superficial (&lt;70 km)",IF(I1343&lt;=300,"Intermedio (70-300 km)","Profundo (&gt;300 km)"))</x:f>
        <x:v>Intermedio (70-300 km)</x:v>
      </x:c>
      <x:c r="M1343" s="25" t="str">
        <x:f>IF(J1343&gt;=5,"Sí","No")</x:f>
        <x:v>No</x:v>
      </x:c>
      <x:c r="N1343" s="25" t="str">
        <x:f>IF(J1343&gt;=6,"Sí","No")</x:f>
        <x:v>No</x:v>
      </x:c>
      <x:c r="O1343" s="25" t="str">
        <x:v>Pendiente: asignar con R/sf</x:v>
      </x:c>
    </x:row>
    <x:row r="1344">
      <x:c r="A1344" s="25" t="n">
        <x:v>1343</x:v>
      </x:c>
      <x:c r="B1344" s="26" t="n">
        <x:v>44961.30613425926</x:v>
      </x:c>
      <x:c r="C1344" s="27" t="n">
        <x:f>INT(B1344)</x:f>
        <x:v>44961</x:v>
      </x:c>
      <x:c r="D1344" s="28" t="n">
        <x:f>MOD(B1344,1)</x:f>
        <x:v>0.3061342592627625</x:v>
      </x:c>
      <x:c r="E1344" s="29" t="n">
        <x:f>YEAR(B1344)</x:f>
        <x:v>2023</x:v>
      </x:c>
      <x:c r="F1344" s="29" t="n">
        <x:f>MONTH(B1344)</x:f>
        <x:v>2</x:v>
      </x:c>
      <x:c r="G1344" s="30" t="n">
        <x:v>-19.73</x:v>
      </x:c>
      <x:c r="H1344" s="30" t="n">
        <x:v>-69.31</x:v>
      </x:c>
      <x:c r="I1344" s="29" t="n">
        <x:v>90</x:v>
      </x:c>
      <x:c r="J1344" s="31" t="n">
        <x:v>3.9</x:v>
      </x:c>
      <x:c r="K1344" s="25" t="str">
        <x:f>IF(J1344&gt;=7,"Muy fuerte (&gt;=7)",IF(J1344&gt;=6,"Fuerte (6-6.9)",IF(J1344&gt;=5,"Moderado alto (5-5.9)",IF(J1344&gt;=4,"Moderado (4-4.9)","Menor a 4"))))</x:f>
        <x:v>Menor a 4</x:v>
      </x:c>
      <x:c r="L1344" s="25" t="str">
        <x:f>IF(I1344&lt;70,"Superficial (&lt;70 km)",IF(I1344&lt;=300,"Intermedio (70-300 km)","Profundo (&gt;300 km)"))</x:f>
        <x:v>Intermedio (70-300 km)</x:v>
      </x:c>
      <x:c r="M1344" s="25" t="str">
        <x:f>IF(J1344&gt;=5,"Sí","No")</x:f>
        <x:v>No</x:v>
      </x:c>
      <x:c r="N1344" s="25" t="str">
        <x:f>IF(J1344&gt;=6,"Sí","No")</x:f>
        <x:v>No</x:v>
      </x:c>
      <x:c r="O1344" s="25" t="str">
        <x:v>Pendiente: asignar con R/sf</x:v>
      </x:c>
    </x:row>
    <x:row r="1345">
      <x:c r="A1345" s="25" t="n">
        <x:v>1344</x:v>
      </x:c>
      <x:c r="B1345" s="26" t="n">
        <x:v>44967.46417824074</x:v>
      </x:c>
      <x:c r="C1345" s="27" t="n">
        <x:f>INT(B1345)</x:f>
        <x:v>44967</x:v>
      </x:c>
      <x:c r="D1345" s="28" t="n">
        <x:f>MOD(B1345,1)</x:f>
        <x:v>0.4641782407416031</x:v>
      </x:c>
      <x:c r="E1345" s="29" t="n">
        <x:f>YEAR(B1345)</x:f>
        <x:v>2023</x:v>
      </x:c>
      <x:c r="F1345" s="29" t="n">
        <x:f>MONTH(B1345)</x:f>
        <x:v>2</x:v>
      </x:c>
      <x:c r="G1345" s="30" t="n">
        <x:v>-19.06</x:v>
      </x:c>
      <x:c r="H1345" s="30" t="n">
        <x:v>-69.25</x:v>
      </x:c>
      <x:c r="I1345" s="29" t="n">
        <x:v>111</x:v>
      </x:c>
      <x:c r="J1345" s="31" t="n">
        <x:v>4.1</x:v>
      </x:c>
      <x:c r="K1345" s="25" t="str">
        <x:f>IF(J1345&gt;=7,"Muy fuerte (&gt;=7)",IF(J1345&gt;=6,"Fuerte (6-6.9)",IF(J1345&gt;=5,"Moderado alto (5-5.9)",IF(J1345&gt;=4,"Moderado (4-4.9)","Menor a 4"))))</x:f>
        <x:v>Moderado (4-4.9)</x:v>
      </x:c>
      <x:c r="L1345" s="25" t="str">
        <x:f>IF(I1345&lt;70,"Superficial (&lt;70 km)",IF(I1345&lt;=300,"Intermedio (70-300 km)","Profundo (&gt;300 km)"))</x:f>
        <x:v>Intermedio (70-300 km)</x:v>
      </x:c>
      <x:c r="M1345" s="25" t="str">
        <x:f>IF(J1345&gt;=5,"Sí","No")</x:f>
        <x:v>No</x:v>
      </x:c>
      <x:c r="N1345" s="25" t="str">
        <x:f>IF(J1345&gt;=6,"Sí","No")</x:f>
        <x:v>No</x:v>
      </x:c>
      <x:c r="O1345" s="25" t="str">
        <x:v>Pendiente: asignar con R/sf</x:v>
      </x:c>
    </x:row>
    <x:row r="1346">
      <x:c r="A1346" s="25" t="n">
        <x:v>1345</x:v>
      </x:c>
      <x:c r="B1346" s="26" t="n">
        <x:v>45051.1668287037</x:v>
      </x:c>
      <x:c r="C1346" s="27" t="n">
        <x:f>INT(B1346)</x:f>
        <x:v>45051</x:v>
      </x:c>
      <x:c r="D1346" s="28" t="n">
        <x:f>MOD(B1346,1)</x:f>
        <x:v>0.1668287037027767</x:v>
      </x:c>
      <x:c r="E1346" s="29" t="n">
        <x:f>YEAR(B1346)</x:f>
        <x:v>2023</x:v>
      </x:c>
      <x:c r="F1346" s="29" t="n">
        <x:f>MONTH(B1346)</x:f>
        <x:v>5</x:v>
      </x:c>
      <x:c r="G1346" s="30" t="n">
        <x:v>-19.87</x:v>
      </x:c>
      <x:c r="H1346" s="30" t="n">
        <x:v>-69.07</x:v>
      </x:c>
      <x:c r="I1346" s="29" t="n">
        <x:v>104</x:v>
      </x:c>
      <x:c r="J1346" s="31" t="n">
        <x:v>4.2</x:v>
      </x:c>
      <x:c r="K1346" s="25" t="str">
        <x:f>IF(J1346&gt;=7,"Muy fuerte (&gt;=7)",IF(J1346&gt;=6,"Fuerte (6-6.9)",IF(J1346&gt;=5,"Moderado alto (5-5.9)",IF(J1346&gt;=4,"Moderado (4-4.9)","Menor a 4"))))</x:f>
        <x:v>Moderado (4-4.9)</x:v>
      </x:c>
      <x:c r="L1346" s="25" t="str">
        <x:f>IF(I1346&lt;70,"Superficial (&lt;70 km)",IF(I1346&lt;=300,"Intermedio (70-300 km)","Profundo (&gt;300 km)"))</x:f>
        <x:v>Intermedio (70-300 km)</x:v>
      </x:c>
      <x:c r="M1346" s="25" t="str">
        <x:f>IF(J1346&gt;=5,"Sí","No")</x:f>
        <x:v>No</x:v>
      </x:c>
      <x:c r="N1346" s="25" t="str">
        <x:f>IF(J1346&gt;=6,"Sí","No")</x:f>
        <x:v>No</x:v>
      </x:c>
      <x:c r="O1346" s="25" t="str">
        <x:v>Pendiente: asignar con R/sf</x:v>
      </x:c>
    </x:row>
    <x:row r="1347">
      <x:c r="A1347" s="25" t="n">
        <x:v>1346</x:v>
      </x:c>
      <x:c r="B1347" s="26" t="n">
        <x:v>45057.385243055556</x:v>
      </x:c>
      <x:c r="C1347" s="27" t="n">
        <x:f>INT(B1347)</x:f>
        <x:v>45057</x:v>
      </x:c>
      <x:c r="D1347" s="28" t="n">
        <x:f>MOD(B1347,1)</x:f>
        <x:v>0.3852430555562023</x:v>
      </x:c>
      <x:c r="E1347" s="29" t="n">
        <x:f>YEAR(B1347)</x:f>
        <x:v>2023</x:v>
      </x:c>
      <x:c r="F1347" s="29" t="n">
        <x:f>MONTH(B1347)</x:f>
        <x:v>5</x:v>
      </x:c>
      <x:c r="G1347" s="30" t="n">
        <x:v>-20.41</x:v>
      </x:c>
      <x:c r="H1347" s="30" t="n">
        <x:v>-68.78</x:v>
      </x:c>
      <x:c r="I1347" s="29" t="n">
        <x:v>116</x:v>
      </x:c>
      <x:c r="J1347" s="31" t="n">
        <x:v>3.8</x:v>
      </x:c>
      <x:c r="K1347" s="25" t="str">
        <x:f>IF(J1347&gt;=7,"Muy fuerte (&gt;=7)",IF(J1347&gt;=6,"Fuerte (6-6.9)",IF(J1347&gt;=5,"Moderado alto (5-5.9)",IF(J1347&gt;=4,"Moderado (4-4.9)","Menor a 4"))))</x:f>
        <x:v>Menor a 4</x:v>
      </x:c>
      <x:c r="L1347" s="25" t="str">
        <x:f>IF(I1347&lt;70,"Superficial (&lt;70 km)",IF(I1347&lt;=300,"Intermedio (70-300 km)","Profundo (&gt;300 km)"))</x:f>
        <x:v>Intermedio (70-300 km)</x:v>
      </x:c>
      <x:c r="M1347" s="25" t="str">
        <x:f>IF(J1347&gt;=5,"Sí","No")</x:f>
        <x:v>No</x:v>
      </x:c>
      <x:c r="N1347" s="25" t="str">
        <x:f>IF(J1347&gt;=6,"Sí","No")</x:f>
        <x:v>No</x:v>
      </x:c>
      <x:c r="O1347" s="25" t="str">
        <x:v>Pendiente: asignar con R/sf</x:v>
      </x:c>
    </x:row>
    <x:row r="1348">
      <x:c r="A1348" s="25" t="n">
        <x:v>1347</x:v>
      </x:c>
      <x:c r="B1348" s="26" t="n">
        <x:v>45070.15483796296</x:v>
      </x:c>
      <x:c r="C1348" s="27" t="n">
        <x:f>INT(B1348)</x:f>
        <x:v>45070</x:v>
      </x:c>
      <x:c r="D1348" s="28" t="n">
        <x:f>MOD(B1348,1)</x:f>
        <x:v>0.1548379629603005</x:v>
      </x:c>
      <x:c r="E1348" s="29" t="n">
        <x:f>YEAR(B1348)</x:f>
        <x:v>2023</x:v>
      </x:c>
      <x:c r="F1348" s="29" t="n">
        <x:f>MONTH(B1348)</x:f>
        <x:v>5</x:v>
      </x:c>
      <x:c r="G1348" s="30" t="n">
        <x:v>-19.75</x:v>
      </x:c>
      <x:c r="H1348" s="30" t="n">
        <x:v>-69.41</x:v>
      </x:c>
      <x:c r="I1348" s="29" t="n">
        <x:v>115</x:v>
      </x:c>
      <x:c r="J1348" s="31" t="n">
        <x:v>4.3</x:v>
      </x:c>
      <x:c r="K1348" s="25" t="str">
        <x:f>IF(J1348&gt;=7,"Muy fuerte (&gt;=7)",IF(J1348&gt;=6,"Fuerte (6-6.9)",IF(J1348&gt;=5,"Moderado alto (5-5.9)",IF(J1348&gt;=4,"Moderado (4-4.9)","Menor a 4"))))</x:f>
        <x:v>Moderado (4-4.9)</x:v>
      </x:c>
      <x:c r="L1348" s="25" t="str">
        <x:f>IF(I1348&lt;70,"Superficial (&lt;70 km)",IF(I1348&lt;=300,"Intermedio (70-300 km)","Profundo (&gt;300 km)"))</x:f>
        <x:v>Intermedio (70-300 km)</x:v>
      </x:c>
      <x:c r="M1348" s="25" t="str">
        <x:f>IF(J1348&gt;=5,"Sí","No")</x:f>
        <x:v>No</x:v>
      </x:c>
      <x:c r="N1348" s="25" t="str">
        <x:f>IF(J1348&gt;=6,"Sí","No")</x:f>
        <x:v>No</x:v>
      </x:c>
      <x:c r="O1348" s="25" t="str">
        <x:v>Pendiente: asignar con R/sf</x:v>
      </x:c>
    </x:row>
    <x:row r="1349">
      <x:c r="A1349" s="25" t="n">
        <x:v>1348</x:v>
      </x:c>
      <x:c r="B1349" s="26" t="n">
        <x:v>45102.344513888886</x:v>
      </x:c>
      <x:c r="C1349" s="27" t="n">
        <x:f>INT(B1349)</x:f>
        <x:v>45102</x:v>
      </x:c>
      <x:c r="D1349" s="28" t="n">
        <x:f>MOD(B1349,1)</x:f>
        <x:v>0.3445138888855581</x:v>
      </x:c>
      <x:c r="E1349" s="29" t="n">
        <x:f>YEAR(B1349)</x:f>
        <x:v>2023</x:v>
      </x:c>
      <x:c r="F1349" s="29" t="n">
        <x:f>MONTH(B1349)</x:f>
        <x:v>6</x:v>
      </x:c>
      <x:c r="G1349" s="30" t="n">
        <x:v>-20.91</x:v>
      </x:c>
      <x:c r="H1349" s="30" t="n">
        <x:v>-68.99</x:v>
      </x:c>
      <x:c r="I1349" s="29" t="n">
        <x:v>103</x:v>
      </x:c>
      <x:c r="J1349" s="31" t="n">
        <x:v>4.3</x:v>
      </x:c>
      <x:c r="K1349" s="25" t="str">
        <x:f>IF(J1349&gt;=7,"Muy fuerte (&gt;=7)",IF(J1349&gt;=6,"Fuerte (6-6.9)",IF(J1349&gt;=5,"Moderado alto (5-5.9)",IF(J1349&gt;=4,"Moderado (4-4.9)","Menor a 4"))))</x:f>
        <x:v>Moderado (4-4.9)</x:v>
      </x:c>
      <x:c r="L1349" s="25" t="str">
        <x:f>IF(I1349&lt;70,"Superficial (&lt;70 km)",IF(I1349&lt;=300,"Intermedio (70-300 km)","Profundo (&gt;300 km)"))</x:f>
        <x:v>Intermedio (70-300 km)</x:v>
      </x:c>
      <x:c r="M1349" s="25" t="str">
        <x:f>IF(J1349&gt;=5,"Sí","No")</x:f>
        <x:v>No</x:v>
      </x:c>
      <x:c r="N1349" s="25" t="str">
        <x:f>IF(J1349&gt;=6,"Sí","No")</x:f>
        <x:v>No</x:v>
      </x:c>
      <x:c r="O1349" s="25" t="str">
        <x:v>Pendiente: asignar con R/sf</x:v>
      </x:c>
    </x:row>
    <x:row r="1350">
      <x:c r="A1350" s="25" t="n">
        <x:v>1349</x:v>
      </x:c>
      <x:c r="B1350" s="26" t="n">
        <x:v>45151.764386574076</x:v>
      </x:c>
      <x:c r="C1350" s="27" t="n">
        <x:f>INT(B1350)</x:f>
        <x:v>45151</x:v>
      </x:c>
      <x:c r="D1350" s="28" t="n">
        <x:f>MOD(B1350,1)</x:f>
        <x:v>0.7643865740756155</x:v>
      </x:c>
      <x:c r="E1350" s="29" t="n">
        <x:f>YEAR(B1350)</x:f>
        <x:v>2023</x:v>
      </x:c>
      <x:c r="F1350" s="29" t="n">
        <x:f>MONTH(B1350)</x:f>
        <x:v>8</x:v>
      </x:c>
      <x:c r="G1350" s="30" t="n">
        <x:v>-19.86</x:v>
      </x:c>
      <x:c r="H1350" s="30" t="n">
        <x:v>-69.49</x:v>
      </x:c>
      <x:c r="I1350" s="29" t="n">
        <x:v>110</x:v>
      </x:c>
      <x:c r="J1350" s="31" t="n">
        <x:v>4.1</x:v>
      </x:c>
      <x:c r="K1350" s="25" t="str">
        <x:f>IF(J1350&gt;=7,"Muy fuerte (&gt;=7)",IF(J1350&gt;=6,"Fuerte (6-6.9)",IF(J1350&gt;=5,"Moderado alto (5-5.9)",IF(J1350&gt;=4,"Moderado (4-4.9)","Menor a 4"))))</x:f>
        <x:v>Moderado (4-4.9)</x:v>
      </x:c>
      <x:c r="L1350" s="25" t="str">
        <x:f>IF(I1350&lt;70,"Superficial (&lt;70 km)",IF(I1350&lt;=300,"Intermedio (70-300 km)","Profundo (&gt;300 km)"))</x:f>
        <x:v>Intermedio (70-300 km)</x:v>
      </x:c>
      <x:c r="M1350" s="25" t="str">
        <x:f>IF(J1350&gt;=5,"Sí","No")</x:f>
        <x:v>No</x:v>
      </x:c>
      <x:c r="N1350" s="25" t="str">
        <x:f>IF(J1350&gt;=6,"Sí","No")</x:f>
        <x:v>No</x:v>
      </x:c>
      <x:c r="O1350" s="25" t="str">
        <x:v>Pendiente: asignar con R/sf</x:v>
      </x:c>
    </x:row>
    <x:row r="1351">
      <x:c r="A1351" s="25" t="n">
        <x:v>1350</x:v>
      </x:c>
      <x:c r="B1351" s="26" t="n">
        <x:v>45198.07938657407</x:v>
      </x:c>
      <x:c r="C1351" s="27" t="n">
        <x:f>INT(B1351)</x:f>
        <x:v>45198</x:v>
      </x:c>
      <x:c r="D1351" s="28" t="n">
        <x:f>MOD(B1351,1)</x:f>
        <x:v>0.07938657407066785</x:v>
      </x:c>
      <x:c r="E1351" s="29" t="n">
        <x:f>YEAR(B1351)</x:f>
        <x:v>2023</x:v>
      </x:c>
      <x:c r="F1351" s="29" t="n">
        <x:f>MONTH(B1351)</x:f>
        <x:v>9</x:v>
      </x:c>
      <x:c r="G1351" s="30" t="n">
        <x:v>-21.06</x:v>
      </x:c>
      <x:c r="H1351" s="30" t="n">
        <x:v>-68.92</x:v>
      </x:c>
      <x:c r="I1351" s="29" t="n">
        <x:v>111</x:v>
      </x:c>
      <x:c r="J1351" s="31" t="n">
        <x:v>4.2</x:v>
      </x:c>
      <x:c r="K1351" s="25" t="str">
        <x:f>IF(J1351&gt;=7,"Muy fuerte (&gt;=7)",IF(J1351&gt;=6,"Fuerte (6-6.9)",IF(J1351&gt;=5,"Moderado alto (5-5.9)",IF(J1351&gt;=4,"Moderado (4-4.9)","Menor a 4"))))</x:f>
        <x:v>Moderado (4-4.9)</x:v>
      </x:c>
      <x:c r="L1351" s="25" t="str">
        <x:f>IF(I1351&lt;70,"Superficial (&lt;70 km)",IF(I1351&lt;=300,"Intermedio (70-300 km)","Profundo (&gt;300 km)"))</x:f>
        <x:v>Intermedio (70-300 km)</x:v>
      </x:c>
      <x:c r="M1351" s="25" t="str">
        <x:f>IF(J1351&gt;=5,"Sí","No")</x:f>
        <x:v>No</x:v>
      </x:c>
      <x:c r="N1351" s="25" t="str">
        <x:f>IF(J1351&gt;=6,"Sí","No")</x:f>
        <x:v>No</x:v>
      </x:c>
      <x:c r="O1351" s="25" t="str">
        <x:v>Pendiente: asignar con R/sf</x:v>
      </x:c>
    </x:row>
    <x:row r="1352">
      <x:c r="A1352" s="25" t="n">
        <x:v>1351</x:v>
      </x:c>
      <x:c r="B1352" s="26" t="n">
        <x:v>45212.18016203704</x:v>
      </x:c>
      <x:c r="C1352" s="27" t="n">
        <x:f>INT(B1352)</x:f>
        <x:v>45212</x:v>
      </x:c>
      <x:c r="D1352" s="28" t="n">
        <x:f>MOD(B1352,1)</x:f>
        <x:v>0.18016203703882638</x:v>
      </x:c>
      <x:c r="E1352" s="29" t="n">
        <x:f>YEAR(B1352)</x:f>
        <x:v>2023</x:v>
      </x:c>
      <x:c r="F1352" s="29" t="n">
        <x:f>MONTH(B1352)</x:f>
        <x:v>10</x:v>
      </x:c>
      <x:c r="G1352" s="30" t="n">
        <x:v>-19.65</x:v>
      </x:c>
      <x:c r="H1352" s="30" t="n">
        <x:v>-69.23</x:v>
      </x:c>
      <x:c r="I1352" s="29" t="n">
        <x:v>99</x:v>
      </x:c>
      <x:c r="J1352" s="31" t="n">
        <x:v>3.6</x:v>
      </x:c>
      <x:c r="K1352" s="25" t="str">
        <x:f>IF(J1352&gt;=7,"Muy fuerte (&gt;=7)",IF(J1352&gt;=6,"Fuerte (6-6.9)",IF(J1352&gt;=5,"Moderado alto (5-5.9)",IF(J1352&gt;=4,"Moderado (4-4.9)","Menor a 4"))))</x:f>
        <x:v>Menor a 4</x:v>
      </x:c>
      <x:c r="L1352" s="25" t="str">
        <x:f>IF(I1352&lt;70,"Superficial (&lt;70 km)",IF(I1352&lt;=300,"Intermedio (70-300 km)","Profundo (&gt;300 km)"))</x:f>
        <x:v>Intermedio (70-300 km)</x:v>
      </x:c>
      <x:c r="M1352" s="25" t="str">
        <x:f>IF(J1352&gt;=5,"Sí","No")</x:f>
        <x:v>No</x:v>
      </x:c>
      <x:c r="N1352" s="25" t="str">
        <x:f>IF(J1352&gt;=6,"Sí","No")</x:f>
        <x:v>No</x:v>
      </x:c>
      <x:c r="O1352" s="25" t="str">
        <x:v>Pendiente: asignar con R/sf</x:v>
      </x:c>
    </x:row>
    <x:row r="1353">
      <x:c r="A1353" s="25" t="n">
        <x:v>1352</x:v>
      </x:c>
      <x:c r="B1353" s="26" t="n">
        <x:v>45213.93918981482</x:v>
      </x:c>
      <x:c r="C1353" s="27" t="n">
        <x:f>INT(B1353)</x:f>
        <x:v>45213</x:v>
      </x:c>
      <x:c r="D1353" s="28" t="n">
        <x:f>MOD(B1353,1)</x:f>
        <x:v>0.9391898148169275</x:v>
      </x:c>
      <x:c r="E1353" s="29" t="n">
        <x:f>YEAR(B1353)</x:f>
        <x:v>2023</x:v>
      </x:c>
      <x:c r="F1353" s="29" t="n">
        <x:f>MONTH(B1353)</x:f>
        <x:v>10</x:v>
      </x:c>
      <x:c r="G1353" s="30" t="n">
        <x:v>-19.57</x:v>
      </x:c>
      <x:c r="H1353" s="30" t="n">
        <x:v>-68.89</x:v>
      </x:c>
      <x:c r="I1353" s="29" t="n">
        <x:v>120</x:v>
      </x:c>
      <x:c r="J1353" s="31" t="n">
        <x:v>4.2</x:v>
      </x:c>
      <x:c r="K1353" s="25" t="str">
        <x:f>IF(J1353&gt;=7,"Muy fuerte (&gt;=7)",IF(J1353&gt;=6,"Fuerte (6-6.9)",IF(J1353&gt;=5,"Moderado alto (5-5.9)",IF(J1353&gt;=4,"Moderado (4-4.9)","Menor a 4"))))</x:f>
        <x:v>Moderado (4-4.9)</x:v>
      </x:c>
      <x:c r="L1353" s="25" t="str">
        <x:f>IF(I1353&lt;70,"Superficial (&lt;70 km)",IF(I1353&lt;=300,"Intermedio (70-300 km)","Profundo (&gt;300 km)"))</x:f>
        <x:v>Intermedio (70-300 km)</x:v>
      </x:c>
      <x:c r="M1353" s="25" t="str">
        <x:f>IF(J1353&gt;=5,"Sí","No")</x:f>
        <x:v>No</x:v>
      </x:c>
      <x:c r="N1353" s="25" t="str">
        <x:f>IF(J1353&gt;=6,"Sí","No")</x:f>
        <x:v>No</x:v>
      </x:c>
      <x:c r="O1353" s="25" t="str">
        <x:v>Pendiente: asignar con R/sf</x:v>
      </x:c>
    </x:row>
    <x:row r="1354">
      <x:c r="A1354" s="25" t="n">
        <x:v>1353</x:v>
      </x:c>
      <x:c r="B1354" s="26" t="n">
        <x:v>45220.38818287037</x:v>
      </x:c>
      <x:c r="C1354" s="27" t="n">
        <x:f>INT(B1354)</x:f>
        <x:v>45220</x:v>
      </x:c>
      <x:c r="D1354" s="28" t="n">
        <x:f>MOD(B1354,1)</x:f>
        <x:v>0.38818287036701804</x:v>
      </x:c>
      <x:c r="E1354" s="29" t="n">
        <x:f>YEAR(B1354)</x:f>
        <x:v>2023</x:v>
      </x:c>
      <x:c r="F1354" s="29" t="n">
        <x:f>MONTH(B1354)</x:f>
        <x:v>10</x:v>
      </x:c>
      <x:c r="G1354" s="30" t="n">
        <x:v>-19.22</x:v>
      </x:c>
      <x:c r="H1354" s="30" t="n">
        <x:v>-69.46</x:v>
      </x:c>
      <x:c r="I1354" s="29" t="n">
        <x:v>101</x:v>
      </x:c>
      <x:c r="J1354" s="31" t="n">
        <x:v>3.9</x:v>
      </x:c>
      <x:c r="K1354" s="25" t="str">
        <x:f>IF(J1354&gt;=7,"Muy fuerte (&gt;=7)",IF(J1354&gt;=6,"Fuerte (6-6.9)",IF(J1354&gt;=5,"Moderado alto (5-5.9)",IF(J1354&gt;=4,"Moderado (4-4.9)","Menor a 4"))))</x:f>
        <x:v>Menor a 4</x:v>
      </x:c>
      <x:c r="L1354" s="25" t="str">
        <x:f>IF(I1354&lt;70,"Superficial (&lt;70 km)",IF(I1354&lt;=300,"Intermedio (70-300 km)","Profundo (&gt;300 km)"))</x:f>
        <x:v>Intermedio (70-300 km)</x:v>
      </x:c>
      <x:c r="M1354" s="25" t="str">
        <x:f>IF(J1354&gt;=5,"Sí","No")</x:f>
        <x:v>No</x:v>
      </x:c>
      <x:c r="N1354" s="25" t="str">
        <x:f>IF(J1354&gt;=6,"Sí","No")</x:f>
        <x:v>No</x:v>
      </x:c>
      <x:c r="O1354" s="25" t="str">
        <x:v>Pendiente: asignar con R/sf</x:v>
      </x:c>
    </x:row>
    <x:row r="1355">
      <x:c r="A1355" s="25" t="n">
        <x:v>1354</x:v>
      </x:c>
      <x:c r="B1355" s="26" t="n">
        <x:v>45260.128912037035</x:v>
      </x:c>
      <x:c r="C1355" s="27" t="n">
        <x:f>INT(B1355)</x:f>
        <x:v>45260</x:v>
      </x:c>
      <x:c r="D1355" s="28" t="n">
        <x:f>MOD(B1355,1)</x:f>
        <x:v>0.12891203703475185</x:v>
      </x:c>
      <x:c r="E1355" s="29" t="n">
        <x:f>YEAR(B1355)</x:f>
        <x:v>2023</x:v>
      </x:c>
      <x:c r="F1355" s="29" t="n">
        <x:f>MONTH(B1355)</x:f>
        <x:v>11</x:v>
      </x:c>
      <x:c r="G1355" s="30" t="n">
        <x:v>-21.24</x:v>
      </x:c>
      <x:c r="H1355" s="30" t="n">
        <x:v>-68.78</x:v>
      </x:c>
      <x:c r="I1355" s="29" t="n">
        <x:v>114</x:v>
      </x:c>
      <x:c r="J1355" s="31" t="n">
        <x:v>4.6</x:v>
      </x:c>
      <x:c r="K1355" s="25" t="str">
        <x:f>IF(J1355&gt;=7,"Muy fuerte (&gt;=7)",IF(J1355&gt;=6,"Fuerte (6-6.9)",IF(J1355&gt;=5,"Moderado alto (5-5.9)",IF(J1355&gt;=4,"Moderado (4-4.9)","Menor a 4"))))</x:f>
        <x:v>Moderado (4-4.9)</x:v>
      </x:c>
      <x:c r="L1355" s="25" t="str">
        <x:f>IF(I1355&lt;70,"Superficial (&lt;70 km)",IF(I1355&lt;=300,"Intermedio (70-300 km)","Profundo (&gt;300 km)"))</x:f>
        <x:v>Intermedio (70-300 km)</x:v>
      </x:c>
      <x:c r="M1355" s="25" t="str">
        <x:f>IF(J1355&gt;=5,"Sí","No")</x:f>
        <x:v>No</x:v>
      </x:c>
      <x:c r="N1355" s="25" t="str">
        <x:f>IF(J1355&gt;=6,"Sí","No")</x:f>
        <x:v>No</x:v>
      </x:c>
      <x:c r="O1355" s="25" t="str">
        <x:v>Pendiente: asignar con R/sf</x:v>
      </x:c>
    </x:row>
    <x:row r="1356">
      <x:c r="A1356" s="25" t="n">
        <x:v>1355</x:v>
      </x:c>
      <x:c r="B1356" s="26" t="n">
        <x:v>45413.95144675926</x:v>
      </x:c>
      <x:c r="C1356" s="27" t="n">
        <x:f>INT(B1356)</x:f>
        <x:v>45413</x:v>
      </x:c>
      <x:c r="D1356" s="28" t="n">
        <x:f>MOD(B1356,1)</x:f>
        <x:v>0.9514467592598521</x:v>
      </x:c>
      <x:c r="E1356" s="29" t="n">
        <x:f>YEAR(B1356)</x:f>
        <x:v>2024</x:v>
      </x:c>
      <x:c r="F1356" s="29" t="n">
        <x:f>MONTH(B1356)</x:f>
        <x:v>5</x:v>
      </x:c>
      <x:c r="G1356" s="30" t="n">
        <x:v>-20.68</x:v>
      </x:c>
      <x:c r="H1356" s="30" t="n">
        <x:v>-68.9</x:v>
      </x:c>
      <x:c r="I1356" s="29" t="n">
        <x:v>107</x:v>
      </x:c>
      <x:c r="J1356" s="31" t="n">
        <x:v>4</x:v>
      </x:c>
      <x:c r="K1356" s="25" t="str">
        <x:f>IF(J1356&gt;=7,"Muy fuerte (&gt;=7)",IF(J1356&gt;=6,"Fuerte (6-6.9)",IF(J1356&gt;=5,"Moderado alto (5-5.9)",IF(J1356&gt;=4,"Moderado (4-4.9)","Menor a 4"))))</x:f>
        <x:v>Moderado (4-4.9)</x:v>
      </x:c>
      <x:c r="L1356" s="25" t="str">
        <x:f>IF(I1356&lt;70,"Superficial (&lt;70 km)",IF(I1356&lt;=300,"Intermedio (70-300 km)","Profundo (&gt;300 km)"))</x:f>
        <x:v>Intermedio (70-300 km)</x:v>
      </x:c>
      <x:c r="M1356" s="25" t="str">
        <x:f>IF(J1356&gt;=5,"Sí","No")</x:f>
        <x:v>No</x:v>
      </x:c>
      <x:c r="N1356" s="25" t="str">
        <x:f>IF(J1356&gt;=6,"Sí","No")</x:f>
        <x:v>No</x:v>
      </x:c>
      <x:c r="O1356" s="25" t="str">
        <x:v>Pendiente: asignar con R/sf</x:v>
      </x:c>
    </x:row>
    <x:row r="1357">
      <x:c r="A1357" s="25" t="n">
        <x:v>1356</x:v>
      </x:c>
      <x:c r="B1357" s="26" t="n">
        <x:v>45447.400555555556</x:v>
      </x:c>
      <x:c r="C1357" s="27" t="n">
        <x:f>INT(B1357)</x:f>
        <x:v>45447</x:v>
      </x:c>
      <x:c r="D1357" s="28" t="n">
        <x:f>MOD(B1357,1)</x:f>
        <x:v>0.40055555555591127</x:v>
      </x:c>
      <x:c r="E1357" s="29" t="n">
        <x:f>YEAR(B1357)</x:f>
        <x:v>2024</x:v>
      </x:c>
      <x:c r="F1357" s="29" t="n">
        <x:f>MONTH(B1357)</x:f>
        <x:v>6</x:v>
      </x:c>
      <x:c r="G1357" s="30" t="n">
        <x:v>-19.08</x:v>
      </x:c>
      <x:c r="H1357" s="30" t="n">
        <x:v>-69.15</x:v>
      </x:c>
      <x:c r="I1357" s="29" t="n">
        <x:v>124</x:v>
      </x:c>
      <x:c r="J1357" s="31" t="n">
        <x:v>4.7</x:v>
      </x:c>
      <x:c r="K1357" s="25" t="str">
        <x:f>IF(J1357&gt;=7,"Muy fuerte (&gt;=7)",IF(J1357&gt;=6,"Fuerte (6-6.9)",IF(J1357&gt;=5,"Moderado alto (5-5.9)",IF(J1357&gt;=4,"Moderado (4-4.9)","Menor a 4"))))</x:f>
        <x:v>Moderado (4-4.9)</x:v>
      </x:c>
      <x:c r="L1357" s="25" t="str">
        <x:f>IF(I1357&lt;70,"Superficial (&lt;70 km)",IF(I1357&lt;=300,"Intermedio (70-300 km)","Profundo (&gt;300 km)"))</x:f>
        <x:v>Intermedio (70-300 km)</x:v>
      </x:c>
      <x:c r="M1357" s="25" t="str">
        <x:f>IF(J1357&gt;=5,"Sí","No")</x:f>
        <x:v>No</x:v>
      </x:c>
      <x:c r="N1357" s="25" t="str">
        <x:f>IF(J1357&gt;=6,"Sí","No")</x:f>
        <x:v>No</x:v>
      </x:c>
      <x:c r="O1357" s="25" t="str">
        <x:v>Pendiente: asignar con R/sf</x:v>
      </x:c>
    </x:row>
    <x:row r="1358">
      <x:c r="A1358" s="25" t="n">
        <x:v>1357</x:v>
      </x:c>
      <x:c r="B1358" s="26" t="n">
        <x:v>45456.85239583333</x:v>
      </x:c>
      <x:c r="C1358" s="27" t="n">
        <x:f>INT(B1358)</x:f>
        <x:v>45456</x:v>
      </x:c>
      <x:c r="D1358" s="28" t="n">
        <x:f>MOD(B1358,1)</x:f>
        <x:v>0.8523958333316841</x:v>
      </x:c>
      <x:c r="E1358" s="29" t="n">
        <x:f>YEAR(B1358)</x:f>
        <x:v>2024</x:v>
      </x:c>
      <x:c r="F1358" s="29" t="n">
        <x:f>MONTH(B1358)</x:f>
        <x:v>6</x:v>
      </x:c>
      <x:c r="G1358" s="30" t="n">
        <x:v>-19.65</x:v>
      </x:c>
      <x:c r="H1358" s="30" t="n">
        <x:v>-69.49</x:v>
      </x:c>
      <x:c r="I1358" s="29" t="n">
        <x:v>112</x:v>
      </x:c>
      <x:c r="J1358" s="31" t="n">
        <x:v>3.8</x:v>
      </x:c>
      <x:c r="K1358" s="25" t="str">
        <x:f>IF(J1358&gt;=7,"Muy fuerte (&gt;=7)",IF(J1358&gt;=6,"Fuerte (6-6.9)",IF(J1358&gt;=5,"Moderado alto (5-5.9)",IF(J1358&gt;=4,"Moderado (4-4.9)","Menor a 4"))))</x:f>
        <x:v>Menor a 4</x:v>
      </x:c>
      <x:c r="L1358" s="25" t="str">
        <x:f>IF(I1358&lt;70,"Superficial (&lt;70 km)",IF(I1358&lt;=300,"Intermedio (70-300 km)","Profundo (&gt;300 km)"))</x:f>
        <x:v>Intermedio (70-300 km)</x:v>
      </x:c>
      <x:c r="M1358" s="25" t="str">
        <x:f>IF(J1358&gt;=5,"Sí","No")</x:f>
        <x:v>No</x:v>
      </x:c>
      <x:c r="N1358" s="25" t="str">
        <x:f>IF(J1358&gt;=6,"Sí","No")</x:f>
        <x:v>No</x:v>
      </x:c>
      <x:c r="O1358" s="25" t="str">
        <x:v>Pendiente: asignar con R/sf</x:v>
      </x:c>
    </x:row>
    <x:row r="1359">
      <x:c r="A1359" s="25" t="n">
        <x:v>1358</x:v>
      </x:c>
      <x:c r="B1359" s="26" t="n">
        <x:v>45464.08400462963</x:v>
      </x:c>
      <x:c r="C1359" s="27" t="n">
        <x:f>INT(B1359)</x:f>
        <x:v>45464</x:v>
      </x:c>
      <x:c r="D1359" s="28" t="n">
        <x:f>MOD(B1359,1)</x:f>
        <x:v>0.08400462962890742</x:v>
      </x:c>
      <x:c r="E1359" s="29" t="n">
        <x:f>YEAR(B1359)</x:f>
        <x:v>2024</x:v>
      </x:c>
      <x:c r="F1359" s="29" t="n">
        <x:f>MONTH(B1359)</x:f>
        <x:v>6</x:v>
      </x:c>
      <x:c r="G1359" s="30" t="n">
        <x:v>-19.71</x:v>
      </x:c>
      <x:c r="H1359" s="30" t="n">
        <x:v>-69.19</x:v>
      </x:c>
      <x:c r="I1359" s="29" t="n">
        <x:v>111</x:v>
      </x:c>
      <x:c r="J1359" s="31" t="n">
        <x:v>3.6</x:v>
      </x:c>
      <x:c r="K1359" s="25" t="str">
        <x:f>IF(J1359&gt;=7,"Muy fuerte (&gt;=7)",IF(J1359&gt;=6,"Fuerte (6-6.9)",IF(J1359&gt;=5,"Moderado alto (5-5.9)",IF(J1359&gt;=4,"Moderado (4-4.9)","Menor a 4"))))</x:f>
        <x:v>Menor a 4</x:v>
      </x:c>
      <x:c r="L1359" s="25" t="str">
        <x:f>IF(I1359&lt;70,"Superficial (&lt;70 km)",IF(I1359&lt;=300,"Intermedio (70-300 km)","Profundo (&gt;300 km)"))</x:f>
        <x:v>Intermedio (70-300 km)</x:v>
      </x:c>
      <x:c r="M1359" s="25" t="str">
        <x:f>IF(J1359&gt;=5,"Sí","No")</x:f>
        <x:v>No</x:v>
      </x:c>
      <x:c r="N1359" s="25" t="str">
        <x:f>IF(J1359&gt;=6,"Sí","No")</x:f>
        <x:v>No</x:v>
      </x:c>
      <x:c r="O1359" s="25" t="str">
        <x:v>Pendiente: asignar con R/sf</x:v>
      </x:c>
    </x:row>
    <x:row r="1360">
      <x:c r="A1360" s="25" t="n">
        <x:v>1359</x:v>
      </x:c>
      <x:c r="B1360" s="26" t="n">
        <x:v>45470.488032407404</x:v>
      </x:c>
      <x:c r="C1360" s="27" t="n">
        <x:f>INT(B1360)</x:f>
        <x:v>45470</x:v>
      </x:c>
      <x:c r="D1360" s="28" t="n">
        <x:f>MOD(B1360,1)</x:f>
        <x:v>0.48803240740380716</x:v>
      </x:c>
      <x:c r="E1360" s="29" t="n">
        <x:f>YEAR(B1360)</x:f>
        <x:v>2024</x:v>
      </x:c>
      <x:c r="F1360" s="29" t="n">
        <x:f>MONTH(B1360)</x:f>
        <x:v>6</x:v>
      </x:c>
      <x:c r="G1360" s="30" t="n">
        <x:v>-21.44</x:v>
      </x:c>
      <x:c r="H1360" s="30" t="n">
        <x:v>-68.8</x:v>
      </x:c>
      <x:c r="I1360" s="29" t="n">
        <x:v>121</x:v>
      </x:c>
      <x:c r="J1360" s="31" t="n">
        <x:v>4.6</x:v>
      </x:c>
      <x:c r="K1360" s="25" t="str">
        <x:f>IF(J1360&gt;=7,"Muy fuerte (&gt;=7)",IF(J1360&gt;=6,"Fuerte (6-6.9)",IF(J1360&gt;=5,"Moderado alto (5-5.9)",IF(J1360&gt;=4,"Moderado (4-4.9)","Menor a 4"))))</x:f>
        <x:v>Moderado (4-4.9)</x:v>
      </x:c>
      <x:c r="L1360" s="25" t="str">
        <x:f>IF(I1360&lt;70,"Superficial (&lt;70 km)",IF(I1360&lt;=300,"Intermedio (70-300 km)","Profundo (&gt;300 km)"))</x:f>
        <x:v>Intermedio (70-300 km)</x:v>
      </x:c>
      <x:c r="M1360" s="25" t="str">
        <x:f>IF(J1360&gt;=5,"Sí","No")</x:f>
        <x:v>No</x:v>
      </x:c>
      <x:c r="N1360" s="25" t="str">
        <x:f>IF(J1360&gt;=6,"Sí","No")</x:f>
        <x:v>No</x:v>
      </x:c>
      <x:c r="O1360" s="25" t="str">
        <x:v>Pendiente: asignar con R/sf</x:v>
      </x:c>
    </x:row>
    <x:row r="1361">
      <x:c r="A1361" s="25" t="n">
        <x:v>1360</x:v>
      </x:c>
      <x:c r="B1361" s="26" t="n">
        <x:v>45527.02445601852</x:v>
      </x:c>
      <x:c r="C1361" s="27" t="n">
        <x:f>INT(B1361)</x:f>
        <x:v>45527</x:v>
      </x:c>
      <x:c r="D1361" s="28" t="n">
        <x:f>MOD(B1361,1)</x:f>
        <x:v>0.02445601851650281</x:v>
      </x:c>
      <x:c r="E1361" s="29" t="n">
        <x:f>YEAR(B1361)</x:f>
        <x:v>2024</x:v>
      </x:c>
      <x:c r="F1361" s="29" t="n">
        <x:f>MONTH(B1361)</x:f>
        <x:v>8</x:v>
      </x:c>
      <x:c r="G1361" s="30" t="n">
        <x:v>-20.25</x:v>
      </x:c>
      <x:c r="H1361" s="30" t="n">
        <x:v>-69.09</x:v>
      </x:c>
      <x:c r="I1361" s="29" t="n">
        <x:v>93</x:v>
      </x:c>
      <x:c r="J1361" s="31" t="n">
        <x:v>4</x:v>
      </x:c>
      <x:c r="K1361" s="25" t="str">
        <x:f>IF(J1361&gt;=7,"Muy fuerte (&gt;=7)",IF(J1361&gt;=6,"Fuerte (6-6.9)",IF(J1361&gt;=5,"Moderado alto (5-5.9)",IF(J1361&gt;=4,"Moderado (4-4.9)","Menor a 4"))))</x:f>
        <x:v>Moderado (4-4.9)</x:v>
      </x:c>
      <x:c r="L1361" s="25" t="str">
        <x:f>IF(I1361&lt;70,"Superficial (&lt;70 km)",IF(I1361&lt;=300,"Intermedio (70-300 km)","Profundo (&gt;300 km)"))</x:f>
        <x:v>Intermedio (70-300 km)</x:v>
      </x:c>
      <x:c r="M1361" s="25" t="str">
        <x:f>IF(J1361&gt;=5,"Sí","No")</x:f>
        <x:v>No</x:v>
      </x:c>
      <x:c r="N1361" s="25" t="str">
        <x:f>IF(J1361&gt;=6,"Sí","No")</x:f>
        <x:v>No</x:v>
      </x:c>
      <x:c r="O1361" s="25" t="str">
        <x:v>Pendiente: asignar con R/sf</x:v>
      </x:c>
    </x:row>
    <x:row r="1362">
      <x:c r="A1362" s="25" t="n">
        <x:v>1361</x:v>
      </x:c>
      <x:c r="B1362" s="26" t="n">
        <x:v>45566.86210648148</x:v>
      </x:c>
      <x:c r="C1362" s="27" t="n">
        <x:f>INT(B1362)</x:f>
        <x:v>45566</x:v>
      </x:c>
      <x:c r="D1362" s="28" t="n">
        <x:f>MOD(B1362,1)</x:f>
        <x:v>0.8621064814797137</x:v>
      </x:c>
      <x:c r="E1362" s="29" t="n">
        <x:f>YEAR(B1362)</x:f>
        <x:v>2024</x:v>
      </x:c>
      <x:c r="F1362" s="29" t="n">
        <x:f>MONTH(B1362)</x:f>
        <x:v>10</x:v>
      </x:c>
      <x:c r="G1362" s="30" t="n">
        <x:v>-19.65</x:v>
      </x:c>
      <x:c r="H1362" s="30" t="n">
        <x:v>-69.29</x:v>
      </x:c>
      <x:c r="I1362" s="29" t="n">
        <x:v>108</x:v>
      </x:c>
      <x:c r="J1362" s="31" t="n">
        <x:v>3.9</x:v>
      </x:c>
      <x:c r="K1362" s="25" t="str">
        <x:f>IF(J1362&gt;=7,"Muy fuerte (&gt;=7)",IF(J1362&gt;=6,"Fuerte (6-6.9)",IF(J1362&gt;=5,"Moderado alto (5-5.9)",IF(J1362&gt;=4,"Moderado (4-4.9)","Menor a 4"))))</x:f>
        <x:v>Menor a 4</x:v>
      </x:c>
      <x:c r="L1362" s="25" t="str">
        <x:f>IF(I1362&lt;70,"Superficial (&lt;70 km)",IF(I1362&lt;=300,"Intermedio (70-300 km)","Profundo (&gt;300 km)"))</x:f>
        <x:v>Intermedio (70-300 km)</x:v>
      </x:c>
      <x:c r="M1362" s="25" t="str">
        <x:f>IF(J1362&gt;=5,"Sí","No")</x:f>
        <x:v>No</x:v>
      </x:c>
      <x:c r="N1362" s="25" t="str">
        <x:f>IF(J1362&gt;=6,"Sí","No")</x:f>
        <x:v>No</x:v>
      </x:c>
      <x:c r="O1362" s="25" t="str">
        <x:v>Pendiente: asignar con R/sf</x:v>
      </x:c>
    </x:row>
    <x:row r="1363">
      <x:c r="A1363" s="25" t="n">
        <x:v>1362</x:v>
      </x:c>
      <x:c r="B1363" s="26" t="n">
        <x:v>45588.40084490741</x:v>
      </x:c>
      <x:c r="C1363" s="27" t="n">
        <x:f>INT(B1363)</x:f>
        <x:v>45588</x:v>
      </x:c>
      <x:c r="D1363" s="28" t="n">
        <x:f>MOD(B1363,1)</x:f>
        <x:v>0.40084490740991896</x:v>
      </x:c>
      <x:c r="E1363" s="29" t="n">
        <x:f>YEAR(B1363)</x:f>
        <x:v>2024</x:v>
      </x:c>
      <x:c r="F1363" s="29" t="n">
        <x:f>MONTH(B1363)</x:f>
        <x:v>10</x:v>
      </x:c>
      <x:c r="G1363" s="30" t="n">
        <x:v>-19.1</x:v>
      </x:c>
      <x:c r="H1363" s="30" t="n">
        <x:v>-69.28</x:v>
      </x:c>
      <x:c r="I1363" s="29" t="n">
        <x:v>106</x:v>
      </x:c>
      <x:c r="J1363" s="31" t="n">
        <x:v>4</x:v>
      </x:c>
      <x:c r="K1363" s="25" t="str">
        <x:f>IF(J1363&gt;=7,"Muy fuerte (&gt;=7)",IF(J1363&gt;=6,"Fuerte (6-6.9)",IF(J1363&gt;=5,"Moderado alto (5-5.9)",IF(J1363&gt;=4,"Moderado (4-4.9)","Menor a 4"))))</x:f>
        <x:v>Moderado (4-4.9)</x:v>
      </x:c>
      <x:c r="L1363" s="25" t="str">
        <x:f>IF(I1363&lt;70,"Superficial (&lt;70 km)",IF(I1363&lt;=300,"Intermedio (70-300 km)","Profundo (&gt;300 km)"))</x:f>
        <x:v>Intermedio (70-300 km)</x:v>
      </x:c>
      <x:c r="M1363" s="25" t="str">
        <x:f>IF(J1363&gt;=5,"Sí","No")</x:f>
        <x:v>No</x:v>
      </x:c>
      <x:c r="N1363" s="25" t="str">
        <x:f>IF(J1363&gt;=6,"Sí","No")</x:f>
        <x:v>No</x:v>
      </x:c>
      <x:c r="O1363" s="25" t="str">
        <x:v>Pendiente: asignar con R/sf</x:v>
      </x:c>
    </x:row>
    <x:row r="1364">
      <x:c r="A1364" s="25" t="n">
        <x:v>1363</x:v>
      </x:c>
      <x:c r="B1364" s="26" t="n">
        <x:v>45657.49569444444</x:v>
      </x:c>
      <x:c r="C1364" s="27" t="n">
        <x:f>INT(B1364)</x:f>
        <x:v>45657</x:v>
      </x:c>
      <x:c r="D1364" s="28" t="n">
        <x:f>MOD(B1364,1)</x:f>
        <x:v>0.49569444444205146</x:v>
      </x:c>
      <x:c r="E1364" s="29" t="n">
        <x:f>YEAR(B1364)</x:f>
        <x:v>2024</x:v>
      </x:c>
      <x:c r="F1364" s="29" t="n">
        <x:f>MONTH(B1364)</x:f>
        <x:v>12</x:v>
      </x:c>
      <x:c r="G1364" s="30" t="n">
        <x:v>-19.72</x:v>
      </x:c>
      <x:c r="H1364" s="30" t="n">
        <x:v>-69.3</x:v>
      </x:c>
      <x:c r="I1364" s="29" t="n">
        <x:v>101</x:v>
      </x:c>
      <x:c r="J1364" s="31" t="n">
        <x:v>4.3</x:v>
      </x:c>
      <x:c r="K1364" s="25" t="str">
        <x:f>IF(J1364&gt;=7,"Muy fuerte (&gt;=7)",IF(J1364&gt;=6,"Fuerte (6-6.9)",IF(J1364&gt;=5,"Moderado alto (5-5.9)",IF(J1364&gt;=4,"Moderado (4-4.9)","Menor a 4"))))</x:f>
        <x:v>Moderado (4-4.9)</x:v>
      </x:c>
      <x:c r="L1364" s="25" t="str">
        <x:f>IF(I1364&lt;70,"Superficial (&lt;70 km)",IF(I1364&lt;=300,"Intermedio (70-300 km)","Profundo (&gt;300 km)"))</x:f>
        <x:v>Intermedio (70-300 km)</x:v>
      </x:c>
      <x:c r="M1364" s="25" t="str">
        <x:f>IF(J1364&gt;=5,"Sí","No")</x:f>
        <x:v>No</x:v>
      </x:c>
      <x:c r="N1364" s="25" t="str">
        <x:f>IF(J1364&gt;=6,"Sí","No")</x:f>
        <x:v>No</x:v>
      </x:c>
      <x:c r="O1364" s="25" t="str">
        <x:v>Pendiente: asignar con R/sf</x:v>
      </x:c>
    </x:row>
    <x:row r="1365">
      <x:c r="A1365" s="25" t="n">
        <x:v>1364</x:v>
      </x:c>
      <x:c r="B1365" s="26" t="n">
        <x:v>45667.09489583333</x:v>
      </x:c>
      <x:c r="C1365" s="27" t="n">
        <x:f>INT(B1365)</x:f>
        <x:v>45667</x:v>
      </x:c>
      <x:c r="D1365" s="28" t="n">
        <x:f>MOD(B1365,1)</x:f>
        <x:v>0.09489583333197515</x:v>
      </x:c>
      <x:c r="E1365" s="29" t="n">
        <x:f>YEAR(B1365)</x:f>
        <x:v>2025</x:v>
      </x:c>
      <x:c r="F1365" s="29" t="n">
        <x:f>MONTH(B1365)</x:f>
        <x:v>1</x:v>
      </x:c>
      <x:c r="G1365" s="30" t="n">
        <x:v>-19.31</x:v>
      </x:c>
      <x:c r="H1365" s="30" t="n">
        <x:v>-69.27</x:v>
      </x:c>
      <x:c r="I1365" s="29" t="n">
        <x:v>105</x:v>
      </x:c>
      <x:c r="J1365" s="31" t="n">
        <x:v>4.3</x:v>
      </x:c>
      <x:c r="K1365" s="25" t="str">
        <x:f>IF(J1365&gt;=7,"Muy fuerte (&gt;=7)",IF(J1365&gt;=6,"Fuerte (6-6.9)",IF(J1365&gt;=5,"Moderado alto (5-5.9)",IF(J1365&gt;=4,"Moderado (4-4.9)","Menor a 4"))))</x:f>
        <x:v>Moderado (4-4.9)</x:v>
      </x:c>
      <x:c r="L1365" s="25" t="str">
        <x:f>IF(I1365&lt;70,"Superficial (&lt;70 km)",IF(I1365&lt;=300,"Intermedio (70-300 km)","Profundo (&gt;300 km)"))</x:f>
        <x:v>Intermedio (70-300 km)</x:v>
      </x:c>
      <x:c r="M1365" s="25" t="str">
        <x:f>IF(J1365&gt;=5,"Sí","No")</x:f>
        <x:v>No</x:v>
      </x:c>
      <x:c r="N1365" s="25" t="str">
        <x:f>IF(J1365&gt;=6,"Sí","No")</x:f>
        <x:v>No</x:v>
      </x:c>
      <x:c r="O1365" s="25" t="str">
        <x:v>Pendiente: asignar con R/sf</x:v>
      </x:c>
    </x:row>
    <x:row r="1366">
      <x:c r="A1366" s="25" t="n">
        <x:v>1365</x:v>
      </x:c>
      <x:c r="B1366" s="26" t="n">
        <x:v>45693.05716435185</x:v>
      </x:c>
      <x:c r="C1366" s="27" t="n">
        <x:f>INT(B1366)</x:f>
        <x:v>45693</x:v>
      </x:c>
      <x:c r="D1366" s="28" t="n">
        <x:f>MOD(B1366,1)</x:f>
        <x:v>0.057164351848769</x:v>
      </x:c>
      <x:c r="E1366" s="29" t="n">
        <x:f>YEAR(B1366)</x:f>
        <x:v>2025</x:v>
      </x:c>
      <x:c r="F1366" s="29" t="n">
        <x:f>MONTH(B1366)</x:f>
        <x:v>2</x:v>
      </x:c>
      <x:c r="G1366" s="30" t="n">
        <x:v>-19.37</x:v>
      </x:c>
      <x:c r="H1366" s="30" t="n">
        <x:v>-69.36</x:v>
      </x:c>
      <x:c r="I1366" s="29" t="n">
        <x:v>94</x:v>
      </x:c>
      <x:c r="J1366" s="31" t="n">
        <x:v>4.4</x:v>
      </x:c>
      <x:c r="K1366" s="25" t="str">
        <x:f>IF(J1366&gt;=7,"Muy fuerte (&gt;=7)",IF(J1366&gt;=6,"Fuerte (6-6.9)",IF(J1366&gt;=5,"Moderado alto (5-5.9)",IF(J1366&gt;=4,"Moderado (4-4.9)","Menor a 4"))))</x:f>
        <x:v>Moderado (4-4.9)</x:v>
      </x:c>
      <x:c r="L1366" s="25" t="str">
        <x:f>IF(I1366&lt;70,"Superficial (&lt;70 km)",IF(I1366&lt;=300,"Intermedio (70-300 km)","Profundo (&gt;300 km)"))</x:f>
        <x:v>Intermedio (70-300 km)</x:v>
      </x:c>
      <x:c r="M1366" s="25" t="str">
        <x:f>IF(J1366&gt;=5,"Sí","No")</x:f>
        <x:v>No</x:v>
      </x:c>
      <x:c r="N1366" s="25" t="str">
        <x:f>IF(J1366&gt;=6,"Sí","No")</x:f>
        <x:v>No</x:v>
      </x:c>
      <x:c r="O1366" s="25" t="str">
        <x:v>Pendiente: asignar con R/sf</x:v>
      </x:c>
    </x:row>
    <x:row r="1367">
      <x:c r="A1367" s="25" t="n">
        <x:v>1366</x:v>
      </x:c>
      <x:c r="B1367" s="26" t="n">
        <x:v>45694.92196759259</x:v>
      </x:c>
      <x:c r="C1367" s="27" t="n">
        <x:f>INT(B1367)</x:f>
        <x:v>45694</x:v>
      </x:c>
      <x:c r="D1367" s="28" t="n">
        <x:f>MOD(B1367,1)</x:f>
        <x:v>0.9219675925924093</x:v>
      </x:c>
      <x:c r="E1367" s="29" t="n">
        <x:f>YEAR(B1367)</x:f>
        <x:v>2025</x:v>
      </x:c>
      <x:c r="F1367" s="29" t="n">
        <x:f>MONTH(B1367)</x:f>
        <x:v>2</x:v>
      </x:c>
      <x:c r="G1367" s="30" t="n">
        <x:v>-20.26</x:v>
      </x:c>
      <x:c r="H1367" s="30" t="n">
        <x:v>-69.08</x:v>
      </x:c>
      <x:c r="I1367" s="29" t="n">
        <x:v>103</x:v>
      </x:c>
      <x:c r="J1367" s="31" t="n">
        <x:v>4</x:v>
      </x:c>
      <x:c r="K1367" s="25" t="str">
        <x:f>IF(J1367&gt;=7,"Muy fuerte (&gt;=7)",IF(J1367&gt;=6,"Fuerte (6-6.9)",IF(J1367&gt;=5,"Moderado alto (5-5.9)",IF(J1367&gt;=4,"Moderado (4-4.9)","Menor a 4"))))</x:f>
        <x:v>Moderado (4-4.9)</x:v>
      </x:c>
      <x:c r="L1367" s="25" t="str">
        <x:f>IF(I1367&lt;70,"Superficial (&lt;70 km)",IF(I1367&lt;=300,"Intermedio (70-300 km)","Profundo (&gt;300 km)"))</x:f>
        <x:v>Intermedio (70-300 km)</x:v>
      </x:c>
      <x:c r="M1367" s="25" t="str">
        <x:f>IF(J1367&gt;=5,"Sí","No")</x:f>
        <x:v>No</x:v>
      </x:c>
      <x:c r="N1367" s="25" t="str">
        <x:f>IF(J1367&gt;=6,"Sí","No")</x:f>
        <x:v>No</x:v>
      </x:c>
      <x:c r="O1367" s="25" t="str">
        <x:v>Pendiente: asignar con R/sf</x:v>
      </x:c>
    </x:row>
    <x:row r="1368">
      <x:c r="A1368" s="25" t="n">
        <x:v>1367</x:v>
      </x:c>
      <x:c r="B1368" s="26" t="n">
        <x:v>45696.59847222222</x:v>
      </x:c>
      <x:c r="C1368" s="27" t="n">
        <x:f>INT(B1368)</x:f>
        <x:v>45696</x:v>
      </x:c>
      <x:c r="D1368" s="28" t="n">
        <x:f>MOD(B1368,1)</x:f>
        <x:v>0.5984722222201526</x:v>
      </x:c>
      <x:c r="E1368" s="29" t="n">
        <x:f>YEAR(B1368)</x:f>
        <x:v>2025</x:v>
      </x:c>
      <x:c r="F1368" s="29" t="n">
        <x:f>MONTH(B1368)</x:f>
        <x:v>2</x:v>
      </x:c>
      <x:c r="G1368" s="30" t="n">
        <x:v>-19.73</x:v>
      </x:c>
      <x:c r="H1368" s="30" t="n">
        <x:v>-69.14</x:v>
      </x:c>
      <x:c r="I1368" s="29" t="n">
        <x:v>104</x:v>
      </x:c>
      <x:c r="J1368" s="31" t="n">
        <x:v>3.8</x:v>
      </x:c>
      <x:c r="K1368" s="25" t="str">
        <x:f>IF(J1368&gt;=7,"Muy fuerte (&gt;=7)",IF(J1368&gt;=6,"Fuerte (6-6.9)",IF(J1368&gt;=5,"Moderado alto (5-5.9)",IF(J1368&gt;=4,"Moderado (4-4.9)","Menor a 4"))))</x:f>
        <x:v>Menor a 4</x:v>
      </x:c>
      <x:c r="L1368" s="25" t="str">
        <x:f>IF(I1368&lt;70,"Superficial (&lt;70 km)",IF(I1368&lt;=300,"Intermedio (70-300 km)","Profundo (&gt;300 km)"))</x:f>
        <x:v>Intermedio (70-300 km)</x:v>
      </x:c>
      <x:c r="M1368" s="25" t="str">
        <x:f>IF(J1368&gt;=5,"Sí","No")</x:f>
        <x:v>No</x:v>
      </x:c>
      <x:c r="N1368" s="25" t="str">
        <x:f>IF(J1368&gt;=6,"Sí","No")</x:f>
        <x:v>No</x:v>
      </x:c>
      <x:c r="O1368" s="25" t="str">
        <x:v>Pendiente: asignar con R/sf</x:v>
      </x:c>
    </x:row>
    <x:row r="1369">
      <x:c r="A1369" s="25" t="n">
        <x:v>1368</x:v>
      </x:c>
      <x:c r="B1369" s="26" t="n">
        <x:v>45761.68001157408</x:v>
      </x:c>
      <x:c r="C1369" s="27" t="n">
        <x:f>INT(B1369)</x:f>
        <x:v>45761</x:v>
      </x:c>
      <x:c r="D1369" s="28" t="n">
        <x:f>MOD(B1369,1)</x:f>
        <x:v>0.6800115740770707</x:v>
      </x:c>
      <x:c r="E1369" s="29" t="n">
        <x:f>YEAR(B1369)</x:f>
        <x:v>2025</x:v>
      </x:c>
      <x:c r="F1369" s="29" t="n">
        <x:f>MONTH(B1369)</x:f>
        <x:v>4</x:v>
      </x:c>
      <x:c r="G1369" s="30" t="n">
        <x:v>-19.73</x:v>
      </x:c>
      <x:c r="H1369" s="30" t="n">
        <x:v>-69.08</x:v>
      </x:c>
      <x:c r="I1369" s="29" t="n">
        <x:v>108</x:v>
      </x:c>
      <x:c r="J1369" s="31" t="n">
        <x:v>3.6</x:v>
      </x:c>
      <x:c r="K1369" s="25" t="str">
        <x:f>IF(J1369&gt;=7,"Muy fuerte (&gt;=7)",IF(J1369&gt;=6,"Fuerte (6-6.9)",IF(J1369&gt;=5,"Moderado alto (5-5.9)",IF(J1369&gt;=4,"Moderado (4-4.9)","Menor a 4"))))</x:f>
        <x:v>Menor a 4</x:v>
      </x:c>
      <x:c r="L1369" s="25" t="str">
        <x:f>IF(I1369&lt;70,"Superficial (&lt;70 km)",IF(I1369&lt;=300,"Intermedio (70-300 km)","Profundo (&gt;300 km)"))</x:f>
        <x:v>Intermedio (70-300 km)</x:v>
      </x:c>
      <x:c r="M1369" s="25" t="str">
        <x:f>IF(J1369&gt;=5,"Sí","No")</x:f>
        <x:v>No</x:v>
      </x:c>
      <x:c r="N1369" s="25" t="str">
        <x:f>IF(J1369&gt;=6,"Sí","No")</x:f>
        <x:v>No</x:v>
      </x:c>
      <x:c r="O1369" s="25" t="str">
        <x:v>Pendiente: asignar con R/sf</x:v>
      </x:c>
    </x:row>
    <x:row r="1370">
      <x:c r="A1370" s="25" t="n">
        <x:v>1369</x:v>
      </x:c>
      <x:c r="B1370" s="26" t="n">
        <x:v>45761.9200462963</x:v>
      </x:c>
      <x:c r="C1370" s="27" t="n">
        <x:f>INT(B1370)</x:f>
        <x:v>45761</x:v>
      </x:c>
      <x:c r="D1370" s="28" t="n">
        <x:f>MOD(B1370,1)</x:f>
        <x:v>0.9200462962980964</x:v>
      </x:c>
      <x:c r="E1370" s="29" t="n">
        <x:f>YEAR(B1370)</x:f>
        <x:v>2025</x:v>
      </x:c>
      <x:c r="F1370" s="29" t="n">
        <x:f>MONTH(B1370)</x:f>
        <x:v>4</x:v>
      </x:c>
      <x:c r="G1370" s="30" t="n">
        <x:v>-20.27</x:v>
      </x:c>
      <x:c r="H1370" s="30" t="n">
        <x:v>-69.18</x:v>
      </x:c>
      <x:c r="I1370" s="29" t="n">
        <x:v>86</x:v>
      </x:c>
      <x:c r="J1370" s="31" t="n">
        <x:v>4.1</x:v>
      </x:c>
      <x:c r="K1370" s="25" t="str">
        <x:f>IF(J1370&gt;=7,"Muy fuerte (&gt;=7)",IF(J1370&gt;=6,"Fuerte (6-6.9)",IF(J1370&gt;=5,"Moderado alto (5-5.9)",IF(J1370&gt;=4,"Moderado (4-4.9)","Menor a 4"))))</x:f>
        <x:v>Moderado (4-4.9)</x:v>
      </x:c>
      <x:c r="L1370" s="25" t="str">
        <x:f>IF(I1370&lt;70,"Superficial (&lt;70 km)",IF(I1370&lt;=300,"Intermedio (70-300 km)","Profundo (&gt;300 km)"))</x:f>
        <x:v>Intermedio (70-300 km)</x:v>
      </x:c>
      <x:c r="M1370" s="25" t="str">
        <x:f>IF(J1370&gt;=5,"Sí","No")</x:f>
        <x:v>No</x:v>
      </x:c>
      <x:c r="N1370" s="25" t="str">
        <x:f>IF(J1370&gt;=6,"Sí","No")</x:f>
        <x:v>No</x:v>
      </x:c>
      <x:c r="O1370" s="25" t="str">
        <x:v>Pendiente: asignar con R/sf</x:v>
      </x:c>
    </x:row>
    <x:row r="1371">
      <x:c r="A1371" s="25" t="n">
        <x:v>1370</x:v>
      </x:c>
      <x:c r="B1371" s="26" t="n">
        <x:v>45800.06707175926</x:v>
      </x:c>
      <x:c r="C1371" s="27" t="n">
        <x:f>INT(B1371)</x:f>
        <x:v>45800</x:v>
      </x:c>
      <x:c r="D1371" s="28" t="n">
        <x:f>MOD(B1371,1)</x:f>
        <x:v>0.06707175925839692</x:v>
      </x:c>
      <x:c r="E1371" s="29" t="n">
        <x:f>YEAR(B1371)</x:f>
        <x:v>2025</x:v>
      </x:c>
      <x:c r="F1371" s="29" t="n">
        <x:f>MONTH(B1371)</x:f>
        <x:v>5</x:v>
      </x:c>
      <x:c r="G1371" s="30" t="n">
        <x:v>-19.9</x:v>
      </x:c>
      <x:c r="H1371" s="30" t="n">
        <x:v>-69.36</x:v>
      </x:c>
      <x:c r="I1371" s="29" t="n">
        <x:v>102</x:v>
      </x:c>
      <x:c r="J1371" s="31" t="n">
        <x:v>3.6</x:v>
      </x:c>
      <x:c r="K1371" s="25" t="str">
        <x:f>IF(J1371&gt;=7,"Muy fuerte (&gt;=7)",IF(J1371&gt;=6,"Fuerte (6-6.9)",IF(J1371&gt;=5,"Moderado alto (5-5.9)",IF(J1371&gt;=4,"Moderado (4-4.9)","Menor a 4"))))</x:f>
        <x:v>Menor a 4</x:v>
      </x:c>
      <x:c r="L1371" s="25" t="str">
        <x:f>IF(I1371&lt;70,"Superficial (&lt;70 km)",IF(I1371&lt;=300,"Intermedio (70-300 km)","Profundo (&gt;300 km)"))</x:f>
        <x:v>Intermedio (70-300 km)</x:v>
      </x:c>
      <x:c r="M1371" s="25" t="str">
        <x:f>IF(J1371&gt;=5,"Sí","No")</x:f>
        <x:v>No</x:v>
      </x:c>
      <x:c r="N1371" s="25" t="str">
        <x:f>IF(J1371&gt;=6,"Sí","No")</x:f>
        <x:v>No</x:v>
      </x:c>
      <x:c r="O1371" s="25" t="str">
        <x:v>Pendiente: asignar con R/sf</x:v>
      </x:c>
    </x:row>
    <x:row r="1372">
      <x:c r="A1372" s="25" t="n">
        <x:v>1371</x:v>
      </x:c>
      <x:c r="B1372" s="26" t="n">
        <x:v>45432.18224537037</x:v>
      </x:c>
      <x:c r="C1372" s="27" t="n">
        <x:f>INT(B1372)</x:f>
        <x:v>45432</x:v>
      </x:c>
      <x:c r="D1372" s="28" t="n">
        <x:f>MOD(B1372,1)</x:f>
        <x:v>0.18224537037167465</x:v>
      </x:c>
      <x:c r="E1372" s="29" t="n">
        <x:f>YEAR(B1372)</x:f>
        <x:v>2024</x:v>
      </x:c>
      <x:c r="F1372" s="29" t="n">
        <x:f>MONTH(B1372)</x:f>
        <x:v>5</x:v>
      </x:c>
      <x:c r="G1372" s="30" t="n">
        <x:v>-22.02</x:v>
      </x:c>
      <x:c r="H1372" s="30" t="n">
        <x:v>-70.38</x:v>
      </x:c>
      <x:c r="I1372" s="29" t="n">
        <x:v>28</x:v>
      </x:c>
      <x:c r="J1372" s="31" t="n">
        <x:v>3.5</x:v>
      </x:c>
      <x:c r="K1372" s="25" t="str">
        <x:f>IF(J1372&gt;=7,"Muy fuerte (&gt;=7)",IF(J1372&gt;=6,"Fuerte (6-6.9)",IF(J1372&gt;=5,"Moderado alto (5-5.9)",IF(J1372&gt;=4,"Moderado (4-4.9)","Menor a 4"))))</x:f>
        <x:v>Menor a 4</x:v>
      </x:c>
      <x:c r="L1372" s="25" t="str">
        <x:f>IF(I1372&lt;70,"Superficial (&lt;70 km)",IF(I1372&lt;=300,"Intermedio (70-300 km)","Profundo (&gt;300 km)"))</x:f>
        <x:v>Superficial (&lt;70 km)</x:v>
      </x:c>
      <x:c r="M1372" s="25" t="str">
        <x:f>IF(J1372&gt;=5,"Sí","No")</x:f>
        <x:v>No</x:v>
      </x:c>
      <x:c r="N1372" s="25" t="str">
        <x:f>IF(J1372&gt;=6,"Sí","No")</x:f>
        <x:v>No</x:v>
      </x:c>
      <x:c r="O1372" s="25" t="str">
        <x:v>Pendiente: asignar con R/sf</x:v>
      </x:c>
    </x:row>
    <x:row r="1373">
      <x:c r="A1373" s="25" t="n">
        <x:v>1372</x:v>
      </x:c>
      <x:c r="B1373" s="26" t="n">
        <x:v>45606.95575231482</x:v>
      </x:c>
      <x:c r="C1373" s="27" t="n">
        <x:f>INT(B1373)</x:f>
        <x:v>45606</x:v>
      </x:c>
      <x:c r="D1373" s="28" t="n">
        <x:f>MOD(B1373,1)</x:f>
        <x:v>0.9557523148178007</x:v>
      </x:c>
      <x:c r="E1373" s="29" t="n">
        <x:f>YEAR(B1373)</x:f>
        <x:v>2024</x:v>
      </x:c>
      <x:c r="F1373" s="29" t="n">
        <x:f>MONTH(B1373)</x:f>
        <x:v>11</x:v>
      </x:c>
      <x:c r="G1373" s="30" t="n">
        <x:v>-21.46</x:v>
      </x:c>
      <x:c r="H1373" s="30" t="n">
        <x:v>-69.82</x:v>
      </x:c>
      <x:c r="I1373" s="29" t="n">
        <x:v>32</x:v>
      </x:c>
      <x:c r="J1373" s="31" t="n">
        <x:v>4</x:v>
      </x:c>
      <x:c r="K1373" s="25" t="str">
        <x:f>IF(J1373&gt;=7,"Muy fuerte (&gt;=7)",IF(J1373&gt;=6,"Fuerte (6-6.9)",IF(J1373&gt;=5,"Moderado alto (5-5.9)",IF(J1373&gt;=4,"Moderado (4-4.9)","Menor a 4"))))</x:f>
        <x:v>Moderado (4-4.9)</x:v>
      </x:c>
      <x:c r="L1373" s="25" t="str">
        <x:f>IF(I1373&lt;70,"Superficial (&lt;70 km)",IF(I1373&lt;=300,"Intermedio (70-300 km)","Profundo (&gt;300 km)"))</x:f>
        <x:v>Superficial (&lt;70 km)</x:v>
      </x:c>
      <x:c r="M1373" s="25" t="str">
        <x:f>IF(J1373&gt;=5,"Sí","No")</x:f>
        <x:v>No</x:v>
      </x:c>
      <x:c r="N1373" s="25" t="str">
        <x:f>IF(J1373&gt;=6,"Sí","No")</x:f>
        <x:v>No</x:v>
      </x:c>
      <x:c r="O1373" s="25" t="str">
        <x:v>Pendiente: asignar con R/sf</x:v>
      </x:c>
    </x:row>
    <x:row r="1374">
      <x:c r="A1374" s="25" t="n">
        <x:v>1373</x:v>
      </x:c>
      <x:c r="B1374" s="26" t="n">
        <x:v>45644.35084490741</x:v>
      </x:c>
      <x:c r="C1374" s="27" t="n">
        <x:f>INT(B1374)</x:f>
        <x:v>45644</x:v>
      </x:c>
      <x:c r="D1374" s="28" t="n">
        <x:f>MOD(B1374,1)</x:f>
        <x:v>0.3508449074070086</x:v>
      </x:c>
      <x:c r="E1374" s="29" t="n">
        <x:f>YEAR(B1374)</x:f>
        <x:v>2024</x:v>
      </x:c>
      <x:c r="F1374" s="29" t="n">
        <x:f>MONTH(B1374)</x:f>
        <x:v>12</x:v>
      </x:c>
      <x:c r="G1374" s="30" t="n">
        <x:v>-22.66</x:v>
      </x:c>
      <x:c r="H1374" s="30" t="n">
        <x:v>-70.47</x:v>
      </x:c>
      <x:c r="I1374" s="29" t="n">
        <x:v>51</x:v>
      </x:c>
      <x:c r="J1374" s="31" t="n">
        <x:v>4.2</x:v>
      </x:c>
      <x:c r="K1374" s="25" t="str">
        <x:f>IF(J1374&gt;=7,"Muy fuerte (&gt;=7)",IF(J1374&gt;=6,"Fuerte (6-6.9)",IF(J1374&gt;=5,"Moderado alto (5-5.9)",IF(J1374&gt;=4,"Moderado (4-4.9)","Menor a 4"))))</x:f>
        <x:v>Moderado (4-4.9)</x:v>
      </x:c>
      <x:c r="L1374" s="25" t="str">
        <x:f>IF(I1374&lt;70,"Superficial (&lt;70 km)",IF(I1374&lt;=300,"Intermedio (70-300 km)","Profundo (&gt;300 km)"))</x:f>
        <x:v>Superficial (&lt;70 km)</x:v>
      </x:c>
      <x:c r="M1374" s="25" t="str">
        <x:f>IF(J1374&gt;=5,"Sí","No")</x:f>
        <x:v>No</x:v>
      </x:c>
      <x:c r="N1374" s="25" t="str">
        <x:f>IF(J1374&gt;=6,"Sí","No")</x:f>
        <x:v>No</x:v>
      </x:c>
      <x:c r="O1374" s="25" t="str">
        <x:v>Pendiente: asignar con R/sf</x:v>
      </x:c>
    </x:row>
    <x:row r="1375">
      <x:c r="A1375" s="25" t="n">
        <x:v>1374</x:v>
      </x:c>
      <x:c r="B1375" s="26" t="n">
        <x:v>45760.64755787037</x:v>
      </x:c>
      <x:c r="C1375" s="27" t="n">
        <x:f>INT(B1375)</x:f>
        <x:v>45760</x:v>
      </x:c>
      <x:c r="D1375" s="28" t="n">
        <x:f>MOD(B1375,1)</x:f>
        <x:v>0.6475578703684732</x:v>
      </x:c>
      <x:c r="E1375" s="29" t="n">
        <x:f>YEAR(B1375)</x:f>
        <x:v>2025</x:v>
      </x:c>
      <x:c r="F1375" s="29" t="n">
        <x:f>MONTH(B1375)</x:f>
        <x:v>4</x:v>
      </x:c>
      <x:c r="G1375" s="30" t="n">
        <x:v>-21.73</x:v>
      </x:c>
      <x:c r="H1375" s="30" t="n">
        <x:v>-70.35</x:v>
      </x:c>
      <x:c r="I1375" s="29" t="n">
        <x:v>57</x:v>
      </x:c>
      <x:c r="J1375" s="31" t="n">
        <x:v>4.7</x:v>
      </x:c>
      <x:c r="K1375" s="25" t="str">
        <x:f>IF(J1375&gt;=7,"Muy fuerte (&gt;=7)",IF(J1375&gt;=6,"Fuerte (6-6.9)",IF(J1375&gt;=5,"Moderado alto (5-5.9)",IF(J1375&gt;=4,"Moderado (4-4.9)","Menor a 4"))))</x:f>
        <x:v>Moderado (4-4.9)</x:v>
      </x:c>
      <x:c r="L1375" s="25" t="str">
        <x:f>IF(I1375&lt;70,"Superficial (&lt;70 km)",IF(I1375&lt;=300,"Intermedio (70-300 km)","Profundo (&gt;300 km)"))</x:f>
        <x:v>Superficial (&lt;70 km)</x:v>
      </x:c>
      <x:c r="M1375" s="25" t="str">
        <x:f>IF(J1375&gt;=5,"Sí","No")</x:f>
        <x:v>No</x:v>
      </x:c>
      <x:c r="N1375" s="25" t="str">
        <x:f>IF(J1375&gt;=6,"Sí","No")</x:f>
        <x:v>No</x:v>
      </x:c>
      <x:c r="O1375" s="25" t="str">
        <x:v>Pendiente: asignar con R/sf</x:v>
      </x:c>
    </x:row>
    <x:row r="1376">
      <x:c r="A1376" s="25" t="n">
        <x:v>1375</x:v>
      </x:c>
      <x:c r="B1376" s="26" t="n">
        <x:v>45805.672743055555</x:v>
      </x:c>
      <x:c r="C1376" s="27" t="n">
        <x:f>INT(B1376)</x:f>
        <x:v>45805</x:v>
      </x:c>
      <x:c r="D1376" s="28" t="n">
        <x:f>MOD(B1376,1)</x:f>
        <x:v>0.6727430555547471</x:v>
      </x:c>
      <x:c r="E1376" s="29" t="n">
        <x:f>YEAR(B1376)</x:f>
        <x:v>2025</x:v>
      </x:c>
      <x:c r="F1376" s="29" t="n">
        <x:f>MONTH(B1376)</x:f>
        <x:v>5</x:v>
      </x:c>
      <x:c r="G1376" s="30" t="n">
        <x:v>-22.11</x:v>
      </x:c>
      <x:c r="H1376" s="30" t="n">
        <x:v>-70.36</x:v>
      </x:c>
      <x:c r="I1376" s="29" t="n">
        <x:v>29</x:v>
      </x:c>
      <x:c r="J1376" s="31" t="n">
        <x:v>3.9</x:v>
      </x:c>
      <x:c r="K1376" s="25" t="str">
        <x:f>IF(J1376&gt;=7,"Muy fuerte (&gt;=7)",IF(J1376&gt;=6,"Fuerte (6-6.9)",IF(J1376&gt;=5,"Moderado alto (5-5.9)",IF(J1376&gt;=4,"Moderado (4-4.9)","Menor a 4"))))</x:f>
        <x:v>Menor a 4</x:v>
      </x:c>
      <x:c r="L1376" s="25" t="str">
        <x:f>IF(I1376&lt;70,"Superficial (&lt;70 km)",IF(I1376&lt;=300,"Intermedio (70-300 km)","Profundo (&gt;300 km)"))</x:f>
        <x:v>Superficial (&lt;70 km)</x:v>
      </x:c>
      <x:c r="M1376" s="25" t="str">
        <x:f>IF(J1376&gt;=5,"Sí","No")</x:f>
        <x:v>No</x:v>
      </x:c>
      <x:c r="N1376" s="25" t="str">
        <x:f>IF(J1376&gt;=6,"Sí","No")</x:f>
        <x:v>No</x:v>
      </x:c>
      <x:c r="O1376" s="25" t="str">
        <x:v>Pendiente: asignar con R/sf</x:v>
      </x:c>
    </x:row>
    <x:row r="1377">
      <x:c r="A1377" s="25" t="n">
        <x:v>1376</x:v>
      </x:c>
      <x:c r="B1377" s="26" t="n">
        <x:v>45818.98510416667</x:v>
      </x:c>
      <x:c r="C1377" s="27" t="n">
        <x:f>INT(B1377)</x:f>
        <x:v>45818</x:v>
      </x:c>
      <x:c r="D1377" s="28" t="n">
        <x:f>MOD(B1377,1)</x:f>
        <x:v>0.9851041666697711</x:v>
      </x:c>
      <x:c r="E1377" s="29" t="n">
        <x:f>YEAR(B1377)</x:f>
        <x:v>2025</x:v>
      </x:c>
      <x:c r="F1377" s="29" t="n">
        <x:f>MONTH(B1377)</x:f>
        <x:v>6</x:v>
      </x:c>
      <x:c r="G1377" s="30" t="n">
        <x:v>-21.56</x:v>
      </x:c>
      <x:c r="H1377" s="30" t="n">
        <x:v>-69.68</x:v>
      </x:c>
      <x:c r="I1377" s="29" t="n">
        <x:v>41</x:v>
      </x:c>
      <x:c r="J1377" s="31" t="n">
        <x:v>3.9</x:v>
      </x:c>
      <x:c r="K1377" s="25" t="str">
        <x:f>IF(J1377&gt;=7,"Muy fuerte (&gt;=7)",IF(J1377&gt;=6,"Fuerte (6-6.9)",IF(J1377&gt;=5,"Moderado alto (5-5.9)",IF(J1377&gt;=4,"Moderado (4-4.9)","Menor a 4"))))</x:f>
        <x:v>Menor a 4</x:v>
      </x:c>
      <x:c r="L1377" s="25" t="str">
        <x:f>IF(I1377&lt;70,"Superficial (&lt;70 km)",IF(I1377&lt;=300,"Intermedio (70-300 km)","Profundo (&gt;300 km)"))</x:f>
        <x:v>Superficial (&lt;70 km)</x:v>
      </x:c>
      <x:c r="M1377" s="25" t="str">
        <x:f>IF(J1377&gt;=5,"Sí","No")</x:f>
        <x:v>No</x:v>
      </x:c>
      <x:c r="N1377" s="25" t="str">
        <x:f>IF(J1377&gt;=6,"Sí","No")</x:f>
        <x:v>No</x:v>
      </x:c>
      <x:c r="O1377" s="25" t="str">
        <x:v>Pendiente: asignar con R/sf</x:v>
      </x:c>
    </x:row>
    <x:row r="1378">
      <x:c r="A1378" s="25" t="n">
        <x:v>1377</x:v>
      </x:c>
      <x:c r="B1378" s="26" t="n">
        <x:v>45650.94613425926</x:v>
      </x:c>
      <x:c r="C1378" s="27" t="n">
        <x:f>INT(B1378)</x:f>
        <x:v>45650</x:v>
      </x:c>
      <x:c r="D1378" s="28" t="n">
        <x:f>MOD(B1378,1)</x:f>
        <x:v>0.9461342592621804</x:v>
      </x:c>
      <x:c r="E1378" s="29" t="n">
        <x:f>YEAR(B1378)</x:f>
        <x:v>2024</x:v>
      </x:c>
      <x:c r="F1378" s="29" t="n">
        <x:f>MONTH(B1378)</x:f>
        <x:v>12</x:v>
      </x:c>
      <x:c r="G1378" s="30" t="n">
        <x:v>-28.11</x:v>
      </x:c>
      <x:c r="H1378" s="30" t="n">
        <x:v>-67.48</x:v>
      </x:c>
      <x:c r="I1378" s="29" t="n">
        <x:v>116</x:v>
      </x:c>
      <x:c r="J1378" s="31" t="n">
        <x:v>6</x:v>
      </x:c>
      <x:c r="K1378" s="25" t="str">
        <x:f>IF(J1378&gt;=7,"Muy fuerte (&gt;=7)",IF(J1378&gt;=6,"Fuerte (6-6.9)",IF(J1378&gt;=5,"Moderado alto (5-5.9)",IF(J1378&gt;=4,"Moderado (4-4.9)","Menor a 4"))))</x:f>
        <x:v>Fuerte (6-6.9)</x:v>
      </x:c>
      <x:c r="L1378" s="25" t="str">
        <x:f>IF(I1378&lt;70,"Superficial (&lt;70 km)",IF(I1378&lt;=300,"Intermedio (70-300 km)","Profundo (&gt;300 km)"))</x:f>
        <x:v>Intermedio (70-300 km)</x:v>
      </x:c>
      <x:c r="M1378" s="25" t="str">
        <x:f>IF(J1378&gt;=5,"Sí","No")</x:f>
        <x:v>Sí</x:v>
      </x:c>
      <x:c r="N1378" s="25" t="str">
        <x:f>IF(J1378&gt;=6,"Sí","No")</x:f>
        <x:v>Sí</x:v>
      </x:c>
      <x:c r="O1378" s="25" t="str">
        <x:v>Pendiente: asignar con R/sf</x:v>
      </x:c>
    </x:row>
    <x:row r="1379">
      <x:c r="A1379" s="25" t="n">
        <x:v>1378</x:v>
      </x:c>
      <x:c r="B1379" s="26" t="n">
        <x:v>45698.61659722222</x:v>
      </x:c>
      <x:c r="C1379" s="27" t="n">
        <x:f>INT(B1379)</x:f>
        <x:v>45698</x:v>
      </x:c>
      <x:c r="D1379" s="28" t="n">
        <x:f>MOD(B1379,1)</x:f>
        <x:v>0.6165972222224809</x:v>
      </x:c>
      <x:c r="E1379" s="29" t="n">
        <x:f>YEAR(B1379)</x:f>
        <x:v>2025</x:v>
      </x:c>
      <x:c r="F1379" s="29" t="n">
        <x:f>MONTH(B1379)</x:f>
        <x:v>2</x:v>
      </x:c>
      <x:c r="G1379" s="30" t="n">
        <x:v>-28.33</x:v>
      </x:c>
      <x:c r="H1379" s="30" t="n">
        <x:v>-70.91</x:v>
      </x:c>
      <x:c r="I1379" s="29" t="n">
        <x:v>62</x:v>
      </x:c>
      <x:c r="J1379" s="31" t="n">
        <x:v>4</x:v>
      </x:c>
      <x:c r="K1379" s="25" t="str">
        <x:f>IF(J1379&gt;=7,"Muy fuerte (&gt;=7)",IF(J1379&gt;=6,"Fuerte (6-6.9)",IF(J1379&gt;=5,"Moderado alto (5-5.9)",IF(J1379&gt;=4,"Moderado (4-4.9)","Menor a 4"))))</x:f>
        <x:v>Moderado (4-4.9)</x:v>
      </x:c>
      <x:c r="L1379" s="25" t="str">
        <x:f>IF(I1379&lt;70,"Superficial (&lt;70 km)",IF(I1379&lt;=300,"Intermedio (70-300 km)","Profundo (&gt;300 km)"))</x:f>
        <x:v>Superficial (&lt;70 km)</x:v>
      </x:c>
      <x:c r="M1379" s="25" t="str">
        <x:f>IF(J1379&gt;=5,"Sí","No")</x:f>
        <x:v>No</x:v>
      </x:c>
      <x:c r="N1379" s="25" t="str">
        <x:f>IF(J1379&gt;=6,"Sí","No")</x:f>
        <x:v>No</x:v>
      </x:c>
      <x:c r="O1379" s="25" t="str">
        <x:v>Pendiente: asignar con R/sf</x:v>
      </x:c>
    </x:row>
    <x:row r="1380">
      <x:c r="A1380" s="25" t="n">
        <x:v>1379</x:v>
      </x:c>
      <x:c r="B1380" s="26" t="n">
        <x:v>45644.33212962963</x:v>
      </x:c>
      <x:c r="C1380" s="27" t="n">
        <x:f>INT(B1380)</x:f>
        <x:v>45644</x:v>
      </x:c>
      <x:c r="D1380" s="28" t="n">
        <x:f>MOD(B1380,1)</x:f>
        <x:v>0.3321296296271612</x:v>
      </x:c>
      <x:c r="E1380" s="29" t="n">
        <x:f>YEAR(B1380)</x:f>
        <x:v>2024</x:v>
      </x:c>
      <x:c r="F1380" s="29" t="n">
        <x:f>MONTH(B1380)</x:f>
        <x:v>12</x:v>
      </x:c>
      <x:c r="G1380" s="30" t="n">
        <x:v>-28.16</x:v>
      </x:c>
      <x:c r="H1380" s="30" t="n">
        <x:v>-70.78</x:v>
      </x:c>
      <x:c r="I1380" s="29" t="n">
        <x:v>51</x:v>
      </x:c>
      <x:c r="J1380" s="31" t="n">
        <x:v>4</x:v>
      </x:c>
      <x:c r="K1380" s="25" t="str">
        <x:f>IF(J1380&gt;=7,"Muy fuerte (&gt;=7)",IF(J1380&gt;=6,"Fuerte (6-6.9)",IF(J1380&gt;=5,"Moderado alto (5-5.9)",IF(J1380&gt;=4,"Moderado (4-4.9)","Menor a 4"))))</x:f>
        <x:v>Moderado (4-4.9)</x:v>
      </x:c>
      <x:c r="L1380" s="25" t="str">
        <x:f>IF(I1380&lt;70,"Superficial (&lt;70 km)",IF(I1380&lt;=300,"Intermedio (70-300 km)","Profundo (&gt;300 km)"))</x:f>
        <x:v>Superficial (&lt;70 km)</x:v>
      </x:c>
      <x:c r="M1380" s="25" t="str">
        <x:f>IF(J1380&gt;=5,"Sí","No")</x:f>
        <x:v>No</x:v>
      </x:c>
      <x:c r="N1380" s="25" t="str">
        <x:f>IF(J1380&gt;=6,"Sí","No")</x:f>
        <x:v>No</x:v>
      </x:c>
      <x:c r="O1380" s="25" t="str">
        <x:v>Pendiente: asignar con R/sf</x:v>
      </x:c>
    </x:row>
    <x:row r="1381">
      <x:c r="A1381" s="25" t="n">
        <x:v>1380</x:v>
      </x:c>
      <x:c r="B1381" s="26" t="n">
        <x:v>45756.08256944444</x:v>
      </x:c>
      <x:c r="C1381" s="27" t="n">
        <x:f>INT(B1381)</x:f>
        <x:v>45756</x:v>
      </x:c>
      <x:c r="D1381" s="28" t="n">
        <x:f>MOD(B1381,1)</x:f>
        <x:v>0.08256944444292458</x:v>
      </x:c>
      <x:c r="E1381" s="29" t="n">
        <x:f>YEAR(B1381)</x:f>
        <x:v>2025</x:v>
      </x:c>
      <x:c r="F1381" s="29" t="n">
        <x:f>MONTH(B1381)</x:f>
        <x:v>4</x:v>
      </x:c>
      <x:c r="G1381" s="30" t="n">
        <x:v>-27.24</x:v>
      </x:c>
      <x:c r="H1381" s="30" t="n">
        <x:v>-70.99</x:v>
      </x:c>
      <x:c r="I1381" s="29" t="n">
        <x:v>62</x:v>
      </x:c>
      <x:c r="J1381" s="31" t="n">
        <x:v>3.7</x:v>
      </x:c>
      <x:c r="K1381" s="25" t="str">
        <x:f>IF(J1381&gt;=7,"Muy fuerte (&gt;=7)",IF(J1381&gt;=6,"Fuerte (6-6.9)",IF(J1381&gt;=5,"Moderado alto (5-5.9)",IF(J1381&gt;=4,"Moderado (4-4.9)","Menor a 4"))))</x:f>
        <x:v>Menor a 4</x:v>
      </x:c>
      <x:c r="L1381" s="25" t="str">
        <x:f>IF(I1381&lt;70,"Superficial (&lt;70 km)",IF(I1381&lt;=300,"Intermedio (70-300 km)","Profundo (&gt;300 km)"))</x:f>
        <x:v>Superficial (&lt;70 km)</x:v>
      </x:c>
      <x:c r="M1381" s="25" t="str">
        <x:f>IF(J1381&gt;=5,"Sí","No")</x:f>
        <x:v>No</x:v>
      </x:c>
      <x:c r="N1381" s="25" t="str">
        <x:f>IF(J1381&gt;=6,"Sí","No")</x:f>
        <x:v>No</x:v>
      </x:c>
      <x:c r="O1381" s="25" t="str">
        <x:v>Pendiente: asignar con R/sf</x:v>
      </x:c>
    </x:row>
    <x:row r="1382">
      <x:c r="A1382" s="25" t="n">
        <x:v>1381</x:v>
      </x:c>
      <x:c r="B1382" s="26" t="n">
        <x:v>45191.61618055555</x:v>
      </x:c>
      <x:c r="C1382" s="27" t="n">
        <x:f>INT(B1382)</x:f>
        <x:v>45191</x:v>
      </x:c>
      <x:c r="D1382" s="28" t="n">
        <x:f>MOD(B1382,1)</x:f>
        <x:v>0.6161805555530009</x:v>
      </x:c>
      <x:c r="E1382" s="29" t="n">
        <x:f>YEAR(B1382)</x:f>
        <x:v>2023</x:v>
      </x:c>
      <x:c r="F1382" s="29" t="n">
        <x:f>MONTH(B1382)</x:f>
        <x:v>9</x:v>
      </x:c>
      <x:c r="G1382" s="30" t="n">
        <x:v>-28.21</x:v>
      </x:c>
      <x:c r="H1382" s="30" t="n">
        <x:v>-70.39</x:v>
      </x:c>
      <x:c r="I1382" s="29" t="n">
        <x:v>74</x:v>
      </x:c>
      <x:c r="J1382" s="31" t="n">
        <x:v>4</x:v>
      </x:c>
      <x:c r="K1382" s="25" t="str">
        <x:f>IF(J1382&gt;=7,"Muy fuerte (&gt;=7)",IF(J1382&gt;=6,"Fuerte (6-6.9)",IF(J1382&gt;=5,"Moderado alto (5-5.9)",IF(J1382&gt;=4,"Moderado (4-4.9)","Menor a 4"))))</x:f>
        <x:v>Moderado (4-4.9)</x:v>
      </x:c>
      <x:c r="L1382" s="25" t="str">
        <x:f>IF(I1382&lt;70,"Superficial (&lt;70 km)",IF(I1382&lt;=300,"Intermedio (70-300 km)","Profundo (&gt;300 km)"))</x:f>
        <x:v>Intermedio (70-300 km)</x:v>
      </x:c>
      <x:c r="M1382" s="25" t="str">
        <x:f>IF(J1382&gt;=5,"Sí","No")</x:f>
        <x:v>No</x:v>
      </x:c>
      <x:c r="N1382" s="25" t="str">
        <x:f>IF(J1382&gt;=6,"Sí","No")</x:f>
        <x:v>No</x:v>
      </x:c>
      <x:c r="O1382" s="25" t="str">
        <x:v>Pendiente: asignar con R/sf</x:v>
      </x:c>
    </x:row>
    <x:row r="1383">
      <x:c r="A1383" s="25" t="n">
        <x:v>1382</x:v>
      </x:c>
      <x:c r="B1383" s="26" t="n">
        <x:v>45215.3666087963</x:v>
      </x:c>
      <x:c r="C1383" s="27" t="n">
        <x:f>INT(B1383)</x:f>
        <x:v>45215</x:v>
      </x:c>
      <x:c r="D1383" s="28" t="n">
        <x:f>MOD(B1383,1)</x:f>
        <x:v>0.3666087962992606</x:v>
      </x:c>
      <x:c r="E1383" s="29" t="n">
        <x:f>YEAR(B1383)</x:f>
        <x:v>2023</x:v>
      </x:c>
      <x:c r="F1383" s="29" t="n">
        <x:f>MONTH(B1383)</x:f>
        <x:v>10</x:v>
      </x:c>
      <x:c r="G1383" s="30" t="n">
        <x:v>-27.38</x:v>
      </x:c>
      <x:c r="H1383" s="30" t="n">
        <x:v>-69.94</x:v>
      </x:c>
      <x:c r="I1383" s="29" t="n">
        <x:v>100</x:v>
      </x:c>
      <x:c r="J1383" s="31" t="n">
        <x:v>3.9</x:v>
      </x:c>
      <x:c r="K1383" s="25" t="str">
        <x:f>IF(J1383&gt;=7,"Muy fuerte (&gt;=7)",IF(J1383&gt;=6,"Fuerte (6-6.9)",IF(J1383&gt;=5,"Moderado alto (5-5.9)",IF(J1383&gt;=4,"Moderado (4-4.9)","Menor a 4"))))</x:f>
        <x:v>Menor a 4</x:v>
      </x:c>
      <x:c r="L1383" s="25" t="str">
        <x:f>IF(I1383&lt;70,"Superficial (&lt;70 km)",IF(I1383&lt;=300,"Intermedio (70-300 km)","Profundo (&gt;300 km)"))</x:f>
        <x:v>Intermedio (70-300 km)</x:v>
      </x:c>
      <x:c r="M1383" s="25" t="str">
        <x:f>IF(J1383&gt;=5,"Sí","No")</x:f>
        <x:v>No</x:v>
      </x:c>
      <x:c r="N1383" s="25" t="str">
        <x:f>IF(J1383&gt;=6,"Sí","No")</x:f>
        <x:v>No</x:v>
      </x:c>
      <x:c r="O1383" s="25" t="str">
        <x:v>Pendiente: asignar con R/sf</x:v>
      </x:c>
    </x:row>
    <x:row r="1384">
      <x:c r="A1384" s="25" t="n">
        <x:v>1383</x:v>
      </x:c>
      <x:c r="B1384" s="26" t="n">
        <x:v>45583.861666666664</x:v>
      </x:c>
      <x:c r="C1384" s="27" t="n">
        <x:f>INT(B1384)</x:f>
        <x:v>45583</x:v>
      </x:c>
      <x:c r="D1384" s="28" t="n">
        <x:f>MOD(B1384,1)</x:f>
        <x:v>0.8616666666639503</x:v>
      </x:c>
      <x:c r="E1384" s="29" t="n">
        <x:f>YEAR(B1384)</x:f>
        <x:v>2024</x:v>
      </x:c>
      <x:c r="F1384" s="29" t="n">
        <x:f>MONTH(B1384)</x:f>
        <x:v>10</x:v>
      </x:c>
      <x:c r="G1384" s="30" t="n">
        <x:v>-28.12</x:v>
      </x:c>
      <x:c r="H1384" s="30" t="n">
        <x:v>-70.75</x:v>
      </x:c>
      <x:c r="I1384" s="29" t="n">
        <x:v>55</x:v>
      </x:c>
      <x:c r="J1384" s="31" t="n">
        <x:v>3.8</x:v>
      </x:c>
      <x:c r="K1384" s="25" t="str">
        <x:f>IF(J1384&gt;=7,"Muy fuerte (&gt;=7)",IF(J1384&gt;=6,"Fuerte (6-6.9)",IF(J1384&gt;=5,"Moderado alto (5-5.9)",IF(J1384&gt;=4,"Moderado (4-4.9)","Menor a 4"))))</x:f>
        <x:v>Menor a 4</x:v>
      </x:c>
      <x:c r="L1384" s="25" t="str">
        <x:f>IF(I1384&lt;70,"Superficial (&lt;70 km)",IF(I1384&lt;=300,"Intermedio (70-300 km)","Profundo (&gt;300 km)"))</x:f>
        <x:v>Superficial (&lt;70 km)</x:v>
      </x:c>
      <x:c r="M1384" s="25" t="str">
        <x:f>IF(J1384&gt;=5,"Sí","No")</x:f>
        <x:v>No</x:v>
      </x:c>
      <x:c r="N1384" s="25" t="str">
        <x:f>IF(J1384&gt;=6,"Sí","No")</x:f>
        <x:v>No</x:v>
      </x:c>
      <x:c r="O1384" s="25" t="str">
        <x:v>Pendiente: asignar con R/sf</x:v>
      </x:c>
    </x:row>
    <x:row r="1385">
      <x:c r="A1385" s="25" t="n">
        <x:v>1384</x:v>
      </x:c>
      <x:c r="B1385" s="26" t="n">
        <x:v>45773.26243055556</x:v>
      </x:c>
      <x:c r="C1385" s="27" t="n">
        <x:f>INT(B1385)</x:f>
        <x:v>45773</x:v>
      </x:c>
      <x:c r="D1385" s="28" t="n">
        <x:f>MOD(B1385,1)</x:f>
        <x:v>0.2624305555582396</x:v>
      </x:c>
      <x:c r="E1385" s="29" t="n">
        <x:f>YEAR(B1385)</x:f>
        <x:v>2025</x:v>
      </x:c>
      <x:c r="F1385" s="29" t="n">
        <x:f>MONTH(B1385)</x:f>
        <x:v>4</x:v>
      </x:c>
      <x:c r="G1385" s="30" t="n">
        <x:v>-27.57</x:v>
      </x:c>
      <x:c r="H1385" s="30" t="n">
        <x:v>-70.63</x:v>
      </x:c>
      <x:c r="I1385" s="29" t="n">
        <x:v>73</x:v>
      </x:c>
      <x:c r="J1385" s="31" t="n">
        <x:v>3.8</x:v>
      </x:c>
      <x:c r="K1385" s="25" t="str">
        <x:f>IF(J1385&gt;=7,"Muy fuerte (&gt;=7)",IF(J1385&gt;=6,"Fuerte (6-6.9)",IF(J1385&gt;=5,"Moderado alto (5-5.9)",IF(J1385&gt;=4,"Moderado (4-4.9)","Menor a 4"))))</x:f>
        <x:v>Menor a 4</x:v>
      </x:c>
      <x:c r="L1385" s="25" t="str">
        <x:f>IF(I1385&lt;70,"Superficial (&lt;70 km)",IF(I1385&lt;=300,"Intermedio (70-300 km)","Profundo (&gt;300 km)"))</x:f>
        <x:v>Intermedio (70-300 km)</x:v>
      </x:c>
      <x:c r="M1385" s="25" t="str">
        <x:f>IF(J1385&gt;=5,"Sí","No")</x:f>
        <x:v>No</x:v>
      </x:c>
      <x:c r="N1385" s="25" t="str">
        <x:f>IF(J1385&gt;=6,"Sí","No")</x:f>
        <x:v>No</x:v>
      </x:c>
      <x:c r="O1385" s="25" t="str">
        <x:v>Pendiente: asignar con R/sf</x:v>
      </x:c>
    </x:row>
    <x:row r="1386">
      <x:c r="A1386" s="25" t="n">
        <x:v>1385</x:v>
      </x:c>
      <x:c r="B1386" s="26" t="n">
        <x:v>45701.299629629626</x:v>
      </x:c>
      <x:c r="C1386" s="27" t="n">
        <x:f>INT(B1386)</x:f>
        <x:v>45701</x:v>
      </x:c>
      <x:c r="D1386" s="28" t="n">
        <x:f>MOD(B1386,1)</x:f>
        <x:v>0.29962962962599704</x:v>
      </x:c>
      <x:c r="E1386" s="29" t="n">
        <x:f>YEAR(B1386)</x:f>
        <x:v>2025</x:v>
      </x:c>
      <x:c r="F1386" s="29" t="n">
        <x:f>MONTH(B1386)</x:f>
        <x:v>2</x:v>
      </x:c>
      <x:c r="G1386" s="30" t="n">
        <x:v>-29.03</x:v>
      </x:c>
      <x:c r="H1386" s="30" t="n">
        <x:v>-71.45</x:v>
      </x:c>
      <x:c r="I1386" s="29" t="n">
        <x:v>40</x:v>
      </x:c>
      <x:c r="J1386" s="31" t="n">
        <x:v>4.7</x:v>
      </x:c>
      <x:c r="K1386" s="25" t="str">
        <x:f>IF(J1386&gt;=7,"Muy fuerte (&gt;=7)",IF(J1386&gt;=6,"Fuerte (6-6.9)",IF(J1386&gt;=5,"Moderado alto (5-5.9)",IF(J1386&gt;=4,"Moderado (4-4.9)","Menor a 4"))))</x:f>
        <x:v>Moderado (4-4.9)</x:v>
      </x:c>
      <x:c r="L1386" s="25" t="str">
        <x:f>IF(I1386&lt;70,"Superficial (&lt;70 km)",IF(I1386&lt;=300,"Intermedio (70-300 km)","Profundo (&gt;300 km)"))</x:f>
        <x:v>Superficial (&lt;70 km)</x:v>
      </x:c>
      <x:c r="M1386" s="25" t="str">
        <x:f>IF(J1386&gt;=5,"Sí","No")</x:f>
        <x:v>No</x:v>
      </x:c>
      <x:c r="N1386" s="25" t="str">
        <x:f>IF(J1386&gt;=6,"Sí","No")</x:f>
        <x:v>No</x:v>
      </x:c>
      <x:c r="O1386" s="25" t="str">
        <x:v>Pendiente: asignar con R/sf</x:v>
      </x:c>
    </x:row>
    <x:row r="1387">
      <x:c r="A1387" s="25" t="n">
        <x:v>1386</x:v>
      </x:c>
      <x:c r="B1387" s="26" t="n">
        <x:v>44463.57790509259</x:v>
      </x:c>
      <x:c r="C1387" s="27" t="n">
        <x:f>INT(B1387)</x:f>
        <x:v>44463</x:v>
      </x:c>
      <x:c r="D1387" s="28" t="n">
        <x:f>MOD(B1387,1)</x:f>
        <x:v>0.5779050925921183</x:v>
      </x:c>
      <x:c r="E1387" s="29" t="n">
        <x:f>YEAR(B1387)</x:f>
        <x:v>2021</x:v>
      </x:c>
      <x:c r="F1387" s="29" t="n">
        <x:f>MONTH(B1387)</x:f>
        <x:v>9</x:v>
      </x:c>
      <x:c r="G1387" s="30" t="n">
        <x:v>-19.34</x:v>
      </x:c>
      <x:c r="H1387" s="30" t="n">
        <x:v>-70.06</x:v>
      </x:c>
      <x:c r="I1387" s="29" t="n">
        <x:v>35</x:v>
      </x:c>
      <x:c r="J1387" s="31" t="n">
        <x:v>3.1</x:v>
      </x:c>
      <x:c r="K1387" s="25" t="str">
        <x:f>IF(J1387&gt;=7,"Muy fuerte (&gt;=7)",IF(J1387&gt;=6,"Fuerte (6-6.9)",IF(J1387&gt;=5,"Moderado alto (5-5.9)",IF(J1387&gt;=4,"Moderado (4-4.9)","Menor a 4"))))</x:f>
        <x:v>Menor a 4</x:v>
      </x:c>
      <x:c r="L1387" s="25" t="str">
        <x:f>IF(I1387&lt;70,"Superficial (&lt;70 km)",IF(I1387&lt;=300,"Intermedio (70-300 km)","Profundo (&gt;300 km)"))</x:f>
        <x:v>Superficial (&lt;70 km)</x:v>
      </x:c>
      <x:c r="M1387" s="25" t="str">
        <x:f>IF(J1387&gt;=5,"Sí","No")</x:f>
        <x:v>No</x:v>
      </x:c>
      <x:c r="N1387" s="25" t="str">
        <x:f>IF(J1387&gt;=6,"Sí","No")</x:f>
        <x:v>No</x:v>
      </x:c>
      <x:c r="O1387" s="25" t="str">
        <x:v>Pendiente: asignar con R/sf</x:v>
      </x:c>
    </x:row>
    <x:row r="1388">
      <x:c r="A1388" s="25" t="n">
        <x:v>1387</x:v>
      </x:c>
      <x:c r="B1388" s="26" t="n">
        <x:v>45053.08153935185</x:v>
      </x:c>
      <x:c r="C1388" s="27" t="n">
        <x:f>INT(B1388)</x:f>
        <x:v>45053</x:v>
      </x:c>
      <x:c r="D1388" s="28" t="n">
        <x:f>MOD(B1388,1)</x:f>
        <x:v>0.08153935184964212</x:v>
      </x:c>
      <x:c r="E1388" s="29" t="n">
        <x:f>YEAR(B1388)</x:f>
        <x:v>2023</x:v>
      </x:c>
      <x:c r="F1388" s="29" t="n">
        <x:f>MONTH(B1388)</x:f>
        <x:v>5</x:v>
      </x:c>
      <x:c r="G1388" s="30" t="n">
        <x:v>-19.27</x:v>
      </x:c>
      <x:c r="H1388" s="30" t="n">
        <x:v>-70.15</x:v>
      </x:c>
      <x:c r="I1388" s="29" t="n">
        <x:v>54</x:v>
      </x:c>
      <x:c r="J1388" s="31" t="n">
        <x:v>3.5</x:v>
      </x:c>
      <x:c r="K1388" s="25" t="str">
        <x:f>IF(J1388&gt;=7,"Muy fuerte (&gt;=7)",IF(J1388&gt;=6,"Fuerte (6-6.9)",IF(J1388&gt;=5,"Moderado alto (5-5.9)",IF(J1388&gt;=4,"Moderado (4-4.9)","Menor a 4"))))</x:f>
        <x:v>Menor a 4</x:v>
      </x:c>
      <x:c r="L1388" s="25" t="str">
        <x:f>IF(I1388&lt;70,"Superficial (&lt;70 km)",IF(I1388&lt;=300,"Intermedio (70-300 km)","Profundo (&gt;300 km)"))</x:f>
        <x:v>Superficial (&lt;70 km)</x:v>
      </x:c>
      <x:c r="M1388" s="25" t="str">
        <x:f>IF(J1388&gt;=5,"Sí","No")</x:f>
        <x:v>No</x:v>
      </x:c>
      <x:c r="N1388" s="25" t="str">
        <x:f>IF(J1388&gt;=6,"Sí","No")</x:f>
        <x:v>No</x:v>
      </x:c>
      <x:c r="O1388" s="25" t="str">
        <x:v>Pendiente: asignar con R/sf</x:v>
      </x:c>
    </x:row>
    <x:row r="1389">
      <x:c r="A1389" s="25" t="n">
        <x:v>1388</x:v>
      </x:c>
      <x:c r="B1389" s="26" t="n">
        <x:v>45428.5141087963</x:v>
      </x:c>
      <x:c r="C1389" s="27" t="n">
        <x:f>INT(B1389)</x:f>
        <x:v>45428</x:v>
      </x:c>
      <x:c r="D1389" s="28" t="n">
        <x:f>MOD(B1389,1)</x:f>
        <x:v>0.5141087962983875</x:v>
      </x:c>
      <x:c r="E1389" s="29" t="n">
        <x:f>YEAR(B1389)</x:f>
        <x:v>2024</x:v>
      </x:c>
      <x:c r="F1389" s="29" t="n">
        <x:f>MONTH(B1389)</x:f>
        <x:v>5</x:v>
      </x:c>
      <x:c r="G1389" s="30" t="n">
        <x:v>-19.23</x:v>
      </x:c>
      <x:c r="H1389" s="30" t="n">
        <x:v>-70.24</x:v>
      </x:c>
      <x:c r="I1389" s="29" t="n">
        <x:v>38</x:v>
      </x:c>
      <x:c r="J1389" s="31" t="n">
        <x:v>3.2</x:v>
      </x:c>
      <x:c r="K1389" s="25" t="str">
        <x:f>IF(J1389&gt;=7,"Muy fuerte (&gt;=7)",IF(J1389&gt;=6,"Fuerte (6-6.9)",IF(J1389&gt;=5,"Moderado alto (5-5.9)",IF(J1389&gt;=4,"Moderado (4-4.9)","Menor a 4"))))</x:f>
        <x:v>Menor a 4</x:v>
      </x:c>
      <x:c r="L1389" s="25" t="str">
        <x:f>IF(I1389&lt;70,"Superficial (&lt;70 km)",IF(I1389&lt;=300,"Intermedio (70-300 km)","Profundo (&gt;300 km)"))</x:f>
        <x:v>Superficial (&lt;70 km)</x:v>
      </x:c>
      <x:c r="M1389" s="25" t="str">
        <x:f>IF(J1389&gt;=5,"Sí","No")</x:f>
        <x:v>No</x:v>
      </x:c>
      <x:c r="N1389" s="25" t="str">
        <x:f>IF(J1389&gt;=6,"Sí","No")</x:f>
        <x:v>No</x:v>
      </x:c>
      <x:c r="O1389" s="25" t="str">
        <x:v>Pendiente: asignar con R/sf</x:v>
      </x:c>
    </x:row>
    <x:row r="1390">
      <x:c r="A1390" s="25" t="n">
        <x:v>1389</x:v>
      </x:c>
      <x:c r="B1390" s="26" t="n">
        <x:v>45442.396215277775</x:v>
      </x:c>
      <x:c r="C1390" s="27" t="n">
        <x:f>INT(B1390)</x:f>
        <x:v>45442</x:v>
      </x:c>
      <x:c r="D1390" s="28" t="n">
        <x:f>MOD(B1390,1)</x:f>
        <x:v>0.39621527777489973</x:v>
      </x:c>
      <x:c r="E1390" s="29" t="n">
        <x:f>YEAR(B1390)</x:f>
        <x:v>2024</x:v>
      </x:c>
      <x:c r="F1390" s="29" t="n">
        <x:f>MONTH(B1390)</x:f>
        <x:v>5</x:v>
      </x:c>
      <x:c r="G1390" s="30" t="n">
        <x:v>-19.22</x:v>
      </x:c>
      <x:c r="H1390" s="30" t="n">
        <x:v>-70.16</x:v>
      </x:c>
      <x:c r="I1390" s="29" t="n">
        <x:v>30</x:v>
      </x:c>
      <x:c r="J1390" s="31" t="n">
        <x:v>3.1</x:v>
      </x:c>
      <x:c r="K1390" s="25" t="str">
        <x:f>IF(J1390&gt;=7,"Muy fuerte (&gt;=7)",IF(J1390&gt;=6,"Fuerte (6-6.9)",IF(J1390&gt;=5,"Moderado alto (5-5.9)",IF(J1390&gt;=4,"Moderado (4-4.9)","Menor a 4"))))</x:f>
        <x:v>Menor a 4</x:v>
      </x:c>
      <x:c r="L1390" s="25" t="str">
        <x:f>IF(I1390&lt;70,"Superficial (&lt;70 km)",IF(I1390&lt;=300,"Intermedio (70-300 km)","Profundo (&gt;300 km)"))</x:f>
        <x:v>Superficial (&lt;70 km)</x:v>
      </x:c>
      <x:c r="M1390" s="25" t="str">
        <x:f>IF(J1390&gt;=5,"Sí","No")</x:f>
        <x:v>No</x:v>
      </x:c>
      <x:c r="N1390" s="25" t="str">
        <x:f>IF(J1390&gt;=6,"Sí","No")</x:f>
        <x:v>No</x:v>
      </x:c>
      <x:c r="O1390" s="25" t="str">
        <x:v>Pendiente: asignar con R/sf</x:v>
      </x:c>
    </x:row>
    <x:row r="1391">
      <x:c r="A1391" s="25" t="n">
        <x:v>1390</x:v>
      </x:c>
      <x:c r="B1391" s="26" t="n">
        <x:v>45489.31028935185</x:v>
      </x:c>
      <x:c r="C1391" s="27" t="n">
        <x:f>INT(B1391)</x:f>
        <x:v>45489</x:v>
      </x:c>
      <x:c r="D1391" s="28" t="n">
        <x:f>MOD(B1391,1)</x:f>
        <x:v>0.3102893518516794</x:v>
      </x:c>
      <x:c r="E1391" s="29" t="n">
        <x:f>YEAR(B1391)</x:f>
        <x:v>2024</x:v>
      </x:c>
      <x:c r="F1391" s="29" t="n">
        <x:f>MONTH(B1391)</x:f>
        <x:v>7</x:v>
      </x:c>
      <x:c r="G1391" s="30" t="n">
        <x:v>-19.45</x:v>
      </x:c>
      <x:c r="H1391" s="30" t="n">
        <x:v>-69.99</x:v>
      </x:c>
      <x:c r="I1391" s="29" t="n">
        <x:v>47</x:v>
      </x:c>
      <x:c r="J1391" s="31" t="n">
        <x:v>3.2</x:v>
      </x:c>
      <x:c r="K1391" s="25" t="str">
        <x:f>IF(J1391&gt;=7,"Muy fuerte (&gt;=7)",IF(J1391&gt;=6,"Fuerte (6-6.9)",IF(J1391&gt;=5,"Moderado alto (5-5.9)",IF(J1391&gt;=4,"Moderado (4-4.9)","Menor a 4"))))</x:f>
        <x:v>Menor a 4</x:v>
      </x:c>
      <x:c r="L1391" s="25" t="str">
        <x:f>IF(I1391&lt;70,"Superficial (&lt;70 km)",IF(I1391&lt;=300,"Intermedio (70-300 km)","Profundo (&gt;300 km)"))</x:f>
        <x:v>Superficial (&lt;70 km)</x:v>
      </x:c>
      <x:c r="M1391" s="25" t="str">
        <x:f>IF(J1391&gt;=5,"Sí","No")</x:f>
        <x:v>No</x:v>
      </x:c>
      <x:c r="N1391" s="25" t="str">
        <x:f>IF(J1391&gt;=6,"Sí","No")</x:f>
        <x:v>No</x:v>
      </x:c>
      <x:c r="O1391" s="25" t="str">
        <x:v>Pendiente: asignar con R/sf</x:v>
      </x:c>
    </x:row>
    <x:row r="1392">
      <x:c r="A1392" s="25" t="n">
        <x:v>1391</x:v>
      </x:c>
      <x:c r="B1392" s="26" t="n">
        <x:v>45552.92726851852</x:v>
      </x:c>
      <x:c r="C1392" s="27" t="n">
        <x:f>INT(B1392)</x:f>
        <x:v>45552</x:v>
      </x:c>
      <x:c r="D1392" s="28" t="n">
        <x:f>MOD(B1392,1)</x:f>
        <x:v>0.9272685185205773</x:v>
      </x:c>
      <x:c r="E1392" s="29" t="n">
        <x:f>YEAR(B1392)</x:f>
        <x:v>2024</x:v>
      </x:c>
      <x:c r="F1392" s="29" t="n">
        <x:f>MONTH(B1392)</x:f>
        <x:v>9</x:v>
      </x:c>
      <x:c r="G1392" s="30" t="n">
        <x:v>-19.29</x:v>
      </x:c>
      <x:c r="H1392" s="30" t="n">
        <x:v>-70.2</x:v>
      </x:c>
      <x:c r="I1392" s="29" t="n">
        <x:v>54</x:v>
      </x:c>
      <x:c r="J1392" s="31" t="n">
        <x:v>3.4</x:v>
      </x:c>
      <x:c r="K1392" s="25" t="str">
        <x:f>IF(J1392&gt;=7,"Muy fuerte (&gt;=7)",IF(J1392&gt;=6,"Fuerte (6-6.9)",IF(J1392&gt;=5,"Moderado alto (5-5.9)",IF(J1392&gt;=4,"Moderado (4-4.9)","Menor a 4"))))</x:f>
        <x:v>Menor a 4</x:v>
      </x:c>
      <x:c r="L1392" s="25" t="str">
        <x:f>IF(I1392&lt;70,"Superficial (&lt;70 km)",IF(I1392&lt;=300,"Intermedio (70-300 km)","Profundo (&gt;300 km)"))</x:f>
        <x:v>Superficial (&lt;70 km)</x:v>
      </x:c>
      <x:c r="M1392" s="25" t="str">
        <x:f>IF(J1392&gt;=5,"Sí","No")</x:f>
        <x:v>No</x:v>
      </x:c>
      <x:c r="N1392" s="25" t="str">
        <x:f>IF(J1392&gt;=6,"Sí","No")</x:f>
        <x:v>No</x:v>
      </x:c>
      <x:c r="O1392" s="25" t="str">
        <x:v>Pendiente: asignar con R/sf</x:v>
      </x:c>
    </x:row>
    <x:row r="1393">
      <x:c r="A1393" s="25" t="n">
        <x:v>1392</x:v>
      </x:c>
      <x:c r="B1393" s="26" t="n">
        <x:v>45644.543344907404</x:v>
      </x:c>
      <x:c r="C1393" s="27" t="n">
        <x:f>INT(B1393)</x:f>
        <x:v>45644</x:v>
      </x:c>
      <x:c r="D1393" s="28" t="n">
        <x:f>MOD(B1393,1)</x:f>
        <x:v>0.5433449074043892</x:v>
      </x:c>
      <x:c r="E1393" s="29" t="n">
        <x:f>YEAR(B1393)</x:f>
        <x:v>2024</x:v>
      </x:c>
      <x:c r="F1393" s="29" t="n">
        <x:f>MONTH(B1393)</x:f>
        <x:v>12</x:v>
      </x:c>
      <x:c r="G1393" s="30" t="n">
        <x:v>-19.31</x:v>
      </x:c>
      <x:c r="H1393" s="30" t="n">
        <x:v>-70.11</x:v>
      </x:c>
      <x:c r="I1393" s="29" t="n">
        <x:v>45</x:v>
      </x:c>
      <x:c r="J1393" s="31" t="n">
        <x:v>3.7</x:v>
      </x:c>
      <x:c r="K1393" s="25" t="str">
        <x:f>IF(J1393&gt;=7,"Muy fuerte (&gt;=7)",IF(J1393&gt;=6,"Fuerte (6-6.9)",IF(J1393&gt;=5,"Moderado alto (5-5.9)",IF(J1393&gt;=4,"Moderado (4-4.9)","Menor a 4"))))</x:f>
        <x:v>Menor a 4</x:v>
      </x:c>
      <x:c r="L1393" s="25" t="str">
        <x:f>IF(I1393&lt;70,"Superficial (&lt;70 km)",IF(I1393&lt;=300,"Intermedio (70-300 km)","Profundo (&gt;300 km)"))</x:f>
        <x:v>Superficial (&lt;70 km)</x:v>
      </x:c>
      <x:c r="M1393" s="25" t="str">
        <x:f>IF(J1393&gt;=5,"Sí","No")</x:f>
        <x:v>No</x:v>
      </x:c>
      <x:c r="N1393" s="25" t="str">
        <x:f>IF(J1393&gt;=6,"Sí","No")</x:f>
        <x:v>No</x:v>
      </x:c>
      <x:c r="O1393" s="25" t="str">
        <x:v>Pendiente: asignar con R/sf</x:v>
      </x:c>
    </x:row>
    <x:row r="1394">
      <x:c r="A1394" s="25" t="n">
        <x:v>1393</x:v>
      </x:c>
      <x:c r="B1394" s="26" t="n">
        <x:v>45694.384791666664</x:v>
      </x:c>
      <x:c r="C1394" s="27" t="n">
        <x:f>INT(B1394)</x:f>
        <x:v>45694</x:v>
      </x:c>
      <x:c r="D1394" s="28" t="n">
        <x:f>MOD(B1394,1)</x:f>
        <x:v>0.38479166666365927</x:v>
      </x:c>
      <x:c r="E1394" s="29" t="n">
        <x:f>YEAR(B1394)</x:f>
        <x:v>2025</x:v>
      </x:c>
      <x:c r="F1394" s="29" t="n">
        <x:f>MONTH(B1394)</x:f>
        <x:v>2</x:v>
      </x:c>
      <x:c r="G1394" s="30" t="n">
        <x:v>-19.22</x:v>
      </x:c>
      <x:c r="H1394" s="30" t="n">
        <x:v>-70.22</x:v>
      </x:c>
      <x:c r="I1394" s="29" t="n">
        <x:v>58</x:v>
      </x:c>
      <x:c r="J1394" s="31" t="n">
        <x:v>3.3</x:v>
      </x:c>
      <x:c r="K1394" s="25" t="str">
        <x:f>IF(J1394&gt;=7,"Muy fuerte (&gt;=7)",IF(J1394&gt;=6,"Fuerte (6-6.9)",IF(J1394&gt;=5,"Moderado alto (5-5.9)",IF(J1394&gt;=4,"Moderado (4-4.9)","Menor a 4"))))</x:f>
        <x:v>Menor a 4</x:v>
      </x:c>
      <x:c r="L1394" s="25" t="str">
        <x:f>IF(I1394&lt;70,"Superficial (&lt;70 km)",IF(I1394&lt;=300,"Intermedio (70-300 km)","Profundo (&gt;300 km)"))</x:f>
        <x:v>Superficial (&lt;70 km)</x:v>
      </x:c>
      <x:c r="M1394" s="25" t="str">
        <x:f>IF(J1394&gt;=5,"Sí","No")</x:f>
        <x:v>No</x:v>
      </x:c>
      <x:c r="N1394" s="25" t="str">
        <x:f>IF(J1394&gt;=6,"Sí","No")</x:f>
        <x:v>No</x:v>
      </x:c>
      <x:c r="O1394" s="25" t="str">
        <x:v>Pendiente: asignar con R/sf</x:v>
      </x:c>
    </x:row>
    <x:row r="1395">
      <x:c r="A1395" s="25" t="n">
        <x:v>1394</x:v>
      </x:c>
      <x:c r="B1395" s="26" t="n">
        <x:v>45809.53387731482</x:v>
      </x:c>
      <x:c r="C1395" s="27" t="n">
        <x:f>INT(B1395)</x:f>
        <x:v>45809</x:v>
      </x:c>
      <x:c r="D1395" s="28" t="n">
        <x:f>MOD(B1395,1)</x:f>
        <x:v>0.5338773148178007</x:v>
      </x:c>
      <x:c r="E1395" s="29" t="n">
        <x:f>YEAR(B1395)</x:f>
        <x:v>2025</x:v>
      </x:c>
      <x:c r="F1395" s="29" t="n">
        <x:f>MONTH(B1395)</x:f>
        <x:v>6</x:v>
      </x:c>
      <x:c r="G1395" s="30" t="n">
        <x:v>-19.34</x:v>
      </x:c>
      <x:c r="H1395" s="30" t="n">
        <x:v>-69.83</x:v>
      </x:c>
      <x:c r="I1395" s="29" t="n">
        <x:v>38</x:v>
      </x:c>
      <x:c r="J1395" s="31" t="n">
        <x:v>3.1</x:v>
      </x:c>
      <x:c r="K1395" s="25" t="str">
        <x:f>IF(J1395&gt;=7,"Muy fuerte (&gt;=7)",IF(J1395&gt;=6,"Fuerte (6-6.9)",IF(J1395&gt;=5,"Moderado alto (5-5.9)",IF(J1395&gt;=4,"Moderado (4-4.9)","Menor a 4"))))</x:f>
        <x:v>Menor a 4</x:v>
      </x:c>
      <x:c r="L1395" s="25" t="str">
        <x:f>IF(I1395&lt;70,"Superficial (&lt;70 km)",IF(I1395&lt;=300,"Intermedio (70-300 km)","Profundo (&gt;300 km)"))</x:f>
        <x:v>Superficial (&lt;70 km)</x:v>
      </x:c>
      <x:c r="M1395" s="25" t="str">
        <x:f>IF(J1395&gt;=5,"Sí","No")</x:f>
        <x:v>No</x:v>
      </x:c>
      <x:c r="N1395" s="25" t="str">
        <x:f>IF(J1395&gt;=6,"Sí","No")</x:f>
        <x:v>No</x:v>
      </x:c>
      <x:c r="O1395" s="25" t="str">
        <x:v>Pendiente: asignar con R/sf</x:v>
      </x:c>
    </x:row>
    <x:row r="1396">
      <x:c r="A1396" s="25" t="n">
        <x:v>1395</x:v>
      </x:c>
      <x:c r="B1396" s="26" t="n">
        <x:v>44533.43716435185</x:v>
      </x:c>
      <x:c r="C1396" s="27" t="n">
        <x:f>INT(B1396)</x:f>
        <x:v>44533</x:v>
      </x:c>
      <x:c r="D1396" s="28" t="n">
        <x:f>MOD(B1396,1)</x:f>
        <x:v>0.4371643518534256</x:v>
      </x:c>
      <x:c r="E1396" s="29" t="n">
        <x:f>YEAR(B1396)</x:f>
        <x:v>2021</x:v>
      </x:c>
      <x:c r="F1396" s="29" t="n">
        <x:f>MONTH(B1396)</x:f>
        <x:v>12</x:v>
      </x:c>
      <x:c r="G1396" s="30" t="n">
        <x:v>-19.67</x:v>
      </x:c>
      <x:c r="H1396" s="30" t="n">
        <x:v>-69.98</x:v>
      </x:c>
      <x:c r="I1396" s="29" t="n">
        <x:v>27</x:v>
      </x:c>
      <x:c r="J1396" s="31" t="n">
        <x:v>3.1</x:v>
      </x:c>
      <x:c r="K1396" s="25" t="str">
        <x:f>IF(J1396&gt;=7,"Muy fuerte (&gt;=7)",IF(J1396&gt;=6,"Fuerte (6-6.9)",IF(J1396&gt;=5,"Moderado alto (5-5.9)",IF(J1396&gt;=4,"Moderado (4-4.9)","Menor a 4"))))</x:f>
        <x:v>Menor a 4</x:v>
      </x:c>
      <x:c r="L1396" s="25" t="str">
        <x:f>IF(I1396&lt;70,"Superficial (&lt;70 km)",IF(I1396&lt;=300,"Intermedio (70-300 km)","Profundo (&gt;300 km)"))</x:f>
        <x:v>Superficial (&lt;70 km)</x:v>
      </x:c>
      <x:c r="M1396" s="25" t="str">
        <x:f>IF(J1396&gt;=5,"Sí","No")</x:f>
        <x:v>No</x:v>
      </x:c>
      <x:c r="N1396" s="25" t="str">
        <x:f>IF(J1396&gt;=6,"Sí","No")</x:f>
        <x:v>No</x:v>
      </x:c>
      <x:c r="O1396" s="25" t="str">
        <x:v>Pendiente: asignar con R/sf</x:v>
      </x:c>
    </x:row>
    <x:row r="1397">
      <x:c r="A1397" s="25" t="n">
        <x:v>1396</x:v>
      </x:c>
      <x:c r="B1397" s="26" t="n">
        <x:v>44725.924895833334</x:v>
      </x:c>
      <x:c r="C1397" s="27" t="n">
        <x:f>INT(B1397)</x:f>
        <x:v>44725</x:v>
      </x:c>
      <x:c r="D1397" s="28" t="n">
        <x:f>MOD(B1397,1)</x:f>
        <x:v>0.9248958333337214</x:v>
      </x:c>
      <x:c r="E1397" s="29" t="n">
        <x:f>YEAR(B1397)</x:f>
        <x:v>2022</x:v>
      </x:c>
      <x:c r="F1397" s="29" t="n">
        <x:f>MONTH(B1397)</x:f>
        <x:v>6</x:v>
      </x:c>
      <x:c r="G1397" s="30" t="n">
        <x:v>-19.6</x:v>
      </x:c>
      <x:c r="H1397" s="30" t="n">
        <x:v>-70.2</x:v>
      </x:c>
      <x:c r="I1397" s="29" t="n">
        <x:v>31</x:v>
      </x:c>
      <x:c r="J1397" s="31" t="n">
        <x:v>3</x:v>
      </x:c>
      <x:c r="K1397" s="25" t="str">
        <x:f>IF(J1397&gt;=7,"Muy fuerte (&gt;=7)",IF(J1397&gt;=6,"Fuerte (6-6.9)",IF(J1397&gt;=5,"Moderado alto (5-5.9)",IF(J1397&gt;=4,"Moderado (4-4.9)","Menor a 4"))))</x:f>
        <x:v>Menor a 4</x:v>
      </x:c>
      <x:c r="L1397" s="25" t="str">
        <x:f>IF(I1397&lt;70,"Superficial (&lt;70 km)",IF(I1397&lt;=300,"Intermedio (70-300 km)","Profundo (&gt;300 km)"))</x:f>
        <x:v>Superficial (&lt;70 km)</x:v>
      </x:c>
      <x:c r="M1397" s="25" t="str">
        <x:f>IF(J1397&gt;=5,"Sí","No")</x:f>
        <x:v>No</x:v>
      </x:c>
      <x:c r="N1397" s="25" t="str">
        <x:f>IF(J1397&gt;=6,"Sí","No")</x:f>
        <x:v>No</x:v>
      </x:c>
      <x:c r="O1397" s="25" t="str">
        <x:v>Pendiente: asignar con R/sf</x:v>
      </x:c>
    </x:row>
    <x:row r="1398">
      <x:c r="A1398" s="25" t="n">
        <x:v>1397</x:v>
      </x:c>
      <x:c r="B1398" s="26" t="n">
        <x:v>44899.55255787037</x:v>
      </x:c>
      <x:c r="C1398" s="27" t="n">
        <x:f>INT(B1398)</x:f>
        <x:v>44899</x:v>
      </x:c>
      <x:c r="D1398" s="28" t="n">
        <x:f>MOD(B1398,1)</x:f>
        <x:v>0.5525578703673091</x:v>
      </x:c>
      <x:c r="E1398" s="29" t="n">
        <x:f>YEAR(B1398)</x:f>
        <x:v>2022</x:v>
      </x:c>
      <x:c r="F1398" s="29" t="n">
        <x:f>MONTH(B1398)</x:f>
        <x:v>12</x:v>
      </x:c>
      <x:c r="G1398" s="30" t="n">
        <x:v>-19.55</x:v>
      </x:c>
      <x:c r="H1398" s="30" t="n">
        <x:v>-69.93</x:v>
      </x:c>
      <x:c r="I1398" s="29" t="n">
        <x:v>18</x:v>
      </x:c>
      <x:c r="J1398" s="31" t="n">
        <x:v>3.4</x:v>
      </x:c>
      <x:c r="K1398" s="25" t="str">
        <x:f>IF(J1398&gt;=7,"Muy fuerte (&gt;=7)",IF(J1398&gt;=6,"Fuerte (6-6.9)",IF(J1398&gt;=5,"Moderado alto (5-5.9)",IF(J1398&gt;=4,"Moderado (4-4.9)","Menor a 4"))))</x:f>
        <x:v>Menor a 4</x:v>
      </x:c>
      <x:c r="L1398" s="25" t="str">
        <x:f>IF(I1398&lt;70,"Superficial (&lt;70 km)",IF(I1398&lt;=300,"Intermedio (70-300 km)","Profundo (&gt;300 km)"))</x:f>
        <x:v>Superficial (&lt;70 km)</x:v>
      </x:c>
      <x:c r="M1398" s="25" t="str">
        <x:f>IF(J1398&gt;=5,"Sí","No")</x:f>
        <x:v>No</x:v>
      </x:c>
      <x:c r="N1398" s="25" t="str">
        <x:f>IF(J1398&gt;=6,"Sí","No")</x:f>
        <x:v>No</x:v>
      </x:c>
      <x:c r="O1398" s="25" t="str">
        <x:v>Pendiente: asignar con R/sf</x:v>
      </x:c>
    </x:row>
    <x:row r="1399">
      <x:c r="A1399" s="25" t="n">
        <x:v>1398</x:v>
      </x:c>
      <x:c r="B1399" s="26" t="n">
        <x:v>44686.196701388886</x:v>
      </x:c>
      <x:c r="C1399" s="27" t="n">
        <x:f>INT(B1399)</x:f>
        <x:v>44686</x:v>
      </x:c>
      <x:c r="D1399" s="28" t="n">
        <x:f>MOD(B1399,1)</x:f>
        <x:v>0.1967013888861402</x:v>
      </x:c>
      <x:c r="E1399" s="29" t="n">
        <x:f>YEAR(B1399)</x:f>
        <x:v>2022</x:v>
      </x:c>
      <x:c r="F1399" s="29" t="n">
        <x:f>MONTH(B1399)</x:f>
        <x:v>5</x:v>
      </x:c>
      <x:c r="G1399" s="30" t="n">
        <x:v>-20.32</x:v>
      </x:c>
      <x:c r="H1399" s="30" t="n">
        <x:v>-69.77</x:v>
      </x:c>
      <x:c r="I1399" s="29" t="n">
        <x:v>39</x:v>
      </x:c>
      <x:c r="J1399" s="31" t="n">
        <x:v>3.3</x:v>
      </x:c>
      <x:c r="K1399" s="25" t="str">
        <x:f>IF(J1399&gt;=7,"Muy fuerte (&gt;=7)",IF(J1399&gt;=6,"Fuerte (6-6.9)",IF(J1399&gt;=5,"Moderado alto (5-5.9)",IF(J1399&gt;=4,"Moderado (4-4.9)","Menor a 4"))))</x:f>
        <x:v>Menor a 4</x:v>
      </x:c>
      <x:c r="L1399" s="25" t="str">
        <x:f>IF(I1399&lt;70,"Superficial (&lt;70 km)",IF(I1399&lt;=300,"Intermedio (70-300 km)","Profundo (&gt;300 km)"))</x:f>
        <x:v>Superficial (&lt;70 km)</x:v>
      </x:c>
      <x:c r="M1399" s="25" t="str">
        <x:f>IF(J1399&gt;=5,"Sí","No")</x:f>
        <x:v>No</x:v>
      </x:c>
      <x:c r="N1399" s="25" t="str">
        <x:f>IF(J1399&gt;=6,"Sí","No")</x:f>
        <x:v>No</x:v>
      </x:c>
      <x:c r="O1399" s="25" t="str">
        <x:v>Pendiente: asignar con R/sf</x:v>
      </x:c>
    </x:row>
    <x:row r="1400">
      <x:c r="A1400" s="25" t="n">
        <x:v>1399</x:v>
      </x:c>
      <x:c r="B1400" s="26" t="n">
        <x:v>45076.962800925925</x:v>
      </x:c>
      <x:c r="C1400" s="27" t="n">
        <x:f>INT(B1400)</x:f>
        <x:v>45076</x:v>
      </x:c>
      <x:c r="D1400" s="28" t="n">
        <x:f>MOD(B1400,1)</x:f>
        <x:v>0.9628009259249666</x:v>
      </x:c>
      <x:c r="E1400" s="29" t="n">
        <x:f>YEAR(B1400)</x:f>
        <x:v>2023</x:v>
      </x:c>
      <x:c r="F1400" s="29" t="n">
        <x:f>MONTH(B1400)</x:f>
        <x:v>5</x:v>
      </x:c>
      <x:c r="G1400" s="30" t="n">
        <x:v>-19.67</x:v>
      </x:c>
      <x:c r="H1400" s="30" t="n">
        <x:v>-69.81</x:v>
      </x:c>
      <x:c r="I1400" s="29" t="n">
        <x:v>38</x:v>
      </x:c>
      <x:c r="J1400" s="31" t="n">
        <x:v>3.3</x:v>
      </x:c>
      <x:c r="K1400" s="25" t="str">
        <x:f>IF(J1400&gt;=7,"Muy fuerte (&gt;=7)",IF(J1400&gt;=6,"Fuerte (6-6.9)",IF(J1400&gt;=5,"Moderado alto (5-5.9)",IF(J1400&gt;=4,"Moderado (4-4.9)","Menor a 4"))))</x:f>
        <x:v>Menor a 4</x:v>
      </x:c>
      <x:c r="L1400" s="25" t="str">
        <x:f>IF(I1400&lt;70,"Superficial (&lt;70 km)",IF(I1400&lt;=300,"Intermedio (70-300 km)","Profundo (&gt;300 km)"))</x:f>
        <x:v>Superficial (&lt;70 km)</x:v>
      </x:c>
      <x:c r="M1400" s="25" t="str">
        <x:f>IF(J1400&gt;=5,"Sí","No")</x:f>
        <x:v>No</x:v>
      </x:c>
      <x:c r="N1400" s="25" t="str">
        <x:f>IF(J1400&gt;=6,"Sí","No")</x:f>
        <x:v>No</x:v>
      </x:c>
      <x:c r="O1400" s="25" t="str">
        <x:v>Pendiente: asignar con R/sf</x:v>
      </x:c>
    </x:row>
    <x:row r="1401">
      <x:c r="A1401" s="25" t="n">
        <x:v>1400</x:v>
      </x:c>
      <x:c r="B1401" s="26" t="n">
        <x:v>45730.56601851852</x:v>
      </x:c>
      <x:c r="C1401" s="27" t="n">
        <x:f>INT(B1401)</x:f>
        <x:v>45730</x:v>
      </x:c>
      <x:c r="D1401" s="28" t="n">
        <x:f>MOD(B1401,1)</x:f>
        <x:v>0.5660185185188311</x:v>
      </x:c>
      <x:c r="E1401" s="29" t="n">
        <x:f>YEAR(B1401)</x:f>
        <x:v>2025</x:v>
      </x:c>
      <x:c r="F1401" s="29" t="n">
        <x:f>MONTH(B1401)</x:f>
        <x:v>3</x:v>
      </x:c>
      <x:c r="G1401" s="30" t="n">
        <x:v>-20.28</x:v>
      </x:c>
      <x:c r="H1401" s="30" t="n">
        <x:v>-70.06</x:v>
      </x:c>
      <x:c r="I1401" s="29" t="n">
        <x:v>55</x:v>
      </x:c>
      <x:c r="J1401" s="31" t="n">
        <x:v>3.7</x:v>
      </x:c>
      <x:c r="K1401" s="25" t="str">
        <x:f>IF(J1401&gt;=7,"Muy fuerte (&gt;=7)",IF(J1401&gt;=6,"Fuerte (6-6.9)",IF(J1401&gt;=5,"Moderado alto (5-5.9)",IF(J1401&gt;=4,"Moderado (4-4.9)","Menor a 4"))))</x:f>
        <x:v>Menor a 4</x:v>
      </x:c>
      <x:c r="L1401" s="25" t="str">
        <x:f>IF(I1401&lt;70,"Superficial (&lt;70 km)",IF(I1401&lt;=300,"Intermedio (70-300 km)","Profundo (&gt;300 km)"))</x:f>
        <x:v>Superficial (&lt;70 km)</x:v>
      </x:c>
      <x:c r="M1401" s="25" t="str">
        <x:f>IF(J1401&gt;=5,"Sí","No")</x:f>
        <x:v>No</x:v>
      </x:c>
      <x:c r="N1401" s="25" t="str">
        <x:f>IF(J1401&gt;=6,"Sí","No")</x:f>
        <x:v>No</x:v>
      </x:c>
      <x:c r="O1401" s="25" t="str">
        <x:v>Pendiente: asignar con R/sf</x:v>
      </x:c>
    </x:row>
    <x:row r="1402">
      <x:c r="A1402" s="25" t="n">
        <x:v>1401</x:v>
      </x:c>
      <x:c r="B1402" s="26" t="n">
        <x:v>45757.06899305555</x:v>
      </x:c>
      <x:c r="C1402" s="27" t="n">
        <x:f>INT(B1402)</x:f>
        <x:v>45757</x:v>
      </x:c>
      <x:c r="D1402" s="28" t="n">
        <x:f>MOD(B1402,1)</x:f>
        <x:v>0.06899305555270985</x:v>
      </x:c>
      <x:c r="E1402" s="29" t="n">
        <x:f>YEAR(B1402)</x:f>
        <x:v>2025</x:v>
      </x:c>
      <x:c r="F1402" s="29" t="n">
        <x:f>MONTH(B1402)</x:f>
        <x:v>4</x:v>
      </x:c>
      <x:c r="G1402" s="30" t="n">
        <x:v>-20</x:v>
      </x:c>
      <x:c r="H1402" s="30" t="n">
        <x:v>-69.83</x:v>
      </x:c>
      <x:c r="I1402" s="29" t="n">
        <x:v>52</x:v>
      </x:c>
      <x:c r="J1402" s="31" t="n">
        <x:v>3</x:v>
      </x:c>
      <x:c r="K1402" s="25" t="str">
        <x:f>IF(J1402&gt;=7,"Muy fuerte (&gt;=7)",IF(J1402&gt;=6,"Fuerte (6-6.9)",IF(J1402&gt;=5,"Moderado alto (5-5.9)",IF(J1402&gt;=4,"Moderado (4-4.9)","Menor a 4"))))</x:f>
        <x:v>Menor a 4</x:v>
      </x:c>
      <x:c r="L1402" s="25" t="str">
        <x:f>IF(I1402&lt;70,"Superficial (&lt;70 km)",IF(I1402&lt;=300,"Intermedio (70-300 km)","Profundo (&gt;300 km)"))</x:f>
        <x:v>Superficial (&lt;70 km)</x:v>
      </x:c>
      <x:c r="M1402" s="25" t="str">
        <x:f>IF(J1402&gt;=5,"Sí","No")</x:f>
        <x:v>No</x:v>
      </x:c>
      <x:c r="N1402" s="25" t="str">
        <x:f>IF(J1402&gt;=6,"Sí","No")</x:f>
        <x:v>No</x:v>
      </x:c>
      <x:c r="O1402" s="25" t="str">
        <x:v>Pendiente: asignar con R/sf</x:v>
      </x:c>
    </x:row>
    <x:row r="1403">
      <x:c r="A1403" s="25" t="n">
        <x:v>1402</x:v>
      </x:c>
      <x:c r="B1403" s="26" t="n">
        <x:v>45600.33252314815</x:v>
      </x:c>
      <x:c r="C1403" s="27" t="n">
        <x:f>INT(B1403)</x:f>
        <x:v>45600</x:v>
      </x:c>
      <x:c r="D1403" s="28" t="n">
        <x:f>MOD(B1403,1)</x:f>
        <x:v>0.3325231481503579</x:v>
      </x:c>
      <x:c r="E1403" s="29" t="n">
        <x:f>YEAR(B1403)</x:f>
        <x:v>2024</x:v>
      </x:c>
      <x:c r="F1403" s="29" t="n">
        <x:f>MONTH(B1403)</x:f>
        <x:v>11</x:v>
      </x:c>
      <x:c r="G1403" s="30" t="n">
        <x:v>-22.06</x:v>
      </x:c>
      <x:c r="H1403" s="30" t="n">
        <x:v>-70.33</x:v>
      </x:c>
      <x:c r="I1403" s="29" t="n">
        <x:v>16</x:v>
      </x:c>
      <x:c r="J1403" s="31" t="n">
        <x:v>3</x:v>
      </x:c>
      <x:c r="K1403" s="25" t="str">
        <x:f>IF(J1403&gt;=7,"Muy fuerte (&gt;=7)",IF(J1403&gt;=6,"Fuerte (6-6.9)",IF(J1403&gt;=5,"Moderado alto (5-5.9)",IF(J1403&gt;=4,"Moderado (4-4.9)","Menor a 4"))))</x:f>
        <x:v>Menor a 4</x:v>
      </x:c>
      <x:c r="L1403" s="25" t="str">
        <x:f>IF(I1403&lt;70,"Superficial (&lt;70 km)",IF(I1403&lt;=300,"Intermedio (70-300 km)","Profundo (&gt;300 km)"))</x:f>
        <x:v>Superficial (&lt;70 km)</x:v>
      </x:c>
      <x:c r="M1403" s="25" t="str">
        <x:f>IF(J1403&gt;=5,"Sí","No")</x:f>
        <x:v>No</x:v>
      </x:c>
      <x:c r="N1403" s="25" t="str">
        <x:f>IF(J1403&gt;=6,"Sí","No")</x:f>
        <x:v>No</x:v>
      </x:c>
      <x:c r="O1403" s="25" t="str">
        <x:v>Pendiente: asignar con R/sf</x:v>
      </x:c>
    </x:row>
    <x:row r="1404">
      <x:c r="A1404" s="25" t="n">
        <x:v>1403</x:v>
      </x:c>
      <x:c r="B1404" s="26" t="n">
        <x:v>45642.255474537036</x:v>
      </x:c>
      <x:c r="C1404" s="27" t="n">
        <x:f>INT(B1404)</x:f>
        <x:v>45642</x:v>
      </x:c>
      <x:c r="D1404" s="28" t="n">
        <x:f>MOD(B1404,1)</x:f>
        <x:v>0.25547453703620704</x:v>
      </x:c>
      <x:c r="E1404" s="29" t="n">
        <x:f>YEAR(B1404)</x:f>
        <x:v>2024</x:v>
      </x:c>
      <x:c r="F1404" s="29" t="n">
        <x:f>MONTH(B1404)</x:f>
        <x:v>12</x:v>
      </x:c>
      <x:c r="G1404" s="30" t="n">
        <x:v>-22.23</x:v>
      </x:c>
      <x:c r="H1404" s="30" t="n">
        <x:v>-70</x:v>
      </x:c>
      <x:c r="I1404" s="29" t="n">
        <x:v>54</x:v>
      </x:c>
      <x:c r="J1404" s="31" t="n">
        <x:v>4.8</x:v>
      </x:c>
      <x:c r="K1404" s="25" t="str">
        <x:f>IF(J1404&gt;=7,"Muy fuerte (&gt;=7)",IF(J1404&gt;=6,"Fuerte (6-6.9)",IF(J1404&gt;=5,"Moderado alto (5-5.9)",IF(J1404&gt;=4,"Moderado (4-4.9)","Menor a 4"))))</x:f>
        <x:v>Moderado (4-4.9)</x:v>
      </x:c>
      <x:c r="L1404" s="25" t="str">
        <x:f>IF(I1404&lt;70,"Superficial (&lt;70 km)",IF(I1404&lt;=300,"Intermedio (70-300 km)","Profundo (&gt;300 km)"))</x:f>
        <x:v>Superficial (&lt;70 km)</x:v>
      </x:c>
      <x:c r="M1404" s="25" t="str">
        <x:f>IF(J1404&gt;=5,"Sí","No")</x:f>
        <x:v>No</x:v>
      </x:c>
      <x:c r="N1404" s="25" t="str">
        <x:f>IF(J1404&gt;=6,"Sí","No")</x:f>
        <x:v>No</x:v>
      </x:c>
      <x:c r="O1404" s="25" t="str">
        <x:v>Pendiente: asignar con R/sf</x:v>
      </x:c>
    </x:row>
    <x:row r="1405">
      <x:c r="A1405" s="25" t="n">
        <x:v>1404</x:v>
      </x:c>
      <x:c r="B1405" s="26" t="n">
        <x:v>45808.811585648145</x:v>
      </x:c>
      <x:c r="C1405" s="27" t="n">
        <x:f>INT(B1405)</x:f>
        <x:v>45808</x:v>
      </x:c>
      <x:c r="D1405" s="28" t="n">
        <x:f>MOD(B1405,1)</x:f>
        <x:v>0.8115856481454102</x:v>
      </x:c>
      <x:c r="E1405" s="29" t="n">
        <x:f>YEAR(B1405)</x:f>
        <x:v>2025</x:v>
      </x:c>
      <x:c r="F1405" s="29" t="n">
        <x:f>MONTH(B1405)</x:f>
        <x:v>5</x:v>
      </x:c>
      <x:c r="G1405" s="30" t="n">
        <x:v>-22.36</x:v>
      </x:c>
      <x:c r="H1405" s="30" t="n">
        <x:v>-70.33</x:v>
      </x:c>
      <x:c r="I1405" s="29" t="n">
        <x:v>24</x:v>
      </x:c>
      <x:c r="J1405" s="31" t="n">
        <x:v>3.1</x:v>
      </x:c>
      <x:c r="K1405" s="25" t="str">
        <x:f>IF(J1405&gt;=7,"Muy fuerte (&gt;=7)",IF(J1405&gt;=6,"Fuerte (6-6.9)",IF(J1405&gt;=5,"Moderado alto (5-5.9)",IF(J1405&gt;=4,"Moderado (4-4.9)","Menor a 4"))))</x:f>
        <x:v>Menor a 4</x:v>
      </x:c>
      <x:c r="L1405" s="25" t="str">
        <x:f>IF(I1405&lt;70,"Superficial (&lt;70 km)",IF(I1405&lt;=300,"Intermedio (70-300 km)","Profundo (&gt;300 km)"))</x:f>
        <x:v>Superficial (&lt;70 km)</x:v>
      </x:c>
      <x:c r="M1405" s="25" t="str">
        <x:f>IF(J1405&gt;=5,"Sí","No")</x:f>
        <x:v>No</x:v>
      </x:c>
      <x:c r="N1405" s="25" t="str">
        <x:f>IF(J1405&gt;=6,"Sí","No")</x:f>
        <x:v>No</x:v>
      </x:c>
      <x:c r="O1405" s="25" t="str">
        <x:v>Pendiente: asignar con R/sf</x:v>
      </x:c>
    </x:row>
    <x:row r="1406">
      <x:c r="A1406" s="25" t="n">
        <x:v>1405</x:v>
      </x:c>
      <x:c r="B1406" s="26" t="n">
        <x:v>45818.98258101852</x:v>
      </x:c>
      <x:c r="C1406" s="27" t="n">
        <x:f>INT(B1406)</x:f>
        <x:v>45818</x:v>
      </x:c>
      <x:c r="D1406" s="28" t="n">
        <x:f>MOD(B1406,1)</x:f>
        <x:v>0.9825810185211594</x:v>
      </x:c>
      <x:c r="E1406" s="29" t="n">
        <x:f>YEAR(B1406)</x:f>
        <x:v>2025</x:v>
      </x:c>
      <x:c r="F1406" s="29" t="n">
        <x:f>MONTH(B1406)</x:f>
        <x:v>6</x:v>
      </x:c>
      <x:c r="G1406" s="30" t="n">
        <x:v>-21.56</x:v>
      </x:c>
      <x:c r="H1406" s="30" t="n">
        <x:v>-69.65</x:v>
      </x:c>
      <x:c r="I1406" s="29" t="n">
        <x:v>40</x:v>
      </x:c>
      <x:c r="J1406" s="31" t="n">
        <x:v>3.6</x:v>
      </x:c>
      <x:c r="K1406" s="25" t="str">
        <x:f>IF(J1406&gt;=7,"Muy fuerte (&gt;=7)",IF(J1406&gt;=6,"Fuerte (6-6.9)",IF(J1406&gt;=5,"Moderado alto (5-5.9)",IF(J1406&gt;=4,"Moderado (4-4.9)","Menor a 4"))))</x:f>
        <x:v>Menor a 4</x:v>
      </x:c>
      <x:c r="L1406" s="25" t="str">
        <x:f>IF(I1406&lt;70,"Superficial (&lt;70 km)",IF(I1406&lt;=300,"Intermedio (70-300 km)","Profundo (&gt;300 km)"))</x:f>
        <x:v>Superficial (&lt;70 km)</x:v>
      </x:c>
      <x:c r="M1406" s="25" t="str">
        <x:f>IF(J1406&gt;=5,"Sí","No")</x:f>
        <x:v>No</x:v>
      </x:c>
      <x:c r="N1406" s="25" t="str">
        <x:f>IF(J1406&gt;=6,"Sí","No")</x:f>
        <x:v>No</x:v>
      </x:c>
      <x:c r="O1406" s="25" t="str">
        <x:v>Pendiente: asignar con R/sf</x:v>
      </x:c>
    </x:row>
    <x:row r="1407">
      <x:c r="A1407" s="25" t="n">
        <x:v>1406</x:v>
      </x:c>
      <x:c r="B1407" s="26" t="n">
        <x:v>45407.45326388889</x:v>
      </x:c>
      <x:c r="C1407" s="27" t="n">
        <x:f>INT(B1407)</x:f>
        <x:v>45407</x:v>
      </x:c>
      <x:c r="D1407" s="28" t="n">
        <x:f>MOD(B1407,1)</x:f>
        <x:v>0.453263888892252</x:v>
      </x:c>
      <x:c r="E1407" s="29" t="n">
        <x:f>YEAR(B1407)</x:f>
        <x:v>2024</x:v>
      </x:c>
      <x:c r="F1407" s="29" t="n">
        <x:f>MONTH(B1407)</x:f>
        <x:v>4</x:v>
      </x:c>
      <x:c r="G1407" s="30" t="n">
        <x:v>-27.33</x:v>
      </x:c>
      <x:c r="H1407" s="30" t="n">
        <x:v>-71.11</x:v>
      </x:c>
      <x:c r="I1407" s="29" t="n">
        <x:v>55</x:v>
      </x:c>
      <x:c r="J1407" s="31" t="n">
        <x:v>3.4</x:v>
      </x:c>
      <x:c r="K1407" s="25" t="str">
        <x:f>IF(J1407&gt;=7,"Muy fuerte (&gt;=7)",IF(J1407&gt;=6,"Fuerte (6-6.9)",IF(J1407&gt;=5,"Moderado alto (5-5.9)",IF(J1407&gt;=4,"Moderado (4-4.9)","Menor a 4"))))</x:f>
        <x:v>Menor a 4</x:v>
      </x:c>
      <x:c r="L1407" s="25" t="str">
        <x:f>IF(I1407&lt;70,"Superficial (&lt;70 km)",IF(I1407&lt;=300,"Intermedio (70-300 km)","Profundo (&gt;300 km)"))</x:f>
        <x:v>Superficial (&lt;70 km)</x:v>
      </x:c>
      <x:c r="M1407" s="25" t="str">
        <x:f>IF(J1407&gt;=5,"Sí","No")</x:f>
        <x:v>No</x:v>
      </x:c>
      <x:c r="N1407" s="25" t="str">
        <x:f>IF(J1407&gt;=6,"Sí","No")</x:f>
        <x:v>No</x:v>
      </x:c>
      <x:c r="O1407" s="25" t="str">
        <x:v>Pendiente: asignar con R/sf</x:v>
      </x:c>
    </x:row>
    <x:row r="1408">
      <x:c r="A1408" s="25" t="n">
        <x:v>1407</x:v>
      </x:c>
      <x:c r="B1408" s="26" t="n">
        <x:v>45718.598703703705</x:v>
      </x:c>
      <x:c r="C1408" s="27" t="n">
        <x:f>INT(B1408)</x:f>
        <x:v>45718</x:v>
      </x:c>
      <x:c r="D1408" s="28" t="n">
        <x:f>MOD(B1408,1)</x:f>
        <x:v>0.598703703704814</x:v>
      </x:c>
      <x:c r="E1408" s="29" t="n">
        <x:f>YEAR(B1408)</x:f>
        <x:v>2025</x:v>
      </x:c>
      <x:c r="F1408" s="29" t="n">
        <x:f>MONTH(B1408)</x:f>
        <x:v>3</x:v>
      </x:c>
      <x:c r="G1408" s="30" t="n">
        <x:v>-28.26</x:v>
      </x:c>
      <x:c r="H1408" s="30" t="n">
        <x:v>-70.63</x:v>
      </x:c>
      <x:c r="I1408" s="29" t="n">
        <x:v>51</x:v>
      </x:c>
      <x:c r="J1408" s="31" t="n">
        <x:v>3.8</x:v>
      </x:c>
      <x:c r="K1408" s="25" t="str">
        <x:f>IF(J1408&gt;=7,"Muy fuerte (&gt;=7)",IF(J1408&gt;=6,"Fuerte (6-6.9)",IF(J1408&gt;=5,"Moderado alto (5-5.9)",IF(J1408&gt;=4,"Moderado (4-4.9)","Menor a 4"))))</x:f>
        <x:v>Menor a 4</x:v>
      </x:c>
      <x:c r="L1408" s="25" t="str">
        <x:f>IF(I1408&lt;70,"Superficial (&lt;70 km)",IF(I1408&lt;=300,"Intermedio (70-300 km)","Profundo (&gt;300 km)"))</x:f>
        <x:v>Superficial (&lt;70 km)</x:v>
      </x:c>
      <x:c r="M1408" s="25" t="str">
        <x:f>IF(J1408&gt;=5,"Sí","No")</x:f>
        <x:v>No</x:v>
      </x:c>
      <x:c r="N1408" s="25" t="str">
        <x:f>IF(J1408&gt;=6,"Sí","No")</x:f>
        <x:v>No</x:v>
      </x:c>
      <x:c r="O1408" s="25" t="str">
        <x:v>Pendiente: asignar con R/sf</x:v>
      </x:c>
    </x:row>
    <x:row r="1409">
      <x:c r="A1409" s="25" t="n">
        <x:v>1408</x:v>
      </x:c>
      <x:c r="B1409" s="26" t="n">
        <x:v>45464.627118055556</x:v>
      </x:c>
      <x:c r="C1409" s="27" t="n">
        <x:f>INT(B1409)</x:f>
        <x:v>45464</x:v>
      </x:c>
      <x:c r="D1409" s="28" t="n">
        <x:f>MOD(B1409,1)</x:f>
        <x:v>0.6271180555559113</x:v>
      </x:c>
      <x:c r="E1409" s="29" t="n">
        <x:f>YEAR(B1409)</x:f>
        <x:v>2024</x:v>
      </x:c>
      <x:c r="F1409" s="29" t="n">
        <x:f>MONTH(B1409)</x:f>
        <x:v>6</x:v>
      </x:c>
      <x:c r="G1409" s="30" t="n">
        <x:v>-28.38</x:v>
      </x:c>
      <x:c r="H1409" s="30" t="n">
        <x:v>-71.01</x:v>
      </x:c>
      <x:c r="I1409" s="29" t="n">
        <x:v>59</x:v>
      </x:c>
      <x:c r="J1409" s="31" t="n">
        <x:v>3.5</x:v>
      </x:c>
      <x:c r="K1409" s="25" t="str">
        <x:f>IF(J1409&gt;=7,"Muy fuerte (&gt;=7)",IF(J1409&gt;=6,"Fuerte (6-6.9)",IF(J1409&gt;=5,"Moderado alto (5-5.9)",IF(J1409&gt;=4,"Moderado (4-4.9)","Menor a 4"))))</x:f>
        <x:v>Menor a 4</x:v>
      </x:c>
      <x:c r="L1409" s="25" t="str">
        <x:f>IF(I1409&lt;70,"Superficial (&lt;70 km)",IF(I1409&lt;=300,"Intermedio (70-300 km)","Profundo (&gt;300 km)"))</x:f>
        <x:v>Superficial (&lt;70 km)</x:v>
      </x:c>
      <x:c r="M1409" s="25" t="str">
        <x:f>IF(J1409&gt;=5,"Sí","No")</x:f>
        <x:v>No</x:v>
      </x:c>
      <x:c r="N1409" s="25" t="str">
        <x:f>IF(J1409&gt;=6,"Sí","No")</x:f>
        <x:v>No</x:v>
      </x:c>
      <x:c r="O1409" s="25" t="str">
        <x:v>Pendiente: asignar con R/sf</x:v>
      </x:c>
    </x:row>
    <x:row r="1410">
      <x:c r="A1410" s="25" t="n">
        <x:v>1409</x:v>
      </x:c>
      <x:c r="B1410" s="26" t="n">
        <x:v>44744.95755787037</x:v>
      </x:c>
      <x:c r="C1410" s="27" t="n">
        <x:f>INT(B1410)</x:f>
        <x:v>44744</x:v>
      </x:c>
      <x:c r="D1410" s="28" t="n">
        <x:f>MOD(B1410,1)</x:f>
        <x:v>0.9575578703734209</x:v>
      </x:c>
      <x:c r="E1410" s="29" t="n">
        <x:f>YEAR(B1410)</x:f>
        <x:v>2022</x:v>
      </x:c>
      <x:c r="F1410" s="29" t="n">
        <x:f>MONTH(B1410)</x:f>
        <x:v>7</x:v>
      </x:c>
      <x:c r="G1410" s="30" t="n">
        <x:v>-20.01</x:v>
      </x:c>
      <x:c r="H1410" s="30" t="n">
        <x:v>-68.92</x:v>
      </x:c>
      <x:c r="I1410" s="29" t="n">
        <x:v>115</x:v>
      </x:c>
      <x:c r="J1410" s="31" t="n">
        <x:v>4.5</x:v>
      </x:c>
      <x:c r="K1410" s="25" t="str">
        <x:f>IF(J1410&gt;=7,"Muy fuerte (&gt;=7)",IF(J1410&gt;=6,"Fuerte (6-6.9)",IF(J1410&gt;=5,"Moderado alto (5-5.9)",IF(J1410&gt;=4,"Moderado (4-4.9)","Menor a 4"))))</x:f>
        <x:v>Moderado (4-4.9)</x:v>
      </x:c>
      <x:c r="L1410" s="25" t="str">
        <x:f>IF(I1410&lt;70,"Superficial (&lt;70 km)",IF(I1410&lt;=300,"Intermedio (70-300 km)","Profundo (&gt;300 km)"))</x:f>
        <x:v>Intermedio (70-300 km)</x:v>
      </x:c>
      <x:c r="M1410" s="25" t="str">
        <x:f>IF(J1410&gt;=5,"Sí","No")</x:f>
        <x:v>No</x:v>
      </x:c>
      <x:c r="N1410" s="25" t="str">
        <x:f>IF(J1410&gt;=6,"Sí","No")</x:f>
        <x:v>No</x:v>
      </x:c>
      <x:c r="O1410" s="25" t="str">
        <x:v>Pendiente: asignar con R/sf</x:v>
      </x:c>
    </x:row>
    <x:row r="1411">
      <x:c r="A1411" s="25" t="n">
        <x:v>1410</x:v>
      </x:c>
      <x:c r="B1411" s="26" t="n">
        <x:v>45354.25381944444</x:v>
      </x:c>
      <x:c r="C1411" s="27" t="n">
        <x:f>INT(B1411)</x:f>
        <x:v>45354</x:v>
      </x:c>
      <x:c r="D1411" s="28" t="n">
        <x:f>MOD(B1411,1)</x:f>
        <x:v>0.2538194444423425</x:v>
      </x:c>
      <x:c r="E1411" s="29" t="n">
        <x:f>YEAR(B1411)</x:f>
        <x:v>2024</x:v>
      </x:c>
      <x:c r="F1411" s="29" t="n">
        <x:f>MONTH(B1411)</x:f>
        <x:v>3</x:v>
      </x:c>
      <x:c r="G1411" s="30" t="n">
        <x:v>-30.27</x:v>
      </x:c>
      <x:c r="H1411" s="30" t="n">
        <x:v>-71.26</x:v>
      </x:c>
      <x:c r="I1411" s="29" t="n">
        <x:v>55</x:v>
      </x:c>
      <x:c r="J1411" s="31" t="n">
        <x:v>4</x:v>
      </x:c>
      <x:c r="K1411" s="25" t="str">
        <x:f>IF(J1411&gt;=7,"Muy fuerte (&gt;=7)",IF(J1411&gt;=6,"Fuerte (6-6.9)",IF(J1411&gt;=5,"Moderado alto (5-5.9)",IF(J1411&gt;=4,"Moderado (4-4.9)","Menor a 4"))))</x:f>
        <x:v>Moderado (4-4.9)</x:v>
      </x:c>
      <x:c r="L1411" s="25" t="str">
        <x:f>IF(I1411&lt;70,"Superficial (&lt;70 km)",IF(I1411&lt;=300,"Intermedio (70-300 km)","Profundo (&gt;300 km)"))</x:f>
        <x:v>Superficial (&lt;70 km)</x:v>
      </x:c>
      <x:c r="M1411" s="25" t="str">
        <x:f>IF(J1411&gt;=5,"Sí","No")</x:f>
        <x:v>No</x:v>
      </x:c>
      <x:c r="N1411" s="25" t="str">
        <x:f>IF(J1411&gt;=6,"Sí","No")</x:f>
        <x:v>No</x:v>
      </x:c>
      <x:c r="O1411" s="25" t="str">
        <x:v>Pendiente: asignar con R/sf</x:v>
      </x:c>
    </x:row>
    <x:row r="1412">
      <x:c r="A1412" s="25" t="n">
        <x:v>1411</x:v>
      </x:c>
      <x:c r="B1412" s="26" t="n">
        <x:v>45566.49018518518</x:v>
      </x:c>
      <x:c r="C1412" s="27" t="n">
        <x:f>INT(B1412)</x:f>
        <x:v>45566</x:v>
      </x:c>
      <x:c r="D1412" s="28" t="n">
        <x:f>MOD(B1412,1)</x:f>
        <x:v>0.4901851851827814</x:v>
      </x:c>
      <x:c r="E1412" s="29" t="n">
        <x:f>YEAR(B1412)</x:f>
        <x:v>2024</x:v>
      </x:c>
      <x:c r="F1412" s="29" t="n">
        <x:f>MONTH(B1412)</x:f>
        <x:v>10</x:v>
      </x:c>
      <x:c r="G1412" s="30" t="n">
        <x:v>-30.05</x:v>
      </x:c>
      <x:c r="H1412" s="30" t="n">
        <x:v>-71.18</x:v>
      </x:c>
      <x:c r="I1412" s="29" t="n">
        <x:v>66</x:v>
      </x:c>
      <x:c r="J1412" s="31" t="n">
        <x:v>4.1</x:v>
      </x:c>
      <x:c r="K1412" s="25" t="str">
        <x:f>IF(J1412&gt;=7,"Muy fuerte (&gt;=7)",IF(J1412&gt;=6,"Fuerte (6-6.9)",IF(J1412&gt;=5,"Moderado alto (5-5.9)",IF(J1412&gt;=4,"Moderado (4-4.9)","Menor a 4"))))</x:f>
        <x:v>Moderado (4-4.9)</x:v>
      </x:c>
      <x:c r="L1412" s="25" t="str">
        <x:f>IF(I1412&lt;70,"Superficial (&lt;70 km)",IF(I1412&lt;=300,"Intermedio (70-300 km)","Profundo (&gt;300 km)"))</x:f>
        <x:v>Superficial (&lt;70 km)</x:v>
      </x:c>
      <x:c r="M1412" s="25" t="str">
        <x:f>IF(J1412&gt;=5,"Sí","No")</x:f>
        <x:v>No</x:v>
      </x:c>
      <x:c r="N1412" s="25" t="str">
        <x:f>IF(J1412&gt;=6,"Sí","No")</x:f>
        <x:v>No</x:v>
      </x:c>
      <x:c r="O1412" s="25" t="str">
        <x:v>Pendiente: asignar con R/sf</x:v>
      </x:c>
    </x:row>
    <x:row r="1413">
      <x:c r="A1413" s="25" t="n">
        <x:v>1412</x:v>
      </x:c>
      <x:c r="B1413" s="26" t="n">
        <x:v>45750.15734953704</x:v>
      </x:c>
      <x:c r="C1413" s="27" t="n">
        <x:f>INT(B1413)</x:f>
        <x:v>45750</x:v>
      </x:c>
      <x:c r="D1413" s="28" t="n">
        <x:f>MOD(B1413,1)</x:f>
        <x:v>0.15734953703940846</x:v>
      </x:c>
      <x:c r="E1413" s="29" t="n">
        <x:f>YEAR(B1413)</x:f>
        <x:v>2025</x:v>
      </x:c>
      <x:c r="F1413" s="29" t="n">
        <x:f>MONTH(B1413)</x:f>
        <x:v>4</x:v>
      </x:c>
      <x:c r="G1413" s="30" t="n">
        <x:v>-29.86</x:v>
      </x:c>
      <x:c r="H1413" s="30" t="n">
        <x:v>-71.55</x:v>
      </x:c>
      <x:c r="I1413" s="29" t="n">
        <x:v>62</x:v>
      </x:c>
      <x:c r="J1413" s="31" t="n">
        <x:v>4.1</x:v>
      </x:c>
      <x:c r="K1413" s="25" t="str">
        <x:f>IF(J1413&gt;=7,"Muy fuerte (&gt;=7)",IF(J1413&gt;=6,"Fuerte (6-6.9)",IF(J1413&gt;=5,"Moderado alto (5-5.9)",IF(J1413&gt;=4,"Moderado (4-4.9)","Menor a 4"))))</x:f>
        <x:v>Moderado (4-4.9)</x:v>
      </x:c>
      <x:c r="L1413" s="25" t="str">
        <x:f>IF(I1413&lt;70,"Superficial (&lt;70 km)",IF(I1413&lt;=300,"Intermedio (70-300 km)","Profundo (&gt;300 km)"))</x:f>
        <x:v>Superficial (&lt;70 km)</x:v>
      </x:c>
      <x:c r="M1413" s="25" t="str">
        <x:f>IF(J1413&gt;=5,"Sí","No")</x:f>
        <x:v>No</x:v>
      </x:c>
      <x:c r="N1413" s="25" t="str">
        <x:f>IF(J1413&gt;=6,"Sí","No")</x:f>
        <x:v>No</x:v>
      </x:c>
      <x:c r="O1413" s="25" t="str">
        <x:v>Pendiente: asignar con R/sf</x:v>
      </x:c>
    </x:row>
    <x:row r="1414">
      <x:c r="A1414" s="25" t="n">
        <x:v>1413</x:v>
      </x:c>
      <x:c r="B1414" s="26" t="n">
        <x:v>45698.332395833335</x:v>
      </x:c>
      <x:c r="C1414" s="27" t="n">
        <x:f>INT(B1414)</x:f>
        <x:v>45698</x:v>
      </x:c>
      <x:c r="D1414" s="28" t="n">
        <x:f>MOD(B1414,1)</x:f>
        <x:v>0.33239583333488554</x:v>
      </x:c>
      <x:c r="E1414" s="29" t="n">
        <x:f>YEAR(B1414)</x:f>
        <x:v>2025</x:v>
      </x:c>
      <x:c r="F1414" s="29" t="n">
        <x:f>MONTH(B1414)</x:f>
        <x:v>2</x:v>
      </x:c>
      <x:c r="G1414" s="30" t="n">
        <x:v>-29.46</x:v>
      </x:c>
      <x:c r="H1414" s="30" t="n">
        <x:v>-71.17</x:v>
      </x:c>
      <x:c r="I1414" s="29" t="n">
        <x:v>50</x:v>
      </x:c>
      <x:c r="J1414" s="31" t="n">
        <x:v>3.7</x:v>
      </x:c>
      <x:c r="K1414" s="25" t="str">
        <x:f>IF(J1414&gt;=7,"Muy fuerte (&gt;=7)",IF(J1414&gt;=6,"Fuerte (6-6.9)",IF(J1414&gt;=5,"Moderado alto (5-5.9)",IF(J1414&gt;=4,"Moderado (4-4.9)","Menor a 4"))))</x:f>
        <x:v>Menor a 4</x:v>
      </x:c>
      <x:c r="L1414" s="25" t="str">
        <x:f>IF(I1414&lt;70,"Superficial (&lt;70 km)",IF(I1414&lt;=300,"Intermedio (70-300 km)","Profundo (&gt;300 km)"))</x:f>
        <x:v>Superficial (&lt;70 km)</x:v>
      </x:c>
      <x:c r="M1414" s="25" t="str">
        <x:f>IF(J1414&gt;=5,"Sí","No")</x:f>
        <x:v>No</x:v>
      </x:c>
      <x:c r="N1414" s="25" t="str">
        <x:f>IF(J1414&gt;=6,"Sí","No")</x:f>
        <x:v>No</x:v>
      </x:c>
      <x:c r="O1414" s="25" t="str">
        <x:v>Pendiente: asignar con R/sf</x:v>
      </x:c>
    </x:row>
    <x:row r="1415">
      <x:c r="A1415" s="25" t="n">
        <x:v>1414</x:v>
      </x:c>
      <x:c r="B1415" s="26" t="n">
        <x:v>45707.79005787037</x:v>
      </x:c>
      <x:c r="C1415" s="27" t="n">
        <x:f>INT(B1415)</x:f>
        <x:v>45707</x:v>
      </x:c>
      <x:c r="D1415" s="28" t="n">
        <x:f>MOD(B1415,1)</x:f>
        <x:v>0.7900578703702195</x:v>
      </x:c>
      <x:c r="E1415" s="29" t="n">
        <x:f>YEAR(B1415)</x:f>
        <x:v>2025</x:v>
      </x:c>
      <x:c r="F1415" s="29" t="n">
        <x:f>MONTH(B1415)</x:f>
        <x:v>2</x:v>
      </x:c>
      <x:c r="G1415" s="30" t="n">
        <x:v>-30.03</x:v>
      </x:c>
      <x:c r="H1415" s="30" t="n">
        <x:v>-71.24</x:v>
      </x:c>
      <x:c r="I1415" s="29" t="n">
        <x:v>49</x:v>
      </x:c>
      <x:c r="J1415" s="31" t="n">
        <x:v>4.1</x:v>
      </x:c>
      <x:c r="K1415" s="25" t="str">
        <x:f>IF(J1415&gt;=7,"Muy fuerte (&gt;=7)",IF(J1415&gt;=6,"Fuerte (6-6.9)",IF(J1415&gt;=5,"Moderado alto (5-5.9)",IF(J1415&gt;=4,"Moderado (4-4.9)","Menor a 4"))))</x:f>
        <x:v>Moderado (4-4.9)</x:v>
      </x:c>
      <x:c r="L1415" s="25" t="str">
        <x:f>IF(I1415&lt;70,"Superficial (&lt;70 km)",IF(I1415&lt;=300,"Intermedio (70-300 km)","Profundo (&gt;300 km)"))</x:f>
        <x:v>Superficial (&lt;70 km)</x:v>
      </x:c>
      <x:c r="M1415" s="25" t="str">
        <x:f>IF(J1415&gt;=5,"Sí","No")</x:f>
        <x:v>No</x:v>
      </x:c>
      <x:c r="N1415" s="25" t="str">
        <x:f>IF(J1415&gt;=6,"Sí","No")</x:f>
        <x:v>No</x:v>
      </x:c>
      <x:c r="O1415" s="25" t="str">
        <x:v>Pendiente: asignar con R/sf</x:v>
      </x:c>
    </x:row>
    <x:row r="1416">
      <x:c r="A1416" s="25" t="n">
        <x:v>1415</x:v>
      </x:c>
      <x:c r="B1416" s="26" t="n">
        <x:v>45736.19127314815</x:v>
      </x:c>
      <x:c r="C1416" s="27" t="n">
        <x:f>INT(B1416)</x:f>
        <x:v>45736</x:v>
      </x:c>
      <x:c r="D1416" s="28" t="n">
        <x:f>MOD(B1416,1)</x:f>
        <x:v>0.1912731481497758</x:v>
      </x:c>
      <x:c r="E1416" s="29" t="n">
        <x:f>YEAR(B1416)</x:f>
        <x:v>2025</x:v>
      </x:c>
      <x:c r="F1416" s="29" t="n">
        <x:f>MONTH(B1416)</x:f>
        <x:v>3</x:v>
      </x:c>
      <x:c r="G1416" s="30" t="n">
        <x:v>-30.09</x:v>
      </x:c>
      <x:c r="H1416" s="30" t="n">
        <x:v>-71.2</x:v>
      </x:c>
      <x:c r="I1416" s="29" t="n">
        <x:v>64</x:v>
      </x:c>
      <x:c r="J1416" s="31" t="n">
        <x:v>4.1</x:v>
      </x:c>
      <x:c r="K1416" s="25" t="str">
        <x:f>IF(J1416&gt;=7,"Muy fuerte (&gt;=7)",IF(J1416&gt;=6,"Fuerte (6-6.9)",IF(J1416&gt;=5,"Moderado alto (5-5.9)",IF(J1416&gt;=4,"Moderado (4-4.9)","Menor a 4"))))</x:f>
        <x:v>Moderado (4-4.9)</x:v>
      </x:c>
      <x:c r="L1416" s="25" t="str">
        <x:f>IF(I1416&lt;70,"Superficial (&lt;70 km)",IF(I1416&lt;=300,"Intermedio (70-300 km)","Profundo (&gt;300 km)"))</x:f>
        <x:v>Superficial (&lt;70 km)</x:v>
      </x:c>
      <x:c r="M1416" s="25" t="str">
        <x:f>IF(J1416&gt;=5,"Sí","No")</x:f>
        <x:v>No</x:v>
      </x:c>
      <x:c r="N1416" s="25" t="str">
        <x:f>IF(J1416&gt;=6,"Sí","No")</x:f>
        <x:v>No</x:v>
      </x:c>
      <x:c r="O1416" s="25" t="str">
        <x:v>Pendiente: asignar con R/sf</x:v>
      </x:c>
    </x:row>
    <x:row r="1417">
      <x:c r="A1417" s="25" t="n">
        <x:v>1416</x:v>
      </x:c>
      <x:c r="B1417" s="26" t="n">
        <x:v>45694.1772337963</x:v>
      </x:c>
      <x:c r="C1417" s="27" t="n">
        <x:f>INT(B1417)</x:f>
        <x:v>45694</x:v>
      </x:c>
      <x:c r="D1417" s="28" t="n">
        <x:f>MOD(B1417,1)</x:f>
        <x:v>0.17723379629751435</x:v>
      </x:c>
      <x:c r="E1417" s="29" t="n">
        <x:f>YEAR(B1417)</x:f>
        <x:v>2025</x:v>
      </x:c>
      <x:c r="F1417" s="29" t="n">
        <x:f>MONTH(B1417)</x:f>
        <x:v>2</x:v>
      </x:c>
      <x:c r="G1417" s="30" t="n">
        <x:v>-30.04</x:v>
      </x:c>
      <x:c r="H1417" s="30" t="n">
        <x:v>-71.29</x:v>
      </x:c>
      <x:c r="I1417" s="29" t="n">
        <x:v>53</x:v>
      </x:c>
      <x:c r="J1417" s="31" t="n">
        <x:v>4.5</x:v>
      </x:c>
      <x:c r="K1417" s="25" t="str">
        <x:f>IF(J1417&gt;=7,"Muy fuerte (&gt;=7)",IF(J1417&gt;=6,"Fuerte (6-6.9)",IF(J1417&gt;=5,"Moderado alto (5-5.9)",IF(J1417&gt;=4,"Moderado (4-4.9)","Menor a 4"))))</x:f>
        <x:v>Moderado (4-4.9)</x:v>
      </x:c>
      <x:c r="L1417" s="25" t="str">
        <x:f>IF(I1417&lt;70,"Superficial (&lt;70 km)",IF(I1417&lt;=300,"Intermedio (70-300 km)","Profundo (&gt;300 km)"))</x:f>
        <x:v>Superficial (&lt;70 km)</x:v>
      </x:c>
      <x:c r="M1417" s="25" t="str">
        <x:f>IF(J1417&gt;=5,"Sí","No")</x:f>
        <x:v>No</x:v>
      </x:c>
      <x:c r="N1417" s="25" t="str">
        <x:f>IF(J1417&gt;=6,"Sí","No")</x:f>
        <x:v>No</x:v>
      </x:c>
      <x:c r="O1417" s="25" t="str">
        <x:v>Pendiente: asignar con R/sf</x:v>
      </x:c>
    </x:row>
    <x:row r="1418">
      <x:c r="A1418" s="25" t="n">
        <x:v>1417</x:v>
      </x:c>
      <x:c r="B1418" s="26" t="n">
        <x:v>45704.9762962963</x:v>
      </x:c>
      <x:c r="C1418" s="27" t="n">
        <x:f>INT(B1418)</x:f>
        <x:v>45704</x:v>
      </x:c>
      <x:c r="D1418" s="28" t="n">
        <x:f>MOD(B1418,1)</x:f>
        <x:v>0.9762962962995516</x:v>
      </x:c>
      <x:c r="E1418" s="29" t="n">
        <x:f>YEAR(B1418)</x:f>
        <x:v>2025</x:v>
      </x:c>
      <x:c r="F1418" s="29" t="n">
        <x:f>MONTH(B1418)</x:f>
        <x:v>2</x:v>
      </x:c>
      <x:c r="G1418" s="30" t="n">
        <x:v>-30.1</x:v>
      </x:c>
      <x:c r="H1418" s="30" t="n">
        <x:v>-71.29</x:v>
      </x:c>
      <x:c r="I1418" s="29" t="n">
        <x:v>70</x:v>
      </x:c>
      <x:c r="J1418" s="31" t="n">
        <x:v>4.4</x:v>
      </x:c>
      <x:c r="K1418" s="25" t="str">
        <x:f>IF(J1418&gt;=7,"Muy fuerte (&gt;=7)",IF(J1418&gt;=6,"Fuerte (6-6.9)",IF(J1418&gt;=5,"Moderado alto (5-5.9)",IF(J1418&gt;=4,"Moderado (4-4.9)","Menor a 4"))))</x:f>
        <x:v>Moderado (4-4.9)</x:v>
      </x:c>
      <x:c r="L1418" s="25" t="str">
        <x:f>IF(I1418&lt;70,"Superficial (&lt;70 km)",IF(I1418&lt;=300,"Intermedio (70-300 km)","Profundo (&gt;300 km)"))</x:f>
        <x:v>Intermedio (70-300 km)</x:v>
      </x:c>
      <x:c r="M1418" s="25" t="str">
        <x:f>IF(J1418&gt;=5,"Sí","No")</x:f>
        <x:v>No</x:v>
      </x:c>
      <x:c r="N1418" s="25" t="str">
        <x:f>IF(J1418&gt;=6,"Sí","No")</x:f>
        <x:v>No</x:v>
      </x:c>
      <x:c r="O1418" s="25" t="str">
        <x:v>Pendiente: asignar con R/sf</x:v>
      </x:c>
    </x:row>
    <x:row r="1419">
      <x:c r="A1419" s="25" t="n">
        <x:v>1418</x:v>
      </x:c>
      <x:c r="B1419" s="26" t="n">
        <x:v>45779.29754629629</x:v>
      </x:c>
      <x:c r="C1419" s="27" t="n">
        <x:f>INT(B1419)</x:f>
        <x:v>45779</x:v>
      </x:c>
      <x:c r="D1419" s="28" t="n">
        <x:f>MOD(B1419,1)</x:f>
        <x:v>0.29754629629314877</x:v>
      </x:c>
      <x:c r="E1419" s="29" t="n">
        <x:f>YEAR(B1419)</x:f>
        <x:v>2025</x:v>
      </x:c>
      <x:c r="F1419" s="29" t="n">
        <x:f>MONTH(B1419)</x:f>
        <x:v>5</x:v>
      </x:c>
      <x:c r="G1419" s="30" t="n">
        <x:v>-29.68</x:v>
      </x:c>
      <x:c r="H1419" s="30" t="n">
        <x:v>-71.31</x:v>
      </x:c>
      <x:c r="I1419" s="29" t="n">
        <x:v>51</x:v>
      </x:c>
      <x:c r="J1419" s="31" t="n">
        <x:v>4.3</x:v>
      </x:c>
      <x:c r="K1419" s="25" t="str">
        <x:f>IF(J1419&gt;=7,"Muy fuerte (&gt;=7)",IF(J1419&gt;=6,"Fuerte (6-6.9)",IF(J1419&gt;=5,"Moderado alto (5-5.9)",IF(J1419&gt;=4,"Moderado (4-4.9)","Menor a 4"))))</x:f>
        <x:v>Moderado (4-4.9)</x:v>
      </x:c>
      <x:c r="L1419" s="25" t="str">
        <x:f>IF(I1419&lt;70,"Superficial (&lt;70 km)",IF(I1419&lt;=300,"Intermedio (70-300 km)","Profundo (&gt;300 km)"))</x:f>
        <x:v>Superficial (&lt;70 km)</x:v>
      </x:c>
      <x:c r="M1419" s="25" t="str">
        <x:f>IF(J1419&gt;=5,"Sí","No")</x:f>
        <x:v>No</x:v>
      </x:c>
      <x:c r="N1419" s="25" t="str">
        <x:f>IF(J1419&gt;=6,"Sí","No")</x:f>
        <x:v>No</x:v>
      </x:c>
      <x:c r="O1419" s="25" t="str">
        <x:v>Pendiente: asignar con R/sf</x:v>
      </x:c>
    </x:row>
    <x:row r="1420">
      <x:c r="A1420" s="25" t="n">
        <x:v>1419</x:v>
      </x:c>
      <x:c r="B1420" s="26" t="n">
        <x:v>45554.285219907404</x:v>
      </x:c>
      <x:c r="C1420" s="27" t="n">
        <x:f>INT(B1420)</x:f>
        <x:v>45554</x:v>
      </x:c>
      <x:c r="D1420" s="28" t="n">
        <x:f>MOD(B1420,1)</x:f>
        <x:v>0.2852199074040982</x:v>
      </x:c>
      <x:c r="E1420" s="29" t="n">
        <x:f>YEAR(B1420)</x:f>
        <x:v>2024</x:v>
      </x:c>
      <x:c r="F1420" s="29" t="n">
        <x:f>MONTH(B1420)</x:f>
        <x:v>9</x:v>
      </x:c>
      <x:c r="G1420" s="30" t="n">
        <x:v>-30.73</x:v>
      </x:c>
      <x:c r="H1420" s="30" t="n">
        <x:v>-71.4</x:v>
      </x:c>
      <x:c r="I1420" s="29" t="n">
        <x:v>45</x:v>
      </x:c>
      <x:c r="J1420" s="31" t="n">
        <x:v>4</x:v>
      </x:c>
      <x:c r="K1420" s="25" t="str">
        <x:f>IF(J1420&gt;=7,"Muy fuerte (&gt;=7)",IF(J1420&gt;=6,"Fuerte (6-6.9)",IF(J1420&gt;=5,"Moderado alto (5-5.9)",IF(J1420&gt;=4,"Moderado (4-4.9)","Menor a 4"))))</x:f>
        <x:v>Moderado (4-4.9)</x:v>
      </x:c>
      <x:c r="L1420" s="25" t="str">
        <x:f>IF(I1420&lt;70,"Superficial (&lt;70 km)",IF(I1420&lt;=300,"Intermedio (70-300 km)","Profundo (&gt;300 km)"))</x:f>
        <x:v>Superficial (&lt;70 km)</x:v>
      </x:c>
      <x:c r="M1420" s="25" t="str">
        <x:f>IF(J1420&gt;=5,"Sí","No")</x:f>
        <x:v>No</x:v>
      </x:c>
      <x:c r="N1420" s="25" t="str">
        <x:f>IF(J1420&gt;=6,"Sí","No")</x:f>
        <x:v>No</x:v>
      </x:c>
      <x:c r="O1420" s="25" t="str">
        <x:v>Pendiente: asignar con R/sf</x:v>
      </x:c>
    </x:row>
    <x:row r="1421">
      <x:c r="A1421" s="25" t="n">
        <x:v>1420</x:v>
      </x:c>
      <x:c r="B1421" s="26" t="n">
        <x:v>45574.81255787037</x:v>
      </x:c>
      <x:c r="C1421" s="27" t="n">
        <x:f>INT(B1421)</x:f>
        <x:v>45574</x:v>
      </x:c>
      <x:c r="D1421" s="28" t="n">
        <x:f>MOD(B1421,1)</x:f>
        <x:v>0.8125578703693463</x:v>
      </x:c>
      <x:c r="E1421" s="29" t="n">
        <x:f>YEAR(B1421)</x:f>
        <x:v>2024</x:v>
      </x:c>
      <x:c r="F1421" s="29" t="n">
        <x:f>MONTH(B1421)</x:f>
        <x:v>10</x:v>
      </x:c>
      <x:c r="G1421" s="30" t="n">
        <x:v>-30.68</x:v>
      </x:c>
      <x:c r="H1421" s="30" t="n">
        <x:v>-71.3</x:v>
      </x:c>
      <x:c r="I1421" s="29" t="n">
        <x:v>48</x:v>
      </x:c>
      <x:c r="J1421" s="31" t="n">
        <x:v>3.9</x:v>
      </x:c>
      <x:c r="K1421" s="25" t="str">
        <x:f>IF(J1421&gt;=7,"Muy fuerte (&gt;=7)",IF(J1421&gt;=6,"Fuerte (6-6.9)",IF(J1421&gt;=5,"Moderado alto (5-5.9)",IF(J1421&gt;=4,"Moderado (4-4.9)","Menor a 4"))))</x:f>
        <x:v>Menor a 4</x:v>
      </x:c>
      <x:c r="L1421" s="25" t="str">
        <x:f>IF(I1421&lt;70,"Superficial (&lt;70 km)",IF(I1421&lt;=300,"Intermedio (70-300 km)","Profundo (&gt;300 km)"))</x:f>
        <x:v>Superficial (&lt;70 km)</x:v>
      </x:c>
      <x:c r="M1421" s="25" t="str">
        <x:f>IF(J1421&gt;=5,"Sí","No")</x:f>
        <x:v>No</x:v>
      </x:c>
      <x:c r="N1421" s="25" t="str">
        <x:f>IF(J1421&gt;=6,"Sí","No")</x:f>
        <x:v>No</x:v>
      </x:c>
      <x:c r="O1421" s="25" t="str">
        <x:v>Pendiente: asignar con R/sf</x:v>
      </x:c>
    </x:row>
    <x:row r="1422">
      <x:c r="A1422" s="25" t="n">
        <x:v>1421</x:v>
      </x:c>
      <x:c r="B1422" s="26" t="n">
        <x:v>45632.208182870374</x:v>
      </x:c>
      <x:c r="C1422" s="27" t="n">
        <x:f>INT(B1422)</x:f>
        <x:v>45632</x:v>
      </x:c>
      <x:c r="D1422" s="28" t="n">
        <x:f>MOD(B1422,1)</x:f>
        <x:v>0.20818287037400296</x:v>
      </x:c>
      <x:c r="E1422" s="29" t="n">
        <x:f>YEAR(B1422)</x:f>
        <x:v>2024</x:v>
      </x:c>
      <x:c r="F1422" s="29" t="n">
        <x:f>MONTH(B1422)</x:f>
        <x:v>12</x:v>
      </x:c>
      <x:c r="G1422" s="30" t="n">
        <x:v>-30.73</x:v>
      </x:c>
      <x:c r="H1422" s="30" t="n">
        <x:v>-71.36</x:v>
      </x:c>
      <x:c r="I1422" s="29" t="n">
        <x:v>45</x:v>
      </x:c>
      <x:c r="J1422" s="31" t="n">
        <x:v>3.6</x:v>
      </x:c>
      <x:c r="K1422" s="25" t="str">
        <x:f>IF(J1422&gt;=7,"Muy fuerte (&gt;=7)",IF(J1422&gt;=6,"Fuerte (6-6.9)",IF(J1422&gt;=5,"Moderado alto (5-5.9)",IF(J1422&gt;=4,"Moderado (4-4.9)","Menor a 4"))))</x:f>
        <x:v>Menor a 4</x:v>
      </x:c>
      <x:c r="L1422" s="25" t="str">
        <x:f>IF(I1422&lt;70,"Superficial (&lt;70 km)",IF(I1422&lt;=300,"Intermedio (70-300 km)","Profundo (&gt;300 km)"))</x:f>
        <x:v>Superficial (&lt;70 km)</x:v>
      </x:c>
      <x:c r="M1422" s="25" t="str">
        <x:f>IF(J1422&gt;=5,"Sí","No")</x:f>
        <x:v>No</x:v>
      </x:c>
      <x:c r="N1422" s="25" t="str">
        <x:f>IF(J1422&gt;=6,"Sí","No")</x:f>
        <x:v>No</x:v>
      </x:c>
      <x:c r="O1422" s="25" t="str">
        <x:v>Pendiente: asignar con R/sf</x:v>
      </x:c>
    </x:row>
    <x:row r="1423">
      <x:c r="A1423" s="25" t="n">
        <x:v>1422</x:v>
      </x:c>
      <x:c r="B1423" s="26" t="n">
        <x:v>45637.09091435185</x:v>
      </x:c>
      <x:c r="C1423" s="27" t="n">
        <x:f>INT(B1423)</x:f>
        <x:v>45637</x:v>
      </x:c>
      <x:c r="D1423" s="28" t="n">
        <x:f>MOD(B1423,1)</x:f>
        <x:v>0.09091435185109731</x:v>
      </x:c>
      <x:c r="E1423" s="29" t="n">
        <x:f>YEAR(B1423)</x:f>
        <x:v>2024</x:v>
      </x:c>
      <x:c r="F1423" s="29" t="n">
        <x:f>MONTH(B1423)</x:f>
        <x:v>12</x:v>
      </x:c>
      <x:c r="G1423" s="30" t="n">
        <x:v>-30.73</x:v>
      </x:c>
      <x:c r="H1423" s="30" t="n">
        <x:v>-71.4</x:v>
      </x:c>
      <x:c r="I1423" s="29" t="n">
        <x:v>51</x:v>
      </x:c>
      <x:c r="J1423" s="31" t="n">
        <x:v>4.4</x:v>
      </x:c>
      <x:c r="K1423" s="25" t="str">
        <x:f>IF(J1423&gt;=7,"Muy fuerte (&gt;=7)",IF(J1423&gt;=6,"Fuerte (6-6.9)",IF(J1423&gt;=5,"Moderado alto (5-5.9)",IF(J1423&gt;=4,"Moderado (4-4.9)","Menor a 4"))))</x:f>
        <x:v>Moderado (4-4.9)</x:v>
      </x:c>
      <x:c r="L1423" s="25" t="str">
        <x:f>IF(I1423&lt;70,"Superficial (&lt;70 km)",IF(I1423&lt;=300,"Intermedio (70-300 km)","Profundo (&gt;300 km)"))</x:f>
        <x:v>Superficial (&lt;70 km)</x:v>
      </x:c>
      <x:c r="M1423" s="25" t="str">
        <x:f>IF(J1423&gt;=5,"Sí","No")</x:f>
        <x:v>No</x:v>
      </x:c>
      <x:c r="N1423" s="25" t="str">
        <x:f>IF(J1423&gt;=6,"Sí","No")</x:f>
        <x:v>No</x:v>
      </x:c>
      <x:c r="O1423" s="25" t="str">
        <x:v>Pendiente: asignar con R/sf</x:v>
      </x:c>
    </x:row>
    <x:row r="1424">
      <x:c r="A1424" s="25" t="n">
        <x:v>1423</x:v>
      </x:c>
      <x:c r="B1424" s="26" t="n">
        <x:v>45683.87119212963</x:v>
      </x:c>
      <x:c r="C1424" s="27" t="n">
        <x:f>INT(B1424)</x:f>
        <x:v>45683</x:v>
      </x:c>
      <x:c r="D1424" s="28" t="n">
        <x:f>MOD(B1424,1)</x:f>
        <x:v>0.8711921296271612</x:v>
      </x:c>
      <x:c r="E1424" s="29" t="n">
        <x:f>YEAR(B1424)</x:f>
        <x:v>2025</x:v>
      </x:c>
      <x:c r="F1424" s="29" t="n">
        <x:f>MONTH(B1424)</x:f>
        <x:v>1</x:v>
      </x:c>
      <x:c r="G1424" s="30" t="n">
        <x:v>-30.71</x:v>
      </x:c>
      <x:c r="H1424" s="30" t="n">
        <x:v>-71.68</x:v>
      </x:c>
      <x:c r="I1424" s="29" t="n">
        <x:v>37</x:v>
      </x:c>
      <x:c r="J1424" s="31" t="n">
        <x:v>4.5</x:v>
      </x:c>
      <x:c r="K1424" s="25" t="str">
        <x:f>IF(J1424&gt;=7,"Muy fuerte (&gt;=7)",IF(J1424&gt;=6,"Fuerte (6-6.9)",IF(J1424&gt;=5,"Moderado alto (5-5.9)",IF(J1424&gt;=4,"Moderado (4-4.9)","Menor a 4"))))</x:f>
        <x:v>Moderado (4-4.9)</x:v>
      </x:c>
      <x:c r="L1424" s="25" t="str">
        <x:f>IF(I1424&lt;70,"Superficial (&lt;70 km)",IF(I1424&lt;=300,"Intermedio (70-300 km)","Profundo (&gt;300 km)"))</x:f>
        <x:v>Superficial (&lt;70 km)</x:v>
      </x:c>
      <x:c r="M1424" s="25" t="str">
        <x:f>IF(J1424&gt;=5,"Sí","No")</x:f>
        <x:v>No</x:v>
      </x:c>
      <x:c r="N1424" s="25" t="str">
        <x:f>IF(J1424&gt;=6,"Sí","No")</x:f>
        <x:v>No</x:v>
      </x:c>
      <x:c r="O1424" s="25" t="str">
        <x:v>Pendiente: asignar con R/sf</x:v>
      </x:c>
    </x:row>
    <x:row r="1425">
      <x:c r="A1425" s="25" t="n">
        <x:v>1424</x:v>
      </x:c>
      <x:c r="B1425" s="26" t="n">
        <x:v>45726.21172453704</x:v>
      </x:c>
      <x:c r="C1425" s="27" t="n">
        <x:f>INT(B1425)</x:f>
        <x:v>45726</x:v>
      </x:c>
      <x:c r="D1425" s="28" t="n">
        <x:f>MOD(B1425,1)</x:f>
        <x:v>0.21172453703911742</x:v>
      </x:c>
      <x:c r="E1425" s="29" t="n">
        <x:f>YEAR(B1425)</x:f>
        <x:v>2025</x:v>
      </x:c>
      <x:c r="F1425" s="29" t="n">
        <x:f>MONTH(B1425)</x:f>
        <x:v>3</x:v>
      </x:c>
      <x:c r="G1425" s="30" t="n">
        <x:v>-30.86</x:v>
      </x:c>
      <x:c r="H1425" s="30" t="n">
        <x:v>-71.3</x:v>
      </x:c>
      <x:c r="I1425" s="29" t="n">
        <x:v>55</x:v>
      </x:c>
      <x:c r="J1425" s="31" t="n">
        <x:v>4.5</x:v>
      </x:c>
      <x:c r="K1425" s="25" t="str">
        <x:f>IF(J1425&gt;=7,"Muy fuerte (&gt;=7)",IF(J1425&gt;=6,"Fuerte (6-6.9)",IF(J1425&gt;=5,"Moderado alto (5-5.9)",IF(J1425&gt;=4,"Moderado (4-4.9)","Menor a 4"))))</x:f>
        <x:v>Moderado (4-4.9)</x:v>
      </x:c>
      <x:c r="L1425" s="25" t="str">
        <x:f>IF(I1425&lt;70,"Superficial (&lt;70 km)",IF(I1425&lt;=300,"Intermedio (70-300 km)","Profundo (&gt;300 km)"))</x:f>
        <x:v>Superficial (&lt;70 km)</x:v>
      </x:c>
      <x:c r="M1425" s="25" t="str">
        <x:f>IF(J1425&gt;=5,"Sí","No")</x:f>
        <x:v>No</x:v>
      </x:c>
      <x:c r="N1425" s="25" t="str">
        <x:f>IF(J1425&gt;=6,"Sí","No")</x:f>
        <x:v>No</x:v>
      </x:c>
      <x:c r="O1425" s="25" t="str">
        <x:v>Pendiente: asignar con R/sf</x:v>
      </x:c>
    </x:row>
    <x:row r="1426">
      <x:c r="A1426" s="25" t="n">
        <x:v>1425</x:v>
      </x:c>
      <x:c r="B1426" s="26" t="n">
        <x:v>45729.468564814815</x:v>
      </x:c>
      <x:c r="C1426" s="27" t="n">
        <x:f>INT(B1426)</x:f>
        <x:v>45729</x:v>
      </x:c>
      <x:c r="D1426" s="28" t="n">
        <x:f>MOD(B1426,1)</x:f>
        <x:v>0.4685648148151813</x:v>
      </x:c>
      <x:c r="E1426" s="29" t="n">
        <x:f>YEAR(B1426)</x:f>
        <x:v>2025</x:v>
      </x:c>
      <x:c r="F1426" s="29" t="n">
        <x:f>MONTH(B1426)</x:f>
        <x:v>3</x:v>
      </x:c>
      <x:c r="G1426" s="30" t="n">
        <x:v>-30.86</x:v>
      </x:c>
      <x:c r="H1426" s="30" t="n">
        <x:v>-71.31</x:v>
      </x:c>
      <x:c r="I1426" s="29" t="n">
        <x:v>54</x:v>
      </x:c>
      <x:c r="J1426" s="31" t="n">
        <x:v>4.2</x:v>
      </x:c>
      <x:c r="K1426" s="25" t="str">
        <x:f>IF(J1426&gt;=7,"Muy fuerte (&gt;=7)",IF(J1426&gt;=6,"Fuerte (6-6.9)",IF(J1426&gt;=5,"Moderado alto (5-5.9)",IF(J1426&gt;=4,"Moderado (4-4.9)","Menor a 4"))))</x:f>
        <x:v>Moderado (4-4.9)</x:v>
      </x:c>
      <x:c r="L1426" s="25" t="str">
        <x:f>IF(I1426&lt;70,"Superficial (&lt;70 km)",IF(I1426&lt;=300,"Intermedio (70-300 km)","Profundo (&gt;300 km)"))</x:f>
        <x:v>Superficial (&lt;70 km)</x:v>
      </x:c>
      <x:c r="M1426" s="25" t="str">
        <x:f>IF(J1426&gt;=5,"Sí","No")</x:f>
        <x:v>No</x:v>
      </x:c>
      <x:c r="N1426" s="25" t="str">
        <x:f>IF(J1426&gt;=6,"Sí","No")</x:f>
        <x:v>No</x:v>
      </x:c>
      <x:c r="O1426" s="25" t="str">
        <x:v>Pendiente: asignar con R/sf</x:v>
      </x:c>
    </x:row>
    <x:row r="1427">
      <x:c r="A1427" s="25" t="n">
        <x:v>1426</x:v>
      </x:c>
      <x:c r="B1427" s="26" t="n">
        <x:v>45739.355219907404</x:v>
      </x:c>
      <x:c r="C1427" s="27" t="n">
        <x:f>INT(B1427)</x:f>
        <x:v>45739</x:v>
      </x:c>
      <x:c r="D1427" s="28" t="n">
        <x:f>MOD(B1427,1)</x:f>
        <x:v>0.35521990740380716</x:v>
      </x:c>
      <x:c r="E1427" s="29" t="n">
        <x:f>YEAR(B1427)</x:f>
        <x:v>2025</x:v>
      </x:c>
      <x:c r="F1427" s="29" t="n">
        <x:f>MONTH(B1427)</x:f>
        <x:v>3</x:v>
      </x:c>
      <x:c r="G1427" s="30" t="n">
        <x:v>-30.73</x:v>
      </x:c>
      <x:c r="H1427" s="30" t="n">
        <x:v>-71.33</x:v>
      </x:c>
      <x:c r="I1427" s="29" t="n">
        <x:v>50</x:v>
      </x:c>
      <x:c r="J1427" s="31" t="n">
        <x:v>3.4</x:v>
      </x:c>
      <x:c r="K1427" s="25" t="str">
        <x:f>IF(J1427&gt;=7,"Muy fuerte (&gt;=7)",IF(J1427&gt;=6,"Fuerte (6-6.9)",IF(J1427&gt;=5,"Moderado alto (5-5.9)",IF(J1427&gt;=4,"Moderado (4-4.9)","Menor a 4"))))</x:f>
        <x:v>Menor a 4</x:v>
      </x:c>
      <x:c r="L1427" s="25" t="str">
        <x:f>IF(I1427&lt;70,"Superficial (&lt;70 km)",IF(I1427&lt;=300,"Intermedio (70-300 km)","Profundo (&gt;300 km)"))</x:f>
        <x:v>Superficial (&lt;70 km)</x:v>
      </x:c>
      <x:c r="M1427" s="25" t="str">
        <x:f>IF(J1427&gt;=5,"Sí","No")</x:f>
        <x:v>No</x:v>
      </x:c>
      <x:c r="N1427" s="25" t="str">
        <x:f>IF(J1427&gt;=6,"Sí","No")</x:f>
        <x:v>No</x:v>
      </x:c>
      <x:c r="O1427" s="25" t="str">
        <x:v>Pendiente: asignar con R/sf</x:v>
      </x:c>
    </x:row>
    <x:row r="1428">
      <x:c r="A1428" s="25" t="n">
        <x:v>1427</x:v>
      </x:c>
      <x:c r="B1428" s="26" t="n">
        <x:v>45774.840520833335</x:v>
      </x:c>
      <x:c r="C1428" s="27" t="n">
        <x:f>INT(B1428)</x:f>
        <x:v>45774</x:v>
      </x:c>
      <x:c r="D1428" s="28" t="n">
        <x:f>MOD(B1428,1)</x:f>
        <x:v>0.8405208333351766</x:v>
      </x:c>
      <x:c r="E1428" s="29" t="n">
        <x:f>YEAR(B1428)</x:f>
        <x:v>2025</x:v>
      </x:c>
      <x:c r="F1428" s="29" t="n">
        <x:f>MONTH(B1428)</x:f>
        <x:v>4</x:v>
      </x:c>
      <x:c r="G1428" s="30" t="n">
        <x:v>-30.87</x:v>
      </x:c>
      <x:c r="H1428" s="30" t="n">
        <x:v>-71.28</x:v>
      </x:c>
      <x:c r="I1428" s="29" t="n">
        <x:v>55</x:v>
      </x:c>
      <x:c r="J1428" s="31" t="n">
        <x:v>4.3</x:v>
      </x:c>
      <x:c r="K1428" s="25" t="str">
        <x:f>IF(J1428&gt;=7,"Muy fuerte (&gt;=7)",IF(J1428&gt;=6,"Fuerte (6-6.9)",IF(J1428&gt;=5,"Moderado alto (5-5.9)",IF(J1428&gt;=4,"Moderado (4-4.9)","Menor a 4"))))</x:f>
        <x:v>Moderado (4-4.9)</x:v>
      </x:c>
      <x:c r="L1428" s="25" t="str">
        <x:f>IF(I1428&lt;70,"Superficial (&lt;70 km)",IF(I1428&lt;=300,"Intermedio (70-300 km)","Profundo (&gt;300 km)"))</x:f>
        <x:v>Superficial (&lt;70 km)</x:v>
      </x:c>
      <x:c r="M1428" s="25" t="str">
        <x:f>IF(J1428&gt;=5,"Sí","No")</x:f>
        <x:v>No</x:v>
      </x:c>
      <x:c r="N1428" s="25" t="str">
        <x:f>IF(J1428&gt;=6,"Sí","No")</x:f>
        <x:v>No</x:v>
      </x:c>
      <x:c r="O1428" s="25" t="str">
        <x:v>Pendiente: asignar con R/sf</x:v>
      </x:c>
    </x:row>
    <x:row r="1429">
      <x:c r="A1429" s="25" t="n">
        <x:v>1428</x:v>
      </x:c>
      <x:c r="B1429" s="26" t="n">
        <x:v>45823.396458333336</x:v>
      </x:c>
      <x:c r="C1429" s="27" t="n">
        <x:f>INT(B1429)</x:f>
        <x:v>45823</x:v>
      </x:c>
      <x:c r="D1429" s="28" t="n">
        <x:f>MOD(B1429,1)</x:f>
        <x:v>0.39645833333634073</x:v>
      </x:c>
      <x:c r="E1429" s="29" t="n">
        <x:f>YEAR(B1429)</x:f>
        <x:v>2025</x:v>
      </x:c>
      <x:c r="F1429" s="29" t="n">
        <x:f>MONTH(B1429)</x:f>
        <x:v>6</x:v>
      </x:c>
      <x:c r="G1429" s="30" t="n">
        <x:v>-30.66</x:v>
      </x:c>
      <x:c r="H1429" s="30" t="n">
        <x:v>-71.31</x:v>
      </x:c>
      <x:c r="I1429" s="29" t="n">
        <x:v>54</x:v>
      </x:c>
      <x:c r="J1429" s="31" t="n">
        <x:v>3.7</x:v>
      </x:c>
      <x:c r="K1429" s="25" t="str">
        <x:f>IF(J1429&gt;=7,"Muy fuerte (&gt;=7)",IF(J1429&gt;=6,"Fuerte (6-6.9)",IF(J1429&gt;=5,"Moderado alto (5-5.9)",IF(J1429&gt;=4,"Moderado (4-4.9)","Menor a 4"))))</x:f>
        <x:v>Menor a 4</x:v>
      </x:c>
      <x:c r="L1429" s="25" t="str">
        <x:f>IF(I1429&lt;70,"Superficial (&lt;70 km)",IF(I1429&lt;=300,"Intermedio (70-300 km)","Profundo (&gt;300 km)"))</x:f>
        <x:v>Superficial (&lt;70 km)</x:v>
      </x:c>
      <x:c r="M1429" s="25" t="str">
        <x:f>IF(J1429&gt;=5,"Sí","No")</x:f>
        <x:v>No</x:v>
      </x:c>
      <x:c r="N1429" s="25" t="str">
        <x:f>IF(J1429&gt;=6,"Sí","No")</x:f>
        <x:v>No</x:v>
      </x:c>
      <x:c r="O1429" s="25" t="str">
        <x:v>Pendiente: asignar con R/sf</x:v>
      </x:c>
    </x:row>
    <x:row r="1430">
      <x:c r="A1430" s="25" t="n">
        <x:v>1429</x:v>
      </x:c>
      <x:c r="B1430" s="26" t="n">
        <x:v>45297.81266203704</x:v>
      </x:c>
      <x:c r="C1430" s="27" t="n">
        <x:f>INT(B1430)</x:f>
        <x:v>45297</x:v>
      </x:c>
      <x:c r="D1430" s="28" t="n">
        <x:f>MOD(B1430,1)</x:f>
        <x:v>0.8126620370385353</x:v>
      </x:c>
      <x:c r="E1430" s="29" t="n">
        <x:f>YEAR(B1430)</x:f>
        <x:v>2024</x:v>
      </x:c>
      <x:c r="F1430" s="29" t="n">
        <x:f>MONTH(B1430)</x:f>
        <x:v>1</x:v>
      </x:c>
      <x:c r="G1430" s="30" t="n">
        <x:v>-31.51</x:v>
      </x:c>
      <x:c r="H1430" s="30" t="n">
        <x:v>-71.54</x:v>
      </x:c>
      <x:c r="I1430" s="29" t="n">
        <x:v>40</x:v>
      </x:c>
      <x:c r="J1430" s="31" t="n">
        <x:v>3.4</x:v>
      </x:c>
      <x:c r="K1430" s="25" t="str">
        <x:f>IF(J1430&gt;=7,"Muy fuerte (&gt;=7)",IF(J1430&gt;=6,"Fuerte (6-6.9)",IF(J1430&gt;=5,"Moderado alto (5-5.9)",IF(J1430&gt;=4,"Moderado (4-4.9)","Menor a 4"))))</x:f>
        <x:v>Menor a 4</x:v>
      </x:c>
      <x:c r="L1430" s="25" t="str">
        <x:f>IF(I1430&lt;70,"Superficial (&lt;70 km)",IF(I1430&lt;=300,"Intermedio (70-300 km)","Profundo (&gt;300 km)"))</x:f>
        <x:v>Superficial (&lt;70 km)</x:v>
      </x:c>
      <x:c r="M1430" s="25" t="str">
        <x:f>IF(J1430&gt;=5,"Sí","No")</x:f>
        <x:v>No</x:v>
      </x:c>
      <x:c r="N1430" s="25" t="str">
        <x:f>IF(J1430&gt;=6,"Sí","No")</x:f>
        <x:v>No</x:v>
      </x:c>
      <x:c r="O1430" s="25" t="str">
        <x:v>Pendiente: asignar con R/sf</x:v>
      </x:c>
    </x:row>
    <x:row r="1431">
      <x:c r="A1431" s="25" t="n">
        <x:v>1430</x:v>
      </x:c>
      <x:c r="B1431" s="26" t="n">
        <x:v>45660.786215277774</x:v>
      </x:c>
      <x:c r="C1431" s="27" t="n">
        <x:f>INT(B1431)</x:f>
        <x:v>45660</x:v>
      </x:c>
      <x:c r="D1431" s="28" t="n">
        <x:f>MOD(B1431,1)</x:f>
        <x:v>0.7862152777743177</x:v>
      </x:c>
      <x:c r="E1431" s="29" t="n">
        <x:f>YEAR(B1431)</x:f>
        <x:v>2025</x:v>
      </x:c>
      <x:c r="F1431" s="29" t="n">
        <x:f>MONTH(B1431)</x:f>
        <x:v>1</x:v>
      </x:c>
      <x:c r="G1431" s="30" t="n">
        <x:v>-31.8</x:v>
      </x:c>
      <x:c r="H1431" s="30" t="n">
        <x:v>-71.42</x:v>
      </x:c>
      <x:c r="I1431" s="29" t="n">
        <x:v>47</x:v>
      </x:c>
      <x:c r="J1431" s="31" t="n">
        <x:v>4.2</x:v>
      </x:c>
      <x:c r="K1431" s="25" t="str">
        <x:f>IF(J1431&gt;=7,"Muy fuerte (&gt;=7)",IF(J1431&gt;=6,"Fuerte (6-6.9)",IF(J1431&gt;=5,"Moderado alto (5-5.9)",IF(J1431&gt;=4,"Moderado (4-4.9)","Menor a 4"))))</x:f>
        <x:v>Moderado (4-4.9)</x:v>
      </x:c>
      <x:c r="L1431" s="25" t="str">
        <x:f>IF(I1431&lt;70,"Superficial (&lt;70 km)",IF(I1431&lt;=300,"Intermedio (70-300 km)","Profundo (&gt;300 km)"))</x:f>
        <x:v>Superficial (&lt;70 km)</x:v>
      </x:c>
      <x:c r="M1431" s="25" t="str">
        <x:f>IF(J1431&gt;=5,"Sí","No")</x:f>
        <x:v>No</x:v>
      </x:c>
      <x:c r="N1431" s="25" t="str">
        <x:f>IF(J1431&gt;=6,"Sí","No")</x:f>
        <x:v>No</x:v>
      </x:c>
      <x:c r="O1431" s="25" t="str">
        <x:v>Pendiente: asignar con R/sf</x:v>
      </x:c>
    </x:row>
    <x:row r="1432">
      <x:c r="A1432" s="25" t="n">
        <x:v>1431</x:v>
      </x:c>
      <x:c r="B1432" s="26" t="n">
        <x:v>45514.05810185185</x:v>
      </x:c>
      <x:c r="C1432" s="27" t="n">
        <x:f>INT(B1432)</x:f>
        <x:v>45514</x:v>
      </x:c>
      <x:c r="D1432" s="28" t="n">
        <x:f>MOD(B1432,1)</x:f>
        <x:v>0.05810185184964212</x:v>
      </x:c>
      <x:c r="E1432" s="29" t="n">
        <x:f>YEAR(B1432)</x:f>
        <x:v>2024</x:v>
      </x:c>
      <x:c r="F1432" s="29" t="n">
        <x:f>MONTH(B1432)</x:f>
        <x:v>8</x:v>
      </x:c>
      <x:c r="G1432" s="30" t="n">
        <x:v>-31.86</x:v>
      </x:c>
      <x:c r="H1432" s="30" t="n">
        <x:v>-71.4</x:v>
      </x:c>
      <x:c r="I1432" s="29" t="n">
        <x:v>51</x:v>
      </x:c>
      <x:c r="J1432" s="31" t="n">
        <x:v>3.6</x:v>
      </x:c>
      <x:c r="K1432" s="25" t="str">
        <x:f>IF(J1432&gt;=7,"Muy fuerte (&gt;=7)",IF(J1432&gt;=6,"Fuerte (6-6.9)",IF(J1432&gt;=5,"Moderado alto (5-5.9)",IF(J1432&gt;=4,"Moderado (4-4.9)","Menor a 4"))))</x:f>
        <x:v>Menor a 4</x:v>
      </x:c>
      <x:c r="L1432" s="25" t="str">
        <x:f>IF(I1432&lt;70,"Superficial (&lt;70 km)",IF(I1432&lt;=300,"Intermedio (70-300 km)","Profundo (&gt;300 km)"))</x:f>
        <x:v>Superficial (&lt;70 km)</x:v>
      </x:c>
      <x:c r="M1432" s="25" t="str">
        <x:f>IF(J1432&gt;=5,"Sí","No")</x:f>
        <x:v>No</x:v>
      </x:c>
      <x:c r="N1432" s="25" t="str">
        <x:f>IF(J1432&gt;=6,"Sí","No")</x:f>
        <x:v>No</x:v>
      </x:c>
      <x:c r="O1432" s="25" t="str">
        <x:v>Pendiente: asignar con R/sf</x:v>
      </x:c>
    </x:row>
    <x:row r="1433">
      <x:c r="A1433" s="25" t="n">
        <x:v>1432</x:v>
      </x:c>
      <x:c r="B1433" s="26" t="n">
        <x:v>45537.04399305556</x:v>
      </x:c>
      <x:c r="C1433" s="27" t="n">
        <x:f>INT(B1433)</x:f>
        <x:v>45537</x:v>
      </x:c>
      <x:c r="D1433" s="28" t="n">
        <x:f>MOD(B1433,1)</x:f>
        <x:v>0.043993055558530614</x:v>
      </x:c>
      <x:c r="E1433" s="29" t="n">
        <x:f>YEAR(B1433)</x:f>
        <x:v>2024</x:v>
      </x:c>
      <x:c r="F1433" s="29" t="n">
        <x:f>MONTH(B1433)</x:f>
        <x:v>9</x:v>
      </x:c>
      <x:c r="G1433" s="30" t="n">
        <x:v>-31.85</x:v>
      </x:c>
      <x:c r="H1433" s="30" t="n">
        <x:v>-71.49</x:v>
      </x:c>
      <x:c r="I1433" s="29" t="n">
        <x:v>39</x:v>
      </x:c>
      <x:c r="J1433" s="31" t="n">
        <x:v>3.8</x:v>
      </x:c>
      <x:c r="K1433" s="25" t="str">
        <x:f>IF(J1433&gt;=7,"Muy fuerte (&gt;=7)",IF(J1433&gt;=6,"Fuerte (6-6.9)",IF(J1433&gt;=5,"Moderado alto (5-5.9)",IF(J1433&gt;=4,"Moderado (4-4.9)","Menor a 4"))))</x:f>
        <x:v>Menor a 4</x:v>
      </x:c>
      <x:c r="L1433" s="25" t="str">
        <x:f>IF(I1433&lt;70,"Superficial (&lt;70 km)",IF(I1433&lt;=300,"Intermedio (70-300 km)","Profundo (&gt;300 km)"))</x:f>
        <x:v>Superficial (&lt;70 km)</x:v>
      </x:c>
      <x:c r="M1433" s="25" t="str">
        <x:f>IF(J1433&gt;=5,"Sí","No")</x:f>
        <x:v>No</x:v>
      </x:c>
      <x:c r="N1433" s="25" t="str">
        <x:f>IF(J1433&gt;=6,"Sí","No")</x:f>
        <x:v>No</x:v>
      </x:c>
      <x:c r="O1433" s="25" t="str">
        <x:v>Pendiente: asignar con R/sf</x:v>
      </x:c>
    </x:row>
    <x:row r="1434">
      <x:c r="A1434" s="25" t="n">
        <x:v>1433</x:v>
      </x:c>
      <x:c r="B1434" s="26" t="n">
        <x:v>45710.00503472222</x:v>
      </x:c>
      <x:c r="C1434" s="27" t="n">
        <x:f>INT(B1434)</x:f>
        <x:v>45710</x:v>
      </x:c>
      <x:c r="D1434" s="28" t="n">
        <x:f>MOD(B1434,1)</x:f>
        <x:v>0.005034722220443655</x:v>
      </x:c>
      <x:c r="E1434" s="29" t="n">
        <x:f>YEAR(B1434)</x:f>
        <x:v>2025</x:v>
      </x:c>
      <x:c r="F1434" s="29" t="n">
        <x:f>MONTH(B1434)</x:f>
        <x:v>2</x:v>
      </x:c>
      <x:c r="G1434" s="30" t="n">
        <x:v>-31.79</x:v>
      </x:c>
      <x:c r="H1434" s="30" t="n">
        <x:v>-71.69</x:v>
      </x:c>
      <x:c r="I1434" s="29" t="n">
        <x:v>65</x:v>
      </x:c>
      <x:c r="J1434" s="31" t="n">
        <x:v>4.2</x:v>
      </x:c>
      <x:c r="K1434" s="25" t="str">
        <x:f>IF(J1434&gt;=7,"Muy fuerte (&gt;=7)",IF(J1434&gt;=6,"Fuerte (6-6.9)",IF(J1434&gt;=5,"Moderado alto (5-5.9)",IF(J1434&gt;=4,"Moderado (4-4.9)","Menor a 4"))))</x:f>
        <x:v>Moderado (4-4.9)</x:v>
      </x:c>
      <x:c r="L1434" s="25" t="str">
        <x:f>IF(I1434&lt;70,"Superficial (&lt;70 km)",IF(I1434&lt;=300,"Intermedio (70-300 km)","Profundo (&gt;300 km)"))</x:f>
        <x:v>Superficial (&lt;70 km)</x:v>
      </x:c>
      <x:c r="M1434" s="25" t="str">
        <x:f>IF(J1434&gt;=5,"Sí","No")</x:f>
        <x:v>No</x:v>
      </x:c>
      <x:c r="N1434" s="25" t="str">
        <x:f>IF(J1434&gt;=6,"Sí","No")</x:f>
        <x:v>No</x:v>
      </x:c>
      <x:c r="O1434" s="25" t="str">
        <x:v>Pendiente: asignar con R/sf</x:v>
      </x:c>
    </x:row>
    <x:row r="1435">
      <x:c r="A1435" s="25" t="n">
        <x:v>1434</x:v>
      </x:c>
      <x:c r="B1435" s="26" t="n">
        <x:v>45555.68268518519</x:v>
      </x:c>
      <x:c r="C1435" s="27" t="n">
        <x:f>INT(B1435)</x:f>
        <x:v>45555</x:v>
      </x:c>
      <x:c r="D1435" s="28" t="n">
        <x:f>MOD(B1435,1)</x:f>
        <x:v>0.682685185187438</x:v>
      </x:c>
      <x:c r="E1435" s="29" t="n">
        <x:f>YEAR(B1435)</x:f>
        <x:v>2024</x:v>
      </x:c>
      <x:c r="F1435" s="29" t="n">
        <x:f>MONTH(B1435)</x:f>
        <x:v>9</x:v>
      </x:c>
      <x:c r="G1435" s="30" t="n">
        <x:v>-29.22</x:v>
      </x:c>
      <x:c r="H1435" s="30" t="n">
        <x:v>-71.21</x:v>
      </x:c>
      <x:c r="I1435" s="29" t="n">
        <x:v>46</x:v>
      </x:c>
      <x:c r="J1435" s="31" t="n">
        <x:v>3.6</x:v>
      </x:c>
      <x:c r="K1435" s="25" t="str">
        <x:f>IF(J1435&gt;=7,"Muy fuerte (&gt;=7)",IF(J1435&gt;=6,"Fuerte (6-6.9)",IF(J1435&gt;=5,"Moderado alto (5-5.9)",IF(J1435&gt;=4,"Moderado (4-4.9)","Menor a 4"))))</x:f>
        <x:v>Menor a 4</x:v>
      </x:c>
      <x:c r="L1435" s="25" t="str">
        <x:f>IF(I1435&lt;70,"Superficial (&lt;70 km)",IF(I1435&lt;=300,"Intermedio (70-300 km)","Profundo (&gt;300 km)"))</x:f>
        <x:v>Superficial (&lt;70 km)</x:v>
      </x:c>
      <x:c r="M1435" s="25" t="str">
        <x:f>IF(J1435&gt;=5,"Sí","No")</x:f>
        <x:v>No</x:v>
      </x:c>
      <x:c r="N1435" s="25" t="str">
        <x:f>IF(J1435&gt;=6,"Sí","No")</x:f>
        <x:v>No</x:v>
      </x:c>
      <x:c r="O1435" s="25" t="str">
        <x:v>Pendiente: asignar con R/sf</x:v>
      </x:c>
    </x:row>
    <x:row r="1436">
      <x:c r="A1436" s="25" t="n">
        <x:v>1435</x:v>
      </x:c>
      <x:c r="B1436" s="26" t="n">
        <x:v>45606.92365740741</x:v>
      </x:c>
      <x:c r="C1436" s="27" t="n">
        <x:f>INT(B1436)</x:f>
        <x:v>45606</x:v>
      </x:c>
      <x:c r="D1436" s="28" t="n">
        <x:f>MOD(B1436,1)</x:f>
        <x:v>0.9236574074093369</x:v>
      </x:c>
      <x:c r="E1436" s="29" t="n">
        <x:f>YEAR(B1436)</x:f>
        <x:v>2024</x:v>
      </x:c>
      <x:c r="F1436" s="29" t="n">
        <x:f>MONTH(B1436)</x:f>
        <x:v>11</x:v>
      </x:c>
      <x:c r="G1436" s="30" t="n">
        <x:v>-29.8</x:v>
      </x:c>
      <x:c r="H1436" s="30" t="n">
        <x:v>-69.57</x:v>
      </x:c>
      <x:c r="I1436" s="29" t="n">
        <x:v>118</x:v>
      </x:c>
      <x:c r="J1436" s="31" t="n">
        <x:v>4.9</x:v>
      </x:c>
      <x:c r="K1436" s="25" t="str">
        <x:f>IF(J1436&gt;=7,"Muy fuerte (&gt;=7)",IF(J1436&gt;=6,"Fuerte (6-6.9)",IF(J1436&gt;=5,"Moderado alto (5-5.9)",IF(J1436&gt;=4,"Moderado (4-4.9)","Menor a 4"))))</x:f>
        <x:v>Moderado (4-4.9)</x:v>
      </x:c>
      <x:c r="L1436" s="25" t="str">
        <x:f>IF(I1436&lt;70,"Superficial (&lt;70 km)",IF(I1436&lt;=300,"Intermedio (70-300 km)","Profundo (&gt;300 km)"))</x:f>
        <x:v>Intermedio (70-300 km)</x:v>
      </x:c>
      <x:c r="M1436" s="25" t="str">
        <x:f>IF(J1436&gt;=5,"Sí","No")</x:f>
        <x:v>No</x:v>
      </x:c>
      <x:c r="N1436" s="25" t="str">
        <x:f>IF(J1436&gt;=6,"Sí","No")</x:f>
        <x:v>No</x:v>
      </x:c>
      <x:c r="O1436" s="25" t="str">
        <x:v>Pendiente: asignar con R/sf</x:v>
      </x:c>
    </x:row>
    <x:row r="1437">
      <x:c r="A1437" s="25" t="n">
        <x:v>1436</x:v>
      </x:c>
      <x:c r="B1437" s="26" t="n">
        <x:v>45667.54414351852</x:v>
      </x:c>
      <x:c r="C1437" s="27" t="n">
        <x:f>INT(B1437)</x:f>
        <x:v>45667</x:v>
      </x:c>
      <x:c r="D1437" s="28" t="n">
        <x:f>MOD(B1437,1)</x:f>
        <x:v>0.5441435185202863</x:v>
      </x:c>
      <x:c r="E1437" s="29" t="n">
        <x:f>YEAR(B1437)</x:f>
        <x:v>2025</x:v>
      </x:c>
      <x:c r="F1437" s="29" t="n">
        <x:f>MONTH(B1437)</x:f>
        <x:v>1</x:v>
      </x:c>
      <x:c r="G1437" s="30" t="n">
        <x:v>-29.46</x:v>
      </x:c>
      <x:c r="H1437" s="30" t="n">
        <x:v>-71.03</x:v>
      </x:c>
      <x:c r="I1437" s="29" t="n">
        <x:v>54</x:v>
      </x:c>
      <x:c r="J1437" s="31" t="n">
        <x:v>3.5</x:v>
      </x:c>
      <x:c r="K1437" s="25" t="str">
        <x:f>IF(J1437&gt;=7,"Muy fuerte (&gt;=7)",IF(J1437&gt;=6,"Fuerte (6-6.9)",IF(J1437&gt;=5,"Moderado alto (5-5.9)",IF(J1437&gt;=4,"Moderado (4-4.9)","Menor a 4"))))</x:f>
        <x:v>Menor a 4</x:v>
      </x:c>
      <x:c r="L1437" s="25" t="str">
        <x:f>IF(I1437&lt;70,"Superficial (&lt;70 km)",IF(I1437&lt;=300,"Intermedio (70-300 km)","Profundo (&gt;300 km)"))</x:f>
        <x:v>Superficial (&lt;70 km)</x:v>
      </x:c>
      <x:c r="M1437" s="25" t="str">
        <x:f>IF(J1437&gt;=5,"Sí","No")</x:f>
        <x:v>No</x:v>
      </x:c>
      <x:c r="N1437" s="25" t="str">
        <x:f>IF(J1437&gt;=6,"Sí","No")</x:f>
        <x:v>No</x:v>
      </x:c>
      <x:c r="O1437" s="25" t="str">
        <x:v>Pendiente: asignar con R/sf</x:v>
      </x:c>
    </x:row>
    <x:row r="1438">
      <x:c r="A1438" s="25" t="n">
        <x:v>1437</x:v>
      </x:c>
      <x:c r="B1438" s="26" t="n">
        <x:v>45696.13633101852</x:v>
      </x:c>
      <x:c r="C1438" s="27" t="n">
        <x:f>INT(B1438)</x:f>
        <x:v>45696</x:v>
      </x:c>
      <x:c r="D1438" s="28" t="n">
        <x:f>MOD(B1438,1)</x:f>
        <x:v>0.13633101851883112</x:v>
      </x:c>
      <x:c r="E1438" s="29" t="n">
        <x:f>YEAR(B1438)</x:f>
        <x:v>2025</x:v>
      </x:c>
      <x:c r="F1438" s="29" t="n">
        <x:f>MONTH(B1438)</x:f>
        <x:v>2</x:v>
      </x:c>
      <x:c r="G1438" s="30" t="n">
        <x:v>-29.54</x:v>
      </x:c>
      <x:c r="H1438" s="30" t="n">
        <x:v>-71.79</x:v>
      </x:c>
      <x:c r="I1438" s="29" t="n">
        <x:v>50</x:v>
      </x:c>
      <x:c r="J1438" s="31" t="n">
        <x:v>4.2</x:v>
      </x:c>
      <x:c r="K1438" s="25" t="str">
        <x:f>IF(J1438&gt;=7,"Muy fuerte (&gt;=7)",IF(J1438&gt;=6,"Fuerte (6-6.9)",IF(J1438&gt;=5,"Moderado alto (5-5.9)",IF(J1438&gt;=4,"Moderado (4-4.9)","Menor a 4"))))</x:f>
        <x:v>Moderado (4-4.9)</x:v>
      </x:c>
      <x:c r="L1438" s="25" t="str">
        <x:f>IF(I1438&lt;70,"Superficial (&lt;70 km)",IF(I1438&lt;=300,"Intermedio (70-300 km)","Profundo (&gt;300 km)"))</x:f>
        <x:v>Superficial (&lt;70 km)</x:v>
      </x:c>
      <x:c r="M1438" s="25" t="str">
        <x:f>IF(J1438&gt;=5,"Sí","No")</x:f>
        <x:v>No</x:v>
      </x:c>
      <x:c r="N1438" s="25" t="str">
        <x:f>IF(J1438&gt;=6,"Sí","No")</x:f>
        <x:v>No</x:v>
      </x:c>
      <x:c r="O1438" s="25" t="str">
        <x:v>Pendiente: asignar con R/sf</x:v>
      </x:c>
    </x:row>
    <x:row r="1439">
      <x:c r="A1439" s="25" t="n">
        <x:v>1438</x:v>
      </x:c>
      <x:c r="B1439" s="26" t="n">
        <x:v>45255.712488425925</x:v>
      </x:c>
      <x:c r="C1439" s="27" t="n">
        <x:f>INT(B1439)</x:f>
        <x:v>45255</x:v>
      </x:c>
      <x:c r="D1439" s="28" t="n">
        <x:f>MOD(B1439,1)</x:f>
        <x:v>0.7124884259246755</x:v>
      </x:c>
      <x:c r="E1439" s="29" t="n">
        <x:f>YEAR(B1439)</x:f>
        <x:v>2023</x:v>
      </x:c>
      <x:c r="F1439" s="29" t="n">
        <x:f>MONTH(B1439)</x:f>
        <x:v>11</x:v>
      </x:c>
      <x:c r="G1439" s="30" t="n">
        <x:v>-29.67</x:v>
      </x:c>
      <x:c r="H1439" s="30" t="n">
        <x:v>-71.19</x:v>
      </x:c>
      <x:c r="I1439" s="29" t="n">
        <x:v>71</x:v>
      </x:c>
      <x:c r="J1439" s="31" t="n">
        <x:v>3.8</x:v>
      </x:c>
      <x:c r="K1439" s="25" t="str">
        <x:f>IF(J1439&gt;=7,"Muy fuerte (&gt;=7)",IF(J1439&gt;=6,"Fuerte (6-6.9)",IF(J1439&gt;=5,"Moderado alto (5-5.9)",IF(J1439&gt;=4,"Moderado (4-4.9)","Menor a 4"))))</x:f>
        <x:v>Menor a 4</x:v>
      </x:c>
      <x:c r="L1439" s="25" t="str">
        <x:f>IF(I1439&lt;70,"Superficial (&lt;70 km)",IF(I1439&lt;=300,"Intermedio (70-300 km)","Profundo (&gt;300 km)"))</x:f>
        <x:v>Intermedio (70-300 km)</x:v>
      </x:c>
      <x:c r="M1439" s="25" t="str">
        <x:f>IF(J1439&gt;=5,"Sí","No")</x:f>
        <x:v>No</x:v>
      </x:c>
      <x:c r="N1439" s="25" t="str">
        <x:f>IF(J1439&gt;=6,"Sí","No")</x:f>
        <x:v>No</x:v>
      </x:c>
      <x:c r="O1439" s="25" t="str">
        <x:v>Pendiente: asignar con R/sf</x:v>
      </x:c>
    </x:row>
    <x:row r="1440">
      <x:c r="A1440" s="25" t="n">
        <x:v>1439</x:v>
      </x:c>
      <x:c r="B1440" s="26" t="n">
        <x:v>44741.53125</x:v>
      </x:c>
      <x:c r="C1440" s="27" t="n">
        <x:f>INT(B1440)</x:f>
        <x:v>44741</x:v>
      </x:c>
      <x:c r="D1440" s="28" t="n">
        <x:f>MOD(B1440,1)</x:f>
        <x:v>0.53125</x:v>
      </x:c>
      <x:c r="E1440" s="29" t="n">
        <x:f>YEAR(B1440)</x:f>
        <x:v>2022</x:v>
      </x:c>
      <x:c r="F1440" s="29" t="n">
        <x:f>MONTH(B1440)</x:f>
        <x:v>6</x:v>
      </x:c>
      <x:c r="G1440" s="30" t="n">
        <x:v>-31.46</x:v>
      </x:c>
      <x:c r="H1440" s="30" t="n">
        <x:v>-71.48</x:v>
      </x:c>
      <x:c r="I1440" s="29" t="n">
        <x:v>58</x:v>
      </x:c>
      <x:c r="J1440" s="31" t="n">
        <x:v>3.7</x:v>
      </x:c>
      <x:c r="K1440" s="25" t="str">
        <x:f>IF(J1440&gt;=7,"Muy fuerte (&gt;=7)",IF(J1440&gt;=6,"Fuerte (6-6.9)",IF(J1440&gt;=5,"Moderado alto (5-5.9)",IF(J1440&gt;=4,"Moderado (4-4.9)","Menor a 4"))))</x:f>
        <x:v>Menor a 4</x:v>
      </x:c>
      <x:c r="L1440" s="25" t="str">
        <x:f>IF(I1440&lt;70,"Superficial (&lt;70 km)",IF(I1440&lt;=300,"Intermedio (70-300 km)","Profundo (&gt;300 km)"))</x:f>
        <x:v>Superficial (&lt;70 km)</x:v>
      </x:c>
      <x:c r="M1440" s="25" t="str">
        <x:f>IF(J1440&gt;=5,"Sí","No")</x:f>
        <x:v>No</x:v>
      </x:c>
      <x:c r="N1440" s="25" t="str">
        <x:f>IF(J1440&gt;=6,"Sí","No")</x:f>
        <x:v>No</x:v>
      </x:c>
      <x:c r="O1440" s="25" t="str">
        <x:v>Pendiente: asignar con R/sf</x:v>
      </x:c>
    </x:row>
    <x:row r="1441">
      <x:c r="A1441" s="25" t="n">
        <x:v>1440</x:v>
      </x:c>
      <x:c r="B1441" s="26" t="n">
        <x:v>45005.638877314814</x:v>
      </x:c>
      <x:c r="C1441" s="27" t="n">
        <x:f>INT(B1441)</x:f>
        <x:v>45005</x:v>
      </x:c>
      <x:c r="D1441" s="28" t="n">
        <x:f>MOD(B1441,1)</x:f>
        <x:v>0.6388773148137261</x:v>
      </x:c>
      <x:c r="E1441" s="29" t="n">
        <x:f>YEAR(B1441)</x:f>
        <x:v>2023</x:v>
      </x:c>
      <x:c r="F1441" s="29" t="n">
        <x:f>MONTH(B1441)</x:f>
        <x:v>3</x:v>
      </x:c>
      <x:c r="G1441" s="30" t="n">
        <x:v>-31.53</x:v>
      </x:c>
      <x:c r="H1441" s="30" t="n">
        <x:v>-71.74</x:v>
      </x:c>
      <x:c r="I1441" s="29" t="n">
        <x:v>38</x:v>
      </x:c>
      <x:c r="J1441" s="31" t="n">
        <x:v>3.6</x:v>
      </x:c>
      <x:c r="K1441" s="25" t="str">
        <x:f>IF(J1441&gt;=7,"Muy fuerte (&gt;=7)",IF(J1441&gt;=6,"Fuerte (6-6.9)",IF(J1441&gt;=5,"Moderado alto (5-5.9)",IF(J1441&gt;=4,"Moderado (4-4.9)","Menor a 4"))))</x:f>
        <x:v>Menor a 4</x:v>
      </x:c>
      <x:c r="L1441" s="25" t="str">
        <x:f>IF(I1441&lt;70,"Superficial (&lt;70 km)",IF(I1441&lt;=300,"Intermedio (70-300 km)","Profundo (&gt;300 km)"))</x:f>
        <x:v>Superficial (&lt;70 km)</x:v>
      </x:c>
      <x:c r="M1441" s="25" t="str">
        <x:f>IF(J1441&gt;=5,"Sí","No")</x:f>
        <x:v>No</x:v>
      </x:c>
      <x:c r="N1441" s="25" t="str">
        <x:f>IF(J1441&gt;=6,"Sí","No")</x:f>
        <x:v>No</x:v>
      </x:c>
      <x:c r="O1441" s="25" t="str">
        <x:v>Pendiente: asignar con R/sf</x:v>
      </x:c>
    </x:row>
    <x:row r="1442">
      <x:c r="A1442" s="25" t="n">
        <x:v>1441</x:v>
      </x:c>
      <x:c r="B1442" s="26" t="n">
        <x:v>45027.68003472222</x:v>
      </x:c>
      <x:c r="C1442" s="27" t="n">
        <x:f>INT(B1442)</x:f>
        <x:v>45027</x:v>
      </x:c>
      <x:c r="D1442" s="28" t="n">
        <x:f>MOD(B1442,1)</x:f>
        <x:v>0.680034722223354</x:v>
      </x:c>
      <x:c r="E1442" s="29" t="n">
        <x:f>YEAR(B1442)</x:f>
        <x:v>2023</x:v>
      </x:c>
      <x:c r="F1442" s="29" t="n">
        <x:f>MONTH(B1442)</x:f>
        <x:v>4</x:v>
      </x:c>
      <x:c r="G1442" s="30" t="n">
        <x:v>-31.48</x:v>
      </x:c>
      <x:c r="H1442" s="30" t="n">
        <x:v>-71.71</x:v>
      </x:c>
      <x:c r="I1442" s="29" t="n">
        <x:v>34</x:v>
      </x:c>
      <x:c r="J1442" s="31" t="n">
        <x:v>4.3</x:v>
      </x:c>
      <x:c r="K1442" s="25" t="str">
        <x:f>IF(J1442&gt;=7,"Muy fuerte (&gt;=7)",IF(J1442&gt;=6,"Fuerte (6-6.9)",IF(J1442&gt;=5,"Moderado alto (5-5.9)",IF(J1442&gt;=4,"Moderado (4-4.9)","Menor a 4"))))</x:f>
        <x:v>Moderado (4-4.9)</x:v>
      </x:c>
      <x:c r="L1442" s="25" t="str">
        <x:f>IF(I1442&lt;70,"Superficial (&lt;70 km)",IF(I1442&lt;=300,"Intermedio (70-300 km)","Profundo (&gt;300 km)"))</x:f>
        <x:v>Superficial (&lt;70 km)</x:v>
      </x:c>
      <x:c r="M1442" s="25" t="str">
        <x:f>IF(J1442&gt;=5,"Sí","No")</x:f>
        <x:v>No</x:v>
      </x:c>
      <x:c r="N1442" s="25" t="str">
        <x:f>IF(J1442&gt;=6,"Sí","No")</x:f>
        <x:v>No</x:v>
      </x:c>
      <x:c r="O1442" s="25" t="str">
        <x:v>Pendiente: asignar con R/sf</x:v>
      </x:c>
    </x:row>
    <x:row r="1443">
      <x:c r="A1443" s="25" t="n">
        <x:v>1442</x:v>
      </x:c>
      <x:c r="B1443" s="26" t="n">
        <x:v>45036.35949074074</x:v>
      </x:c>
      <x:c r="C1443" s="27" t="n">
        <x:f>INT(B1443)</x:f>
        <x:v>45036</x:v>
      </x:c>
      <x:c r="D1443" s="28" t="n">
        <x:f>MOD(B1443,1)</x:f>
        <x:v>0.3594907407386927</x:v>
      </x:c>
      <x:c r="E1443" s="29" t="n">
        <x:f>YEAR(B1443)</x:f>
        <x:v>2023</x:v>
      </x:c>
      <x:c r="F1443" s="29" t="n">
        <x:f>MONTH(B1443)</x:f>
        <x:v>4</x:v>
      </x:c>
      <x:c r="G1443" s="30" t="n">
        <x:v>-31.48</x:v>
      </x:c>
      <x:c r="H1443" s="30" t="n">
        <x:v>-71.64</x:v>
      </x:c>
      <x:c r="I1443" s="29" t="n">
        <x:v>38</x:v>
      </x:c>
      <x:c r="J1443" s="31" t="n">
        <x:v>4</x:v>
      </x:c>
      <x:c r="K1443" s="25" t="str">
        <x:f>IF(J1443&gt;=7,"Muy fuerte (&gt;=7)",IF(J1443&gt;=6,"Fuerte (6-6.9)",IF(J1443&gt;=5,"Moderado alto (5-5.9)",IF(J1443&gt;=4,"Moderado (4-4.9)","Menor a 4"))))</x:f>
        <x:v>Moderado (4-4.9)</x:v>
      </x:c>
      <x:c r="L1443" s="25" t="str">
        <x:f>IF(I1443&lt;70,"Superficial (&lt;70 km)",IF(I1443&lt;=300,"Intermedio (70-300 km)","Profundo (&gt;300 km)"))</x:f>
        <x:v>Superficial (&lt;70 km)</x:v>
      </x:c>
      <x:c r="M1443" s="25" t="str">
        <x:f>IF(J1443&gt;=5,"Sí","No")</x:f>
        <x:v>No</x:v>
      </x:c>
      <x:c r="N1443" s="25" t="str">
        <x:f>IF(J1443&gt;=6,"Sí","No")</x:f>
        <x:v>No</x:v>
      </x:c>
      <x:c r="O1443" s="25" t="str">
        <x:v>Pendiente: asignar con R/sf</x:v>
      </x:c>
    </x:row>
    <x:row r="1444">
      <x:c r="A1444" s="25" t="n">
        <x:v>1443</x:v>
      </x:c>
      <x:c r="B1444" s="26" t="n">
        <x:v>45175.24998842592</x:v>
      </x:c>
      <x:c r="C1444" s="27" t="n">
        <x:f>INT(B1444)</x:f>
        <x:v>45175</x:v>
      </x:c>
      <x:c r="D1444" s="28" t="n">
        <x:f>MOD(B1444,1)</x:f>
        <x:v>0.24998842592322035</x:v>
      </x:c>
      <x:c r="E1444" s="29" t="n">
        <x:f>YEAR(B1444)</x:f>
        <x:v>2023</x:v>
      </x:c>
      <x:c r="F1444" s="29" t="n">
        <x:f>MONTH(B1444)</x:f>
        <x:v>9</x:v>
      </x:c>
      <x:c r="G1444" s="30" t="n">
        <x:v>-31.65</x:v>
      </x:c>
      <x:c r="H1444" s="30" t="n">
        <x:v>-71.7</x:v>
      </x:c>
      <x:c r="I1444" s="29" t="n">
        <x:v>26</x:v>
      </x:c>
      <x:c r="J1444" s="31" t="n">
        <x:v>3.7</x:v>
      </x:c>
      <x:c r="K1444" s="25" t="str">
        <x:f>IF(J1444&gt;=7,"Muy fuerte (&gt;=7)",IF(J1444&gt;=6,"Fuerte (6-6.9)",IF(J1444&gt;=5,"Moderado alto (5-5.9)",IF(J1444&gt;=4,"Moderado (4-4.9)","Menor a 4"))))</x:f>
        <x:v>Menor a 4</x:v>
      </x:c>
      <x:c r="L1444" s="25" t="str">
        <x:f>IF(I1444&lt;70,"Superficial (&lt;70 km)",IF(I1444&lt;=300,"Intermedio (70-300 km)","Profundo (&gt;300 km)"))</x:f>
        <x:v>Superficial (&lt;70 km)</x:v>
      </x:c>
      <x:c r="M1444" s="25" t="str">
        <x:f>IF(J1444&gt;=5,"Sí","No")</x:f>
        <x:v>No</x:v>
      </x:c>
      <x:c r="N1444" s="25" t="str">
        <x:f>IF(J1444&gt;=6,"Sí","No")</x:f>
        <x:v>No</x:v>
      </x:c>
      <x:c r="O1444" s="25" t="str">
        <x:v>Pendiente: asignar con R/sf</x:v>
      </x:c>
    </x:row>
    <x:row r="1445">
      <x:c r="A1445" s="25" t="n">
        <x:v>1444</x:v>
      </x:c>
      <x:c r="B1445" s="26" t="n">
        <x:v>45353.002488425926</x:v>
      </x:c>
      <x:c r="C1445" s="27" t="n">
        <x:f>INT(B1445)</x:f>
        <x:v>45353</x:v>
      </x:c>
      <x:c r="D1445" s="28" t="n">
        <x:f>MOD(B1445,1)</x:f>
        <x:v>0.002488425925548654</x:v>
      </x:c>
      <x:c r="E1445" s="29" t="n">
        <x:f>YEAR(B1445)</x:f>
        <x:v>2024</x:v>
      </x:c>
      <x:c r="F1445" s="29" t="n">
        <x:f>MONTH(B1445)</x:f>
        <x:v>3</x:v>
      </x:c>
      <x:c r="G1445" s="30" t="n">
        <x:v>-31.66</x:v>
      </x:c>
      <x:c r="H1445" s="30" t="n">
        <x:v>-71.65</x:v>
      </x:c>
      <x:c r="I1445" s="29" t="n">
        <x:v>32</x:v>
      </x:c>
      <x:c r="J1445" s="31" t="n">
        <x:v>3.8</x:v>
      </x:c>
      <x:c r="K1445" s="25" t="str">
        <x:f>IF(J1445&gt;=7,"Muy fuerte (&gt;=7)",IF(J1445&gt;=6,"Fuerte (6-6.9)",IF(J1445&gt;=5,"Moderado alto (5-5.9)",IF(J1445&gt;=4,"Moderado (4-4.9)","Menor a 4"))))</x:f>
        <x:v>Menor a 4</x:v>
      </x:c>
      <x:c r="L1445" s="25" t="str">
        <x:f>IF(I1445&lt;70,"Superficial (&lt;70 km)",IF(I1445&lt;=300,"Intermedio (70-300 km)","Profundo (&gt;300 km)"))</x:f>
        <x:v>Superficial (&lt;70 km)</x:v>
      </x:c>
      <x:c r="M1445" s="25" t="str">
        <x:f>IF(J1445&gt;=5,"Sí","No")</x:f>
        <x:v>No</x:v>
      </x:c>
      <x:c r="N1445" s="25" t="str">
        <x:f>IF(J1445&gt;=6,"Sí","No")</x:f>
        <x:v>No</x:v>
      </x:c>
      <x:c r="O1445" s="25" t="str">
        <x:v>Pendiente: asignar con R/sf</x:v>
      </x:c>
    </x:row>
    <x:row r="1446">
      <x:c r="A1446" s="25" t="n">
        <x:v>1445</x:v>
      </x:c>
      <x:c r="B1446" s="26" t="n">
        <x:v>45460.696875</x:v>
      </x:c>
      <x:c r="C1446" s="27" t="n">
        <x:f>INT(B1446)</x:f>
        <x:v>45460</x:v>
      </x:c>
      <x:c r="D1446" s="28" t="n">
        <x:f>MOD(B1446,1)</x:f>
        <x:v>0.6968750000014552</x:v>
      </x:c>
      <x:c r="E1446" s="29" t="n">
        <x:f>YEAR(B1446)</x:f>
        <x:v>2024</x:v>
      </x:c>
      <x:c r="F1446" s="29" t="n">
        <x:f>MONTH(B1446)</x:f>
        <x:v>6</x:v>
      </x:c>
      <x:c r="G1446" s="30" t="n">
        <x:v>-31.71</x:v>
      </x:c>
      <x:c r="H1446" s="30" t="n">
        <x:v>-71.68</x:v>
      </x:c>
      <x:c r="I1446" s="29" t="n">
        <x:v>32</x:v>
      </x:c>
      <x:c r="J1446" s="31" t="n">
        <x:v>3.4</x:v>
      </x:c>
      <x:c r="K1446" s="25" t="str">
        <x:f>IF(J1446&gt;=7,"Muy fuerte (&gt;=7)",IF(J1446&gt;=6,"Fuerte (6-6.9)",IF(J1446&gt;=5,"Moderado alto (5-5.9)",IF(J1446&gt;=4,"Moderado (4-4.9)","Menor a 4"))))</x:f>
        <x:v>Menor a 4</x:v>
      </x:c>
      <x:c r="L1446" s="25" t="str">
        <x:f>IF(I1446&lt;70,"Superficial (&lt;70 km)",IF(I1446&lt;=300,"Intermedio (70-300 km)","Profundo (&gt;300 km)"))</x:f>
        <x:v>Superficial (&lt;70 km)</x:v>
      </x:c>
      <x:c r="M1446" s="25" t="str">
        <x:f>IF(J1446&gt;=5,"Sí","No")</x:f>
        <x:v>No</x:v>
      </x:c>
      <x:c r="N1446" s="25" t="str">
        <x:f>IF(J1446&gt;=6,"Sí","No")</x:f>
        <x:v>No</x:v>
      </x:c>
      <x:c r="O1446" s="25" t="str">
        <x:v>Pendiente: asignar con R/sf</x:v>
      </x:c>
    </x:row>
    <x:row r="1447">
      <x:c r="A1447" s="25" t="n">
        <x:v>1446</x:v>
      </x:c>
      <x:c r="B1447" s="26" t="n">
        <x:v>45467.4269212963</x:v>
      </x:c>
      <x:c r="C1447" s="27" t="n">
        <x:f>INT(B1447)</x:f>
        <x:v>45467</x:v>
      </x:c>
      <x:c r="D1447" s="28" t="n">
        <x:f>MOD(B1447,1)</x:f>
        <x:v>0.4269212962972233</x:v>
      </x:c>
      <x:c r="E1447" s="29" t="n">
        <x:f>YEAR(B1447)</x:f>
        <x:v>2024</x:v>
      </x:c>
      <x:c r="F1447" s="29" t="n">
        <x:f>MONTH(B1447)</x:f>
        <x:v>6</x:v>
      </x:c>
      <x:c r="G1447" s="30" t="n">
        <x:v>-31.43</x:v>
      </x:c>
      <x:c r="H1447" s="30" t="n">
        <x:v>-71.67</x:v>
      </x:c>
      <x:c r="I1447" s="29" t="n">
        <x:v>51</x:v>
      </x:c>
      <x:c r="J1447" s="31" t="n">
        <x:v>3.9</x:v>
      </x:c>
      <x:c r="K1447" s="25" t="str">
        <x:f>IF(J1447&gt;=7,"Muy fuerte (&gt;=7)",IF(J1447&gt;=6,"Fuerte (6-6.9)",IF(J1447&gt;=5,"Moderado alto (5-5.9)",IF(J1447&gt;=4,"Moderado (4-4.9)","Menor a 4"))))</x:f>
        <x:v>Menor a 4</x:v>
      </x:c>
      <x:c r="L1447" s="25" t="str">
        <x:f>IF(I1447&lt;70,"Superficial (&lt;70 km)",IF(I1447&lt;=300,"Intermedio (70-300 km)","Profundo (&gt;300 km)"))</x:f>
        <x:v>Superficial (&lt;70 km)</x:v>
      </x:c>
      <x:c r="M1447" s="25" t="str">
        <x:f>IF(J1447&gt;=5,"Sí","No")</x:f>
        <x:v>No</x:v>
      </x:c>
      <x:c r="N1447" s="25" t="str">
        <x:f>IF(J1447&gt;=6,"Sí","No")</x:f>
        <x:v>No</x:v>
      </x:c>
      <x:c r="O1447" s="25" t="str">
        <x:v>Pendiente: asignar con R/sf</x:v>
      </x:c>
    </x:row>
    <x:row r="1448">
      <x:c r="A1448" s="25" t="n">
        <x:v>1447</x:v>
      </x:c>
      <x:c r="B1448" s="26" t="n">
        <x:v>45527.07975694445</x:v>
      </x:c>
      <x:c r="C1448" s="27" t="n">
        <x:f>INT(B1448)</x:f>
        <x:v>45527</x:v>
      </x:c>
      <x:c r="D1448" s="28" t="n">
        <x:f>MOD(B1448,1)</x:f>
        <x:v>0.07975694444758119</x:v>
      </x:c>
      <x:c r="E1448" s="29" t="n">
        <x:f>YEAR(B1448)</x:f>
        <x:v>2024</x:v>
      </x:c>
      <x:c r="F1448" s="29" t="n">
        <x:f>MONTH(B1448)</x:f>
        <x:v>8</x:v>
      </x:c>
      <x:c r="G1448" s="30" t="n">
        <x:v>-31.47</x:v>
      </x:c>
      <x:c r="H1448" s="30" t="n">
        <x:v>-70.87</x:v>
      </x:c>
      <x:c r="I1448" s="29" t="n">
        <x:v>105</x:v>
      </x:c>
      <x:c r="J1448" s="31" t="n">
        <x:v>4</x:v>
      </x:c>
      <x:c r="K1448" s="25" t="str">
        <x:f>IF(J1448&gt;=7,"Muy fuerte (&gt;=7)",IF(J1448&gt;=6,"Fuerte (6-6.9)",IF(J1448&gt;=5,"Moderado alto (5-5.9)",IF(J1448&gt;=4,"Moderado (4-4.9)","Menor a 4"))))</x:f>
        <x:v>Moderado (4-4.9)</x:v>
      </x:c>
      <x:c r="L1448" s="25" t="str">
        <x:f>IF(I1448&lt;70,"Superficial (&lt;70 km)",IF(I1448&lt;=300,"Intermedio (70-300 km)","Profundo (&gt;300 km)"))</x:f>
        <x:v>Intermedio (70-300 km)</x:v>
      </x:c>
      <x:c r="M1448" s="25" t="str">
        <x:f>IF(J1448&gt;=5,"Sí","No")</x:f>
        <x:v>No</x:v>
      </x:c>
      <x:c r="N1448" s="25" t="str">
        <x:f>IF(J1448&gt;=6,"Sí","No")</x:f>
        <x:v>No</x:v>
      </x:c>
      <x:c r="O1448" s="25" t="str">
        <x:v>Pendiente: asignar con R/sf</x:v>
      </x:c>
    </x:row>
    <x:row r="1449">
      <x:c r="A1449" s="25" t="n">
        <x:v>1448</x:v>
      </x:c>
      <x:c r="B1449" s="26" t="n">
        <x:v>45602.118368055555</x:v>
      </x:c>
      <x:c r="C1449" s="27" t="n">
        <x:f>INT(B1449)</x:f>
        <x:v>45602</x:v>
      </x:c>
      <x:c r="D1449" s="28" t="n">
        <x:f>MOD(B1449,1)</x:f>
        <x:v>0.11836805555503815</x:v>
      </x:c>
      <x:c r="E1449" s="29" t="n">
        <x:f>YEAR(B1449)</x:f>
        <x:v>2024</x:v>
      </x:c>
      <x:c r="F1449" s="29" t="n">
        <x:f>MONTH(B1449)</x:f>
        <x:v>11</x:v>
      </x:c>
      <x:c r="G1449" s="30" t="n">
        <x:v>-31.72</x:v>
      </x:c>
      <x:c r="H1449" s="30" t="n">
        <x:v>-71.48</x:v>
      </x:c>
      <x:c r="I1449" s="29" t="n">
        <x:v>45</x:v>
      </x:c>
      <x:c r="J1449" s="31" t="n">
        <x:v>4</x:v>
      </x:c>
      <x:c r="K1449" s="25" t="str">
        <x:f>IF(J1449&gt;=7,"Muy fuerte (&gt;=7)",IF(J1449&gt;=6,"Fuerte (6-6.9)",IF(J1449&gt;=5,"Moderado alto (5-5.9)",IF(J1449&gt;=4,"Moderado (4-4.9)","Menor a 4"))))</x:f>
        <x:v>Moderado (4-4.9)</x:v>
      </x:c>
      <x:c r="L1449" s="25" t="str">
        <x:f>IF(I1449&lt;70,"Superficial (&lt;70 km)",IF(I1449&lt;=300,"Intermedio (70-300 km)","Profundo (&gt;300 km)"))</x:f>
        <x:v>Superficial (&lt;70 km)</x:v>
      </x:c>
      <x:c r="M1449" s="25" t="str">
        <x:f>IF(J1449&gt;=5,"Sí","No")</x:f>
        <x:v>No</x:v>
      </x:c>
      <x:c r="N1449" s="25" t="str">
        <x:f>IF(J1449&gt;=6,"Sí","No")</x:f>
        <x:v>No</x:v>
      </x:c>
      <x:c r="O1449" s="25" t="str">
        <x:v>Pendiente: asignar con R/sf</x:v>
      </x:c>
    </x:row>
    <x:row r="1450">
      <x:c r="A1450" s="25" t="n">
        <x:v>1449</x:v>
      </x:c>
      <x:c r="B1450" s="26" t="n">
        <x:v>45615.35724537037</x:v>
      </x:c>
      <x:c r="C1450" s="27" t="n">
        <x:f>INT(B1450)</x:f>
        <x:v>45615</x:v>
      </x:c>
      <x:c r="D1450" s="28" t="n">
        <x:f>MOD(B1450,1)</x:f>
        <x:v>0.3572453703673091</x:v>
      </x:c>
      <x:c r="E1450" s="29" t="n">
        <x:f>YEAR(B1450)</x:f>
        <x:v>2024</x:v>
      </x:c>
      <x:c r="F1450" s="29" t="n">
        <x:f>MONTH(B1450)</x:f>
        <x:v>11</x:v>
      </x:c>
      <x:c r="G1450" s="30" t="n">
        <x:v>-31.71</x:v>
      </x:c>
      <x:c r="H1450" s="30" t="n">
        <x:v>-71.26</x:v>
      </x:c>
      <x:c r="I1450" s="29" t="n">
        <x:v>52</x:v>
      </x:c>
      <x:c r="J1450" s="31" t="n">
        <x:v>4</x:v>
      </x:c>
      <x:c r="K1450" s="25" t="str">
        <x:f>IF(J1450&gt;=7,"Muy fuerte (&gt;=7)",IF(J1450&gt;=6,"Fuerte (6-6.9)",IF(J1450&gt;=5,"Moderado alto (5-5.9)",IF(J1450&gt;=4,"Moderado (4-4.9)","Menor a 4"))))</x:f>
        <x:v>Moderado (4-4.9)</x:v>
      </x:c>
      <x:c r="L1450" s="25" t="str">
        <x:f>IF(I1450&lt;70,"Superficial (&lt;70 km)",IF(I1450&lt;=300,"Intermedio (70-300 km)","Profundo (&gt;300 km)"))</x:f>
        <x:v>Superficial (&lt;70 km)</x:v>
      </x:c>
      <x:c r="M1450" s="25" t="str">
        <x:f>IF(J1450&gt;=5,"Sí","No")</x:f>
        <x:v>No</x:v>
      </x:c>
      <x:c r="N1450" s="25" t="str">
        <x:f>IF(J1450&gt;=6,"Sí","No")</x:f>
        <x:v>No</x:v>
      </x:c>
      <x:c r="O1450" s="25" t="str">
        <x:v>Pendiente: asignar con R/sf</x:v>
      </x:c>
    </x:row>
    <x:row r="1451">
      <x:c r="A1451" s="25" t="n">
        <x:v>1450</x:v>
      </x:c>
      <x:c r="B1451" s="26" t="n">
        <x:v>45685.59469907408</x:v>
      </x:c>
      <x:c r="C1451" s="27" t="n">
        <x:f>INT(B1451)</x:f>
        <x:v>45685</x:v>
      </x:c>
      <x:c r="D1451" s="28" t="n">
        <x:f>MOD(B1451,1)</x:f>
        <x:v>0.5946990740776528</x:v>
      </x:c>
      <x:c r="E1451" s="29" t="n">
        <x:f>YEAR(B1451)</x:f>
        <x:v>2025</x:v>
      </x:c>
      <x:c r="F1451" s="29" t="n">
        <x:f>MONTH(B1451)</x:f>
        <x:v>1</x:v>
      </x:c>
      <x:c r="G1451" s="30" t="n">
        <x:v>-31.33</x:v>
      </x:c>
      <x:c r="H1451" s="30" t="n">
        <x:v>-70.74</x:v>
      </x:c>
      <x:c r="I1451" s="29" t="n">
        <x:v>109</x:v>
      </x:c>
      <x:c r="J1451" s="31" t="n">
        <x:v>4.3</x:v>
      </x:c>
      <x:c r="K1451" s="25" t="str">
        <x:f>IF(J1451&gt;=7,"Muy fuerte (&gt;=7)",IF(J1451&gt;=6,"Fuerte (6-6.9)",IF(J1451&gt;=5,"Moderado alto (5-5.9)",IF(J1451&gt;=4,"Moderado (4-4.9)","Menor a 4"))))</x:f>
        <x:v>Moderado (4-4.9)</x:v>
      </x:c>
      <x:c r="L1451" s="25" t="str">
        <x:f>IF(I1451&lt;70,"Superficial (&lt;70 km)",IF(I1451&lt;=300,"Intermedio (70-300 km)","Profundo (&gt;300 km)"))</x:f>
        <x:v>Intermedio (70-300 km)</x:v>
      </x:c>
      <x:c r="M1451" s="25" t="str">
        <x:f>IF(J1451&gt;=5,"Sí","No")</x:f>
        <x:v>No</x:v>
      </x:c>
      <x:c r="N1451" s="25" t="str">
        <x:f>IF(J1451&gt;=6,"Sí","No")</x:f>
        <x:v>No</x:v>
      </x:c>
      <x:c r="O1451" s="25" t="str">
        <x:v>Pendiente: asignar con R/sf</x:v>
      </x:c>
    </x:row>
    <x:row r="1452">
      <x:c r="A1452" s="25" t="n">
        <x:v>1451</x:v>
      </x:c>
      <x:c r="B1452" s="26" t="n">
        <x:v>45759.95133101852</x:v>
      </x:c>
      <x:c r="C1452" s="27" t="n">
        <x:f>INT(B1452)</x:f>
        <x:v>45759</x:v>
      </x:c>
      <x:c r="D1452" s="28" t="n">
        <x:f>MOD(B1452,1)</x:f>
        <x:v>0.9513310185211594</x:v>
      </x:c>
      <x:c r="E1452" s="29" t="n">
        <x:f>YEAR(B1452)</x:f>
        <x:v>2025</x:v>
      </x:c>
      <x:c r="F1452" s="29" t="n">
        <x:f>MONTH(B1452)</x:f>
        <x:v>4</x:v>
      </x:c>
      <x:c r="G1452" s="30" t="n">
        <x:v>-31.54</x:v>
      </x:c>
      <x:c r="H1452" s="30" t="n">
        <x:v>-71.29</x:v>
      </x:c>
      <x:c r="I1452" s="29" t="n">
        <x:v>40</x:v>
      </x:c>
      <x:c r="J1452" s="31" t="n">
        <x:v>4.5</x:v>
      </x:c>
      <x:c r="K1452" s="25" t="str">
        <x:f>IF(J1452&gt;=7,"Muy fuerte (&gt;=7)",IF(J1452&gt;=6,"Fuerte (6-6.9)",IF(J1452&gt;=5,"Moderado alto (5-5.9)",IF(J1452&gt;=4,"Moderado (4-4.9)","Menor a 4"))))</x:f>
        <x:v>Moderado (4-4.9)</x:v>
      </x:c>
      <x:c r="L1452" s="25" t="str">
        <x:f>IF(I1452&lt;70,"Superficial (&lt;70 km)",IF(I1452&lt;=300,"Intermedio (70-300 km)","Profundo (&gt;300 km)"))</x:f>
        <x:v>Superficial (&lt;70 km)</x:v>
      </x:c>
      <x:c r="M1452" s="25" t="str">
        <x:f>IF(J1452&gt;=5,"Sí","No")</x:f>
        <x:v>No</x:v>
      </x:c>
      <x:c r="N1452" s="25" t="str">
        <x:f>IF(J1452&gt;=6,"Sí","No")</x:f>
        <x:v>No</x:v>
      </x:c>
      <x:c r="O1452" s="25" t="str">
        <x:v>Pendiente: asignar con R/sf</x:v>
      </x:c>
    </x:row>
    <x:row r="1453">
      <x:c r="A1453" s="25" t="n">
        <x:v>1452</x:v>
      </x:c>
      <x:c r="B1453" s="26" t="n">
        <x:v>45806.64140046296</x:v>
      </x:c>
      <x:c r="C1453" s="27" t="n">
        <x:f>INT(B1453)</x:f>
        <x:v>45806</x:v>
      </x:c>
      <x:c r="D1453" s="28" t="n">
        <x:f>MOD(B1453,1)</x:f>
        <x:v>0.6414004629623378</x:v>
      </x:c>
      <x:c r="E1453" s="29" t="n">
        <x:f>YEAR(B1453)</x:f>
        <x:v>2025</x:v>
      </x:c>
      <x:c r="F1453" s="29" t="n">
        <x:f>MONTH(B1453)</x:f>
        <x:v>5</x:v>
      </x:c>
      <x:c r="G1453" s="30" t="n">
        <x:v>-31.47</x:v>
      </x:c>
      <x:c r="H1453" s="30" t="n">
        <x:v>-71.64</x:v>
      </x:c>
      <x:c r="I1453" s="29" t="n">
        <x:v>36</x:v>
      </x:c>
      <x:c r="J1453" s="31" t="n">
        <x:v>3.6</x:v>
      </x:c>
      <x:c r="K1453" s="25" t="str">
        <x:f>IF(J1453&gt;=7,"Muy fuerte (&gt;=7)",IF(J1453&gt;=6,"Fuerte (6-6.9)",IF(J1453&gt;=5,"Moderado alto (5-5.9)",IF(J1453&gt;=4,"Moderado (4-4.9)","Menor a 4"))))</x:f>
        <x:v>Menor a 4</x:v>
      </x:c>
      <x:c r="L1453" s="25" t="str">
        <x:f>IF(I1453&lt;70,"Superficial (&lt;70 km)",IF(I1453&lt;=300,"Intermedio (70-300 km)","Profundo (&gt;300 km)"))</x:f>
        <x:v>Superficial (&lt;70 km)</x:v>
      </x:c>
      <x:c r="M1453" s="25" t="str">
        <x:f>IF(J1453&gt;=5,"Sí","No")</x:f>
        <x:v>No</x:v>
      </x:c>
      <x:c r="N1453" s="25" t="str">
        <x:f>IF(J1453&gt;=6,"Sí","No")</x:f>
        <x:v>No</x:v>
      </x:c>
      <x:c r="O1453" s="25" t="str">
        <x:v>Pendiente: asignar con R/sf</x:v>
      </x:c>
    </x:row>
    <x:row r="1454">
      <x:c r="A1454" s="25" t="n">
        <x:v>1453</x:v>
      </x:c>
      <x:c r="B1454" s="26" t="n">
        <x:v>45812.35016203704</x:v>
      </x:c>
      <x:c r="C1454" s="27" t="n">
        <x:f>INT(B1454)</x:f>
        <x:v>45812</x:v>
      </x:c>
      <x:c r="D1454" s="28" t="n">
        <x:f>MOD(B1454,1)</x:f>
        <x:v>0.35016203703708015</x:v>
      </x:c>
      <x:c r="E1454" s="29" t="n">
        <x:f>YEAR(B1454)</x:f>
        <x:v>2025</x:v>
      </x:c>
      <x:c r="F1454" s="29" t="n">
        <x:f>MONTH(B1454)</x:f>
        <x:v>6</x:v>
      </x:c>
      <x:c r="G1454" s="30" t="n">
        <x:v>-31.53</x:v>
      </x:c>
      <x:c r="H1454" s="30" t="n">
        <x:v>-71.66</x:v>
      </x:c>
      <x:c r="I1454" s="29" t="n">
        <x:v>34</x:v>
      </x:c>
      <x:c r="J1454" s="31" t="n">
        <x:v>3.7</x:v>
      </x:c>
      <x:c r="K1454" s="25" t="str">
        <x:f>IF(J1454&gt;=7,"Muy fuerte (&gt;=7)",IF(J1454&gt;=6,"Fuerte (6-6.9)",IF(J1454&gt;=5,"Moderado alto (5-5.9)",IF(J1454&gt;=4,"Moderado (4-4.9)","Menor a 4"))))</x:f>
        <x:v>Menor a 4</x:v>
      </x:c>
      <x:c r="L1454" s="25" t="str">
        <x:f>IF(I1454&lt;70,"Superficial (&lt;70 km)",IF(I1454&lt;=300,"Intermedio (70-300 km)","Profundo (&gt;300 km)"))</x:f>
        <x:v>Superficial (&lt;70 km)</x:v>
      </x:c>
      <x:c r="M1454" s="25" t="str">
        <x:f>IF(J1454&gt;=5,"Sí","No")</x:f>
        <x:v>No</x:v>
      </x:c>
      <x:c r="N1454" s="25" t="str">
        <x:f>IF(J1454&gt;=6,"Sí","No")</x:f>
        <x:v>No</x:v>
      </x:c>
      <x:c r="O1454" s="25" t="str">
        <x:v>Pendiente: asignar con R/sf</x:v>
      </x:c>
    </x:row>
    <x:row r="1455">
      <x:c r="A1455" s="25" t="n">
        <x:v>1454</x:v>
      </x:c>
      <x:c r="B1455" s="26" t="n">
        <x:v>45836.67690972222</x:v>
      </x:c>
      <x:c r="C1455" s="27" t="n">
        <x:f>INT(B1455)</x:f>
        <x:v>45836</x:v>
      </x:c>
      <x:c r="D1455" s="28" t="n">
        <x:f>MOD(B1455,1)</x:f>
        <x:v>0.6769097222204437</x:v>
      </x:c>
      <x:c r="E1455" s="29" t="n">
        <x:f>YEAR(B1455)</x:f>
        <x:v>2025</x:v>
      </x:c>
      <x:c r="F1455" s="29" t="n">
        <x:f>MONTH(B1455)</x:f>
        <x:v>6</x:v>
      </x:c>
      <x:c r="G1455" s="30" t="n">
        <x:v>-31.61</x:v>
      </x:c>
      <x:c r="H1455" s="30" t="n">
        <x:v>-71.22</x:v>
      </x:c>
      <x:c r="I1455" s="29" t="n">
        <x:v>67</x:v>
      </x:c>
      <x:c r="J1455" s="31" t="n">
        <x:v>3.8</x:v>
      </x:c>
      <x:c r="K1455" s="25" t="str">
        <x:f>IF(J1455&gt;=7,"Muy fuerte (&gt;=7)",IF(J1455&gt;=6,"Fuerte (6-6.9)",IF(J1455&gt;=5,"Moderado alto (5-5.9)",IF(J1455&gt;=4,"Moderado (4-4.9)","Menor a 4"))))</x:f>
        <x:v>Menor a 4</x:v>
      </x:c>
      <x:c r="L1455" s="25" t="str">
        <x:f>IF(I1455&lt;70,"Superficial (&lt;70 km)",IF(I1455&lt;=300,"Intermedio (70-300 km)","Profundo (&gt;300 km)"))</x:f>
        <x:v>Superficial (&lt;70 km)</x:v>
      </x:c>
      <x:c r="M1455" s="25" t="str">
        <x:f>IF(J1455&gt;=5,"Sí","No")</x:f>
        <x:v>No</x:v>
      </x:c>
      <x:c r="N1455" s="25" t="str">
        <x:f>IF(J1455&gt;=6,"Sí","No")</x:f>
        <x:v>No</x:v>
      </x:c>
      <x:c r="O1455" s="25" t="str">
        <x:v>Pendiente: asignar con R/sf</x:v>
      </x:c>
    </x:row>
    <x:row r="1456">
      <x:c r="A1456" s="25" t="n">
        <x:v>1455</x:v>
      </x:c>
      <x:c r="B1456" s="26" t="n">
        <x:v>45844.68072916667</x:v>
      </x:c>
      <x:c r="C1456" s="27" t="n">
        <x:f>INT(B1456)</x:f>
        <x:v>45844</x:v>
      </x:c>
      <x:c r="D1456" s="28" t="n">
        <x:f>MOD(B1456,1)</x:f>
        <x:v>0.6807291666700621</x:v>
      </x:c>
      <x:c r="E1456" s="29" t="n">
        <x:f>YEAR(B1456)</x:f>
        <x:v>2025</x:v>
      </x:c>
      <x:c r="F1456" s="29" t="n">
        <x:f>MONTH(B1456)</x:f>
        <x:v>7</x:v>
      </x:c>
      <x:c r="G1456" s="30" t="n">
        <x:v>-31.76</x:v>
      </x:c>
      <x:c r="H1456" s="30" t="n">
        <x:v>-71.53</x:v>
      </x:c>
      <x:c r="I1456" s="29" t="n">
        <x:v>36</x:v>
      </x:c>
      <x:c r="J1456" s="31" t="n">
        <x:v>4.1</x:v>
      </x:c>
      <x:c r="K1456" s="25" t="str">
        <x:f>IF(J1456&gt;=7,"Muy fuerte (&gt;=7)",IF(J1456&gt;=6,"Fuerte (6-6.9)",IF(J1456&gt;=5,"Moderado alto (5-5.9)",IF(J1456&gt;=4,"Moderado (4-4.9)","Menor a 4"))))</x:f>
        <x:v>Moderado (4-4.9)</x:v>
      </x:c>
      <x:c r="L1456" s="25" t="str">
        <x:f>IF(I1456&lt;70,"Superficial (&lt;70 km)",IF(I1456&lt;=300,"Intermedio (70-300 km)","Profundo (&gt;300 km)"))</x:f>
        <x:v>Superficial (&lt;70 km)</x:v>
      </x:c>
      <x:c r="M1456" s="25" t="str">
        <x:f>IF(J1456&gt;=5,"Sí","No")</x:f>
        <x:v>No</x:v>
      </x:c>
      <x:c r="N1456" s="25" t="str">
        <x:f>IF(J1456&gt;=6,"Sí","No")</x:f>
        <x:v>No</x:v>
      </x:c>
      <x:c r="O1456" s="25" t="str">
        <x:v>Pendiente: asignar con R/sf</x:v>
      </x:c>
    </x:row>
    <x:row r="1457">
      <x:c r="A1457" s="25" t="n">
        <x:v>1456</x:v>
      </x:c>
      <x:c r="B1457" s="26" t="n">
        <x:v>45852.495046296295</x:v>
      </x:c>
      <x:c r="C1457" s="27" t="n">
        <x:f>INT(B1457)</x:f>
        <x:v>45852</x:v>
      </x:c>
      <x:c r="D1457" s="28" t="n">
        <x:f>MOD(B1457,1)</x:f>
        <x:v>0.49504629629518604</x:v>
      </x:c>
      <x:c r="E1457" s="29" t="n">
        <x:f>YEAR(B1457)</x:f>
        <x:v>2025</x:v>
      </x:c>
      <x:c r="F1457" s="29" t="n">
        <x:f>MONTH(B1457)</x:f>
        <x:v>7</x:v>
      </x:c>
      <x:c r="G1457" s="30" t="n">
        <x:v>-31.7</x:v>
      </x:c>
      <x:c r="H1457" s="30" t="n">
        <x:v>-71.73</x:v>
      </x:c>
      <x:c r="I1457" s="29" t="n">
        <x:v>33</x:v>
      </x:c>
      <x:c r="J1457" s="31" t="n">
        <x:v>3.6</x:v>
      </x:c>
      <x:c r="K1457" s="25" t="str">
        <x:f>IF(J1457&gt;=7,"Muy fuerte (&gt;=7)",IF(J1457&gt;=6,"Fuerte (6-6.9)",IF(J1457&gt;=5,"Moderado alto (5-5.9)",IF(J1457&gt;=4,"Moderado (4-4.9)","Menor a 4"))))</x:f>
        <x:v>Menor a 4</x:v>
      </x:c>
      <x:c r="L1457" s="25" t="str">
        <x:f>IF(I1457&lt;70,"Superficial (&lt;70 km)",IF(I1457&lt;=300,"Intermedio (70-300 km)","Profundo (&gt;300 km)"))</x:f>
        <x:v>Superficial (&lt;70 km)</x:v>
      </x:c>
      <x:c r="M1457" s="25" t="str">
        <x:f>IF(J1457&gt;=5,"Sí","No")</x:f>
        <x:v>No</x:v>
      </x:c>
      <x:c r="N1457" s="25" t="str">
        <x:f>IF(J1457&gt;=6,"Sí","No")</x:f>
        <x:v>No</x:v>
      </x:c>
      <x:c r="O1457" s="25" t="str">
        <x:v>Pendiente: asignar con R/sf</x:v>
      </x:c>
    </x:row>
    <x:row r="1458">
      <x:c r="A1458" s="25" t="n">
        <x:v>1457</x:v>
      </x:c>
      <x:c r="B1458" s="26" t="n">
        <x:v>45232.34721064815</x:v>
      </x:c>
      <x:c r="C1458" s="27" t="n">
        <x:f>INT(B1458)</x:f>
        <x:v>45232</x:v>
      </x:c>
      <x:c r="D1458" s="28" t="n">
        <x:f>MOD(B1458,1)</x:f>
        <x:v>0.34721064814948477</x:v>
      </x:c>
      <x:c r="E1458" s="29" t="n">
        <x:f>YEAR(B1458)</x:f>
        <x:v>2023</x:v>
      </x:c>
      <x:c r="F1458" s="29" t="n">
        <x:f>MONTH(B1458)</x:f>
        <x:v>11</x:v>
      </x:c>
      <x:c r="G1458" s="30" t="n">
        <x:v>-30.79</x:v>
      </x:c>
      <x:c r="H1458" s="30" t="n">
        <x:v>-71.59</x:v>
      </x:c>
      <x:c r="I1458" s="29" t="n">
        <x:v>26</x:v>
      </x:c>
      <x:c r="J1458" s="31" t="n">
        <x:v>3.8</x:v>
      </x:c>
      <x:c r="K1458" s="25" t="str">
        <x:f>IF(J1458&gt;=7,"Muy fuerte (&gt;=7)",IF(J1458&gt;=6,"Fuerte (6-6.9)",IF(J1458&gt;=5,"Moderado alto (5-5.9)",IF(J1458&gt;=4,"Moderado (4-4.9)","Menor a 4"))))</x:f>
        <x:v>Menor a 4</x:v>
      </x:c>
      <x:c r="L1458" s="25" t="str">
        <x:f>IF(I1458&lt;70,"Superficial (&lt;70 km)",IF(I1458&lt;=300,"Intermedio (70-300 km)","Profundo (&gt;300 km)"))</x:f>
        <x:v>Superficial (&lt;70 km)</x:v>
      </x:c>
      <x:c r="M1458" s="25" t="str">
        <x:f>IF(J1458&gt;=5,"Sí","No")</x:f>
        <x:v>No</x:v>
      </x:c>
      <x:c r="N1458" s="25" t="str">
        <x:f>IF(J1458&gt;=6,"Sí","No")</x:f>
        <x:v>No</x:v>
      </x:c>
      <x:c r="O1458" s="25" t="str">
        <x:v>Pendiente: asignar con R/sf</x:v>
      </x:c>
    </x:row>
    <x:row r="1459">
      <x:c r="A1459" s="25" t="n">
        <x:v>1458</x:v>
      </x:c>
      <x:c r="B1459" s="26" t="n">
        <x:v>45437.21072916667</x:v>
      </x:c>
      <x:c r="C1459" s="27" t="n">
        <x:f>INT(B1459)</x:f>
        <x:v>45437</x:v>
      </x:c>
      <x:c r="D1459" s="28" t="n">
        <x:f>MOD(B1459,1)</x:f>
        <x:v>0.21072916666889796</x:v>
      </x:c>
      <x:c r="E1459" s="29" t="n">
        <x:f>YEAR(B1459)</x:f>
        <x:v>2024</x:v>
      </x:c>
      <x:c r="F1459" s="29" t="n">
        <x:f>MONTH(B1459)</x:f>
        <x:v>5</x:v>
      </x:c>
      <x:c r="G1459" s="30" t="n">
        <x:v>-30.77</x:v>
      </x:c>
      <x:c r="H1459" s="30" t="n">
        <x:v>-71.71</x:v>
      </x:c>
      <x:c r="I1459" s="29" t="n">
        <x:v>30</x:v>
      </x:c>
      <x:c r="J1459" s="31" t="n">
        <x:v>3.8</x:v>
      </x:c>
      <x:c r="K1459" s="25" t="str">
        <x:f>IF(J1459&gt;=7,"Muy fuerte (&gt;=7)",IF(J1459&gt;=6,"Fuerte (6-6.9)",IF(J1459&gt;=5,"Moderado alto (5-5.9)",IF(J1459&gt;=4,"Moderado (4-4.9)","Menor a 4"))))</x:f>
        <x:v>Menor a 4</x:v>
      </x:c>
      <x:c r="L1459" s="25" t="str">
        <x:f>IF(I1459&lt;70,"Superficial (&lt;70 km)",IF(I1459&lt;=300,"Intermedio (70-300 km)","Profundo (&gt;300 km)"))</x:f>
        <x:v>Superficial (&lt;70 km)</x:v>
      </x:c>
      <x:c r="M1459" s="25" t="str">
        <x:f>IF(J1459&gt;=5,"Sí","No")</x:f>
        <x:v>No</x:v>
      </x:c>
      <x:c r="N1459" s="25" t="str">
        <x:f>IF(J1459&gt;=6,"Sí","No")</x:f>
        <x:v>No</x:v>
      </x:c>
      <x:c r="O1459" s="25" t="str">
        <x:v>Pendiente: asignar con R/sf</x:v>
      </x:c>
    </x:row>
    <x:row r="1460">
      <x:c r="A1460" s="25" t="n">
        <x:v>1459</x:v>
      </x:c>
      <x:c r="B1460" s="26" t="n">
        <x:v>45635.544490740744</x:v>
      </x:c>
      <x:c r="C1460" s="27" t="n">
        <x:f>INT(B1460)</x:f>
        <x:v>45635</x:v>
      </x:c>
      <x:c r="D1460" s="28" t="n">
        <x:f>MOD(B1460,1)</x:f>
        <x:v>0.5444907407436403</x:v>
      </x:c>
      <x:c r="E1460" s="29" t="n">
        <x:f>YEAR(B1460)</x:f>
        <x:v>2024</x:v>
      </x:c>
      <x:c r="F1460" s="29" t="n">
        <x:f>MONTH(B1460)</x:f>
        <x:v>12</x:v>
      </x:c>
      <x:c r="G1460" s="30" t="n">
        <x:v>-30.74</x:v>
      </x:c>
      <x:c r="H1460" s="30" t="n">
        <x:v>-71.23</x:v>
      </x:c>
      <x:c r="I1460" s="29" t="n">
        <x:v>59</x:v>
      </x:c>
      <x:c r="J1460" s="31" t="n">
        <x:v>3.6</x:v>
      </x:c>
      <x:c r="K1460" s="25" t="str">
        <x:f>IF(J1460&gt;=7,"Muy fuerte (&gt;=7)",IF(J1460&gt;=6,"Fuerte (6-6.9)",IF(J1460&gt;=5,"Moderado alto (5-5.9)",IF(J1460&gt;=4,"Moderado (4-4.9)","Menor a 4"))))</x:f>
        <x:v>Menor a 4</x:v>
      </x:c>
      <x:c r="L1460" s="25" t="str">
        <x:f>IF(I1460&lt;70,"Superficial (&lt;70 km)",IF(I1460&lt;=300,"Intermedio (70-300 km)","Profundo (&gt;300 km)"))</x:f>
        <x:v>Superficial (&lt;70 km)</x:v>
      </x:c>
      <x:c r="M1460" s="25" t="str">
        <x:f>IF(J1460&gt;=5,"Sí","No")</x:f>
        <x:v>No</x:v>
      </x:c>
      <x:c r="N1460" s="25" t="str">
        <x:f>IF(J1460&gt;=6,"Sí","No")</x:f>
        <x:v>No</x:v>
      </x:c>
      <x:c r="O1460" s="25" t="str">
        <x:v>Pendiente: asignar con R/sf</x:v>
      </x:c>
    </x:row>
    <x:row r="1461">
      <x:c r="A1461" s="25" t="n">
        <x:v>1460</x:v>
      </x:c>
      <x:c r="B1461" s="26" t="n">
        <x:v>45769.874444444446</x:v>
      </x:c>
      <x:c r="C1461" s="27" t="n">
        <x:f>INT(B1461)</x:f>
        <x:v>45769</x:v>
      </x:c>
      <x:c r="D1461" s="28" t="n">
        <x:f>MOD(B1461,1)</x:f>
        <x:v>0.8744444444455439</x:v>
      </x:c>
      <x:c r="E1461" s="29" t="n">
        <x:f>YEAR(B1461)</x:f>
        <x:v>2025</x:v>
      </x:c>
      <x:c r="F1461" s="29" t="n">
        <x:f>MONTH(B1461)</x:f>
        <x:v>4</x:v>
      </x:c>
      <x:c r="G1461" s="30" t="n">
        <x:v>-30.88</x:v>
      </x:c>
      <x:c r="H1461" s="30" t="n">
        <x:v>-71.32</x:v>
      </x:c>
      <x:c r="I1461" s="29" t="n">
        <x:v>53</x:v>
      </x:c>
      <x:c r="J1461" s="31" t="n">
        <x:v>4.1</x:v>
      </x:c>
      <x:c r="K1461" s="25" t="str">
        <x:f>IF(J1461&gt;=7,"Muy fuerte (&gt;=7)",IF(J1461&gt;=6,"Fuerte (6-6.9)",IF(J1461&gt;=5,"Moderado alto (5-5.9)",IF(J1461&gt;=4,"Moderado (4-4.9)","Menor a 4"))))</x:f>
        <x:v>Moderado (4-4.9)</x:v>
      </x:c>
      <x:c r="L1461" s="25" t="str">
        <x:f>IF(I1461&lt;70,"Superficial (&lt;70 km)",IF(I1461&lt;=300,"Intermedio (70-300 km)","Profundo (&gt;300 km)"))</x:f>
        <x:v>Superficial (&lt;70 km)</x:v>
      </x:c>
      <x:c r="M1461" s="25" t="str">
        <x:f>IF(J1461&gt;=5,"Sí","No")</x:f>
        <x:v>No</x:v>
      </x:c>
      <x:c r="N1461" s="25" t="str">
        <x:f>IF(J1461&gt;=6,"Sí","No")</x:f>
        <x:v>No</x:v>
      </x:c>
      <x:c r="O1461" s="25" t="str">
        <x:v>Pendiente: asignar con R/sf</x:v>
      </x:c>
    </x:row>
    <x:row r="1462">
      <x:c r="A1462" s="25" t="n">
        <x:v>1461</x:v>
      </x:c>
      <x:c r="B1462" s="26" t="n">
        <x:v>45771.18256944444</x:v>
      </x:c>
      <x:c r="C1462" s="27" t="n">
        <x:f>INT(B1462)</x:f>
        <x:v>45771</x:v>
      </x:c>
      <x:c r="D1462" s="28" t="n">
        <x:f>MOD(B1462,1)</x:f>
        <x:v>0.1825694444414694</x:v>
      </x:c>
      <x:c r="E1462" s="29" t="n">
        <x:f>YEAR(B1462)</x:f>
        <x:v>2025</x:v>
      </x:c>
      <x:c r="F1462" s="29" t="n">
        <x:f>MONTH(B1462)</x:f>
        <x:v>4</x:v>
      </x:c>
      <x:c r="G1462" s="30" t="n">
        <x:v>-30.77</x:v>
      </x:c>
      <x:c r="H1462" s="30" t="n">
        <x:v>-71.88</x:v>
      </x:c>
      <x:c r="I1462" s="29" t="n">
        <x:v>33</x:v>
      </x:c>
      <x:c r="J1462" s="31" t="n">
        <x:v>4.2</x:v>
      </x:c>
      <x:c r="K1462" s="25" t="str">
        <x:f>IF(J1462&gt;=7,"Muy fuerte (&gt;=7)",IF(J1462&gt;=6,"Fuerte (6-6.9)",IF(J1462&gt;=5,"Moderado alto (5-5.9)",IF(J1462&gt;=4,"Moderado (4-4.9)","Menor a 4"))))</x:f>
        <x:v>Moderado (4-4.9)</x:v>
      </x:c>
      <x:c r="L1462" s="25" t="str">
        <x:f>IF(I1462&lt;70,"Superficial (&lt;70 km)",IF(I1462&lt;=300,"Intermedio (70-300 km)","Profundo (&gt;300 km)"))</x:f>
        <x:v>Superficial (&lt;70 km)</x:v>
      </x:c>
      <x:c r="M1462" s="25" t="str">
        <x:f>IF(J1462&gt;=5,"Sí","No")</x:f>
        <x:v>No</x:v>
      </x:c>
      <x:c r="N1462" s="25" t="str">
        <x:f>IF(J1462&gt;=6,"Sí","No")</x:f>
        <x:v>No</x:v>
      </x:c>
      <x:c r="O1462" s="25" t="str">
        <x:v>Pendiente: asignar con R/sf</x:v>
      </x:c>
    </x:row>
    <x:row r="1463">
      <x:c r="A1463" s="25" t="n">
        <x:v>1462</x:v>
      </x:c>
      <x:c r="B1463" s="26" t="n">
        <x:v>45816.370983796296</x:v>
      </x:c>
      <x:c r="C1463" s="27" t="n">
        <x:f>INT(B1463)</x:f>
        <x:v>45816</x:v>
      </x:c>
      <x:c r="D1463" s="28" t="n">
        <x:f>MOD(B1463,1)</x:f>
        <x:v>0.37098379629605915</x:v>
      </x:c>
      <x:c r="E1463" s="29" t="n">
        <x:f>YEAR(B1463)</x:f>
        <x:v>2025</x:v>
      </x:c>
      <x:c r="F1463" s="29" t="n">
        <x:f>MONTH(B1463)</x:f>
        <x:v>6</x:v>
      </x:c>
      <x:c r="G1463" s="30" t="n">
        <x:v>-30.73</x:v>
      </x:c>
      <x:c r="H1463" s="30" t="n">
        <x:v>-71.43</x:v>
      </x:c>
      <x:c r="I1463" s="29" t="n">
        <x:v>37</x:v>
      </x:c>
      <x:c r="J1463" s="31" t="n">
        <x:v>3.7</x:v>
      </x:c>
      <x:c r="K1463" s="25" t="str">
        <x:f>IF(J1463&gt;=7,"Muy fuerte (&gt;=7)",IF(J1463&gt;=6,"Fuerte (6-6.9)",IF(J1463&gt;=5,"Moderado alto (5-5.9)",IF(J1463&gt;=4,"Moderado (4-4.9)","Menor a 4"))))</x:f>
        <x:v>Menor a 4</x:v>
      </x:c>
      <x:c r="L1463" s="25" t="str">
        <x:f>IF(I1463&lt;70,"Superficial (&lt;70 km)",IF(I1463&lt;=300,"Intermedio (70-300 km)","Profundo (&gt;300 km)"))</x:f>
        <x:v>Superficial (&lt;70 km)</x:v>
      </x:c>
      <x:c r="M1463" s="25" t="str">
        <x:f>IF(J1463&gt;=5,"Sí","No")</x:f>
        <x:v>No</x:v>
      </x:c>
      <x:c r="N1463" s="25" t="str">
        <x:f>IF(J1463&gt;=6,"Sí","No")</x:f>
        <x:v>No</x:v>
      </x:c>
      <x:c r="O1463" s="25" t="str">
        <x:v>Pendiente: asignar con R/sf</x:v>
      </x:c>
    </x:row>
    <x:row r="1464">
      <x:c r="A1464" s="25" t="n">
        <x:v>1463</x:v>
      </x:c>
      <x:c r="B1464" s="26" t="n">
        <x:v>45463.277291666665</x:v>
      </x:c>
      <x:c r="C1464" s="27" t="n">
        <x:f>INT(B1464)</x:f>
        <x:v>45463</x:v>
      </x:c>
      <x:c r="D1464" s="28" t="n">
        <x:f>MOD(B1464,1)</x:f>
        <x:v>0.2772916666654055</x:v>
      </x:c>
      <x:c r="E1464" s="29" t="n">
        <x:f>YEAR(B1464)</x:f>
        <x:v>2024</x:v>
      </x:c>
      <x:c r="F1464" s="29" t="n">
        <x:f>MONTH(B1464)</x:f>
        <x:v>6</x:v>
      </x:c>
      <x:c r="G1464" s="30" t="n">
        <x:v>-30.29</x:v>
      </x:c>
      <x:c r="H1464" s="30" t="n">
        <x:v>-71.49</x:v>
      </x:c>
      <x:c r="I1464" s="29" t="n">
        <x:v>52</x:v>
      </x:c>
      <x:c r="J1464" s="31" t="n">
        <x:v>4.4</x:v>
      </x:c>
      <x:c r="K1464" s="25" t="str">
        <x:f>IF(J1464&gt;=7,"Muy fuerte (&gt;=7)",IF(J1464&gt;=6,"Fuerte (6-6.9)",IF(J1464&gt;=5,"Moderado alto (5-5.9)",IF(J1464&gt;=4,"Moderado (4-4.9)","Menor a 4"))))</x:f>
        <x:v>Moderado (4-4.9)</x:v>
      </x:c>
      <x:c r="L1464" s="25" t="str">
        <x:f>IF(I1464&lt;70,"Superficial (&lt;70 km)",IF(I1464&lt;=300,"Intermedio (70-300 km)","Profundo (&gt;300 km)"))</x:f>
        <x:v>Superficial (&lt;70 km)</x:v>
      </x:c>
      <x:c r="M1464" s="25" t="str">
        <x:f>IF(J1464&gt;=5,"Sí","No")</x:f>
        <x:v>No</x:v>
      </x:c>
      <x:c r="N1464" s="25" t="str">
        <x:f>IF(J1464&gt;=6,"Sí","No")</x:f>
        <x:v>No</x:v>
      </x:c>
      <x:c r="O1464" s="25" t="str">
        <x:v>Pendiente: asignar con R/sf</x:v>
      </x:c>
    </x:row>
    <x:row r="1465">
      <x:c r="A1465" s="25" t="n">
        <x:v>1464</x:v>
      </x:c>
      <x:c r="B1465" s="26" t="n">
        <x:v>45491.58421296296</x:v>
      </x:c>
      <x:c r="C1465" s="27" t="n">
        <x:f>INT(B1465)</x:f>
        <x:v>45491</x:v>
      </x:c>
      <x:c r="D1465" s="28" t="n">
        <x:f>MOD(B1465,1)</x:f>
        <x:v>0.5842129629600095</x:v>
      </x:c>
      <x:c r="E1465" s="29" t="n">
        <x:f>YEAR(B1465)</x:f>
        <x:v>2024</x:v>
      </x:c>
      <x:c r="F1465" s="29" t="n">
        <x:f>MONTH(B1465)</x:f>
        <x:v>7</x:v>
      </x:c>
      <x:c r="G1465" s="30" t="n">
        <x:v>-30.64</x:v>
      </x:c>
      <x:c r="H1465" s="30" t="n">
        <x:v>-71.26</x:v>
      </x:c>
      <x:c r="I1465" s="29" t="n">
        <x:v>52</x:v>
      </x:c>
      <x:c r="J1465" s="31" t="n">
        <x:v>4.3</x:v>
      </x:c>
      <x:c r="K1465" s="25" t="str">
        <x:f>IF(J1465&gt;=7,"Muy fuerte (&gt;=7)",IF(J1465&gt;=6,"Fuerte (6-6.9)",IF(J1465&gt;=5,"Moderado alto (5-5.9)",IF(J1465&gt;=4,"Moderado (4-4.9)","Menor a 4"))))</x:f>
        <x:v>Moderado (4-4.9)</x:v>
      </x:c>
      <x:c r="L1465" s="25" t="str">
        <x:f>IF(I1465&lt;70,"Superficial (&lt;70 km)",IF(I1465&lt;=300,"Intermedio (70-300 km)","Profundo (&gt;300 km)"))</x:f>
        <x:v>Superficial (&lt;70 km)</x:v>
      </x:c>
      <x:c r="M1465" s="25" t="str">
        <x:f>IF(J1465&gt;=5,"Sí","No")</x:f>
        <x:v>No</x:v>
      </x:c>
      <x:c r="N1465" s="25" t="str">
        <x:f>IF(J1465&gt;=6,"Sí","No")</x:f>
        <x:v>No</x:v>
      </x:c>
      <x:c r="O1465" s="25" t="str">
        <x:v>Pendiente: asignar con R/sf</x:v>
      </x:c>
    </x:row>
    <x:row r="1466">
      <x:c r="A1466" s="25" t="n">
        <x:v>1465</x:v>
      </x:c>
      <x:c r="B1466" s="26" t="n">
        <x:v>45518.38041666667</x:v>
      </x:c>
      <x:c r="C1466" s="27" t="n">
        <x:f>INT(B1466)</x:f>
        <x:v>45518</x:v>
      </x:c>
      <x:c r="D1466" s="28" t="n">
        <x:f>MOD(B1466,1)</x:f>
        <x:v>0.3804166666668607</x:v>
      </x:c>
      <x:c r="E1466" s="29" t="n">
        <x:f>YEAR(B1466)</x:f>
        <x:v>2024</x:v>
      </x:c>
      <x:c r="F1466" s="29" t="n">
        <x:f>MONTH(B1466)</x:f>
        <x:v>8</x:v>
      </x:c>
      <x:c r="G1466" s="30" t="n">
        <x:v>-30.71</x:v>
      </x:c>
      <x:c r="H1466" s="30" t="n">
        <x:v>-71.36</x:v>
      </x:c>
      <x:c r="I1466" s="29" t="n">
        <x:v>52</x:v>
      </x:c>
      <x:c r="J1466" s="31" t="n">
        <x:v>3.9</x:v>
      </x:c>
      <x:c r="K1466" s="25" t="str">
        <x:f>IF(J1466&gt;=7,"Muy fuerte (&gt;=7)",IF(J1466&gt;=6,"Fuerte (6-6.9)",IF(J1466&gt;=5,"Moderado alto (5-5.9)",IF(J1466&gt;=4,"Moderado (4-4.9)","Menor a 4"))))</x:f>
        <x:v>Menor a 4</x:v>
      </x:c>
      <x:c r="L1466" s="25" t="str">
        <x:f>IF(I1466&lt;70,"Superficial (&lt;70 km)",IF(I1466&lt;=300,"Intermedio (70-300 km)","Profundo (&gt;300 km)"))</x:f>
        <x:v>Superficial (&lt;70 km)</x:v>
      </x:c>
      <x:c r="M1466" s="25" t="str">
        <x:f>IF(J1466&gt;=5,"Sí","No")</x:f>
        <x:v>No</x:v>
      </x:c>
      <x:c r="N1466" s="25" t="str">
        <x:f>IF(J1466&gt;=6,"Sí","No")</x:f>
        <x:v>No</x:v>
      </x:c>
      <x:c r="O1466" s="25" t="str">
        <x:v>Pendiente: asignar con R/sf</x:v>
      </x:c>
    </x:row>
    <x:row r="1467">
      <x:c r="A1467" s="25" t="n">
        <x:v>1466</x:v>
      </x:c>
      <x:c r="B1467" s="26" t="n">
        <x:v>45771.01677083333</x:v>
      </x:c>
      <x:c r="C1467" s="27" t="n">
        <x:f>INT(B1467)</x:f>
        <x:v>45771</x:v>
      </x:c>
      <x:c r="D1467" s="28" t="n">
        <x:f>MOD(B1467,1)</x:f>
        <x:v>0.016770833331975155</x:v>
      </x:c>
      <x:c r="E1467" s="29" t="n">
        <x:f>YEAR(B1467)</x:f>
        <x:v>2025</x:v>
      </x:c>
      <x:c r="F1467" s="29" t="n">
        <x:f>MONTH(B1467)</x:f>
        <x:v>4</x:v>
      </x:c>
      <x:c r="G1467" s="30" t="n">
        <x:v>-30.73</x:v>
      </x:c>
      <x:c r="H1467" s="30" t="n">
        <x:v>-71.29</x:v>
      </x:c>
      <x:c r="I1467" s="29" t="n">
        <x:v>63</x:v>
      </x:c>
      <x:c r="J1467" s="31" t="n">
        <x:v>4.1</x:v>
      </x:c>
      <x:c r="K1467" s="25" t="str">
        <x:f>IF(J1467&gt;=7,"Muy fuerte (&gt;=7)",IF(J1467&gt;=6,"Fuerte (6-6.9)",IF(J1467&gt;=5,"Moderado alto (5-5.9)",IF(J1467&gt;=4,"Moderado (4-4.9)","Menor a 4"))))</x:f>
        <x:v>Moderado (4-4.9)</x:v>
      </x:c>
      <x:c r="L1467" s="25" t="str">
        <x:f>IF(I1467&lt;70,"Superficial (&lt;70 km)",IF(I1467&lt;=300,"Intermedio (70-300 km)","Profundo (&gt;300 km)"))</x:f>
        <x:v>Superficial (&lt;70 km)</x:v>
      </x:c>
      <x:c r="M1467" s="25" t="str">
        <x:f>IF(J1467&gt;=5,"Sí","No")</x:f>
        <x:v>No</x:v>
      </x:c>
      <x:c r="N1467" s="25" t="str">
        <x:f>IF(J1467&gt;=6,"Sí","No")</x:f>
        <x:v>No</x:v>
      </x:c>
      <x:c r="O1467" s="25" t="str">
        <x:v>Pendiente: asignar con R/sf</x:v>
      </x:c>
    </x:row>
    <x:row r="1468">
      <x:c r="A1468" s="25" t="n">
        <x:v>1467</x:v>
      </x:c>
      <x:c r="B1468" s="26" t="n">
        <x:v>45839.82236111111</x:v>
      </x:c>
      <x:c r="C1468" s="27" t="n">
        <x:f>INT(B1468)</x:f>
        <x:v>45839</x:v>
      </x:c>
      <x:c r="D1468" s="28" t="n">
        <x:f>MOD(B1468,1)</x:f>
        <x:v>0.8223611111097853</x:v>
      </x:c>
      <x:c r="E1468" s="29" t="n">
        <x:f>YEAR(B1468)</x:f>
        <x:v>2025</x:v>
      </x:c>
      <x:c r="F1468" s="29" t="n">
        <x:f>MONTH(B1468)</x:f>
        <x:v>7</x:v>
      </x:c>
      <x:c r="G1468" s="30" t="n">
        <x:v>-30.87</x:v>
      </x:c>
      <x:c r="H1468" s="30" t="n">
        <x:v>-71.15</x:v>
      </x:c>
      <x:c r="I1468" s="29" t="n">
        <x:v>58</x:v>
      </x:c>
      <x:c r="J1468" s="31" t="n">
        <x:v>4.5</x:v>
      </x:c>
      <x:c r="K1468" s="25" t="str">
        <x:f>IF(J1468&gt;=7,"Muy fuerte (&gt;=7)",IF(J1468&gt;=6,"Fuerte (6-6.9)",IF(J1468&gt;=5,"Moderado alto (5-5.9)",IF(J1468&gt;=4,"Moderado (4-4.9)","Menor a 4"))))</x:f>
        <x:v>Moderado (4-4.9)</x:v>
      </x:c>
      <x:c r="L1468" s="25" t="str">
        <x:f>IF(I1468&lt;70,"Superficial (&lt;70 km)",IF(I1468&lt;=300,"Intermedio (70-300 km)","Profundo (&gt;300 km)"))</x:f>
        <x:v>Superficial (&lt;70 km)</x:v>
      </x:c>
      <x:c r="M1468" s="25" t="str">
        <x:f>IF(J1468&gt;=5,"Sí","No")</x:f>
        <x:v>No</x:v>
      </x:c>
      <x:c r="N1468" s="25" t="str">
        <x:f>IF(J1468&gt;=6,"Sí","No")</x:f>
        <x:v>No</x:v>
      </x:c>
      <x:c r="O1468" s="25" t="str">
        <x:v>Pendiente: asignar con R/sf</x:v>
      </x:c>
    </x:row>
    <x:row r="1469">
      <x:c r="A1469" s="25" t="n">
        <x:v>1468</x:v>
      </x:c>
      <x:c r="B1469" s="26" t="n">
        <x:v>45352.23443287037</x:v>
      </x:c>
      <x:c r="C1469" s="27" t="n">
        <x:f>INT(B1469)</x:f>
        <x:v>45352</x:v>
      </x:c>
      <x:c r="D1469" s="28" t="n">
        <x:f>MOD(B1469,1)</x:f>
        <x:v>0.23443287036934635</x:v>
      </x:c>
      <x:c r="E1469" s="29" t="n">
        <x:f>YEAR(B1469)</x:f>
        <x:v>2024</x:v>
      </x:c>
      <x:c r="F1469" s="29" t="n">
        <x:f>MONTH(B1469)</x:f>
        <x:v>3</x:v>
      </x:c>
      <x:c r="G1469" s="30" t="n">
        <x:v>-30.44</x:v>
      </x:c>
      <x:c r="H1469" s="30" t="n">
        <x:v>-71.63</x:v>
      </x:c>
      <x:c r="I1469" s="29" t="n">
        <x:v>41</x:v>
      </x:c>
      <x:c r="J1469" s="31" t="n">
        <x:v>4.2</x:v>
      </x:c>
      <x:c r="K1469" s="25" t="str">
        <x:f>IF(J1469&gt;=7,"Muy fuerte (&gt;=7)",IF(J1469&gt;=6,"Fuerte (6-6.9)",IF(J1469&gt;=5,"Moderado alto (5-5.9)",IF(J1469&gt;=4,"Moderado (4-4.9)","Menor a 4"))))</x:f>
        <x:v>Moderado (4-4.9)</x:v>
      </x:c>
      <x:c r="L1469" s="25" t="str">
        <x:f>IF(I1469&lt;70,"Superficial (&lt;70 km)",IF(I1469&lt;=300,"Intermedio (70-300 km)","Profundo (&gt;300 km)"))</x:f>
        <x:v>Superficial (&lt;70 km)</x:v>
      </x:c>
      <x:c r="M1469" s="25" t="str">
        <x:f>IF(J1469&gt;=5,"Sí","No")</x:f>
        <x:v>No</x:v>
      </x:c>
      <x:c r="N1469" s="25" t="str">
        <x:f>IF(J1469&gt;=6,"Sí","No")</x:f>
        <x:v>No</x:v>
      </x:c>
      <x:c r="O1469" s="25" t="str">
        <x:v>Pendiente: asignar con R/sf</x:v>
      </x:c>
    </x:row>
    <x:row r="1470">
      <x:c r="A1470" s="25" t="n">
        <x:v>1469</x:v>
      </x:c>
      <x:c r="B1470" s="26" t="n">
        <x:v>45630.74074074074</x:v>
      </x:c>
      <x:c r="C1470" s="27" t="n">
        <x:f>INT(B1470)</x:f>
        <x:v>45630</x:v>
      </x:c>
      <x:c r="D1470" s="28" t="n">
        <x:f>MOD(B1470,1)</x:f>
        <x:v>0.7407407407372375</x:v>
      </x:c>
      <x:c r="E1470" s="29" t="n">
        <x:f>YEAR(B1470)</x:f>
        <x:v>2024</x:v>
      </x:c>
      <x:c r="F1470" s="29" t="n">
        <x:f>MONTH(B1470)</x:f>
        <x:v>12</x:v>
      </x:c>
      <x:c r="G1470" s="30" t="n">
        <x:v>-30.35</x:v>
      </x:c>
      <x:c r="H1470" s="30" t="n">
        <x:v>-71.63</x:v>
      </x:c>
      <x:c r="I1470" s="29" t="n">
        <x:v>49</x:v>
      </x:c>
      <x:c r="J1470" s="31" t="n">
        <x:v>4.3</x:v>
      </x:c>
      <x:c r="K1470" s="25" t="str">
        <x:f>IF(J1470&gt;=7,"Muy fuerte (&gt;=7)",IF(J1470&gt;=6,"Fuerte (6-6.9)",IF(J1470&gt;=5,"Moderado alto (5-5.9)",IF(J1470&gt;=4,"Moderado (4-4.9)","Menor a 4"))))</x:f>
        <x:v>Moderado (4-4.9)</x:v>
      </x:c>
      <x:c r="L1470" s="25" t="str">
        <x:f>IF(I1470&lt;70,"Superficial (&lt;70 km)",IF(I1470&lt;=300,"Intermedio (70-300 km)","Profundo (&gt;300 km)"))</x:f>
        <x:v>Superficial (&lt;70 km)</x:v>
      </x:c>
      <x:c r="M1470" s="25" t="str">
        <x:f>IF(J1470&gt;=5,"Sí","No")</x:f>
        <x:v>No</x:v>
      </x:c>
      <x:c r="N1470" s="25" t="str">
        <x:f>IF(J1470&gt;=6,"Sí","No")</x:f>
        <x:v>No</x:v>
      </x:c>
      <x:c r="O1470" s="25" t="str">
        <x:v>Pendiente: asignar con R/sf</x:v>
      </x:c>
    </x:row>
    <x:row r="1471">
      <x:c r="A1471" s="25" t="n">
        <x:v>1470</x:v>
      </x:c>
      <x:c r="B1471" s="26" t="n">
        <x:v>45869.89894675926</x:v>
      </x:c>
      <x:c r="C1471" s="27" t="n">
        <x:f>INT(B1471)</x:f>
        <x:v>45869</x:v>
      </x:c>
      <x:c r="D1471" s="28" t="n">
        <x:f>MOD(B1471,1)</x:f>
        <x:v>0.8989467592618894</x:v>
      </x:c>
      <x:c r="E1471" s="29" t="n">
        <x:f>YEAR(B1471)</x:f>
        <x:v>2025</x:v>
      </x:c>
      <x:c r="F1471" s="29" t="n">
        <x:f>MONTH(B1471)</x:f>
        <x:v>7</x:v>
      </x:c>
      <x:c r="G1471" s="30" t="n">
        <x:v>-34.02</x:v>
      </x:c>
      <x:c r="H1471" s="30" t="n">
        <x:v>-70.38</x:v>
      </x:c>
      <x:c r="I1471" s="29" t="n">
        <x:v>17</x:v>
      </x:c>
      <x:c r="J1471" s="31" t="n">
        <x:v>4.2</x:v>
      </x:c>
      <x:c r="K1471" s="25" t="str">
        <x:f>IF(J1471&gt;=7,"Muy fuerte (&gt;=7)",IF(J1471&gt;=6,"Fuerte (6-6.9)",IF(J1471&gt;=5,"Moderado alto (5-5.9)",IF(J1471&gt;=4,"Moderado (4-4.9)","Menor a 4"))))</x:f>
        <x:v>Moderado (4-4.9)</x:v>
      </x:c>
      <x:c r="L1471" s="25" t="str">
        <x:f>IF(I1471&lt;70,"Superficial (&lt;70 km)",IF(I1471&lt;=300,"Intermedio (70-300 km)","Profundo (&gt;300 km)"))</x:f>
        <x:v>Superficial (&lt;70 km)</x:v>
      </x:c>
      <x:c r="M1471" s="25" t="str">
        <x:f>IF(J1471&gt;=5,"Sí","No")</x:f>
        <x:v>No</x:v>
      </x:c>
      <x:c r="N1471" s="25" t="str">
        <x:f>IF(J1471&gt;=6,"Sí","No")</x:f>
        <x:v>No</x:v>
      </x:c>
      <x:c r="O1471" s="25" t="str">
        <x:v>Pendiente: asignar con R/sf</x:v>
      </x:c>
    </x:row>
    <x:row r="1472">
      <x:c r="A1472" s="25" t="n">
        <x:v>1471</x:v>
      </x:c>
      <x:c r="B1472" s="26" t="n">
        <x:v>45441.375706018516</x:v>
      </x:c>
      <x:c r="C1472" s="27" t="n">
        <x:f>INT(B1472)</x:f>
        <x:v>45441</x:v>
      </x:c>
      <x:c r="D1472" s="28" t="n">
        <x:f>MOD(B1472,1)</x:f>
        <x:v>0.37570601851621177</x:v>
      </x:c>
      <x:c r="E1472" s="29" t="n">
        <x:f>YEAR(B1472)</x:f>
        <x:v>2024</x:v>
      </x:c>
      <x:c r="F1472" s="29" t="n">
        <x:f>MONTH(B1472)</x:f>
        <x:v>5</x:v>
      </x:c>
      <x:c r="G1472" s="30" t="n">
        <x:v>-30</x:v>
      </x:c>
      <x:c r="H1472" s="30" t="n">
        <x:v>-71.28</x:v>
      </x:c>
      <x:c r="I1472" s="29" t="n">
        <x:v>56</x:v>
      </x:c>
      <x:c r="J1472" s="31" t="n">
        <x:v>3</x:v>
      </x:c>
      <x:c r="K1472" s="25" t="str">
        <x:f>IF(J1472&gt;=7,"Muy fuerte (&gt;=7)",IF(J1472&gt;=6,"Fuerte (6-6.9)",IF(J1472&gt;=5,"Moderado alto (5-5.9)",IF(J1472&gt;=4,"Moderado (4-4.9)","Menor a 4"))))</x:f>
        <x:v>Menor a 4</x:v>
      </x:c>
      <x:c r="L1472" s="25" t="str">
        <x:f>IF(I1472&lt;70,"Superficial (&lt;70 km)",IF(I1472&lt;=300,"Intermedio (70-300 km)","Profundo (&gt;300 km)"))</x:f>
        <x:v>Superficial (&lt;70 km)</x:v>
      </x:c>
      <x:c r="M1472" s="25" t="str">
        <x:f>IF(J1472&gt;=5,"Sí","No")</x:f>
        <x:v>No</x:v>
      </x:c>
      <x:c r="N1472" s="25" t="str">
        <x:f>IF(J1472&gt;=6,"Sí","No")</x:f>
        <x:v>No</x:v>
      </x:c>
      <x:c r="O1472" s="25" t="str">
        <x:v>Pendiente: asignar con R/sf</x:v>
      </x:c>
    </x:row>
    <x:row r="1473">
      <x:c r="A1473" s="25" t="n">
        <x:v>1472</x:v>
      </x:c>
      <x:c r="B1473" s="26" t="n">
        <x:v>45456.00981481482</x:v>
      </x:c>
      <x:c r="C1473" s="27" t="n">
        <x:f>INT(B1473)</x:f>
        <x:v>45456</x:v>
      </x:c>
      <x:c r="D1473" s="28" t="n">
        <x:f>MOD(B1473,1)</x:f>
        <x:v>0.009814814817218576</x:v>
      </x:c>
      <x:c r="E1473" s="29" t="n">
        <x:f>YEAR(B1473)</x:f>
        <x:v>2024</x:v>
      </x:c>
      <x:c r="F1473" s="29" t="n">
        <x:f>MONTH(B1473)</x:f>
        <x:v>6</x:v>
      </x:c>
      <x:c r="G1473" s="30" t="n">
        <x:v>-30.03</x:v>
      </x:c>
      <x:c r="H1473" s="30" t="n">
        <x:v>-71.31</x:v>
      </x:c>
      <x:c r="I1473" s="29" t="n">
        <x:v>55</x:v>
      </x:c>
      <x:c r="J1473" s="31" t="n">
        <x:v>3.2</x:v>
      </x:c>
      <x:c r="K1473" s="25" t="str">
        <x:f>IF(J1473&gt;=7,"Muy fuerte (&gt;=7)",IF(J1473&gt;=6,"Fuerte (6-6.9)",IF(J1473&gt;=5,"Moderado alto (5-5.9)",IF(J1473&gt;=4,"Moderado (4-4.9)","Menor a 4"))))</x:f>
        <x:v>Menor a 4</x:v>
      </x:c>
      <x:c r="L1473" s="25" t="str">
        <x:f>IF(I1473&lt;70,"Superficial (&lt;70 km)",IF(I1473&lt;=300,"Intermedio (70-300 km)","Profundo (&gt;300 km)"))</x:f>
        <x:v>Superficial (&lt;70 km)</x:v>
      </x:c>
      <x:c r="M1473" s="25" t="str">
        <x:f>IF(J1473&gt;=5,"Sí","No")</x:f>
        <x:v>No</x:v>
      </x:c>
      <x:c r="N1473" s="25" t="str">
        <x:f>IF(J1473&gt;=6,"Sí","No")</x:f>
        <x:v>No</x:v>
      </x:c>
      <x:c r="O1473" s="25" t="str">
        <x:v>Pendiente: asignar con R/sf</x:v>
      </x:c>
    </x:row>
    <x:row r="1474">
      <x:c r="A1474" s="25" t="n">
        <x:v>1473</x:v>
      </x:c>
      <x:c r="B1474" s="26" t="n">
        <x:v>45542.331666666665</x:v>
      </x:c>
      <x:c r="C1474" s="27" t="n">
        <x:f>INT(B1474)</x:f>
        <x:v>45542</x:v>
      </x:c>
      <x:c r="D1474" s="28" t="n">
        <x:f>MOD(B1474,1)</x:f>
        <x:v>0.33166666666511446</x:v>
      </x:c>
      <x:c r="E1474" s="29" t="n">
        <x:f>YEAR(B1474)</x:f>
        <x:v>2024</x:v>
      </x:c>
      <x:c r="F1474" s="29" t="n">
        <x:f>MONTH(B1474)</x:f>
        <x:v>9</x:v>
      </x:c>
      <x:c r="G1474" s="30" t="n">
        <x:v>-30</x:v>
      </x:c>
      <x:c r="H1474" s="30" t="n">
        <x:v>-71.4</x:v>
      </x:c>
      <x:c r="I1474" s="29" t="n">
        <x:v>41</x:v>
      </x:c>
      <x:c r="J1474" s="31" t="n">
        <x:v>3.2</x:v>
      </x:c>
      <x:c r="K1474" s="25" t="str">
        <x:f>IF(J1474&gt;=7,"Muy fuerte (&gt;=7)",IF(J1474&gt;=6,"Fuerte (6-6.9)",IF(J1474&gt;=5,"Moderado alto (5-5.9)",IF(J1474&gt;=4,"Moderado (4-4.9)","Menor a 4"))))</x:f>
        <x:v>Menor a 4</x:v>
      </x:c>
      <x:c r="L1474" s="25" t="str">
        <x:f>IF(I1474&lt;70,"Superficial (&lt;70 km)",IF(I1474&lt;=300,"Intermedio (70-300 km)","Profundo (&gt;300 km)"))</x:f>
        <x:v>Superficial (&lt;70 km)</x:v>
      </x:c>
      <x:c r="M1474" s="25" t="str">
        <x:f>IF(J1474&gt;=5,"Sí","No")</x:f>
        <x:v>No</x:v>
      </x:c>
      <x:c r="N1474" s="25" t="str">
        <x:f>IF(J1474&gt;=6,"Sí","No")</x:f>
        <x:v>No</x:v>
      </x:c>
      <x:c r="O1474" s="25" t="str">
        <x:v>Pendiente: asignar con R/sf</x:v>
      </x:c>
    </x:row>
    <x:row r="1475">
      <x:c r="A1475" s="25" t="n">
        <x:v>1474</x:v>
      </x:c>
      <x:c r="B1475" s="26" t="n">
        <x:v>45723.44012731482</x:v>
      </x:c>
      <x:c r="C1475" s="27" t="n">
        <x:f>INT(B1475)</x:f>
        <x:v>45723</x:v>
      </x:c>
      <x:c r="D1475" s="28" t="n">
        <x:f>MOD(B1475,1)</x:f>
        <x:v>0.44012731481780065</x:v>
      </x:c>
      <x:c r="E1475" s="29" t="n">
        <x:f>YEAR(B1475)</x:f>
        <x:v>2025</x:v>
      </x:c>
      <x:c r="F1475" s="29" t="n">
        <x:f>MONTH(B1475)</x:f>
        <x:v>3</x:v>
      </x:c>
      <x:c r="G1475" s="30" t="n">
        <x:v>-29.92</x:v>
      </x:c>
      <x:c r="H1475" s="30" t="n">
        <x:v>-71.36</x:v>
      </x:c>
      <x:c r="I1475" s="29" t="n">
        <x:v>52</x:v>
      </x:c>
      <x:c r="J1475" s="31" t="n">
        <x:v>3</x:v>
      </x:c>
      <x:c r="K1475" s="25" t="str">
        <x:f>IF(J1475&gt;=7,"Muy fuerte (&gt;=7)",IF(J1475&gt;=6,"Fuerte (6-6.9)",IF(J1475&gt;=5,"Moderado alto (5-5.9)",IF(J1475&gt;=4,"Moderado (4-4.9)","Menor a 4"))))</x:f>
        <x:v>Menor a 4</x:v>
      </x:c>
      <x:c r="L1475" s="25" t="str">
        <x:f>IF(I1475&lt;70,"Superficial (&lt;70 km)",IF(I1475&lt;=300,"Intermedio (70-300 km)","Profundo (&gt;300 km)"))</x:f>
        <x:v>Superficial (&lt;70 km)</x:v>
      </x:c>
      <x:c r="M1475" s="25" t="str">
        <x:f>IF(J1475&gt;=5,"Sí","No")</x:f>
        <x:v>No</x:v>
      </x:c>
      <x:c r="N1475" s="25" t="str">
        <x:f>IF(J1475&gt;=6,"Sí","No")</x:f>
        <x:v>No</x:v>
      </x:c>
      <x:c r="O1475" s="25" t="str">
        <x:v>Pendiente: asignar con R/sf</x:v>
      </x:c>
    </x:row>
    <x:row r="1476">
      <x:c r="A1476" s="25" t="n">
        <x:v>1475</x:v>
      </x:c>
      <x:c r="B1476" s="26" t="n">
        <x:v>45698.66180555556</x:v>
      </x:c>
      <x:c r="C1476" s="27" t="n">
        <x:f>INT(B1476)</x:f>
        <x:v>45698</x:v>
      </x:c>
      <x:c r="D1476" s="28" t="n">
        <x:f>MOD(B1476,1)</x:f>
        <x:v>0.6618055555591127</x:v>
      </x:c>
      <x:c r="E1476" s="29" t="n">
        <x:f>YEAR(B1476)</x:f>
        <x:v>2025</x:v>
      </x:c>
      <x:c r="F1476" s="29" t="n">
        <x:f>MONTH(B1476)</x:f>
        <x:v>2</x:v>
      </x:c>
      <x:c r="G1476" s="30" t="n">
        <x:v>-30.7</x:v>
      </x:c>
      <x:c r="H1476" s="30" t="n">
        <x:v>-71.29</x:v>
      </x:c>
      <x:c r="I1476" s="29" t="n">
        <x:v>45</x:v>
      </x:c>
      <x:c r="J1476" s="31" t="n">
        <x:v>3.4</x:v>
      </x:c>
      <x:c r="K1476" s="25" t="str">
        <x:f>IF(J1476&gt;=7,"Muy fuerte (&gt;=7)",IF(J1476&gt;=6,"Fuerte (6-6.9)",IF(J1476&gt;=5,"Moderado alto (5-5.9)",IF(J1476&gt;=4,"Moderado (4-4.9)","Menor a 4"))))</x:f>
        <x:v>Menor a 4</x:v>
      </x:c>
      <x:c r="L1476" s="25" t="str">
        <x:f>IF(I1476&lt;70,"Superficial (&lt;70 km)",IF(I1476&lt;=300,"Intermedio (70-300 km)","Profundo (&gt;300 km)"))</x:f>
        <x:v>Superficial (&lt;70 km)</x:v>
      </x:c>
      <x:c r="M1476" s="25" t="str">
        <x:f>IF(J1476&gt;=5,"Sí","No")</x:f>
        <x:v>No</x:v>
      </x:c>
      <x:c r="N1476" s="25" t="str">
        <x:f>IF(J1476&gt;=6,"Sí","No")</x:f>
        <x:v>No</x:v>
      </x:c>
      <x:c r="O1476" s="25" t="str">
        <x:v>Pendiente: asignar con R/sf</x:v>
      </x:c>
    </x:row>
    <x:row r="1477">
      <x:c r="A1477" s="25" t="n">
        <x:v>1476</x:v>
      </x:c>
      <x:c r="B1477" s="26" t="n">
        <x:v>45635.43090277778</x:v>
      </x:c>
      <x:c r="C1477" s="27" t="n">
        <x:f>INT(B1477)</x:f>
        <x:v>45635</x:v>
      </x:c>
      <x:c r="D1477" s="28" t="n">
        <x:f>MOD(B1477,1)</x:f>
        <x:v>0.43090277777810115</x:v>
      </x:c>
      <x:c r="E1477" s="29" t="n">
        <x:f>YEAR(B1477)</x:f>
        <x:v>2024</x:v>
      </x:c>
      <x:c r="F1477" s="29" t="n">
        <x:f>MONTH(B1477)</x:f>
        <x:v>12</x:v>
      </x:c>
      <x:c r="G1477" s="30" t="n">
        <x:v>-32.12</x:v>
      </x:c>
      <x:c r="H1477" s="30" t="n">
        <x:v>-71.67</x:v>
      </x:c>
      <x:c r="I1477" s="29" t="n">
        <x:v>55</x:v>
      </x:c>
      <x:c r="J1477" s="31" t="n">
        <x:v>3.8</x:v>
      </x:c>
      <x:c r="K1477" s="25" t="str">
        <x:f>IF(J1477&gt;=7,"Muy fuerte (&gt;=7)",IF(J1477&gt;=6,"Fuerte (6-6.9)",IF(J1477&gt;=5,"Moderado alto (5-5.9)",IF(J1477&gt;=4,"Moderado (4-4.9)","Menor a 4"))))</x:f>
        <x:v>Menor a 4</x:v>
      </x:c>
      <x:c r="L1477" s="25" t="str">
        <x:f>IF(I1477&lt;70,"Superficial (&lt;70 km)",IF(I1477&lt;=300,"Intermedio (70-300 km)","Profundo (&gt;300 km)"))</x:f>
        <x:v>Superficial (&lt;70 km)</x:v>
      </x:c>
      <x:c r="M1477" s="25" t="str">
        <x:f>IF(J1477&gt;=5,"Sí","No")</x:f>
        <x:v>No</x:v>
      </x:c>
      <x:c r="N1477" s="25" t="str">
        <x:f>IF(J1477&gt;=6,"Sí","No")</x:f>
        <x:v>No</x:v>
      </x:c>
      <x:c r="O1477" s="25" t="str">
        <x:v>Pendiente: asignar con R/sf</x:v>
      </x:c>
    </x:row>
    <x:row r="1478">
      <x:c r="A1478" s="25" t="n">
        <x:v>1477</x:v>
      </x:c>
      <x:c r="B1478" s="26" t="n">
        <x:v>45649.15898148148</x:v>
      </x:c>
      <x:c r="C1478" s="27" t="n">
        <x:f>INT(B1478)</x:f>
        <x:v>45649</x:v>
      </x:c>
      <x:c r="D1478" s="28" t="n">
        <x:f>MOD(B1478,1)</x:f>
        <x:v>0.1589814814797137</x:v>
      </x:c>
      <x:c r="E1478" s="29" t="n">
        <x:f>YEAR(B1478)</x:f>
        <x:v>2024</x:v>
      </x:c>
      <x:c r="F1478" s="29" t="n">
        <x:f>MONTH(B1478)</x:f>
        <x:v>12</x:v>
      </x:c>
      <x:c r="G1478" s="30" t="n">
        <x:v>-29.45</x:v>
      </x:c>
      <x:c r="H1478" s="30" t="n">
        <x:v>-71</x:v>
      </x:c>
      <x:c r="I1478" s="29" t="n">
        <x:v>56</x:v>
      </x:c>
      <x:c r="J1478" s="31" t="n">
        <x:v>3.6</x:v>
      </x:c>
      <x:c r="K1478" s="25" t="str">
        <x:f>IF(J1478&gt;=7,"Muy fuerte (&gt;=7)",IF(J1478&gt;=6,"Fuerte (6-6.9)",IF(J1478&gt;=5,"Moderado alto (5-5.9)",IF(J1478&gt;=4,"Moderado (4-4.9)","Menor a 4"))))</x:f>
        <x:v>Menor a 4</x:v>
      </x:c>
      <x:c r="L1478" s="25" t="str">
        <x:f>IF(I1478&lt;70,"Superficial (&lt;70 km)",IF(I1478&lt;=300,"Intermedio (70-300 km)","Profundo (&gt;300 km)"))</x:f>
        <x:v>Superficial (&lt;70 km)</x:v>
      </x:c>
      <x:c r="M1478" s="25" t="str">
        <x:f>IF(J1478&gt;=5,"Sí","No")</x:f>
        <x:v>No</x:v>
      </x:c>
      <x:c r="N1478" s="25" t="str">
        <x:f>IF(J1478&gt;=6,"Sí","No")</x:f>
        <x:v>No</x:v>
      </x:c>
      <x:c r="O1478" s="25" t="str">
        <x:v>Pendiente: asignar con R/sf</x:v>
      </x:c>
    </x:row>
    <x:row r="1479">
      <x:c r="A1479" s="25" t="n">
        <x:v>1478</x:v>
      </x:c>
      <x:c r="B1479" s="26" t="n">
        <x:v>45681.547939814816</x:v>
      </x:c>
      <x:c r="C1479" s="27" t="n">
        <x:f>INT(B1479)</x:f>
        <x:v>45681</x:v>
      </x:c>
      <x:c r="D1479" s="28" t="n">
        <x:f>MOD(B1479,1)</x:f>
        <x:v>0.5479398148163455</x:v>
      </x:c>
      <x:c r="E1479" s="29" t="n">
        <x:f>YEAR(B1479)</x:f>
        <x:v>2025</x:v>
      </x:c>
      <x:c r="F1479" s="29" t="n">
        <x:f>MONTH(B1479)</x:f>
        <x:v>1</x:v>
      </x:c>
      <x:c r="G1479" s="30" t="n">
        <x:v>-28.93</x:v>
      </x:c>
      <x:c r="H1479" s="30" t="n">
        <x:v>-71.4</x:v>
      </x:c>
      <x:c r="I1479" s="29" t="n">
        <x:v>45</x:v>
      </x:c>
      <x:c r="J1479" s="31" t="n">
        <x:v>3.4</x:v>
      </x:c>
      <x:c r="K1479" s="25" t="str">
        <x:f>IF(J1479&gt;=7,"Muy fuerte (&gt;=7)",IF(J1479&gt;=6,"Fuerte (6-6.9)",IF(J1479&gt;=5,"Moderado alto (5-5.9)",IF(J1479&gt;=4,"Moderado (4-4.9)","Menor a 4"))))</x:f>
        <x:v>Menor a 4</x:v>
      </x:c>
      <x:c r="L1479" s="25" t="str">
        <x:f>IF(I1479&lt;70,"Superficial (&lt;70 km)",IF(I1479&lt;=300,"Intermedio (70-300 km)","Profundo (&gt;300 km)"))</x:f>
        <x:v>Superficial (&lt;70 km)</x:v>
      </x:c>
      <x:c r="M1479" s="25" t="str">
        <x:f>IF(J1479&gt;=5,"Sí","No")</x:f>
        <x:v>No</x:v>
      </x:c>
      <x:c r="N1479" s="25" t="str">
        <x:f>IF(J1479&gt;=6,"Sí","No")</x:f>
        <x:v>No</x:v>
      </x:c>
      <x:c r="O1479" s="25" t="str">
        <x:v>Pendiente: asignar con R/sf</x:v>
      </x:c>
    </x:row>
    <x:row r="1480">
      <x:c r="A1480" s="25" t="n">
        <x:v>1479</x:v>
      </x:c>
      <x:c r="B1480" s="26" t="n">
        <x:v>44786.90377314815</x:v>
      </x:c>
      <x:c r="C1480" s="27" t="n">
        <x:f>INT(B1480)</x:f>
        <x:v>44786</x:v>
      </x:c>
      <x:c r="D1480" s="28" t="n">
        <x:f>MOD(B1480,1)</x:f>
        <x:v>0.903773148151231</x:v>
      </x:c>
      <x:c r="E1480" s="29" t="n">
        <x:f>YEAR(B1480)</x:f>
        <x:v>2022</x:v>
      </x:c>
      <x:c r="F1480" s="29" t="n">
        <x:f>MONTH(B1480)</x:f>
        <x:v>8</x:v>
      </x:c>
      <x:c r="G1480" s="30" t="n">
        <x:v>-31.51</x:v>
      </x:c>
      <x:c r="H1480" s="30" t="n">
        <x:v>-71.24</x:v>
      </x:c>
      <x:c r="I1480" s="29" t="n">
        <x:v>56</x:v>
      </x:c>
      <x:c r="J1480" s="31" t="n">
        <x:v>3.1</x:v>
      </x:c>
      <x:c r="K1480" s="25" t="str">
        <x:f>IF(J1480&gt;=7,"Muy fuerte (&gt;=7)",IF(J1480&gt;=6,"Fuerte (6-6.9)",IF(J1480&gt;=5,"Moderado alto (5-5.9)",IF(J1480&gt;=4,"Moderado (4-4.9)","Menor a 4"))))</x:f>
        <x:v>Menor a 4</x:v>
      </x:c>
      <x:c r="L1480" s="25" t="str">
        <x:f>IF(I1480&lt;70,"Superficial (&lt;70 km)",IF(I1480&lt;=300,"Intermedio (70-300 km)","Profundo (&gt;300 km)"))</x:f>
        <x:v>Superficial (&lt;70 km)</x:v>
      </x:c>
      <x:c r="M1480" s="25" t="str">
        <x:f>IF(J1480&gt;=5,"Sí","No")</x:f>
        <x:v>No</x:v>
      </x:c>
      <x:c r="N1480" s="25" t="str">
        <x:f>IF(J1480&gt;=6,"Sí","No")</x:f>
        <x:v>No</x:v>
      </x:c>
      <x:c r="O1480" s="25" t="str">
        <x:v>Pendiente: asignar con R/sf</x:v>
      </x:c>
    </x:row>
    <x:row r="1481">
      <x:c r="A1481" s="25" t="n">
        <x:v>1480</x:v>
      </x:c>
      <x:c r="B1481" s="26" t="n">
        <x:v>44794.13371527778</x:v>
      </x:c>
      <x:c r="C1481" s="27" t="n">
        <x:f>INT(B1481)</x:f>
        <x:v>44794</x:v>
      </x:c>
      <x:c r="D1481" s="28" t="n">
        <x:f>MOD(B1481,1)</x:f>
        <x:v>0.13371527777781012</x:v>
      </x:c>
      <x:c r="E1481" s="29" t="n">
        <x:f>YEAR(B1481)</x:f>
        <x:v>2022</x:v>
      </x:c>
      <x:c r="F1481" s="29" t="n">
        <x:f>MONTH(B1481)</x:f>
        <x:v>8</x:v>
      </x:c>
      <x:c r="G1481" s="30" t="n">
        <x:v>-31.49</x:v>
      </x:c>
      <x:c r="H1481" s="30" t="n">
        <x:v>-71.44</x:v>
      </x:c>
      <x:c r="I1481" s="29" t="n">
        <x:v>60</x:v>
      </x:c>
      <x:c r="J1481" s="31" t="n">
        <x:v>3</x:v>
      </x:c>
      <x:c r="K1481" s="25" t="str">
        <x:f>IF(J1481&gt;=7,"Muy fuerte (&gt;=7)",IF(J1481&gt;=6,"Fuerte (6-6.9)",IF(J1481&gt;=5,"Moderado alto (5-5.9)",IF(J1481&gt;=4,"Moderado (4-4.9)","Menor a 4"))))</x:f>
        <x:v>Menor a 4</x:v>
      </x:c>
      <x:c r="L1481" s="25" t="str">
        <x:f>IF(I1481&lt;70,"Superficial (&lt;70 km)",IF(I1481&lt;=300,"Intermedio (70-300 km)","Profundo (&gt;300 km)"))</x:f>
        <x:v>Superficial (&lt;70 km)</x:v>
      </x:c>
      <x:c r="M1481" s="25" t="str">
        <x:f>IF(J1481&gt;=5,"Sí","No")</x:f>
        <x:v>No</x:v>
      </x:c>
      <x:c r="N1481" s="25" t="str">
        <x:f>IF(J1481&gt;=6,"Sí","No")</x:f>
        <x:v>No</x:v>
      </x:c>
      <x:c r="O1481" s="25" t="str">
        <x:v>Pendiente: asignar con R/sf</x:v>
      </x:c>
    </x:row>
    <x:row r="1482">
      <x:c r="A1482" s="25" t="n">
        <x:v>1481</x:v>
      </x:c>
      <x:c r="B1482" s="26" t="n">
        <x:v>45262.591828703706</x:v>
      </x:c>
      <x:c r="C1482" s="27" t="n">
        <x:f>INT(B1482)</x:f>
        <x:v>45262</x:v>
      </x:c>
      <x:c r="D1482" s="28" t="n">
        <x:f>MOD(B1482,1)</x:f>
        <x:v>0.5918287037056871</x:v>
      </x:c>
      <x:c r="E1482" s="29" t="n">
        <x:f>YEAR(B1482)</x:f>
        <x:v>2023</x:v>
      </x:c>
      <x:c r="F1482" s="29" t="n">
        <x:f>MONTH(B1482)</x:f>
        <x:v>12</x:v>
      </x:c>
      <x:c r="G1482" s="30" t="n">
        <x:v>-31.26</x:v>
      </x:c>
      <x:c r="H1482" s="30" t="n">
        <x:v>-71.51</x:v>
      </x:c>
      <x:c r="I1482" s="29" t="n">
        <x:v>54</x:v>
      </x:c>
      <x:c r="J1482" s="31" t="n">
        <x:v>3.3</x:v>
      </x:c>
      <x:c r="K1482" s="25" t="str">
        <x:f>IF(J1482&gt;=7,"Muy fuerte (&gt;=7)",IF(J1482&gt;=6,"Fuerte (6-6.9)",IF(J1482&gt;=5,"Moderado alto (5-5.9)",IF(J1482&gt;=4,"Moderado (4-4.9)","Menor a 4"))))</x:f>
        <x:v>Menor a 4</x:v>
      </x:c>
      <x:c r="L1482" s="25" t="str">
        <x:f>IF(I1482&lt;70,"Superficial (&lt;70 km)",IF(I1482&lt;=300,"Intermedio (70-300 km)","Profundo (&gt;300 km)"))</x:f>
        <x:v>Superficial (&lt;70 km)</x:v>
      </x:c>
      <x:c r="M1482" s="25" t="str">
        <x:f>IF(J1482&gt;=5,"Sí","No")</x:f>
        <x:v>No</x:v>
      </x:c>
      <x:c r="N1482" s="25" t="str">
        <x:f>IF(J1482&gt;=6,"Sí","No")</x:f>
        <x:v>No</x:v>
      </x:c>
      <x:c r="O1482" s="25" t="str">
        <x:v>Pendiente: asignar con R/sf</x:v>
      </x:c>
    </x:row>
    <x:row r="1483">
      <x:c r="A1483" s="25" t="n">
        <x:v>1482</x:v>
      </x:c>
      <x:c r="B1483" s="26" t="n">
        <x:v>45481.001747685186</x:v>
      </x:c>
      <x:c r="C1483" s="27" t="n">
        <x:f>INT(B1483)</x:f>
        <x:v>45481</x:v>
      </x:c>
      <x:c r="D1483" s="28" t="n">
        <x:f>MOD(B1483,1)</x:f>
        <x:v>0.001747685186273884</x:v>
      </x:c>
      <x:c r="E1483" s="29" t="n">
        <x:f>YEAR(B1483)</x:f>
        <x:v>2024</x:v>
      </x:c>
      <x:c r="F1483" s="29" t="n">
        <x:f>MONTH(B1483)</x:f>
        <x:v>7</x:v>
      </x:c>
      <x:c r="G1483" s="30" t="n">
        <x:v>-31.33</x:v>
      </x:c>
      <x:c r="H1483" s="30" t="n">
        <x:v>-71.39</x:v>
      </x:c>
      <x:c r="I1483" s="29" t="n">
        <x:v>56</x:v>
      </x:c>
      <x:c r="J1483" s="31" t="n">
        <x:v>3.4</x:v>
      </x:c>
      <x:c r="K1483" s="25" t="str">
        <x:f>IF(J1483&gt;=7,"Muy fuerte (&gt;=7)",IF(J1483&gt;=6,"Fuerte (6-6.9)",IF(J1483&gt;=5,"Moderado alto (5-5.9)",IF(J1483&gt;=4,"Moderado (4-4.9)","Menor a 4"))))</x:f>
        <x:v>Menor a 4</x:v>
      </x:c>
      <x:c r="L1483" s="25" t="str">
        <x:f>IF(I1483&lt;70,"Superficial (&lt;70 km)",IF(I1483&lt;=300,"Intermedio (70-300 km)","Profundo (&gt;300 km)"))</x:f>
        <x:v>Superficial (&lt;70 km)</x:v>
      </x:c>
      <x:c r="M1483" s="25" t="str">
        <x:f>IF(J1483&gt;=5,"Sí","No")</x:f>
        <x:v>No</x:v>
      </x:c>
      <x:c r="N1483" s="25" t="str">
        <x:f>IF(J1483&gt;=6,"Sí","No")</x:f>
        <x:v>No</x:v>
      </x:c>
      <x:c r="O1483" s="25" t="str">
        <x:v>Pendiente: asignar con R/sf</x:v>
      </x:c>
    </x:row>
    <x:row r="1484">
      <x:c r="A1484" s="25" t="n">
        <x:v>1483</x:v>
      </x:c>
      <x:c r="B1484" s="26" t="n">
        <x:v>45698.52581018519</x:v>
      </x:c>
      <x:c r="C1484" s="27" t="n">
        <x:f>INT(B1484)</x:f>
        <x:v>45698</x:v>
      </x:c>
      <x:c r="D1484" s="28" t="n">
        <x:f>MOD(B1484,1)</x:f>
        <x:v>0.525810185186856</x:v>
      </x:c>
      <x:c r="E1484" s="29" t="n">
        <x:f>YEAR(B1484)</x:f>
        <x:v>2025</x:v>
      </x:c>
      <x:c r="F1484" s="29" t="n">
        <x:f>MONTH(B1484)</x:f>
        <x:v>2</x:v>
      </x:c>
      <x:c r="G1484" s="30" t="n">
        <x:v>-32.18</x:v>
      </x:c>
      <x:c r="H1484" s="30" t="n">
        <x:v>-71.37</x:v>
      </x:c>
      <x:c r="I1484" s="29" t="n">
        <x:v>65</x:v>
      </x:c>
      <x:c r="J1484" s="31" t="n">
        <x:v>4.1</x:v>
      </x:c>
      <x:c r="K1484" s="25" t="str">
        <x:f>IF(J1484&gt;=7,"Muy fuerte (&gt;=7)",IF(J1484&gt;=6,"Fuerte (6-6.9)",IF(J1484&gt;=5,"Moderado alto (5-5.9)",IF(J1484&gt;=4,"Moderado (4-4.9)","Menor a 4"))))</x:f>
        <x:v>Moderado (4-4.9)</x:v>
      </x:c>
      <x:c r="L1484" s="25" t="str">
        <x:f>IF(I1484&lt;70,"Superficial (&lt;70 km)",IF(I1484&lt;=300,"Intermedio (70-300 km)","Profundo (&gt;300 km)"))</x:f>
        <x:v>Superficial (&lt;70 km)</x:v>
      </x:c>
      <x:c r="M1484" s="25" t="str">
        <x:f>IF(J1484&gt;=5,"Sí","No")</x:f>
        <x:v>No</x:v>
      </x:c>
      <x:c r="N1484" s="25" t="str">
        <x:f>IF(J1484&gt;=6,"Sí","No")</x:f>
        <x:v>No</x:v>
      </x:c>
      <x:c r="O1484" s="25" t="str">
        <x:v>Pendiente: asignar con R/sf</x:v>
      </x:c>
    </x:row>
    <x:row r="1485">
      <x:c r="A1485" s="25" t="n">
        <x:v>1484</x:v>
      </x:c>
      <x:c r="B1485" s="26" t="n">
        <x:v>45769.09258101852</x:v>
      </x:c>
      <x:c r="C1485" s="27" t="n">
        <x:f>INT(B1485)</x:f>
        <x:v>45769</x:v>
      </x:c>
      <x:c r="D1485" s="28" t="n">
        <x:f>MOD(B1485,1)</x:f>
        <x:v>0.0925810185217415</x:v>
      </x:c>
      <x:c r="E1485" s="29" t="n">
        <x:f>YEAR(B1485)</x:f>
        <x:v>2025</x:v>
      </x:c>
      <x:c r="F1485" s="29" t="n">
        <x:f>MONTH(B1485)</x:f>
        <x:v>4</x:v>
      </x:c>
      <x:c r="G1485" s="30" t="n">
        <x:v>-31.55</x:v>
      </x:c>
      <x:c r="H1485" s="30" t="n">
        <x:v>-71.34</x:v>
      </x:c>
      <x:c r="I1485" s="29" t="n">
        <x:v>47</x:v>
      </x:c>
      <x:c r="J1485" s="31" t="n">
        <x:v>3.7</x:v>
      </x:c>
      <x:c r="K1485" s="25" t="str">
        <x:f>IF(J1485&gt;=7,"Muy fuerte (&gt;=7)",IF(J1485&gt;=6,"Fuerte (6-6.9)",IF(J1485&gt;=5,"Moderado alto (5-5.9)",IF(J1485&gt;=4,"Moderado (4-4.9)","Menor a 4"))))</x:f>
        <x:v>Menor a 4</x:v>
      </x:c>
      <x:c r="L1485" s="25" t="str">
        <x:f>IF(I1485&lt;70,"Superficial (&lt;70 km)",IF(I1485&lt;=300,"Intermedio (70-300 km)","Profundo (&gt;300 km)"))</x:f>
        <x:v>Superficial (&lt;70 km)</x:v>
      </x:c>
      <x:c r="M1485" s="25" t="str">
        <x:f>IF(J1485&gt;=5,"Sí","No")</x:f>
        <x:v>No</x:v>
      </x:c>
      <x:c r="N1485" s="25" t="str">
        <x:f>IF(J1485&gt;=6,"Sí","No")</x:f>
        <x:v>No</x:v>
      </x:c>
      <x:c r="O1485" s="25" t="str">
        <x:v>Pendiente: asignar con R/sf</x:v>
      </x:c>
    </x:row>
    <x:row r="1486">
      <x:c r="A1486" s="25" t="n">
        <x:v>1485</x:v>
      </x:c>
      <x:c r="B1486" s="26" t="n">
        <x:v>45838.341990740744</x:v>
      </x:c>
      <x:c r="C1486" s="27" t="n">
        <x:f>INT(B1486)</x:f>
        <x:v>45838</x:v>
      </x:c>
      <x:c r="D1486" s="28" t="n">
        <x:f>MOD(B1486,1)</x:f>
        <x:v>0.3419907407442224</x:v>
      </x:c>
      <x:c r="E1486" s="29" t="n">
        <x:f>YEAR(B1486)</x:f>
        <x:v>2025</x:v>
      </x:c>
      <x:c r="F1486" s="29" t="n">
        <x:f>MONTH(B1486)</x:f>
        <x:v>6</x:v>
      </x:c>
      <x:c r="G1486" s="30" t="n">
        <x:v>-31.96</x:v>
      </x:c>
      <x:c r="H1486" s="30" t="n">
        <x:v>-71.24</x:v>
      </x:c>
      <x:c r="I1486" s="29" t="n">
        <x:v>57</x:v>
      </x:c>
      <x:c r="J1486" s="31" t="n">
        <x:v>4.6</x:v>
      </x:c>
      <x:c r="K1486" s="25" t="str">
        <x:f>IF(J1486&gt;=7,"Muy fuerte (&gt;=7)",IF(J1486&gt;=6,"Fuerte (6-6.9)",IF(J1486&gt;=5,"Moderado alto (5-5.9)",IF(J1486&gt;=4,"Moderado (4-4.9)","Menor a 4"))))</x:f>
        <x:v>Moderado (4-4.9)</x:v>
      </x:c>
      <x:c r="L1486" s="25" t="str">
        <x:f>IF(I1486&lt;70,"Superficial (&lt;70 km)",IF(I1486&lt;=300,"Intermedio (70-300 km)","Profundo (&gt;300 km)"))</x:f>
        <x:v>Superficial (&lt;70 km)</x:v>
      </x:c>
      <x:c r="M1486" s="25" t="str">
        <x:f>IF(J1486&gt;=5,"Sí","No")</x:f>
        <x:v>No</x:v>
      </x:c>
      <x:c r="N1486" s="25" t="str">
        <x:f>IF(J1486&gt;=6,"Sí","No")</x:f>
        <x:v>No</x:v>
      </x:c>
      <x:c r="O1486" s="25" t="str">
        <x:v>Pendiente: asignar con R/sf</x:v>
      </x:c>
    </x:row>
    <x:row r="1487">
      <x:c r="A1487" s="25" t="n">
        <x:v>1486</x:v>
      </x:c>
      <x:c r="B1487" s="26" t="n">
        <x:v>45777.71556712963</x:v>
      </x:c>
      <x:c r="C1487" s="27" t="n">
        <x:f>INT(B1487)</x:f>
        <x:v>45777</x:v>
      </x:c>
      <x:c r="D1487" s="28" t="n">
        <x:f>MOD(B1487,1)</x:f>
        <x:v>0.7155671296277433</x:v>
      </x:c>
      <x:c r="E1487" s="29" t="n">
        <x:f>YEAR(B1487)</x:f>
        <x:v>2025</x:v>
      </x:c>
      <x:c r="F1487" s="29" t="n">
        <x:f>MONTH(B1487)</x:f>
        <x:v>4</x:v>
      </x:c>
      <x:c r="G1487" s="30" t="n">
        <x:v>-30.68</x:v>
      </x:c>
      <x:c r="H1487" s="30" t="n">
        <x:v>-71.73</x:v>
      </x:c>
      <x:c r="I1487" s="29" t="n">
        <x:v>35</x:v>
      </x:c>
      <x:c r="J1487" s="31" t="n">
        <x:v>4.7</x:v>
      </x:c>
      <x:c r="K1487" s="25" t="str">
        <x:f>IF(J1487&gt;=7,"Muy fuerte (&gt;=7)",IF(J1487&gt;=6,"Fuerte (6-6.9)",IF(J1487&gt;=5,"Moderado alto (5-5.9)",IF(J1487&gt;=4,"Moderado (4-4.9)","Menor a 4"))))</x:f>
        <x:v>Moderado (4-4.9)</x:v>
      </x:c>
      <x:c r="L1487" s="25" t="str">
        <x:f>IF(I1487&lt;70,"Superficial (&lt;70 km)",IF(I1487&lt;=300,"Intermedio (70-300 km)","Profundo (&gt;300 km)"))</x:f>
        <x:v>Superficial (&lt;70 km)</x:v>
      </x:c>
      <x:c r="M1487" s="25" t="str">
        <x:f>IF(J1487&gt;=5,"Sí","No")</x:f>
        <x:v>No</x:v>
      </x:c>
      <x:c r="N1487" s="25" t="str">
        <x:f>IF(J1487&gt;=6,"Sí","No")</x:f>
        <x:v>No</x:v>
      </x:c>
      <x:c r="O1487" s="25" t="str">
        <x:v>Pendiente: asignar con R/sf</x:v>
      </x:c>
    </x:row>
    <x:row r="1488">
      <x:c r="A1488" s="25" t="n">
        <x:v>1487</x:v>
      </x:c>
      <x:c r="B1488" s="26" t="n">
        <x:v>45210.91594907407</x:v>
      </x:c>
      <x:c r="C1488" s="27" t="n">
        <x:f>INT(B1488)</x:f>
        <x:v>45210</x:v>
      </x:c>
      <x:c r="D1488" s="28" t="n">
        <x:f>MOD(B1488,1)</x:f>
        <x:v>0.9159490740712499</x:v>
      </x:c>
      <x:c r="E1488" s="29" t="n">
        <x:f>YEAR(B1488)</x:f>
        <x:v>2023</x:v>
      </x:c>
      <x:c r="F1488" s="29" t="n">
        <x:f>MONTH(B1488)</x:f>
        <x:v>10</x:v>
      </x:c>
      <x:c r="G1488" s="30" t="n">
        <x:v>-30.67</x:v>
      </x:c>
      <x:c r="H1488" s="30" t="n">
        <x:v>-71.21</x:v>
      </x:c>
      <x:c r="I1488" s="29" t="n">
        <x:v>59</x:v>
      </x:c>
      <x:c r="J1488" s="31" t="n">
        <x:v>3.8</x:v>
      </x:c>
      <x:c r="K1488" s="25" t="str">
        <x:f>IF(J1488&gt;=7,"Muy fuerte (&gt;=7)",IF(J1488&gt;=6,"Fuerte (6-6.9)",IF(J1488&gt;=5,"Moderado alto (5-5.9)",IF(J1488&gt;=4,"Moderado (4-4.9)","Menor a 4"))))</x:f>
        <x:v>Menor a 4</x:v>
      </x:c>
      <x:c r="L1488" s="25" t="str">
        <x:f>IF(I1488&lt;70,"Superficial (&lt;70 km)",IF(I1488&lt;=300,"Intermedio (70-300 km)","Profundo (&gt;300 km)"))</x:f>
        <x:v>Superficial (&lt;70 km)</x:v>
      </x:c>
      <x:c r="M1488" s="25" t="str">
        <x:f>IF(J1488&gt;=5,"Sí","No")</x:f>
        <x:v>No</x:v>
      </x:c>
      <x:c r="N1488" s="25" t="str">
        <x:f>IF(J1488&gt;=6,"Sí","No")</x:f>
        <x:v>No</x:v>
      </x:c>
      <x:c r="O1488" s="25" t="str">
        <x:v>Pendiente: asignar con R/sf</x:v>
      </x:c>
    </x:row>
    <x:row r="1489">
      <x:c r="A1489" s="25" t="n">
        <x:v>1488</x:v>
      </x:c>
      <x:c r="B1489" s="26" t="n">
        <x:v>45342.49943287037</x:v>
      </x:c>
      <x:c r="C1489" s="27" t="n">
        <x:f>INT(B1489)</x:f>
        <x:v>45342</x:v>
      </x:c>
      <x:c r="D1489" s="28" t="n">
        <x:f>MOD(B1489,1)</x:f>
        <x:v>0.49943287036876427</x:v>
      </x:c>
      <x:c r="E1489" s="29" t="n">
        <x:f>YEAR(B1489)</x:f>
        <x:v>2024</x:v>
      </x:c>
      <x:c r="F1489" s="29" t="n">
        <x:f>MONTH(B1489)</x:f>
        <x:v>2</x:v>
      </x:c>
      <x:c r="G1489" s="30" t="n">
        <x:v>-30.85</x:v>
      </x:c>
      <x:c r="H1489" s="30" t="n">
        <x:v>-71.37</x:v>
      </x:c>
      <x:c r="I1489" s="29" t="n">
        <x:v>50</x:v>
      </x:c>
      <x:c r="J1489" s="31" t="n">
        <x:v>3.2</x:v>
      </x:c>
      <x:c r="K1489" s="25" t="str">
        <x:f>IF(J1489&gt;=7,"Muy fuerte (&gt;=7)",IF(J1489&gt;=6,"Fuerte (6-6.9)",IF(J1489&gt;=5,"Moderado alto (5-5.9)",IF(J1489&gt;=4,"Moderado (4-4.9)","Menor a 4"))))</x:f>
        <x:v>Menor a 4</x:v>
      </x:c>
      <x:c r="L1489" s="25" t="str">
        <x:f>IF(I1489&lt;70,"Superficial (&lt;70 km)",IF(I1489&lt;=300,"Intermedio (70-300 km)","Profundo (&gt;300 km)"))</x:f>
        <x:v>Superficial (&lt;70 km)</x:v>
      </x:c>
      <x:c r="M1489" s="25" t="str">
        <x:f>IF(J1489&gt;=5,"Sí","No")</x:f>
        <x:v>No</x:v>
      </x:c>
      <x:c r="N1489" s="25" t="str">
        <x:f>IF(J1489&gt;=6,"Sí","No")</x:f>
        <x:v>No</x:v>
      </x:c>
      <x:c r="O1489" s="25" t="str">
        <x:v>Pendiente: asignar con R/sf</x:v>
      </x:c>
    </x:row>
    <x:row r="1490">
      <x:c r="A1490" s="25" t="n">
        <x:v>1489</x:v>
      </x:c>
      <x:c r="B1490" s="26" t="n">
        <x:v>45439.90788194445</x:v>
      </x:c>
      <x:c r="C1490" s="27" t="n">
        <x:f>INT(B1490)</x:f>
        <x:v>45439</x:v>
      </x:c>
      <x:c r="D1490" s="28" t="n">
        <x:f>MOD(B1490,1)</x:f>
        <x:v>0.9078819444475812</x:v>
      </x:c>
      <x:c r="E1490" s="29" t="n">
        <x:f>YEAR(B1490)</x:f>
        <x:v>2024</x:v>
      </x:c>
      <x:c r="F1490" s="29" t="n">
        <x:f>MONTH(B1490)</x:f>
        <x:v>5</x:v>
      </x:c>
      <x:c r="G1490" s="30" t="n">
        <x:v>-30.66</x:v>
      </x:c>
      <x:c r="H1490" s="30" t="n">
        <x:v>-71.26</x:v>
      </x:c>
      <x:c r="I1490" s="29" t="n">
        <x:v>58</x:v>
      </x:c>
      <x:c r="J1490" s="31" t="n">
        <x:v>3.6</x:v>
      </x:c>
      <x:c r="K1490" s="25" t="str">
        <x:f>IF(J1490&gt;=7,"Muy fuerte (&gt;=7)",IF(J1490&gt;=6,"Fuerte (6-6.9)",IF(J1490&gt;=5,"Moderado alto (5-5.9)",IF(J1490&gt;=4,"Moderado (4-4.9)","Menor a 4"))))</x:f>
        <x:v>Menor a 4</x:v>
      </x:c>
      <x:c r="L1490" s="25" t="str">
        <x:f>IF(I1490&lt;70,"Superficial (&lt;70 km)",IF(I1490&lt;=300,"Intermedio (70-300 km)","Profundo (&gt;300 km)"))</x:f>
        <x:v>Superficial (&lt;70 km)</x:v>
      </x:c>
      <x:c r="M1490" s="25" t="str">
        <x:f>IF(J1490&gt;=5,"Sí","No")</x:f>
        <x:v>No</x:v>
      </x:c>
      <x:c r="N1490" s="25" t="str">
        <x:f>IF(J1490&gt;=6,"Sí","No")</x:f>
        <x:v>No</x:v>
      </x:c>
      <x:c r="O1490" s="25" t="str">
        <x:v>Pendiente: asignar con R/sf</x:v>
      </x:c>
    </x:row>
    <x:row r="1491">
      <x:c r="A1491" s="25" t="n">
        <x:v>1490</x:v>
      </x:c>
      <x:c r="B1491" s="26" t="n">
        <x:v>45691.3993287037</x:v>
      </x:c>
      <x:c r="C1491" s="27" t="n">
        <x:f>INT(B1491)</x:f>
        <x:v>45691</x:v>
      </x:c>
      <x:c r="D1491" s="28" t="n">
        <x:f>MOD(B1491,1)</x:f>
        <x:v>0.39932870370103046</x:v>
      </x:c>
      <x:c r="E1491" s="29" t="n">
        <x:f>YEAR(B1491)</x:f>
        <x:v>2025</x:v>
      </x:c>
      <x:c r="F1491" s="29" t="n">
        <x:f>MONTH(B1491)</x:f>
        <x:v>2</x:v>
      </x:c>
      <x:c r="G1491" s="30" t="n">
        <x:v>-30.7</x:v>
      </x:c>
      <x:c r="H1491" s="30" t="n">
        <x:v>-71.36</x:v>
      </x:c>
      <x:c r="I1491" s="29" t="n">
        <x:v>50</x:v>
      </x:c>
      <x:c r="J1491" s="31" t="n">
        <x:v>3.6</x:v>
      </x:c>
      <x:c r="K1491" s="25" t="str">
        <x:f>IF(J1491&gt;=7,"Muy fuerte (&gt;=7)",IF(J1491&gt;=6,"Fuerte (6-6.9)",IF(J1491&gt;=5,"Moderado alto (5-5.9)",IF(J1491&gt;=4,"Moderado (4-4.9)","Menor a 4"))))</x:f>
        <x:v>Menor a 4</x:v>
      </x:c>
      <x:c r="L1491" s="25" t="str">
        <x:f>IF(I1491&lt;70,"Superficial (&lt;70 km)",IF(I1491&lt;=300,"Intermedio (70-300 km)","Profundo (&gt;300 km)"))</x:f>
        <x:v>Superficial (&lt;70 km)</x:v>
      </x:c>
      <x:c r="M1491" s="25" t="str">
        <x:f>IF(J1491&gt;=5,"Sí","No")</x:f>
        <x:v>No</x:v>
      </x:c>
      <x:c r="N1491" s="25" t="str">
        <x:f>IF(J1491&gt;=6,"Sí","No")</x:f>
        <x:v>No</x:v>
      </x:c>
      <x:c r="O1491" s="25" t="str">
        <x:v>Pendiente: asignar con R/sf</x:v>
      </x:c>
    </x:row>
    <x:row r="1492">
      <x:c r="A1492" s="25" t="n">
        <x:v>1491</x:v>
      </x:c>
      <x:c r="B1492" s="26" t="n">
        <x:v>45904.17371527778</x:v>
      </x:c>
      <x:c r="C1492" s="27" t="n">
        <x:f>INT(B1492)</x:f>
        <x:v>45904</x:v>
      </x:c>
      <x:c r="D1492" s="28" t="n">
        <x:f>MOD(B1492,1)</x:f>
        <x:v>0.17371527777868323</x:v>
      </x:c>
      <x:c r="E1492" s="29" t="n">
        <x:f>YEAR(B1492)</x:f>
        <x:v>2025</x:v>
      </x:c>
      <x:c r="F1492" s="29" t="n">
        <x:f>MONTH(B1492)</x:f>
        <x:v>9</x:v>
      </x:c>
      <x:c r="G1492" s="30" t="n">
        <x:v>-24.34</x:v>
      </x:c>
      <x:c r="H1492" s="30" t="n">
        <x:v>-67.3</x:v>
      </x:c>
      <x:c r="I1492" s="29" t="n">
        <x:v>195</x:v>
      </x:c>
      <x:c r="J1492" s="31" t="n">
        <x:v>6</x:v>
      </x:c>
      <x:c r="K1492" s="25" t="str">
        <x:f>IF(J1492&gt;=7,"Muy fuerte (&gt;=7)",IF(J1492&gt;=6,"Fuerte (6-6.9)",IF(J1492&gt;=5,"Moderado alto (5-5.9)",IF(J1492&gt;=4,"Moderado (4-4.9)","Menor a 4"))))</x:f>
        <x:v>Fuerte (6-6.9)</x:v>
      </x:c>
      <x:c r="L1492" s="25" t="str">
        <x:f>IF(I1492&lt;70,"Superficial (&lt;70 km)",IF(I1492&lt;=300,"Intermedio (70-300 km)","Profundo (&gt;300 km)"))</x:f>
        <x:v>Intermedio (70-300 km)</x:v>
      </x:c>
      <x:c r="M1492" s="25" t="str">
        <x:f>IF(J1492&gt;=5,"Sí","No")</x:f>
        <x:v>Sí</x:v>
      </x:c>
      <x:c r="N1492" s="25" t="str">
        <x:f>IF(J1492&gt;=6,"Sí","No")</x:f>
        <x:v>Sí</x:v>
      </x:c>
      <x:c r="O1492" s="25" t="str">
        <x:v>Pendiente: asignar con R/sf</x:v>
      </x:c>
    </x:row>
    <x:row r="1493">
      <x:c r="A1493" s="25" t="n">
        <x:v>1492</x:v>
      </x:c>
      <x:c r="B1493" s="26" t="n">
        <x:v>45915.87237268518</x:v>
      </x:c>
      <x:c r="C1493" s="27" t="n">
        <x:f>INT(B1493)</x:f>
        <x:v>45915</x:v>
      </x:c>
      <x:c r="D1493" s="28" t="n">
        <x:f>MOD(B1493,1)</x:f>
        <x:v>0.8723726851821993</x:v>
      </x:c>
      <x:c r="E1493" s="29" t="n">
        <x:f>YEAR(B1493)</x:f>
        <x:v>2025</x:v>
      </x:c>
      <x:c r="F1493" s="29" t="n">
        <x:f>MONTH(B1493)</x:f>
        <x:v>9</x:v>
      </x:c>
      <x:c r="G1493" s="30" t="n">
        <x:v>-20.09</x:v>
      </x:c>
      <x:c r="H1493" s="30" t="n">
        <x:v>-69.13</x:v>
      </x:c>
      <x:c r="I1493" s="29" t="n">
        <x:v>103</x:v>
      </x:c>
      <x:c r="J1493" s="31" t="n">
        <x:v>4.9</x:v>
      </x:c>
      <x:c r="K1493" s="25" t="str">
        <x:f>IF(J1493&gt;=7,"Muy fuerte (&gt;=7)",IF(J1493&gt;=6,"Fuerte (6-6.9)",IF(J1493&gt;=5,"Moderado alto (5-5.9)",IF(J1493&gt;=4,"Moderado (4-4.9)","Menor a 4"))))</x:f>
        <x:v>Moderado (4-4.9)</x:v>
      </x:c>
      <x:c r="L1493" s="25" t="str">
        <x:f>IF(I1493&lt;70,"Superficial (&lt;70 km)",IF(I1493&lt;=300,"Intermedio (70-300 km)","Profundo (&gt;300 km)"))</x:f>
        <x:v>Intermedio (70-300 km)</x:v>
      </x:c>
      <x:c r="M1493" s="25" t="str">
        <x:f>IF(J1493&gt;=5,"Sí","No")</x:f>
        <x:v>No</x:v>
      </x:c>
      <x:c r="N1493" s="25" t="str">
        <x:f>IF(J1493&gt;=6,"Sí","No")</x:f>
        <x:v>No</x:v>
      </x:c>
      <x:c r="O1493" s="25" t="str">
        <x:v>Pendiente: asignar con R/sf</x:v>
      </x:c>
    </x:row>
    <x:row r="1494">
      <x:c r="A1494" s="25" t="n">
        <x:v>1493</x:v>
      </x:c>
      <x:c r="B1494" s="26" t="n">
        <x:v>45919.20552083333</x:v>
      </x:c>
      <x:c r="C1494" s="27" t="n">
        <x:f>INT(B1494)</x:f>
        <x:v>45919</x:v>
      </x:c>
      <x:c r="D1494" s="28" t="n">
        <x:f>MOD(B1494,1)</x:f>
        <x:v>0.2055208333331393</x:v>
      </x:c>
      <x:c r="E1494" s="29" t="n">
        <x:f>YEAR(B1494)</x:f>
        <x:v>2025</x:v>
      </x:c>
      <x:c r="F1494" s="29" t="n">
        <x:f>MONTH(B1494)</x:f>
        <x:v>9</x:v>
      </x:c>
      <x:c r="G1494" s="30" t="n">
        <x:v>-20.25</x:v>
      </x:c>
      <x:c r="H1494" s="30" t="n">
        <x:v>-69.23</x:v>
      </x:c>
      <x:c r="I1494" s="29" t="n">
        <x:v>97</x:v>
      </x:c>
      <x:c r="J1494" s="31" t="n">
        <x:v>5.8</x:v>
      </x:c>
      <x:c r="K1494" s="25" t="str">
        <x:f>IF(J1494&gt;=7,"Muy fuerte (&gt;=7)",IF(J1494&gt;=6,"Fuerte (6-6.9)",IF(J1494&gt;=5,"Moderado alto (5-5.9)",IF(J1494&gt;=4,"Moderado (4-4.9)","Menor a 4"))))</x:f>
        <x:v>Moderado alto (5-5.9)</x:v>
      </x:c>
      <x:c r="L1494" s="25" t="str">
        <x:f>IF(I1494&lt;70,"Superficial (&lt;70 km)",IF(I1494&lt;=300,"Intermedio (70-300 km)","Profundo (&gt;300 km)"))</x:f>
        <x:v>Intermedio (70-300 km)</x:v>
      </x:c>
      <x:c r="M1494" s="25" t="str">
        <x:f>IF(J1494&gt;=5,"Sí","No")</x:f>
        <x:v>Sí</x:v>
      </x:c>
      <x:c r="N1494" s="25" t="str">
        <x:f>IF(J1494&gt;=6,"Sí","No")</x:f>
        <x:v>No</x:v>
      </x:c>
      <x:c r="O1494" s="25" t="str">
        <x:v>Pendiente: asignar con R/sf</x:v>
      </x:c>
    </x:row>
    <x:row r="1495">
      <x:c r="A1495" s="25" t="n">
        <x:v>1494</x:v>
      </x:c>
      <x:c r="B1495" s="26" t="n">
        <x:v>45924.20625</x:v>
      </x:c>
      <x:c r="C1495" s="27" t="n">
        <x:f>INT(B1495)</x:f>
        <x:v>45924</x:v>
      </x:c>
      <x:c r="D1495" s="28" t="n">
        <x:f>MOD(B1495,1)</x:f>
        <x:v>0.20625000000291038</x:v>
      </x:c>
      <x:c r="E1495" s="29" t="n">
        <x:f>YEAR(B1495)</x:f>
        <x:v>2025</x:v>
      </x:c>
      <x:c r="F1495" s="29" t="n">
        <x:f>MONTH(B1495)</x:f>
        <x:v>9</x:v>
      </x:c>
      <x:c r="G1495" s="30" t="n">
        <x:v>-23.72</x:v>
      </x:c>
      <x:c r="H1495" s="30" t="n">
        <x:v>-69.13</x:v>
      </x:c>
      <x:c r="I1495" s="29" t="n">
        <x:v>94</x:v>
      </x:c>
      <x:c r="J1495" s="31" t="n">
        <x:v>5</x:v>
      </x:c>
      <x:c r="K1495" s="25" t="str">
        <x:f>IF(J1495&gt;=7,"Muy fuerte (&gt;=7)",IF(J1495&gt;=6,"Fuerte (6-6.9)",IF(J1495&gt;=5,"Moderado alto (5-5.9)",IF(J1495&gt;=4,"Moderado (4-4.9)","Menor a 4"))))</x:f>
        <x:v>Moderado alto (5-5.9)</x:v>
      </x:c>
      <x:c r="L1495" s="25" t="str">
        <x:f>IF(I1495&lt;70,"Superficial (&lt;70 km)",IF(I1495&lt;=300,"Intermedio (70-300 km)","Profundo (&gt;300 km)"))</x:f>
        <x:v>Intermedio (70-300 km)</x:v>
      </x:c>
      <x:c r="M1495" s="25" t="str">
        <x:f>IF(J1495&gt;=5,"Sí","No")</x:f>
        <x:v>Sí</x:v>
      </x:c>
      <x:c r="N1495" s="25" t="str">
        <x:f>IF(J1495&gt;=6,"Sí","No")</x:f>
        <x:v>No</x:v>
      </x:c>
      <x:c r="O1495" s="25" t="str">
        <x:v>Pendiente: asignar con R/sf</x:v>
      </x:c>
    </x:row>
    <x:row r="1496">
      <x:c r="A1496" s="25" t="n">
        <x:v>1495</x:v>
      </x:c>
      <x:c r="B1496" s="26" t="n">
        <x:v>45925.75814814815</x:v>
      </x:c>
      <x:c r="C1496" s="27" t="n">
        <x:f>INT(B1496)</x:f>
        <x:v>45925</x:v>
      </x:c>
      <x:c r="D1496" s="28" t="n">
        <x:f>MOD(B1496,1)</x:f>
        <x:v>0.7581481481465744</x:v>
      </x:c>
      <x:c r="E1496" s="29" t="n">
        <x:f>YEAR(B1496)</x:f>
        <x:v>2025</x:v>
      </x:c>
      <x:c r="F1496" s="29" t="n">
        <x:f>MONTH(B1496)</x:f>
        <x:v>9</x:v>
      </x:c>
      <x:c r="G1496" s="30" t="n">
        <x:v>-19.51</x:v>
      </x:c>
      <x:c r="H1496" s="30" t="n">
        <x:v>-69.31</x:v>
      </x:c>
      <x:c r="I1496" s="29" t="n">
        <x:v>105</x:v>
      </x:c>
      <x:c r="J1496" s="31" t="n">
        <x:v>5.3</x:v>
      </x:c>
      <x:c r="K1496" s="25" t="str">
        <x:f>IF(J1496&gt;=7,"Muy fuerte (&gt;=7)",IF(J1496&gt;=6,"Fuerte (6-6.9)",IF(J1496&gt;=5,"Moderado alto (5-5.9)",IF(J1496&gt;=4,"Moderado (4-4.9)","Menor a 4"))))</x:f>
        <x:v>Moderado alto (5-5.9)</x:v>
      </x:c>
      <x:c r="L1496" s="25" t="str">
        <x:f>IF(I1496&lt;70,"Superficial (&lt;70 km)",IF(I1496&lt;=300,"Intermedio (70-300 km)","Profundo (&gt;300 km)"))</x:f>
        <x:v>Intermedio (70-300 km)</x:v>
      </x:c>
      <x:c r="M1496" s="25" t="str">
        <x:f>IF(J1496&gt;=5,"Sí","No")</x:f>
        <x:v>Sí</x:v>
      </x:c>
      <x:c r="N1496" s="25" t="str">
        <x:f>IF(J1496&gt;=6,"Sí","No")</x:f>
        <x:v>No</x:v>
      </x:c>
      <x:c r="O1496" s="25" t="str">
        <x:v>Pendiente: asignar con R/sf</x:v>
      </x:c>
    </x:row>
    <x:row r="1497">
      <x:c r="A1497" s="25" t="n">
        <x:v>1496</x:v>
      </x:c>
      <x:c r="B1497" s="26" t="n">
        <x:v>45717.39045138889</x:v>
      </x:c>
      <x:c r="C1497" s="27" t="n">
        <x:f>INT(B1497)</x:f>
        <x:v>45717</x:v>
      </x:c>
      <x:c r="D1497" s="28" t="n">
        <x:f>MOD(B1497,1)</x:f>
        <x:v>0.39045138889196096</x:v>
      </x:c>
      <x:c r="E1497" s="29" t="n">
        <x:f>YEAR(B1497)</x:f>
        <x:v>2025</x:v>
      </x:c>
      <x:c r="F1497" s="29" t="n">
        <x:f>MONTH(B1497)</x:f>
        <x:v>3</x:v>
      </x:c>
      <x:c r="G1497" s="30" t="n">
        <x:v>-33.22</x:v>
      </x:c>
      <x:c r="H1497" s="30" t="n">
        <x:v>-71.25</x:v>
      </x:c>
      <x:c r="I1497" s="29" t="n">
        <x:v>66</x:v>
      </x:c>
      <x:c r="J1497" s="31" t="n">
        <x:v>4.1</x:v>
      </x:c>
      <x:c r="K1497" s="25" t="str">
        <x:f>IF(J1497&gt;=7,"Muy fuerte (&gt;=7)",IF(J1497&gt;=6,"Fuerte (6-6.9)",IF(J1497&gt;=5,"Moderado alto (5-5.9)",IF(J1497&gt;=4,"Moderado (4-4.9)","Menor a 4"))))</x:f>
        <x:v>Moderado (4-4.9)</x:v>
      </x:c>
      <x:c r="L1497" s="25" t="str">
        <x:f>IF(I1497&lt;70,"Superficial (&lt;70 km)",IF(I1497&lt;=300,"Intermedio (70-300 km)","Profundo (&gt;300 km)"))</x:f>
        <x:v>Superficial (&lt;70 km)</x:v>
      </x:c>
      <x:c r="M1497" s="25" t="str">
        <x:f>IF(J1497&gt;=5,"Sí","No")</x:f>
        <x:v>No</x:v>
      </x:c>
      <x:c r="N1497" s="25" t="str">
        <x:f>IF(J1497&gt;=6,"Sí","No")</x:f>
        <x:v>No</x:v>
      </x:c>
      <x:c r="O1497" s="25" t="str">
        <x:v>Pendiente: asignar con R/sf</x:v>
      </x:c>
    </x:row>
    <x:row r="1498">
      <x:c r="A1498" s="25" t="n">
        <x:v>1497</x:v>
      </x:c>
      <x:c r="B1498" s="26" t="n">
        <x:v>45821.04628472222</x:v>
      </x:c>
      <x:c r="C1498" s="27" t="n">
        <x:f>INT(B1498)</x:f>
        <x:v>45821</x:v>
      </x:c>
      <x:c r="D1498" s="28" t="n">
        <x:f>MOD(B1498,1)</x:f>
        <x:v>0.04628472222248092</x:v>
      </x:c>
      <x:c r="E1498" s="29" t="n">
        <x:f>YEAR(B1498)</x:f>
        <x:v>2025</x:v>
      </x:c>
      <x:c r="F1498" s="29" t="n">
        <x:f>MONTH(B1498)</x:f>
        <x:v>6</x:v>
      </x:c>
      <x:c r="G1498" s="30" t="n">
        <x:v>-32.67</x:v>
      </x:c>
      <x:c r="H1498" s="30" t="n">
        <x:v>-71.8</x:v>
      </x:c>
      <x:c r="I1498" s="29" t="n">
        <x:v>34</x:v>
      </x:c>
      <x:c r="J1498" s="31" t="n">
        <x:v>4</x:v>
      </x:c>
      <x:c r="K1498" s="25" t="str">
        <x:f>IF(J1498&gt;=7,"Muy fuerte (&gt;=7)",IF(J1498&gt;=6,"Fuerte (6-6.9)",IF(J1498&gt;=5,"Moderado alto (5-5.9)",IF(J1498&gt;=4,"Moderado (4-4.9)","Menor a 4"))))</x:f>
        <x:v>Moderado (4-4.9)</x:v>
      </x:c>
      <x:c r="L1498" s="25" t="str">
        <x:f>IF(I1498&lt;70,"Superficial (&lt;70 km)",IF(I1498&lt;=300,"Intermedio (70-300 km)","Profundo (&gt;300 km)"))</x:f>
        <x:v>Superficial (&lt;70 km)</x:v>
      </x:c>
      <x:c r="M1498" s="25" t="str">
        <x:f>IF(J1498&gt;=5,"Sí","No")</x:f>
        <x:v>No</x:v>
      </x:c>
      <x:c r="N1498" s="25" t="str">
        <x:f>IF(J1498&gt;=6,"Sí","No")</x:f>
        <x:v>No</x:v>
      </x:c>
      <x:c r="O1498" s="25" t="str">
        <x:v>Pendiente: asignar con R/sf</x:v>
      </x:c>
    </x:row>
    <x:row r="1499">
      <x:c r="A1499" s="25" t="n">
        <x:v>1498</x:v>
      </x:c>
      <x:c r="B1499" s="26" t="n">
        <x:v>45838.81259259259</x:v>
      </x:c>
      <x:c r="C1499" s="27" t="n">
        <x:f>INT(B1499)</x:f>
        <x:v>45838</x:v>
      </x:c>
      <x:c r="D1499" s="28" t="n">
        <x:f>MOD(B1499,1)</x:f>
        <x:v>0.8125925925924093</x:v>
      </x:c>
      <x:c r="E1499" s="29" t="n">
        <x:f>YEAR(B1499)</x:f>
        <x:v>2025</x:v>
      </x:c>
      <x:c r="F1499" s="29" t="n">
        <x:f>MONTH(B1499)</x:f>
        <x:v>6</x:v>
      </x:c>
      <x:c r="G1499" s="30" t="n">
        <x:v>-32.8</x:v>
      </x:c>
      <x:c r="H1499" s="30" t="n">
        <x:v>-70.82</x:v>
      </x:c>
      <x:c r="I1499" s="29" t="n">
        <x:v>83</x:v>
      </x:c>
      <x:c r="J1499" s="31" t="n">
        <x:v>4.1</x:v>
      </x:c>
      <x:c r="K1499" s="25" t="str">
        <x:f>IF(J1499&gt;=7,"Muy fuerte (&gt;=7)",IF(J1499&gt;=6,"Fuerte (6-6.9)",IF(J1499&gt;=5,"Moderado alto (5-5.9)",IF(J1499&gt;=4,"Moderado (4-4.9)","Menor a 4"))))</x:f>
        <x:v>Moderado (4-4.9)</x:v>
      </x:c>
      <x:c r="L1499" s="25" t="str">
        <x:f>IF(I1499&lt;70,"Superficial (&lt;70 km)",IF(I1499&lt;=300,"Intermedio (70-300 km)","Profundo (&gt;300 km)"))</x:f>
        <x:v>Intermedio (70-300 km)</x:v>
      </x:c>
      <x:c r="M1499" s="25" t="str">
        <x:f>IF(J1499&gt;=5,"Sí","No")</x:f>
        <x:v>No</x:v>
      </x:c>
      <x:c r="N1499" s="25" t="str">
        <x:f>IF(J1499&gt;=6,"Sí","No")</x:f>
        <x:v>No</x:v>
      </x:c>
      <x:c r="O1499" s="25" t="str">
        <x:v>Pendiente: asignar con R/sf</x:v>
      </x:c>
    </x:row>
    <x:row r="1500">
      <x:c r="A1500" s="25" t="n">
        <x:v>1499</x:v>
      </x:c>
      <x:c r="B1500" s="26" t="n">
        <x:v>45545.9521875</x:v>
      </x:c>
      <x:c r="C1500" s="27" t="n">
        <x:f>INT(B1500)</x:f>
        <x:v>45545</x:v>
      </x:c>
      <x:c r="D1500" s="28" t="n">
        <x:f>MOD(B1500,1)</x:f>
        <x:v>0.9521874999991269</x:v>
      </x:c>
      <x:c r="E1500" s="29" t="n">
        <x:f>YEAR(B1500)</x:f>
        <x:v>2024</x:v>
      </x:c>
      <x:c r="F1500" s="29" t="n">
        <x:f>MONTH(B1500)</x:f>
        <x:v>9</x:v>
      </x:c>
      <x:c r="G1500" s="30" t="n">
        <x:v>-33.32</x:v>
      </x:c>
      <x:c r="H1500" s="30" t="n">
        <x:v>-71.08</x:v>
      </x:c>
      <x:c r="I1500" s="29" t="n">
        <x:v>77</x:v>
      </x:c>
      <x:c r="J1500" s="31" t="n">
        <x:v>4</x:v>
      </x:c>
      <x:c r="K1500" s="25" t="str">
        <x:f>IF(J1500&gt;=7,"Muy fuerte (&gt;=7)",IF(J1500&gt;=6,"Fuerte (6-6.9)",IF(J1500&gt;=5,"Moderado alto (5-5.9)",IF(J1500&gt;=4,"Moderado (4-4.9)","Menor a 4"))))</x:f>
        <x:v>Moderado (4-4.9)</x:v>
      </x:c>
      <x:c r="L1500" s="25" t="str">
        <x:f>IF(I1500&lt;70,"Superficial (&lt;70 km)",IF(I1500&lt;=300,"Intermedio (70-300 km)","Profundo (&gt;300 km)"))</x:f>
        <x:v>Intermedio (70-300 km)</x:v>
      </x:c>
      <x:c r="M1500" s="25" t="str">
        <x:f>IF(J1500&gt;=5,"Sí","No")</x:f>
        <x:v>No</x:v>
      </x:c>
      <x:c r="N1500" s="25" t="str">
        <x:f>IF(J1500&gt;=6,"Sí","No")</x:f>
        <x:v>No</x:v>
      </x:c>
      <x:c r="O1500" s="25" t="str">
        <x:v>Pendiente: asignar con R/sf</x:v>
      </x:c>
    </x:row>
    <x:row r="1501">
      <x:c r="A1501" s="25" t="n">
        <x:v>1500</x:v>
      </x:c>
      <x:c r="B1501" s="26" t="n">
        <x:v>45761.739166666666</x:v>
      </x:c>
      <x:c r="C1501" s="27" t="n">
        <x:f>INT(B1501)</x:f>
        <x:v>45761</x:v>
      </x:c>
      <x:c r="D1501" s="28" t="n">
        <x:f>MOD(B1501,1)</x:f>
        <x:v>0.7391666666662786</x:v>
      </x:c>
      <x:c r="E1501" s="29" t="n">
        <x:f>YEAR(B1501)</x:f>
        <x:v>2025</x:v>
      </x:c>
      <x:c r="F1501" s="29" t="n">
        <x:f>MONTH(B1501)</x:f>
        <x:v>4</x:v>
      </x:c>
      <x:c r="G1501" s="30" t="n">
        <x:v>-32.79</x:v>
      </x:c>
      <x:c r="H1501" s="30" t="n">
        <x:v>-71.79</x:v>
      </x:c>
      <x:c r="I1501" s="29" t="n">
        <x:v>26</x:v>
      </x:c>
      <x:c r="J1501" s="31" t="n">
        <x:v>3.3</x:v>
      </x:c>
      <x:c r="K1501" s="25" t="str">
        <x:f>IF(J1501&gt;=7,"Muy fuerte (&gt;=7)",IF(J1501&gt;=6,"Fuerte (6-6.9)",IF(J1501&gt;=5,"Moderado alto (5-5.9)",IF(J1501&gt;=4,"Moderado (4-4.9)","Menor a 4"))))</x:f>
        <x:v>Menor a 4</x:v>
      </x:c>
      <x:c r="L1501" s="25" t="str">
        <x:f>IF(I1501&lt;70,"Superficial (&lt;70 km)",IF(I1501&lt;=300,"Intermedio (70-300 km)","Profundo (&gt;300 km)"))</x:f>
        <x:v>Superficial (&lt;70 km)</x:v>
      </x:c>
      <x:c r="M1501" s="25" t="str">
        <x:f>IF(J1501&gt;=5,"Sí","No")</x:f>
        <x:v>No</x:v>
      </x:c>
      <x:c r="N1501" s="25" t="str">
        <x:f>IF(J1501&gt;=6,"Sí","No")</x:f>
        <x:v>No</x:v>
      </x:c>
      <x:c r="O1501" s="25" t="str">
        <x:v>Pendiente: asignar con R/sf</x:v>
      </x:c>
    </x:row>
    <x:row r="1502">
      <x:c r="A1502" s="25" t="n">
        <x:v>1501</x:v>
      </x:c>
      <x:c r="B1502" s="26" t="n">
        <x:v>45771.50067129629</x:v>
      </x:c>
      <x:c r="C1502" s="27" t="n">
        <x:f>INT(B1502)</x:f>
        <x:v>45771</x:v>
      </x:c>
      <x:c r="D1502" s="28" t="n">
        <x:f>MOD(B1502,1)</x:f>
        <x:v>0.5006712962931488</x:v>
      </x:c>
      <x:c r="E1502" s="29" t="n">
        <x:f>YEAR(B1502)</x:f>
        <x:v>2025</x:v>
      </x:c>
      <x:c r="F1502" s="29" t="n">
        <x:f>MONTH(B1502)</x:f>
        <x:v>4</x:v>
      </x:c>
      <x:c r="G1502" s="30" t="n">
        <x:v>-33.28</x:v>
      </x:c>
      <x:c r="H1502" s="30" t="n">
        <x:v>-71.81</x:v>
      </x:c>
      <x:c r="I1502" s="29" t="n">
        <x:v>29</x:v>
      </x:c>
      <x:c r="J1502" s="31" t="n">
        <x:v>3.5</x:v>
      </x:c>
      <x:c r="K1502" s="25" t="str">
        <x:f>IF(J1502&gt;=7,"Muy fuerte (&gt;=7)",IF(J1502&gt;=6,"Fuerte (6-6.9)",IF(J1502&gt;=5,"Moderado alto (5-5.9)",IF(J1502&gt;=4,"Moderado (4-4.9)","Menor a 4"))))</x:f>
        <x:v>Menor a 4</x:v>
      </x:c>
      <x:c r="L1502" s="25" t="str">
        <x:f>IF(I1502&lt;70,"Superficial (&lt;70 km)",IF(I1502&lt;=300,"Intermedio (70-300 km)","Profundo (&gt;300 km)"))</x:f>
        <x:v>Superficial (&lt;70 km)</x:v>
      </x:c>
      <x:c r="M1502" s="25" t="str">
        <x:f>IF(J1502&gt;=5,"Sí","No")</x:f>
        <x:v>No</x:v>
      </x:c>
      <x:c r="N1502" s="25" t="str">
        <x:f>IF(J1502&gt;=6,"Sí","No")</x:f>
        <x:v>No</x:v>
      </x:c>
      <x:c r="O1502" s="25" t="str">
        <x:v>Pendiente: asignar con R/sf</x:v>
      </x:c>
    </x:row>
    <x:row r="1503">
      <x:c r="A1503" s="25" t="n">
        <x:v>1502</x:v>
      </x:c>
      <x:c r="B1503" s="26" t="n">
        <x:v>45859.20457175926</x:v>
      </x:c>
      <x:c r="C1503" s="27" t="n">
        <x:f>INT(B1503)</x:f>
        <x:v>45859</x:v>
      </x:c>
      <x:c r="D1503" s="28" t="n">
        <x:f>MOD(B1503,1)</x:f>
        <x:v>0.2045717592627625</x:v>
      </x:c>
      <x:c r="E1503" s="29" t="n">
        <x:f>YEAR(B1503)</x:f>
        <x:v>2025</x:v>
      </x:c>
      <x:c r="F1503" s="29" t="n">
        <x:f>MONTH(B1503)</x:f>
        <x:v>7</x:v>
      </x:c>
      <x:c r="G1503" s="30" t="n">
        <x:v>-32.86</x:v>
      </x:c>
      <x:c r="H1503" s="30" t="n">
        <x:v>-71.09</x:v>
      </x:c>
      <x:c r="I1503" s="29" t="n">
        <x:v>69</x:v>
      </x:c>
      <x:c r="J1503" s="31" t="n">
        <x:v>3.9</x:v>
      </x:c>
      <x:c r="K1503" s="25" t="str">
        <x:f>IF(J1503&gt;=7,"Muy fuerte (&gt;=7)",IF(J1503&gt;=6,"Fuerte (6-6.9)",IF(J1503&gt;=5,"Moderado alto (5-5.9)",IF(J1503&gt;=4,"Moderado (4-4.9)","Menor a 4"))))</x:f>
        <x:v>Menor a 4</x:v>
      </x:c>
      <x:c r="L1503" s="25" t="str">
        <x:f>IF(I1503&lt;70,"Superficial (&lt;70 km)",IF(I1503&lt;=300,"Intermedio (70-300 km)","Profundo (&gt;300 km)"))</x:f>
        <x:v>Superficial (&lt;70 km)</x:v>
      </x:c>
      <x:c r="M1503" s="25" t="str">
        <x:f>IF(J1503&gt;=5,"Sí","No")</x:f>
        <x:v>No</x:v>
      </x:c>
      <x:c r="N1503" s="25" t="str">
        <x:f>IF(J1503&gt;=6,"Sí","No")</x:f>
        <x:v>No</x:v>
      </x:c>
      <x:c r="O1503" s="25" t="str">
        <x:v>Pendiente: asignar con R/sf</x:v>
      </x:c>
    </x:row>
    <x:row r="1504">
      <x:c r="A1504" s="25" t="n">
        <x:v>1503</x:v>
      </x:c>
      <x:c r="B1504" s="26" t="n">
        <x:v>45470.36087962963</x:v>
      </x:c>
      <x:c r="C1504" s="27" t="n">
        <x:f>INT(B1504)</x:f>
        <x:v>45470</x:v>
      </x:c>
      <x:c r="D1504" s="28" t="n">
        <x:f>MOD(B1504,1)</x:f>
        <x:v>0.36087962963210884</x:v>
      </x:c>
      <x:c r="E1504" s="29" t="n">
        <x:f>YEAR(B1504)</x:f>
        <x:v>2024</x:v>
      </x:c>
      <x:c r="F1504" s="29" t="n">
        <x:f>MONTH(B1504)</x:f>
        <x:v>6</x:v>
      </x:c>
      <x:c r="G1504" s="30" t="n">
        <x:v>-33.12</x:v>
      </x:c>
      <x:c r="H1504" s="30" t="n">
        <x:v>-70.02</x:v>
      </x:c>
      <x:c r="I1504" s="29" t="n">
        <x:v>120</x:v>
      </x:c>
      <x:c r="J1504" s="31" t="n">
        <x:v>4.5</x:v>
      </x:c>
      <x:c r="K1504" s="25" t="str">
        <x:f>IF(J1504&gt;=7,"Muy fuerte (&gt;=7)",IF(J1504&gt;=6,"Fuerte (6-6.9)",IF(J1504&gt;=5,"Moderado alto (5-5.9)",IF(J1504&gt;=4,"Moderado (4-4.9)","Menor a 4"))))</x:f>
        <x:v>Moderado (4-4.9)</x:v>
      </x:c>
      <x:c r="L1504" s="25" t="str">
        <x:f>IF(I1504&lt;70,"Superficial (&lt;70 km)",IF(I1504&lt;=300,"Intermedio (70-300 km)","Profundo (&gt;300 km)"))</x:f>
        <x:v>Intermedio (70-300 km)</x:v>
      </x:c>
      <x:c r="M1504" s="25" t="str">
        <x:f>IF(J1504&gt;=5,"Sí","No")</x:f>
        <x:v>No</x:v>
      </x:c>
      <x:c r="N1504" s="25" t="str">
        <x:f>IF(J1504&gt;=6,"Sí","No")</x:f>
        <x:v>No</x:v>
      </x:c>
      <x:c r="O1504" s="25" t="str">
        <x:v>Pendiente: asignar con R/sf</x:v>
      </x:c>
    </x:row>
    <x:row r="1505">
      <x:c r="A1505" s="25" t="n">
        <x:v>1504</x:v>
      </x:c>
      <x:c r="B1505" s="26" t="n">
        <x:v>45825.00325231482</x:v>
      </x:c>
      <x:c r="C1505" s="27" t="n">
        <x:f>INT(B1505)</x:f>
        <x:v>45825</x:v>
      </x:c>
      <x:c r="D1505" s="28" t="n">
        <x:f>MOD(B1505,1)</x:f>
        <x:v>0.003252314818382729</x:v>
      </x:c>
      <x:c r="E1505" s="29" t="n">
        <x:f>YEAR(B1505)</x:f>
        <x:v>2025</x:v>
      </x:c>
      <x:c r="F1505" s="29" t="n">
        <x:f>MONTH(B1505)</x:f>
        <x:v>6</x:v>
      </x:c>
      <x:c r="G1505" s="30" t="n">
        <x:v>-36.54</x:v>
      </x:c>
      <x:c r="H1505" s="30" t="n">
        <x:v>-73.49</x:v>
      </x:c>
      <x:c r="I1505" s="29" t="n">
        <x:v>34</x:v>
      </x:c>
      <x:c r="J1505" s="31" t="n">
        <x:v>3.7</x:v>
      </x:c>
      <x:c r="K1505" s="25" t="str">
        <x:f>IF(J1505&gt;=7,"Muy fuerte (&gt;=7)",IF(J1505&gt;=6,"Fuerte (6-6.9)",IF(J1505&gt;=5,"Moderado alto (5-5.9)",IF(J1505&gt;=4,"Moderado (4-4.9)","Menor a 4"))))</x:f>
        <x:v>Menor a 4</x:v>
      </x:c>
      <x:c r="L1505" s="25" t="str">
        <x:f>IF(I1505&lt;70,"Superficial (&lt;70 km)",IF(I1505&lt;=300,"Intermedio (70-300 km)","Profundo (&gt;300 km)"))</x:f>
        <x:v>Superficial (&lt;70 km)</x:v>
      </x:c>
      <x:c r="M1505" s="25" t="str">
        <x:f>IF(J1505&gt;=5,"Sí","No")</x:f>
        <x:v>No</x:v>
      </x:c>
      <x:c r="N1505" s="25" t="str">
        <x:f>IF(J1505&gt;=6,"Sí","No")</x:f>
        <x:v>No</x:v>
      </x:c>
      <x:c r="O1505" s="25" t="str">
        <x:v>Pendiente: asignar con R/sf</x:v>
      </x:c>
    </x:row>
    <x:row r="1506">
      <x:c r="A1506" s="25" t="n">
        <x:v>1505</x:v>
      </x:c>
      <x:c r="B1506" s="26" t="n">
        <x:v>45830.13869212963</x:v>
      </x:c>
      <x:c r="C1506" s="27" t="n">
        <x:f>INT(B1506)</x:f>
        <x:v>45830</x:v>
      </x:c>
      <x:c r="D1506" s="28" t="n">
        <x:f>MOD(B1506,1)</x:f>
        <x:v>0.13869212962890742</x:v>
      </x:c>
      <x:c r="E1506" s="29" t="n">
        <x:f>YEAR(B1506)</x:f>
        <x:v>2025</x:v>
      </x:c>
      <x:c r="F1506" s="29" t="n">
        <x:f>MONTH(B1506)</x:f>
        <x:v>6</x:v>
      </x:c>
      <x:c r="G1506" s="30" t="n">
        <x:v>-36.56</x:v>
      </x:c>
      <x:c r="H1506" s="30" t="n">
        <x:v>-72.88</x:v>
      </x:c>
      <x:c r="I1506" s="29" t="n">
        <x:v>44</x:v>
      </x:c>
      <x:c r="J1506" s="31" t="n">
        <x:v>4.1</x:v>
      </x:c>
      <x:c r="K1506" s="25" t="str">
        <x:f>IF(J1506&gt;=7,"Muy fuerte (&gt;=7)",IF(J1506&gt;=6,"Fuerte (6-6.9)",IF(J1506&gt;=5,"Moderado alto (5-5.9)",IF(J1506&gt;=4,"Moderado (4-4.9)","Menor a 4"))))</x:f>
        <x:v>Moderado (4-4.9)</x:v>
      </x:c>
      <x:c r="L1506" s="25" t="str">
        <x:f>IF(I1506&lt;70,"Superficial (&lt;70 km)",IF(I1506&lt;=300,"Intermedio (70-300 km)","Profundo (&gt;300 km)"))</x:f>
        <x:v>Superficial (&lt;70 km)</x:v>
      </x:c>
      <x:c r="M1506" s="25" t="str">
        <x:f>IF(J1506&gt;=5,"Sí","No")</x:f>
        <x:v>No</x:v>
      </x:c>
      <x:c r="N1506" s="25" t="str">
        <x:f>IF(J1506&gt;=6,"Sí","No")</x:f>
        <x:v>No</x:v>
      </x:c>
      <x:c r="O1506" s="25" t="str">
        <x:v>Pendiente: asignar con R/sf</x:v>
      </x:c>
    </x:row>
    <x:row r="1507">
      <x:c r="A1507" s="25" t="n">
        <x:v>1506</x:v>
      </x:c>
      <x:c r="B1507" s="26" t="n">
        <x:v>45932.447175925925</x:v>
      </x:c>
      <x:c r="C1507" s="27" t="n">
        <x:f>INT(B1507)</x:f>
        <x:v>45932</x:v>
      </x:c>
      <x:c r="D1507" s="28" t="n">
        <x:f>MOD(B1507,1)</x:f>
        <x:v>0.4471759259249666</x:v>
      </x:c>
      <x:c r="E1507" s="29" t="n">
        <x:f>YEAR(B1507)</x:f>
        <x:v>2025</x:v>
      </x:c>
      <x:c r="F1507" s="29" t="n">
        <x:f>MONTH(B1507)</x:f>
        <x:v>10</x:v>
      </x:c>
      <x:c r="G1507" s="30" t="n">
        <x:v>-30.71</x:v>
      </x:c>
      <x:c r="H1507" s="30" t="n">
        <x:v>-71.77</x:v>
      </x:c>
      <x:c r="I1507" s="29" t="n">
        <x:v>31</x:v>
      </x:c>
      <x:c r="J1507" s="31" t="n">
        <x:v>5.6</x:v>
      </x:c>
      <x:c r="K1507" s="25" t="str">
        <x:f>IF(J1507&gt;=7,"Muy fuerte (&gt;=7)",IF(J1507&gt;=6,"Fuerte (6-6.9)",IF(J1507&gt;=5,"Moderado alto (5-5.9)",IF(J1507&gt;=4,"Moderado (4-4.9)","Menor a 4"))))</x:f>
        <x:v>Moderado alto (5-5.9)</x:v>
      </x:c>
      <x:c r="L1507" s="25" t="str">
        <x:f>IF(I1507&lt;70,"Superficial (&lt;70 km)",IF(I1507&lt;=300,"Intermedio (70-300 km)","Profundo (&gt;300 km)"))</x:f>
        <x:v>Superficial (&lt;70 km)</x:v>
      </x:c>
      <x:c r="M1507" s="25" t="str">
        <x:f>IF(J1507&gt;=5,"Sí","No")</x:f>
        <x:v>Sí</x:v>
      </x:c>
      <x:c r="N1507" s="25" t="str">
        <x:f>IF(J1507&gt;=6,"Sí","No")</x:f>
        <x:v>No</x:v>
      </x:c>
      <x:c r="O1507" s="25" t="str">
        <x:v>Pendiente: asignar con R/sf</x:v>
      </x:c>
    </x:row>
    <x:row r="1508">
      <x:c r="A1508" s="25" t="n">
        <x:v>1507</x:v>
      </x:c>
      <x:c r="B1508" s="26" t="n">
        <x:v>45943.06118055555</x:v>
      </x:c>
      <x:c r="C1508" s="27" t="n">
        <x:f>INT(B1508)</x:f>
        <x:v>45943</x:v>
      </x:c>
      <x:c r="D1508" s="28" t="n">
        <x:f>MOD(B1508,1)</x:f>
        <x:v>0.06118055555270985</x:v>
      </x:c>
      <x:c r="E1508" s="29" t="n">
        <x:f>YEAR(B1508)</x:f>
        <x:v>2025</x:v>
      </x:c>
      <x:c r="F1508" s="29" t="n">
        <x:f>MONTH(B1508)</x:f>
        <x:v>10</x:v>
      </x:c>
      <x:c r="G1508" s="30" t="n">
        <x:v>-30.7</x:v>
      </x:c>
      <x:c r="H1508" s="30" t="n">
        <x:v>-71.67</x:v>
      </x:c>
      <x:c r="I1508" s="29" t="n">
        <x:v>33</x:v>
      </x:c>
      <x:c r="J1508" s="31" t="n">
        <x:v>5.2</x:v>
      </x:c>
      <x:c r="K1508" s="25" t="str">
        <x:f>IF(J1508&gt;=7,"Muy fuerte (&gt;=7)",IF(J1508&gt;=6,"Fuerte (6-6.9)",IF(J1508&gt;=5,"Moderado alto (5-5.9)",IF(J1508&gt;=4,"Moderado (4-4.9)","Menor a 4"))))</x:f>
        <x:v>Moderado alto (5-5.9)</x:v>
      </x:c>
      <x:c r="L1508" s="25" t="str">
        <x:f>IF(I1508&lt;70,"Superficial (&lt;70 km)",IF(I1508&lt;=300,"Intermedio (70-300 km)","Profundo (&gt;300 km)"))</x:f>
        <x:v>Superficial (&lt;70 km)</x:v>
      </x:c>
      <x:c r="M1508" s="25" t="str">
        <x:f>IF(J1508&gt;=5,"Sí","No")</x:f>
        <x:v>Sí</x:v>
      </x:c>
      <x:c r="N1508" s="25" t="str">
        <x:f>IF(J1508&gt;=6,"Sí","No")</x:f>
        <x:v>No</x:v>
      </x:c>
      <x:c r="O1508" s="25" t="str">
        <x:v>Pendiente: asignar con R/sf</x:v>
      </x:c>
    </x:row>
    <x:row r="1509">
      <x:c r="A1509" s="25" t="n">
        <x:v>1508</x:v>
      </x:c>
      <x:c r="B1509" s="26" t="n">
        <x:v>45944.71548611111</x:v>
      </x:c>
      <x:c r="C1509" s="27" t="n">
        <x:f>INT(B1509)</x:f>
        <x:v>45944</x:v>
      </x:c>
      <x:c r="D1509" s="28" t="n">
        <x:f>MOD(B1509,1)</x:f>
        <x:v>0.7154861111121136</x:v>
      </x:c>
      <x:c r="E1509" s="29" t="n">
        <x:f>YEAR(B1509)</x:f>
        <x:v>2025</x:v>
      </x:c>
      <x:c r="F1509" s="29" t="n">
        <x:f>MONTH(B1509)</x:f>
        <x:v>10</x:v>
      </x:c>
      <x:c r="G1509" s="30" t="n">
        <x:v>-20.2</x:v>
      </x:c>
      <x:c r="H1509" s="30" t="n">
        <x:v>-69.19</x:v>
      </x:c>
      <x:c r="I1509" s="29" t="n">
        <x:v>100</x:v>
      </x:c>
      <x:c r="J1509" s="31" t="n">
        <x:v>5.4</x:v>
      </x:c>
      <x:c r="K1509" s="25" t="str">
        <x:f>IF(J1509&gt;=7,"Muy fuerte (&gt;=7)",IF(J1509&gt;=6,"Fuerte (6-6.9)",IF(J1509&gt;=5,"Moderado alto (5-5.9)",IF(J1509&gt;=4,"Moderado (4-4.9)","Menor a 4"))))</x:f>
        <x:v>Moderado alto (5-5.9)</x:v>
      </x:c>
      <x:c r="L1509" s="25" t="str">
        <x:f>IF(I1509&lt;70,"Superficial (&lt;70 km)",IF(I1509&lt;=300,"Intermedio (70-300 km)","Profundo (&gt;300 km)"))</x:f>
        <x:v>Intermedio (70-300 km)</x:v>
      </x:c>
      <x:c r="M1509" s="25" t="str">
        <x:f>IF(J1509&gt;=5,"Sí","No")</x:f>
        <x:v>Sí</x:v>
      </x:c>
      <x:c r="N1509" s="25" t="str">
        <x:f>IF(J1509&gt;=6,"Sí","No")</x:f>
        <x:v>No</x:v>
      </x:c>
      <x:c r="O1509" s="25" t="str">
        <x:v>Pendiente: asignar con R/sf</x:v>
      </x:c>
    </x:row>
    <x:row r="1510">
      <x:c r="A1510" s="25" t="n">
        <x:v>1509</x:v>
      </x:c>
      <x:c r="B1510" s="26" t="n">
        <x:v>45945.488645833335</x:v>
      </x:c>
      <x:c r="C1510" s="27" t="n">
        <x:f>INT(B1510)</x:f>
        <x:v>45945</x:v>
      </x:c>
      <x:c r="D1510" s="28" t="n">
        <x:f>MOD(B1510,1)</x:f>
        <x:v>0.48864583333488554</x:v>
      </x:c>
      <x:c r="E1510" s="29" t="n">
        <x:f>YEAR(B1510)</x:f>
        <x:v>2025</x:v>
      </x:c>
      <x:c r="F1510" s="29" t="n">
        <x:f>MONTH(B1510)</x:f>
        <x:v>10</x:v>
      </x:c>
      <x:c r="G1510" s="30" t="n">
        <x:v>-30.75</x:v>
      </x:c>
      <x:c r="H1510" s="30" t="n">
        <x:v>-71.42</x:v>
      </x:c>
      <x:c r="I1510" s="29" t="n">
        <x:v>49</x:v>
      </x:c>
      <x:c r="J1510" s="31" t="n">
        <x:v>5.8</x:v>
      </x:c>
      <x:c r="K1510" s="25" t="str">
        <x:f>IF(J1510&gt;=7,"Muy fuerte (&gt;=7)",IF(J1510&gt;=6,"Fuerte (6-6.9)",IF(J1510&gt;=5,"Moderado alto (5-5.9)",IF(J1510&gt;=4,"Moderado (4-4.9)","Menor a 4"))))</x:f>
        <x:v>Moderado alto (5-5.9)</x:v>
      </x:c>
      <x:c r="L1510" s="25" t="str">
        <x:f>IF(I1510&lt;70,"Superficial (&lt;70 km)",IF(I1510&lt;=300,"Intermedio (70-300 km)","Profundo (&gt;300 km)"))</x:f>
        <x:v>Superficial (&lt;70 km)</x:v>
      </x:c>
      <x:c r="M1510" s="25" t="str">
        <x:f>IF(J1510&gt;=5,"Sí","No")</x:f>
        <x:v>Sí</x:v>
      </x:c>
      <x:c r="N1510" s="25" t="str">
        <x:f>IF(J1510&gt;=6,"Sí","No")</x:f>
        <x:v>No</x:v>
      </x:c>
      <x:c r="O1510" s="25" t="str">
        <x:v>Pendiente: asignar con R/sf</x:v>
      </x:c>
    </x:row>
    <x:row r="1511">
      <x:c r="A1511" s="25" t="n">
        <x:v>1510</x:v>
      </x:c>
      <x:c r="B1511" s="26" t="n">
        <x:v>45951.58931712963</x:v>
      </x:c>
      <x:c r="C1511" s="27" t="n">
        <x:f>INT(B1511)</x:f>
        <x:v>45951</x:v>
      </x:c>
      <x:c r="D1511" s="28" t="n">
        <x:f>MOD(B1511,1)</x:f>
        <x:v>0.5893171296265791</x:v>
      </x:c>
      <x:c r="E1511" s="29" t="n">
        <x:f>YEAR(B1511)</x:f>
        <x:v>2025</x:v>
      </x:c>
      <x:c r="F1511" s="29" t="n">
        <x:f>MONTH(B1511)</x:f>
        <x:v>10</x:v>
      </x:c>
      <x:c r="G1511" s="30" t="n">
        <x:v>-32.38</x:v>
      </x:c>
      <x:c r="H1511" s="30" t="n">
        <x:v>-69.94</x:v>
      </x:c>
      <x:c r="I1511" s="29" t="n">
        <x:v>127</x:v>
      </x:c>
      <x:c r="J1511" s="31" t="n">
        <x:v>5</x:v>
      </x:c>
      <x:c r="K1511" s="25" t="str">
        <x:f>IF(J1511&gt;=7,"Muy fuerte (&gt;=7)",IF(J1511&gt;=6,"Fuerte (6-6.9)",IF(J1511&gt;=5,"Moderado alto (5-5.9)",IF(J1511&gt;=4,"Moderado (4-4.9)","Menor a 4"))))</x:f>
        <x:v>Moderado alto (5-5.9)</x:v>
      </x:c>
      <x:c r="L1511" s="25" t="str">
        <x:f>IF(I1511&lt;70,"Superficial (&lt;70 km)",IF(I1511&lt;=300,"Intermedio (70-300 km)","Profundo (&gt;300 km)"))</x:f>
        <x:v>Intermedio (70-300 km)</x:v>
      </x:c>
      <x:c r="M1511" s="25" t="str">
        <x:f>IF(J1511&gt;=5,"Sí","No")</x:f>
        <x:v>Sí</x:v>
      </x:c>
      <x:c r="N1511" s="25" t="str">
        <x:f>IF(J1511&gt;=6,"Sí","No")</x:f>
        <x:v>No</x:v>
      </x:c>
      <x:c r="O1511" s="25" t="str">
        <x:v>Pendiente: asignar con R/sf</x:v>
      </x:c>
    </x:row>
    <x:row r="1512">
      <x:c r="A1512" s="25" t="n">
        <x:v>1511</x:v>
      </x:c>
      <x:c r="B1512" s="26" t="n">
        <x:v>45900.36313657407</x:v>
      </x:c>
      <x:c r="C1512" s="27" t="n">
        <x:f>INT(B1512)</x:f>
        <x:v>45900</x:v>
      </x:c>
      <x:c r="D1512" s="28" t="n">
        <x:f>MOD(B1512,1)</x:f>
        <x:v>0.36313657407299615</x:v>
      </x:c>
      <x:c r="E1512" s="29" t="n">
        <x:f>YEAR(B1512)</x:f>
        <x:v>2025</x:v>
      </x:c>
      <x:c r="F1512" s="29" t="n">
        <x:f>MONTH(B1512)</x:f>
        <x:v>8</x:v>
      </x:c>
      <x:c r="G1512" s="30" t="n">
        <x:v>-33.61</x:v>
      </x:c>
      <x:c r="H1512" s="30" t="n">
        <x:v>-71.6</x:v>
      </x:c>
      <x:c r="I1512" s="29" t="n">
        <x:v>46</x:v>
      </x:c>
      <x:c r="J1512" s="31" t="n">
        <x:v>4.5</x:v>
      </x:c>
      <x:c r="K1512" s="25" t="str">
        <x:f>IF(J1512&gt;=7,"Muy fuerte (&gt;=7)",IF(J1512&gt;=6,"Fuerte (6-6.9)",IF(J1512&gt;=5,"Moderado alto (5-5.9)",IF(J1512&gt;=4,"Moderado (4-4.9)","Menor a 4"))))</x:f>
        <x:v>Moderado (4-4.9)</x:v>
      </x:c>
      <x:c r="L1512" s="25" t="str">
        <x:f>IF(I1512&lt;70,"Superficial (&lt;70 km)",IF(I1512&lt;=300,"Intermedio (70-300 km)","Profundo (&gt;300 km)"))</x:f>
        <x:v>Superficial (&lt;70 km)</x:v>
      </x:c>
      <x:c r="M1512" s="25" t="str">
        <x:f>IF(J1512&gt;=5,"Sí","No")</x:f>
        <x:v>No</x:v>
      </x:c>
      <x:c r="N1512" s="25" t="str">
        <x:f>IF(J1512&gt;=6,"Sí","No")</x:f>
        <x:v>No</x:v>
      </x:c>
      <x:c r="O1512" s="25" t="str">
        <x:v>Pendiente: asignar con R/sf</x:v>
      </x:c>
    </x:row>
    <x:row r="1513">
      <x:c r="A1513" s="25" t="n">
        <x:v>1512</x:v>
      </x:c>
      <x:c r="B1513" s="26" t="n">
        <x:v>45765.829618055555</x:v>
      </x:c>
      <x:c r="C1513" s="27" t="n">
        <x:f>INT(B1513)</x:f>
        <x:v>45765</x:v>
      </x:c>
      <x:c r="D1513" s="28" t="n">
        <x:f>MOD(B1513,1)</x:f>
        <x:v>0.8296180555553292</x:v>
      </x:c>
      <x:c r="E1513" s="29" t="n">
        <x:f>YEAR(B1513)</x:f>
        <x:v>2025</x:v>
      </x:c>
      <x:c r="F1513" s="29" t="n">
        <x:f>MONTH(B1513)</x:f>
        <x:v>4</x:v>
      </x:c>
      <x:c r="G1513" s="30" t="n">
        <x:v>-33.24</x:v>
      </x:c>
      <x:c r="H1513" s="30" t="n">
        <x:v>-70.01</x:v>
      </x:c>
      <x:c r="I1513" s="29" t="n">
        <x:v>14</x:v>
      </x:c>
      <x:c r="J1513" s="31" t="n">
        <x:v>4</x:v>
      </x:c>
      <x:c r="K1513" s="25" t="str">
        <x:f>IF(J1513&gt;=7,"Muy fuerte (&gt;=7)",IF(J1513&gt;=6,"Fuerte (6-6.9)",IF(J1513&gt;=5,"Moderado alto (5-5.9)",IF(J1513&gt;=4,"Moderado (4-4.9)","Menor a 4"))))</x:f>
        <x:v>Moderado (4-4.9)</x:v>
      </x:c>
      <x:c r="L1513" s="25" t="str">
        <x:f>IF(I1513&lt;70,"Superficial (&lt;70 km)",IF(I1513&lt;=300,"Intermedio (70-300 km)","Profundo (&gt;300 km)"))</x:f>
        <x:v>Superficial (&lt;70 km)</x:v>
      </x:c>
      <x:c r="M1513" s="25" t="str">
        <x:f>IF(J1513&gt;=5,"Sí","No")</x:f>
        <x:v>No</x:v>
      </x:c>
      <x:c r="N1513" s="25" t="str">
        <x:f>IF(J1513&gt;=6,"Sí","No")</x:f>
        <x:v>No</x:v>
      </x:c>
      <x:c r="O1513" s="25" t="str">
        <x:v>Pendiente: asignar con R/sf</x:v>
      </x:c>
    </x:row>
    <x:row r="1514">
      <x:c r="A1514" s="25" t="n">
        <x:v>1513</x:v>
      </x:c>
      <x:c r="B1514" s="26" t="n">
        <x:v>45788.280173611114</x:v>
      </x:c>
      <x:c r="C1514" s="27" t="n">
        <x:f>INT(B1514)</x:f>
        <x:v>45788</x:v>
      </x:c>
      <x:c r="D1514" s="28" t="n">
        <x:f>MOD(B1514,1)</x:f>
        <x:v>0.28017361111415084</x:v>
      </x:c>
      <x:c r="E1514" s="29" t="n">
        <x:f>YEAR(B1514)</x:f>
        <x:v>2025</x:v>
      </x:c>
      <x:c r="F1514" s="29" t="n">
        <x:f>MONTH(B1514)</x:f>
        <x:v>5</x:v>
      </x:c>
      <x:c r="G1514" s="30" t="n">
        <x:v>-33.77</x:v>
      </x:c>
      <x:c r="H1514" s="30" t="n">
        <x:v>-71.47</x:v>
      </x:c>
      <x:c r="I1514" s="29" t="n">
        <x:v>59</x:v>
      </x:c>
      <x:c r="J1514" s="31" t="n">
        <x:v>4.3</x:v>
      </x:c>
      <x:c r="K1514" s="25" t="str">
        <x:f>IF(J1514&gt;=7,"Muy fuerte (&gt;=7)",IF(J1514&gt;=6,"Fuerte (6-6.9)",IF(J1514&gt;=5,"Moderado alto (5-5.9)",IF(J1514&gt;=4,"Moderado (4-4.9)","Menor a 4"))))</x:f>
        <x:v>Moderado (4-4.9)</x:v>
      </x:c>
      <x:c r="L1514" s="25" t="str">
        <x:f>IF(I1514&lt;70,"Superficial (&lt;70 km)",IF(I1514&lt;=300,"Intermedio (70-300 km)","Profundo (&gt;300 km)"))</x:f>
        <x:v>Superficial (&lt;70 km)</x:v>
      </x:c>
      <x:c r="M1514" s="25" t="str">
        <x:f>IF(J1514&gt;=5,"Sí","No")</x:f>
        <x:v>No</x:v>
      </x:c>
      <x:c r="N1514" s="25" t="str">
        <x:f>IF(J1514&gt;=6,"Sí","No")</x:f>
        <x:v>No</x:v>
      </x:c>
      <x:c r="O1514" s="25" t="str">
        <x:v>Pendiente: asignar con R/sf</x:v>
      </x:c>
    </x:row>
    <x:row r="1515">
      <x:c r="A1515" s="25" t="n">
        <x:v>1514</x:v>
      </x:c>
      <x:c r="B1515" s="26" t="n">
        <x:v>45312.73458333333</x:v>
      </x:c>
      <x:c r="C1515" s="27" t="n">
        <x:f>INT(B1515)</x:f>
        <x:v>45312</x:v>
      </x:c>
      <x:c r="D1515" s="28" t="n">
        <x:f>MOD(B1515,1)</x:f>
        <x:v>0.734583333331102</x:v>
      </x:c>
      <x:c r="E1515" s="29" t="n">
        <x:f>YEAR(B1515)</x:f>
        <x:v>2024</x:v>
      </x:c>
      <x:c r="F1515" s="29" t="n">
        <x:f>MONTH(B1515)</x:f>
        <x:v>1</x:v>
      </x:c>
      <x:c r="G1515" s="30" t="n">
        <x:v>-33.92</x:v>
      </x:c>
      <x:c r="H1515" s="30" t="n">
        <x:v>-72.48</x:v>
      </x:c>
      <x:c r="I1515" s="29" t="n">
        <x:v>35</x:v>
      </x:c>
      <x:c r="J1515" s="31" t="n">
        <x:v>4.9</x:v>
      </x:c>
      <x:c r="K1515" s="25" t="str">
        <x:f>IF(J1515&gt;=7,"Muy fuerte (&gt;=7)",IF(J1515&gt;=6,"Fuerte (6-6.9)",IF(J1515&gt;=5,"Moderado alto (5-5.9)",IF(J1515&gt;=4,"Moderado (4-4.9)","Menor a 4"))))</x:f>
        <x:v>Moderado (4-4.9)</x:v>
      </x:c>
      <x:c r="L1515" s="25" t="str">
        <x:f>IF(I1515&lt;70,"Superficial (&lt;70 km)",IF(I1515&lt;=300,"Intermedio (70-300 km)","Profundo (&gt;300 km)"))</x:f>
        <x:v>Superficial (&lt;70 km)</x:v>
      </x:c>
      <x:c r="M1515" s="25" t="str">
        <x:f>IF(J1515&gt;=5,"Sí","No")</x:f>
        <x:v>No</x:v>
      </x:c>
      <x:c r="N1515" s="25" t="str">
        <x:f>IF(J1515&gt;=6,"Sí","No")</x:f>
        <x:v>No</x:v>
      </x:c>
      <x:c r="O1515" s="25" t="str">
        <x:v>Pendiente: asignar con R/sf</x:v>
      </x:c>
    </x:row>
    <x:row r="1516">
      <x:c r="A1516" s="25" t="n">
        <x:v>1515</x:v>
      </x:c>
      <x:c r="B1516" s="26" t="n">
        <x:v>45363.15453703704</x:v>
      </x:c>
      <x:c r="C1516" s="27" t="n">
        <x:f>INT(B1516)</x:f>
        <x:v>45363</x:v>
      </x:c>
      <x:c r="D1516" s="28" t="n">
        <x:f>MOD(B1516,1)</x:f>
        <x:v>0.15453703703678912</x:v>
      </x:c>
      <x:c r="E1516" s="29" t="n">
        <x:f>YEAR(B1516)</x:f>
        <x:v>2024</x:v>
      </x:c>
      <x:c r="F1516" s="29" t="n">
        <x:f>MONTH(B1516)</x:f>
        <x:v>3</x:v>
      </x:c>
      <x:c r="G1516" s="30" t="n">
        <x:v>-33.83</x:v>
      </x:c>
      <x:c r="H1516" s="30" t="n">
        <x:v>-72.63</x:v>
      </x:c>
      <x:c r="I1516" s="29" t="n">
        <x:v>36</x:v>
      </x:c>
      <x:c r="J1516" s="31" t="n">
        <x:v>5.1</x:v>
      </x:c>
      <x:c r="K1516" s="25" t="str">
        <x:f>IF(J1516&gt;=7,"Muy fuerte (&gt;=7)",IF(J1516&gt;=6,"Fuerte (6-6.9)",IF(J1516&gt;=5,"Moderado alto (5-5.9)",IF(J1516&gt;=4,"Moderado (4-4.9)","Menor a 4"))))</x:f>
        <x:v>Moderado alto (5-5.9)</x:v>
      </x:c>
      <x:c r="L1516" s="25" t="str">
        <x:f>IF(I1516&lt;70,"Superficial (&lt;70 km)",IF(I1516&lt;=300,"Intermedio (70-300 km)","Profundo (&gt;300 km)"))</x:f>
        <x:v>Superficial (&lt;70 km)</x:v>
      </x:c>
      <x:c r="M1516" s="25" t="str">
        <x:f>IF(J1516&gt;=5,"Sí","No")</x:f>
        <x:v>Sí</x:v>
      </x:c>
      <x:c r="N1516" s="25" t="str">
        <x:f>IF(J1516&gt;=6,"Sí","No")</x:f>
        <x:v>No</x:v>
      </x:c>
      <x:c r="O1516" s="25" t="str">
        <x:v>Pendiente: asignar con R/sf</x:v>
      </x:c>
    </x:row>
    <x:row r="1517">
      <x:c r="A1517" s="25" t="n">
        <x:v>1516</x:v>
      </x:c>
      <x:c r="B1517" s="26" t="n">
        <x:v>45571.14371527778</x:v>
      </x:c>
      <x:c r="C1517" s="27" t="n">
        <x:f>INT(B1517)</x:f>
        <x:v>45571</x:v>
      </x:c>
      <x:c r="D1517" s="28" t="n">
        <x:f>MOD(B1517,1)</x:f>
        <x:v>0.14371527777984738</x:v>
      </x:c>
      <x:c r="E1517" s="29" t="n">
        <x:f>YEAR(B1517)</x:f>
        <x:v>2024</x:v>
      </x:c>
      <x:c r="F1517" s="29" t="n">
        <x:f>MONTH(B1517)</x:f>
        <x:v>10</x:v>
      </x:c>
      <x:c r="G1517" s="30" t="n">
        <x:v>-33.86</x:v>
      </x:c>
      <x:c r="H1517" s="30" t="n">
        <x:v>-72.19</x:v>
      </x:c>
      <x:c r="I1517" s="29" t="n">
        <x:v>36</x:v>
      </x:c>
      <x:c r="J1517" s="31" t="n">
        <x:v>4</x:v>
      </x:c>
      <x:c r="K1517" s="25" t="str">
        <x:f>IF(J1517&gt;=7,"Muy fuerte (&gt;=7)",IF(J1517&gt;=6,"Fuerte (6-6.9)",IF(J1517&gt;=5,"Moderado alto (5-5.9)",IF(J1517&gt;=4,"Moderado (4-4.9)","Menor a 4"))))</x:f>
        <x:v>Moderado (4-4.9)</x:v>
      </x:c>
      <x:c r="L1517" s="25" t="str">
        <x:f>IF(I1517&lt;70,"Superficial (&lt;70 km)",IF(I1517&lt;=300,"Intermedio (70-300 km)","Profundo (&gt;300 km)"))</x:f>
        <x:v>Superficial (&lt;70 km)</x:v>
      </x:c>
      <x:c r="M1517" s="25" t="str">
        <x:f>IF(J1517&gt;=5,"Sí","No")</x:f>
        <x:v>No</x:v>
      </x:c>
      <x:c r="N1517" s="25" t="str">
        <x:f>IF(J1517&gt;=6,"Sí","No")</x:f>
        <x:v>No</x:v>
      </x:c>
      <x:c r="O1517" s="25" t="str">
        <x:v>Pendiente: asignar con R/sf</x:v>
      </x:c>
    </x:row>
    <x:row r="1518">
      <x:c r="A1518" s="25" t="n">
        <x:v>1517</x:v>
      </x:c>
      <x:c r="B1518" s="26" t="n">
        <x:v>45690.62569444445</x:v>
      </x:c>
      <x:c r="C1518" s="27" t="n">
        <x:f>INT(B1518)</x:f>
        <x:v>45690</x:v>
      </x:c>
      <x:c r="D1518" s="28" t="n">
        <x:f>MOD(B1518,1)</x:f>
        <x:v>0.6256944444467081</x:v>
      </x:c>
      <x:c r="E1518" s="29" t="n">
        <x:f>YEAR(B1518)</x:f>
        <x:v>2025</x:v>
      </x:c>
      <x:c r="F1518" s="29" t="n">
        <x:f>MONTH(B1518)</x:f>
        <x:v>2</x:v>
      </x:c>
      <x:c r="G1518" s="30" t="n">
        <x:v>-33.88</x:v>
      </x:c>
      <x:c r="H1518" s="30" t="n">
        <x:v>-72.03</x:v>
      </x:c>
      <x:c r="I1518" s="29" t="n">
        <x:v>38</x:v>
      </x:c>
      <x:c r="J1518" s="31" t="n">
        <x:v>4.4</x:v>
      </x:c>
      <x:c r="K1518" s="25" t="str">
        <x:f>IF(J1518&gt;=7,"Muy fuerte (&gt;=7)",IF(J1518&gt;=6,"Fuerte (6-6.9)",IF(J1518&gt;=5,"Moderado alto (5-5.9)",IF(J1518&gt;=4,"Moderado (4-4.9)","Menor a 4"))))</x:f>
        <x:v>Moderado (4-4.9)</x:v>
      </x:c>
      <x:c r="L1518" s="25" t="str">
        <x:f>IF(I1518&lt;70,"Superficial (&lt;70 km)",IF(I1518&lt;=300,"Intermedio (70-300 km)","Profundo (&gt;300 km)"))</x:f>
        <x:v>Superficial (&lt;70 km)</x:v>
      </x:c>
      <x:c r="M1518" s="25" t="str">
        <x:f>IF(J1518&gt;=5,"Sí","No")</x:f>
        <x:v>No</x:v>
      </x:c>
      <x:c r="N1518" s="25" t="str">
        <x:f>IF(J1518&gt;=6,"Sí","No")</x:f>
        <x:v>No</x:v>
      </x:c>
      <x:c r="O1518" s="25" t="str">
        <x:v>Pendiente: asignar con R/sf</x:v>
      </x:c>
    </x:row>
    <x:row r="1519">
      <x:c r="A1519" s="25" t="n">
        <x:v>1518</x:v>
      </x:c>
      <x:c r="B1519" s="26" t="n">
        <x:v>45693.52569444444</x:v>
      </x:c>
      <x:c r="C1519" s="27" t="n">
        <x:f>INT(B1519)</x:f>
        <x:v>45693</x:v>
      </x:c>
      <x:c r="D1519" s="28" t="n">
        <x:f>MOD(B1519,1)</x:f>
        <x:v>0.5256944444408873</x:v>
      </x:c>
      <x:c r="E1519" s="29" t="n">
        <x:f>YEAR(B1519)</x:f>
        <x:v>2025</x:v>
      </x:c>
      <x:c r="F1519" s="29" t="n">
        <x:f>MONTH(B1519)</x:f>
        <x:v>2</x:v>
      </x:c>
      <x:c r="G1519" s="30" t="n">
        <x:v>-33.86</x:v>
      </x:c>
      <x:c r="H1519" s="30" t="n">
        <x:v>-72.13</x:v>
      </x:c>
      <x:c r="I1519" s="29" t="n">
        <x:v>17</x:v>
      </x:c>
      <x:c r="J1519" s="31" t="n">
        <x:v>4.5</x:v>
      </x:c>
      <x:c r="K1519" s="25" t="str">
        <x:f>IF(J1519&gt;=7,"Muy fuerte (&gt;=7)",IF(J1519&gt;=6,"Fuerte (6-6.9)",IF(J1519&gt;=5,"Moderado alto (5-5.9)",IF(J1519&gt;=4,"Moderado (4-4.9)","Menor a 4"))))</x:f>
        <x:v>Moderado (4-4.9)</x:v>
      </x:c>
      <x:c r="L1519" s="25" t="str">
        <x:f>IF(I1519&lt;70,"Superficial (&lt;70 km)",IF(I1519&lt;=300,"Intermedio (70-300 km)","Profundo (&gt;300 km)"))</x:f>
        <x:v>Superficial (&lt;70 km)</x:v>
      </x:c>
      <x:c r="M1519" s="25" t="str">
        <x:f>IF(J1519&gt;=5,"Sí","No")</x:f>
        <x:v>No</x:v>
      </x:c>
      <x:c r="N1519" s="25" t="str">
        <x:f>IF(J1519&gt;=6,"Sí","No")</x:f>
        <x:v>No</x:v>
      </x:c>
      <x:c r="O1519" s="25" t="str">
        <x:v>Pendiente: asignar con R/sf</x:v>
      </x:c>
    </x:row>
    <x:row r="1520">
      <x:c r="A1520" s="25" t="n">
        <x:v>1519</x:v>
      </x:c>
      <x:c r="B1520" s="26" t="n">
        <x:v>45719.80327546296</x:v>
      </x:c>
      <x:c r="C1520" s="27" t="n">
        <x:f>INT(B1520)</x:f>
        <x:v>45719</x:v>
      </x:c>
      <x:c r="D1520" s="28" t="n">
        <x:f>MOD(B1520,1)</x:f>
        <x:v>0.8032754629603005</x:v>
      </x:c>
      <x:c r="E1520" s="29" t="n">
        <x:f>YEAR(B1520)</x:f>
        <x:v>2025</x:v>
      </x:c>
      <x:c r="F1520" s="29" t="n">
        <x:f>MONTH(B1520)</x:f>
        <x:v>3</x:v>
      </x:c>
      <x:c r="G1520" s="30" t="n">
        <x:v>-33.91</x:v>
      </x:c>
      <x:c r="H1520" s="30" t="n">
        <x:v>-72.48</x:v>
      </x:c>
      <x:c r="I1520" s="29" t="n">
        <x:v>37</x:v>
      </x:c>
      <x:c r="J1520" s="31" t="n">
        <x:v>4.6</x:v>
      </x:c>
      <x:c r="K1520" s="25" t="str">
        <x:f>IF(J1520&gt;=7,"Muy fuerte (&gt;=7)",IF(J1520&gt;=6,"Fuerte (6-6.9)",IF(J1520&gt;=5,"Moderado alto (5-5.9)",IF(J1520&gt;=4,"Moderado (4-4.9)","Menor a 4"))))</x:f>
        <x:v>Moderado (4-4.9)</x:v>
      </x:c>
      <x:c r="L1520" s="25" t="str">
        <x:f>IF(I1520&lt;70,"Superficial (&lt;70 km)",IF(I1520&lt;=300,"Intermedio (70-300 km)","Profundo (&gt;300 km)"))</x:f>
        <x:v>Superficial (&lt;70 km)</x:v>
      </x:c>
      <x:c r="M1520" s="25" t="str">
        <x:f>IF(J1520&gt;=5,"Sí","No")</x:f>
        <x:v>No</x:v>
      </x:c>
      <x:c r="N1520" s="25" t="str">
        <x:f>IF(J1520&gt;=6,"Sí","No")</x:f>
        <x:v>No</x:v>
      </x:c>
      <x:c r="O1520" s="25" t="str">
        <x:v>Pendiente: asignar con R/sf</x:v>
      </x:c>
    </x:row>
    <x:row r="1521">
      <x:c r="A1521" s="25" t="n">
        <x:v>1520</x:v>
      </x:c>
      <x:c r="B1521" s="26" t="n">
        <x:v>45781.66400462963</x:v>
      </x:c>
      <x:c r="C1521" s="27" t="n">
        <x:f>INT(B1521)</x:f>
        <x:v>45781</x:v>
      </x:c>
      <x:c r="D1521" s="28" t="n">
        <x:f>MOD(B1521,1)</x:f>
        <x:v>0.6640046296306537</x:v>
      </x:c>
      <x:c r="E1521" s="29" t="n">
        <x:f>YEAR(B1521)</x:f>
        <x:v>2025</x:v>
      </x:c>
      <x:c r="F1521" s="29" t="n">
        <x:f>MONTH(B1521)</x:f>
        <x:v>5</x:v>
      </x:c>
      <x:c r="G1521" s="30" t="n">
        <x:v>-33.45</x:v>
      </x:c>
      <x:c r="H1521" s="30" t="n">
        <x:v>-72.28</x:v>
      </x:c>
      <x:c r="I1521" s="29" t="n">
        <x:v>41</x:v>
      </x:c>
      <x:c r="J1521" s="31" t="n">
        <x:v>4.8</x:v>
      </x:c>
      <x:c r="K1521" s="25" t="str">
        <x:f>IF(J1521&gt;=7,"Muy fuerte (&gt;=7)",IF(J1521&gt;=6,"Fuerte (6-6.9)",IF(J1521&gt;=5,"Moderado alto (5-5.9)",IF(J1521&gt;=4,"Moderado (4-4.9)","Menor a 4"))))</x:f>
        <x:v>Moderado (4-4.9)</x:v>
      </x:c>
      <x:c r="L1521" s="25" t="str">
        <x:f>IF(I1521&lt;70,"Superficial (&lt;70 km)",IF(I1521&lt;=300,"Intermedio (70-300 km)","Profundo (&gt;300 km)"))</x:f>
        <x:v>Superficial (&lt;70 km)</x:v>
      </x:c>
      <x:c r="M1521" s="25" t="str">
        <x:f>IF(J1521&gt;=5,"Sí","No")</x:f>
        <x:v>No</x:v>
      </x:c>
      <x:c r="N1521" s="25" t="str">
        <x:f>IF(J1521&gt;=6,"Sí","No")</x:f>
        <x:v>No</x:v>
      </x:c>
      <x:c r="O1521" s="25" t="str">
        <x:v>Pendiente: asignar con R/sf</x:v>
      </x:c>
    </x:row>
    <x:row r="1522">
      <x:c r="A1522" s="25" t="n">
        <x:v>1521</x:v>
      </x:c>
      <x:c r="B1522" s="26" t="n">
        <x:v>45314.96519675926</x:v>
      </x:c>
      <x:c r="C1522" s="27" t="n">
        <x:f>INT(B1522)</x:f>
        <x:v>45314</x:v>
      </x:c>
      <x:c r="D1522" s="28" t="n">
        <x:f>MOD(B1522,1)</x:f>
        <x:v>0.9651967592581059</x:v>
      </x:c>
      <x:c r="E1522" s="29" t="n">
        <x:f>YEAR(B1522)</x:f>
        <x:v>2024</x:v>
      </x:c>
      <x:c r="F1522" s="29" t="n">
        <x:f>MONTH(B1522)</x:f>
        <x:v>1</x:v>
      </x:c>
      <x:c r="G1522" s="30" t="n">
        <x:v>-34.47</x:v>
      </x:c>
      <x:c r="H1522" s="30" t="n">
        <x:v>-70.49</x:v>
      </x:c>
      <x:c r="I1522" s="29" t="n">
        <x:v>119</x:v>
      </x:c>
      <x:c r="J1522" s="31" t="n">
        <x:v>4.5</x:v>
      </x:c>
      <x:c r="K1522" s="25" t="str">
        <x:f>IF(J1522&gt;=7,"Muy fuerte (&gt;=7)",IF(J1522&gt;=6,"Fuerte (6-6.9)",IF(J1522&gt;=5,"Moderado alto (5-5.9)",IF(J1522&gt;=4,"Moderado (4-4.9)","Menor a 4"))))</x:f>
        <x:v>Moderado (4-4.9)</x:v>
      </x:c>
      <x:c r="L1522" s="25" t="str">
        <x:f>IF(I1522&lt;70,"Superficial (&lt;70 km)",IF(I1522&lt;=300,"Intermedio (70-300 km)","Profundo (&gt;300 km)"))</x:f>
        <x:v>Intermedio (70-300 km)</x:v>
      </x:c>
      <x:c r="M1522" s="25" t="str">
        <x:f>IF(J1522&gt;=5,"Sí","No")</x:f>
        <x:v>No</x:v>
      </x:c>
      <x:c r="N1522" s="25" t="str">
        <x:f>IF(J1522&gt;=6,"Sí","No")</x:f>
        <x:v>No</x:v>
      </x:c>
      <x:c r="O1522" s="25" t="str">
        <x:v>Pendiente: asignar con R/sf</x:v>
      </x:c>
    </x:row>
    <x:row r="1523">
      <x:c r="A1523" s="25" t="n">
        <x:v>1522</x:v>
      </x:c>
      <x:c r="B1523" s="26" t="n">
        <x:v>45688.55262731481</x:v>
      </x:c>
      <x:c r="C1523" s="27" t="n">
        <x:f>INT(B1523)</x:f>
        <x:v>45688</x:v>
      </x:c>
      <x:c r="D1523" s="28" t="n">
        <x:f>MOD(B1523,1)</x:f>
        <x:v>0.5526273148134351</x:v>
      </x:c>
      <x:c r="E1523" s="29" t="n">
        <x:f>YEAR(B1523)</x:f>
        <x:v>2025</x:v>
      </x:c>
      <x:c r="F1523" s="29" t="n">
        <x:f>MONTH(B1523)</x:f>
        <x:v>1</x:v>
      </x:c>
      <x:c r="G1523" s="30" t="n">
        <x:v>-35.36</x:v>
      </x:c>
      <x:c r="H1523" s="30" t="n">
        <x:v>-71.72</x:v>
      </x:c>
      <x:c r="I1523" s="29" t="n">
        <x:v>63</x:v>
      </x:c>
      <x:c r="J1523" s="31" t="n">
        <x:v>3.2</x:v>
      </x:c>
      <x:c r="K1523" s="25" t="str">
        <x:f>IF(J1523&gt;=7,"Muy fuerte (&gt;=7)",IF(J1523&gt;=6,"Fuerte (6-6.9)",IF(J1523&gt;=5,"Moderado alto (5-5.9)",IF(J1523&gt;=4,"Moderado (4-4.9)","Menor a 4"))))</x:f>
        <x:v>Menor a 4</x:v>
      </x:c>
      <x:c r="L1523" s="25" t="str">
        <x:f>IF(I1523&lt;70,"Superficial (&lt;70 km)",IF(I1523&lt;=300,"Intermedio (70-300 km)","Profundo (&gt;300 km)"))</x:f>
        <x:v>Superficial (&lt;70 km)</x:v>
      </x:c>
      <x:c r="M1523" s="25" t="str">
        <x:f>IF(J1523&gt;=5,"Sí","No")</x:f>
        <x:v>No</x:v>
      </x:c>
      <x:c r="N1523" s="25" t="str">
        <x:f>IF(J1523&gt;=6,"Sí","No")</x:f>
        <x:v>No</x:v>
      </x:c>
      <x:c r="O1523" s="25" t="str">
        <x:v>Pendiente: asignar con R/sf</x:v>
      </x:c>
    </x:row>
    <x:row r="1524">
      <x:c r="A1524" s="25" t="n">
        <x:v>1523</x:v>
      </x:c>
      <x:c r="B1524" s="26" t="n">
        <x:v>45765.16641203704</x:v>
      </x:c>
      <x:c r="C1524" s="27" t="n">
        <x:f>INT(B1524)</x:f>
        <x:v>45765</x:v>
      </x:c>
      <x:c r="D1524" s="28" t="n">
        <x:f>MOD(B1524,1)</x:f>
        <x:v>0.1664120370405726</x:v>
      </x:c>
      <x:c r="E1524" s="29" t="n">
        <x:f>YEAR(B1524)</x:f>
        <x:v>2025</x:v>
      </x:c>
      <x:c r="F1524" s="29" t="n">
        <x:f>MONTH(B1524)</x:f>
        <x:v>4</x:v>
      </x:c>
      <x:c r="G1524" s="30" t="n">
        <x:v>-36.44</x:v>
      </x:c>
      <x:c r="H1524" s="30" t="n">
        <x:v>-71.05</x:v>
      </x:c>
      <x:c r="I1524" s="29" t="n">
        <x:v>139</x:v>
      </x:c>
      <x:c r="J1524" s="31" t="n">
        <x:v>4.7</x:v>
      </x:c>
      <x:c r="K1524" s="25" t="str">
        <x:f>IF(J1524&gt;=7,"Muy fuerte (&gt;=7)",IF(J1524&gt;=6,"Fuerte (6-6.9)",IF(J1524&gt;=5,"Moderado alto (5-5.9)",IF(J1524&gt;=4,"Moderado (4-4.9)","Menor a 4"))))</x:f>
        <x:v>Moderado (4-4.9)</x:v>
      </x:c>
      <x:c r="L1524" s="25" t="str">
        <x:f>IF(I1524&lt;70,"Superficial (&lt;70 km)",IF(I1524&lt;=300,"Intermedio (70-300 km)","Profundo (&gt;300 km)"))</x:f>
        <x:v>Intermedio (70-300 km)</x:v>
      </x:c>
      <x:c r="M1524" s="25" t="str">
        <x:f>IF(J1524&gt;=5,"Sí","No")</x:f>
        <x:v>No</x:v>
      </x:c>
      <x:c r="N1524" s="25" t="str">
        <x:f>IF(J1524&gt;=6,"Sí","No")</x:f>
        <x:v>No</x:v>
      </x:c>
      <x:c r="O1524" s="25" t="str">
        <x:v>Pendiente: asignar con R/sf</x:v>
      </x:c>
    </x:row>
    <x:row r="1525">
      <x:c r="A1525" s="25" t="n">
        <x:v>1524</x:v>
      </x:c>
      <x:c r="B1525" s="26" t="n">
        <x:v>45851.46087962963</x:v>
      </x:c>
      <x:c r="C1525" s="27" t="n">
        <x:f>INT(B1525)</x:f>
        <x:v>45851</x:v>
      </x:c>
      <x:c r="D1525" s="28" t="n">
        <x:f>MOD(B1525,1)</x:f>
        <x:v>0.46087962963065365</x:v>
      </x:c>
      <x:c r="E1525" s="29" t="n">
        <x:f>YEAR(B1525)</x:f>
        <x:v>2025</x:v>
      </x:c>
      <x:c r="F1525" s="29" t="n">
        <x:f>MONTH(B1525)</x:f>
        <x:v>7</x:v>
      </x:c>
      <x:c r="G1525" s="30" t="n">
        <x:v>-34.9</x:v>
      </x:c>
      <x:c r="H1525" s="30" t="n">
        <x:v>-71.79</x:v>
      </x:c>
      <x:c r="I1525" s="29" t="n">
        <x:v>47</x:v>
      </x:c>
      <x:c r="J1525" s="31" t="n">
        <x:v>3.8</x:v>
      </x:c>
      <x:c r="K1525" s="25" t="str">
        <x:f>IF(J1525&gt;=7,"Muy fuerte (&gt;=7)",IF(J1525&gt;=6,"Fuerte (6-6.9)",IF(J1525&gt;=5,"Moderado alto (5-5.9)",IF(J1525&gt;=4,"Moderado (4-4.9)","Menor a 4"))))</x:f>
        <x:v>Menor a 4</x:v>
      </x:c>
      <x:c r="L1525" s="25" t="str">
        <x:f>IF(I1525&lt;70,"Superficial (&lt;70 km)",IF(I1525&lt;=300,"Intermedio (70-300 km)","Profundo (&gt;300 km)"))</x:f>
        <x:v>Superficial (&lt;70 km)</x:v>
      </x:c>
      <x:c r="M1525" s="25" t="str">
        <x:f>IF(J1525&gt;=5,"Sí","No")</x:f>
        <x:v>No</x:v>
      </x:c>
      <x:c r="N1525" s="25" t="str">
        <x:f>IF(J1525&gt;=6,"Sí","No")</x:f>
        <x:v>No</x:v>
      </x:c>
      <x:c r="O1525" s="25" t="str">
        <x:v>Pendiente: asignar con R/sf</x:v>
      </x:c>
    </x:row>
    <x:row r="1526">
      <x:c r="A1526" s="25" t="n">
        <x:v>1525</x:v>
      </x:c>
      <x:c r="B1526" s="26" t="n">
        <x:v>45374.96079861111</x:v>
      </x:c>
      <x:c r="C1526" s="27" t="n">
        <x:f>INT(B1526)</x:f>
        <x:v>45374</x:v>
      </x:c>
      <x:c r="D1526" s="28" t="n">
        <x:f>MOD(B1526,1)</x:f>
        <x:v>0.960798611107748</x:v>
      </x:c>
      <x:c r="E1526" s="29" t="n">
        <x:f>YEAR(B1526)</x:f>
        <x:v>2024</x:v>
      </x:c>
      <x:c r="F1526" s="29" t="n">
        <x:f>MONTH(B1526)</x:f>
        <x:v>3</x:v>
      </x:c>
      <x:c r="G1526" s="30" t="n">
        <x:v>-34.84</x:v>
      </x:c>
      <x:c r="H1526" s="30" t="n">
        <x:v>-72.1</x:v>
      </x:c>
      <x:c r="I1526" s="29" t="n">
        <x:v>37</x:v>
      </x:c>
      <x:c r="J1526" s="31" t="n">
        <x:v>3.9</x:v>
      </x:c>
      <x:c r="K1526" s="25" t="str">
        <x:f>IF(J1526&gt;=7,"Muy fuerte (&gt;=7)",IF(J1526&gt;=6,"Fuerte (6-6.9)",IF(J1526&gt;=5,"Moderado alto (5-5.9)",IF(J1526&gt;=4,"Moderado (4-4.9)","Menor a 4"))))</x:f>
        <x:v>Menor a 4</x:v>
      </x:c>
      <x:c r="L1526" s="25" t="str">
        <x:f>IF(I1526&lt;70,"Superficial (&lt;70 km)",IF(I1526&lt;=300,"Intermedio (70-300 km)","Profundo (&gt;300 km)"))</x:f>
        <x:v>Superficial (&lt;70 km)</x:v>
      </x:c>
      <x:c r="M1526" s="25" t="str">
        <x:f>IF(J1526&gt;=5,"Sí","No")</x:f>
        <x:v>No</x:v>
      </x:c>
      <x:c r="N1526" s="25" t="str">
        <x:f>IF(J1526&gt;=6,"Sí","No")</x:f>
        <x:v>No</x:v>
      </x:c>
      <x:c r="O1526" s="25" t="str">
        <x:v>Pendiente: asignar con R/sf</x:v>
      </x:c>
    </x:row>
    <x:row r="1527">
      <x:c r="A1527" s="25" t="n">
        <x:v>1526</x:v>
      </x:c>
      <x:c r="B1527" s="26" t="n">
        <x:v>45566.19184027778</x:v>
      </x:c>
      <x:c r="C1527" s="27" t="n">
        <x:f>INT(B1527)</x:f>
        <x:v>45566</x:v>
      </x:c>
      <x:c r="D1527" s="28" t="n">
        <x:f>MOD(B1527,1)</x:f>
        <x:v>0.19184027778101154</x:v>
      </x:c>
      <x:c r="E1527" s="29" t="n">
        <x:f>YEAR(B1527)</x:f>
        <x:v>2024</x:v>
      </x:c>
      <x:c r="F1527" s="29" t="n">
        <x:f>MONTH(B1527)</x:f>
        <x:v>10</x:v>
      </x:c>
      <x:c r="G1527" s="30" t="n">
        <x:v>-34.7</x:v>
      </x:c>
      <x:c r="H1527" s="30" t="n">
        <x:v>-72.04</x:v>
      </x:c>
      <x:c r="I1527" s="29" t="n">
        <x:v>12</x:v>
      </x:c>
      <x:c r="J1527" s="31" t="n">
        <x:v>3.3</x:v>
      </x:c>
      <x:c r="K1527" s="25" t="str">
        <x:f>IF(J1527&gt;=7,"Muy fuerte (&gt;=7)",IF(J1527&gt;=6,"Fuerte (6-6.9)",IF(J1527&gt;=5,"Moderado alto (5-5.9)",IF(J1527&gt;=4,"Moderado (4-4.9)","Menor a 4"))))</x:f>
        <x:v>Menor a 4</x:v>
      </x:c>
      <x:c r="L1527" s="25" t="str">
        <x:f>IF(I1527&lt;70,"Superficial (&lt;70 km)",IF(I1527&lt;=300,"Intermedio (70-300 km)","Profundo (&gt;300 km)"))</x:f>
        <x:v>Superficial (&lt;70 km)</x:v>
      </x:c>
      <x:c r="M1527" s="25" t="str">
        <x:f>IF(J1527&gt;=5,"Sí","No")</x:f>
        <x:v>No</x:v>
      </x:c>
      <x:c r="N1527" s="25" t="str">
        <x:f>IF(J1527&gt;=6,"Sí","No")</x:f>
        <x:v>No</x:v>
      </x:c>
      <x:c r="O1527" s="25" t="str">
        <x:v>Pendiente: asignar con R/sf</x:v>
      </x:c>
    </x:row>
    <x:row r="1528">
      <x:c r="A1528" s="25" t="n">
        <x:v>1527</x:v>
      </x:c>
      <x:c r="B1528" s="26" t="n">
        <x:v>45734.95239583333</x:v>
      </x:c>
      <x:c r="C1528" s="27" t="n">
        <x:f>INT(B1528)</x:f>
        <x:v>45734</x:v>
      </x:c>
      <x:c r="D1528" s="28" t="n">
        <x:f>MOD(B1528,1)</x:f>
        <x:v>0.9523958333302289</x:v>
      </x:c>
      <x:c r="E1528" s="29" t="n">
        <x:f>YEAR(B1528)</x:f>
        <x:v>2025</x:v>
      </x:c>
      <x:c r="F1528" s="29" t="n">
        <x:f>MONTH(B1528)</x:f>
        <x:v>3</x:v>
      </x:c>
      <x:c r="G1528" s="30" t="n">
        <x:v>-35.99</x:v>
      </x:c>
      <x:c r="H1528" s="30" t="n">
        <x:v>-72.26</x:v>
      </x:c>
      <x:c r="I1528" s="29" t="n">
        <x:v>65</x:v>
      </x:c>
      <x:c r="J1528" s="31" t="n">
        <x:v>4.2</x:v>
      </x:c>
      <x:c r="K1528" s="25" t="str">
        <x:f>IF(J1528&gt;=7,"Muy fuerte (&gt;=7)",IF(J1528&gt;=6,"Fuerte (6-6.9)",IF(J1528&gt;=5,"Moderado alto (5-5.9)",IF(J1528&gt;=4,"Moderado (4-4.9)","Menor a 4"))))</x:f>
        <x:v>Moderado (4-4.9)</x:v>
      </x:c>
      <x:c r="L1528" s="25" t="str">
        <x:f>IF(I1528&lt;70,"Superficial (&lt;70 km)",IF(I1528&lt;=300,"Intermedio (70-300 km)","Profundo (&gt;300 km)"))</x:f>
        <x:v>Superficial (&lt;70 km)</x:v>
      </x:c>
      <x:c r="M1528" s="25" t="str">
        <x:f>IF(J1528&gt;=5,"Sí","No")</x:f>
        <x:v>No</x:v>
      </x:c>
      <x:c r="N1528" s="25" t="str">
        <x:f>IF(J1528&gt;=6,"Sí","No")</x:f>
        <x:v>No</x:v>
      </x:c>
      <x:c r="O1528" s="25" t="str">
        <x:v>Pendiente: asignar con R/sf</x:v>
      </x:c>
    </x:row>
    <x:row r="1529">
      <x:c r="A1529" s="25" t="n">
        <x:v>1528</x:v>
      </x:c>
      <x:c r="B1529" s="26" t="n">
        <x:v>45262.33033564815</x:v>
      </x:c>
      <x:c r="C1529" s="27" t="n">
        <x:f>INT(B1529)</x:f>
        <x:v>45262</x:v>
      </x:c>
      <x:c r="D1529" s="28" t="n">
        <x:f>MOD(B1529,1)</x:f>
        <x:v>0.3303356481483206</x:v>
      </x:c>
      <x:c r="E1529" s="29" t="n">
        <x:f>YEAR(B1529)</x:f>
        <x:v>2023</x:v>
      </x:c>
      <x:c r="F1529" s="29" t="n">
        <x:f>MONTH(B1529)</x:f>
        <x:v>12</x:v>
      </x:c>
      <x:c r="G1529" s="30" t="n">
        <x:v>-19.23</x:v>
      </x:c>
      <x:c r="H1529" s="30" t="n">
        <x:v>-69.3</x:v>
      </x:c>
      <x:c r="I1529" s="29" t="n">
        <x:v>108</x:v>
      </x:c>
      <x:c r="J1529" s="31" t="n">
        <x:v>5.6</x:v>
      </x:c>
      <x:c r="K1529" s="25" t="str">
        <x:f>IF(J1529&gt;=7,"Muy fuerte (&gt;=7)",IF(J1529&gt;=6,"Fuerte (6-6.9)",IF(J1529&gt;=5,"Moderado alto (5-5.9)",IF(J1529&gt;=4,"Moderado (4-4.9)","Menor a 4"))))</x:f>
        <x:v>Moderado alto (5-5.9)</x:v>
      </x:c>
      <x:c r="L1529" s="25" t="str">
        <x:f>IF(I1529&lt;70,"Superficial (&lt;70 km)",IF(I1529&lt;=300,"Intermedio (70-300 km)","Profundo (&gt;300 km)"))</x:f>
        <x:v>Intermedio (70-300 km)</x:v>
      </x:c>
      <x:c r="M1529" s="25" t="str">
        <x:f>IF(J1529&gt;=5,"Sí","No")</x:f>
        <x:v>Sí</x:v>
      </x:c>
      <x:c r="N1529" s="25" t="str">
        <x:f>IF(J1529&gt;=6,"Sí","No")</x:f>
        <x:v>No</x:v>
      </x:c>
      <x:c r="O1529" s="25" t="str">
        <x:v>Pendiente: asignar con R/sf</x:v>
      </x:c>
    </x:row>
    <x:row r="1530">
      <x:c r="A1530" s="25" t="n">
        <x:v>1529</x:v>
      </x:c>
      <x:c r="B1530" s="26" t="n">
        <x:v>45262.396898148145</x:v>
      </x:c>
      <x:c r="C1530" s="27" t="n">
        <x:f>INT(B1530)</x:f>
        <x:v>45262</x:v>
      </x:c>
      <x:c r="D1530" s="28" t="n">
        <x:f>MOD(B1530,1)</x:f>
        <x:v>0.39689814814482816</x:v>
      </x:c>
      <x:c r="E1530" s="29" t="n">
        <x:f>YEAR(B1530)</x:f>
        <x:v>2023</x:v>
      </x:c>
      <x:c r="F1530" s="29" t="n">
        <x:f>MONTH(B1530)</x:f>
        <x:v>12</x:v>
      </x:c>
      <x:c r="G1530" s="30" t="n">
        <x:v>-24.43</x:v>
      </x:c>
      <x:c r="H1530" s="30" t="n">
        <x:v>-70.34</x:v>
      </x:c>
      <x:c r="I1530" s="29" t="n">
        <x:v>41</x:v>
      </x:c>
      <x:c r="J1530" s="31" t="n">
        <x:v>5.4</x:v>
      </x:c>
      <x:c r="K1530" s="25" t="str">
        <x:f>IF(J1530&gt;=7,"Muy fuerte (&gt;=7)",IF(J1530&gt;=6,"Fuerte (6-6.9)",IF(J1530&gt;=5,"Moderado alto (5-5.9)",IF(J1530&gt;=4,"Moderado (4-4.9)","Menor a 4"))))</x:f>
        <x:v>Moderado alto (5-5.9)</x:v>
      </x:c>
      <x:c r="L1530" s="25" t="str">
        <x:f>IF(I1530&lt;70,"Superficial (&lt;70 km)",IF(I1530&lt;=300,"Intermedio (70-300 km)","Profundo (&gt;300 km)"))</x:f>
        <x:v>Superficial (&lt;70 km)</x:v>
      </x:c>
      <x:c r="M1530" s="25" t="str">
        <x:f>IF(J1530&gt;=5,"Sí","No")</x:f>
        <x:v>Sí</x:v>
      </x:c>
      <x:c r="N1530" s="25" t="str">
        <x:f>IF(J1530&gt;=6,"Sí","No")</x:f>
        <x:v>No</x:v>
      </x:c>
      <x:c r="O1530" s="25" t="str">
        <x:v>Pendiente: asignar con R/sf</x:v>
      </x:c>
    </x:row>
    <x:row r="1531">
      <x:c r="A1531" s="25" t="n">
        <x:v>1530</x:v>
      </x:c>
      <x:c r="B1531" s="26" t="n">
        <x:v>45271.77501157407</x:v>
      </x:c>
      <x:c r="C1531" s="27" t="n">
        <x:f>INT(B1531)</x:f>
        <x:v>45271</x:v>
      </x:c>
      <x:c r="D1531" s="28" t="n">
        <x:f>MOD(B1531,1)</x:f>
        <x:v>0.7750115740709589</x:v>
      </x:c>
      <x:c r="E1531" s="29" t="n">
        <x:f>YEAR(B1531)</x:f>
        <x:v>2023</x:v>
      </x:c>
      <x:c r="F1531" s="29" t="n">
        <x:f>MONTH(B1531)</x:f>
        <x:v>12</x:v>
      </x:c>
      <x:c r="G1531" s="30" t="n">
        <x:v>-24.2</x:v>
      </x:c>
      <x:c r="H1531" s="30" t="n">
        <x:v>-67.1</x:v>
      </x:c>
      <x:c r="I1531" s="29" t="n">
        <x:v>223</x:v>
      </x:c>
      <x:c r="J1531" s="31" t="n">
        <x:v>5.9</x:v>
      </x:c>
      <x:c r="K1531" s="25" t="str">
        <x:f>IF(J1531&gt;=7,"Muy fuerte (&gt;=7)",IF(J1531&gt;=6,"Fuerte (6-6.9)",IF(J1531&gt;=5,"Moderado alto (5-5.9)",IF(J1531&gt;=4,"Moderado (4-4.9)","Menor a 4"))))</x:f>
        <x:v>Moderado alto (5-5.9)</x:v>
      </x:c>
      <x:c r="L1531" s="25" t="str">
        <x:f>IF(I1531&lt;70,"Superficial (&lt;70 km)",IF(I1531&lt;=300,"Intermedio (70-300 km)","Profundo (&gt;300 km)"))</x:f>
        <x:v>Intermedio (70-300 km)</x:v>
      </x:c>
      <x:c r="M1531" s="25" t="str">
        <x:f>IF(J1531&gt;=5,"Sí","No")</x:f>
        <x:v>Sí</x:v>
      </x:c>
      <x:c r="N1531" s="25" t="str">
        <x:f>IF(J1531&gt;=6,"Sí","No")</x:f>
        <x:v>No</x:v>
      </x:c>
      <x:c r="O1531" s="25" t="str">
        <x:v>Pendiente: asignar con R/sf</x:v>
      </x:c>
    </x:row>
    <x:row r="1532">
      <x:c r="A1532" s="25" t="n">
        <x:v>1531</x:v>
      </x:c>
      <x:c r="B1532" s="26" t="n">
        <x:v>45281.68185185185</x:v>
      </x:c>
      <x:c r="C1532" s="27" t="n">
        <x:f>INT(B1532)</x:f>
        <x:v>45281</x:v>
      </x:c>
      <x:c r="D1532" s="28" t="n">
        <x:f>MOD(B1532,1)</x:f>
        <x:v>0.681851851848478</x:v>
      </x:c>
      <x:c r="E1532" s="29" t="n">
        <x:f>YEAR(B1532)</x:f>
        <x:v>2023</x:v>
      </x:c>
      <x:c r="F1532" s="29" t="n">
        <x:f>MONTH(B1532)</x:f>
        <x:v>12</x:v>
      </x:c>
      <x:c r="G1532" s="30" t="n">
        <x:v>-21.92</x:v>
      </x:c>
      <x:c r="H1532" s="30" t="n">
        <x:v>-70.25</x:v>
      </x:c>
      <x:c r="I1532" s="29" t="n">
        <x:v>55</x:v>
      </x:c>
      <x:c r="J1532" s="31" t="n">
        <x:v>5.8</x:v>
      </x:c>
      <x:c r="K1532" s="25" t="str">
        <x:f>IF(J1532&gt;=7,"Muy fuerte (&gt;=7)",IF(J1532&gt;=6,"Fuerte (6-6.9)",IF(J1532&gt;=5,"Moderado alto (5-5.9)",IF(J1532&gt;=4,"Moderado (4-4.9)","Menor a 4"))))</x:f>
        <x:v>Moderado alto (5-5.9)</x:v>
      </x:c>
      <x:c r="L1532" s="25" t="str">
        <x:f>IF(I1532&lt;70,"Superficial (&lt;70 km)",IF(I1532&lt;=300,"Intermedio (70-300 km)","Profundo (&gt;300 km)"))</x:f>
        <x:v>Superficial (&lt;70 km)</x:v>
      </x:c>
      <x:c r="M1532" s="25" t="str">
        <x:f>IF(J1532&gt;=5,"Sí","No")</x:f>
        <x:v>Sí</x:v>
      </x:c>
      <x:c r="N1532" s="25" t="str">
        <x:f>IF(J1532&gt;=6,"Sí","No")</x:f>
        <x:v>No</x:v>
      </x:c>
      <x:c r="O1532" s="25" t="str">
        <x:v>Pendiente: asignar con R/sf</x:v>
      </x:c>
    </x:row>
    <x:row r="1533">
      <x:c r="A1533" s="25" t="n">
        <x:v>1532</x:v>
      </x:c>
      <x:c r="B1533" s="26" t="n">
        <x:v>45284.14144675926</x:v>
      </x:c>
      <x:c r="C1533" s="27" t="n">
        <x:f>INT(B1533)</x:f>
        <x:v>45284</x:v>
      </x:c>
      <x:c r="D1533" s="28" t="n">
        <x:f>MOD(B1533,1)</x:f>
        <x:v>0.14144675926218042</x:v>
      </x:c>
      <x:c r="E1533" s="29" t="n">
        <x:f>YEAR(B1533)</x:f>
        <x:v>2023</x:v>
      </x:c>
      <x:c r="F1533" s="29" t="n">
        <x:f>MONTH(B1533)</x:f>
        <x:v>12</x:v>
      </x:c>
      <x:c r="G1533" s="30" t="n">
        <x:v>-38.13</x:v>
      </x:c>
      <x:c r="H1533" s="30" t="n">
        <x:v>-74.16</x:v>
      </x:c>
      <x:c r="I1533" s="29" t="n">
        <x:v>36</x:v>
      </x:c>
      <x:c r="J1533" s="31" t="n">
        <x:v>5.4</x:v>
      </x:c>
      <x:c r="K1533" s="25" t="str">
        <x:f>IF(J1533&gt;=7,"Muy fuerte (&gt;=7)",IF(J1533&gt;=6,"Fuerte (6-6.9)",IF(J1533&gt;=5,"Moderado alto (5-5.9)",IF(J1533&gt;=4,"Moderado (4-4.9)","Menor a 4"))))</x:f>
        <x:v>Moderado alto (5-5.9)</x:v>
      </x:c>
      <x:c r="L1533" s="25" t="str">
        <x:f>IF(I1533&lt;70,"Superficial (&lt;70 km)",IF(I1533&lt;=300,"Intermedio (70-300 km)","Profundo (&gt;300 km)"))</x:f>
        <x:v>Superficial (&lt;70 km)</x:v>
      </x:c>
      <x:c r="M1533" s="25" t="str">
        <x:f>IF(J1533&gt;=5,"Sí","No")</x:f>
        <x:v>Sí</x:v>
      </x:c>
      <x:c r="N1533" s="25" t="str">
        <x:f>IF(J1533&gt;=6,"Sí","No")</x:f>
        <x:v>No</x:v>
      </x:c>
      <x:c r="O1533" s="25" t="str">
        <x:v>Pendiente: asignar con R/sf</x:v>
      </x:c>
    </x:row>
    <x:row r="1534">
      <x:c r="A1534" s="25" t="n">
        <x:v>1533</x:v>
      </x:c>
      <x:c r="B1534" s="26" t="n">
        <x:v>45026.356516203705</x:v>
      </x:c>
      <x:c r="C1534" s="27" t="n">
        <x:f>INT(B1534)</x:f>
        <x:v>45026</x:v>
      </x:c>
      <x:c r="D1534" s="28" t="n">
        <x:f>MOD(B1534,1)</x:f>
        <x:v>0.35651620370481396</x:v>
      </x:c>
      <x:c r="E1534" s="29" t="n">
        <x:f>YEAR(B1534)</x:f>
        <x:v>2023</x:v>
      </x:c>
      <x:c r="F1534" s="29" t="n">
        <x:f>MONTH(B1534)</x:f>
        <x:v>4</x:v>
      </x:c>
      <x:c r="G1534" s="30" t="n">
        <x:v>-32.37</x:v>
      </x:c>
      <x:c r="H1534" s="30" t="n">
        <x:v>-71.45</x:v>
      </x:c>
      <x:c r="I1534" s="29" t="n">
        <x:v>53</x:v>
      </x:c>
      <x:c r="J1534" s="31" t="n">
        <x:v>4</x:v>
      </x:c>
      <x:c r="K1534" s="25" t="str">
        <x:f>IF(J1534&gt;=7,"Muy fuerte (&gt;=7)",IF(J1534&gt;=6,"Fuerte (6-6.9)",IF(J1534&gt;=5,"Moderado alto (5-5.9)",IF(J1534&gt;=4,"Moderado (4-4.9)","Menor a 4"))))</x:f>
        <x:v>Moderado (4-4.9)</x:v>
      </x:c>
      <x:c r="L1534" s="25" t="str">
        <x:f>IF(I1534&lt;70,"Superficial (&lt;70 km)",IF(I1534&lt;=300,"Intermedio (70-300 km)","Profundo (&gt;300 km)"))</x:f>
        <x:v>Superficial (&lt;70 km)</x:v>
      </x:c>
      <x:c r="M1534" s="25" t="str">
        <x:f>IF(J1534&gt;=5,"Sí","No")</x:f>
        <x:v>No</x:v>
      </x:c>
      <x:c r="N1534" s="25" t="str">
        <x:f>IF(J1534&gt;=6,"Sí","No")</x:f>
        <x:v>No</x:v>
      </x:c>
      <x:c r="O1534" s="25" t="str">
        <x:v>Pendiente: asignar con R/sf</x:v>
      </x:c>
    </x:row>
    <x:row r="1535">
      <x:c r="A1535" s="25" t="n">
        <x:v>1534</x:v>
      </x:c>
      <x:c r="B1535" s="26" t="n">
        <x:v>45094.93863425926</x:v>
      </x:c>
      <x:c r="C1535" s="27" t="n">
        <x:f>INT(B1535)</x:f>
        <x:v>45094</x:v>
      </x:c>
      <x:c r="D1535" s="28" t="n">
        <x:f>MOD(B1535,1)</x:f>
        <x:v>0.9386342592624715</x:v>
      </x:c>
      <x:c r="E1535" s="29" t="n">
        <x:f>YEAR(B1535)</x:f>
        <x:v>2023</x:v>
      </x:c>
      <x:c r="F1535" s="29" t="n">
        <x:f>MONTH(B1535)</x:f>
        <x:v>6</x:v>
      </x:c>
      <x:c r="G1535" s="30" t="n">
        <x:v>-34.83</x:v>
      </x:c>
      <x:c r="H1535" s="30" t="n">
        <x:v>-71.05</x:v>
      </x:c>
      <x:c r="I1535" s="29" t="n">
        <x:v>100</x:v>
      </x:c>
      <x:c r="J1535" s="31" t="n">
        <x:v>4.9</x:v>
      </x:c>
      <x:c r="K1535" s="25" t="str">
        <x:f>IF(J1535&gt;=7,"Muy fuerte (&gt;=7)",IF(J1535&gt;=6,"Fuerte (6-6.9)",IF(J1535&gt;=5,"Moderado alto (5-5.9)",IF(J1535&gt;=4,"Moderado (4-4.9)","Menor a 4"))))</x:f>
        <x:v>Moderado (4-4.9)</x:v>
      </x:c>
      <x:c r="L1535" s="25" t="str">
        <x:f>IF(I1535&lt;70,"Superficial (&lt;70 km)",IF(I1535&lt;=300,"Intermedio (70-300 km)","Profundo (&gt;300 km)"))</x:f>
        <x:v>Intermedio (70-300 km)</x:v>
      </x:c>
      <x:c r="M1535" s="25" t="str">
        <x:f>IF(J1535&gt;=5,"Sí","No")</x:f>
        <x:v>No</x:v>
      </x:c>
      <x:c r="N1535" s="25" t="str">
        <x:f>IF(J1535&gt;=6,"Sí","No")</x:f>
        <x:v>No</x:v>
      </x:c>
      <x:c r="O1535" s="25" t="str">
        <x:v>Pendiente: asignar con R/sf</x:v>
      </x:c>
    </x:row>
    <x:row r="1536">
      <x:c r="A1536" s="25" t="n">
        <x:v>1535</x:v>
      </x:c>
      <x:c r="B1536" s="26" t="n">
        <x:v>45207.059594907405</x:v>
      </x:c>
      <x:c r="C1536" s="27" t="n">
        <x:f>INT(B1536)</x:f>
        <x:v>45207</x:v>
      </x:c>
      <x:c r="D1536" s="28" t="n">
        <x:f>MOD(B1536,1)</x:f>
        <x:v>0.05959490740497131</x:v>
      </x:c>
      <x:c r="E1536" s="29" t="n">
        <x:f>YEAR(B1536)</x:f>
        <x:v>2023</x:v>
      </x:c>
      <x:c r="F1536" s="29" t="n">
        <x:f>MONTH(B1536)</x:f>
        <x:v>10</x:v>
      </x:c>
      <x:c r="G1536" s="30" t="n">
        <x:v>-34.67</x:v>
      </x:c>
      <x:c r="H1536" s="30" t="n">
        <x:v>-71.85</x:v>
      </x:c>
      <x:c r="I1536" s="29" t="n">
        <x:v>39</x:v>
      </x:c>
      <x:c r="J1536" s="31" t="n">
        <x:v>4.5</x:v>
      </x:c>
      <x:c r="K1536" s="25" t="str">
        <x:f>IF(J1536&gt;=7,"Muy fuerte (&gt;=7)",IF(J1536&gt;=6,"Fuerte (6-6.9)",IF(J1536&gt;=5,"Moderado alto (5-5.9)",IF(J1536&gt;=4,"Moderado (4-4.9)","Menor a 4"))))</x:f>
        <x:v>Moderado (4-4.9)</x:v>
      </x:c>
      <x:c r="L1536" s="25" t="str">
        <x:f>IF(I1536&lt;70,"Superficial (&lt;70 km)",IF(I1536&lt;=300,"Intermedio (70-300 km)","Profundo (&gt;300 km)"))</x:f>
        <x:v>Superficial (&lt;70 km)</x:v>
      </x:c>
      <x:c r="M1536" s="25" t="str">
        <x:f>IF(J1536&gt;=5,"Sí","No")</x:f>
        <x:v>No</x:v>
      </x:c>
      <x:c r="N1536" s="25" t="str">
        <x:f>IF(J1536&gt;=6,"Sí","No")</x:f>
        <x:v>No</x:v>
      </x:c>
      <x:c r="O1536" s="25" t="str">
        <x:v>Pendiente: asignar con R/sf</x:v>
      </x:c>
    </x:row>
    <x:row r="1537">
      <x:c r="A1537" s="25" t="n">
        <x:v>1536</x:v>
      </x:c>
      <x:c r="B1537" s="26" t="n">
        <x:v>44870.33148148148</x:v>
      </x:c>
      <x:c r="C1537" s="27" t="n">
        <x:f>INT(B1537)</x:f>
        <x:v>44870</x:v>
      </x:c>
      <x:c r="D1537" s="28" t="n">
        <x:f>MOD(B1537,1)</x:f>
        <x:v>0.33148148148029577</x:v>
      </x:c>
      <x:c r="E1537" s="29" t="n">
        <x:f>YEAR(B1537)</x:f>
        <x:v>2022</x:v>
      </x:c>
      <x:c r="F1537" s="29" t="n">
        <x:f>MONTH(B1537)</x:f>
        <x:v>11</x:v>
      </x:c>
      <x:c r="G1537" s="30" t="n">
        <x:v>-35.5</x:v>
      </x:c>
      <x:c r="H1537" s="30" t="n">
        <x:v>-73.71</x:v>
      </x:c>
      <x:c r="I1537" s="29" t="n">
        <x:v>22</x:v>
      </x:c>
      <x:c r="J1537" s="31" t="n">
        <x:v>4.9</x:v>
      </x:c>
      <x:c r="K1537" s="25" t="str">
        <x:f>IF(J1537&gt;=7,"Muy fuerte (&gt;=7)",IF(J1537&gt;=6,"Fuerte (6-6.9)",IF(J1537&gt;=5,"Moderado alto (5-5.9)",IF(J1537&gt;=4,"Moderado (4-4.9)","Menor a 4"))))</x:f>
        <x:v>Moderado (4-4.9)</x:v>
      </x:c>
      <x:c r="L1537" s="25" t="str">
        <x:f>IF(I1537&lt;70,"Superficial (&lt;70 km)",IF(I1537&lt;=300,"Intermedio (70-300 km)","Profundo (&gt;300 km)"))</x:f>
        <x:v>Superficial (&lt;70 km)</x:v>
      </x:c>
      <x:c r="M1537" s="25" t="str">
        <x:f>IF(J1537&gt;=5,"Sí","No")</x:f>
        <x:v>No</x:v>
      </x:c>
      <x:c r="N1537" s="25" t="str">
        <x:f>IF(J1537&gt;=6,"Sí","No")</x:f>
        <x:v>No</x:v>
      </x:c>
      <x:c r="O1537" s="25" t="str">
        <x:v>Pendiente: asignar con R/sf</x:v>
      </x:c>
    </x:row>
    <x:row r="1538">
      <x:c r="A1538" s="25" t="n">
        <x:v>1537</x:v>
      </x:c>
      <x:c r="B1538" s="26" t="n">
        <x:v>44893.20337962963</x:v>
      </x:c>
      <x:c r="C1538" s="27" t="n">
        <x:f>INT(B1538)</x:f>
        <x:v>44893</x:v>
      </x:c>
      <x:c r="D1538" s="28" t="n">
        <x:f>MOD(B1538,1)</x:f>
        <x:v>0.2033796296309447</x:v>
      </x:c>
      <x:c r="E1538" s="29" t="n">
        <x:f>YEAR(B1538)</x:f>
        <x:v>2022</x:v>
      </x:c>
      <x:c r="F1538" s="29" t="n">
        <x:f>MONTH(B1538)</x:f>
        <x:v>11</x:v>
      </x:c>
      <x:c r="G1538" s="30" t="n">
        <x:v>-34.8</x:v>
      </x:c>
      <x:c r="H1538" s="30" t="n">
        <x:v>-72.27</x:v>
      </x:c>
      <x:c r="I1538" s="29" t="n">
        <x:v>46</x:v>
      </x:c>
      <x:c r="J1538" s="31" t="n">
        <x:v>3.9</x:v>
      </x:c>
      <x:c r="K1538" s="25" t="str">
        <x:f>IF(J1538&gt;=7,"Muy fuerte (&gt;=7)",IF(J1538&gt;=6,"Fuerte (6-6.9)",IF(J1538&gt;=5,"Moderado alto (5-5.9)",IF(J1538&gt;=4,"Moderado (4-4.9)","Menor a 4"))))</x:f>
        <x:v>Menor a 4</x:v>
      </x:c>
      <x:c r="L1538" s="25" t="str">
        <x:f>IF(I1538&lt;70,"Superficial (&lt;70 km)",IF(I1538&lt;=300,"Intermedio (70-300 km)","Profundo (&gt;300 km)"))</x:f>
        <x:v>Superficial (&lt;70 km)</x:v>
      </x:c>
      <x:c r="M1538" s="25" t="str">
        <x:f>IF(J1538&gt;=5,"Sí","No")</x:f>
        <x:v>No</x:v>
      </x:c>
      <x:c r="N1538" s="25" t="str">
        <x:f>IF(J1538&gt;=6,"Sí","No")</x:f>
        <x:v>No</x:v>
      </x:c>
      <x:c r="O1538" s="25" t="str">
        <x:v>Pendiente: asignar con R/sf</x:v>
      </x:c>
    </x:row>
    <x:row r="1539">
      <x:c r="A1539" s="25" t="n">
        <x:v>1538</x:v>
      </x:c>
      <x:c r="B1539" s="26" t="n">
        <x:v>44980.43310185185</x:v>
      </x:c>
      <x:c r="C1539" s="27" t="n">
        <x:f>INT(B1539)</x:f>
        <x:v>44980</x:v>
      </x:c>
      <x:c r="D1539" s="28" t="n">
        <x:f>MOD(B1539,1)</x:f>
        <x:v>0.4331018518496421</x:v>
      </x:c>
      <x:c r="E1539" s="29" t="n">
        <x:f>YEAR(B1539)</x:f>
        <x:v>2023</x:v>
      </x:c>
      <x:c r="F1539" s="29" t="n">
        <x:f>MONTH(B1539)</x:f>
        <x:v>2</x:v>
      </x:c>
      <x:c r="G1539" s="30" t="n">
        <x:v>-33.83</x:v>
      </x:c>
      <x:c r="H1539" s="30" t="n">
        <x:v>-72.89</x:v>
      </x:c>
      <x:c r="I1539" s="29" t="n">
        <x:v>35</x:v>
      </x:c>
      <x:c r="J1539" s="31" t="n">
        <x:v>5.5</x:v>
      </x:c>
      <x:c r="K1539" s="25" t="str">
        <x:f>IF(J1539&gt;=7,"Muy fuerte (&gt;=7)",IF(J1539&gt;=6,"Fuerte (6-6.9)",IF(J1539&gt;=5,"Moderado alto (5-5.9)",IF(J1539&gt;=4,"Moderado (4-4.9)","Menor a 4"))))</x:f>
        <x:v>Moderado alto (5-5.9)</x:v>
      </x:c>
      <x:c r="L1539" s="25" t="str">
        <x:f>IF(I1539&lt;70,"Superficial (&lt;70 km)",IF(I1539&lt;=300,"Intermedio (70-300 km)","Profundo (&gt;300 km)"))</x:f>
        <x:v>Superficial (&lt;70 km)</x:v>
      </x:c>
      <x:c r="M1539" s="25" t="str">
        <x:f>IF(J1539&gt;=5,"Sí","No")</x:f>
        <x:v>Sí</x:v>
      </x:c>
      <x:c r="N1539" s="25" t="str">
        <x:f>IF(J1539&gt;=6,"Sí","No")</x:f>
        <x:v>No</x:v>
      </x:c>
      <x:c r="O1539" s="25" t="str">
        <x:v>Pendiente: asignar con R/sf</x:v>
      </x:c>
    </x:row>
    <x:row r="1540">
      <x:c r="A1540" s="25" t="n">
        <x:v>1539</x:v>
      </x:c>
      <x:c r="B1540" s="26" t="n">
        <x:v>45011.72686342592</x:v>
      </x:c>
      <x:c r="C1540" s="27" t="n">
        <x:f>INT(B1540)</x:f>
        <x:v>45011</x:v>
      </x:c>
      <x:c r="D1540" s="28" t="n">
        <x:f>MOD(B1540,1)</x:f>
        <x:v>0.7268634259235114</x:v>
      </x:c>
      <x:c r="E1540" s="29" t="n">
        <x:f>YEAR(B1540)</x:f>
        <x:v>2023</x:v>
      </x:c>
      <x:c r="F1540" s="29" t="n">
        <x:f>MONTH(B1540)</x:f>
        <x:v>3</x:v>
      </x:c>
      <x:c r="G1540" s="30" t="n">
        <x:v>-36.53</x:v>
      </x:c>
      <x:c r="H1540" s="30" t="n">
        <x:v>-72.74</x:v>
      </x:c>
      <x:c r="I1540" s="29" t="n">
        <x:v>45</x:v>
      </x:c>
      <x:c r="J1540" s="31" t="n">
        <x:v>4.8</x:v>
      </x:c>
      <x:c r="K1540" s="25" t="str">
        <x:f>IF(J1540&gt;=7,"Muy fuerte (&gt;=7)",IF(J1540&gt;=6,"Fuerte (6-6.9)",IF(J1540&gt;=5,"Moderado alto (5-5.9)",IF(J1540&gt;=4,"Moderado (4-4.9)","Menor a 4"))))</x:f>
        <x:v>Moderado (4-4.9)</x:v>
      </x:c>
      <x:c r="L1540" s="25" t="str">
        <x:f>IF(I1540&lt;70,"Superficial (&lt;70 km)",IF(I1540&lt;=300,"Intermedio (70-300 km)","Profundo (&gt;300 km)"))</x:f>
        <x:v>Superficial (&lt;70 km)</x:v>
      </x:c>
      <x:c r="M1540" s="25" t="str">
        <x:f>IF(J1540&gt;=5,"Sí","No")</x:f>
        <x:v>No</x:v>
      </x:c>
      <x:c r="N1540" s="25" t="str">
        <x:f>IF(J1540&gt;=6,"Sí","No")</x:f>
        <x:v>No</x:v>
      </x:c>
      <x:c r="O1540" s="25" t="str">
        <x:v>Pendiente: asignar con R/sf</x:v>
      </x:c>
    </x:row>
    <x:row r="1541">
      <x:c r="A1541" s="25" t="n">
        <x:v>1540</x:v>
      </x:c>
      <x:c r="B1541" s="26" t="n">
        <x:v>45069.95663194444</x:v>
      </x:c>
      <x:c r="C1541" s="27" t="n">
        <x:f>INT(B1541)</x:f>
        <x:v>45069</x:v>
      </x:c>
      <x:c r="D1541" s="28" t="n">
        <x:f>MOD(B1541,1)</x:f>
        <x:v>0.9566319444420515</x:v>
      </x:c>
      <x:c r="E1541" s="29" t="n">
        <x:f>YEAR(B1541)</x:f>
        <x:v>2023</x:v>
      </x:c>
      <x:c r="F1541" s="29" t="n">
        <x:f>MONTH(B1541)</x:f>
        <x:v>5</x:v>
      </x:c>
      <x:c r="G1541" s="30" t="n">
        <x:v>-36.88</x:v>
      </x:c>
      <x:c r="H1541" s="30" t="n">
        <x:v>-73.71</x:v>
      </x:c>
      <x:c r="I1541" s="29" t="n">
        <x:v>16</x:v>
      </x:c>
      <x:c r="J1541" s="31" t="n">
        <x:v>4.6</x:v>
      </x:c>
      <x:c r="K1541" s="25" t="str">
        <x:f>IF(J1541&gt;=7,"Muy fuerte (&gt;=7)",IF(J1541&gt;=6,"Fuerte (6-6.9)",IF(J1541&gt;=5,"Moderado alto (5-5.9)",IF(J1541&gt;=4,"Moderado (4-4.9)","Menor a 4"))))</x:f>
        <x:v>Moderado (4-4.9)</x:v>
      </x:c>
      <x:c r="L1541" s="25" t="str">
        <x:f>IF(I1541&lt;70,"Superficial (&lt;70 km)",IF(I1541&lt;=300,"Intermedio (70-300 km)","Profundo (&gt;300 km)"))</x:f>
        <x:v>Superficial (&lt;70 km)</x:v>
      </x:c>
      <x:c r="M1541" s="25" t="str">
        <x:f>IF(J1541&gt;=5,"Sí","No")</x:f>
        <x:v>No</x:v>
      </x:c>
      <x:c r="N1541" s="25" t="str">
        <x:f>IF(J1541&gt;=6,"Sí","No")</x:f>
        <x:v>No</x:v>
      </x:c>
      <x:c r="O1541" s="25" t="str">
        <x:v>Pendiente: asignar con R/sf</x:v>
      </x:c>
    </x:row>
    <x:row r="1542">
      <x:c r="A1542" s="25" t="n">
        <x:v>1541</x:v>
      </x:c>
      <x:c r="B1542" s="26" t="n">
        <x:v>44956.866793981484</x:v>
      </x:c>
      <x:c r="C1542" s="27" t="n">
        <x:f>INT(B1542)</x:f>
        <x:v>44956</x:v>
      </x:c>
      <x:c r="D1542" s="28" t="n">
        <x:f>MOD(B1542,1)</x:f>
        <x:v>0.8667939814840793</x:v>
      </x:c>
      <x:c r="E1542" s="29" t="n">
        <x:f>YEAR(B1542)</x:f>
        <x:v>2023</x:v>
      </x:c>
      <x:c r="F1542" s="29" t="n">
        <x:f>MONTH(B1542)</x:f>
        <x:v>1</x:v>
      </x:c>
      <x:c r="G1542" s="30" t="n">
        <x:v>-36.35</x:v>
      </x:c>
      <x:c r="H1542" s="30" t="n">
        <x:v>-72.69</x:v>
      </x:c>
      <x:c r="I1542" s="29" t="n">
        <x:v>52</x:v>
      </x:c>
      <x:c r="J1542" s="31" t="n">
        <x:v>3.9</x:v>
      </x:c>
      <x:c r="K1542" s="25" t="str">
        <x:f>IF(J1542&gt;=7,"Muy fuerte (&gt;=7)",IF(J1542&gt;=6,"Fuerte (6-6.9)",IF(J1542&gt;=5,"Moderado alto (5-5.9)",IF(J1542&gt;=4,"Moderado (4-4.9)","Menor a 4"))))</x:f>
        <x:v>Menor a 4</x:v>
      </x:c>
      <x:c r="L1542" s="25" t="str">
        <x:f>IF(I1542&lt;70,"Superficial (&lt;70 km)",IF(I1542&lt;=300,"Intermedio (70-300 km)","Profundo (&gt;300 km)"))</x:f>
        <x:v>Superficial (&lt;70 km)</x:v>
      </x:c>
      <x:c r="M1542" s="25" t="str">
        <x:f>IF(J1542&gt;=5,"Sí","No")</x:f>
        <x:v>No</x:v>
      </x:c>
      <x:c r="N1542" s="25" t="str">
        <x:f>IF(J1542&gt;=6,"Sí","No")</x:f>
        <x:v>No</x:v>
      </x:c>
      <x:c r="O1542" s="25" t="str">
        <x:v>Pendiente: asignar con R/sf</x:v>
      </x:c>
    </x:row>
    <x:row r="1543">
      <x:c r="A1543" s="25" t="n">
        <x:v>1542</x:v>
      </x:c>
      <x:c r="B1543" s="26" t="n">
        <x:v>45066.30296296296</x:v>
      </x:c>
      <x:c r="C1543" s="27" t="n">
        <x:f>INT(B1543)</x:f>
        <x:v>45066</x:v>
      </x:c>
      <x:c r="D1543" s="28" t="n">
        <x:f>MOD(B1543,1)</x:f>
        <x:v>0.30296296296000946</x:v>
      </x:c>
      <x:c r="E1543" s="29" t="n">
        <x:f>YEAR(B1543)</x:f>
        <x:v>2023</x:v>
      </x:c>
      <x:c r="F1543" s="29" t="n">
        <x:f>MONTH(B1543)</x:f>
        <x:v>5</x:v>
      </x:c>
      <x:c r="G1543" s="30" t="n">
        <x:v>-36.57</x:v>
      </x:c>
      <x:c r="H1543" s="30" t="n">
        <x:v>-72.57</x:v>
      </x:c>
      <x:c r="I1543" s="29" t="n">
        <x:v>60</x:v>
      </x:c>
      <x:c r="J1543" s="31" t="n">
        <x:v>4.2</x:v>
      </x:c>
      <x:c r="K1543" s="25" t="str">
        <x:f>IF(J1543&gt;=7,"Muy fuerte (&gt;=7)",IF(J1543&gt;=6,"Fuerte (6-6.9)",IF(J1543&gt;=5,"Moderado alto (5-5.9)",IF(J1543&gt;=4,"Moderado (4-4.9)","Menor a 4"))))</x:f>
        <x:v>Moderado (4-4.9)</x:v>
      </x:c>
      <x:c r="L1543" s="25" t="str">
        <x:f>IF(I1543&lt;70,"Superficial (&lt;70 km)",IF(I1543&lt;=300,"Intermedio (70-300 km)","Profundo (&gt;300 km)"))</x:f>
        <x:v>Superficial (&lt;70 km)</x:v>
      </x:c>
      <x:c r="M1543" s="25" t="str">
        <x:f>IF(J1543&gt;=5,"Sí","No")</x:f>
        <x:v>No</x:v>
      </x:c>
      <x:c r="N1543" s="25" t="str">
        <x:f>IF(J1543&gt;=6,"Sí","No")</x:f>
        <x:v>No</x:v>
      </x:c>
      <x:c r="O1543" s="25" t="str">
        <x:v>Pendiente: asignar con R/sf</x:v>
      </x:c>
    </x:row>
    <x:row r="1544">
      <x:c r="A1544" s="25" t="n">
        <x:v>1543</x:v>
      </x:c>
      <x:c r="B1544" s="26" t="n">
        <x:v>45168.552094907405</x:v>
      </x:c>
      <x:c r="C1544" s="27" t="n">
        <x:f>INT(B1544)</x:f>
        <x:v>45168</x:v>
      </x:c>
      <x:c r="D1544" s="28" t="n">
        <x:f>MOD(B1544,1)</x:f>
        <x:v>0.5520949074052623</x:v>
      </x:c>
      <x:c r="E1544" s="29" t="n">
        <x:f>YEAR(B1544)</x:f>
        <x:v>2023</x:v>
      </x:c>
      <x:c r="F1544" s="29" t="n">
        <x:f>MONTH(B1544)</x:f>
        <x:v>8</x:v>
      </x:c>
      <x:c r="G1544" s="30" t="n">
        <x:v>-36.37</x:v>
      </x:c>
      <x:c r="H1544" s="30" t="n">
        <x:v>-72.52</x:v>
      </x:c>
      <x:c r="I1544" s="29" t="n">
        <x:v>44</x:v>
      </x:c>
      <x:c r="J1544" s="31" t="n">
        <x:v>4.8</x:v>
      </x:c>
      <x:c r="K1544" s="25" t="str">
        <x:f>IF(J1544&gt;=7,"Muy fuerte (&gt;=7)",IF(J1544&gt;=6,"Fuerte (6-6.9)",IF(J1544&gt;=5,"Moderado alto (5-5.9)",IF(J1544&gt;=4,"Moderado (4-4.9)","Menor a 4"))))</x:f>
        <x:v>Moderado (4-4.9)</x:v>
      </x:c>
      <x:c r="L1544" s="25" t="str">
        <x:f>IF(I1544&lt;70,"Superficial (&lt;70 km)",IF(I1544&lt;=300,"Intermedio (70-300 km)","Profundo (&gt;300 km)"))</x:f>
        <x:v>Superficial (&lt;70 km)</x:v>
      </x:c>
      <x:c r="M1544" s="25" t="str">
        <x:f>IF(J1544&gt;=5,"Sí","No")</x:f>
        <x:v>No</x:v>
      </x:c>
      <x:c r="N1544" s="25" t="str">
        <x:f>IF(J1544&gt;=6,"Sí","No")</x:f>
        <x:v>No</x:v>
      </x:c>
      <x:c r="O1544" s="25" t="str">
        <x:v>Pendiente: asignar con R/sf</x:v>
      </x:c>
    </x:row>
    <x:row r="1545">
      <x:c r="A1545" s="25" t="n">
        <x:v>1544</x:v>
      </x:c>
      <x:c r="B1545" s="26" t="n">
        <x:v>44620.078368055554</x:v>
      </x:c>
      <x:c r="C1545" s="27" t="n">
        <x:f>INT(B1545)</x:f>
        <x:v>44620</x:v>
      </x:c>
      <x:c r="D1545" s="28" t="n">
        <x:f>MOD(B1545,1)</x:f>
        <x:v>0.07836805555416504</x:v>
      </x:c>
      <x:c r="E1545" s="29" t="n">
        <x:f>YEAR(B1545)</x:f>
        <x:v>2022</x:v>
      </x:c>
      <x:c r="F1545" s="29" t="n">
        <x:f>MONTH(B1545)</x:f>
        <x:v>2</x:v>
      </x:c>
      <x:c r="G1545" s="30" t="n">
        <x:v>-37</x:v>
      </x:c>
      <x:c r="H1545" s="30" t="n">
        <x:v>-73.93</x:v>
      </x:c>
      <x:c r="I1545" s="29" t="n">
        <x:v>34</x:v>
      </x:c>
      <x:c r="J1545" s="31" t="n">
        <x:v>4.5</x:v>
      </x:c>
      <x:c r="K1545" s="25" t="str">
        <x:f>IF(J1545&gt;=7,"Muy fuerte (&gt;=7)",IF(J1545&gt;=6,"Fuerte (6-6.9)",IF(J1545&gt;=5,"Moderado alto (5-5.9)",IF(J1545&gt;=4,"Moderado (4-4.9)","Menor a 4"))))</x:f>
        <x:v>Moderado (4-4.9)</x:v>
      </x:c>
      <x:c r="L1545" s="25" t="str">
        <x:f>IF(I1545&lt;70,"Superficial (&lt;70 km)",IF(I1545&lt;=300,"Intermedio (70-300 km)","Profundo (&gt;300 km)"))</x:f>
        <x:v>Superficial (&lt;70 km)</x:v>
      </x:c>
      <x:c r="M1545" s="25" t="str">
        <x:f>IF(J1545&gt;=5,"Sí","No")</x:f>
        <x:v>No</x:v>
      </x:c>
      <x:c r="N1545" s="25" t="str">
        <x:f>IF(J1545&gt;=6,"Sí","No")</x:f>
        <x:v>No</x:v>
      </x:c>
      <x:c r="O1545" s="25" t="str">
        <x:v>Pendiente: asignar con R/sf</x:v>
      </x:c>
    </x:row>
    <x:row r="1546">
      <x:c r="A1546" s="25" t="n">
        <x:v>1545</x:v>
      </x:c>
      <x:c r="B1546" s="26" t="n">
        <x:v>44639.26881944444</x:v>
      </x:c>
      <x:c r="C1546" s="27" t="n">
        <x:f>INT(B1546)</x:f>
        <x:v>44639</x:v>
      </x:c>
      <x:c r="D1546" s="28" t="n">
        <x:f>MOD(B1546,1)</x:f>
        <x:v>0.2688194444417604</x:v>
      </x:c>
      <x:c r="E1546" s="29" t="n">
        <x:f>YEAR(B1546)</x:f>
        <x:v>2022</x:v>
      </x:c>
      <x:c r="F1546" s="29" t="n">
        <x:f>MONTH(B1546)</x:f>
        <x:v>3</x:v>
      </x:c>
      <x:c r="G1546" s="30" t="n">
        <x:v>-36.96</x:v>
      </x:c>
      <x:c r="H1546" s="30" t="n">
        <x:v>-73.91</x:v>
      </x:c>
      <x:c r="I1546" s="29" t="n">
        <x:v>36</x:v>
      </x:c>
      <x:c r="J1546" s="31" t="n">
        <x:v>4.6</x:v>
      </x:c>
      <x:c r="K1546" s="25" t="str">
        <x:f>IF(J1546&gt;=7,"Muy fuerte (&gt;=7)",IF(J1546&gt;=6,"Fuerte (6-6.9)",IF(J1546&gt;=5,"Moderado alto (5-5.9)",IF(J1546&gt;=4,"Moderado (4-4.9)","Menor a 4"))))</x:f>
        <x:v>Moderado (4-4.9)</x:v>
      </x:c>
      <x:c r="L1546" s="25" t="str">
        <x:f>IF(I1546&lt;70,"Superficial (&lt;70 km)",IF(I1546&lt;=300,"Intermedio (70-300 km)","Profundo (&gt;300 km)"))</x:f>
        <x:v>Superficial (&lt;70 km)</x:v>
      </x:c>
      <x:c r="M1546" s="25" t="str">
        <x:f>IF(J1546&gt;=5,"Sí","No")</x:f>
        <x:v>No</x:v>
      </x:c>
      <x:c r="N1546" s="25" t="str">
        <x:f>IF(J1546&gt;=6,"Sí","No")</x:f>
        <x:v>No</x:v>
      </x:c>
      <x:c r="O1546" s="25" t="str">
        <x:v>Pendiente: asignar con R/sf</x:v>
      </x:c>
    </x:row>
    <x:row r="1547">
      <x:c r="A1547" s="25" t="n">
        <x:v>1546</x:v>
      </x:c>
      <x:c r="B1547" s="26" t="n">
        <x:v>45069.520520833335</x:v>
      </x:c>
      <x:c r="C1547" s="27" t="n">
        <x:f>INT(B1547)</x:f>
        <x:v>45069</x:v>
      </x:c>
      <x:c r="D1547" s="28" t="n">
        <x:f>MOD(B1547,1)</x:f>
        <x:v>0.5205208333354676</x:v>
      </x:c>
      <x:c r="E1547" s="29" t="n">
        <x:f>YEAR(B1547)</x:f>
        <x:v>2023</x:v>
      </x:c>
      <x:c r="F1547" s="29" t="n">
        <x:f>MONTH(B1547)</x:f>
        <x:v>5</x:v>
      </x:c>
      <x:c r="G1547" s="30" t="n">
        <x:v>-36.88</x:v>
      </x:c>
      <x:c r="H1547" s="30" t="n">
        <x:v>-73.64</x:v>
      </x:c>
      <x:c r="I1547" s="29" t="n">
        <x:v>22</x:v>
      </x:c>
      <x:c r="J1547" s="31" t="n">
        <x:v>4.6</x:v>
      </x:c>
      <x:c r="K1547" s="25" t="str">
        <x:f>IF(J1547&gt;=7,"Muy fuerte (&gt;=7)",IF(J1547&gt;=6,"Fuerte (6-6.9)",IF(J1547&gt;=5,"Moderado alto (5-5.9)",IF(J1547&gt;=4,"Moderado (4-4.9)","Menor a 4"))))</x:f>
        <x:v>Moderado (4-4.9)</x:v>
      </x:c>
      <x:c r="L1547" s="25" t="str">
        <x:f>IF(I1547&lt;70,"Superficial (&lt;70 km)",IF(I1547&lt;=300,"Intermedio (70-300 km)","Profundo (&gt;300 km)"))</x:f>
        <x:v>Superficial (&lt;70 km)</x:v>
      </x:c>
      <x:c r="M1547" s="25" t="str">
        <x:f>IF(J1547&gt;=5,"Sí","No")</x:f>
        <x:v>No</x:v>
      </x:c>
      <x:c r="N1547" s="25" t="str">
        <x:f>IF(J1547&gt;=6,"Sí","No")</x:f>
        <x:v>No</x:v>
      </x:c>
      <x:c r="O1547" s="25" t="str">
        <x:v>Pendiente: asignar con R/sf</x:v>
      </x:c>
    </x:row>
    <x:row r="1548">
      <x:c r="A1548" s="25" t="n">
        <x:v>1547</x:v>
      </x:c>
      <x:c r="B1548" s="26" t="n">
        <x:v>45211.25337962963</x:v>
      </x:c>
      <x:c r="C1548" s="27" t="n">
        <x:f>INT(B1548)</x:f>
        <x:v>45211</x:v>
      </x:c>
      <x:c r="D1548" s="28" t="n">
        <x:f>MOD(B1548,1)</x:f>
        <x:v>0.2533796296265791</x:v>
      </x:c>
      <x:c r="E1548" s="29" t="n">
        <x:f>YEAR(B1548)</x:f>
        <x:v>2023</x:v>
      </x:c>
      <x:c r="F1548" s="29" t="n">
        <x:f>MONTH(B1548)</x:f>
        <x:v>10</x:v>
      </x:c>
      <x:c r="G1548" s="30" t="n">
        <x:v>-39.59</x:v>
      </x:c>
      <x:c r="H1548" s="30" t="n">
        <x:v>-72.33</x:v>
      </x:c>
      <x:c r="I1548" s="29" t="n">
        <x:v>83</x:v>
      </x:c>
      <x:c r="J1548" s="31" t="n">
        <x:v>4.5</x:v>
      </x:c>
      <x:c r="K1548" s="25" t="str">
        <x:f>IF(J1548&gt;=7,"Muy fuerte (&gt;=7)",IF(J1548&gt;=6,"Fuerte (6-6.9)",IF(J1548&gt;=5,"Moderado alto (5-5.9)",IF(J1548&gt;=4,"Moderado (4-4.9)","Menor a 4"))))</x:f>
        <x:v>Moderado (4-4.9)</x:v>
      </x:c>
      <x:c r="L1548" s="25" t="str">
        <x:f>IF(I1548&lt;70,"Superficial (&lt;70 km)",IF(I1548&lt;=300,"Intermedio (70-300 km)","Profundo (&gt;300 km)"))</x:f>
        <x:v>Intermedio (70-300 km)</x:v>
      </x:c>
      <x:c r="M1548" s="25" t="str">
        <x:f>IF(J1548&gt;=5,"Sí","No")</x:f>
        <x:v>No</x:v>
      </x:c>
      <x:c r="N1548" s="25" t="str">
        <x:f>IF(J1548&gt;=6,"Sí","No")</x:f>
        <x:v>No</x:v>
      </x:c>
      <x:c r="O1548" s="25" t="str">
        <x:v>Pendiente: asignar con R/sf</x:v>
      </x:c>
    </x:row>
    <x:row r="1549">
      <x:c r="A1549" s="25" t="n">
        <x:v>1548</x:v>
      </x:c>
      <x:c r="B1549" s="26" t="n">
        <x:v>44996.17621527778</x:v>
      </x:c>
      <x:c r="C1549" s="27" t="n">
        <x:f>INT(B1549)</x:f>
        <x:v>44996</x:v>
      </x:c>
      <x:c r="D1549" s="28" t="n">
        <x:f>MOD(B1549,1)</x:f>
        <x:v>0.17621527778101154</x:v>
      </x:c>
      <x:c r="E1549" s="29" t="n">
        <x:f>YEAR(B1549)</x:f>
        <x:v>2023</x:v>
      </x:c>
      <x:c r="F1549" s="29" t="n">
        <x:f>MONTH(B1549)</x:f>
        <x:v>3</x:v>
      </x:c>
      <x:c r="G1549" s="30" t="n">
        <x:v>-41.35</x:v>
      </x:c>
      <x:c r="H1549" s="30" t="n">
        <x:v>-73.8</x:v>
      </x:c>
      <x:c r="I1549" s="29" t="n">
        <x:v>52</x:v>
      </x:c>
      <x:c r="J1549" s="31" t="n">
        <x:v>4.6</x:v>
      </x:c>
      <x:c r="K1549" s="25" t="str">
        <x:f>IF(J1549&gt;=7,"Muy fuerte (&gt;=7)",IF(J1549&gt;=6,"Fuerte (6-6.9)",IF(J1549&gt;=5,"Moderado alto (5-5.9)",IF(J1549&gt;=4,"Moderado (4-4.9)","Menor a 4"))))</x:f>
        <x:v>Moderado (4-4.9)</x:v>
      </x:c>
      <x:c r="L1549" s="25" t="str">
        <x:f>IF(I1549&lt;70,"Superficial (&lt;70 km)",IF(I1549&lt;=300,"Intermedio (70-300 km)","Profundo (&gt;300 km)"))</x:f>
        <x:v>Superficial (&lt;70 km)</x:v>
      </x:c>
      <x:c r="M1549" s="25" t="str">
        <x:f>IF(J1549&gt;=5,"Sí","No")</x:f>
        <x:v>No</x:v>
      </x:c>
      <x:c r="N1549" s="25" t="str">
        <x:f>IF(J1549&gt;=6,"Sí","No")</x:f>
        <x:v>No</x:v>
      </x:c>
      <x:c r="O1549" s="25" t="str">
        <x:v>Pendiente: asignar con R/sf</x:v>
      </x:c>
    </x:row>
    <x:row r="1550">
      <x:c r="A1550" s="25" t="n">
        <x:v>1549</x:v>
      </x:c>
      <x:c r="B1550" s="26" t="n">
        <x:v>45176.16884259259</x:v>
      </x:c>
      <x:c r="C1550" s="27" t="n">
        <x:f>INT(B1550)</x:f>
        <x:v>45176</x:v>
      </x:c>
      <x:c r="D1550" s="28" t="n">
        <x:f>MOD(B1550,1)</x:f>
        <x:v>0.16884259258949896</x:v>
      </x:c>
      <x:c r="E1550" s="29" t="n">
        <x:f>YEAR(B1550)</x:f>
        <x:v>2023</x:v>
      </x:c>
      <x:c r="F1550" s="29" t="n">
        <x:f>MONTH(B1550)</x:f>
        <x:v>9</x:v>
      </x:c>
      <x:c r="G1550" s="30" t="n">
        <x:v>-21.13</x:v>
      </x:c>
      <x:c r="H1550" s="30" t="n">
        <x:v>-70.19</x:v>
      </x:c>
      <x:c r="I1550" s="29" t="n">
        <x:v>35</x:v>
      </x:c>
      <x:c r="J1550" s="31" t="n">
        <x:v>4.2</x:v>
      </x:c>
      <x:c r="K1550" s="25" t="str">
        <x:f>IF(J1550&gt;=7,"Muy fuerte (&gt;=7)",IF(J1550&gt;=6,"Fuerte (6-6.9)",IF(J1550&gt;=5,"Moderado alto (5-5.9)",IF(J1550&gt;=4,"Moderado (4-4.9)","Menor a 4"))))</x:f>
        <x:v>Moderado (4-4.9)</x:v>
      </x:c>
      <x:c r="L1550" s="25" t="str">
        <x:f>IF(I1550&lt;70,"Superficial (&lt;70 km)",IF(I1550&lt;=300,"Intermedio (70-300 km)","Profundo (&gt;300 km)"))</x:f>
        <x:v>Superficial (&lt;70 km)</x:v>
      </x:c>
      <x:c r="M1550" s="25" t="str">
        <x:f>IF(J1550&gt;=5,"Sí","No")</x:f>
        <x:v>No</x:v>
      </x:c>
      <x:c r="N1550" s="25" t="str">
        <x:f>IF(J1550&gt;=6,"Sí","No")</x:f>
        <x:v>No</x:v>
      </x:c>
      <x:c r="O1550" s="25" t="str">
        <x:v>Pendiente: asignar con R/sf</x:v>
      </x:c>
    </x:row>
    <x:row r="1551">
      <x:c r="A1551" s="25" t="n">
        <x:v>1550</x:v>
      </x:c>
      <x:c r="B1551" s="26" t="n">
        <x:v>45064.5330787037</x:v>
      </x:c>
      <x:c r="C1551" s="27" t="n">
        <x:f>INT(B1551)</x:f>
        <x:v>45064</x:v>
      </x:c>
      <x:c r="D1551" s="28" t="n">
        <x:f>MOD(B1551,1)</x:f>
        <x:v>0.5330787037019036</x:v>
      </x:c>
      <x:c r="E1551" s="29" t="n">
        <x:f>YEAR(B1551)</x:f>
        <x:v>2023</x:v>
      </x:c>
      <x:c r="F1551" s="29" t="n">
        <x:f>MONTH(B1551)</x:f>
        <x:v>5</x:v>
      </x:c>
      <x:c r="G1551" s="30" t="n">
        <x:v>-32.44</x:v>
      </x:c>
      <x:c r="H1551" s="30" t="n">
        <x:v>-71.29</x:v>
      </x:c>
      <x:c r="I1551" s="29" t="n">
        <x:v>39</x:v>
      </x:c>
      <x:c r="J1551" s="31" t="n">
        <x:v>3.2</x:v>
      </x:c>
      <x:c r="K1551" s="25" t="str">
        <x:f>IF(J1551&gt;=7,"Muy fuerte (&gt;=7)",IF(J1551&gt;=6,"Fuerte (6-6.9)",IF(J1551&gt;=5,"Moderado alto (5-5.9)",IF(J1551&gt;=4,"Moderado (4-4.9)","Menor a 4"))))</x:f>
        <x:v>Menor a 4</x:v>
      </x:c>
      <x:c r="L1551" s="25" t="str">
        <x:f>IF(I1551&lt;70,"Superficial (&lt;70 km)",IF(I1551&lt;=300,"Intermedio (70-300 km)","Profundo (&gt;300 km)"))</x:f>
        <x:v>Superficial (&lt;70 km)</x:v>
      </x:c>
      <x:c r="M1551" s="25" t="str">
        <x:f>IF(J1551&gt;=5,"Sí","No")</x:f>
        <x:v>No</x:v>
      </x:c>
      <x:c r="N1551" s="25" t="str">
        <x:f>IF(J1551&gt;=6,"Sí","No")</x:f>
        <x:v>No</x:v>
      </x:c>
      <x:c r="O1551" s="25" t="str">
        <x:v>Pendiente: asignar con R/sf</x:v>
      </x:c>
    </x:row>
    <x:row r="1552">
      <x:c r="A1552" s="25" t="n">
        <x:v>1551</x:v>
      </x:c>
      <x:c r="B1552" s="26" t="n">
        <x:v>45172.6983912037</x:v>
      </x:c>
      <x:c r="C1552" s="27" t="n">
        <x:f>INT(B1552)</x:f>
        <x:v>45172</x:v>
      </x:c>
      <x:c r="D1552" s="28" t="n">
        <x:f>MOD(B1552,1)</x:f>
        <x:v>0.6983912037030677</x:v>
      </x:c>
      <x:c r="E1552" s="29" t="n">
        <x:f>YEAR(B1552)</x:f>
        <x:v>2023</x:v>
      </x:c>
      <x:c r="F1552" s="29" t="n">
        <x:f>MONTH(B1552)</x:f>
        <x:v>9</x:v>
      </x:c>
      <x:c r="G1552" s="30" t="n">
        <x:v>-32.64</x:v>
      </x:c>
      <x:c r="H1552" s="30" t="n">
        <x:v>-71.58</x:v>
      </x:c>
      <x:c r="I1552" s="29" t="n">
        <x:v>33</x:v>
      </x:c>
      <x:c r="J1552" s="31" t="n">
        <x:v>3.5</x:v>
      </x:c>
      <x:c r="K1552" s="25" t="str">
        <x:f>IF(J1552&gt;=7,"Muy fuerte (&gt;=7)",IF(J1552&gt;=6,"Fuerte (6-6.9)",IF(J1552&gt;=5,"Moderado alto (5-5.9)",IF(J1552&gt;=4,"Moderado (4-4.9)","Menor a 4"))))</x:f>
        <x:v>Menor a 4</x:v>
      </x:c>
      <x:c r="L1552" s="25" t="str">
        <x:f>IF(I1552&lt;70,"Superficial (&lt;70 km)",IF(I1552&lt;=300,"Intermedio (70-300 km)","Profundo (&gt;300 km)"))</x:f>
        <x:v>Superficial (&lt;70 km)</x:v>
      </x:c>
      <x:c r="M1552" s="25" t="str">
        <x:f>IF(J1552&gt;=5,"Sí","No")</x:f>
        <x:v>No</x:v>
      </x:c>
      <x:c r="N1552" s="25" t="str">
        <x:f>IF(J1552&gt;=6,"Sí","No")</x:f>
        <x:v>No</x:v>
      </x:c>
      <x:c r="O1552" s="25" t="str">
        <x:v>Pendiente: asignar con R/sf</x:v>
      </x:c>
    </x:row>
    <x:row r="1553">
      <x:c r="A1553" s="25" t="n">
        <x:v>1552</x:v>
      </x:c>
      <x:c r="B1553" s="26" t="n">
        <x:v>45192.786458333336</x:v>
      </x:c>
      <x:c r="C1553" s="27" t="n">
        <x:f>INT(B1553)</x:f>
        <x:v>45192</x:v>
      </x:c>
      <x:c r="D1553" s="28" t="n">
        <x:f>MOD(B1553,1)</x:f>
        <x:v>0.7864583333357587</x:v>
      </x:c>
      <x:c r="E1553" s="29" t="n">
        <x:f>YEAR(B1553)</x:f>
        <x:v>2023</x:v>
      </x:c>
      <x:c r="F1553" s="29" t="n">
        <x:f>MONTH(B1553)</x:f>
        <x:v>9</x:v>
      </x:c>
      <x:c r="G1553" s="30" t="n">
        <x:v>-32.14</x:v>
      </x:c>
      <x:c r="H1553" s="30" t="n">
        <x:v>-71.72</x:v>
      </x:c>
      <x:c r="I1553" s="29" t="n">
        <x:v>26</x:v>
      </x:c>
      <x:c r="J1553" s="31" t="n">
        <x:v>3.9</x:v>
      </x:c>
      <x:c r="K1553" s="25" t="str">
        <x:f>IF(J1553&gt;=7,"Muy fuerte (&gt;=7)",IF(J1553&gt;=6,"Fuerte (6-6.9)",IF(J1553&gt;=5,"Moderado alto (5-5.9)",IF(J1553&gt;=4,"Moderado (4-4.9)","Menor a 4"))))</x:f>
        <x:v>Menor a 4</x:v>
      </x:c>
      <x:c r="L1553" s="25" t="str">
        <x:f>IF(I1553&lt;70,"Superficial (&lt;70 km)",IF(I1553&lt;=300,"Intermedio (70-300 km)","Profundo (&gt;300 km)"))</x:f>
        <x:v>Superficial (&lt;70 km)</x:v>
      </x:c>
      <x:c r="M1553" s="25" t="str">
        <x:f>IF(J1553&gt;=5,"Sí","No")</x:f>
        <x:v>No</x:v>
      </x:c>
      <x:c r="N1553" s="25" t="str">
        <x:f>IF(J1553&gt;=6,"Sí","No")</x:f>
        <x:v>No</x:v>
      </x:c>
      <x:c r="O1553" s="25" t="str">
        <x:v>Pendiente: asignar con R/sf</x:v>
      </x:c>
    </x:row>
    <x:row r="1554">
      <x:c r="A1554" s="25" t="n">
        <x:v>1553</x:v>
      </x:c>
      <x:c r="B1554" s="26" t="n">
        <x:v>44735.62006944444</x:v>
      </x:c>
      <x:c r="C1554" s="27" t="n">
        <x:f>INT(B1554)</x:f>
        <x:v>44735</x:v>
      </x:c>
      <x:c r="D1554" s="28" t="n">
        <x:f>MOD(B1554,1)</x:f>
        <x:v>0.6200694444414694</x:v>
      </x:c>
      <x:c r="E1554" s="29" t="n">
        <x:f>YEAR(B1554)</x:f>
        <x:v>2022</x:v>
      </x:c>
      <x:c r="F1554" s="29" t="n">
        <x:f>MONTH(B1554)</x:f>
        <x:v>6</x:v>
      </x:c>
      <x:c r="G1554" s="30" t="n">
        <x:v>-32.59</x:v>
      </x:c>
      <x:c r="H1554" s="30" t="n">
        <x:v>-70.13</x:v>
      </x:c>
      <x:c r="I1554" s="29" t="n">
        <x:v>19</x:v>
      </x:c>
      <x:c r="J1554" s="31" t="n">
        <x:v>3.4</x:v>
      </x:c>
      <x:c r="K1554" s="25" t="str">
        <x:f>IF(J1554&gt;=7,"Muy fuerte (&gt;=7)",IF(J1554&gt;=6,"Fuerte (6-6.9)",IF(J1554&gt;=5,"Moderado alto (5-5.9)",IF(J1554&gt;=4,"Moderado (4-4.9)","Menor a 4"))))</x:f>
        <x:v>Menor a 4</x:v>
      </x:c>
      <x:c r="L1554" s="25" t="str">
        <x:f>IF(I1554&lt;70,"Superficial (&lt;70 km)",IF(I1554&lt;=300,"Intermedio (70-300 km)","Profundo (&gt;300 km)"))</x:f>
        <x:v>Superficial (&lt;70 km)</x:v>
      </x:c>
      <x:c r="M1554" s="25" t="str">
        <x:f>IF(J1554&gt;=5,"Sí","No")</x:f>
        <x:v>No</x:v>
      </x:c>
      <x:c r="N1554" s="25" t="str">
        <x:f>IF(J1554&gt;=6,"Sí","No")</x:f>
        <x:v>No</x:v>
      </x:c>
      <x:c r="O1554" s="25" t="str">
        <x:v>Pendiente: asignar con R/sf</x:v>
      </x:c>
    </x:row>
    <x:row r="1555">
      <x:c r="A1555" s="25" t="n">
        <x:v>1554</x:v>
      </x:c>
      <x:c r="B1555" s="26" t="n">
        <x:v>45241.29415509259</x:v>
      </x:c>
      <x:c r="C1555" s="27" t="n">
        <x:f>INT(B1555)</x:f>
        <x:v>45241</x:v>
      </x:c>
      <x:c r="D1555" s="28" t="n">
        <x:f>MOD(B1555,1)</x:f>
        <x:v>0.29415509258979</x:v>
      </x:c>
      <x:c r="E1555" s="29" t="n">
        <x:f>YEAR(B1555)</x:f>
        <x:v>2023</x:v>
      </x:c>
      <x:c r="F1555" s="29" t="n">
        <x:f>MONTH(B1555)</x:f>
        <x:v>11</x:v>
      </x:c>
      <x:c r="G1555" s="30" t="n">
        <x:v>-34.96</x:v>
      </x:c>
      <x:c r="H1555" s="30" t="n">
        <x:v>-71.62</x:v>
      </x:c>
      <x:c r="I1555" s="29" t="n">
        <x:v>47</x:v>
      </x:c>
      <x:c r="J1555" s="31" t="n">
        <x:v>4.1</x:v>
      </x:c>
      <x:c r="K1555" s="25" t="str">
        <x:f>IF(J1555&gt;=7,"Muy fuerte (&gt;=7)",IF(J1555&gt;=6,"Fuerte (6-6.9)",IF(J1555&gt;=5,"Moderado alto (5-5.9)",IF(J1555&gt;=4,"Moderado (4-4.9)","Menor a 4"))))</x:f>
        <x:v>Moderado (4-4.9)</x:v>
      </x:c>
      <x:c r="L1555" s="25" t="str">
        <x:f>IF(I1555&lt;70,"Superficial (&lt;70 km)",IF(I1555&lt;=300,"Intermedio (70-300 km)","Profundo (&gt;300 km)"))</x:f>
        <x:v>Superficial (&lt;70 km)</x:v>
      </x:c>
      <x:c r="M1555" s="25" t="str">
        <x:f>IF(J1555&gt;=5,"Sí","No")</x:f>
        <x:v>No</x:v>
      </x:c>
      <x:c r="N1555" s="25" t="str">
        <x:f>IF(J1555&gt;=6,"Sí","No")</x:f>
        <x:v>No</x:v>
      </x:c>
      <x:c r="O1555" s="25" t="str">
        <x:v>Pendiente: asignar con R/sf</x:v>
      </x:c>
    </x:row>
    <x:row r="1556">
      <x:c r="A1556" s="25" t="n">
        <x:v>1555</x:v>
      </x:c>
      <x:c r="B1556" s="26" t="n">
        <x:v>45137.245416666665</x:v>
      </x:c>
      <x:c r="C1556" s="27" t="n">
        <x:f>INT(B1556)</x:f>
        <x:v>45137</x:v>
      </x:c>
      <x:c r="D1556" s="28" t="n">
        <x:f>MOD(B1556,1)</x:f>
        <x:v>0.24541666666482342</x:v>
      </x:c>
      <x:c r="E1556" s="29" t="n">
        <x:f>YEAR(B1556)</x:f>
        <x:v>2023</x:v>
      </x:c>
      <x:c r="F1556" s="29" t="n">
        <x:f>MONTH(B1556)</x:f>
        <x:v>7</x:v>
      </x:c>
      <x:c r="G1556" s="30" t="n">
        <x:v>-34.91</x:v>
      </x:c>
      <x:c r="H1556" s="30" t="n">
        <x:v>-71.72</x:v>
      </x:c>
      <x:c r="I1556" s="29" t="n">
        <x:v>56</x:v>
      </x:c>
      <x:c r="J1556" s="31" t="n">
        <x:v>4.1</x:v>
      </x:c>
      <x:c r="K1556" s="25" t="str">
        <x:f>IF(J1556&gt;=7,"Muy fuerte (&gt;=7)",IF(J1556&gt;=6,"Fuerte (6-6.9)",IF(J1556&gt;=5,"Moderado alto (5-5.9)",IF(J1556&gt;=4,"Moderado (4-4.9)","Menor a 4"))))</x:f>
        <x:v>Moderado (4-4.9)</x:v>
      </x:c>
      <x:c r="L1556" s="25" t="str">
        <x:f>IF(I1556&lt;70,"Superficial (&lt;70 km)",IF(I1556&lt;=300,"Intermedio (70-300 km)","Profundo (&gt;300 km)"))</x:f>
        <x:v>Superficial (&lt;70 km)</x:v>
      </x:c>
      <x:c r="M1556" s="25" t="str">
        <x:f>IF(J1556&gt;=5,"Sí","No")</x:f>
        <x:v>No</x:v>
      </x:c>
      <x:c r="N1556" s="25" t="str">
        <x:f>IF(J1556&gt;=6,"Sí","No")</x:f>
        <x:v>No</x:v>
      </x:c>
      <x:c r="O1556" s="25" t="str">
        <x:v>Pendiente: asignar con R/sf</x:v>
      </x:c>
    </x:row>
    <x:row r="1557">
      <x:c r="A1557" s="25" t="n">
        <x:v>1556</x:v>
      </x:c>
      <x:c r="B1557" s="26" t="n">
        <x:v>44729.97849537037</x:v>
      </x:c>
      <x:c r="C1557" s="27" t="n">
        <x:f>INT(B1557)</x:f>
        <x:v>44729</x:v>
      </x:c>
      <x:c r="D1557" s="28" t="n">
        <x:f>MOD(B1557,1)</x:f>
        <x:v>0.9784953703710926</x:v>
      </x:c>
      <x:c r="E1557" s="29" t="n">
        <x:f>YEAR(B1557)</x:f>
        <x:v>2022</x:v>
      </x:c>
      <x:c r="F1557" s="29" t="n">
        <x:f>MONTH(B1557)</x:f>
        <x:v>6</x:v>
      </x:c>
      <x:c r="G1557" s="30" t="n">
        <x:v>-36.77</x:v>
      </x:c>
      <x:c r="H1557" s="30" t="n">
        <x:v>-73.01</x:v>
      </x:c>
      <x:c r="I1557" s="29" t="n">
        <x:v>21</x:v>
      </x:c>
      <x:c r="J1557" s="31" t="n">
        <x:v>3.2</x:v>
      </x:c>
      <x:c r="K1557" s="25" t="str">
        <x:f>IF(J1557&gt;=7,"Muy fuerte (&gt;=7)",IF(J1557&gt;=6,"Fuerte (6-6.9)",IF(J1557&gt;=5,"Moderado alto (5-5.9)",IF(J1557&gt;=4,"Moderado (4-4.9)","Menor a 4"))))</x:f>
        <x:v>Menor a 4</x:v>
      </x:c>
      <x:c r="L1557" s="25" t="str">
        <x:f>IF(I1557&lt;70,"Superficial (&lt;70 km)",IF(I1557&lt;=300,"Intermedio (70-300 km)","Profundo (&gt;300 km)"))</x:f>
        <x:v>Superficial (&lt;70 km)</x:v>
      </x:c>
      <x:c r="M1557" s="25" t="str">
        <x:f>IF(J1557&gt;=5,"Sí","No")</x:f>
        <x:v>No</x:v>
      </x:c>
      <x:c r="N1557" s="25" t="str">
        <x:f>IF(J1557&gt;=6,"Sí","No")</x:f>
        <x:v>No</x:v>
      </x:c>
      <x:c r="O1557" s="25" t="str">
        <x:v>Pendiente: asignar con R/sf</x:v>
      </x:c>
    </x:row>
    <x:row r="1558">
      <x:c r="A1558" s="25" t="n">
        <x:v>1557</x:v>
      </x:c>
      <x:c r="B1558" s="26" t="n">
        <x:v>44610.37739583333</x:v>
      </x:c>
      <x:c r="C1558" s="27" t="n">
        <x:f>INT(B1558)</x:f>
        <x:v>44610</x:v>
      </x:c>
      <x:c r="D1558" s="28" t="n">
        <x:f>MOD(B1558,1)</x:f>
        <x:v>0.3773958333331393</x:v>
      </x:c>
      <x:c r="E1558" s="29" t="n">
        <x:f>YEAR(B1558)</x:f>
        <x:v>2022</x:v>
      </x:c>
      <x:c r="F1558" s="29" t="n">
        <x:f>MONTH(B1558)</x:f>
        <x:v>2</x:v>
      </x:c>
      <x:c r="G1558" s="30" t="n">
        <x:v>-36.78</x:v>
      </x:c>
      <x:c r="H1558" s="30" t="n">
        <x:v>-73.41</x:v>
      </x:c>
      <x:c r="I1558" s="29" t="n">
        <x:v>23</x:v>
      </x:c>
      <x:c r="J1558" s="31" t="n">
        <x:v>3.1</x:v>
      </x:c>
      <x:c r="K1558" s="25" t="str">
        <x:f>IF(J1558&gt;=7,"Muy fuerte (&gt;=7)",IF(J1558&gt;=6,"Fuerte (6-6.9)",IF(J1558&gt;=5,"Moderado alto (5-5.9)",IF(J1558&gt;=4,"Moderado (4-4.9)","Menor a 4"))))</x:f>
        <x:v>Menor a 4</x:v>
      </x:c>
      <x:c r="L1558" s="25" t="str">
        <x:f>IF(I1558&lt;70,"Superficial (&lt;70 km)",IF(I1558&lt;=300,"Intermedio (70-300 km)","Profundo (&gt;300 km)"))</x:f>
        <x:v>Superficial (&lt;70 km)</x:v>
      </x:c>
      <x:c r="M1558" s="25" t="str">
        <x:f>IF(J1558&gt;=5,"Sí","No")</x:f>
        <x:v>No</x:v>
      </x:c>
      <x:c r="N1558" s="25" t="str">
        <x:f>IF(J1558&gt;=6,"Sí","No")</x:f>
        <x:v>No</x:v>
      </x:c>
      <x:c r="O1558" s="25" t="str">
        <x:v>Pendiente: asignar con R/sf</x:v>
      </x:c>
    </x:row>
    <x:row r="1559">
      <x:c r="A1559" s="25" t="n">
        <x:v>1558</x:v>
      </x:c>
      <x:c r="B1559" s="26" t="n">
        <x:v>45413.058912037035</x:v>
      </x:c>
      <x:c r="C1559" s="27" t="n">
        <x:f>INT(B1559)</x:f>
        <x:v>45413</x:v>
      </x:c>
      <x:c r="D1559" s="28" t="n">
        <x:f>MOD(B1559,1)</x:f>
        <x:v>0.058912037035042886</x:v>
      </x:c>
      <x:c r="E1559" s="29" t="n">
        <x:f>YEAR(B1559)</x:f>
        <x:v>2024</x:v>
      </x:c>
      <x:c r="F1559" s="29" t="n">
        <x:f>MONTH(B1559)</x:f>
        <x:v>5</x:v>
      </x:c>
      <x:c r="G1559" s="30" t="n">
        <x:v>-21.45</x:v>
      </x:c>
      <x:c r="H1559" s="30" t="n">
        <x:v>-69.02</x:v>
      </x:c>
      <x:c r="I1559" s="29" t="n">
        <x:v>107</x:v>
      </x:c>
      <x:c r="J1559" s="31" t="n">
        <x:v>5.2</x:v>
      </x:c>
      <x:c r="K1559" s="25" t="str">
        <x:f>IF(J1559&gt;=7,"Muy fuerte (&gt;=7)",IF(J1559&gt;=6,"Fuerte (6-6.9)",IF(J1559&gt;=5,"Moderado alto (5-5.9)",IF(J1559&gt;=4,"Moderado (4-4.9)","Menor a 4"))))</x:f>
        <x:v>Moderado alto (5-5.9)</x:v>
      </x:c>
      <x:c r="L1559" s="25" t="str">
        <x:f>IF(I1559&lt;70,"Superficial (&lt;70 km)",IF(I1559&lt;=300,"Intermedio (70-300 km)","Profundo (&gt;300 km)"))</x:f>
        <x:v>Intermedio (70-300 km)</x:v>
      </x:c>
      <x:c r="M1559" s="25" t="str">
        <x:f>IF(J1559&gt;=5,"Sí","No")</x:f>
        <x:v>Sí</x:v>
      </x:c>
      <x:c r="N1559" s="25" t="str">
        <x:f>IF(J1559&gt;=6,"Sí","No")</x:f>
        <x:v>No</x:v>
      </x:c>
      <x:c r="O1559" s="25" t="str">
        <x:v>Pendiente: asignar con R/sf</x:v>
      </x:c>
    </x:row>
    <x:row r="1560">
      <x:c r="A1560" s="25" t="n">
        <x:v>1559</x:v>
      </x:c>
      <x:c r="B1560" s="26" t="n">
        <x:v>45438.60011574074</x:v>
      </x:c>
      <x:c r="C1560" s="27" t="n">
        <x:f>INT(B1560)</x:f>
        <x:v>45438</x:v>
      </x:c>
      <x:c r="D1560" s="28" t="n">
        <x:f>MOD(B1560,1)</x:f>
        <x:v>0.6001157407372375</x:v>
      </x:c>
      <x:c r="E1560" s="29" t="n">
        <x:f>YEAR(B1560)</x:f>
        <x:v>2024</x:v>
      </x:c>
      <x:c r="F1560" s="29" t="n">
        <x:f>MONTH(B1560)</x:f>
        <x:v>5</x:v>
      </x:c>
      <x:c r="G1560" s="30" t="n">
        <x:v>-24.16</x:v>
      </x:c>
      <x:c r="H1560" s="30" t="n">
        <x:v>-69.37</x:v>
      </x:c>
      <x:c r="I1560" s="29" t="n">
        <x:v>96</x:v>
      </x:c>
      <x:c r="J1560" s="31" t="n">
        <x:v>5.2</x:v>
      </x:c>
      <x:c r="K1560" s="25" t="str">
        <x:f>IF(J1560&gt;=7,"Muy fuerte (&gt;=7)",IF(J1560&gt;=6,"Fuerte (6-6.9)",IF(J1560&gt;=5,"Moderado alto (5-5.9)",IF(J1560&gt;=4,"Moderado (4-4.9)","Menor a 4"))))</x:f>
        <x:v>Moderado alto (5-5.9)</x:v>
      </x:c>
      <x:c r="L1560" s="25" t="str">
        <x:f>IF(I1560&lt;70,"Superficial (&lt;70 km)",IF(I1560&lt;=300,"Intermedio (70-300 km)","Profundo (&gt;300 km)"))</x:f>
        <x:v>Intermedio (70-300 km)</x:v>
      </x:c>
      <x:c r="M1560" s="25" t="str">
        <x:f>IF(J1560&gt;=5,"Sí","No")</x:f>
        <x:v>Sí</x:v>
      </x:c>
      <x:c r="N1560" s="25" t="str">
        <x:f>IF(J1560&gt;=6,"Sí","No")</x:f>
        <x:v>No</x:v>
      </x:c>
      <x:c r="O1560" s="25" t="str">
        <x:v>Pendiente: asignar con R/sf</x:v>
      </x:c>
    </x:row>
    <x:row r="1561">
      <x:c r="A1561" s="25" t="n">
        <x:v>1560</x:v>
      </x:c>
      <x:c r="B1561" s="26" t="n">
        <x:v>45192.537824074076</x:v>
      </x:c>
      <x:c r="C1561" s="27" t="n">
        <x:f>INT(B1561)</x:f>
        <x:v>45192</x:v>
      </x:c>
      <x:c r="D1561" s="28" t="n">
        <x:f>MOD(B1561,1)</x:f>
        <x:v>0.5378240740756155</x:v>
      </x:c>
      <x:c r="E1561" s="29" t="n">
        <x:f>YEAR(B1561)</x:f>
        <x:v>2023</x:v>
      </x:c>
      <x:c r="F1561" s="29" t="n">
        <x:f>MONTH(B1561)</x:f>
        <x:v>9</x:v>
      </x:c>
      <x:c r="G1561" s="30" t="n">
        <x:v>-18.7</x:v>
      </x:c>
      <x:c r="H1561" s="30" t="n">
        <x:v>-70.05</x:v>
      </x:c>
      <x:c r="I1561" s="29" t="n">
        <x:v>79</x:v>
      </x:c>
      <x:c r="J1561" s="31" t="n">
        <x:v>4.3</x:v>
      </x:c>
      <x:c r="K1561" s="25" t="str">
        <x:f>IF(J1561&gt;=7,"Muy fuerte (&gt;=7)",IF(J1561&gt;=6,"Fuerte (6-6.9)",IF(J1561&gt;=5,"Moderado alto (5-5.9)",IF(J1561&gt;=4,"Moderado (4-4.9)","Menor a 4"))))</x:f>
        <x:v>Moderado (4-4.9)</x:v>
      </x:c>
      <x:c r="L1561" s="25" t="str">
        <x:f>IF(I1561&lt;70,"Superficial (&lt;70 km)",IF(I1561&lt;=300,"Intermedio (70-300 km)","Profundo (&gt;300 km)"))</x:f>
        <x:v>Intermedio (70-300 km)</x:v>
      </x:c>
      <x:c r="M1561" s="25" t="str">
        <x:f>IF(J1561&gt;=5,"Sí","No")</x:f>
        <x:v>No</x:v>
      </x:c>
      <x:c r="N1561" s="25" t="str">
        <x:f>IF(J1561&gt;=6,"Sí","No")</x:f>
        <x:v>No</x:v>
      </x:c>
      <x:c r="O1561" s="25" t="str">
        <x:v>Pendiente: asignar con R/sf</x:v>
      </x:c>
    </x:row>
    <x:row r="1562">
      <x:c r="A1562" s="25" t="n">
        <x:v>1561</x:v>
      </x:c>
      <x:c r="B1562" s="26" t="n">
        <x:v>45239.54530092593</x:v>
      </x:c>
      <x:c r="C1562" s="27" t="n">
        <x:f>INT(B1562)</x:f>
        <x:v>45239</x:v>
      </x:c>
      <x:c r="D1562" s="28" t="n">
        <x:f>MOD(B1562,1)</x:f>
        <x:v>0.5453009259290411</x:v>
      </x:c>
      <x:c r="E1562" s="29" t="n">
        <x:f>YEAR(B1562)</x:f>
        <x:v>2023</x:v>
      </x:c>
      <x:c r="F1562" s="29" t="n">
        <x:f>MONTH(B1562)</x:f>
        <x:v>11</x:v>
      </x:c>
      <x:c r="G1562" s="30" t="n">
        <x:v>-18.47</x:v>
      </x:c>
      <x:c r="H1562" s="30" t="n">
        <x:v>-70.9</x:v>
      </x:c>
      <x:c r="I1562" s="29" t="n">
        <x:v>50</x:v>
      </x:c>
      <x:c r="J1562" s="31" t="n">
        <x:v>4.4</x:v>
      </x:c>
      <x:c r="K1562" s="25" t="str">
        <x:f>IF(J1562&gt;=7,"Muy fuerte (&gt;=7)",IF(J1562&gt;=6,"Fuerte (6-6.9)",IF(J1562&gt;=5,"Moderado alto (5-5.9)",IF(J1562&gt;=4,"Moderado (4-4.9)","Menor a 4"))))</x:f>
        <x:v>Moderado (4-4.9)</x:v>
      </x:c>
      <x:c r="L1562" s="25" t="str">
        <x:f>IF(I1562&lt;70,"Superficial (&lt;70 km)",IF(I1562&lt;=300,"Intermedio (70-300 km)","Profundo (&gt;300 km)"))</x:f>
        <x:v>Superficial (&lt;70 km)</x:v>
      </x:c>
      <x:c r="M1562" s="25" t="str">
        <x:f>IF(J1562&gt;=5,"Sí","No")</x:f>
        <x:v>No</x:v>
      </x:c>
      <x:c r="N1562" s="25" t="str">
        <x:f>IF(J1562&gt;=6,"Sí","No")</x:f>
        <x:v>No</x:v>
      </x:c>
      <x:c r="O1562" s="25" t="str">
        <x:v>Pendiente: asignar con R/sf</x:v>
      </x:c>
    </x:row>
    <x:row r="1563">
      <x:c r="A1563" s="25" t="n">
        <x:v>1562</x:v>
      </x:c>
      <x:c r="B1563" s="26" t="n">
        <x:v>45298.35802083334</x:v>
      </x:c>
      <x:c r="C1563" s="27" t="n">
        <x:f>INT(B1563)</x:f>
        <x:v>45298</x:v>
      </x:c>
      <x:c r="D1563" s="28" t="n">
        <x:f>MOD(B1563,1)</x:f>
        <x:v>0.3580208333369228</x:v>
      </x:c>
      <x:c r="E1563" s="29" t="n">
        <x:f>YEAR(B1563)</x:f>
        <x:v>2024</x:v>
      </x:c>
      <x:c r="F1563" s="29" t="n">
        <x:f>MONTH(B1563)</x:f>
        <x:v>1</x:v>
      </x:c>
      <x:c r="G1563" s="30" t="n">
        <x:v>-18.26</x:v>
      </x:c>
      <x:c r="H1563" s="30" t="n">
        <x:v>-69.27</x:v>
      </x:c>
      <x:c r="I1563" s="29" t="n">
        <x:v>146</x:v>
      </x:c>
      <x:c r="J1563" s="31" t="n">
        <x:v>5.2</x:v>
      </x:c>
      <x:c r="K1563" s="25" t="str">
        <x:f>IF(J1563&gt;=7,"Muy fuerte (&gt;=7)",IF(J1563&gt;=6,"Fuerte (6-6.9)",IF(J1563&gt;=5,"Moderado alto (5-5.9)",IF(J1563&gt;=4,"Moderado (4-4.9)","Menor a 4"))))</x:f>
        <x:v>Moderado alto (5-5.9)</x:v>
      </x:c>
      <x:c r="L1563" s="25" t="str">
        <x:f>IF(I1563&lt;70,"Superficial (&lt;70 km)",IF(I1563&lt;=300,"Intermedio (70-300 km)","Profundo (&gt;300 km)"))</x:f>
        <x:v>Intermedio (70-300 km)</x:v>
      </x:c>
      <x:c r="M1563" s="25" t="str">
        <x:f>IF(J1563&gt;=5,"Sí","No")</x:f>
        <x:v>Sí</x:v>
      </x:c>
      <x:c r="N1563" s="25" t="str">
        <x:f>IF(J1563&gt;=6,"Sí","No")</x:f>
        <x:v>No</x:v>
      </x:c>
      <x:c r="O1563" s="25" t="str">
        <x:v>Pendiente: asignar con R/sf</x:v>
      </x:c>
    </x:row>
    <x:row r="1564">
      <x:c r="A1564" s="25" t="n">
        <x:v>1563</x:v>
      </x:c>
      <x:c r="B1564" s="26" t="n">
        <x:v>44849.15899305556</x:v>
      </x:c>
      <x:c r="C1564" s="27" t="n">
        <x:f>INT(B1564)</x:f>
        <x:v>44849</x:v>
      </x:c>
      <x:c r="D1564" s="28" t="n">
        <x:f>MOD(B1564,1)</x:f>
        <x:v>0.15899305555649335</x:v>
      </x:c>
      <x:c r="E1564" s="29" t="n">
        <x:f>YEAR(B1564)</x:f>
        <x:v>2022</x:v>
      </x:c>
      <x:c r="F1564" s="29" t="n">
        <x:f>MONTH(B1564)</x:f>
        <x:v>10</x:v>
      </x:c>
      <x:c r="G1564" s="30" t="n">
        <x:v>-32.55</x:v>
      </x:c>
      <x:c r="H1564" s="30" t="n">
        <x:v>-71.68</x:v>
      </x:c>
      <x:c r="I1564" s="29" t="n">
        <x:v>35</x:v>
      </x:c>
      <x:c r="J1564" s="31" t="n">
        <x:v>3.5</x:v>
      </x:c>
      <x:c r="K1564" s="25" t="str">
        <x:f>IF(J1564&gt;=7,"Muy fuerte (&gt;=7)",IF(J1564&gt;=6,"Fuerte (6-6.9)",IF(J1564&gt;=5,"Moderado alto (5-5.9)",IF(J1564&gt;=4,"Moderado (4-4.9)","Menor a 4"))))</x:f>
        <x:v>Menor a 4</x:v>
      </x:c>
      <x:c r="L1564" s="25" t="str">
        <x:f>IF(I1564&lt;70,"Superficial (&lt;70 km)",IF(I1564&lt;=300,"Intermedio (70-300 km)","Profundo (&gt;300 km)"))</x:f>
        <x:v>Superficial (&lt;70 km)</x:v>
      </x:c>
      <x:c r="M1564" s="25" t="str">
        <x:f>IF(J1564&gt;=5,"Sí","No")</x:f>
        <x:v>No</x:v>
      </x:c>
      <x:c r="N1564" s="25" t="str">
        <x:f>IF(J1564&gt;=6,"Sí","No")</x:f>
        <x:v>No</x:v>
      </x:c>
      <x:c r="O1564" s="25" t="str">
        <x:v>Pendiente: asignar con R/sf</x:v>
      </x:c>
    </x:row>
    <x:row r="1565">
      <x:c r="A1565" s="25" t="n">
        <x:v>1564</x:v>
      </x:c>
      <x:c r="B1565" s="26" t="n">
        <x:v>44991.517222222225</x:v>
      </x:c>
      <x:c r="C1565" s="27" t="n">
        <x:f>INT(B1565)</x:f>
        <x:v>44991</x:v>
      </x:c>
      <x:c r="D1565" s="28" t="n">
        <x:f>MOD(B1565,1)</x:f>
        <x:v>0.5172222222245182</x:v>
      </x:c>
      <x:c r="E1565" s="29" t="n">
        <x:f>YEAR(B1565)</x:f>
        <x:v>2023</x:v>
      </x:c>
      <x:c r="F1565" s="29" t="n">
        <x:f>MONTH(B1565)</x:f>
        <x:v>3</x:v>
      </x:c>
      <x:c r="G1565" s="30" t="n">
        <x:v>-32.43</x:v>
      </x:c>
      <x:c r="H1565" s="30" t="n">
        <x:v>-71.73</x:v>
      </x:c>
      <x:c r="I1565" s="29" t="n">
        <x:v>40</x:v>
      </x:c>
      <x:c r="J1565" s="31" t="n">
        <x:v>3.8</x:v>
      </x:c>
      <x:c r="K1565" s="25" t="str">
        <x:f>IF(J1565&gt;=7,"Muy fuerte (&gt;=7)",IF(J1565&gt;=6,"Fuerte (6-6.9)",IF(J1565&gt;=5,"Moderado alto (5-5.9)",IF(J1565&gt;=4,"Moderado (4-4.9)","Menor a 4"))))</x:f>
        <x:v>Menor a 4</x:v>
      </x:c>
      <x:c r="L1565" s="25" t="str">
        <x:f>IF(I1565&lt;70,"Superficial (&lt;70 km)",IF(I1565&lt;=300,"Intermedio (70-300 km)","Profundo (&gt;300 km)"))</x:f>
        <x:v>Superficial (&lt;70 km)</x:v>
      </x:c>
      <x:c r="M1565" s="25" t="str">
        <x:f>IF(J1565&gt;=5,"Sí","No")</x:f>
        <x:v>No</x:v>
      </x:c>
      <x:c r="N1565" s="25" t="str">
        <x:f>IF(J1565&gt;=6,"Sí","No")</x:f>
        <x:v>No</x:v>
      </x:c>
      <x:c r="O1565" s="25" t="str">
        <x:v>Pendiente: asignar con R/sf</x:v>
      </x:c>
    </x:row>
    <x:row r="1566">
      <x:c r="A1566" s="25" t="n">
        <x:v>1565</x:v>
      </x:c>
      <x:c r="B1566" s="26" t="n">
        <x:v>45150.358831018515</x:v>
      </x:c>
      <x:c r="C1566" s="27" t="n">
        <x:f>INT(B1566)</x:f>
        <x:v>45150</x:v>
      </x:c>
      <x:c r="D1566" s="28" t="n">
        <x:f>MOD(B1566,1)</x:f>
        <x:v>0.3588310185150476</x:v>
      </x:c>
      <x:c r="E1566" s="29" t="n">
        <x:f>YEAR(B1566)</x:f>
        <x:v>2023</x:v>
      </x:c>
      <x:c r="F1566" s="29" t="n">
        <x:f>MONTH(B1566)</x:f>
        <x:v>8</x:v>
      </x:c>
      <x:c r="G1566" s="30" t="n">
        <x:v>-32.42</x:v>
      </x:c>
      <x:c r="H1566" s="30" t="n">
        <x:v>-71.63</x:v>
      </x:c>
      <x:c r="I1566" s="29" t="n">
        <x:v>38</x:v>
      </x:c>
      <x:c r="J1566" s="31" t="n">
        <x:v>3.4</x:v>
      </x:c>
      <x:c r="K1566" s="25" t="str">
        <x:f>IF(J1566&gt;=7,"Muy fuerte (&gt;=7)",IF(J1566&gt;=6,"Fuerte (6-6.9)",IF(J1566&gt;=5,"Moderado alto (5-5.9)",IF(J1566&gt;=4,"Moderado (4-4.9)","Menor a 4"))))</x:f>
        <x:v>Menor a 4</x:v>
      </x:c>
      <x:c r="L1566" s="25" t="str">
        <x:f>IF(I1566&lt;70,"Superficial (&lt;70 km)",IF(I1566&lt;=300,"Intermedio (70-300 km)","Profundo (&gt;300 km)"))</x:f>
        <x:v>Superficial (&lt;70 km)</x:v>
      </x:c>
      <x:c r="M1566" s="25" t="str">
        <x:f>IF(J1566&gt;=5,"Sí","No")</x:f>
        <x:v>No</x:v>
      </x:c>
      <x:c r="N1566" s="25" t="str">
        <x:f>IF(J1566&gt;=6,"Sí","No")</x:f>
        <x:v>No</x:v>
      </x:c>
      <x:c r="O1566" s="25" t="str">
        <x:v>Pendiente: asignar con R/sf</x:v>
      </x:c>
    </x:row>
    <x:row r="1567">
      <x:c r="A1567" s="25" t="n">
        <x:v>1566</x:v>
      </x:c>
      <x:c r="B1567" s="26" t="n">
        <x:v>45258.234930555554</x:v>
      </x:c>
      <x:c r="C1567" s="27" t="n">
        <x:f>INT(B1567)</x:f>
        <x:v>45258</x:v>
      </x:c>
      <x:c r="D1567" s="28" t="n">
        <x:f>MOD(B1567,1)</x:f>
        <x:v>0.23493055555445608</x:v>
      </x:c>
      <x:c r="E1567" s="29" t="n">
        <x:f>YEAR(B1567)</x:f>
        <x:v>2023</x:v>
      </x:c>
      <x:c r="F1567" s="29" t="n">
        <x:f>MONTH(B1567)</x:f>
        <x:v>11</x:v>
      </x:c>
      <x:c r="G1567" s="30" t="n">
        <x:v>-32.15</x:v>
      </x:c>
      <x:c r="H1567" s="30" t="n">
        <x:v>-71.45</x:v>
      </x:c>
      <x:c r="I1567" s="29" t="n">
        <x:v>51</x:v>
      </x:c>
      <x:c r="J1567" s="31" t="n">
        <x:v>4.7</x:v>
      </x:c>
      <x:c r="K1567" s="25" t="str">
        <x:f>IF(J1567&gt;=7,"Muy fuerte (&gt;=7)",IF(J1567&gt;=6,"Fuerte (6-6.9)",IF(J1567&gt;=5,"Moderado alto (5-5.9)",IF(J1567&gt;=4,"Moderado (4-4.9)","Menor a 4"))))</x:f>
        <x:v>Moderado (4-4.9)</x:v>
      </x:c>
      <x:c r="L1567" s="25" t="str">
        <x:f>IF(I1567&lt;70,"Superficial (&lt;70 km)",IF(I1567&lt;=300,"Intermedio (70-300 km)","Profundo (&gt;300 km)"))</x:f>
        <x:v>Superficial (&lt;70 km)</x:v>
      </x:c>
      <x:c r="M1567" s="25" t="str">
        <x:f>IF(J1567&gt;=5,"Sí","No")</x:f>
        <x:v>No</x:v>
      </x:c>
      <x:c r="N1567" s="25" t="str">
        <x:f>IF(J1567&gt;=6,"Sí","No")</x:f>
        <x:v>No</x:v>
      </x:c>
      <x:c r="O1567" s="25" t="str">
        <x:v>Pendiente: asignar con R/sf</x:v>
      </x:c>
    </x:row>
    <x:row r="1568">
      <x:c r="A1568" s="25" t="n">
        <x:v>1567</x:v>
      </x:c>
      <x:c r="B1568" s="26" t="n">
        <x:v>45317.26545138889</x:v>
      </x:c>
      <x:c r="C1568" s="27" t="n">
        <x:f>INT(B1568)</x:f>
        <x:v>45317</x:v>
      </x:c>
      <x:c r="D1568" s="28" t="n">
        <x:f>MOD(B1568,1)</x:f>
        <x:v>0.26545138889196096</x:v>
      </x:c>
      <x:c r="E1568" s="29" t="n">
        <x:f>YEAR(B1568)</x:f>
        <x:v>2024</x:v>
      </x:c>
      <x:c r="F1568" s="29" t="n">
        <x:f>MONTH(B1568)</x:f>
        <x:v>1</x:v>
      </x:c>
      <x:c r="G1568" s="30" t="n">
        <x:v>-33.03</x:v>
      </x:c>
      <x:c r="H1568" s="30" t="n">
        <x:v>-71.46</x:v>
      </x:c>
      <x:c r="I1568" s="29" t="n">
        <x:v>50</x:v>
      </x:c>
      <x:c r="J1568" s="31" t="n">
        <x:v>4.8</x:v>
      </x:c>
      <x:c r="K1568" s="25" t="str">
        <x:f>IF(J1568&gt;=7,"Muy fuerte (&gt;=7)",IF(J1568&gt;=6,"Fuerte (6-6.9)",IF(J1568&gt;=5,"Moderado alto (5-5.9)",IF(J1568&gt;=4,"Moderado (4-4.9)","Menor a 4"))))</x:f>
        <x:v>Moderado (4-4.9)</x:v>
      </x:c>
      <x:c r="L1568" s="25" t="str">
        <x:f>IF(I1568&lt;70,"Superficial (&lt;70 km)",IF(I1568&lt;=300,"Intermedio (70-300 km)","Profundo (&gt;300 km)"))</x:f>
        <x:v>Superficial (&lt;70 km)</x:v>
      </x:c>
      <x:c r="M1568" s="25" t="str">
        <x:f>IF(J1568&gt;=5,"Sí","No")</x:f>
        <x:v>No</x:v>
      </x:c>
      <x:c r="N1568" s="25" t="str">
        <x:f>IF(J1568&gt;=6,"Sí","No")</x:f>
        <x:v>No</x:v>
      </x:c>
      <x:c r="O1568" s="25" t="str">
        <x:v>Pendiente: asignar con R/sf</x:v>
      </x:c>
    </x:row>
    <x:row r="1569">
      <x:c r="A1569" s="25" t="n">
        <x:v>1568</x:v>
      </x:c>
      <x:c r="B1569" s="26" t="n">
        <x:v>45337.3765162037</x:v>
      </x:c>
      <x:c r="C1569" s="27" t="n">
        <x:f>INT(B1569)</x:f>
        <x:v>45337</x:v>
      </x:c>
      <x:c r="D1569" s="28" t="n">
        <x:f>MOD(B1569,1)</x:f>
        <x:v>0.37651620370161254</x:v>
      </x:c>
      <x:c r="E1569" s="29" t="n">
        <x:f>YEAR(B1569)</x:f>
        <x:v>2024</x:v>
      </x:c>
      <x:c r="F1569" s="29" t="n">
        <x:f>MONTH(B1569)</x:f>
        <x:v>2</x:v>
      </x:c>
      <x:c r="G1569" s="30" t="n">
        <x:v>-32.57</x:v>
      </x:c>
      <x:c r="H1569" s="30" t="n">
        <x:v>-71.7</x:v>
      </x:c>
      <x:c r="I1569" s="29" t="n">
        <x:v>36</x:v>
      </x:c>
      <x:c r="J1569" s="31" t="n">
        <x:v>3.3</x:v>
      </x:c>
      <x:c r="K1569" s="25" t="str">
        <x:f>IF(J1569&gt;=7,"Muy fuerte (&gt;=7)",IF(J1569&gt;=6,"Fuerte (6-6.9)",IF(J1569&gt;=5,"Moderado alto (5-5.9)",IF(J1569&gt;=4,"Moderado (4-4.9)","Menor a 4"))))</x:f>
        <x:v>Menor a 4</x:v>
      </x:c>
      <x:c r="L1569" s="25" t="str">
        <x:f>IF(I1569&lt;70,"Superficial (&lt;70 km)",IF(I1569&lt;=300,"Intermedio (70-300 km)","Profundo (&gt;300 km)"))</x:f>
        <x:v>Superficial (&lt;70 km)</x:v>
      </x:c>
      <x:c r="M1569" s="25" t="str">
        <x:f>IF(J1569&gt;=5,"Sí","No")</x:f>
        <x:v>No</x:v>
      </x:c>
      <x:c r="N1569" s="25" t="str">
        <x:f>IF(J1569&gt;=6,"Sí","No")</x:f>
        <x:v>No</x:v>
      </x:c>
      <x:c r="O1569" s="25" t="str">
        <x:v>Pendiente: asignar con R/sf</x:v>
      </x:c>
    </x:row>
    <x:row r="1570">
      <x:c r="A1570" s="25" t="n">
        <x:v>1569</x:v>
      </x:c>
      <x:c r="B1570" s="26" t="n">
        <x:v>44990.045960648145</x:v>
      </x:c>
      <x:c r="C1570" s="27" t="n">
        <x:f>INT(B1570)</x:f>
        <x:v>44990</x:v>
      </x:c>
      <x:c r="D1570" s="28" t="n">
        <x:f>MOD(B1570,1)</x:f>
        <x:v>0.04596064814541023</x:v>
      </x:c>
      <x:c r="E1570" s="29" t="n">
        <x:f>YEAR(B1570)</x:f>
        <x:v>2023</x:v>
      </x:c>
      <x:c r="F1570" s="29" t="n">
        <x:f>MONTH(B1570)</x:f>
        <x:v>3</x:v>
      </x:c>
      <x:c r="G1570" s="30" t="n">
        <x:v>-22.01</x:v>
      </x:c>
      <x:c r="H1570" s="30" t="n">
        <x:v>-70.23</x:v>
      </x:c>
      <x:c r="I1570" s="29" t="n">
        <x:v>60</x:v>
      </x:c>
      <x:c r="J1570" s="31" t="n">
        <x:v>4</x:v>
      </x:c>
      <x:c r="K1570" s="25" t="str">
        <x:f>IF(J1570&gt;=7,"Muy fuerte (&gt;=7)",IF(J1570&gt;=6,"Fuerte (6-6.9)",IF(J1570&gt;=5,"Moderado alto (5-5.9)",IF(J1570&gt;=4,"Moderado (4-4.9)","Menor a 4"))))</x:f>
        <x:v>Moderado (4-4.9)</x:v>
      </x:c>
      <x:c r="L1570" s="25" t="str">
        <x:f>IF(I1570&lt;70,"Superficial (&lt;70 km)",IF(I1570&lt;=300,"Intermedio (70-300 km)","Profundo (&gt;300 km)"))</x:f>
        <x:v>Superficial (&lt;70 km)</x:v>
      </x:c>
      <x:c r="M1570" s="25" t="str">
        <x:f>IF(J1570&gt;=5,"Sí","No")</x:f>
        <x:v>No</x:v>
      </x:c>
      <x:c r="N1570" s="25" t="str">
        <x:f>IF(J1570&gt;=6,"Sí","No")</x:f>
        <x:v>No</x:v>
      </x:c>
      <x:c r="O1570" s="25" t="str">
        <x:v>Pendiente: asignar con R/sf</x:v>
      </x:c>
    </x:row>
    <x:row r="1571">
      <x:c r="A1571" s="25" t="n">
        <x:v>1570</x:v>
      </x:c>
      <x:c r="B1571" s="26" t="n">
        <x:v>45057.93958333333</x:v>
      </x:c>
      <x:c r="C1571" s="27" t="n">
        <x:f>INT(B1571)</x:f>
        <x:v>45057</x:v>
      </x:c>
      <x:c r="D1571" s="28" t="n">
        <x:f>MOD(B1571,1)</x:f>
        <x:v>0.9395833333328483</x:v>
      </x:c>
      <x:c r="E1571" s="29" t="n">
        <x:f>YEAR(B1571)</x:f>
        <x:v>2023</x:v>
      </x:c>
      <x:c r="F1571" s="29" t="n">
        <x:f>MONTH(B1571)</x:f>
        <x:v>5</x:v>
      </x:c>
      <x:c r="G1571" s="30" t="n">
        <x:v>-22.2</x:v>
      </x:c>
      <x:c r="H1571" s="30" t="n">
        <x:v>-70.04</x:v>
      </x:c>
      <x:c r="I1571" s="29" t="n">
        <x:v>54</x:v>
      </x:c>
      <x:c r="J1571" s="31" t="n">
        <x:v>4.2</x:v>
      </x:c>
      <x:c r="K1571" s="25" t="str">
        <x:f>IF(J1571&gt;=7,"Muy fuerte (&gt;=7)",IF(J1571&gt;=6,"Fuerte (6-6.9)",IF(J1571&gt;=5,"Moderado alto (5-5.9)",IF(J1571&gt;=4,"Moderado (4-4.9)","Menor a 4"))))</x:f>
        <x:v>Moderado (4-4.9)</x:v>
      </x:c>
      <x:c r="L1571" s="25" t="str">
        <x:f>IF(I1571&lt;70,"Superficial (&lt;70 km)",IF(I1571&lt;=300,"Intermedio (70-300 km)","Profundo (&gt;300 km)"))</x:f>
        <x:v>Superficial (&lt;70 km)</x:v>
      </x:c>
      <x:c r="M1571" s="25" t="str">
        <x:f>IF(J1571&gt;=5,"Sí","No")</x:f>
        <x:v>No</x:v>
      </x:c>
      <x:c r="N1571" s="25" t="str">
        <x:f>IF(J1571&gt;=6,"Sí","No")</x:f>
        <x:v>No</x:v>
      </x:c>
      <x:c r="O1571" s="25" t="str">
        <x:v>Pendiente: asignar con R/sf</x:v>
      </x:c>
    </x:row>
    <x:row r="1572">
      <x:c r="A1572" s="25" t="n">
        <x:v>1571</x:v>
      </x:c>
      <x:c r="B1572" s="26" t="n">
        <x:v>45130.24534722222</x:v>
      </x:c>
      <x:c r="C1572" s="27" t="n">
        <x:f>INT(B1572)</x:f>
        <x:v>45130</x:v>
      </x:c>
      <x:c r="D1572" s="28" t="n">
        <x:f>MOD(B1572,1)</x:f>
        <x:v>0.24534722221869742</x:v>
      </x:c>
      <x:c r="E1572" s="29" t="n">
        <x:f>YEAR(B1572)</x:f>
        <x:v>2023</x:v>
      </x:c>
      <x:c r="F1572" s="29" t="n">
        <x:f>MONTH(B1572)</x:f>
        <x:v>7</x:v>
      </x:c>
      <x:c r="G1572" s="30" t="n">
        <x:v>-22.09</x:v>
      </x:c>
      <x:c r="H1572" s="30" t="n">
        <x:v>-70.34</x:v>
      </x:c>
      <x:c r="I1572" s="29" t="n">
        <x:v>37</x:v>
      </x:c>
      <x:c r="J1572" s="31" t="n">
        <x:v>3.6</x:v>
      </x:c>
      <x:c r="K1572" s="25" t="str">
        <x:f>IF(J1572&gt;=7,"Muy fuerte (&gt;=7)",IF(J1572&gt;=6,"Fuerte (6-6.9)",IF(J1572&gt;=5,"Moderado alto (5-5.9)",IF(J1572&gt;=4,"Moderado (4-4.9)","Menor a 4"))))</x:f>
        <x:v>Menor a 4</x:v>
      </x:c>
      <x:c r="L1572" s="25" t="str">
        <x:f>IF(I1572&lt;70,"Superficial (&lt;70 km)",IF(I1572&lt;=300,"Intermedio (70-300 km)","Profundo (&gt;300 km)"))</x:f>
        <x:v>Superficial (&lt;70 km)</x:v>
      </x:c>
      <x:c r="M1572" s="25" t="str">
        <x:f>IF(J1572&gt;=5,"Sí","No")</x:f>
        <x:v>No</x:v>
      </x:c>
      <x:c r="N1572" s="25" t="str">
        <x:f>IF(J1572&gt;=6,"Sí","No")</x:f>
        <x:v>No</x:v>
      </x:c>
      <x:c r="O1572" s="25" t="str">
        <x:v>Pendiente: asignar con R/sf</x:v>
      </x:c>
    </x:row>
    <x:row r="1573">
      <x:c r="A1573" s="25" t="n">
        <x:v>1572</x:v>
      </x:c>
      <x:c r="B1573" s="26" t="n">
        <x:v>45140.57318287037</x:v>
      </x:c>
      <x:c r="C1573" s="27" t="n">
        <x:f>INT(B1573)</x:f>
        <x:v>45140</x:v>
      </x:c>
      <x:c r="D1573" s="28" t="n">
        <x:f>MOD(B1573,1)</x:f>
        <x:v>0.5731828703719657</x:v>
      </x:c>
      <x:c r="E1573" s="29" t="n">
        <x:f>YEAR(B1573)</x:f>
        <x:v>2023</x:v>
      </x:c>
      <x:c r="F1573" s="29" t="n">
        <x:f>MONTH(B1573)</x:f>
        <x:v>8</x:v>
      </x:c>
      <x:c r="G1573" s="30" t="n">
        <x:v>-22.08</x:v>
      </x:c>
      <x:c r="H1573" s="30" t="n">
        <x:v>-69.88</x:v>
      </x:c>
      <x:c r="I1573" s="29" t="n">
        <x:v>81</x:v>
      </x:c>
      <x:c r="J1573" s="31" t="n">
        <x:v>4.3</x:v>
      </x:c>
      <x:c r="K1573" s="25" t="str">
        <x:f>IF(J1573&gt;=7,"Muy fuerte (&gt;=7)",IF(J1573&gt;=6,"Fuerte (6-6.9)",IF(J1573&gt;=5,"Moderado alto (5-5.9)",IF(J1573&gt;=4,"Moderado (4-4.9)","Menor a 4"))))</x:f>
        <x:v>Moderado (4-4.9)</x:v>
      </x:c>
      <x:c r="L1573" s="25" t="str">
        <x:f>IF(I1573&lt;70,"Superficial (&lt;70 km)",IF(I1573&lt;=300,"Intermedio (70-300 km)","Profundo (&gt;300 km)"))</x:f>
        <x:v>Intermedio (70-300 km)</x:v>
      </x:c>
      <x:c r="M1573" s="25" t="str">
        <x:f>IF(J1573&gt;=5,"Sí","No")</x:f>
        <x:v>No</x:v>
      </x:c>
      <x:c r="N1573" s="25" t="str">
        <x:f>IF(J1573&gt;=6,"Sí","No")</x:f>
        <x:v>No</x:v>
      </x:c>
      <x:c r="O1573" s="25" t="str">
        <x:v>Pendiente: asignar con R/sf</x:v>
      </x:c>
    </x:row>
    <x:row r="1574">
      <x:c r="A1574" s="25" t="n">
        <x:v>1573</x:v>
      </x:c>
      <x:c r="B1574" s="26" t="n">
        <x:v>45154.57703703704</x:v>
      </x:c>
      <x:c r="C1574" s="27" t="n">
        <x:f>INT(B1574)</x:f>
        <x:v>45154</x:v>
      </x:c>
      <x:c r="D1574" s="28" t="n">
        <x:f>MOD(B1574,1)</x:f>
        <x:v>0.5770370370373712</x:v>
      </x:c>
      <x:c r="E1574" s="29" t="n">
        <x:f>YEAR(B1574)</x:f>
        <x:v>2023</x:v>
      </x:c>
      <x:c r="F1574" s="29" t="n">
        <x:f>MONTH(B1574)</x:f>
        <x:v>8</x:v>
      </x:c>
      <x:c r="G1574" s="30" t="n">
        <x:v>-22.06</x:v>
      </x:c>
      <x:c r="H1574" s="30" t="n">
        <x:v>-70.52</x:v>
      </x:c>
      <x:c r="I1574" s="29" t="n">
        <x:v>28</x:v>
      </x:c>
      <x:c r="J1574" s="31" t="n">
        <x:v>4.6</x:v>
      </x:c>
      <x:c r="K1574" s="25" t="str">
        <x:f>IF(J1574&gt;=7,"Muy fuerte (&gt;=7)",IF(J1574&gt;=6,"Fuerte (6-6.9)",IF(J1574&gt;=5,"Moderado alto (5-5.9)",IF(J1574&gt;=4,"Moderado (4-4.9)","Menor a 4"))))</x:f>
        <x:v>Moderado (4-4.9)</x:v>
      </x:c>
      <x:c r="L1574" s="25" t="str">
        <x:f>IF(I1574&lt;70,"Superficial (&lt;70 km)",IF(I1574&lt;=300,"Intermedio (70-300 km)","Profundo (&gt;300 km)"))</x:f>
        <x:v>Superficial (&lt;70 km)</x:v>
      </x:c>
      <x:c r="M1574" s="25" t="str">
        <x:f>IF(J1574&gt;=5,"Sí","No")</x:f>
        <x:v>No</x:v>
      </x:c>
      <x:c r="N1574" s="25" t="str">
        <x:f>IF(J1574&gt;=6,"Sí","No")</x:f>
        <x:v>No</x:v>
      </x:c>
      <x:c r="O1574" s="25" t="str">
        <x:v>Pendiente: asignar con R/sf</x:v>
      </x:c>
    </x:row>
    <x:row r="1575">
      <x:c r="A1575" s="25" t="n">
        <x:v>1574</x:v>
      </x:c>
      <x:c r="B1575" s="26" t="n">
        <x:v>45227.80390046296</x:v>
      </x:c>
      <x:c r="C1575" s="27" t="n">
        <x:f>INT(B1575)</x:f>
        <x:v>45227</x:v>
      </x:c>
      <x:c r="D1575" s="28" t="n">
        <x:f>MOD(B1575,1)</x:f>
        <x:v>0.8039004629608826</x:v>
      </x:c>
      <x:c r="E1575" s="29" t="n">
        <x:f>YEAR(B1575)</x:f>
        <x:v>2023</x:v>
      </x:c>
      <x:c r="F1575" s="29" t="n">
        <x:f>MONTH(B1575)</x:f>
        <x:v>10</x:v>
      </x:c>
      <x:c r="G1575" s="30" t="n">
        <x:v>-21.9</x:v>
      </x:c>
      <x:c r="H1575" s="30" t="n">
        <x:v>-69.85</x:v>
      </x:c>
      <x:c r="I1575" s="29" t="n">
        <x:v>64</x:v>
      </x:c>
      <x:c r="J1575" s="31" t="n">
        <x:v>4.5</x:v>
      </x:c>
      <x:c r="K1575" s="25" t="str">
        <x:f>IF(J1575&gt;=7,"Muy fuerte (&gt;=7)",IF(J1575&gt;=6,"Fuerte (6-6.9)",IF(J1575&gt;=5,"Moderado alto (5-5.9)",IF(J1575&gt;=4,"Moderado (4-4.9)","Menor a 4"))))</x:f>
        <x:v>Moderado (4-4.9)</x:v>
      </x:c>
      <x:c r="L1575" s="25" t="str">
        <x:f>IF(I1575&lt;70,"Superficial (&lt;70 km)",IF(I1575&lt;=300,"Intermedio (70-300 km)","Profundo (&gt;300 km)"))</x:f>
        <x:v>Superficial (&lt;70 km)</x:v>
      </x:c>
      <x:c r="M1575" s="25" t="str">
        <x:f>IF(J1575&gt;=5,"Sí","No")</x:f>
        <x:v>No</x:v>
      </x:c>
      <x:c r="N1575" s="25" t="str">
        <x:f>IF(J1575&gt;=6,"Sí","No")</x:f>
        <x:v>No</x:v>
      </x:c>
      <x:c r="O1575" s="25" t="str">
        <x:v>Pendiente: asignar con R/sf</x:v>
      </x:c>
    </x:row>
    <x:row r="1576">
      <x:c r="A1576" s="25" t="n">
        <x:v>1575</x:v>
      </x:c>
      <x:c r="B1576" s="26" t="n">
        <x:v>45076.48542824074</x:v>
      </x:c>
      <x:c r="C1576" s="27" t="n">
        <x:f>INT(B1576)</x:f>
        <x:v>45076</x:v>
      </x:c>
      <x:c r="D1576" s="28" t="n">
        <x:f>MOD(B1576,1)</x:f>
        <x:v>0.4854282407395658</x:v>
      </x:c>
      <x:c r="E1576" s="29" t="n">
        <x:f>YEAR(B1576)</x:f>
        <x:v>2023</x:v>
      </x:c>
      <x:c r="F1576" s="29" t="n">
        <x:f>MONTH(B1576)</x:f>
        <x:v>5</x:v>
      </x:c>
      <x:c r="G1576" s="30" t="n">
        <x:v>-22.5</x:v>
      </x:c>
      <x:c r="H1576" s="30" t="n">
        <x:v>-70.26</x:v>
      </x:c>
      <x:c r="I1576" s="29" t="n">
        <x:v>41</x:v>
      </x:c>
      <x:c r="J1576" s="31" t="n">
        <x:v>3.9</x:v>
      </x:c>
      <x:c r="K1576" s="25" t="str">
        <x:f>IF(J1576&gt;=7,"Muy fuerte (&gt;=7)",IF(J1576&gt;=6,"Fuerte (6-6.9)",IF(J1576&gt;=5,"Moderado alto (5-5.9)",IF(J1576&gt;=4,"Moderado (4-4.9)","Menor a 4"))))</x:f>
        <x:v>Menor a 4</x:v>
      </x:c>
      <x:c r="L1576" s="25" t="str">
        <x:f>IF(I1576&lt;70,"Superficial (&lt;70 km)",IF(I1576&lt;=300,"Intermedio (70-300 km)","Profundo (&gt;300 km)"))</x:f>
        <x:v>Superficial (&lt;70 km)</x:v>
      </x:c>
      <x:c r="M1576" s="25" t="str">
        <x:f>IF(J1576&gt;=5,"Sí","No")</x:f>
        <x:v>No</x:v>
      </x:c>
      <x:c r="N1576" s="25" t="str">
        <x:f>IF(J1576&gt;=6,"Sí","No")</x:f>
        <x:v>No</x:v>
      </x:c>
      <x:c r="O1576" s="25" t="str">
        <x:v>Pendiente: asignar con R/sf</x:v>
      </x:c>
    </x:row>
    <x:row r="1577">
      <x:c r="A1577" s="25" t="n">
        <x:v>1576</x:v>
      </x:c>
      <x:c r="B1577" s="26" t="n">
        <x:v>45276.870208333334</x:v>
      </x:c>
      <x:c r="C1577" s="27" t="n">
        <x:f>INT(B1577)</x:f>
        <x:v>45276</x:v>
      </x:c>
      <x:c r="D1577" s="28" t="n">
        <x:f>MOD(B1577,1)</x:f>
        <x:v>0.8702083333337214</x:v>
      </x:c>
      <x:c r="E1577" s="29" t="n">
        <x:f>YEAR(B1577)</x:f>
        <x:v>2023</x:v>
      </x:c>
      <x:c r="F1577" s="29" t="n">
        <x:f>MONTH(B1577)</x:f>
        <x:v>12</x:v>
      </x:c>
      <x:c r="G1577" s="30" t="n">
        <x:v>-22.26</x:v>
      </x:c>
      <x:c r="H1577" s="30" t="n">
        <x:v>-70.28</x:v>
      </x:c>
      <x:c r="I1577" s="29" t="n">
        <x:v>52</x:v>
      </x:c>
      <x:c r="J1577" s="31" t="n">
        <x:v>3.7</x:v>
      </x:c>
      <x:c r="K1577" s="25" t="str">
        <x:f>IF(J1577&gt;=7,"Muy fuerte (&gt;=7)",IF(J1577&gt;=6,"Fuerte (6-6.9)",IF(J1577&gt;=5,"Moderado alto (5-5.9)",IF(J1577&gt;=4,"Moderado (4-4.9)","Menor a 4"))))</x:f>
        <x:v>Menor a 4</x:v>
      </x:c>
      <x:c r="L1577" s="25" t="str">
        <x:f>IF(I1577&lt;70,"Superficial (&lt;70 km)",IF(I1577&lt;=300,"Intermedio (70-300 km)","Profundo (&gt;300 km)"))</x:f>
        <x:v>Superficial (&lt;70 km)</x:v>
      </x:c>
      <x:c r="M1577" s="25" t="str">
        <x:f>IF(J1577&gt;=5,"Sí","No")</x:f>
        <x:v>No</x:v>
      </x:c>
      <x:c r="N1577" s="25" t="str">
        <x:f>IF(J1577&gt;=6,"Sí","No")</x:f>
        <x:v>No</x:v>
      </x:c>
      <x:c r="O1577" s="25" t="str">
        <x:v>Pendiente: asignar con R/sf</x:v>
      </x:c>
    </x:row>
    <x:row r="1578">
      <x:c r="A1578" s="25" t="n">
        <x:v>1577</x:v>
      </x:c>
      <x:c r="B1578" s="26" t="n">
        <x:v>45347.551041666666</x:v>
      </x:c>
      <x:c r="C1578" s="27" t="n">
        <x:f>INT(B1578)</x:f>
        <x:v>45347</x:v>
      </x:c>
      <x:c r="D1578" s="28" t="n">
        <x:f>MOD(B1578,1)</x:f>
        <x:v>0.5510416666656965</x:v>
      </x:c>
      <x:c r="E1578" s="29" t="n">
        <x:f>YEAR(B1578)</x:f>
        <x:v>2024</x:v>
      </x:c>
      <x:c r="F1578" s="29" t="n">
        <x:f>MONTH(B1578)</x:f>
        <x:v>2</x:v>
      </x:c>
      <x:c r="G1578" s="30" t="n">
        <x:v>-21.45</x:v>
      </x:c>
      <x:c r="H1578" s="30" t="n">
        <x:v>-70.57</x:v>
      </x:c>
      <x:c r="I1578" s="29" t="n">
        <x:v>36</x:v>
      </x:c>
      <x:c r="J1578" s="31" t="n">
        <x:v>4.7</x:v>
      </x:c>
      <x:c r="K1578" s="25" t="str">
        <x:f>IF(J1578&gt;=7,"Muy fuerte (&gt;=7)",IF(J1578&gt;=6,"Fuerte (6-6.9)",IF(J1578&gt;=5,"Moderado alto (5-5.9)",IF(J1578&gt;=4,"Moderado (4-4.9)","Menor a 4"))))</x:f>
        <x:v>Moderado (4-4.9)</x:v>
      </x:c>
      <x:c r="L1578" s="25" t="str">
        <x:f>IF(I1578&lt;70,"Superficial (&lt;70 km)",IF(I1578&lt;=300,"Intermedio (70-300 km)","Profundo (&gt;300 km)"))</x:f>
        <x:v>Superficial (&lt;70 km)</x:v>
      </x:c>
      <x:c r="M1578" s="25" t="str">
        <x:f>IF(J1578&gt;=5,"Sí","No")</x:f>
        <x:v>No</x:v>
      </x:c>
      <x:c r="N1578" s="25" t="str">
        <x:f>IF(J1578&gt;=6,"Sí","No")</x:f>
        <x:v>No</x:v>
      </x:c>
      <x:c r="O1578" s="25" t="str">
        <x:v>Pendiente: asignar con R/sf</x:v>
      </x:c>
    </x:row>
    <x:row r="1579">
      <x:c r="A1579" s="25" t="n">
        <x:v>1578</x:v>
      </x:c>
      <x:c r="B1579" s="26" t="n">
        <x:v>45358.71140046296</x:v>
      </x:c>
      <x:c r="C1579" s="27" t="n">
        <x:f>INT(B1579)</x:f>
        <x:v>45358</x:v>
      </x:c>
      <x:c r="D1579" s="28" t="n">
        <x:f>MOD(B1579,1)</x:f>
        <x:v>0.7114004629620467</x:v>
      </x:c>
      <x:c r="E1579" s="29" t="n">
        <x:f>YEAR(B1579)</x:f>
        <x:v>2024</x:v>
      </x:c>
      <x:c r="F1579" s="29" t="n">
        <x:f>MONTH(B1579)</x:f>
        <x:v>3</x:v>
      </x:c>
      <x:c r="G1579" s="30" t="n">
        <x:v>-20.83</x:v>
      </x:c>
      <x:c r="H1579" s="30" t="n">
        <x:v>-69.83</x:v>
      </x:c>
      <x:c r="I1579" s="29" t="n">
        <x:v>43</x:v>
      </x:c>
      <x:c r="J1579" s="31" t="n">
        <x:v>4.7</x:v>
      </x:c>
      <x:c r="K1579" s="25" t="str">
        <x:f>IF(J1579&gt;=7,"Muy fuerte (&gt;=7)",IF(J1579&gt;=6,"Fuerte (6-6.9)",IF(J1579&gt;=5,"Moderado alto (5-5.9)",IF(J1579&gt;=4,"Moderado (4-4.9)","Menor a 4"))))</x:f>
        <x:v>Moderado (4-4.9)</x:v>
      </x:c>
      <x:c r="L1579" s="25" t="str">
        <x:f>IF(I1579&lt;70,"Superficial (&lt;70 km)",IF(I1579&lt;=300,"Intermedio (70-300 km)","Profundo (&gt;300 km)"))</x:f>
        <x:v>Superficial (&lt;70 km)</x:v>
      </x:c>
      <x:c r="M1579" s="25" t="str">
        <x:f>IF(J1579&gt;=5,"Sí","No")</x:f>
        <x:v>No</x:v>
      </x:c>
      <x:c r="N1579" s="25" t="str">
        <x:f>IF(J1579&gt;=6,"Sí","No")</x:f>
        <x:v>No</x:v>
      </x:c>
      <x:c r="O1579" s="25" t="str">
        <x:v>Pendiente: asignar con R/sf</x:v>
      </x:c>
    </x:row>
    <x:row r="1580">
      <x:c r="A1580" s="25" t="n">
        <x:v>1579</x:v>
      </x:c>
      <x:c r="B1580" s="26" t="n">
        <x:v>44139.9924537037</x:v>
      </x:c>
      <x:c r="C1580" s="27" t="n">
        <x:f>INT(B1580)</x:f>
        <x:v>44139</x:v>
      </x:c>
      <x:c r="D1580" s="28" t="n">
        <x:f>MOD(B1580,1)</x:f>
        <x:v>0.9924537037004484</x:v>
      </x:c>
      <x:c r="E1580" s="29" t="n">
        <x:f>YEAR(B1580)</x:f>
        <x:v>2020</x:v>
      </x:c>
      <x:c r="F1580" s="29" t="n">
        <x:f>MONTH(B1580)</x:f>
        <x:v>11</x:v>
      </x:c>
      <x:c r="G1580" s="30" t="n">
        <x:v>-22.96</x:v>
      </x:c>
      <x:c r="H1580" s="30" t="n">
        <x:v>-70.21</x:v>
      </x:c>
      <x:c r="I1580" s="29" t="n">
        <x:v>49</x:v>
      </x:c>
      <x:c r="J1580" s="31" t="n">
        <x:v>4.2</x:v>
      </x:c>
      <x:c r="K1580" s="25" t="str">
        <x:f>IF(J1580&gt;=7,"Muy fuerte (&gt;=7)",IF(J1580&gt;=6,"Fuerte (6-6.9)",IF(J1580&gt;=5,"Moderado alto (5-5.9)",IF(J1580&gt;=4,"Moderado (4-4.9)","Menor a 4"))))</x:f>
        <x:v>Moderado (4-4.9)</x:v>
      </x:c>
      <x:c r="L1580" s="25" t="str">
        <x:f>IF(I1580&lt;70,"Superficial (&lt;70 km)",IF(I1580&lt;=300,"Intermedio (70-300 km)","Profundo (&gt;300 km)"))</x:f>
        <x:v>Superficial (&lt;70 km)</x:v>
      </x:c>
      <x:c r="M1580" s="25" t="str">
        <x:f>IF(J1580&gt;=5,"Sí","No")</x:f>
        <x:v>No</x:v>
      </x:c>
      <x:c r="N1580" s="25" t="str">
        <x:f>IF(J1580&gt;=6,"Sí","No")</x:f>
        <x:v>No</x:v>
      </x:c>
      <x:c r="O1580" s="25" t="str">
        <x:v>Pendiente: asignar con R/sf</x:v>
      </x:c>
    </x:row>
    <x:row r="1581">
      <x:c r="A1581" s="25" t="n">
        <x:v>1580</x:v>
      </x:c>
      <x:c r="B1581" s="26" t="n">
        <x:v>45081.36461805556</x:v>
      </x:c>
      <x:c r="C1581" s="27" t="n">
        <x:f>INT(B1581)</x:f>
        <x:v>45081</x:v>
      </x:c>
      <x:c r="D1581" s="28" t="n">
        <x:f>MOD(B1581,1)</x:f>
        <x:v>0.36461805555882165</x:v>
      </x:c>
      <x:c r="E1581" s="29" t="n">
        <x:f>YEAR(B1581)</x:f>
        <x:v>2023</x:v>
      </x:c>
      <x:c r="F1581" s="29" t="n">
        <x:f>MONTH(B1581)</x:f>
        <x:v>6</x:v>
      </x:c>
      <x:c r="G1581" s="30" t="n">
        <x:v>-22.97</x:v>
      </x:c>
      <x:c r="H1581" s="30" t="n">
        <x:v>-70.34</x:v>
      </x:c>
      <x:c r="I1581" s="29" t="n">
        <x:v>22</x:v>
      </x:c>
      <x:c r="J1581" s="31" t="n">
        <x:v>4</x:v>
      </x:c>
      <x:c r="K1581" s="25" t="str">
        <x:f>IF(J1581&gt;=7,"Muy fuerte (&gt;=7)",IF(J1581&gt;=6,"Fuerte (6-6.9)",IF(J1581&gt;=5,"Moderado alto (5-5.9)",IF(J1581&gt;=4,"Moderado (4-4.9)","Menor a 4"))))</x:f>
        <x:v>Moderado (4-4.9)</x:v>
      </x:c>
      <x:c r="L1581" s="25" t="str">
        <x:f>IF(I1581&lt;70,"Superficial (&lt;70 km)",IF(I1581&lt;=300,"Intermedio (70-300 km)","Profundo (&gt;300 km)"))</x:f>
        <x:v>Superficial (&lt;70 km)</x:v>
      </x:c>
      <x:c r="M1581" s="25" t="str">
        <x:f>IF(J1581&gt;=5,"Sí","No")</x:f>
        <x:v>No</x:v>
      </x:c>
      <x:c r="N1581" s="25" t="str">
        <x:f>IF(J1581&gt;=6,"Sí","No")</x:f>
        <x:v>No</x:v>
      </x:c>
      <x:c r="O1581" s="25" t="str">
        <x:v>Pendiente: asignar con R/sf</x:v>
      </x:c>
    </x:row>
    <x:row r="1582">
      <x:c r="A1582" s="25" t="n">
        <x:v>1581</x:v>
      </x:c>
      <x:c r="B1582" s="26" t="n">
        <x:v>45389.66998842593</x:v>
      </x:c>
      <x:c r="C1582" s="27" t="n">
        <x:f>INT(B1582)</x:f>
        <x:v>45389</x:v>
      </x:c>
      <x:c r="D1582" s="28" t="n">
        <x:f>MOD(B1582,1)</x:f>
        <x:v>0.6699884259287501</x:v>
      </x:c>
      <x:c r="E1582" s="29" t="n">
        <x:f>YEAR(B1582)</x:f>
        <x:v>2024</x:v>
      </x:c>
      <x:c r="F1582" s="29" t="n">
        <x:f>MONTH(B1582)</x:f>
        <x:v>4</x:v>
      </x:c>
      <x:c r="G1582" s="30" t="n">
        <x:v>-23.03</x:v>
      </x:c>
      <x:c r="H1582" s="30" t="n">
        <x:v>-70.7</x:v>
      </x:c>
      <x:c r="I1582" s="29" t="n">
        <x:v>37</x:v>
      </x:c>
      <x:c r="J1582" s="31" t="n">
        <x:v>4.7</x:v>
      </x:c>
      <x:c r="K1582" s="25" t="str">
        <x:f>IF(J1582&gt;=7,"Muy fuerte (&gt;=7)",IF(J1582&gt;=6,"Fuerte (6-6.9)",IF(J1582&gt;=5,"Moderado alto (5-5.9)",IF(J1582&gt;=4,"Moderado (4-4.9)","Menor a 4"))))</x:f>
        <x:v>Moderado (4-4.9)</x:v>
      </x:c>
      <x:c r="L1582" s="25" t="str">
        <x:f>IF(I1582&lt;70,"Superficial (&lt;70 km)",IF(I1582&lt;=300,"Intermedio (70-300 km)","Profundo (&gt;300 km)"))</x:f>
        <x:v>Superficial (&lt;70 km)</x:v>
      </x:c>
      <x:c r="M1582" s="25" t="str">
        <x:f>IF(J1582&gt;=5,"Sí","No")</x:f>
        <x:v>No</x:v>
      </x:c>
      <x:c r="N1582" s="25" t="str">
        <x:f>IF(J1582&gt;=6,"Sí","No")</x:f>
        <x:v>No</x:v>
      </x:c>
      <x:c r="O1582" s="25" t="str">
        <x:v>Pendiente: asignar con R/sf</x:v>
      </x:c>
    </x:row>
    <x:row r="1583">
      <x:c r="A1583" s="25" t="n">
        <x:v>1582</x:v>
      </x:c>
      <x:c r="B1583" s="26" t="n">
        <x:v>44854.865324074075</x:v>
      </x:c>
      <x:c r="C1583" s="27" t="n">
        <x:f>INT(B1583)</x:f>
        <x:v>44854</x:v>
      </x:c>
      <x:c r="D1583" s="28" t="n">
        <x:f>MOD(B1583,1)</x:f>
        <x:v>0.8653240740750334</x:v>
      </x:c>
      <x:c r="E1583" s="29" t="n">
        <x:f>YEAR(B1583)</x:f>
        <x:v>2022</x:v>
      </x:c>
      <x:c r="F1583" s="29" t="n">
        <x:f>MONTH(B1583)</x:f>
        <x:v>10</x:v>
      </x:c>
      <x:c r="G1583" s="30" t="n">
        <x:v>-24.01</x:v>
      </x:c>
      <x:c r="H1583" s="30" t="n">
        <x:v>-70.53</x:v>
      </x:c>
      <x:c r="I1583" s="29" t="n">
        <x:v>51</x:v>
      </x:c>
      <x:c r="J1583" s="31" t="n">
        <x:v>4.4</x:v>
      </x:c>
      <x:c r="K1583" s="25" t="str">
        <x:f>IF(J1583&gt;=7,"Muy fuerte (&gt;=7)",IF(J1583&gt;=6,"Fuerte (6-6.9)",IF(J1583&gt;=5,"Moderado alto (5-5.9)",IF(J1583&gt;=4,"Moderado (4-4.9)","Menor a 4"))))</x:f>
        <x:v>Moderado (4-4.9)</x:v>
      </x:c>
      <x:c r="L1583" s="25" t="str">
        <x:f>IF(I1583&lt;70,"Superficial (&lt;70 km)",IF(I1583&lt;=300,"Intermedio (70-300 km)","Profundo (&gt;300 km)"))</x:f>
        <x:v>Superficial (&lt;70 km)</x:v>
      </x:c>
      <x:c r="M1583" s="25" t="str">
        <x:f>IF(J1583&gt;=5,"Sí","No")</x:f>
        <x:v>No</x:v>
      </x:c>
      <x:c r="N1583" s="25" t="str">
        <x:f>IF(J1583&gt;=6,"Sí","No")</x:f>
        <x:v>No</x:v>
      </x:c>
      <x:c r="O1583" s="25" t="str">
        <x:v>Pendiente: asignar con R/sf</x:v>
      </x:c>
    </x:row>
    <x:row r="1584">
      <x:c r="A1584" s="25" t="n">
        <x:v>1583</x:v>
      </x:c>
      <x:c r="B1584" s="26" t="n">
        <x:v>45151.657743055555</x:v>
      </x:c>
      <x:c r="C1584" s="27" t="n">
        <x:f>INT(B1584)</x:f>
        <x:v>45151</x:v>
      </x:c>
      <x:c r="D1584" s="28" t="n">
        <x:f>MOD(B1584,1)</x:f>
        <x:v>0.6577430555553292</x:v>
      </x:c>
      <x:c r="E1584" s="29" t="n">
        <x:f>YEAR(B1584)</x:f>
        <x:v>2023</x:v>
      </x:c>
      <x:c r="F1584" s="29" t="n">
        <x:f>MONTH(B1584)</x:f>
        <x:v>8</x:v>
      </x:c>
      <x:c r="G1584" s="30" t="n">
        <x:v>-23.46</x:v>
      </x:c>
      <x:c r="H1584" s="30" t="n">
        <x:v>-70.46</x:v>
      </x:c>
      <x:c r="I1584" s="29" t="n">
        <x:v>52</x:v>
      </x:c>
      <x:c r="J1584" s="31" t="n">
        <x:v>3.7</x:v>
      </x:c>
      <x:c r="K1584" s="25" t="str">
        <x:f>IF(J1584&gt;=7,"Muy fuerte (&gt;=7)",IF(J1584&gt;=6,"Fuerte (6-6.9)",IF(J1584&gt;=5,"Moderado alto (5-5.9)",IF(J1584&gt;=4,"Moderado (4-4.9)","Menor a 4"))))</x:f>
        <x:v>Menor a 4</x:v>
      </x:c>
      <x:c r="L1584" s="25" t="str">
        <x:f>IF(I1584&lt;70,"Superficial (&lt;70 km)",IF(I1584&lt;=300,"Intermedio (70-300 km)","Profundo (&gt;300 km)"))</x:f>
        <x:v>Superficial (&lt;70 km)</x:v>
      </x:c>
      <x:c r="M1584" s="25" t="str">
        <x:f>IF(J1584&gt;=5,"Sí","No")</x:f>
        <x:v>No</x:v>
      </x:c>
      <x:c r="N1584" s="25" t="str">
        <x:f>IF(J1584&gt;=6,"Sí","No")</x:f>
        <x:v>No</x:v>
      </x:c>
      <x:c r="O1584" s="25" t="str">
        <x:v>Pendiente: asignar con R/sf</x:v>
      </x:c>
    </x:row>
    <x:row r="1585">
      <x:c r="A1585" s="25" t="n">
        <x:v>1584</x:v>
      </x:c>
      <x:c r="B1585" s="26" t="n">
        <x:v>45046.69386574074</x:v>
      </x:c>
      <x:c r="C1585" s="27" t="n">
        <x:f>INT(B1585)</x:f>
        <x:v>45046</x:v>
      </x:c>
      <x:c r="D1585" s="28" t="n">
        <x:f>MOD(B1585,1)</x:f>
        <x:v>0.6938657407372375</x:v>
      </x:c>
      <x:c r="E1585" s="29" t="n">
        <x:f>YEAR(B1585)</x:f>
        <x:v>2023</x:v>
      </x:c>
      <x:c r="F1585" s="29" t="n">
        <x:f>MONTH(B1585)</x:f>
        <x:v>4</x:v>
      </x:c>
      <x:c r="G1585" s="30" t="n">
        <x:v>-23.34</x:v>
      </x:c>
      <x:c r="H1585" s="30" t="n">
        <x:v>-69.92</x:v>
      </x:c>
      <x:c r="I1585" s="29" t="n">
        <x:v>49</x:v>
      </x:c>
      <x:c r="J1585" s="31" t="n">
        <x:v>4.6</x:v>
      </x:c>
      <x:c r="K1585" s="25" t="str">
        <x:f>IF(J1585&gt;=7,"Muy fuerte (&gt;=7)",IF(J1585&gt;=6,"Fuerte (6-6.9)",IF(J1585&gt;=5,"Moderado alto (5-5.9)",IF(J1585&gt;=4,"Moderado (4-4.9)","Menor a 4"))))</x:f>
        <x:v>Moderado (4-4.9)</x:v>
      </x:c>
      <x:c r="L1585" s="25" t="str">
        <x:f>IF(I1585&lt;70,"Superficial (&lt;70 km)",IF(I1585&lt;=300,"Intermedio (70-300 km)","Profundo (&gt;300 km)"))</x:f>
        <x:v>Superficial (&lt;70 km)</x:v>
      </x:c>
      <x:c r="M1585" s="25" t="str">
        <x:f>IF(J1585&gt;=5,"Sí","No")</x:f>
        <x:v>No</x:v>
      </x:c>
      <x:c r="N1585" s="25" t="str">
        <x:f>IF(J1585&gt;=6,"Sí","No")</x:f>
        <x:v>No</x:v>
      </x:c>
      <x:c r="O1585" s="25" t="str">
        <x:v>Pendiente: asignar con R/sf</x:v>
      </x:c>
    </x:row>
    <x:row r="1586">
      <x:c r="A1586" s="25" t="n">
        <x:v>1585</x:v>
      </x:c>
      <x:c r="B1586" s="26" t="n">
        <x:v>45384.82255787037</x:v>
      </x:c>
      <x:c r="C1586" s="27" t="n">
        <x:f>INT(B1586)</x:f>
        <x:v>45384</x:v>
      </x:c>
      <x:c r="D1586" s="28" t="n">
        <x:f>MOD(B1586,1)</x:f>
        <x:v>0.8225578703713836</x:v>
      </x:c>
      <x:c r="E1586" s="29" t="n">
        <x:f>YEAR(B1586)</x:f>
        <x:v>2024</x:v>
      </x:c>
      <x:c r="F1586" s="29" t="n">
        <x:f>MONTH(B1586)</x:f>
        <x:v>4</x:v>
      </x:c>
      <x:c r="G1586" s="30" t="n">
        <x:v>-32.63</x:v>
      </x:c>
      <x:c r="H1586" s="30" t="n">
        <x:v>-71.55</x:v>
      </x:c>
      <x:c r="I1586" s="29" t="n">
        <x:v>34</x:v>
      </x:c>
      <x:c r="J1586" s="31" t="n">
        <x:v>3</x:v>
      </x:c>
      <x:c r="K1586" s="25" t="str">
        <x:f>IF(J1586&gt;=7,"Muy fuerte (&gt;=7)",IF(J1586&gt;=6,"Fuerte (6-6.9)",IF(J1586&gt;=5,"Moderado alto (5-5.9)",IF(J1586&gt;=4,"Moderado (4-4.9)","Menor a 4"))))</x:f>
        <x:v>Menor a 4</x:v>
      </x:c>
      <x:c r="L1586" s="25" t="str">
        <x:f>IF(I1586&lt;70,"Superficial (&lt;70 km)",IF(I1586&lt;=300,"Intermedio (70-300 km)","Profundo (&gt;300 km)"))</x:f>
        <x:v>Superficial (&lt;70 km)</x:v>
      </x:c>
      <x:c r="M1586" s="25" t="str">
        <x:f>IF(J1586&gt;=5,"Sí","No")</x:f>
        <x:v>No</x:v>
      </x:c>
      <x:c r="N1586" s="25" t="str">
        <x:f>IF(J1586&gt;=6,"Sí","No")</x:f>
        <x:v>No</x:v>
      </x:c>
      <x:c r="O1586" s="25" t="str">
        <x:v>Pendiente: asignar con R/sf</x:v>
      </x:c>
    </x:row>
    <x:row r="1587">
      <x:c r="A1587" s="25" t="n">
        <x:v>1586</x:v>
      </x:c>
      <x:c r="B1587" s="26" t="n">
        <x:v>45043.09645833333</x:v>
      </x:c>
      <x:c r="C1587" s="27" t="n">
        <x:f>INT(B1587)</x:f>
        <x:v>45043</x:v>
      </x:c>
      <x:c r="D1587" s="28" t="n">
        <x:f>MOD(B1587,1)</x:f>
        <x:v>0.09645833333343035</x:v>
      </x:c>
      <x:c r="E1587" s="29" t="n">
        <x:f>YEAR(B1587)</x:f>
        <x:v>2023</x:v>
      </x:c>
      <x:c r="F1587" s="29" t="n">
        <x:f>MONTH(B1587)</x:f>
        <x:v>4</x:v>
      </x:c>
      <x:c r="G1587" s="30" t="n">
        <x:v>-21.92</x:v>
      </x:c>
      <x:c r="H1587" s="30" t="n">
        <x:v>-70.39</x:v>
      </x:c>
      <x:c r="I1587" s="29" t="n">
        <x:v>26</x:v>
      </x:c>
      <x:c r="J1587" s="31" t="n">
        <x:v>3.2</x:v>
      </x:c>
      <x:c r="K1587" s="25" t="str">
        <x:f>IF(J1587&gt;=7,"Muy fuerte (&gt;=7)",IF(J1587&gt;=6,"Fuerte (6-6.9)",IF(J1587&gt;=5,"Moderado alto (5-5.9)",IF(J1587&gt;=4,"Moderado (4-4.9)","Menor a 4"))))</x:f>
        <x:v>Menor a 4</x:v>
      </x:c>
      <x:c r="L1587" s="25" t="str">
        <x:f>IF(I1587&lt;70,"Superficial (&lt;70 km)",IF(I1587&lt;=300,"Intermedio (70-300 km)","Profundo (&gt;300 km)"))</x:f>
        <x:v>Superficial (&lt;70 km)</x:v>
      </x:c>
      <x:c r="M1587" s="25" t="str">
        <x:f>IF(J1587&gt;=5,"Sí","No")</x:f>
        <x:v>No</x:v>
      </x:c>
      <x:c r="N1587" s="25" t="str">
        <x:f>IF(J1587&gt;=6,"Sí","No")</x:f>
        <x:v>No</x:v>
      </x:c>
      <x:c r="O1587" s="25" t="str">
        <x:v>Pendiente: asignar con R/sf</x:v>
      </x:c>
    </x:row>
    <x:row r="1588">
      <x:c r="A1588" s="25" t="n">
        <x:v>1587</x:v>
      </x:c>
      <x:c r="B1588" s="26" t="n">
        <x:v>45061.94936342593</x:v>
      </x:c>
      <x:c r="C1588" s="27" t="n">
        <x:f>INT(B1588)</x:f>
        <x:v>45061</x:v>
      </x:c>
      <x:c r="D1588" s="28" t="n">
        <x:f>MOD(B1588,1)</x:f>
        <x:v>0.9493634259270038</x:v>
      </x:c>
      <x:c r="E1588" s="29" t="n">
        <x:f>YEAR(B1588)</x:f>
        <x:v>2023</x:v>
      </x:c>
      <x:c r="F1588" s="29" t="n">
        <x:f>MONTH(B1588)</x:f>
        <x:v>5</x:v>
      </x:c>
      <x:c r="G1588" s="30" t="n">
        <x:v>-22.16</x:v>
      </x:c>
      <x:c r="H1588" s="30" t="n">
        <x:v>-69.81</x:v>
      </x:c>
      <x:c r="I1588" s="29" t="n">
        <x:v>50</x:v>
      </x:c>
      <x:c r="J1588" s="31" t="n">
        <x:v>3.5</x:v>
      </x:c>
      <x:c r="K1588" s="25" t="str">
        <x:f>IF(J1588&gt;=7,"Muy fuerte (&gt;=7)",IF(J1588&gt;=6,"Fuerte (6-6.9)",IF(J1588&gt;=5,"Moderado alto (5-5.9)",IF(J1588&gt;=4,"Moderado (4-4.9)","Menor a 4"))))</x:f>
        <x:v>Menor a 4</x:v>
      </x:c>
      <x:c r="L1588" s="25" t="str">
        <x:f>IF(I1588&lt;70,"Superficial (&lt;70 km)",IF(I1588&lt;=300,"Intermedio (70-300 km)","Profundo (&gt;300 km)"))</x:f>
        <x:v>Superficial (&lt;70 km)</x:v>
      </x:c>
      <x:c r="M1588" s="25" t="str">
        <x:f>IF(J1588&gt;=5,"Sí","No")</x:f>
        <x:v>No</x:v>
      </x:c>
      <x:c r="N1588" s="25" t="str">
        <x:f>IF(J1588&gt;=6,"Sí","No")</x:f>
        <x:v>No</x:v>
      </x:c>
      <x:c r="O1588" s="25" t="str">
        <x:v>Pendiente: asignar con R/sf</x:v>
      </x:c>
    </x:row>
    <x:row r="1589">
      <x:c r="A1589" s="25" t="n">
        <x:v>1588</x:v>
      </x:c>
      <x:c r="B1589" s="26" t="n">
        <x:v>45082.89858796296</x:v>
      </x:c>
      <x:c r="C1589" s="27" t="n">
        <x:f>INT(B1589)</x:f>
        <x:v>45082</x:v>
      </x:c>
      <x:c r="D1589" s="28" t="n">
        <x:f>MOD(B1589,1)</x:f>
        <x:v>0.8985879629617557</x:v>
      </x:c>
      <x:c r="E1589" s="29" t="n">
        <x:f>YEAR(B1589)</x:f>
        <x:v>2023</x:v>
      </x:c>
      <x:c r="F1589" s="29" t="n">
        <x:f>MONTH(B1589)</x:f>
        <x:v>6</x:v>
      </x:c>
      <x:c r="G1589" s="30" t="n">
        <x:v>-21.42</x:v>
      </x:c>
      <x:c r="H1589" s="30" t="n">
        <x:v>-69.95</x:v>
      </x:c>
      <x:c r="I1589" s="29" t="n">
        <x:v>79</x:v>
      </x:c>
      <x:c r="J1589" s="31" t="n">
        <x:v>4.3</x:v>
      </x:c>
      <x:c r="K1589" s="25" t="str">
        <x:f>IF(J1589&gt;=7,"Muy fuerte (&gt;=7)",IF(J1589&gt;=6,"Fuerte (6-6.9)",IF(J1589&gt;=5,"Moderado alto (5-5.9)",IF(J1589&gt;=4,"Moderado (4-4.9)","Menor a 4"))))</x:f>
        <x:v>Moderado (4-4.9)</x:v>
      </x:c>
      <x:c r="L1589" s="25" t="str">
        <x:f>IF(I1589&lt;70,"Superficial (&lt;70 km)",IF(I1589&lt;=300,"Intermedio (70-300 km)","Profundo (&gt;300 km)"))</x:f>
        <x:v>Intermedio (70-300 km)</x:v>
      </x:c>
      <x:c r="M1589" s="25" t="str">
        <x:f>IF(J1589&gt;=5,"Sí","No")</x:f>
        <x:v>No</x:v>
      </x:c>
      <x:c r="N1589" s="25" t="str">
        <x:f>IF(J1589&gt;=6,"Sí","No")</x:f>
        <x:v>No</x:v>
      </x:c>
      <x:c r="O1589" s="25" t="str">
        <x:v>Pendiente: asignar con R/sf</x:v>
      </x:c>
    </x:row>
    <x:row r="1590">
      <x:c r="A1590" s="25" t="n">
        <x:v>1589</x:v>
      </x:c>
      <x:c r="B1590" s="26" t="n">
        <x:v>45150.61373842593</x:v>
      </x:c>
      <x:c r="C1590" s="27" t="n">
        <x:f>INT(B1590)</x:f>
        <x:v>45150</x:v>
      </x:c>
      <x:c r="D1590" s="28" t="n">
        <x:f>MOD(B1590,1)</x:f>
        <x:v>0.6137384259272949</x:v>
      </x:c>
      <x:c r="E1590" s="29" t="n">
        <x:f>YEAR(B1590)</x:f>
        <x:v>2023</x:v>
      </x:c>
      <x:c r="F1590" s="29" t="n">
        <x:f>MONTH(B1590)</x:f>
        <x:v>8</x:v>
      </x:c>
      <x:c r="G1590" s="30" t="n">
        <x:v>-22.26</x:v>
      </x:c>
      <x:c r="H1590" s="30" t="n">
        <x:v>-70.46</x:v>
      </x:c>
      <x:c r="I1590" s="29" t="n">
        <x:v>28</x:v>
      </x:c>
      <x:c r="J1590" s="31" t="n">
        <x:v>3.1</x:v>
      </x:c>
      <x:c r="K1590" s="25" t="str">
        <x:f>IF(J1590&gt;=7,"Muy fuerte (&gt;=7)",IF(J1590&gt;=6,"Fuerte (6-6.9)",IF(J1590&gt;=5,"Moderado alto (5-5.9)",IF(J1590&gt;=4,"Moderado (4-4.9)","Menor a 4"))))</x:f>
        <x:v>Menor a 4</x:v>
      </x:c>
      <x:c r="L1590" s="25" t="str">
        <x:f>IF(I1590&lt;70,"Superficial (&lt;70 km)",IF(I1590&lt;=300,"Intermedio (70-300 km)","Profundo (&gt;300 km)"))</x:f>
        <x:v>Superficial (&lt;70 km)</x:v>
      </x:c>
      <x:c r="M1590" s="25" t="str">
        <x:f>IF(J1590&gt;=5,"Sí","No")</x:f>
        <x:v>No</x:v>
      </x:c>
      <x:c r="N1590" s="25" t="str">
        <x:f>IF(J1590&gt;=6,"Sí","No")</x:f>
        <x:v>No</x:v>
      </x:c>
      <x:c r="O1590" s="25" t="str">
        <x:v>Pendiente: asignar con R/sf</x:v>
      </x:c>
    </x:row>
    <x:row r="1591">
      <x:c r="A1591" s="25" t="n">
        <x:v>1590</x:v>
      </x:c>
      <x:c r="B1591" s="26" t="n">
        <x:v>45356.854317129626</x:v>
      </x:c>
      <x:c r="C1591" s="27" t="n">
        <x:f>INT(B1591)</x:f>
        <x:v>45356</x:v>
      </x:c>
      <x:c r="D1591" s="28" t="n">
        <x:f>MOD(B1591,1)</x:f>
        <x:v>0.854317129625997</x:v>
      </x:c>
      <x:c r="E1591" s="29" t="n">
        <x:f>YEAR(B1591)</x:f>
        <x:v>2024</x:v>
      </x:c>
      <x:c r="F1591" s="29" t="n">
        <x:f>MONTH(B1591)</x:f>
        <x:v>3</x:v>
      </x:c>
      <x:c r="G1591" s="30" t="n">
        <x:v>-22.27</x:v>
      </x:c>
      <x:c r="H1591" s="30" t="n">
        <x:v>-70.26</x:v>
      </x:c>
      <x:c r="I1591" s="29" t="n">
        <x:v>30</x:v>
      </x:c>
      <x:c r="J1591" s="31" t="n">
        <x:v>4.2</x:v>
      </x:c>
      <x:c r="K1591" s="25" t="str">
        <x:f>IF(J1591&gt;=7,"Muy fuerte (&gt;=7)",IF(J1591&gt;=6,"Fuerte (6-6.9)",IF(J1591&gt;=5,"Moderado alto (5-5.9)",IF(J1591&gt;=4,"Moderado (4-4.9)","Menor a 4"))))</x:f>
        <x:v>Moderado (4-4.9)</x:v>
      </x:c>
      <x:c r="L1591" s="25" t="str">
        <x:f>IF(I1591&lt;70,"Superficial (&lt;70 km)",IF(I1591&lt;=300,"Intermedio (70-300 km)","Profundo (&gt;300 km)"))</x:f>
        <x:v>Superficial (&lt;70 km)</x:v>
      </x:c>
      <x:c r="M1591" s="25" t="str">
        <x:f>IF(J1591&gt;=5,"Sí","No")</x:f>
        <x:v>No</x:v>
      </x:c>
      <x:c r="N1591" s="25" t="str">
        <x:f>IF(J1591&gt;=6,"Sí","No")</x:f>
        <x:v>No</x:v>
      </x:c>
      <x:c r="O1591" s="25" t="str">
        <x:v>Pendiente: asignar con R/sf</x:v>
      </x:c>
    </x:row>
    <x:row r="1592">
      <x:c r="A1592" s="25" t="n">
        <x:v>1591</x:v>
      </x:c>
      <x:c r="B1592" s="26" t="n">
        <x:v>45279.02631944444</x:v>
      </x:c>
      <x:c r="C1592" s="27" t="n">
        <x:f>INT(B1592)</x:f>
        <x:v>45279</x:v>
      </x:c>
      <x:c r="D1592" s="28" t="n">
        <x:f>MOD(B1592,1)</x:f>
        <x:v>0.026319444441469386</x:v>
      </x:c>
      <x:c r="E1592" s="29" t="n">
        <x:f>YEAR(B1592)</x:f>
        <x:v>2023</x:v>
      </x:c>
      <x:c r="F1592" s="29" t="n">
        <x:f>MONTH(B1592)</x:f>
        <x:v>12</x:v>
      </x:c>
      <x:c r="G1592" s="30" t="n">
        <x:v>-22.02</x:v>
      </x:c>
      <x:c r="H1592" s="30" t="n">
        <x:v>-70.26</x:v>
      </x:c>
      <x:c r="I1592" s="29" t="n">
        <x:v>36</x:v>
      </x:c>
      <x:c r="J1592" s="31" t="n">
        <x:v>3</x:v>
      </x:c>
      <x:c r="K1592" s="25" t="str">
        <x:f>IF(J1592&gt;=7,"Muy fuerte (&gt;=7)",IF(J1592&gt;=6,"Fuerte (6-6.9)",IF(J1592&gt;=5,"Moderado alto (5-5.9)",IF(J1592&gt;=4,"Moderado (4-4.9)","Menor a 4"))))</x:f>
        <x:v>Menor a 4</x:v>
      </x:c>
      <x:c r="L1592" s="25" t="str">
        <x:f>IF(I1592&lt;70,"Superficial (&lt;70 km)",IF(I1592&lt;=300,"Intermedio (70-300 km)","Profundo (&gt;300 km)"))</x:f>
        <x:v>Superficial (&lt;70 km)</x:v>
      </x:c>
      <x:c r="M1592" s="25" t="str">
        <x:f>IF(J1592&gt;=5,"Sí","No")</x:f>
        <x:v>No</x:v>
      </x:c>
      <x:c r="N1592" s="25" t="str">
        <x:f>IF(J1592&gt;=6,"Sí","No")</x:f>
        <x:v>No</x:v>
      </x:c>
      <x:c r="O1592" s="25" t="str">
        <x:v>Pendiente: asignar con R/sf</x:v>
      </x:c>
    </x:row>
    <x:row r="1593">
      <x:c r="A1593" s="25" t="n">
        <x:v>1592</x:v>
      </x:c>
      <x:c r="B1593" s="26" t="n">
        <x:v>45245.785150462965</x:v>
      </x:c>
      <x:c r="C1593" s="27" t="n">
        <x:f>INT(B1593)</x:f>
        <x:v>45245</x:v>
      </x:c>
      <x:c r="D1593" s="28" t="n">
        <x:f>MOD(B1593,1)</x:f>
        <x:v>0.7851504629652482</x:v>
      </x:c>
      <x:c r="E1593" s="29" t="n">
        <x:f>YEAR(B1593)</x:f>
        <x:v>2023</x:v>
      </x:c>
      <x:c r="F1593" s="29" t="n">
        <x:f>MONTH(B1593)</x:f>
        <x:v>11</x:v>
      </x:c>
      <x:c r="G1593" s="30" t="n">
        <x:v>-24.11</x:v>
      </x:c>
      <x:c r="H1593" s="30" t="n">
        <x:v>-70.06</x:v>
      </x:c>
      <x:c r="I1593" s="29" t="n">
        <x:v>50</x:v>
      </x:c>
      <x:c r="J1593" s="31" t="n">
        <x:v>4.3</x:v>
      </x:c>
      <x:c r="K1593" s="25" t="str">
        <x:f>IF(J1593&gt;=7,"Muy fuerte (&gt;=7)",IF(J1593&gt;=6,"Fuerte (6-6.9)",IF(J1593&gt;=5,"Moderado alto (5-5.9)",IF(J1593&gt;=4,"Moderado (4-4.9)","Menor a 4"))))</x:f>
        <x:v>Moderado (4-4.9)</x:v>
      </x:c>
      <x:c r="L1593" s="25" t="str">
        <x:f>IF(I1593&lt;70,"Superficial (&lt;70 km)",IF(I1593&lt;=300,"Intermedio (70-300 km)","Profundo (&gt;300 km)"))</x:f>
        <x:v>Superficial (&lt;70 km)</x:v>
      </x:c>
      <x:c r="M1593" s="25" t="str">
        <x:f>IF(J1593&gt;=5,"Sí","No")</x:f>
        <x:v>No</x:v>
      </x:c>
      <x:c r="N1593" s="25" t="str">
        <x:f>IF(J1593&gt;=6,"Sí","No")</x:f>
        <x:v>No</x:v>
      </x:c>
      <x:c r="O1593" s="25" t="str">
        <x:v>Pendiente: asignar con R/sf</x:v>
      </x:c>
    </x:row>
    <x:row r="1594">
      <x:c r="A1594" s="25" t="n">
        <x:v>1593</x:v>
      </x:c>
      <x:c r="B1594" s="26" t="n">
        <x:v>45207.311747685184</x:v>
      </x:c>
      <x:c r="C1594" s="27" t="n">
        <x:f>INT(B1594)</x:f>
        <x:v>45207</x:v>
      </x:c>
      <x:c r="D1594" s="28" t="n">
        <x:f>MOD(B1594,1)</x:f>
        <x:v>0.3117476851839456</x:v>
      </x:c>
      <x:c r="E1594" s="29" t="n">
        <x:f>YEAR(B1594)</x:f>
        <x:v>2023</x:v>
      </x:c>
      <x:c r="F1594" s="29" t="n">
        <x:f>MONTH(B1594)</x:f>
        <x:v>10</x:v>
      </x:c>
      <x:c r="G1594" s="30" t="n">
        <x:v>-21.24</x:v>
      </x:c>
      <x:c r="H1594" s="30" t="n">
        <x:v>-69.7</x:v>
      </x:c>
      <x:c r="I1594" s="29" t="n">
        <x:v>68</x:v>
      </x:c>
      <x:c r="J1594" s="31" t="n">
        <x:v>5.1</x:v>
      </x:c>
      <x:c r="K1594" s="25" t="str">
        <x:f>IF(J1594&gt;=7,"Muy fuerte (&gt;=7)",IF(J1594&gt;=6,"Fuerte (6-6.9)",IF(J1594&gt;=5,"Moderado alto (5-5.9)",IF(J1594&gt;=4,"Moderado (4-4.9)","Menor a 4"))))</x:f>
        <x:v>Moderado alto (5-5.9)</x:v>
      </x:c>
      <x:c r="L1594" s="25" t="str">
        <x:f>IF(I1594&lt;70,"Superficial (&lt;70 km)",IF(I1594&lt;=300,"Intermedio (70-300 km)","Profundo (&gt;300 km)"))</x:f>
        <x:v>Superficial (&lt;70 km)</x:v>
      </x:c>
      <x:c r="M1594" s="25" t="str">
        <x:f>IF(J1594&gt;=5,"Sí","No")</x:f>
        <x:v>Sí</x:v>
      </x:c>
      <x:c r="N1594" s="25" t="str">
        <x:f>IF(J1594&gt;=6,"Sí","No")</x:f>
        <x:v>No</x:v>
      </x:c>
      <x:c r="O1594" s="25" t="str">
        <x:v>Pendiente: asignar con R/sf</x:v>
      </x:c>
    </x:row>
    <x:row r="1595">
      <x:c r="A1595" s="25" t="n">
        <x:v>1594</x:v>
      </x:c>
      <x:c r="B1595" s="26" t="n">
        <x:v>45209.417719907404</x:v>
      </x:c>
      <x:c r="C1595" s="27" t="n">
        <x:f>INT(B1595)</x:f>
        <x:v>45209</x:v>
      </x:c>
      <x:c r="D1595" s="28" t="n">
        <x:f>MOD(B1595,1)</x:f>
        <x:v>0.41771990740380716</x:v>
      </x:c>
      <x:c r="E1595" s="29" t="n">
        <x:f>YEAR(B1595)</x:f>
        <x:v>2023</x:v>
      </x:c>
      <x:c r="F1595" s="29" t="n">
        <x:f>MONTH(B1595)</x:f>
        <x:v>10</x:v>
      </x:c>
      <x:c r="G1595" s="30" t="n">
        <x:v>-22.86</x:v>
      </x:c>
      <x:c r="H1595" s="30" t="n">
        <x:v>-66.39</x:v>
      </x:c>
      <x:c r="I1595" s="29" t="n">
        <x:v>245</x:v>
      </x:c>
      <x:c r="J1595" s="31" t="n">
        <x:v>6.4</x:v>
      </x:c>
      <x:c r="K1595" s="25" t="str">
        <x:f>IF(J1595&gt;=7,"Muy fuerte (&gt;=7)",IF(J1595&gt;=6,"Fuerte (6-6.9)",IF(J1595&gt;=5,"Moderado alto (5-5.9)",IF(J1595&gt;=4,"Moderado (4-4.9)","Menor a 4"))))</x:f>
        <x:v>Fuerte (6-6.9)</x:v>
      </x:c>
      <x:c r="L1595" s="25" t="str">
        <x:f>IF(I1595&lt;70,"Superficial (&lt;70 km)",IF(I1595&lt;=300,"Intermedio (70-300 km)","Profundo (&gt;300 km)"))</x:f>
        <x:v>Intermedio (70-300 km)</x:v>
      </x:c>
      <x:c r="M1595" s="25" t="str">
        <x:f>IF(J1595&gt;=5,"Sí","No")</x:f>
        <x:v>Sí</x:v>
      </x:c>
      <x:c r="N1595" s="25" t="str">
        <x:f>IF(J1595&gt;=6,"Sí","No")</x:f>
        <x:v>Sí</x:v>
      </x:c>
      <x:c r="O1595" s="25" t="str">
        <x:v>Pendiente: asignar con R/sf</x:v>
      </x:c>
    </x:row>
    <x:row r="1596">
      <x:c r="A1596" s="25" t="n">
        <x:v>1595</x:v>
      </x:c>
      <x:c r="B1596" s="26" t="n">
        <x:v>45215.773148148146</x:v>
      </x:c>
      <x:c r="C1596" s="27" t="n">
        <x:f>INT(B1596)</x:f>
        <x:v>45215</x:v>
      </x:c>
      <x:c r="D1596" s="28" t="n">
        <x:f>MOD(B1596,1)</x:f>
        <x:v>0.7731481481459923</x:v>
      </x:c>
      <x:c r="E1596" s="29" t="n">
        <x:f>YEAR(B1596)</x:f>
        <x:v>2023</x:v>
      </x:c>
      <x:c r="F1596" s="29" t="n">
        <x:f>MONTH(B1596)</x:f>
        <x:v>10</x:v>
      </x:c>
      <x:c r="G1596" s="30" t="n">
        <x:v>-24.62</x:v>
      </x:c>
      <x:c r="H1596" s="30" t="n">
        <x:v>-67.23</x:v>
      </x:c>
      <x:c r="I1596" s="29" t="n">
        <x:v>186</x:v>
      </x:c>
      <x:c r="J1596" s="31" t="n">
        <x:v>5.3</x:v>
      </x:c>
      <x:c r="K1596" s="25" t="str">
        <x:f>IF(J1596&gt;=7,"Muy fuerte (&gt;=7)",IF(J1596&gt;=6,"Fuerte (6-6.9)",IF(J1596&gt;=5,"Moderado alto (5-5.9)",IF(J1596&gt;=4,"Moderado (4-4.9)","Menor a 4"))))</x:f>
        <x:v>Moderado alto (5-5.9)</x:v>
      </x:c>
      <x:c r="L1596" s="25" t="str">
        <x:f>IF(I1596&lt;70,"Superficial (&lt;70 km)",IF(I1596&lt;=300,"Intermedio (70-300 km)","Profundo (&gt;300 km)"))</x:f>
        <x:v>Intermedio (70-300 km)</x:v>
      </x:c>
      <x:c r="M1596" s="25" t="str">
        <x:f>IF(J1596&gt;=5,"Sí","No")</x:f>
        <x:v>Sí</x:v>
      </x:c>
      <x:c r="N1596" s="25" t="str">
        <x:f>IF(J1596&gt;=6,"Sí","No")</x:f>
        <x:v>No</x:v>
      </x:c>
      <x:c r="O1596" s="25" t="str">
        <x:v>Pendiente: asignar con R/sf</x:v>
      </x:c>
    </x:row>
    <x:row r="1597">
      <x:c r="A1597" s="25" t="n">
        <x:v>1596</x:v>
      </x:c>
      <x:c r="B1597" s="26" t="n">
        <x:v>45225.909421296295</x:v>
      </x:c>
      <x:c r="C1597" s="27" t="n">
        <x:f>INT(B1597)</x:f>
        <x:v>45225</x:v>
      </x:c>
      <x:c r="D1597" s="28" t="n">
        <x:f>MOD(B1597,1)</x:f>
        <x:v>0.9094212962954771</x:v>
      </x:c>
      <x:c r="E1597" s="29" t="n">
        <x:f>YEAR(B1597)</x:f>
        <x:v>2023</x:v>
      </x:c>
      <x:c r="F1597" s="29" t="n">
        <x:f>MONTH(B1597)</x:f>
        <x:v>10</x:v>
      </x:c>
      <x:c r="G1597" s="30" t="n">
        <x:v>-28.68</x:v>
      </x:c>
      <x:c r="H1597" s="30" t="n">
        <x:v>-70.34</x:v>
      </x:c>
      <x:c r="I1597" s="29" t="n">
        <x:v>90</x:v>
      </x:c>
      <x:c r="J1597" s="31" t="n">
        <x:v>5.6</x:v>
      </x:c>
      <x:c r="K1597" s="25" t="str">
        <x:f>IF(J1597&gt;=7,"Muy fuerte (&gt;=7)",IF(J1597&gt;=6,"Fuerte (6-6.9)",IF(J1597&gt;=5,"Moderado alto (5-5.9)",IF(J1597&gt;=4,"Moderado (4-4.9)","Menor a 4"))))</x:f>
        <x:v>Moderado alto (5-5.9)</x:v>
      </x:c>
      <x:c r="L1597" s="25" t="str">
        <x:f>IF(I1597&lt;70,"Superficial (&lt;70 km)",IF(I1597&lt;=300,"Intermedio (70-300 km)","Profundo (&gt;300 km)"))</x:f>
        <x:v>Intermedio (70-300 km)</x:v>
      </x:c>
      <x:c r="M1597" s="25" t="str">
        <x:f>IF(J1597&gt;=5,"Sí","No")</x:f>
        <x:v>Sí</x:v>
      </x:c>
      <x:c r="N1597" s="25" t="str">
        <x:f>IF(J1597&gt;=6,"Sí","No")</x:f>
        <x:v>No</x:v>
      </x:c>
      <x:c r="O1597" s="25" t="str">
        <x:v>Pendiente: asignar con R/sf</x:v>
      </x:c>
    </x:row>
    <x:row r="1598">
      <x:c r="A1598" s="25" t="n">
        <x:v>1597</x:v>
      </x:c>
      <x:c r="B1598" s="26" t="n">
        <x:v>45230.523414351854</x:v>
      </x:c>
      <x:c r="C1598" s="27" t="n">
        <x:f>INT(B1598)</x:f>
        <x:v>45230</x:v>
      </x:c>
      <x:c r="D1598" s="28" t="n">
        <x:f>MOD(B1598,1)</x:f>
        <x:v>0.5234143518537167</x:v>
      </x:c>
      <x:c r="E1598" s="29" t="n">
        <x:f>YEAR(B1598)</x:f>
        <x:v>2023</x:v>
      </x:c>
      <x:c r="F1598" s="29" t="n">
        <x:f>MONTH(B1598)</x:f>
        <x:v>10</x:v>
      </x:c>
      <x:c r="G1598" s="30" t="n">
        <x:v>-28.76</x:v>
      </x:c>
      <x:c r="H1598" s="30" t="n">
        <x:v>-71.51</x:v>
      </x:c>
      <x:c r="I1598" s="29" t="n">
        <x:v>45</x:v>
      </x:c>
      <x:c r="J1598" s="31" t="n">
        <x:v>6.5</x:v>
      </x:c>
      <x:c r="K1598" s="25" t="str">
        <x:f>IF(J1598&gt;=7,"Muy fuerte (&gt;=7)",IF(J1598&gt;=6,"Fuerte (6-6.9)",IF(J1598&gt;=5,"Moderado alto (5-5.9)",IF(J1598&gt;=4,"Moderado (4-4.9)","Menor a 4"))))</x:f>
        <x:v>Fuerte (6-6.9)</x:v>
      </x:c>
      <x:c r="L1598" s="25" t="str">
        <x:f>IF(I1598&lt;70,"Superficial (&lt;70 km)",IF(I1598&lt;=300,"Intermedio (70-300 km)","Profundo (&gt;300 km)"))</x:f>
        <x:v>Superficial (&lt;70 km)</x:v>
      </x:c>
      <x:c r="M1598" s="25" t="str">
        <x:f>IF(J1598&gt;=5,"Sí","No")</x:f>
        <x:v>Sí</x:v>
      </x:c>
      <x:c r="N1598" s="25" t="str">
        <x:f>IF(J1598&gt;=6,"Sí","No")</x:f>
        <x:v>Sí</x:v>
      </x:c>
      <x:c r="O1598" s="25" t="str">
        <x:v>Pendiente: asignar con R/sf</x:v>
      </x:c>
    </x:row>
    <x:row r="1599">
      <x:c r="A1599" s="25" t="n">
        <x:v>1598</x:v>
      </x:c>
      <x:c r="B1599" s="26" t="n">
        <x:v>45104.41829861111</x:v>
      </x:c>
      <x:c r="C1599" s="27" t="n">
        <x:f>INT(B1599)</x:f>
        <x:v>45104</x:v>
      </x:c>
      <x:c r="D1599" s="28" t="n">
        <x:f>MOD(B1599,1)</x:f>
        <x:v>0.41829861111182254</x:v>
      </x:c>
      <x:c r="E1599" s="29" t="n">
        <x:f>YEAR(B1599)</x:f>
        <x:v>2023</x:v>
      </x:c>
      <x:c r="F1599" s="29" t="n">
        <x:f>MONTH(B1599)</x:f>
        <x:v>6</x:v>
      </x:c>
      <x:c r="G1599" s="30" t="n">
        <x:v>-30.14</x:v>
      </x:c>
      <x:c r="H1599" s="30" t="n">
        <x:v>-71.27</x:v>
      </x:c>
      <x:c r="I1599" s="29" t="n">
        <x:v>72</x:v>
      </x:c>
      <x:c r="J1599" s="31" t="n">
        <x:v>4.6</x:v>
      </x:c>
      <x:c r="K1599" s="25" t="str">
        <x:f>IF(J1599&gt;=7,"Muy fuerte (&gt;=7)",IF(J1599&gt;=6,"Fuerte (6-6.9)",IF(J1599&gt;=5,"Moderado alto (5-5.9)",IF(J1599&gt;=4,"Moderado (4-4.9)","Menor a 4"))))</x:f>
        <x:v>Moderado (4-4.9)</x:v>
      </x:c>
      <x:c r="L1599" s="25" t="str">
        <x:f>IF(I1599&lt;70,"Superficial (&lt;70 km)",IF(I1599&lt;=300,"Intermedio (70-300 km)","Profundo (&gt;300 km)"))</x:f>
        <x:v>Intermedio (70-300 km)</x:v>
      </x:c>
      <x:c r="M1599" s="25" t="str">
        <x:f>IF(J1599&gt;=5,"Sí","No")</x:f>
        <x:v>No</x:v>
      </x:c>
      <x:c r="N1599" s="25" t="str">
        <x:f>IF(J1599&gt;=6,"Sí","No")</x:f>
        <x:v>No</x:v>
      </x:c>
      <x:c r="O1599" s="25" t="str">
        <x:v>Pendiente: asignar con R/sf</x:v>
      </x:c>
    </x:row>
    <x:row r="1600">
      <x:c r="A1600" s="25" t="n">
        <x:v>1599</x:v>
      </x:c>
      <x:c r="B1600" s="26" t="n">
        <x:v>45141.380057870374</x:v>
      </x:c>
      <x:c r="C1600" s="27" t="n">
        <x:f>INT(B1600)</x:f>
        <x:v>45141</x:v>
      </x:c>
      <x:c r="D1600" s="28" t="n">
        <x:f>MOD(B1600,1)</x:f>
        <x:v>0.38005787037400296</x:v>
      </x:c>
      <x:c r="E1600" s="29" t="n">
        <x:f>YEAR(B1600)</x:f>
        <x:v>2023</x:v>
      </x:c>
      <x:c r="F1600" s="29" t="n">
        <x:f>MONTH(B1600)</x:f>
        <x:v>8</x:v>
      </x:c>
      <x:c r="G1600" s="30" t="n">
        <x:v>-31.63</x:v>
      </x:c>
      <x:c r="H1600" s="30" t="n">
        <x:v>-71.67</x:v>
      </x:c>
      <x:c r="I1600" s="29" t="n">
        <x:v>41</x:v>
      </x:c>
      <x:c r="J1600" s="31" t="n">
        <x:v>4.4</x:v>
      </x:c>
      <x:c r="K1600" s="25" t="str">
        <x:f>IF(J1600&gt;=7,"Muy fuerte (&gt;=7)",IF(J1600&gt;=6,"Fuerte (6-6.9)",IF(J1600&gt;=5,"Moderado alto (5-5.9)",IF(J1600&gt;=4,"Moderado (4-4.9)","Menor a 4"))))</x:f>
        <x:v>Moderado (4-4.9)</x:v>
      </x:c>
      <x:c r="L1600" s="25" t="str">
        <x:f>IF(I1600&lt;70,"Superficial (&lt;70 km)",IF(I1600&lt;=300,"Intermedio (70-300 km)","Profundo (&gt;300 km)"))</x:f>
        <x:v>Superficial (&lt;70 km)</x:v>
      </x:c>
      <x:c r="M1600" s="25" t="str">
        <x:f>IF(J1600&gt;=5,"Sí","No")</x:f>
        <x:v>No</x:v>
      </x:c>
      <x:c r="N1600" s="25" t="str">
        <x:f>IF(J1600&gt;=6,"Sí","No")</x:f>
        <x:v>No</x:v>
      </x:c>
      <x:c r="O1600" s="25" t="str">
        <x:v>Pendiente: asignar con R/sf</x:v>
      </x:c>
    </x:row>
    <x:row r="1601">
      <x:c r="A1601" s="25" t="n">
        <x:v>1600</x:v>
      </x:c>
      <x:c r="B1601" s="26" t="n">
        <x:v>45173.25116898148</x:v>
      </x:c>
      <x:c r="C1601" s="27" t="n">
        <x:f>INT(B1601)</x:f>
        <x:v>45173</x:v>
      </x:c>
      <x:c r="D1601" s="28" t="n">
        <x:f>MOD(B1601,1)</x:f>
        <x:v>0.2511689814782585</x:v>
      </x:c>
      <x:c r="E1601" s="29" t="n">
        <x:f>YEAR(B1601)</x:f>
        <x:v>2023</x:v>
      </x:c>
      <x:c r="F1601" s="29" t="n">
        <x:f>MONTH(B1601)</x:f>
        <x:v>9</x:v>
      </x:c>
      <x:c r="G1601" s="30" t="n">
        <x:v>-31.81</x:v>
      </x:c>
      <x:c r="H1601" s="30" t="n">
        <x:v>-71.38</x:v>
      </x:c>
      <x:c r="I1601" s="29" t="n">
        <x:v>58</x:v>
      </x:c>
      <x:c r="J1601" s="31" t="n">
        <x:v>4</x:v>
      </x:c>
      <x:c r="K1601" s="25" t="str">
        <x:f>IF(J1601&gt;=7,"Muy fuerte (&gt;=7)",IF(J1601&gt;=6,"Fuerte (6-6.9)",IF(J1601&gt;=5,"Moderado alto (5-5.9)",IF(J1601&gt;=4,"Moderado (4-4.9)","Menor a 4"))))</x:f>
        <x:v>Moderado (4-4.9)</x:v>
      </x:c>
      <x:c r="L1601" s="25" t="str">
        <x:f>IF(I1601&lt;70,"Superficial (&lt;70 km)",IF(I1601&lt;=300,"Intermedio (70-300 km)","Profundo (&gt;300 km)"))</x:f>
        <x:v>Superficial (&lt;70 km)</x:v>
      </x:c>
      <x:c r="M1601" s="25" t="str">
        <x:f>IF(J1601&gt;=5,"Sí","No")</x:f>
        <x:v>No</x:v>
      </x:c>
      <x:c r="N1601" s="25" t="str">
        <x:f>IF(J1601&gt;=6,"Sí","No")</x:f>
        <x:v>No</x:v>
      </x:c>
      <x:c r="O1601" s="25" t="str">
        <x:v>Pendiente: asignar con R/sf</x:v>
      </x:c>
    </x:row>
    <x:row r="1602">
      <x:c r="A1602" s="25" t="n">
        <x:v>1601</x:v>
      </x:c>
      <x:c r="B1602" s="26" t="n">
        <x:v>45180.081087962964</x:v>
      </x:c>
      <x:c r="C1602" s="27" t="n">
        <x:f>INT(B1602)</x:f>
        <x:v>45180</x:v>
      </x:c>
      <x:c r="D1602" s="28" t="n">
        <x:f>MOD(B1602,1)</x:f>
        <x:v>0.08108796296437504</x:v>
      </x:c>
      <x:c r="E1602" s="29" t="n">
        <x:f>YEAR(B1602)</x:f>
        <x:v>2023</x:v>
      </x:c>
      <x:c r="F1602" s="29" t="n">
        <x:f>MONTH(B1602)</x:f>
        <x:v>9</x:v>
      </x:c>
      <x:c r="G1602" s="30" t="n">
        <x:v>-32.14</x:v>
      </x:c>
      <x:c r="H1602" s="30" t="n">
        <x:v>-71.73</x:v>
      </x:c>
      <x:c r="I1602" s="29" t="n">
        <x:v>23</x:v>
      </x:c>
      <x:c r="J1602" s="31" t="n">
        <x:v>4.5</x:v>
      </x:c>
      <x:c r="K1602" s="25" t="str">
        <x:f>IF(J1602&gt;=7,"Muy fuerte (&gt;=7)",IF(J1602&gt;=6,"Fuerte (6-6.9)",IF(J1602&gt;=5,"Moderado alto (5-5.9)",IF(J1602&gt;=4,"Moderado (4-4.9)","Menor a 4"))))</x:f>
        <x:v>Moderado (4-4.9)</x:v>
      </x:c>
      <x:c r="L1602" s="25" t="str">
        <x:f>IF(I1602&lt;70,"Superficial (&lt;70 km)",IF(I1602&lt;=300,"Intermedio (70-300 km)","Profundo (&gt;300 km)"))</x:f>
        <x:v>Superficial (&lt;70 km)</x:v>
      </x:c>
      <x:c r="M1602" s="25" t="str">
        <x:f>IF(J1602&gt;=5,"Sí","No")</x:f>
        <x:v>No</x:v>
      </x:c>
      <x:c r="N1602" s="25" t="str">
        <x:f>IF(J1602&gt;=6,"Sí","No")</x:f>
        <x:v>No</x:v>
      </x:c>
      <x:c r="O1602" s="25" t="str">
        <x:v>Pendiente: asignar con R/sf</x:v>
      </x:c>
    </x:row>
    <x:row r="1603">
      <x:c r="A1603" s="25" t="n">
        <x:v>1602</x:v>
      </x:c>
      <x:c r="B1603" s="26" t="n">
        <x:v>44959.35393518519</x:v>
      </x:c>
      <x:c r="C1603" s="27" t="n">
        <x:f>INT(B1603)</x:f>
        <x:v>44959</x:v>
      </x:c>
      <x:c r="D1603" s="28" t="n">
        <x:f>MOD(B1603,1)</x:f>
        <x:v>0.35393518518685596</x:v>
      </x:c>
      <x:c r="E1603" s="29" t="n">
        <x:f>YEAR(B1603)</x:f>
        <x:v>2023</x:v>
      </x:c>
      <x:c r="F1603" s="29" t="n">
        <x:f>MONTH(B1603)</x:f>
        <x:v>2</x:v>
      </x:c>
      <x:c r="G1603" s="30" t="n">
        <x:v>-32.1</x:v>
      </x:c>
      <x:c r="H1603" s="30" t="n">
        <x:v>-71.81</x:v>
      </x:c>
      <x:c r="I1603" s="29" t="n">
        <x:v>33</x:v>
      </x:c>
      <x:c r="J1603" s="31" t="n">
        <x:v>3.7</x:v>
      </x:c>
      <x:c r="K1603" s="25" t="str">
        <x:f>IF(J1603&gt;=7,"Muy fuerte (&gt;=7)",IF(J1603&gt;=6,"Fuerte (6-6.9)",IF(J1603&gt;=5,"Moderado alto (5-5.9)",IF(J1603&gt;=4,"Moderado (4-4.9)","Menor a 4"))))</x:f>
        <x:v>Menor a 4</x:v>
      </x:c>
      <x:c r="L1603" s="25" t="str">
        <x:f>IF(I1603&lt;70,"Superficial (&lt;70 km)",IF(I1603&lt;=300,"Intermedio (70-300 km)","Profundo (&gt;300 km)"))</x:f>
        <x:v>Superficial (&lt;70 km)</x:v>
      </x:c>
      <x:c r="M1603" s="25" t="str">
        <x:f>IF(J1603&gt;=5,"Sí","No")</x:f>
        <x:v>No</x:v>
      </x:c>
      <x:c r="N1603" s="25" t="str">
        <x:f>IF(J1603&gt;=6,"Sí","No")</x:f>
        <x:v>No</x:v>
      </x:c>
      <x:c r="O1603" s="25" t="str">
        <x:v>Pendiente: asignar con R/sf</x:v>
      </x:c>
    </x:row>
    <x:row r="1604">
      <x:c r="A1604" s="25" t="n">
        <x:v>1603</x:v>
      </x:c>
      <x:c r="B1604" s="26" t="n">
        <x:v>44959.464270833334</x:v>
      </x:c>
      <x:c r="C1604" s="27" t="n">
        <x:f>INT(B1604)</x:f>
        <x:v>44959</x:v>
      </x:c>
      <x:c r="D1604" s="28" t="n">
        <x:f>MOD(B1604,1)</x:f>
        <x:v>0.4642708333340124</x:v>
      </x:c>
      <x:c r="E1604" s="29" t="n">
        <x:f>YEAR(B1604)</x:f>
        <x:v>2023</x:v>
      </x:c>
      <x:c r="F1604" s="29" t="n">
        <x:f>MONTH(B1604)</x:f>
        <x:v>2</x:v>
      </x:c>
      <x:c r="G1604" s="30" t="n">
        <x:v>-32.1</x:v>
      </x:c>
      <x:c r="H1604" s="30" t="n">
        <x:v>-71.88</x:v>
      </x:c>
      <x:c r="I1604" s="29" t="n">
        <x:v>28</x:v>
      </x:c>
      <x:c r="J1604" s="31" t="n">
        <x:v>4.2</x:v>
      </x:c>
      <x:c r="K1604" s="25" t="str">
        <x:f>IF(J1604&gt;=7,"Muy fuerte (&gt;=7)",IF(J1604&gt;=6,"Fuerte (6-6.9)",IF(J1604&gt;=5,"Moderado alto (5-5.9)",IF(J1604&gt;=4,"Moderado (4-4.9)","Menor a 4"))))</x:f>
        <x:v>Moderado (4-4.9)</x:v>
      </x:c>
      <x:c r="L1604" s="25" t="str">
        <x:f>IF(I1604&lt;70,"Superficial (&lt;70 km)",IF(I1604&lt;=300,"Intermedio (70-300 km)","Profundo (&gt;300 km)"))</x:f>
        <x:v>Superficial (&lt;70 km)</x:v>
      </x:c>
      <x:c r="M1604" s="25" t="str">
        <x:f>IF(J1604&gt;=5,"Sí","No")</x:f>
        <x:v>No</x:v>
      </x:c>
      <x:c r="N1604" s="25" t="str">
        <x:f>IF(J1604&gt;=6,"Sí","No")</x:f>
        <x:v>No</x:v>
      </x:c>
      <x:c r="O1604" s="25" t="str">
        <x:v>Pendiente: asignar con R/sf</x:v>
      </x:c>
    </x:row>
    <x:row r="1605">
      <x:c r="A1605" s="25" t="n">
        <x:v>1604</x:v>
      </x:c>
      <x:c r="B1605" s="26" t="n">
        <x:v>45143.21461805556</x:v>
      </x:c>
      <x:c r="C1605" s="27" t="n">
        <x:f>INT(B1605)</x:f>
        <x:v>45143</x:v>
      </x:c>
      <x:c r="D1605" s="28" t="n">
        <x:f>MOD(B1605,1)</x:f>
        <x:v>0.21461805555736646</x:v>
      </x:c>
      <x:c r="E1605" s="29" t="n">
        <x:f>YEAR(B1605)</x:f>
        <x:v>2023</x:v>
      </x:c>
      <x:c r="F1605" s="29" t="n">
        <x:f>MONTH(B1605)</x:f>
        <x:v>8</x:v>
      </x:c>
      <x:c r="G1605" s="30" t="n">
        <x:v>-31.67</x:v>
      </x:c>
      <x:c r="H1605" s="30" t="n">
        <x:v>-71.73</x:v>
      </x:c>
      <x:c r="I1605" s="29" t="n">
        <x:v>27</x:v>
      </x:c>
      <x:c r="J1605" s="31" t="n">
        <x:v>4</x:v>
      </x:c>
      <x:c r="K1605" s="25" t="str">
        <x:f>IF(J1605&gt;=7,"Muy fuerte (&gt;=7)",IF(J1605&gt;=6,"Fuerte (6-6.9)",IF(J1605&gt;=5,"Moderado alto (5-5.9)",IF(J1605&gt;=4,"Moderado (4-4.9)","Menor a 4"))))</x:f>
        <x:v>Moderado (4-4.9)</x:v>
      </x:c>
      <x:c r="L1605" s="25" t="str">
        <x:f>IF(I1605&lt;70,"Superficial (&lt;70 km)",IF(I1605&lt;=300,"Intermedio (70-300 km)","Profundo (&gt;300 km)"))</x:f>
        <x:v>Superficial (&lt;70 km)</x:v>
      </x:c>
      <x:c r="M1605" s="25" t="str">
        <x:f>IF(J1605&gt;=5,"Sí","No")</x:f>
        <x:v>No</x:v>
      </x:c>
      <x:c r="N1605" s="25" t="str">
        <x:f>IF(J1605&gt;=6,"Sí","No")</x:f>
        <x:v>No</x:v>
      </x:c>
      <x:c r="O1605" s="25" t="str">
        <x:v>Pendiente: asignar con R/sf</x:v>
      </x:c>
    </x:row>
    <x:row r="1606">
      <x:c r="A1606" s="25" t="n">
        <x:v>1605</x:v>
      </x:c>
      <x:c r="B1606" s="26" t="n">
        <x:v>44955.47337962963</x:v>
      </x:c>
      <x:c r="C1606" s="27" t="n">
        <x:f>INT(B1606)</x:f>
        <x:v>44955</x:v>
      </x:c>
      <x:c r="D1606" s="28" t="n">
        <x:f>MOD(B1606,1)</x:f>
        <x:v>0.47337962962774327</x:v>
      </x:c>
      <x:c r="E1606" s="29" t="n">
        <x:f>YEAR(B1606)</x:f>
        <x:v>2023</x:v>
      </x:c>
      <x:c r="F1606" s="29" t="n">
        <x:f>MONTH(B1606)</x:f>
        <x:v>1</x:v>
      </x:c>
      <x:c r="G1606" s="30" t="n">
        <x:v>-28.91</x:v>
      </x:c>
      <x:c r="H1606" s="30" t="n">
        <x:v>-71.32</x:v>
      </x:c>
      <x:c r="I1606" s="29" t="n">
        <x:v>37</x:v>
      </x:c>
      <x:c r="J1606" s="31" t="n">
        <x:v>4.1</x:v>
      </x:c>
      <x:c r="K1606" s="25" t="str">
        <x:f>IF(J1606&gt;=7,"Muy fuerte (&gt;=7)",IF(J1606&gt;=6,"Fuerte (6-6.9)",IF(J1606&gt;=5,"Moderado alto (5-5.9)",IF(J1606&gt;=4,"Moderado (4-4.9)","Menor a 4"))))</x:f>
        <x:v>Moderado (4-4.9)</x:v>
      </x:c>
      <x:c r="L1606" s="25" t="str">
        <x:f>IF(I1606&lt;70,"Superficial (&lt;70 km)",IF(I1606&lt;=300,"Intermedio (70-300 km)","Profundo (&gt;300 km)"))</x:f>
        <x:v>Superficial (&lt;70 km)</x:v>
      </x:c>
      <x:c r="M1606" s="25" t="str">
        <x:f>IF(J1606&gt;=5,"Sí","No")</x:f>
        <x:v>No</x:v>
      </x:c>
      <x:c r="N1606" s="25" t="str">
        <x:f>IF(J1606&gt;=6,"Sí","No")</x:f>
        <x:v>No</x:v>
      </x:c>
      <x:c r="O1606" s="25" t="str">
        <x:v>Pendiente: asignar con R/sf</x:v>
      </x:c>
    </x:row>
    <x:row r="1607">
      <x:c r="A1607" s="25" t="n">
        <x:v>1606</x:v>
      </x:c>
      <x:c r="B1607" s="26" t="n">
        <x:v>45069.87635416666</x:v>
      </x:c>
      <x:c r="C1607" s="27" t="n">
        <x:f>INT(B1607)</x:f>
        <x:v>45069</x:v>
      </x:c>
      <x:c r="D1607" s="28" t="n">
        <x:f>MOD(B1607,1)</x:f>
        <x:v>0.8763541666630772</x:v>
      </x:c>
      <x:c r="E1607" s="29" t="n">
        <x:f>YEAR(B1607)</x:f>
        <x:v>2023</x:v>
      </x:c>
      <x:c r="F1607" s="29" t="n">
        <x:f>MONTH(B1607)</x:f>
        <x:v>5</x:v>
      </x:c>
      <x:c r="G1607" s="30" t="n">
        <x:v>-29.64</x:v>
      </x:c>
      <x:c r="H1607" s="30" t="n">
        <x:v>-71.51</x:v>
      </x:c>
      <x:c r="I1607" s="29" t="n">
        <x:v>68</x:v>
      </x:c>
      <x:c r="J1607" s="31" t="n">
        <x:v>3.9</x:v>
      </x:c>
      <x:c r="K1607" s="25" t="str">
        <x:f>IF(J1607&gt;=7,"Muy fuerte (&gt;=7)",IF(J1607&gt;=6,"Fuerte (6-6.9)",IF(J1607&gt;=5,"Moderado alto (5-5.9)",IF(J1607&gt;=4,"Moderado (4-4.9)","Menor a 4"))))</x:f>
        <x:v>Menor a 4</x:v>
      </x:c>
      <x:c r="L1607" s="25" t="str">
        <x:f>IF(I1607&lt;70,"Superficial (&lt;70 km)",IF(I1607&lt;=300,"Intermedio (70-300 km)","Profundo (&gt;300 km)"))</x:f>
        <x:v>Superficial (&lt;70 km)</x:v>
      </x:c>
      <x:c r="M1607" s="25" t="str">
        <x:f>IF(J1607&gt;=5,"Sí","No")</x:f>
        <x:v>No</x:v>
      </x:c>
      <x:c r="N1607" s="25" t="str">
        <x:f>IF(J1607&gt;=6,"Sí","No")</x:f>
        <x:v>No</x:v>
      </x:c>
      <x:c r="O1607" s="25" t="str">
        <x:v>Pendiente: asignar con R/sf</x:v>
      </x:c>
    </x:row>
    <x:row r="1608">
      <x:c r="A1608" s="25" t="n">
        <x:v>1607</x:v>
      </x:c>
      <x:c r="B1608" s="26" t="n">
        <x:v>45101.78194444445</x:v>
      </x:c>
      <x:c r="C1608" s="27" t="n">
        <x:f>INT(B1608)</x:f>
        <x:v>45101</x:v>
      </x:c>
      <x:c r="D1608" s="28" t="n">
        <x:f>MOD(B1608,1)</x:f>
        <x:v>0.7819444444467081</x:v>
      </x:c>
      <x:c r="E1608" s="29" t="n">
        <x:f>YEAR(B1608)</x:f>
        <x:v>2023</x:v>
      </x:c>
      <x:c r="F1608" s="29" t="n">
        <x:f>MONTH(B1608)</x:f>
        <x:v>6</x:v>
      </x:c>
      <x:c r="G1608" s="30" t="n">
        <x:v>-29.97</x:v>
      </x:c>
      <x:c r="H1608" s="30" t="n">
        <x:v>-71.5</x:v>
      </x:c>
      <x:c r="I1608" s="29" t="n">
        <x:v>52</x:v>
      </x:c>
      <x:c r="J1608" s="31" t="n">
        <x:v>3.8</x:v>
      </x:c>
      <x:c r="K1608" s="25" t="str">
        <x:f>IF(J1608&gt;=7,"Muy fuerte (&gt;=7)",IF(J1608&gt;=6,"Fuerte (6-6.9)",IF(J1608&gt;=5,"Moderado alto (5-5.9)",IF(J1608&gt;=4,"Moderado (4-4.9)","Menor a 4"))))</x:f>
        <x:v>Menor a 4</x:v>
      </x:c>
      <x:c r="L1608" s="25" t="str">
        <x:f>IF(I1608&lt;70,"Superficial (&lt;70 km)",IF(I1608&lt;=300,"Intermedio (70-300 km)","Profundo (&gt;300 km)"))</x:f>
        <x:v>Superficial (&lt;70 km)</x:v>
      </x:c>
      <x:c r="M1608" s="25" t="str">
        <x:f>IF(J1608&gt;=5,"Sí","No")</x:f>
        <x:v>No</x:v>
      </x:c>
      <x:c r="N1608" s="25" t="str">
        <x:f>IF(J1608&gt;=6,"Sí","No")</x:f>
        <x:v>No</x:v>
      </x:c>
      <x:c r="O1608" s="25" t="str">
        <x:v>Pendiente: asignar con R/sf</x:v>
      </x:c>
    </x:row>
    <x:row r="1609">
      <x:c r="A1609" s="25" t="n">
        <x:v>1608</x:v>
      </x:c>
      <x:c r="B1609" s="26" t="n">
        <x:v>45168.607766203706</x:v>
      </x:c>
      <x:c r="C1609" s="27" t="n">
        <x:f>INT(B1609)</x:f>
        <x:v>45168</x:v>
      </x:c>
      <x:c r="D1609" s="28" t="n">
        <x:f>MOD(B1609,1)</x:f>
        <x:v>0.6077662037059781</x:v>
      </x:c>
      <x:c r="E1609" s="29" t="n">
        <x:f>YEAR(B1609)</x:f>
        <x:v>2023</x:v>
      </x:c>
      <x:c r="F1609" s="29" t="n">
        <x:f>MONTH(B1609)</x:f>
        <x:v>8</x:v>
      </x:c>
      <x:c r="G1609" s="30" t="n">
        <x:v>-29.5</x:v>
      </x:c>
      <x:c r="H1609" s="30" t="n">
        <x:v>-71.23</x:v>
      </x:c>
      <x:c r="I1609" s="29" t="n">
        <x:v>51</x:v>
      </x:c>
      <x:c r="J1609" s="31" t="n">
        <x:v>4.5</x:v>
      </x:c>
      <x:c r="K1609" s="25" t="str">
        <x:f>IF(J1609&gt;=7,"Muy fuerte (&gt;=7)",IF(J1609&gt;=6,"Fuerte (6-6.9)",IF(J1609&gt;=5,"Moderado alto (5-5.9)",IF(J1609&gt;=4,"Moderado (4-4.9)","Menor a 4"))))</x:f>
        <x:v>Moderado (4-4.9)</x:v>
      </x:c>
      <x:c r="L1609" s="25" t="str">
        <x:f>IF(I1609&lt;70,"Superficial (&lt;70 km)",IF(I1609&lt;=300,"Intermedio (70-300 km)","Profundo (&gt;300 km)"))</x:f>
        <x:v>Superficial (&lt;70 km)</x:v>
      </x:c>
      <x:c r="M1609" s="25" t="str">
        <x:f>IF(J1609&gt;=5,"Sí","No")</x:f>
        <x:v>No</x:v>
      </x:c>
      <x:c r="N1609" s="25" t="str">
        <x:f>IF(J1609&gt;=6,"Sí","No")</x:f>
        <x:v>No</x:v>
      </x:c>
      <x:c r="O1609" s="25" t="str">
        <x:v>Pendiente: asignar con R/sf</x:v>
      </x:c>
    </x:row>
    <x:row r="1610">
      <x:c r="A1610" s="25" t="n">
        <x:v>1609</x:v>
      </x:c>
      <x:c r="B1610" s="26" t="n">
        <x:v>45195.34583333333</x:v>
      </x:c>
      <x:c r="C1610" s="27" t="n">
        <x:f>INT(B1610)</x:f>
        <x:v>45195</x:v>
      </x:c>
      <x:c r="D1610" s="28" t="n">
        <x:f>MOD(B1610,1)</x:f>
        <x:v>0.34583333333284827</x:v>
      </x:c>
      <x:c r="E1610" s="29" t="n">
        <x:f>YEAR(B1610)</x:f>
        <x:v>2023</x:v>
      </x:c>
      <x:c r="F1610" s="29" t="n">
        <x:f>MONTH(B1610)</x:f>
        <x:v>9</x:v>
      </x:c>
      <x:c r="G1610" s="30" t="n">
        <x:v>-28.8</x:v>
      </x:c>
      <x:c r="H1610" s="30" t="n">
        <x:v>-71.46</x:v>
      </x:c>
      <x:c r="I1610" s="29" t="n">
        <x:v>38</x:v>
      </x:c>
      <x:c r="J1610" s="31" t="n">
        <x:v>4.2</x:v>
      </x:c>
      <x:c r="K1610" s="25" t="str">
        <x:f>IF(J1610&gt;=7,"Muy fuerte (&gt;=7)",IF(J1610&gt;=6,"Fuerte (6-6.9)",IF(J1610&gt;=5,"Moderado alto (5-5.9)",IF(J1610&gt;=4,"Moderado (4-4.9)","Menor a 4"))))</x:f>
        <x:v>Moderado (4-4.9)</x:v>
      </x:c>
      <x:c r="L1610" s="25" t="str">
        <x:f>IF(I1610&lt;70,"Superficial (&lt;70 km)",IF(I1610&lt;=300,"Intermedio (70-300 km)","Profundo (&gt;300 km)"))</x:f>
        <x:v>Superficial (&lt;70 km)</x:v>
      </x:c>
      <x:c r="M1610" s="25" t="str">
        <x:f>IF(J1610&gt;=5,"Sí","No")</x:f>
        <x:v>No</x:v>
      </x:c>
      <x:c r="N1610" s="25" t="str">
        <x:f>IF(J1610&gt;=6,"Sí","No")</x:f>
        <x:v>No</x:v>
      </x:c>
      <x:c r="O1610" s="25" t="str">
        <x:v>Pendiente: asignar con R/sf</x:v>
      </x:c>
    </x:row>
    <x:row r="1611">
      <x:c r="A1611" s="25" t="n">
        <x:v>1610</x:v>
      </x:c>
      <x:c r="B1611" s="26" t="n">
        <x:v>45087.55631944445</x:v>
      </x:c>
      <x:c r="C1611" s="27" t="n">
        <x:f>INT(B1611)</x:f>
        <x:v>45087</x:v>
      </x:c>
      <x:c r="D1611" s="28" t="n">
        <x:f>MOD(B1611,1)</x:f>
        <x:v>0.5563194444475812</x:v>
      </x:c>
      <x:c r="E1611" s="29" t="n">
        <x:f>YEAR(B1611)</x:f>
        <x:v>2023</x:v>
      </x:c>
      <x:c r="F1611" s="29" t="n">
        <x:f>MONTH(B1611)</x:f>
        <x:v>6</x:v>
      </x:c>
      <x:c r="G1611" s="30" t="n">
        <x:v>-30.73</x:v>
      </x:c>
      <x:c r="H1611" s="30" t="n">
        <x:v>-71.44</x:v>
      </x:c>
      <x:c r="I1611" s="29" t="n">
        <x:v>49</x:v>
      </x:c>
      <x:c r="J1611" s="31" t="n">
        <x:v>4.5</x:v>
      </x:c>
      <x:c r="K1611" s="25" t="str">
        <x:f>IF(J1611&gt;=7,"Muy fuerte (&gt;=7)",IF(J1611&gt;=6,"Fuerte (6-6.9)",IF(J1611&gt;=5,"Moderado alto (5-5.9)",IF(J1611&gt;=4,"Moderado (4-4.9)","Menor a 4"))))</x:f>
        <x:v>Moderado (4-4.9)</x:v>
      </x:c>
      <x:c r="L1611" s="25" t="str">
        <x:f>IF(I1611&lt;70,"Superficial (&lt;70 km)",IF(I1611&lt;=300,"Intermedio (70-300 km)","Profundo (&gt;300 km)"))</x:f>
        <x:v>Superficial (&lt;70 km)</x:v>
      </x:c>
      <x:c r="M1611" s="25" t="str">
        <x:f>IF(J1611&gt;=5,"Sí","No")</x:f>
        <x:v>No</x:v>
      </x:c>
      <x:c r="N1611" s="25" t="str">
        <x:f>IF(J1611&gt;=6,"Sí","No")</x:f>
        <x:v>No</x:v>
      </x:c>
      <x:c r="O1611" s="25" t="str">
        <x:v>Pendiente: asignar con R/sf</x:v>
      </x:c>
    </x:row>
    <x:row r="1612">
      <x:c r="A1612" s="25" t="n">
        <x:v>1611</x:v>
      </x:c>
      <x:c r="B1612" s="26" t="n">
        <x:v>44982.68418981481</x:v>
      </x:c>
      <x:c r="C1612" s="27" t="n">
        <x:f>INT(B1612)</x:f>
        <x:v>44982</x:v>
      </x:c>
      <x:c r="D1612" s="28" t="n">
        <x:f>MOD(B1612,1)</x:f>
        <x:v>0.6841898148122709</x:v>
      </x:c>
      <x:c r="E1612" s="29" t="n">
        <x:f>YEAR(B1612)</x:f>
        <x:v>2023</x:v>
      </x:c>
      <x:c r="F1612" s="29" t="n">
        <x:f>MONTH(B1612)</x:f>
        <x:v>2</x:v>
      </x:c>
      <x:c r="G1612" s="30" t="n">
        <x:v>-36.9</x:v>
      </x:c>
      <x:c r="H1612" s="30" t="n">
        <x:v>-73.52</x:v>
      </x:c>
      <x:c r="I1612" s="29" t="n">
        <x:v>39</x:v>
      </x:c>
      <x:c r="J1612" s="31" t="n">
        <x:v>4.8</x:v>
      </x:c>
      <x:c r="K1612" s="25" t="str">
        <x:f>IF(J1612&gt;=7,"Muy fuerte (&gt;=7)",IF(J1612&gt;=6,"Fuerte (6-6.9)",IF(J1612&gt;=5,"Moderado alto (5-5.9)",IF(J1612&gt;=4,"Moderado (4-4.9)","Menor a 4"))))</x:f>
        <x:v>Moderado (4-4.9)</x:v>
      </x:c>
      <x:c r="L1612" s="25" t="str">
        <x:f>IF(I1612&lt;70,"Superficial (&lt;70 km)",IF(I1612&lt;=300,"Intermedio (70-300 km)","Profundo (&gt;300 km)"))</x:f>
        <x:v>Superficial (&lt;70 km)</x:v>
      </x:c>
      <x:c r="M1612" s="25" t="str">
        <x:f>IF(J1612&gt;=5,"Sí","No")</x:f>
        <x:v>No</x:v>
      </x:c>
      <x:c r="N1612" s="25" t="str">
        <x:f>IF(J1612&gt;=6,"Sí","No")</x:f>
        <x:v>No</x:v>
      </x:c>
      <x:c r="O1612" s="25" t="str">
        <x:v>Pendiente: asignar con R/sf</x:v>
      </x:c>
    </x:row>
    <x:row r="1613">
      <x:c r="A1613" s="25" t="n">
        <x:v>1612</x:v>
      </x:c>
      <x:c r="B1613" s="26" t="n">
        <x:v>44925.74016203704</x:v>
      </x:c>
      <x:c r="C1613" s="27" t="n">
        <x:f>INT(B1613)</x:f>
        <x:v>44925</x:v>
      </x:c>
      <x:c r="D1613" s="28" t="n">
        <x:f>MOD(B1613,1)</x:f>
        <x:v>0.7401620370364981</x:v>
      </x:c>
      <x:c r="E1613" s="29" t="n">
        <x:f>YEAR(B1613)</x:f>
        <x:v>2022</x:v>
      </x:c>
      <x:c r="F1613" s="29" t="n">
        <x:f>MONTH(B1613)</x:f>
        <x:v>12</x:v>
      </x:c>
      <x:c r="G1613" s="30" t="n">
        <x:v>-39.14</x:v>
      </x:c>
      <x:c r="H1613" s="30" t="n">
        <x:v>-72.43</x:v>
      </x:c>
      <x:c r="I1613" s="29" t="n">
        <x:v>78</x:v>
      </x:c>
      <x:c r="J1613" s="31" t="n">
        <x:v>3.8</x:v>
      </x:c>
      <x:c r="K1613" s="25" t="str">
        <x:f>IF(J1613&gt;=7,"Muy fuerte (&gt;=7)",IF(J1613&gt;=6,"Fuerte (6-6.9)",IF(J1613&gt;=5,"Moderado alto (5-5.9)",IF(J1613&gt;=4,"Moderado (4-4.9)","Menor a 4"))))</x:f>
        <x:v>Menor a 4</x:v>
      </x:c>
      <x:c r="L1613" s="25" t="str">
        <x:f>IF(I1613&lt;70,"Superficial (&lt;70 km)",IF(I1613&lt;=300,"Intermedio (70-300 km)","Profundo (&gt;300 km)"))</x:f>
        <x:v>Intermedio (70-300 km)</x:v>
      </x:c>
      <x:c r="M1613" s="25" t="str">
        <x:f>IF(J1613&gt;=5,"Sí","No")</x:f>
        <x:v>No</x:v>
      </x:c>
      <x:c r="N1613" s="25" t="str">
        <x:f>IF(J1613&gt;=6,"Sí","No")</x:f>
        <x:v>No</x:v>
      </x:c>
      <x:c r="O1613" s="25" t="str">
        <x:v>Pendiente: asignar con R/sf</x:v>
      </x:c>
    </x:row>
    <x:row r="1614">
      <x:c r="A1614" s="25" t="n">
        <x:v>1613</x:v>
      </x:c>
      <x:c r="B1614" s="26" t="n">
        <x:v>45050.20041666667</x:v>
      </x:c>
      <x:c r="C1614" s="27" t="n">
        <x:f>INT(B1614)</x:f>
        <x:v>45050</x:v>
      </x:c>
      <x:c r="D1614" s="28" t="n">
        <x:f>MOD(B1614,1)</x:f>
        <x:v>0.20041666666656965</x:v>
      </x:c>
      <x:c r="E1614" s="29" t="n">
        <x:f>YEAR(B1614)</x:f>
        <x:v>2023</x:v>
      </x:c>
      <x:c r="F1614" s="29" t="n">
        <x:f>MONTH(B1614)</x:f>
        <x:v>5</x:v>
      </x:c>
      <x:c r="G1614" s="30" t="n">
        <x:v>-39.6</x:v>
      </x:c>
      <x:c r="H1614" s="30" t="n">
        <x:v>-72.63</x:v>
      </x:c>
      <x:c r="I1614" s="29" t="n">
        <x:v>83</x:v>
      </x:c>
      <x:c r="J1614" s="31" t="n">
        <x:v>4.2</x:v>
      </x:c>
      <x:c r="K1614" s="25" t="str">
        <x:f>IF(J1614&gt;=7,"Muy fuerte (&gt;=7)",IF(J1614&gt;=6,"Fuerte (6-6.9)",IF(J1614&gt;=5,"Moderado alto (5-5.9)",IF(J1614&gt;=4,"Moderado (4-4.9)","Menor a 4"))))</x:f>
        <x:v>Moderado (4-4.9)</x:v>
      </x:c>
      <x:c r="L1614" s="25" t="str">
        <x:f>IF(I1614&lt;70,"Superficial (&lt;70 km)",IF(I1614&lt;=300,"Intermedio (70-300 km)","Profundo (&gt;300 km)"))</x:f>
        <x:v>Intermedio (70-300 km)</x:v>
      </x:c>
      <x:c r="M1614" s="25" t="str">
        <x:f>IF(J1614&gt;=5,"Sí","No")</x:f>
        <x:v>No</x:v>
      </x:c>
      <x:c r="N1614" s="25" t="str">
        <x:f>IF(J1614&gt;=6,"Sí","No")</x:f>
        <x:v>No</x:v>
      </x:c>
      <x:c r="O1614" s="25" t="str">
        <x:v>Pendiente: asignar con R/sf</x:v>
      </x:c>
    </x:row>
    <x:row r="1615">
      <x:c r="A1615" s="25" t="n">
        <x:v>1614</x:v>
      </x:c>
      <x:c r="B1615" s="26" t="n">
        <x:v>45087.62972222222</x:v>
      </x:c>
      <x:c r="C1615" s="27" t="n">
        <x:f>INT(B1615)</x:f>
        <x:v>45087</x:v>
      </x:c>
      <x:c r="D1615" s="28" t="n">
        <x:f>MOD(B1615,1)</x:f>
        <x:v>0.6297222222201526</x:v>
      </x:c>
      <x:c r="E1615" s="29" t="n">
        <x:f>YEAR(B1615)</x:f>
        <x:v>2023</x:v>
      </x:c>
      <x:c r="F1615" s="29" t="n">
        <x:f>MONTH(B1615)</x:f>
        <x:v>6</x:v>
      </x:c>
      <x:c r="G1615" s="30" t="n">
        <x:v>-21.57</x:v>
      </x:c>
      <x:c r="H1615" s="30" t="n">
        <x:v>-69.54</x:v>
      </x:c>
      <x:c r="I1615" s="29" t="n">
        <x:v>6</x:v>
      </x:c>
      <x:c r="J1615" s="31" t="n">
        <x:v>4.5</x:v>
      </x:c>
      <x:c r="K1615" s="25" t="str">
        <x:f>IF(J1615&gt;=7,"Muy fuerte (&gt;=7)",IF(J1615&gt;=6,"Fuerte (6-6.9)",IF(J1615&gt;=5,"Moderado alto (5-5.9)",IF(J1615&gt;=4,"Moderado (4-4.9)","Menor a 4"))))</x:f>
        <x:v>Moderado (4-4.9)</x:v>
      </x:c>
      <x:c r="L1615" s="25" t="str">
        <x:f>IF(I1615&lt;70,"Superficial (&lt;70 km)",IF(I1615&lt;=300,"Intermedio (70-300 km)","Profundo (&gt;300 km)"))</x:f>
        <x:v>Superficial (&lt;70 km)</x:v>
      </x:c>
      <x:c r="M1615" s="25" t="str">
        <x:f>IF(J1615&gt;=5,"Sí","No")</x:f>
        <x:v>No</x:v>
      </x:c>
      <x:c r="N1615" s="25" t="str">
        <x:f>IF(J1615&gt;=6,"Sí","No")</x:f>
        <x:v>No</x:v>
      </x:c>
      <x:c r="O1615" s="25" t="str">
        <x:v>Pendiente: asignar con R/sf</x:v>
      </x:c>
    </x:row>
    <x:row r="1616">
      <x:c r="A1616" s="25" t="n">
        <x:v>1615</x:v>
      </x:c>
      <x:c r="B1616" s="26" t="n">
        <x:v>44662.07393518519</x:v>
      </x:c>
      <x:c r="C1616" s="27" t="n">
        <x:f>INT(B1616)</x:f>
        <x:v>44662</x:v>
      </x:c>
      <x:c r="D1616" s="28" t="n">
        <x:f>MOD(B1616,1)</x:f>
        <x:v>0.07393518518802011</x:v>
      </x:c>
      <x:c r="E1616" s="29" t="n">
        <x:f>YEAR(B1616)</x:f>
        <x:v>2022</x:v>
      </x:c>
      <x:c r="F1616" s="29" t="n">
        <x:f>MONTH(B1616)</x:f>
        <x:v>4</x:v>
      </x:c>
      <x:c r="G1616" s="30" t="n">
        <x:v>-21.11</x:v>
      </x:c>
      <x:c r="H1616" s="30" t="n">
        <x:v>-68.63</x:v>
      </x:c>
      <x:c r="I1616" s="29" t="n">
        <x:v>136</x:v>
      </x:c>
      <x:c r="J1616" s="31" t="n">
        <x:v>4.5</x:v>
      </x:c>
      <x:c r="K1616" s="25" t="str">
        <x:f>IF(J1616&gt;=7,"Muy fuerte (&gt;=7)",IF(J1616&gt;=6,"Fuerte (6-6.9)",IF(J1616&gt;=5,"Moderado alto (5-5.9)",IF(J1616&gt;=4,"Moderado (4-4.9)","Menor a 4"))))</x:f>
        <x:v>Moderado (4-4.9)</x:v>
      </x:c>
      <x:c r="L1616" s="25" t="str">
        <x:f>IF(I1616&lt;70,"Superficial (&lt;70 km)",IF(I1616&lt;=300,"Intermedio (70-300 km)","Profundo (&gt;300 km)"))</x:f>
        <x:v>Intermedio (70-300 km)</x:v>
      </x:c>
      <x:c r="M1616" s="25" t="str">
        <x:f>IF(J1616&gt;=5,"Sí","No")</x:f>
        <x:v>No</x:v>
      </x:c>
      <x:c r="N1616" s="25" t="str">
        <x:f>IF(J1616&gt;=6,"Sí","No")</x:f>
        <x:v>No</x:v>
      </x:c>
      <x:c r="O1616" s="25" t="str">
        <x:v>Pendiente: asignar con R/sf</x:v>
      </x:c>
    </x:row>
    <x:row r="1617">
      <x:c r="A1617" s="25" t="n">
        <x:v>1616</x:v>
      </x:c>
      <x:c r="B1617" s="26" t="n">
        <x:v>44784.4596875</x:v>
      </x:c>
      <x:c r="C1617" s="27" t="n">
        <x:f>INT(B1617)</x:f>
        <x:v>44784</x:v>
      </x:c>
      <x:c r="D1617" s="28" t="n">
        <x:f>MOD(B1617,1)</x:f>
        <x:v>0.45968749999883585</x:v>
      </x:c>
      <x:c r="E1617" s="29" t="n">
        <x:f>YEAR(B1617)</x:f>
        <x:v>2022</x:v>
      </x:c>
      <x:c r="F1617" s="29" t="n">
        <x:f>MONTH(B1617)</x:f>
        <x:v>8</x:v>
      </x:c>
      <x:c r="G1617" s="30" t="n">
        <x:v>-21.4</x:v>
      </x:c>
      <x:c r="H1617" s="30" t="n">
        <x:v>-69.81</x:v>
      </x:c>
      <x:c r="I1617" s="29" t="n">
        <x:v>47</x:v>
      </x:c>
      <x:c r="J1617" s="31" t="n">
        <x:v>4</x:v>
      </x:c>
      <x:c r="K1617" s="25" t="str">
        <x:f>IF(J1617&gt;=7,"Muy fuerte (&gt;=7)",IF(J1617&gt;=6,"Fuerte (6-6.9)",IF(J1617&gt;=5,"Moderado alto (5-5.9)",IF(J1617&gt;=4,"Moderado (4-4.9)","Menor a 4"))))</x:f>
        <x:v>Moderado (4-4.9)</x:v>
      </x:c>
      <x:c r="L1617" s="25" t="str">
        <x:f>IF(I1617&lt;70,"Superficial (&lt;70 km)",IF(I1617&lt;=300,"Intermedio (70-300 km)","Profundo (&gt;300 km)"))</x:f>
        <x:v>Superficial (&lt;70 km)</x:v>
      </x:c>
      <x:c r="M1617" s="25" t="str">
        <x:f>IF(J1617&gt;=5,"Sí","No")</x:f>
        <x:v>No</x:v>
      </x:c>
      <x:c r="N1617" s="25" t="str">
        <x:f>IF(J1617&gt;=6,"Sí","No")</x:f>
        <x:v>No</x:v>
      </x:c>
      <x:c r="O1617" s="25" t="str">
        <x:v>Pendiente: asignar con R/sf</x:v>
      </x:c>
    </x:row>
    <x:row r="1618">
      <x:c r="A1618" s="25" t="n">
        <x:v>1617</x:v>
      </x:c>
      <x:c r="B1618" s="26" t="n">
        <x:v>44827.019907407404</x:v>
      </x:c>
      <x:c r="C1618" s="27" t="n">
        <x:f>INT(B1618)</x:f>
        <x:v>44827</x:v>
      </x:c>
      <x:c r="D1618" s="28" t="n">
        <x:f>MOD(B1618,1)</x:f>
        <x:v>0.019907407404389232</x:v>
      </x:c>
      <x:c r="E1618" s="29" t="n">
        <x:f>YEAR(B1618)</x:f>
        <x:v>2022</x:v>
      </x:c>
      <x:c r="F1618" s="29" t="n">
        <x:f>MONTH(B1618)</x:f>
        <x:v>9</x:v>
      </x:c>
      <x:c r="G1618" s="30" t="n">
        <x:v>-21.94</x:v>
      </x:c>
      <x:c r="H1618" s="30" t="n">
        <x:v>-68.89</x:v>
      </x:c>
      <x:c r="I1618" s="29" t="n">
        <x:v>120</x:v>
      </x:c>
      <x:c r="J1618" s="31" t="n">
        <x:v>4.5</x:v>
      </x:c>
      <x:c r="K1618" s="25" t="str">
        <x:f>IF(J1618&gt;=7,"Muy fuerte (&gt;=7)",IF(J1618&gt;=6,"Fuerte (6-6.9)",IF(J1618&gt;=5,"Moderado alto (5-5.9)",IF(J1618&gt;=4,"Moderado (4-4.9)","Menor a 4"))))</x:f>
        <x:v>Moderado (4-4.9)</x:v>
      </x:c>
      <x:c r="L1618" s="25" t="str">
        <x:f>IF(I1618&lt;70,"Superficial (&lt;70 km)",IF(I1618&lt;=300,"Intermedio (70-300 km)","Profundo (&gt;300 km)"))</x:f>
        <x:v>Intermedio (70-300 km)</x:v>
      </x:c>
      <x:c r="M1618" s="25" t="str">
        <x:f>IF(J1618&gt;=5,"Sí","No")</x:f>
        <x:v>No</x:v>
      </x:c>
      <x:c r="N1618" s="25" t="str">
        <x:f>IF(J1618&gt;=6,"Sí","No")</x:f>
        <x:v>No</x:v>
      </x:c>
      <x:c r="O1618" s="25" t="str">
        <x:v>Pendiente: asignar con R/sf</x:v>
      </x:c>
    </x:row>
    <x:row r="1619">
      <x:c r="A1619" s="25" t="n">
        <x:v>1618</x:v>
      </x:c>
      <x:c r="B1619" s="26" t="n">
        <x:v>44971.008043981485</x:v>
      </x:c>
      <x:c r="C1619" s="27" t="n">
        <x:f>INT(B1619)</x:f>
        <x:v>44971</x:v>
      </x:c>
      <x:c r="D1619" s="28" t="n">
        <x:f>MOD(B1619,1)</x:f>
        <x:v>0.008043981484661344</x:v>
      </x:c>
      <x:c r="E1619" s="29" t="n">
        <x:f>YEAR(B1619)</x:f>
        <x:v>2023</x:v>
      </x:c>
      <x:c r="F1619" s="29" t="n">
        <x:f>MONTH(B1619)</x:f>
        <x:v>2</x:v>
      </x:c>
      <x:c r="G1619" s="30" t="n">
        <x:v>-21.89</x:v>
      </x:c>
      <x:c r="H1619" s="30" t="n">
        <x:v>-70.28</x:v>
      </x:c>
      <x:c r="I1619" s="29" t="n">
        <x:v>60</x:v>
      </x:c>
      <x:c r="J1619" s="31" t="n">
        <x:v>4.6</x:v>
      </x:c>
      <x:c r="K1619" s="25" t="str">
        <x:f>IF(J1619&gt;=7,"Muy fuerte (&gt;=7)",IF(J1619&gt;=6,"Fuerte (6-6.9)",IF(J1619&gt;=5,"Moderado alto (5-5.9)",IF(J1619&gt;=4,"Moderado (4-4.9)","Menor a 4"))))</x:f>
        <x:v>Moderado (4-4.9)</x:v>
      </x:c>
      <x:c r="L1619" s="25" t="str">
        <x:f>IF(I1619&lt;70,"Superficial (&lt;70 km)",IF(I1619&lt;=300,"Intermedio (70-300 km)","Profundo (&gt;300 km)"))</x:f>
        <x:v>Superficial (&lt;70 km)</x:v>
      </x:c>
      <x:c r="M1619" s="25" t="str">
        <x:f>IF(J1619&gt;=5,"Sí","No")</x:f>
        <x:v>No</x:v>
      </x:c>
      <x:c r="N1619" s="25" t="str">
        <x:f>IF(J1619&gt;=6,"Sí","No")</x:f>
        <x:v>No</x:v>
      </x:c>
      <x:c r="O1619" s="25" t="str">
        <x:v>Pendiente: asignar con R/sf</x:v>
      </x:c>
    </x:row>
    <x:row r="1620">
      <x:c r="A1620" s="25" t="n">
        <x:v>1619</x:v>
      </x:c>
      <x:c r="B1620" s="26" t="n">
        <x:v>45083.73741898148</x:v>
      </x:c>
      <x:c r="C1620" s="27" t="n">
        <x:f>INT(B1620)</x:f>
        <x:v>45083</x:v>
      </x:c>
      <x:c r="D1620" s="28" t="n">
        <x:f>MOD(B1620,1)</x:f>
        <x:v>0.7374189814800047</x:v>
      </x:c>
      <x:c r="E1620" s="29" t="n">
        <x:f>YEAR(B1620)</x:f>
        <x:v>2023</x:v>
      </x:c>
      <x:c r="F1620" s="29" t="n">
        <x:f>MONTH(B1620)</x:f>
        <x:v>6</x:v>
      </x:c>
      <x:c r="G1620" s="30" t="n">
        <x:v>-21.3</x:v>
      </x:c>
      <x:c r="H1620" s="30" t="n">
        <x:v>-69.96</x:v>
      </x:c>
      <x:c r="I1620" s="29" t="n">
        <x:v>56</x:v>
      </x:c>
      <x:c r="J1620" s="31" t="n">
        <x:v>4.3</x:v>
      </x:c>
      <x:c r="K1620" s="25" t="str">
        <x:f>IF(J1620&gt;=7,"Muy fuerte (&gt;=7)",IF(J1620&gt;=6,"Fuerte (6-6.9)",IF(J1620&gt;=5,"Moderado alto (5-5.9)",IF(J1620&gt;=4,"Moderado (4-4.9)","Menor a 4"))))</x:f>
        <x:v>Moderado (4-4.9)</x:v>
      </x:c>
      <x:c r="L1620" s="25" t="str">
        <x:f>IF(I1620&lt;70,"Superficial (&lt;70 km)",IF(I1620&lt;=300,"Intermedio (70-300 km)","Profundo (&gt;300 km)"))</x:f>
        <x:v>Superficial (&lt;70 km)</x:v>
      </x:c>
      <x:c r="M1620" s="25" t="str">
        <x:f>IF(J1620&gt;=5,"Sí","No")</x:f>
        <x:v>No</x:v>
      </x:c>
      <x:c r="N1620" s="25" t="str">
        <x:f>IF(J1620&gt;=6,"Sí","No")</x:f>
        <x:v>No</x:v>
      </x:c>
      <x:c r="O1620" s="25" t="str">
        <x:v>Pendiente: asignar con R/sf</x:v>
      </x:c>
    </x:row>
    <x:row r="1621">
      <x:c r="A1621" s="25" t="n">
        <x:v>1620</x:v>
      </x:c>
      <x:c r="B1621" s="26" t="n">
        <x:v>45118.01835648148</x:v>
      </x:c>
      <x:c r="C1621" s="27" t="n">
        <x:f>INT(B1621)</x:f>
        <x:v>45118</x:v>
      </x:c>
      <x:c r="D1621" s="28" t="n">
        <x:f>MOD(B1621,1)</x:f>
        <x:v>0.018356481479713693</x:v>
      </x:c>
      <x:c r="E1621" s="29" t="n">
        <x:f>YEAR(B1621)</x:f>
        <x:v>2023</x:v>
      </x:c>
      <x:c r="F1621" s="29" t="n">
        <x:f>MONTH(B1621)</x:f>
        <x:v>7</x:v>
      </x:c>
      <x:c r="G1621" s="30" t="n">
        <x:v>-29.49</x:v>
      </x:c>
      <x:c r="H1621" s="30" t="n">
        <x:v>-71.08</x:v>
      </x:c>
      <x:c r="I1621" s="29" t="n">
        <x:v>75</x:v>
      </x:c>
      <x:c r="J1621" s="31" t="n">
        <x:v>3.5</x:v>
      </x:c>
      <x:c r="K1621" s="25" t="str">
        <x:f>IF(J1621&gt;=7,"Muy fuerte (&gt;=7)",IF(J1621&gt;=6,"Fuerte (6-6.9)",IF(J1621&gt;=5,"Moderado alto (5-5.9)",IF(J1621&gt;=4,"Moderado (4-4.9)","Menor a 4"))))</x:f>
        <x:v>Menor a 4</x:v>
      </x:c>
      <x:c r="L1621" s="25" t="str">
        <x:f>IF(I1621&lt;70,"Superficial (&lt;70 km)",IF(I1621&lt;=300,"Intermedio (70-300 km)","Profundo (&gt;300 km)"))</x:f>
        <x:v>Intermedio (70-300 km)</x:v>
      </x:c>
      <x:c r="M1621" s="25" t="str">
        <x:f>IF(J1621&gt;=5,"Sí","No")</x:f>
        <x:v>No</x:v>
      </x:c>
      <x:c r="N1621" s="25" t="str">
        <x:f>IF(J1621&gt;=6,"Sí","No")</x:f>
        <x:v>No</x:v>
      </x:c>
      <x:c r="O1621" s="25" t="str">
        <x:v>Pendiente: asignar con R/sf</x:v>
      </x:c>
    </x:row>
    <x:row r="1622">
      <x:c r="A1622" s="25" t="n">
        <x:v>1621</x:v>
      </x:c>
      <x:c r="B1622" s="26" t="n">
        <x:v>45158.59725694444</x:v>
      </x:c>
      <x:c r="C1622" s="27" t="n">
        <x:f>INT(B1622)</x:f>
        <x:v>45158</x:v>
      </x:c>
      <x:c r="D1622" s="28" t="n">
        <x:f>MOD(B1622,1)</x:f>
        <x:v>0.5972569444420515</x:v>
      </x:c>
      <x:c r="E1622" s="29" t="n">
        <x:f>YEAR(B1622)</x:f>
        <x:v>2023</x:v>
      </x:c>
      <x:c r="F1622" s="29" t="n">
        <x:f>MONTH(B1622)</x:f>
        <x:v>8</x:v>
      </x:c>
      <x:c r="G1622" s="30" t="n">
        <x:v>-28.85</x:v>
      </x:c>
      <x:c r="H1622" s="30" t="n">
        <x:v>-71.28</x:v>
      </x:c>
      <x:c r="I1622" s="29" t="n">
        <x:v>52</x:v>
      </x:c>
      <x:c r="J1622" s="31" t="n">
        <x:v>3.9</x:v>
      </x:c>
      <x:c r="K1622" s="25" t="str">
        <x:f>IF(J1622&gt;=7,"Muy fuerte (&gt;=7)",IF(J1622&gt;=6,"Fuerte (6-6.9)",IF(J1622&gt;=5,"Moderado alto (5-5.9)",IF(J1622&gt;=4,"Moderado (4-4.9)","Menor a 4"))))</x:f>
        <x:v>Menor a 4</x:v>
      </x:c>
      <x:c r="L1622" s="25" t="str">
        <x:f>IF(I1622&lt;70,"Superficial (&lt;70 km)",IF(I1622&lt;=300,"Intermedio (70-300 km)","Profundo (&gt;300 km)"))</x:f>
        <x:v>Superficial (&lt;70 km)</x:v>
      </x:c>
      <x:c r="M1622" s="25" t="str">
        <x:f>IF(J1622&gt;=5,"Sí","No")</x:f>
        <x:v>No</x:v>
      </x:c>
      <x:c r="N1622" s="25" t="str">
        <x:f>IF(J1622&gt;=6,"Sí","No")</x:f>
        <x:v>No</x:v>
      </x:c>
      <x:c r="O1622" s="25" t="str">
        <x:v>Pendiente: asignar con R/sf</x:v>
      </x:c>
    </x:row>
    <x:row r="1623">
      <x:c r="A1623" s="25" t="n">
        <x:v>1622</x:v>
      </x:c>
      <x:c r="B1623" s="26" t="n">
        <x:v>44823.3281712963</x:v>
      </x:c>
      <x:c r="C1623" s="27" t="n">
        <x:f>INT(B1623)</x:f>
        <x:v>44823</x:v>
      </x:c>
      <x:c r="D1623" s="28" t="n">
        <x:f>MOD(B1623,1)</x:f>
        <x:v>0.32817129629984265</x:v>
      </x:c>
      <x:c r="E1623" s="29" t="n">
        <x:f>YEAR(B1623)</x:f>
        <x:v>2022</x:v>
      </x:c>
      <x:c r="F1623" s="29" t="n">
        <x:f>MONTH(B1623)</x:f>
        <x:v>9</x:v>
      </x:c>
      <x:c r="G1623" s="30" t="n">
        <x:v>-29.29</x:v>
      </x:c>
      <x:c r="H1623" s="30" t="n">
        <x:v>-71.53</x:v>
      </x:c>
      <x:c r="I1623" s="29" t="n">
        <x:v>46</x:v>
      </x:c>
      <x:c r="J1623" s="31" t="n">
        <x:v>3</x:v>
      </x:c>
      <x:c r="K1623" s="25" t="str">
        <x:f>IF(J1623&gt;=7,"Muy fuerte (&gt;=7)",IF(J1623&gt;=6,"Fuerte (6-6.9)",IF(J1623&gt;=5,"Moderado alto (5-5.9)",IF(J1623&gt;=4,"Moderado (4-4.9)","Menor a 4"))))</x:f>
        <x:v>Menor a 4</x:v>
      </x:c>
      <x:c r="L1623" s="25" t="str">
        <x:f>IF(I1623&lt;70,"Superficial (&lt;70 km)",IF(I1623&lt;=300,"Intermedio (70-300 km)","Profundo (&gt;300 km)"))</x:f>
        <x:v>Superficial (&lt;70 km)</x:v>
      </x:c>
      <x:c r="M1623" s="25" t="str">
        <x:f>IF(J1623&gt;=5,"Sí","No")</x:f>
        <x:v>No</x:v>
      </x:c>
      <x:c r="N1623" s="25" t="str">
        <x:f>IF(J1623&gt;=6,"Sí","No")</x:f>
        <x:v>No</x:v>
      </x:c>
      <x:c r="O1623" s="25" t="str">
        <x:v>Pendiente: asignar con R/sf</x:v>
      </x:c>
    </x:row>
    <x:row r="1624">
      <x:c r="A1624" s="25" t="n">
        <x:v>1623</x:v>
      </x:c>
      <x:c r="B1624" s="26" t="n">
        <x:v>44990.119722222225</x:v>
      </x:c>
      <x:c r="C1624" s="27" t="n">
        <x:f>INT(B1624)</x:f>
        <x:v>44990</x:v>
      </x:c>
      <x:c r="D1624" s="28" t="n">
        <x:f>MOD(B1624,1)</x:f>
        <x:v>0.1197222222253913</x:v>
      </x:c>
      <x:c r="E1624" s="29" t="n">
        <x:f>YEAR(B1624)</x:f>
        <x:v>2023</x:v>
      </x:c>
      <x:c r="F1624" s="29" t="n">
        <x:f>MONTH(B1624)</x:f>
        <x:v>3</x:v>
      </x:c>
      <x:c r="G1624" s="30" t="n">
        <x:v>-29.32</x:v>
      </x:c>
      <x:c r="H1624" s="30" t="n">
        <x:v>-71.33</x:v>
      </x:c>
      <x:c r="I1624" s="29" t="n">
        <x:v>46</x:v>
      </x:c>
      <x:c r="J1624" s="31" t="n">
        <x:v>3.4</x:v>
      </x:c>
      <x:c r="K1624" s="25" t="str">
        <x:f>IF(J1624&gt;=7,"Muy fuerte (&gt;=7)",IF(J1624&gt;=6,"Fuerte (6-6.9)",IF(J1624&gt;=5,"Moderado alto (5-5.9)",IF(J1624&gt;=4,"Moderado (4-4.9)","Menor a 4"))))</x:f>
        <x:v>Menor a 4</x:v>
      </x:c>
      <x:c r="L1624" s="25" t="str">
        <x:f>IF(I1624&lt;70,"Superficial (&lt;70 km)",IF(I1624&lt;=300,"Intermedio (70-300 km)","Profundo (&gt;300 km)"))</x:f>
        <x:v>Superficial (&lt;70 km)</x:v>
      </x:c>
      <x:c r="M1624" s="25" t="str">
        <x:f>IF(J1624&gt;=5,"Sí","No")</x:f>
        <x:v>No</x:v>
      </x:c>
      <x:c r="N1624" s="25" t="str">
        <x:f>IF(J1624&gt;=6,"Sí","No")</x:f>
        <x:v>No</x:v>
      </x:c>
      <x:c r="O1624" s="25" t="str">
        <x:v>Pendiente: asignar con R/sf</x:v>
      </x:c>
    </x:row>
    <x:row r="1625">
      <x:c r="A1625" s="25" t="n">
        <x:v>1624</x:v>
      </x:c>
      <x:c r="B1625" s="26" t="n">
        <x:v>45076.27449074074</x:v>
      </x:c>
      <x:c r="C1625" s="27" t="n">
        <x:f>INT(B1625)</x:f>
        <x:v>45076</x:v>
      </x:c>
      <x:c r="D1625" s="28" t="n">
        <x:f>MOD(B1625,1)</x:f>
        <x:v>0.2744907407395658</x:v>
      </x:c>
      <x:c r="E1625" s="29" t="n">
        <x:f>YEAR(B1625)</x:f>
        <x:v>2023</x:v>
      </x:c>
      <x:c r="F1625" s="29" t="n">
        <x:f>MONTH(B1625)</x:f>
        <x:v>5</x:v>
      </x:c>
      <x:c r="G1625" s="30" t="n">
        <x:v>-29.47</x:v>
      </x:c>
      <x:c r="H1625" s="30" t="n">
        <x:v>-71.25</x:v>
      </x:c>
      <x:c r="I1625" s="29" t="n">
        <x:v>48</x:v>
      </x:c>
      <x:c r="J1625" s="31" t="n">
        <x:v>4.2</x:v>
      </x:c>
      <x:c r="K1625" s="25" t="str">
        <x:f>IF(J1625&gt;=7,"Muy fuerte (&gt;=7)",IF(J1625&gt;=6,"Fuerte (6-6.9)",IF(J1625&gt;=5,"Moderado alto (5-5.9)",IF(J1625&gt;=4,"Moderado (4-4.9)","Menor a 4"))))</x:f>
        <x:v>Moderado (4-4.9)</x:v>
      </x:c>
      <x:c r="L1625" s="25" t="str">
        <x:f>IF(I1625&lt;70,"Superficial (&lt;70 km)",IF(I1625&lt;=300,"Intermedio (70-300 km)","Profundo (&gt;300 km)"))</x:f>
        <x:v>Superficial (&lt;70 km)</x:v>
      </x:c>
      <x:c r="M1625" s="25" t="str">
        <x:f>IF(J1625&gt;=5,"Sí","No")</x:f>
        <x:v>No</x:v>
      </x:c>
      <x:c r="N1625" s="25" t="str">
        <x:f>IF(J1625&gt;=6,"Sí","No")</x:f>
        <x:v>No</x:v>
      </x:c>
      <x:c r="O1625" s="25" t="str">
        <x:v>Pendiente: asignar con R/sf</x:v>
      </x:c>
    </x:row>
    <x:row r="1626">
      <x:c r="A1626" s="25" t="n">
        <x:v>1625</x:v>
      </x:c>
      <x:c r="B1626" s="26" t="n">
        <x:v>45080.7121875</x:v>
      </x:c>
      <x:c r="C1626" s="27" t="n">
        <x:f>INT(B1626)</x:f>
        <x:v>45080</x:v>
      </x:c>
      <x:c r="D1626" s="28" t="n">
        <x:f>MOD(B1626,1)</x:f>
        <x:v>0.7121875000011642</x:v>
      </x:c>
      <x:c r="E1626" s="29" t="n">
        <x:f>YEAR(B1626)</x:f>
        <x:v>2023</x:v>
      </x:c>
      <x:c r="F1626" s="29" t="n">
        <x:f>MONTH(B1626)</x:f>
        <x:v>6</x:v>
      </x:c>
      <x:c r="G1626" s="30" t="n">
        <x:v>-29.3</x:v>
      </x:c>
      <x:c r="H1626" s="30" t="n">
        <x:v>-71.23</x:v>
      </x:c>
      <x:c r="I1626" s="29" t="n">
        <x:v>48</x:v>
      </x:c>
      <x:c r="J1626" s="31" t="n">
        <x:v>3.1</x:v>
      </x:c>
      <x:c r="K1626" s="25" t="str">
        <x:f>IF(J1626&gt;=7,"Muy fuerte (&gt;=7)",IF(J1626&gt;=6,"Fuerte (6-6.9)",IF(J1626&gt;=5,"Moderado alto (5-5.9)",IF(J1626&gt;=4,"Moderado (4-4.9)","Menor a 4"))))</x:f>
        <x:v>Menor a 4</x:v>
      </x:c>
      <x:c r="L1626" s="25" t="str">
        <x:f>IF(I1626&lt;70,"Superficial (&lt;70 km)",IF(I1626&lt;=300,"Intermedio (70-300 km)","Profundo (&gt;300 km)"))</x:f>
        <x:v>Superficial (&lt;70 km)</x:v>
      </x:c>
      <x:c r="M1626" s="25" t="str">
        <x:f>IF(J1626&gt;=5,"Sí","No")</x:f>
        <x:v>No</x:v>
      </x:c>
      <x:c r="N1626" s="25" t="str">
        <x:f>IF(J1626&gt;=6,"Sí","No")</x:f>
        <x:v>No</x:v>
      </x:c>
      <x:c r="O1626" s="25" t="str">
        <x:v>Pendiente: asignar con R/sf</x:v>
      </x:c>
    </x:row>
    <x:row r="1627">
      <x:c r="A1627" s="25" t="n">
        <x:v>1626</x:v>
      </x:c>
      <x:c r="B1627" s="26" t="n">
        <x:v>45088.603321759256</x:v>
      </x:c>
      <x:c r="C1627" s="27" t="n">
        <x:f>INT(B1627)</x:f>
        <x:v>45088</x:v>
      </x:c>
      <x:c r="D1627" s="28" t="n">
        <x:f>MOD(B1627,1)</x:f>
        <x:v>0.6033217592557776</x:v>
      </x:c>
      <x:c r="E1627" s="29" t="n">
        <x:f>YEAR(B1627)</x:f>
        <x:v>2023</x:v>
      </x:c>
      <x:c r="F1627" s="29" t="n">
        <x:f>MONTH(B1627)</x:f>
        <x:v>6</x:v>
      </x:c>
      <x:c r="G1627" s="30" t="n">
        <x:v>-29.52</x:v>
      </x:c>
      <x:c r="H1627" s="30" t="n">
        <x:v>-71.42</x:v>
      </x:c>
      <x:c r="I1627" s="29" t="n">
        <x:v>69</x:v>
      </x:c>
      <x:c r="J1627" s="31" t="n">
        <x:v>3.9</x:v>
      </x:c>
      <x:c r="K1627" s="25" t="str">
        <x:f>IF(J1627&gt;=7,"Muy fuerte (&gt;=7)",IF(J1627&gt;=6,"Fuerte (6-6.9)",IF(J1627&gt;=5,"Moderado alto (5-5.9)",IF(J1627&gt;=4,"Moderado (4-4.9)","Menor a 4"))))</x:f>
        <x:v>Menor a 4</x:v>
      </x:c>
      <x:c r="L1627" s="25" t="str">
        <x:f>IF(I1627&lt;70,"Superficial (&lt;70 km)",IF(I1627&lt;=300,"Intermedio (70-300 km)","Profundo (&gt;300 km)"))</x:f>
        <x:v>Superficial (&lt;70 km)</x:v>
      </x:c>
      <x:c r="M1627" s="25" t="str">
        <x:f>IF(J1627&gt;=5,"Sí","No")</x:f>
        <x:v>No</x:v>
      </x:c>
      <x:c r="N1627" s="25" t="str">
        <x:f>IF(J1627&gt;=6,"Sí","No")</x:f>
        <x:v>No</x:v>
      </x:c>
      <x:c r="O1627" s="25" t="str">
        <x:v>Pendiente: asignar con R/sf</x:v>
      </x:c>
    </x:row>
    <x:row r="1628">
      <x:c r="A1628" s="25" t="n">
        <x:v>1627</x:v>
      </x:c>
      <x:c r="B1628" s="26" t="n">
        <x:v>45168.6016087963</x:v>
      </x:c>
      <x:c r="C1628" s="27" t="n">
        <x:f>INT(B1628)</x:f>
        <x:v>45168</x:v>
      </x:c>
      <x:c r="D1628" s="28" t="n">
        <x:f>MOD(B1628,1)</x:f>
        <x:v>0.6016087962998427</x:v>
      </x:c>
      <x:c r="E1628" s="29" t="n">
        <x:f>YEAR(B1628)</x:f>
        <x:v>2023</x:v>
      </x:c>
      <x:c r="F1628" s="29" t="n">
        <x:f>MONTH(B1628)</x:f>
        <x:v>8</x:v>
      </x:c>
      <x:c r="G1628" s="30" t="n">
        <x:v>-29.46</x:v>
      </x:c>
      <x:c r="H1628" s="30" t="n">
        <x:v>-71.26</x:v>
      </x:c>
      <x:c r="I1628" s="29" t="n">
        <x:v>42</x:v>
      </x:c>
      <x:c r="J1628" s="31" t="n">
        <x:v>3</x:v>
      </x:c>
      <x:c r="K1628" s="25" t="str">
        <x:f>IF(J1628&gt;=7,"Muy fuerte (&gt;=7)",IF(J1628&gt;=6,"Fuerte (6-6.9)",IF(J1628&gt;=5,"Moderado alto (5-5.9)",IF(J1628&gt;=4,"Moderado (4-4.9)","Menor a 4"))))</x:f>
        <x:v>Menor a 4</x:v>
      </x:c>
      <x:c r="L1628" s="25" t="str">
        <x:f>IF(I1628&lt;70,"Superficial (&lt;70 km)",IF(I1628&lt;=300,"Intermedio (70-300 km)","Profundo (&gt;300 km)"))</x:f>
        <x:v>Superficial (&lt;70 km)</x:v>
      </x:c>
      <x:c r="M1628" s="25" t="str">
        <x:f>IF(J1628&gt;=5,"Sí","No")</x:f>
        <x:v>No</x:v>
      </x:c>
      <x:c r="N1628" s="25" t="str">
        <x:f>IF(J1628&gt;=6,"Sí","No")</x:f>
        <x:v>No</x:v>
      </x:c>
      <x:c r="O1628" s="25" t="str">
        <x:v>Pendiente: asignar con R/sf</x:v>
      </x:c>
    </x:row>
    <x:row r="1629">
      <x:c r="A1629" s="25" t="n">
        <x:v>1628</x:v>
      </x:c>
      <x:c r="B1629" s="26" t="n">
        <x:v>45179.31821759259</x:v>
      </x:c>
      <x:c r="C1629" s="27" t="n">
        <x:f>INT(B1629)</x:f>
        <x:v>45179</x:v>
      </x:c>
      <x:c r="D1629" s="28" t="n">
        <x:f>MOD(B1629,1)</x:f>
        <x:v>0.3182175925903721</x:v>
      </x:c>
      <x:c r="E1629" s="29" t="n">
        <x:f>YEAR(B1629)</x:f>
        <x:v>2023</x:v>
      </x:c>
      <x:c r="F1629" s="29" t="n">
        <x:f>MONTH(B1629)</x:f>
        <x:v>9</x:v>
      </x:c>
      <x:c r="G1629" s="30" t="n">
        <x:v>-30.06</x:v>
      </x:c>
      <x:c r="H1629" s="30" t="n">
        <x:v>-71.15</x:v>
      </x:c>
      <x:c r="I1629" s="29" t="n">
        <x:v>63</x:v>
      </x:c>
      <x:c r="J1629" s="31" t="n">
        <x:v>4.4</x:v>
      </x:c>
      <x:c r="K1629" s="25" t="str">
        <x:f>IF(J1629&gt;=7,"Muy fuerte (&gt;=7)",IF(J1629&gt;=6,"Fuerte (6-6.9)",IF(J1629&gt;=5,"Moderado alto (5-5.9)",IF(J1629&gt;=4,"Moderado (4-4.9)","Menor a 4"))))</x:f>
        <x:v>Moderado (4-4.9)</x:v>
      </x:c>
      <x:c r="L1629" s="25" t="str">
        <x:f>IF(I1629&lt;70,"Superficial (&lt;70 km)",IF(I1629&lt;=300,"Intermedio (70-300 km)","Profundo (&gt;300 km)"))</x:f>
        <x:v>Superficial (&lt;70 km)</x:v>
      </x:c>
      <x:c r="M1629" s="25" t="str">
        <x:f>IF(J1629&gt;=5,"Sí","No")</x:f>
        <x:v>No</x:v>
      </x:c>
      <x:c r="N1629" s="25" t="str">
        <x:f>IF(J1629&gt;=6,"Sí","No")</x:f>
        <x:v>No</x:v>
      </x:c>
      <x:c r="O1629" s="25" t="str">
        <x:v>Pendiente: asignar con R/sf</x:v>
      </x:c>
    </x:row>
    <x:row r="1630">
      <x:c r="A1630" s="25" t="n">
        <x:v>1629</x:v>
      </x:c>
      <x:c r="B1630" s="26" t="n">
        <x:v>45137.09471064815</x:v>
      </x:c>
      <x:c r="C1630" s="27" t="n">
        <x:f>INT(B1630)</x:f>
        <x:v>45137</x:v>
      </x:c>
      <x:c r="D1630" s="28" t="n">
        <x:f>MOD(B1630,1)</x:f>
        <x:v>0.09471064814715646</x:v>
      </x:c>
      <x:c r="E1630" s="29" t="n">
        <x:f>YEAR(B1630)</x:f>
        <x:v>2023</x:v>
      </x:c>
      <x:c r="F1630" s="29" t="n">
        <x:f>MONTH(B1630)</x:f>
        <x:v>7</x:v>
      </x:c>
      <x:c r="G1630" s="30" t="n">
        <x:v>-37.4</x:v>
      </x:c>
      <x:c r="H1630" s="30" t="n">
        <x:v>-73.18</x:v>
      </x:c>
      <x:c r="I1630" s="29" t="n">
        <x:v>58</x:v>
      </x:c>
      <x:c r="J1630" s="31" t="n">
        <x:v>4.9</x:v>
      </x:c>
      <x:c r="K1630" s="25" t="str">
        <x:f>IF(J1630&gt;=7,"Muy fuerte (&gt;=7)",IF(J1630&gt;=6,"Fuerte (6-6.9)",IF(J1630&gt;=5,"Moderado alto (5-5.9)",IF(J1630&gt;=4,"Moderado (4-4.9)","Menor a 4"))))</x:f>
        <x:v>Moderado (4-4.9)</x:v>
      </x:c>
      <x:c r="L1630" s="25" t="str">
        <x:f>IF(I1630&lt;70,"Superficial (&lt;70 km)",IF(I1630&lt;=300,"Intermedio (70-300 km)","Profundo (&gt;300 km)"))</x:f>
        <x:v>Superficial (&lt;70 km)</x:v>
      </x:c>
      <x:c r="M1630" s="25" t="str">
        <x:f>IF(J1630&gt;=5,"Sí","No")</x:f>
        <x:v>No</x:v>
      </x:c>
      <x:c r="N1630" s="25" t="str">
        <x:f>IF(J1630&gt;=6,"Sí","No")</x:f>
        <x:v>No</x:v>
      </x:c>
      <x:c r="O1630" s="25" t="str">
        <x:v>Pendiente: asignar con R/sf</x:v>
      </x:c>
    </x:row>
    <x:row r="1631">
      <x:c r="A1631" s="25" t="n">
        <x:v>1630</x:v>
      </x:c>
      <x:c r="B1631" s="26" t="n">
        <x:v>45081.312997685185</x:v>
      </x:c>
      <x:c r="C1631" s="27" t="n">
        <x:f>INT(B1631)</x:f>
        <x:v>45081</x:v>
      </x:c>
      <x:c r="D1631" s="28" t="n">
        <x:f>MOD(B1631,1)</x:f>
        <x:v>0.31299768518510973</x:v>
      </x:c>
      <x:c r="E1631" s="29" t="n">
        <x:f>YEAR(B1631)</x:f>
        <x:v>2023</x:v>
      </x:c>
      <x:c r="F1631" s="29" t="n">
        <x:f>MONTH(B1631)</x:f>
        <x:v>6</x:v>
      </x:c>
      <x:c r="G1631" s="30" t="n">
        <x:v>-28.42</x:v>
      </x:c>
      <x:c r="H1631" s="30" t="n">
        <x:v>-70.78</x:v>
      </x:c>
      <x:c r="I1631" s="29" t="n">
        <x:v>76</x:v>
      </x:c>
      <x:c r="J1631" s="31" t="n">
        <x:v>4.3</x:v>
      </x:c>
      <x:c r="K1631" s="25" t="str">
        <x:f>IF(J1631&gt;=7,"Muy fuerte (&gt;=7)",IF(J1631&gt;=6,"Fuerte (6-6.9)",IF(J1631&gt;=5,"Moderado alto (5-5.9)",IF(J1631&gt;=4,"Moderado (4-4.9)","Menor a 4"))))</x:f>
        <x:v>Moderado (4-4.9)</x:v>
      </x:c>
      <x:c r="L1631" s="25" t="str">
        <x:f>IF(I1631&lt;70,"Superficial (&lt;70 km)",IF(I1631&lt;=300,"Intermedio (70-300 km)","Profundo (&gt;300 km)"))</x:f>
        <x:v>Intermedio (70-300 km)</x:v>
      </x:c>
      <x:c r="M1631" s="25" t="str">
        <x:f>IF(J1631&gt;=5,"Sí","No")</x:f>
        <x:v>No</x:v>
      </x:c>
      <x:c r="N1631" s="25" t="str">
        <x:f>IF(J1631&gt;=6,"Sí","No")</x:f>
        <x:v>No</x:v>
      </x:c>
      <x:c r="O1631" s="25" t="str">
        <x:v>Pendiente: asignar con R/sf</x:v>
      </x:c>
    </x:row>
    <x:row r="1632">
      <x:c r="A1632" s="25" t="n">
        <x:v>1631</x:v>
      </x:c>
      <x:c r="B1632" s="26" t="n">
        <x:v>45166.560324074075</x:v>
      </x:c>
      <x:c r="C1632" s="27" t="n">
        <x:f>INT(B1632)</x:f>
        <x:v>45166</x:v>
      </x:c>
      <x:c r="D1632" s="28" t="n">
        <x:f>MOD(B1632,1)</x:f>
        <x:v>0.5603240740747424</x:v>
      </x:c>
      <x:c r="E1632" s="29" t="n">
        <x:f>YEAR(B1632)</x:f>
        <x:v>2023</x:v>
      </x:c>
      <x:c r="F1632" s="29" t="n">
        <x:f>MONTH(B1632)</x:f>
        <x:v>8</x:v>
      </x:c>
      <x:c r="G1632" s="30" t="n">
        <x:v>-28.81</x:v>
      </x:c>
      <x:c r="H1632" s="30" t="n">
        <x:v>-71.11</x:v>
      </x:c>
      <x:c r="I1632" s="29" t="n">
        <x:v>57</x:v>
      </x:c>
      <x:c r="J1632" s="31" t="n">
        <x:v>3.6</x:v>
      </x:c>
      <x:c r="K1632" s="25" t="str">
        <x:f>IF(J1632&gt;=7,"Muy fuerte (&gt;=7)",IF(J1632&gt;=6,"Fuerte (6-6.9)",IF(J1632&gt;=5,"Moderado alto (5-5.9)",IF(J1632&gt;=4,"Moderado (4-4.9)","Menor a 4"))))</x:f>
        <x:v>Menor a 4</x:v>
      </x:c>
      <x:c r="L1632" s="25" t="str">
        <x:f>IF(I1632&lt;70,"Superficial (&lt;70 km)",IF(I1632&lt;=300,"Intermedio (70-300 km)","Profundo (&gt;300 km)"))</x:f>
        <x:v>Superficial (&lt;70 km)</x:v>
      </x:c>
      <x:c r="M1632" s="25" t="str">
        <x:f>IF(J1632&gt;=5,"Sí","No")</x:f>
        <x:v>No</x:v>
      </x:c>
      <x:c r="N1632" s="25" t="str">
        <x:f>IF(J1632&gt;=6,"Sí","No")</x:f>
        <x:v>No</x:v>
      </x:c>
      <x:c r="O1632" s="25" t="str">
        <x:v>Pendiente: asignar con R/sf</x:v>
      </x:c>
    </x:row>
    <x:row r="1633">
      <x:c r="A1633" s="25" t="n">
        <x:v>1632</x:v>
      </x:c>
      <x:c r="B1633" s="26" t="n">
        <x:v>45236.577199074076</x:v>
      </x:c>
      <x:c r="C1633" s="27" t="n">
        <x:f>INT(B1633)</x:f>
        <x:v>45236</x:v>
      </x:c>
      <x:c r="D1633" s="28" t="n">
        <x:f>MOD(B1633,1)</x:f>
        <x:v>0.5771990740759065</x:v>
      </x:c>
      <x:c r="E1633" s="29" t="n">
        <x:f>YEAR(B1633)</x:f>
        <x:v>2023</x:v>
      </x:c>
      <x:c r="F1633" s="29" t="n">
        <x:f>MONTH(B1633)</x:f>
        <x:v>11</x:v>
      </x:c>
      <x:c r="G1633" s="30" t="n">
        <x:v>-33.06</x:v>
      </x:c>
      <x:c r="H1633" s="30" t="n">
        <x:v>-71.94</x:v>
      </x:c>
      <x:c r="I1633" s="29" t="n">
        <x:v>46</x:v>
      </x:c>
      <x:c r="J1633" s="31" t="n">
        <x:v>5.2</x:v>
      </x:c>
      <x:c r="K1633" s="25" t="str">
        <x:f>IF(J1633&gt;=7,"Muy fuerte (&gt;=7)",IF(J1633&gt;=6,"Fuerte (6-6.9)",IF(J1633&gt;=5,"Moderado alto (5-5.9)",IF(J1633&gt;=4,"Moderado (4-4.9)","Menor a 4"))))</x:f>
        <x:v>Moderado alto (5-5.9)</x:v>
      </x:c>
      <x:c r="L1633" s="25" t="str">
        <x:f>IF(I1633&lt;70,"Superficial (&lt;70 km)",IF(I1633&lt;=300,"Intermedio (70-300 km)","Profundo (&gt;300 km)"))</x:f>
        <x:v>Superficial (&lt;70 km)</x:v>
      </x:c>
      <x:c r="M1633" s="25" t="str">
        <x:f>IF(J1633&gt;=5,"Sí","No")</x:f>
        <x:v>Sí</x:v>
      </x:c>
      <x:c r="N1633" s="25" t="str">
        <x:f>IF(J1633&gt;=6,"Sí","No")</x:f>
        <x:v>No</x:v>
      </x:c>
      <x:c r="O1633" s="25" t="str">
        <x:v>Pendiente: asignar con R/sf</x:v>
      </x:c>
    </x:row>
    <x:row r="1634">
      <x:c r="A1634" s="25" t="n">
        <x:v>1633</x:v>
      </x:c>
      <x:c r="B1634" s="26" t="n">
        <x:v>45250.8771875</x:v>
      </x:c>
      <x:c r="C1634" s="27" t="n">
        <x:f>INT(B1634)</x:f>
        <x:v>45250</x:v>
      </x:c>
      <x:c r="D1634" s="28" t="n">
        <x:f>MOD(B1634,1)</x:f>
        <x:v>0.8771875000020373</x:v>
      </x:c>
      <x:c r="E1634" s="29" t="n">
        <x:f>YEAR(B1634)</x:f>
        <x:v>2023</x:v>
      </x:c>
      <x:c r="F1634" s="29" t="n">
        <x:f>MONTH(B1634)</x:f>
        <x:v>11</x:v>
      </x:c>
      <x:c r="G1634" s="30" t="n">
        <x:v>-30.8</x:v>
      </x:c>
      <x:c r="H1634" s="30" t="n">
        <x:v>-71.39</x:v>
      </x:c>
      <x:c r="I1634" s="29" t="n">
        <x:v>50</x:v>
      </x:c>
      <x:c r="J1634" s="31" t="n">
        <x:v>5.1</x:v>
      </x:c>
      <x:c r="K1634" s="25" t="str">
        <x:f>IF(J1634&gt;=7,"Muy fuerte (&gt;=7)",IF(J1634&gt;=6,"Fuerte (6-6.9)",IF(J1634&gt;=5,"Moderado alto (5-5.9)",IF(J1634&gt;=4,"Moderado (4-4.9)","Menor a 4"))))</x:f>
        <x:v>Moderado alto (5-5.9)</x:v>
      </x:c>
      <x:c r="L1634" s="25" t="str">
        <x:f>IF(I1634&lt;70,"Superficial (&lt;70 km)",IF(I1634&lt;=300,"Intermedio (70-300 km)","Profundo (&gt;300 km)"))</x:f>
        <x:v>Superficial (&lt;70 km)</x:v>
      </x:c>
      <x:c r="M1634" s="25" t="str">
        <x:f>IF(J1634&gt;=5,"Sí","No")</x:f>
        <x:v>Sí</x:v>
      </x:c>
      <x:c r="N1634" s="25" t="str">
        <x:f>IF(J1634&gt;=6,"Sí","No")</x:f>
        <x:v>No</x:v>
      </x:c>
      <x:c r="O1634" s="25" t="str">
        <x:v>Pendiente: asignar con R/sf</x:v>
      </x:c>
    </x:row>
    <x:row r="1635">
      <x:c r="A1635" s="25" t="n">
        <x:v>1634</x:v>
      </x:c>
      <x:c r="B1635" s="26" t="n">
        <x:v>45253.65078703704</x:v>
      </x:c>
      <x:c r="C1635" s="27" t="n">
        <x:f>INT(B1635)</x:f>
        <x:v>45253</x:v>
      </x:c>
      <x:c r="D1635" s="28" t="n">
        <x:f>MOD(B1635,1)</x:f>
        <x:v>0.6507870370405726</x:v>
      </x:c>
      <x:c r="E1635" s="29" t="n">
        <x:f>YEAR(B1635)</x:f>
        <x:v>2023</x:v>
      </x:c>
      <x:c r="F1635" s="29" t="n">
        <x:f>MONTH(B1635)</x:f>
        <x:v>11</x:v>
      </x:c>
      <x:c r="G1635" s="30" t="n">
        <x:v>-21.94</x:v>
      </x:c>
      <x:c r="H1635" s="30" t="n">
        <x:v>-68.75</x:v>
      </x:c>
      <x:c r="I1635" s="29" t="n">
        <x:v>141</x:v>
      </x:c>
      <x:c r="J1635" s="31" t="n">
        <x:v>5.3</x:v>
      </x:c>
      <x:c r="K1635" s="25" t="str">
        <x:f>IF(J1635&gt;=7,"Muy fuerte (&gt;=7)",IF(J1635&gt;=6,"Fuerte (6-6.9)",IF(J1635&gt;=5,"Moderado alto (5-5.9)",IF(J1635&gt;=4,"Moderado (4-4.9)","Menor a 4"))))</x:f>
        <x:v>Moderado alto (5-5.9)</x:v>
      </x:c>
      <x:c r="L1635" s="25" t="str">
        <x:f>IF(I1635&lt;70,"Superficial (&lt;70 km)",IF(I1635&lt;=300,"Intermedio (70-300 km)","Profundo (&gt;300 km)"))</x:f>
        <x:v>Intermedio (70-300 km)</x:v>
      </x:c>
      <x:c r="M1635" s="25" t="str">
        <x:f>IF(J1635&gt;=5,"Sí","No")</x:f>
        <x:v>Sí</x:v>
      </x:c>
      <x:c r="N1635" s="25" t="str">
        <x:f>IF(J1635&gt;=6,"Sí","No")</x:f>
        <x:v>No</x:v>
      </x:c>
      <x:c r="O1635" s="25" t="str">
        <x:v>Pendiente: asignar con R/sf</x:v>
      </x:c>
    </x:row>
    <x:row r="1636">
      <x:c r="A1636" s="25" t="n">
        <x:v>1635</x:v>
      </x:c>
      <x:c r="B1636" s="26" t="n">
        <x:v>45168.380057870374</x:v>
      </x:c>
      <x:c r="C1636" s="27" t="n">
        <x:f>INT(B1636)</x:f>
        <x:v>45168</x:v>
      </x:c>
      <x:c r="D1636" s="28" t="n">
        <x:f>MOD(B1636,1)</x:f>
        <x:v>0.38005787037400296</x:v>
      </x:c>
      <x:c r="E1636" s="29" t="n">
        <x:f>YEAR(B1636)</x:f>
        <x:v>2023</x:v>
      </x:c>
      <x:c r="F1636" s="29" t="n">
        <x:f>MONTH(B1636)</x:f>
        <x:v>8</x:v>
      </x:c>
      <x:c r="G1636" s="30" t="n">
        <x:v>-32.77</x:v>
      </x:c>
      <x:c r="H1636" s="30" t="n">
        <x:v>-71.64</x:v>
      </x:c>
      <x:c r="I1636" s="29" t="n">
        <x:v>58</x:v>
      </x:c>
      <x:c r="J1636" s="31" t="n">
        <x:v>4.2</x:v>
      </x:c>
      <x:c r="K1636" s="25" t="str">
        <x:f>IF(J1636&gt;=7,"Muy fuerte (&gt;=7)",IF(J1636&gt;=6,"Fuerte (6-6.9)",IF(J1636&gt;=5,"Moderado alto (5-5.9)",IF(J1636&gt;=4,"Moderado (4-4.9)","Menor a 4"))))</x:f>
        <x:v>Moderado (4-4.9)</x:v>
      </x:c>
      <x:c r="L1636" s="25" t="str">
        <x:f>IF(I1636&lt;70,"Superficial (&lt;70 km)",IF(I1636&lt;=300,"Intermedio (70-300 km)","Profundo (&gt;300 km)"))</x:f>
        <x:v>Superficial (&lt;70 km)</x:v>
      </x:c>
      <x:c r="M1636" s="25" t="str">
        <x:f>IF(J1636&gt;=5,"Sí","No")</x:f>
        <x:v>No</x:v>
      </x:c>
      <x:c r="N1636" s="25" t="str">
        <x:f>IF(J1636&gt;=6,"Sí","No")</x:f>
        <x:v>No</x:v>
      </x:c>
      <x:c r="O1636" s="25" t="str">
        <x:v>Pendiente: asignar con R/sf</x:v>
      </x:c>
    </x:row>
    <x:row r="1637">
      <x:c r="A1637" s="25" t="n">
        <x:v>1636</x:v>
      </x:c>
      <x:c r="B1637" s="26" t="n">
        <x:v>44186.26981481481</x:v>
      </x:c>
      <x:c r="C1637" s="27" t="n">
        <x:f>INT(B1637)</x:f>
        <x:v>44186</x:v>
      </x:c>
      <x:c r="D1637" s="28" t="n">
        <x:f>MOD(B1637,1)</x:f>
        <x:v>0.2698148148119799</x:v>
      </x:c>
      <x:c r="E1637" s="29" t="n">
        <x:f>YEAR(B1637)</x:f>
        <x:v>2020</x:v>
      </x:c>
      <x:c r="F1637" s="29" t="n">
        <x:f>MONTH(B1637)</x:f>
        <x:v>12</x:v>
      </x:c>
      <x:c r="G1637" s="30" t="n">
        <x:v>-33.16</x:v>
      </x:c>
      <x:c r="H1637" s="30" t="n">
        <x:v>-70.69</x:v>
      </x:c>
      <x:c r="I1637" s="29" t="n">
        <x:v>91</x:v>
      </x:c>
      <x:c r="J1637" s="31" t="n">
        <x:v>4.2</x:v>
      </x:c>
      <x:c r="K1637" s="25" t="str">
        <x:f>IF(J1637&gt;=7,"Muy fuerte (&gt;=7)",IF(J1637&gt;=6,"Fuerte (6-6.9)",IF(J1637&gt;=5,"Moderado alto (5-5.9)",IF(J1637&gt;=4,"Moderado (4-4.9)","Menor a 4"))))</x:f>
        <x:v>Moderado (4-4.9)</x:v>
      </x:c>
      <x:c r="L1637" s="25" t="str">
        <x:f>IF(I1637&lt;70,"Superficial (&lt;70 km)",IF(I1637&lt;=300,"Intermedio (70-300 km)","Profundo (&gt;300 km)"))</x:f>
        <x:v>Intermedio (70-300 km)</x:v>
      </x:c>
      <x:c r="M1637" s="25" t="str">
        <x:f>IF(J1637&gt;=5,"Sí","No")</x:f>
        <x:v>No</x:v>
      </x:c>
      <x:c r="N1637" s="25" t="str">
        <x:f>IF(J1637&gt;=6,"Sí","No")</x:f>
        <x:v>No</x:v>
      </x:c>
      <x:c r="O1637" s="25" t="str">
        <x:v>Pendiente: asignar con R/sf</x:v>
      </x:c>
    </x:row>
    <x:row r="1638">
      <x:c r="A1638" s="25" t="n">
        <x:v>1637</x:v>
      </x:c>
      <x:c r="B1638" s="26" t="n">
        <x:v>45155.07105324074</x:v>
      </x:c>
      <x:c r="C1638" s="27" t="n">
        <x:f>INT(B1638)</x:f>
        <x:v>45155</x:v>
      </x:c>
      <x:c r="D1638" s="28" t="n">
        <x:f>MOD(B1638,1)</x:f>
        <x:v>0.07105324073927477</x:v>
      </x:c>
      <x:c r="E1638" s="29" t="n">
        <x:f>YEAR(B1638)</x:f>
        <x:v>2023</x:v>
      </x:c>
      <x:c r="F1638" s="29" t="n">
        <x:f>MONTH(B1638)</x:f>
        <x:v>8</x:v>
      </x:c>
      <x:c r="G1638" s="30" t="n">
        <x:v>-33.25</x:v>
      </x:c>
      <x:c r="H1638" s="30" t="n">
        <x:v>-70.4</x:v>
      </x:c>
      <x:c r="I1638" s="29" t="n">
        <x:v>108</x:v>
      </x:c>
      <x:c r="J1638" s="31" t="n">
        <x:v>4.6</x:v>
      </x:c>
      <x:c r="K1638" s="25" t="str">
        <x:f>IF(J1638&gt;=7,"Muy fuerte (&gt;=7)",IF(J1638&gt;=6,"Fuerte (6-6.9)",IF(J1638&gt;=5,"Moderado alto (5-5.9)",IF(J1638&gt;=4,"Moderado (4-4.9)","Menor a 4"))))</x:f>
        <x:v>Moderado (4-4.9)</x:v>
      </x:c>
      <x:c r="L1638" s="25" t="str">
        <x:f>IF(I1638&lt;70,"Superficial (&lt;70 km)",IF(I1638&lt;=300,"Intermedio (70-300 km)","Profundo (&gt;300 km)"))</x:f>
        <x:v>Intermedio (70-300 km)</x:v>
      </x:c>
      <x:c r="M1638" s="25" t="str">
        <x:f>IF(J1638&gt;=5,"Sí","No")</x:f>
        <x:v>No</x:v>
      </x:c>
      <x:c r="N1638" s="25" t="str">
        <x:f>IF(J1638&gt;=6,"Sí","No")</x:f>
        <x:v>No</x:v>
      </x:c>
      <x:c r="O1638" s="25" t="str">
        <x:v>Pendiente: asignar con R/sf</x:v>
      </x:c>
    </x:row>
    <x:row r="1639">
      <x:c r="A1639" s="25" t="n">
        <x:v>1638</x:v>
      </x:c>
      <x:c r="B1639" s="26" t="n">
        <x:v>45146.81043981481</x:v>
      </x:c>
      <x:c r="C1639" s="27" t="n">
        <x:f>INT(B1639)</x:f>
        <x:v>45146</x:v>
      </x:c>
      <x:c r="D1639" s="28" t="n">
        <x:f>MOD(B1639,1)</x:f>
        <x:v>0.8104398148134351</x:v>
      </x:c>
      <x:c r="E1639" s="29" t="n">
        <x:f>YEAR(B1639)</x:f>
        <x:v>2023</x:v>
      </x:c>
      <x:c r="F1639" s="29" t="n">
        <x:f>MONTH(B1639)</x:f>
        <x:v>8</x:v>
      </x:c>
      <x:c r="G1639" s="30" t="n">
        <x:v>-33.52</x:v>
      </x:c>
      <x:c r="H1639" s="30" t="n">
        <x:v>-71.73</x:v>
      </x:c>
      <x:c r="I1639" s="29" t="n">
        <x:v>34</x:v>
      </x:c>
      <x:c r="J1639" s="31" t="n">
        <x:v>4.1</x:v>
      </x:c>
      <x:c r="K1639" s="25" t="str">
        <x:f>IF(J1639&gt;=7,"Muy fuerte (&gt;=7)",IF(J1639&gt;=6,"Fuerte (6-6.9)",IF(J1639&gt;=5,"Moderado alto (5-5.9)",IF(J1639&gt;=4,"Moderado (4-4.9)","Menor a 4"))))</x:f>
        <x:v>Moderado (4-4.9)</x:v>
      </x:c>
      <x:c r="L1639" s="25" t="str">
        <x:f>IF(I1639&lt;70,"Superficial (&lt;70 km)",IF(I1639&lt;=300,"Intermedio (70-300 km)","Profundo (&gt;300 km)"))</x:f>
        <x:v>Superficial (&lt;70 km)</x:v>
      </x:c>
      <x:c r="M1639" s="25" t="str">
        <x:f>IF(J1639&gt;=5,"Sí","No")</x:f>
        <x:v>No</x:v>
      </x:c>
      <x:c r="N1639" s="25" t="str">
        <x:f>IF(J1639&gt;=6,"Sí","No")</x:f>
        <x:v>No</x:v>
      </x:c>
      <x:c r="O1639" s="25" t="str">
        <x:v>Pendiente: asignar con R/sf</x:v>
      </x:c>
    </x:row>
    <x:row r="1640">
      <x:c r="A1640" s="25" t="n">
        <x:v>1639</x:v>
      </x:c>
      <x:c r="B1640" s="26" t="n">
        <x:v>44070.65054398148</x:v>
      </x:c>
      <x:c r="C1640" s="27" t="n">
        <x:f>INT(B1640)</x:f>
        <x:v>44070</x:v>
      </x:c>
      <x:c r="D1640" s="28" t="n">
        <x:f>MOD(B1640,1)</x:f>
        <x:v>0.6505439814791316</x:v>
      </x:c>
      <x:c r="E1640" s="29" t="n">
        <x:f>YEAR(B1640)</x:f>
        <x:v>2020</x:v>
      </x:c>
      <x:c r="F1640" s="29" t="n">
        <x:f>MONTH(B1640)</x:f>
        <x:v>8</x:v>
      </x:c>
      <x:c r="G1640" s="30" t="n">
        <x:v>-33.45</x:v>
      </x:c>
      <x:c r="H1640" s="30" t="n">
        <x:v>-71.85</x:v>
      </x:c>
      <x:c r="I1640" s="29" t="n">
        <x:v>32</x:v>
      </x:c>
      <x:c r="J1640" s="31" t="n">
        <x:v>3.4</x:v>
      </x:c>
      <x:c r="K1640" s="25" t="str">
        <x:f>IF(J1640&gt;=7,"Muy fuerte (&gt;=7)",IF(J1640&gt;=6,"Fuerte (6-6.9)",IF(J1640&gt;=5,"Moderado alto (5-5.9)",IF(J1640&gt;=4,"Moderado (4-4.9)","Menor a 4"))))</x:f>
        <x:v>Menor a 4</x:v>
      </x:c>
      <x:c r="L1640" s="25" t="str">
        <x:f>IF(I1640&lt;70,"Superficial (&lt;70 km)",IF(I1640&lt;=300,"Intermedio (70-300 km)","Profundo (&gt;300 km)"))</x:f>
        <x:v>Superficial (&lt;70 km)</x:v>
      </x:c>
      <x:c r="M1640" s="25" t="str">
        <x:f>IF(J1640&gt;=5,"Sí","No")</x:f>
        <x:v>No</x:v>
      </x:c>
      <x:c r="N1640" s="25" t="str">
        <x:f>IF(J1640&gt;=6,"Sí","No")</x:f>
        <x:v>No</x:v>
      </x:c>
      <x:c r="O1640" s="25" t="str">
        <x:v>Pendiente: asignar con R/sf</x:v>
      </x:c>
    </x:row>
    <x:row r="1641">
      <x:c r="A1641" s="25" t="n">
        <x:v>1640</x:v>
      </x:c>
      <x:c r="B1641" s="26" t="n">
        <x:v>44890.08042824074</x:v>
      </x:c>
      <x:c r="C1641" s="27" t="n">
        <x:f>INT(B1641)</x:f>
        <x:v>44890</x:v>
      </x:c>
      <x:c r="D1641" s="28" t="n">
        <x:f>MOD(B1641,1)</x:f>
        <x:v>0.08042824074072996</x:v>
      </x:c>
      <x:c r="E1641" s="29" t="n">
        <x:f>YEAR(B1641)</x:f>
        <x:v>2022</x:v>
      </x:c>
      <x:c r="F1641" s="29" t="n">
        <x:f>MONTH(B1641)</x:f>
        <x:v>11</x:v>
      </x:c>
      <x:c r="G1641" s="30" t="n">
        <x:v>-25.54</x:v>
      </x:c>
      <x:c r="H1641" s="30" t="n">
        <x:v>-69.55</x:v>
      </x:c>
      <x:c r="I1641" s="29" t="n">
        <x:v>110</x:v>
      </x:c>
      <x:c r="J1641" s="31" t="n">
        <x:v>4.4</x:v>
      </x:c>
      <x:c r="K1641" s="25" t="str">
        <x:f>IF(J1641&gt;=7,"Muy fuerte (&gt;=7)",IF(J1641&gt;=6,"Fuerte (6-6.9)",IF(J1641&gt;=5,"Moderado alto (5-5.9)",IF(J1641&gt;=4,"Moderado (4-4.9)","Menor a 4"))))</x:f>
        <x:v>Moderado (4-4.9)</x:v>
      </x:c>
      <x:c r="L1641" s="25" t="str">
        <x:f>IF(I1641&lt;70,"Superficial (&lt;70 km)",IF(I1641&lt;=300,"Intermedio (70-300 km)","Profundo (&gt;300 km)"))</x:f>
        <x:v>Intermedio (70-300 km)</x:v>
      </x:c>
      <x:c r="M1641" s="25" t="str">
        <x:f>IF(J1641&gt;=5,"Sí","No")</x:f>
        <x:v>No</x:v>
      </x:c>
      <x:c r="N1641" s="25" t="str">
        <x:f>IF(J1641&gt;=6,"Sí","No")</x:f>
        <x:v>No</x:v>
      </x:c>
      <x:c r="O1641" s="25" t="str">
        <x:v>Pendiente: asignar con R/sf</x:v>
      </x:c>
    </x:row>
    <x:row r="1642">
      <x:c r="A1642" s="25" t="n">
        <x:v>1641</x:v>
      </x:c>
      <x:c r="B1642" s="26" t="n">
        <x:v>45189.41600694445</x:v>
      </x:c>
      <x:c r="C1642" s="27" t="n">
        <x:f>INT(B1642)</x:f>
        <x:v>45189</x:v>
      </x:c>
      <x:c r="D1642" s="28" t="n">
        <x:f>MOD(B1642,1)</x:f>
        <x:v>0.41600694444787223</x:v>
      </x:c>
      <x:c r="E1642" s="29" t="n">
        <x:f>YEAR(B1642)</x:f>
        <x:v>2023</x:v>
      </x:c>
      <x:c r="F1642" s="29" t="n">
        <x:f>MONTH(B1642)</x:f>
        <x:v>9</x:v>
      </x:c>
      <x:c r="G1642" s="30" t="n">
        <x:v>-25.01</x:v>
      </x:c>
      <x:c r="H1642" s="30" t="n">
        <x:v>-70.17</x:v>
      </x:c>
      <x:c r="I1642" s="29" t="n">
        <x:v>65</x:v>
      </x:c>
      <x:c r="J1642" s="31" t="n">
        <x:v>4.4</x:v>
      </x:c>
      <x:c r="K1642" s="25" t="str">
        <x:f>IF(J1642&gt;=7,"Muy fuerte (&gt;=7)",IF(J1642&gt;=6,"Fuerte (6-6.9)",IF(J1642&gt;=5,"Moderado alto (5-5.9)",IF(J1642&gt;=4,"Moderado (4-4.9)","Menor a 4"))))</x:f>
        <x:v>Moderado (4-4.9)</x:v>
      </x:c>
      <x:c r="L1642" s="25" t="str">
        <x:f>IF(I1642&lt;70,"Superficial (&lt;70 km)",IF(I1642&lt;=300,"Intermedio (70-300 km)","Profundo (&gt;300 km)"))</x:f>
        <x:v>Superficial (&lt;70 km)</x:v>
      </x:c>
      <x:c r="M1642" s="25" t="str">
        <x:f>IF(J1642&gt;=5,"Sí","No")</x:f>
        <x:v>No</x:v>
      </x:c>
      <x:c r="N1642" s="25" t="str">
        <x:f>IF(J1642&gt;=6,"Sí","No")</x:f>
        <x:v>No</x:v>
      </x:c>
      <x:c r="O1642" s="25" t="str">
        <x:v>Pendiente: asignar con R/sf</x:v>
      </x:c>
    </x:row>
    <x:row r="1643">
      <x:c r="A1643" s="25" t="n">
        <x:v>1642</x:v>
      </x:c>
      <x:c r="B1643" s="26" t="n">
        <x:v>44674.468668981484</x:v>
      </x:c>
      <x:c r="C1643" s="27" t="n">
        <x:f>INT(B1643)</x:f>
        <x:v>44674</x:v>
      </x:c>
      <x:c r="D1643" s="28" t="n">
        <x:f>MOD(B1643,1)</x:f>
        <x:v>0.4686689814843703</x:v>
      </x:c>
      <x:c r="E1643" s="29" t="n">
        <x:f>YEAR(B1643)</x:f>
        <x:v>2022</x:v>
      </x:c>
      <x:c r="F1643" s="29" t="n">
        <x:f>MONTH(B1643)</x:f>
        <x:v>4</x:v>
      </x:c>
      <x:c r="G1643" s="30" t="n">
        <x:v>-25.48</x:v>
      </x:c>
      <x:c r="H1643" s="30" t="n">
        <x:v>-70.56</x:v>
      </x:c>
      <x:c r="I1643" s="29" t="n">
        <x:v>55</x:v>
      </x:c>
      <x:c r="J1643" s="31" t="n">
        <x:v>4.5</x:v>
      </x:c>
      <x:c r="K1643" s="25" t="str">
        <x:f>IF(J1643&gt;=7,"Muy fuerte (&gt;=7)",IF(J1643&gt;=6,"Fuerte (6-6.9)",IF(J1643&gt;=5,"Moderado alto (5-5.9)",IF(J1643&gt;=4,"Moderado (4-4.9)","Menor a 4"))))</x:f>
        <x:v>Moderado (4-4.9)</x:v>
      </x:c>
      <x:c r="L1643" s="25" t="str">
        <x:f>IF(I1643&lt;70,"Superficial (&lt;70 km)",IF(I1643&lt;=300,"Intermedio (70-300 km)","Profundo (&gt;300 km)"))</x:f>
        <x:v>Superficial (&lt;70 km)</x:v>
      </x:c>
      <x:c r="M1643" s="25" t="str">
        <x:f>IF(J1643&gt;=5,"Sí","No")</x:f>
        <x:v>No</x:v>
      </x:c>
      <x:c r="N1643" s="25" t="str">
        <x:f>IF(J1643&gt;=6,"Sí","No")</x:f>
        <x:v>No</x:v>
      </x:c>
      <x:c r="O1643" s="25" t="str">
        <x:v>Pendiente: asignar con R/sf</x:v>
      </x:c>
    </x:row>
    <x:row r="1644">
      <x:c r="A1644" s="25" t="n">
        <x:v>1643</x:v>
      </x:c>
      <x:c r="B1644" s="26" t="n">
        <x:v>45151.55814814815</x:v>
      </x:c>
      <x:c r="C1644" s="27" t="n">
        <x:f>INT(B1644)</x:f>
        <x:v>45151</x:v>
      </x:c>
      <x:c r="D1644" s="28" t="n">
        <x:f>MOD(B1644,1)</x:f>
        <x:v>0.5581481481494848</x:v>
      </x:c>
      <x:c r="E1644" s="29" t="n">
        <x:f>YEAR(B1644)</x:f>
        <x:v>2023</x:v>
      </x:c>
      <x:c r="F1644" s="29" t="n">
        <x:f>MONTH(B1644)</x:f>
        <x:v>8</x:v>
      </x:c>
      <x:c r="G1644" s="30" t="n">
        <x:v>-25.39</x:v>
      </x:c>
      <x:c r="H1644" s="30" t="n">
        <x:v>-70.86</x:v>
      </x:c>
      <x:c r="I1644" s="29" t="n">
        <x:v>40</x:v>
      </x:c>
      <x:c r="J1644" s="31" t="n">
        <x:v>3.7</x:v>
      </x:c>
      <x:c r="K1644" s="25" t="str">
        <x:f>IF(J1644&gt;=7,"Muy fuerte (&gt;=7)",IF(J1644&gt;=6,"Fuerte (6-6.9)",IF(J1644&gt;=5,"Moderado alto (5-5.9)",IF(J1644&gt;=4,"Moderado (4-4.9)","Menor a 4"))))</x:f>
        <x:v>Menor a 4</x:v>
      </x:c>
      <x:c r="L1644" s="25" t="str">
        <x:f>IF(I1644&lt;70,"Superficial (&lt;70 km)",IF(I1644&lt;=300,"Intermedio (70-300 km)","Profundo (&gt;300 km)"))</x:f>
        <x:v>Superficial (&lt;70 km)</x:v>
      </x:c>
      <x:c r="M1644" s="25" t="str">
        <x:f>IF(J1644&gt;=5,"Sí","No")</x:f>
        <x:v>No</x:v>
      </x:c>
      <x:c r="N1644" s="25" t="str">
        <x:f>IF(J1644&gt;=6,"Sí","No")</x:f>
        <x:v>No</x:v>
      </x:c>
      <x:c r="O1644" s="25" t="str">
        <x:v>Pendiente: asignar con R/sf</x:v>
      </x:c>
    </x:row>
    <x:row r="1645">
      <x:c r="A1645" s="25" t="n">
        <x:v>1644</x:v>
      </x:c>
      <x:c r="B1645" s="26" t="n">
        <x:v>44905.27883101852</x:v>
      </x:c>
      <x:c r="C1645" s="27" t="n">
        <x:f>INT(B1645)</x:f>
        <x:v>44905</x:v>
      </x:c>
      <x:c r="D1645" s="28" t="n">
        <x:f>MOD(B1645,1)</x:f>
        <x:v>0.27883101852057735</x:v>
      </x:c>
      <x:c r="E1645" s="29" t="n">
        <x:f>YEAR(B1645)</x:f>
        <x:v>2022</x:v>
      </x:c>
      <x:c r="F1645" s="29" t="n">
        <x:f>MONTH(B1645)</x:f>
        <x:v>12</x:v>
      </x:c>
      <x:c r="G1645" s="30" t="n">
        <x:v>-22.98</x:v>
      </x:c>
      <x:c r="H1645" s="30" t="n">
        <x:v>-68.27</x:v>
      </x:c>
      <x:c r="I1645" s="29" t="n">
        <x:v>123</x:v>
      </x:c>
      <x:c r="J1645" s="31" t="n">
        <x:v>5.5</x:v>
      </x:c>
      <x:c r="K1645" s="25" t="str">
        <x:f>IF(J1645&gt;=7,"Muy fuerte (&gt;=7)",IF(J1645&gt;=6,"Fuerte (6-6.9)",IF(J1645&gt;=5,"Moderado alto (5-5.9)",IF(J1645&gt;=4,"Moderado (4-4.9)","Menor a 4"))))</x:f>
        <x:v>Moderado alto (5-5.9)</x:v>
      </x:c>
      <x:c r="L1645" s="25" t="str">
        <x:f>IF(I1645&lt;70,"Superficial (&lt;70 km)",IF(I1645&lt;=300,"Intermedio (70-300 km)","Profundo (&gt;300 km)"))</x:f>
        <x:v>Intermedio (70-300 km)</x:v>
      </x:c>
      <x:c r="M1645" s="25" t="str">
        <x:f>IF(J1645&gt;=5,"Sí","No")</x:f>
        <x:v>Sí</x:v>
      </x:c>
      <x:c r="N1645" s="25" t="str">
        <x:f>IF(J1645&gt;=6,"Sí","No")</x:f>
        <x:v>No</x:v>
      </x:c>
      <x:c r="O1645" s="25" t="str">
        <x:v>Pendiente: asignar con R/sf</x:v>
      </x:c>
    </x:row>
    <x:row r="1646">
      <x:c r="A1646" s="25" t="n">
        <x:v>1645</x:v>
      </x:c>
      <x:c r="B1646" s="26" t="n">
        <x:v>44905.309583333335</x:v>
      </x:c>
      <x:c r="C1646" s="27" t="n">
        <x:f>INT(B1646)</x:f>
        <x:v>44905</x:v>
      </x:c>
      <x:c r="D1646" s="28" t="n">
        <x:f>MOD(B1646,1)</x:f>
        <x:v>0.3095833333354676</x:v>
      </x:c>
      <x:c r="E1646" s="29" t="n">
        <x:f>YEAR(B1646)</x:f>
        <x:v>2022</x:v>
      </x:c>
      <x:c r="F1646" s="29" t="n">
        <x:f>MONTH(B1646)</x:f>
        <x:v>12</x:v>
      </x:c>
      <x:c r="G1646" s="30" t="n">
        <x:v>-33.66</x:v>
      </x:c>
      <x:c r="H1646" s="30" t="n">
        <x:v>-72.11</x:v>
      </x:c>
      <x:c r="I1646" s="29" t="n">
        <x:v>30</x:v>
      </x:c>
      <x:c r="J1646" s="31" t="n">
        <x:v>5.3</x:v>
      </x:c>
      <x:c r="K1646" s="25" t="str">
        <x:f>IF(J1646&gt;=7,"Muy fuerte (&gt;=7)",IF(J1646&gt;=6,"Fuerte (6-6.9)",IF(J1646&gt;=5,"Moderado alto (5-5.9)",IF(J1646&gt;=4,"Moderado (4-4.9)","Menor a 4"))))</x:f>
        <x:v>Moderado alto (5-5.9)</x:v>
      </x:c>
      <x:c r="L1646" s="25" t="str">
        <x:f>IF(I1646&lt;70,"Superficial (&lt;70 km)",IF(I1646&lt;=300,"Intermedio (70-300 km)","Profundo (&gt;300 km)"))</x:f>
        <x:v>Superficial (&lt;70 km)</x:v>
      </x:c>
      <x:c r="M1646" s="25" t="str">
        <x:f>IF(J1646&gt;=5,"Sí","No")</x:f>
        <x:v>Sí</x:v>
      </x:c>
      <x:c r="N1646" s="25" t="str">
        <x:f>IF(J1646&gt;=6,"Sí","No")</x:f>
        <x:v>No</x:v>
      </x:c>
      <x:c r="O1646" s="25" t="str">
        <x:v>Pendiente: asignar con R/sf</x:v>
      </x:c>
    </x:row>
    <x:row r="1647">
      <x:c r="A1647" s="25" t="n">
        <x:v>1646</x:v>
      </x:c>
      <x:c r="B1647" s="26" t="n">
        <x:v>43430.59195601852</x:v>
      </x:c>
      <x:c r="C1647" s="27" t="n">
        <x:f>INT(B1647)</x:f>
        <x:v>43430</x:v>
      </x:c>
      <x:c r="D1647" s="28" t="n">
        <x:f>MOD(B1647,1)</x:f>
        <x:v>0.5919560185211594</x:v>
      </x:c>
      <x:c r="E1647" s="29" t="n">
        <x:f>YEAR(B1647)</x:f>
        <x:v>2018</x:v>
      </x:c>
      <x:c r="F1647" s="29" t="n">
        <x:f>MONTH(B1647)</x:f>
        <x:v>11</x:v>
      </x:c>
      <x:c r="G1647" s="30" t="n">
        <x:v>-39.86</x:v>
      </x:c>
      <x:c r="H1647" s="30" t="n">
        <x:v>-71.52</x:v>
      </x:c>
      <x:c r="I1647" s="29" t="n">
        <x:v>161</x:v>
      </x:c>
      <x:c r="J1647" s="31" t="n">
        <x:v>4.5</x:v>
      </x:c>
      <x:c r="K1647" s="25" t="str">
        <x:f>IF(J1647&gt;=7,"Muy fuerte (&gt;=7)",IF(J1647&gt;=6,"Fuerte (6-6.9)",IF(J1647&gt;=5,"Moderado alto (5-5.9)",IF(J1647&gt;=4,"Moderado (4-4.9)","Menor a 4"))))</x:f>
        <x:v>Moderado (4-4.9)</x:v>
      </x:c>
      <x:c r="L1647" s="25" t="str">
        <x:f>IF(I1647&lt;70,"Superficial (&lt;70 km)",IF(I1647&lt;=300,"Intermedio (70-300 km)","Profundo (&gt;300 km)"))</x:f>
        <x:v>Intermedio (70-300 km)</x:v>
      </x:c>
      <x:c r="M1647" s="25" t="str">
        <x:f>IF(J1647&gt;=5,"Sí","No")</x:f>
        <x:v>No</x:v>
      </x:c>
      <x:c r="N1647" s="25" t="str">
        <x:f>IF(J1647&gt;=6,"Sí","No")</x:f>
        <x:v>No</x:v>
      </x:c>
      <x:c r="O1647" s="25" t="str">
        <x:v>Pendiente: asignar con R/sf</x:v>
      </x:c>
    </x:row>
    <x:row r="1648">
      <x:c r="A1648" s="25" t="n">
        <x:v>1647</x:v>
      </x:c>
      <x:c r="B1648" s="26" t="n">
        <x:v>43839.5975</x:v>
      </x:c>
      <x:c r="C1648" s="27" t="n">
        <x:f>INT(B1648)</x:f>
        <x:v>43839</x:v>
      </x:c>
      <x:c r="D1648" s="28" t="n">
        <x:f>MOD(B1648,1)</x:f>
        <x:v>0.5975000000034925</x:v>
      </x:c>
      <x:c r="E1648" s="29" t="n">
        <x:f>YEAR(B1648)</x:f>
        <x:v>2020</x:v>
      </x:c>
      <x:c r="F1648" s="29" t="n">
        <x:f>MONTH(B1648)</x:f>
        <x:v>1</x:v>
      </x:c>
      <x:c r="G1648" s="30" t="n">
        <x:v>-40.06</x:v>
      </x:c>
      <x:c r="H1648" s="30" t="n">
        <x:v>-72.5</x:v>
      </x:c>
      <x:c r="I1648" s="29" t="n">
        <x:v>86</x:v>
      </x:c>
      <x:c r="J1648" s="31" t="n">
        <x:v>4.2</x:v>
      </x:c>
      <x:c r="K1648" s="25" t="str">
        <x:f>IF(J1648&gt;=7,"Muy fuerte (&gt;=7)",IF(J1648&gt;=6,"Fuerte (6-6.9)",IF(J1648&gt;=5,"Moderado alto (5-5.9)",IF(J1648&gt;=4,"Moderado (4-4.9)","Menor a 4"))))</x:f>
        <x:v>Moderado (4-4.9)</x:v>
      </x:c>
      <x:c r="L1648" s="25" t="str">
        <x:f>IF(I1648&lt;70,"Superficial (&lt;70 km)",IF(I1648&lt;=300,"Intermedio (70-300 km)","Profundo (&gt;300 km)"))</x:f>
        <x:v>Intermedio (70-300 km)</x:v>
      </x:c>
      <x:c r="M1648" s="25" t="str">
        <x:f>IF(J1648&gt;=5,"Sí","No")</x:f>
        <x:v>No</x:v>
      </x:c>
      <x:c r="N1648" s="25" t="str">
        <x:f>IF(J1648&gt;=6,"Sí","No")</x:f>
        <x:v>No</x:v>
      </x:c>
      <x:c r="O1648" s="25" t="str">
        <x:v>Pendiente: asignar con R/sf</x:v>
      </x:c>
    </x:row>
    <x:row r="1649">
      <x:c r="A1649" s="25" t="n">
        <x:v>1648</x:v>
      </x:c>
      <x:c r="B1649" s="26" t="n">
        <x:v>44360.03563657407</x:v>
      </x:c>
      <x:c r="C1649" s="27" t="n">
        <x:f>INT(B1649)</x:f>
        <x:v>44360</x:v>
      </x:c>
      <x:c r="D1649" s="28" t="n">
        <x:f>MOD(B1649,1)</x:f>
        <x:v>0.03563657407357823</x:v>
      </x:c>
      <x:c r="E1649" s="29" t="n">
        <x:f>YEAR(B1649)</x:f>
        <x:v>2021</x:v>
      </x:c>
      <x:c r="F1649" s="29" t="n">
        <x:f>MONTH(B1649)</x:f>
        <x:v>6</x:v>
      </x:c>
      <x:c r="G1649" s="30" t="n">
        <x:v>-40.13</x:v>
      </x:c>
      <x:c r="H1649" s="30" t="n">
        <x:v>-72.72</x:v>
      </x:c>
      <x:c r="I1649" s="29" t="n">
        <x:v>74</x:v>
      </x:c>
      <x:c r="J1649" s="31" t="n">
        <x:v>3.9</x:v>
      </x:c>
      <x:c r="K1649" s="25" t="str">
        <x:f>IF(J1649&gt;=7,"Muy fuerte (&gt;=7)",IF(J1649&gt;=6,"Fuerte (6-6.9)",IF(J1649&gt;=5,"Moderado alto (5-5.9)",IF(J1649&gt;=4,"Moderado (4-4.9)","Menor a 4"))))</x:f>
        <x:v>Menor a 4</x:v>
      </x:c>
      <x:c r="L1649" s="25" t="str">
        <x:f>IF(I1649&lt;70,"Superficial (&lt;70 km)",IF(I1649&lt;=300,"Intermedio (70-300 km)","Profundo (&gt;300 km)"))</x:f>
        <x:v>Intermedio (70-300 km)</x:v>
      </x:c>
      <x:c r="M1649" s="25" t="str">
        <x:f>IF(J1649&gt;=5,"Sí","No")</x:f>
        <x:v>No</x:v>
      </x:c>
      <x:c r="N1649" s="25" t="str">
        <x:f>IF(J1649&gt;=6,"Sí","No")</x:f>
        <x:v>No</x:v>
      </x:c>
      <x:c r="O1649" s="25" t="str">
        <x:v>Pendiente: asignar con R/sf</x:v>
      </x:c>
    </x:row>
    <x:row r="1650">
      <x:c r="A1650" s="25" t="n">
        <x:v>1649</x:v>
      </x:c>
      <x:c r="B1650" s="26" t="n">
        <x:v>44827.95379629629</x:v>
      </x:c>
      <x:c r="C1650" s="27" t="n">
        <x:f>INT(B1650)</x:f>
        <x:v>44827</x:v>
      </x:c>
      <x:c r="D1650" s="28" t="n">
        <x:f>MOD(B1650,1)</x:f>
        <x:v>0.9537962962931488</x:v>
      </x:c>
      <x:c r="E1650" s="29" t="n">
        <x:f>YEAR(B1650)</x:f>
        <x:v>2022</x:v>
      </x:c>
      <x:c r="F1650" s="29" t="n">
        <x:f>MONTH(B1650)</x:f>
        <x:v>9</x:v>
      </x:c>
      <x:c r="G1650" s="30" t="n">
        <x:v>-41.42</x:v>
      </x:c>
      <x:c r="H1650" s="30" t="n">
        <x:v>-75.46</x:v>
      </x:c>
      <x:c r="I1650" s="29" t="n">
        <x:v>23</x:v>
      </x:c>
      <x:c r="J1650" s="31" t="n">
        <x:v>6</x:v>
      </x:c>
      <x:c r="K1650" s="25" t="str">
        <x:f>IF(J1650&gt;=7,"Muy fuerte (&gt;=7)",IF(J1650&gt;=6,"Fuerte (6-6.9)",IF(J1650&gt;=5,"Moderado alto (5-5.9)",IF(J1650&gt;=4,"Moderado (4-4.9)","Menor a 4"))))</x:f>
        <x:v>Fuerte (6-6.9)</x:v>
      </x:c>
      <x:c r="L1650" s="25" t="str">
        <x:f>IF(I1650&lt;70,"Superficial (&lt;70 km)",IF(I1650&lt;=300,"Intermedio (70-300 km)","Profundo (&gt;300 km)"))</x:f>
        <x:v>Superficial (&lt;70 km)</x:v>
      </x:c>
      <x:c r="M1650" s="25" t="str">
        <x:f>IF(J1650&gt;=5,"Sí","No")</x:f>
        <x:v>Sí</x:v>
      </x:c>
      <x:c r="N1650" s="25" t="str">
        <x:f>IF(J1650&gt;=6,"Sí","No")</x:f>
        <x:v>Sí</x:v>
      </x:c>
      <x:c r="O1650" s="25" t="str">
        <x:v>Pendiente: asignar con R/sf</x:v>
      </x:c>
    </x:row>
    <x:row r="1651">
      <x:c r="A1651" s="25" t="n">
        <x:v>1650</x:v>
      </x:c>
      <x:c r="B1651" s="26" t="n">
        <x:v>44626.69074074074</x:v>
      </x:c>
      <x:c r="C1651" s="27" t="n">
        <x:f>INT(B1651)</x:f>
        <x:v>44626</x:v>
      </x:c>
      <x:c r="D1651" s="28" t="n">
        <x:f>MOD(B1651,1)</x:f>
        <x:v>0.6907407407416031</x:v>
      </x:c>
      <x:c r="E1651" s="29" t="n">
        <x:f>YEAR(B1651)</x:f>
        <x:v>2022</x:v>
      </x:c>
      <x:c r="F1651" s="29" t="n">
        <x:f>MONTH(B1651)</x:f>
        <x:v>3</x:v>
      </x:c>
      <x:c r="G1651" s="30" t="n">
        <x:v>-40.79</x:v>
      </x:c>
      <x:c r="H1651" s="30" t="n">
        <x:v>-73.16</x:v>
      </x:c>
      <x:c r="I1651" s="29" t="n">
        <x:v>44</x:v>
      </x:c>
      <x:c r="J1651" s="31" t="n">
        <x:v>4</x:v>
      </x:c>
      <x:c r="K1651" s="25" t="str">
        <x:f>IF(J1651&gt;=7,"Muy fuerte (&gt;=7)",IF(J1651&gt;=6,"Fuerte (6-6.9)",IF(J1651&gt;=5,"Moderado alto (5-5.9)",IF(J1651&gt;=4,"Moderado (4-4.9)","Menor a 4"))))</x:f>
        <x:v>Moderado (4-4.9)</x:v>
      </x:c>
      <x:c r="L1651" s="25" t="str">
        <x:f>IF(I1651&lt;70,"Superficial (&lt;70 km)",IF(I1651&lt;=300,"Intermedio (70-300 km)","Profundo (&gt;300 km)"))</x:f>
        <x:v>Superficial (&lt;70 km)</x:v>
      </x:c>
      <x:c r="M1651" s="25" t="str">
        <x:f>IF(J1651&gt;=5,"Sí","No")</x:f>
        <x:v>No</x:v>
      </x:c>
      <x:c r="N1651" s="25" t="str">
        <x:f>IF(J1651&gt;=6,"Sí","No")</x:f>
        <x:v>No</x:v>
      </x:c>
      <x:c r="O1651" s="25" t="str">
        <x:v>Pendiente: asignar con R/sf</x:v>
      </x:c>
    </x:row>
    <x:row r="1652">
      <x:c r="A1652" s="25" t="n">
        <x:v>1651</x:v>
      </x:c>
      <x:c r="B1652" s="26" t="n">
        <x:v>43648.03346064815</x:v>
      </x:c>
      <x:c r="C1652" s="27" t="n">
        <x:f>INT(B1652)</x:f>
        <x:v>43648</x:v>
      </x:c>
      <x:c r="D1652" s="28" t="n">
        <x:f>MOD(B1652,1)</x:f>
        <x:v>0.033460648148320615</x:v>
      </x:c>
      <x:c r="E1652" s="29" t="n">
        <x:f>YEAR(B1652)</x:f>
        <x:v>2019</x:v>
      </x:c>
      <x:c r="F1652" s="29" t="n">
        <x:f>MONTH(B1652)</x:f>
        <x:v>7</x:v>
      </x:c>
      <x:c r="G1652" s="30" t="n">
        <x:v>-38.93</x:v>
      </x:c>
      <x:c r="H1652" s="30" t="n">
        <x:v>-72.64</x:v>
      </x:c>
      <x:c r="I1652" s="29" t="n">
        <x:v>59</x:v>
      </x:c>
      <x:c r="J1652" s="31" t="n">
        <x:v>4</x:v>
      </x:c>
      <x:c r="K1652" s="25" t="str">
        <x:f>IF(J1652&gt;=7,"Muy fuerte (&gt;=7)",IF(J1652&gt;=6,"Fuerte (6-6.9)",IF(J1652&gt;=5,"Moderado alto (5-5.9)",IF(J1652&gt;=4,"Moderado (4-4.9)","Menor a 4"))))</x:f>
        <x:v>Moderado (4-4.9)</x:v>
      </x:c>
      <x:c r="L1652" s="25" t="str">
        <x:f>IF(I1652&lt;70,"Superficial (&lt;70 km)",IF(I1652&lt;=300,"Intermedio (70-300 km)","Profundo (&gt;300 km)"))</x:f>
        <x:v>Superficial (&lt;70 km)</x:v>
      </x:c>
      <x:c r="M1652" s="25" t="str">
        <x:f>IF(J1652&gt;=5,"Sí","No")</x:f>
        <x:v>No</x:v>
      </x:c>
      <x:c r="N1652" s="25" t="str">
        <x:f>IF(J1652&gt;=6,"Sí","No")</x:f>
        <x:v>No</x:v>
      </x:c>
      <x:c r="O1652" s="25" t="str">
        <x:v>Pendiente: asignar con R/sf</x:v>
      </x:c>
    </x:row>
    <x:row r="1653">
      <x:c r="A1653" s="25" t="n">
        <x:v>1652</x:v>
      </x:c>
      <x:c r="B1653" s="26" t="n">
        <x:v>44593.06486111111</x:v>
      </x:c>
      <x:c r="C1653" s="27" t="n">
        <x:f>INT(B1653)</x:f>
        <x:v>44593</x:v>
      </x:c>
      <x:c r="D1653" s="28" t="n">
        <x:f>MOD(B1653,1)</x:f>
        <x:v>0.06486111111007631</x:v>
      </x:c>
      <x:c r="E1653" s="29" t="n">
        <x:f>YEAR(B1653)</x:f>
        <x:v>2022</x:v>
      </x:c>
      <x:c r="F1653" s="29" t="n">
        <x:f>MONTH(B1653)</x:f>
        <x:v>2</x:v>
      </x:c>
      <x:c r="G1653" s="30" t="n">
        <x:v>-40.5</x:v>
      </x:c>
      <x:c r="H1653" s="30" t="n">
        <x:v>-74.04</x:v>
      </x:c>
      <x:c r="I1653" s="29" t="n">
        <x:v>15</x:v>
      </x:c>
      <x:c r="J1653" s="31" t="n">
        <x:v>4.6</x:v>
      </x:c>
      <x:c r="K1653" s="25" t="str">
        <x:f>IF(J1653&gt;=7,"Muy fuerte (&gt;=7)",IF(J1653&gt;=6,"Fuerte (6-6.9)",IF(J1653&gt;=5,"Moderado alto (5-5.9)",IF(J1653&gt;=4,"Moderado (4-4.9)","Menor a 4"))))</x:f>
        <x:v>Moderado (4-4.9)</x:v>
      </x:c>
      <x:c r="L1653" s="25" t="str">
        <x:f>IF(I1653&lt;70,"Superficial (&lt;70 km)",IF(I1653&lt;=300,"Intermedio (70-300 km)","Profundo (&gt;300 km)"))</x:f>
        <x:v>Superficial (&lt;70 km)</x:v>
      </x:c>
      <x:c r="M1653" s="25" t="str">
        <x:f>IF(J1653&gt;=5,"Sí","No")</x:f>
        <x:v>No</x:v>
      </x:c>
      <x:c r="N1653" s="25" t="str">
        <x:f>IF(J1653&gt;=6,"Sí","No")</x:f>
        <x:v>No</x:v>
      </x:c>
      <x:c r="O1653" s="25" t="str">
        <x:v>Pendiente: asignar con R/sf</x:v>
      </x:c>
    </x:row>
    <x:row r="1654">
      <x:c r="A1654" s="25" t="n">
        <x:v>1653</x:v>
      </x:c>
      <x:c r="B1654" s="26" t="n">
        <x:v>40972.685648148145</x:v>
      </x:c>
      <x:c r="C1654" s="27" t="n">
        <x:f>INT(B1654)</x:f>
        <x:v>40972</x:v>
      </x:c>
      <x:c r="D1654" s="28" t="n">
        <x:f>MOD(B1654,1)</x:f>
        <x:v>0.6856481481445371</x:v>
      </x:c>
      <x:c r="E1654" s="29" t="n">
        <x:f>YEAR(B1654)</x:f>
        <x:v>2012</x:v>
      </x:c>
      <x:c r="F1654" s="29" t="n">
        <x:f>MONTH(B1654)</x:f>
        <x:v>3</x:v>
      </x:c>
      <x:c r="G1654" s="30" t="n">
        <x:v>-21.6</x:v>
      </x:c>
      <x:c r="H1654" s="30" t="n">
        <x:v>-70.06</x:v>
      </x:c>
      <x:c r="I1654" s="29" t="n">
        <x:v>47</x:v>
      </x:c>
      <x:c r="J1654" s="31" t="n">
        <x:v>5.3</x:v>
      </x:c>
      <x:c r="K1654" s="25" t="str">
        <x:f>IF(J1654&gt;=7,"Muy fuerte (&gt;=7)",IF(J1654&gt;=6,"Fuerte (6-6.9)",IF(J1654&gt;=5,"Moderado alto (5-5.9)",IF(J1654&gt;=4,"Moderado (4-4.9)","Menor a 4"))))</x:f>
        <x:v>Moderado alto (5-5.9)</x:v>
      </x:c>
      <x:c r="L1654" s="25" t="str">
        <x:f>IF(I1654&lt;70,"Superficial (&lt;70 km)",IF(I1654&lt;=300,"Intermedio (70-300 km)","Profundo (&gt;300 km)"))</x:f>
        <x:v>Superficial (&lt;70 km)</x:v>
      </x:c>
      <x:c r="M1654" s="25" t="str">
        <x:f>IF(J1654&gt;=5,"Sí","No")</x:f>
        <x:v>Sí</x:v>
      </x:c>
      <x:c r="N1654" s="25" t="str">
        <x:f>IF(J1654&gt;=6,"Sí","No")</x:f>
        <x:v>No</x:v>
      </x:c>
      <x:c r="O1654" s="25" t="str">
        <x:v>Pendiente: asignar con R/sf</x:v>
      </x:c>
    </x:row>
    <x:row r="1655">
      <x:c r="A1655" s="25" t="n">
        <x:v>1654</x:v>
      </x:c>
      <x:c r="B1655" s="26" t="n">
        <x:v>40971.45957175926</x:v>
      </x:c>
      <x:c r="C1655" s="27" t="n">
        <x:f>INT(B1655)</x:f>
        <x:v>40971</x:v>
      </x:c>
      <x:c r="D1655" s="28" t="n">
        <x:f>MOD(B1655,1)</x:f>
        <x:v>0.45957175926014315</x:v>
      </x:c>
      <x:c r="E1655" s="29" t="n">
        <x:f>YEAR(B1655)</x:f>
        <x:v>2012</x:v>
      </x:c>
      <x:c r="F1655" s="29" t="n">
        <x:f>MONTH(B1655)</x:f>
        <x:v>3</x:v>
      </x:c>
      <x:c r="G1655" s="30" t="n">
        <x:v>-30.19</x:v>
      </x:c>
      <x:c r="H1655" s="30" t="n">
        <x:v>-71.45</x:v>
      </x:c>
      <x:c r="I1655" s="29" t="n">
        <x:v>35</x:v>
      </x:c>
      <x:c r="J1655" s="31" t="n">
        <x:v>5.6</x:v>
      </x:c>
      <x:c r="K1655" s="25" t="str">
        <x:f>IF(J1655&gt;=7,"Muy fuerte (&gt;=7)",IF(J1655&gt;=6,"Fuerte (6-6.9)",IF(J1655&gt;=5,"Moderado alto (5-5.9)",IF(J1655&gt;=4,"Moderado (4-4.9)","Menor a 4"))))</x:f>
        <x:v>Moderado alto (5-5.9)</x:v>
      </x:c>
      <x:c r="L1655" s="25" t="str">
        <x:f>IF(I1655&lt;70,"Superficial (&lt;70 km)",IF(I1655&lt;=300,"Intermedio (70-300 km)","Profundo (&gt;300 km)"))</x:f>
        <x:v>Superficial (&lt;70 km)</x:v>
      </x:c>
      <x:c r="M1655" s="25" t="str">
        <x:f>IF(J1655&gt;=5,"Sí","No")</x:f>
        <x:v>Sí</x:v>
      </x:c>
      <x:c r="N1655" s="25" t="str">
        <x:f>IF(J1655&gt;=6,"Sí","No")</x:f>
        <x:v>No</x:v>
      </x:c>
      <x:c r="O1655" s="25" t="str">
        <x:v>Pendiente: asignar con R/sf</x:v>
      </x:c>
    </x:row>
    <x:row r="1656">
      <x:c r="A1656" s="25" t="n">
        <x:v>1655</x:v>
      </x:c>
      <x:c r="B1656" s="26" t="n">
        <x:v>40993.94243055556</x:v>
      </x:c>
      <x:c r="C1656" s="27" t="n">
        <x:f>INT(B1656)</x:f>
        <x:v>40993</x:v>
      </x:c>
      <x:c r="D1656" s="28" t="n">
        <x:f>MOD(B1656,1)</x:f>
        <x:v>0.9424305555585306</x:v>
      </x:c>
      <x:c r="E1656" s="29" t="n">
        <x:f>YEAR(B1656)</x:f>
        <x:v>2012</x:v>
      </x:c>
      <x:c r="F1656" s="29" t="n">
        <x:f>MONTH(B1656)</x:f>
        <x:v>3</x:v>
      </x:c>
      <x:c r="G1656" s="30" t="n">
        <x:v>-35.2</x:v>
      </x:c>
      <x:c r="H1656" s="30" t="n">
        <x:v>-72.22</x:v>
      </x:c>
      <x:c r="I1656" s="29" t="n">
        <x:v>41</x:v>
      </x:c>
      <x:c r="J1656" s="31" t="n">
        <x:v>6.8</x:v>
      </x:c>
      <x:c r="K1656" s="25" t="str">
        <x:f>IF(J1656&gt;=7,"Muy fuerte (&gt;=7)",IF(J1656&gt;=6,"Fuerte (6-6.9)",IF(J1656&gt;=5,"Moderado alto (5-5.9)",IF(J1656&gt;=4,"Moderado (4-4.9)","Menor a 4"))))</x:f>
        <x:v>Fuerte (6-6.9)</x:v>
      </x:c>
      <x:c r="L1656" s="25" t="str">
        <x:f>IF(I1656&lt;70,"Superficial (&lt;70 km)",IF(I1656&lt;=300,"Intermedio (70-300 km)","Profundo (&gt;300 km)"))</x:f>
        <x:v>Superficial (&lt;70 km)</x:v>
      </x:c>
      <x:c r="M1656" s="25" t="str">
        <x:f>IF(J1656&gt;=5,"Sí","No")</x:f>
        <x:v>Sí</x:v>
      </x:c>
      <x:c r="N1656" s="25" t="str">
        <x:f>IF(J1656&gt;=6,"Sí","No")</x:f>
        <x:v>Sí</x:v>
      </x:c>
      <x:c r="O1656" s="25" t="str">
        <x:v>Pendiente: asignar con R/sf</x:v>
      </x:c>
    </x:row>
    <x:row r="1657">
      <x:c r="A1657" s="25" t="n">
        <x:v>1656</x:v>
      </x:c>
      <x:c r="B1657" s="26" t="n">
        <x:v>41029.31925925926</x:v>
      </x:c>
      <x:c r="C1657" s="27" t="n">
        <x:f>INT(B1657)</x:f>
        <x:v>41029</x:v>
      </x:c>
      <x:c r="D1657" s="28" t="n">
        <x:f>MOD(B1657,1)</x:f>
        <x:v>0.3192592592604342</x:v>
      </x:c>
      <x:c r="E1657" s="29" t="n">
        <x:f>YEAR(B1657)</x:f>
        <x:v>2012</x:v>
      </x:c>
      <x:c r="F1657" s="29" t="n">
        <x:f>MONTH(B1657)</x:f>
        <x:v>4</x:v>
      </x:c>
      <x:c r="G1657" s="30" t="n">
        <x:v>-29.8</x:v>
      </x:c>
      <x:c r="H1657" s="30" t="n">
        <x:v>-71.64</x:v>
      </x:c>
      <x:c r="I1657" s="29" t="n">
        <x:v>43</x:v>
      </x:c>
      <x:c r="J1657" s="31" t="n">
        <x:v>6</x:v>
      </x:c>
      <x:c r="K1657" s="25" t="str">
        <x:f>IF(J1657&gt;=7,"Muy fuerte (&gt;=7)",IF(J1657&gt;=6,"Fuerte (6-6.9)",IF(J1657&gt;=5,"Moderado alto (5-5.9)",IF(J1657&gt;=4,"Moderado (4-4.9)","Menor a 4"))))</x:f>
        <x:v>Fuerte (6-6.9)</x:v>
      </x:c>
      <x:c r="L1657" s="25" t="str">
        <x:f>IF(I1657&lt;70,"Superficial (&lt;70 km)",IF(I1657&lt;=300,"Intermedio (70-300 km)","Profundo (&gt;300 km)"))</x:f>
        <x:v>Superficial (&lt;70 km)</x:v>
      </x:c>
      <x:c r="M1657" s="25" t="str">
        <x:f>IF(J1657&gt;=5,"Sí","No")</x:f>
        <x:v>Sí</x:v>
      </x:c>
      <x:c r="N1657" s="25" t="str">
        <x:f>IF(J1657&gt;=6,"Sí","No")</x:f>
        <x:v>Sí</x:v>
      </x:c>
      <x:c r="O1657" s="25" t="str">
        <x:v>Pendiente: asignar con R/sf</x:v>
      </x:c>
    </x:row>
    <x:row r="1658">
      <x:c r="A1658" s="25" t="n">
        <x:v>1657</x:v>
      </x:c>
      <x:c r="B1658" s="26" t="n">
        <x:v>41000.31361111111</x:v>
      </x:c>
      <x:c r="C1658" s="27" t="n">
        <x:f>INT(B1658)</x:f>
        <x:v>41000</x:v>
      </x:c>
      <x:c r="D1658" s="28" t="n">
        <x:f>MOD(B1658,1)</x:f>
        <x:v>0.31361111110891216</x:v>
      </x:c>
      <x:c r="E1658" s="29" t="n">
        <x:f>YEAR(B1658)</x:f>
        <x:v>2012</x:v>
      </x:c>
      <x:c r="F1658" s="29" t="n">
        <x:f>MONTH(B1658)</x:f>
        <x:v>4</x:v>
      </x:c>
      <x:c r="G1658" s="30" t="n">
        <x:v>-23.06</x:v>
      </x:c>
      <x:c r="H1658" s="30" t="n">
        <x:v>-69.32</x:v>
      </x:c>
      <x:c r="I1658" s="29" t="n">
        <x:v>94</x:v>
      </x:c>
      <x:c r="J1658" s="31" t="n">
        <x:v>5.2</x:v>
      </x:c>
      <x:c r="K1658" s="25" t="str">
        <x:f>IF(J1658&gt;=7,"Muy fuerte (&gt;=7)",IF(J1658&gt;=6,"Fuerte (6-6.9)",IF(J1658&gt;=5,"Moderado alto (5-5.9)",IF(J1658&gt;=4,"Moderado (4-4.9)","Menor a 4"))))</x:f>
        <x:v>Moderado alto (5-5.9)</x:v>
      </x:c>
      <x:c r="L1658" s="25" t="str">
        <x:f>IF(I1658&lt;70,"Superficial (&lt;70 km)",IF(I1658&lt;=300,"Intermedio (70-300 km)","Profundo (&gt;300 km)"))</x:f>
        <x:v>Intermedio (70-300 km)</x:v>
      </x:c>
      <x:c r="M1658" s="25" t="str">
        <x:f>IF(J1658&gt;=5,"Sí","No")</x:f>
        <x:v>Sí</x:v>
      </x:c>
      <x:c r="N1658" s="25" t="str">
        <x:f>IF(J1658&gt;=6,"Sí","No")</x:f>
        <x:v>No</x:v>
      </x:c>
      <x:c r="O1658" s="25" t="str">
        <x:v>Pendiente: asignar con R/sf</x:v>
      </x:c>
    </x:row>
    <x:row r="1659">
      <x:c r="A1659" s="25" t="n">
        <x:v>1658</x:v>
      </x:c>
      <x:c r="B1659" s="26" t="n">
        <x:v>40978.10204861111</x:v>
      </x:c>
      <x:c r="C1659" s="27" t="n">
        <x:f>INT(B1659)</x:f>
        <x:v>40978</x:v>
      </x:c>
      <x:c r="D1659" s="28" t="n">
        <x:f>MOD(B1659,1)</x:f>
        <x:v>0.10204861110833008</x:v>
      </x:c>
      <x:c r="E1659" s="29" t="n">
        <x:f>YEAR(B1659)</x:f>
        <x:v>2012</x:v>
      </x:c>
      <x:c r="F1659" s="29" t="n">
        <x:f>MONTH(B1659)</x:f>
        <x:v>3</x:v>
      </x:c>
      <x:c r="G1659" s="30" t="n">
        <x:v>-19.74</x:v>
      </x:c>
      <x:c r="H1659" s="30" t="n">
        <x:v>-69.25</x:v>
      </x:c>
      <x:c r="I1659" s="29" t="n">
        <x:v>101</x:v>
      </x:c>
      <x:c r="J1659" s="31" t="n">
        <x:v>5.3</x:v>
      </x:c>
      <x:c r="K1659" s="25" t="str">
        <x:f>IF(J1659&gt;=7,"Muy fuerte (&gt;=7)",IF(J1659&gt;=6,"Fuerte (6-6.9)",IF(J1659&gt;=5,"Moderado alto (5-5.9)",IF(J1659&gt;=4,"Moderado (4-4.9)","Menor a 4"))))</x:f>
        <x:v>Moderado alto (5-5.9)</x:v>
      </x:c>
      <x:c r="L1659" s="25" t="str">
        <x:f>IF(I1659&lt;70,"Superficial (&lt;70 km)",IF(I1659&lt;=300,"Intermedio (70-300 km)","Profundo (&gt;300 km)"))</x:f>
        <x:v>Intermedio (70-300 km)</x:v>
      </x:c>
      <x:c r="M1659" s="25" t="str">
        <x:f>IF(J1659&gt;=5,"Sí","No")</x:f>
        <x:v>Sí</x:v>
      </x:c>
      <x:c r="N1659" s="25" t="str">
        <x:f>IF(J1659&gt;=6,"Sí","No")</x:f>
        <x:v>No</x:v>
      </x:c>
      <x:c r="O1659" s="25" t="str">
        <x:v>Pendiente: asignar con R/sf</x:v>
      </x:c>
    </x:row>
    <x:row r="1660">
      <x:c r="A1660" s="25" t="n">
        <x:v>1659</x:v>
      </x:c>
      <x:c r="B1660" s="26" t="n">
        <x:v>41190.07667824074</x:v>
      </x:c>
      <x:c r="C1660" s="27" t="n">
        <x:f>INT(B1660)</x:f>
        <x:v>41190</x:v>
      </x:c>
      <x:c r="D1660" s="28" t="n">
        <x:f>MOD(B1660,1)</x:f>
        <x:v>0.0766782407372375</x:v>
      </x:c>
      <x:c r="E1660" s="29" t="n">
        <x:f>YEAR(B1660)</x:f>
        <x:v>2012</x:v>
      </x:c>
      <x:c r="F1660" s="29" t="n">
        <x:f>MONTH(B1660)</x:f>
        <x:v>10</x:v>
      </x:c>
      <x:c r="G1660" s="30" t="n">
        <x:v>-21.83</x:v>
      </x:c>
      <x:c r="H1660" s="30" t="n">
        <x:v>-68.54</x:v>
      </x:c>
      <x:c r="I1660" s="29" t="n">
        <x:v>121</x:v>
      </x:c>
      <x:c r="J1660" s="31" t="n">
        <x:v>5.7</x:v>
      </x:c>
      <x:c r="K1660" s="25" t="str">
        <x:f>IF(J1660&gt;=7,"Muy fuerte (&gt;=7)",IF(J1660&gt;=6,"Fuerte (6-6.9)",IF(J1660&gt;=5,"Moderado alto (5-5.9)",IF(J1660&gt;=4,"Moderado (4-4.9)","Menor a 4"))))</x:f>
        <x:v>Moderado alto (5-5.9)</x:v>
      </x:c>
      <x:c r="L1660" s="25" t="str">
        <x:f>IF(I1660&lt;70,"Superficial (&lt;70 km)",IF(I1660&lt;=300,"Intermedio (70-300 km)","Profundo (&gt;300 km)"))</x:f>
        <x:v>Intermedio (70-300 km)</x:v>
      </x:c>
      <x:c r="M1660" s="25" t="str">
        <x:f>IF(J1660&gt;=5,"Sí","No")</x:f>
        <x:v>Sí</x:v>
      </x:c>
      <x:c r="N1660" s="25" t="str">
        <x:f>IF(J1660&gt;=6,"Sí","No")</x:f>
        <x:v>No</x:v>
      </x:c>
      <x:c r="O1660" s="25" t="str">
        <x:v>Pendiente: asignar con R/sf</x:v>
      </x:c>
    </x:row>
    <x:row r="1661">
      <x:c r="A1661" s="25" t="n">
        <x:v>1660</x:v>
      </x:c>
      <x:c r="B1661" s="26" t="n">
        <x:v>40987.9115625</x:v>
      </x:c>
      <x:c r="C1661" s="27" t="n">
        <x:f>INT(B1661)</x:f>
        <x:v>40987</x:v>
      </x:c>
      <x:c r="D1661" s="28" t="n">
        <x:f>MOD(B1661,1)</x:f>
        <x:v>0.9115624999976717</x:v>
      </x:c>
      <x:c r="E1661" s="29" t="n">
        <x:f>YEAR(B1661)</x:f>
        <x:v>2012</x:v>
      </x:c>
      <x:c r="F1661" s="29" t="n">
        <x:f>MONTH(B1661)</x:f>
        <x:v>3</x:v>
      </x:c>
      <x:c r="G1661" s="30" t="n">
        <x:v>-25</x:v>
      </x:c>
      <x:c r="H1661" s="30" t="n">
        <x:v>-69.75</x:v>
      </x:c>
      <x:c r="I1661" s="29" t="n">
        <x:v>100</x:v>
      </x:c>
      <x:c r="J1661" s="31" t="n">
        <x:v>5</x:v>
      </x:c>
      <x:c r="K1661" s="25" t="str">
        <x:f>IF(J1661&gt;=7,"Muy fuerte (&gt;=7)",IF(J1661&gt;=6,"Fuerte (6-6.9)",IF(J1661&gt;=5,"Moderado alto (5-5.9)",IF(J1661&gt;=4,"Moderado (4-4.9)","Menor a 4"))))</x:f>
        <x:v>Moderado alto (5-5.9)</x:v>
      </x:c>
      <x:c r="L1661" s="25" t="str">
        <x:f>IF(I1661&lt;70,"Superficial (&lt;70 km)",IF(I1661&lt;=300,"Intermedio (70-300 km)","Profundo (&gt;300 km)"))</x:f>
        <x:v>Intermedio (70-300 km)</x:v>
      </x:c>
      <x:c r="M1661" s="25" t="str">
        <x:f>IF(J1661&gt;=5,"Sí","No")</x:f>
        <x:v>Sí</x:v>
      </x:c>
      <x:c r="N1661" s="25" t="str">
        <x:f>IF(J1661&gt;=6,"Sí","No")</x:f>
        <x:v>No</x:v>
      </x:c>
      <x:c r="O1661" s="25" t="str">
        <x:v>Pendiente: asignar con R/sf</x:v>
      </x:c>
    </x:row>
    <x:row r="1662">
      <x:c r="A1662" s="25" t="n">
        <x:v>1661</x:v>
      </x:c>
      <x:c r="B1662" s="26" t="n">
        <x:v>41173.512094907404</x:v>
      </x:c>
      <x:c r="C1662" s="27" t="n">
        <x:f>INT(B1662)</x:f>
        <x:v>41173</x:v>
      </x:c>
      <x:c r="D1662" s="28" t="n">
        <x:f>MOD(B1662,1)</x:f>
        <x:v>0.5120949074043892</x:v>
      </x:c>
      <x:c r="E1662" s="29" t="n">
        <x:f>YEAR(B1662)</x:f>
        <x:v>2012</x:v>
      </x:c>
      <x:c r="F1662" s="29" t="n">
        <x:f>MONTH(B1662)</x:f>
        <x:v>9</x:v>
      </x:c>
      <x:c r="G1662" s="30" t="n">
        <x:v>-19.72</x:v>
      </x:c>
      <x:c r="H1662" s="30" t="n">
        <x:v>-69.33</x:v>
      </x:c>
      <x:c r="I1662" s="29" t="n">
        <x:v>101</x:v>
      </x:c>
      <x:c r="J1662" s="31" t="n">
        <x:v>5.4</x:v>
      </x:c>
      <x:c r="K1662" s="25" t="str">
        <x:f>IF(J1662&gt;=7,"Muy fuerte (&gt;=7)",IF(J1662&gt;=6,"Fuerte (6-6.9)",IF(J1662&gt;=5,"Moderado alto (5-5.9)",IF(J1662&gt;=4,"Moderado (4-4.9)","Menor a 4"))))</x:f>
        <x:v>Moderado alto (5-5.9)</x:v>
      </x:c>
      <x:c r="L1662" s="25" t="str">
        <x:f>IF(I1662&lt;70,"Superficial (&lt;70 km)",IF(I1662&lt;=300,"Intermedio (70-300 km)","Profundo (&gt;300 km)"))</x:f>
        <x:v>Intermedio (70-300 km)</x:v>
      </x:c>
      <x:c r="M1662" s="25" t="str">
        <x:f>IF(J1662&gt;=5,"Sí","No")</x:f>
        <x:v>Sí</x:v>
      </x:c>
      <x:c r="N1662" s="25" t="str">
        <x:f>IF(J1662&gt;=6,"Sí","No")</x:f>
        <x:v>No</x:v>
      </x:c>
      <x:c r="O1662" s="25" t="str">
        <x:v>Pendiente: asignar con R/sf</x:v>
      </x:c>
    </x:row>
    <x:row r="1663">
      <x:c r="A1663" s="25" t="n">
        <x:v>1662</x:v>
      </x:c>
      <x:c r="B1663" s="26" t="n">
        <x:v>41048.35774305555</x:v>
      </x:c>
      <x:c r="C1663" s="27" t="n">
        <x:f>INT(B1663)</x:f>
        <x:v>41048</x:v>
      </x:c>
      <x:c r="D1663" s="28" t="n">
        <x:f>MOD(B1663,1)</x:f>
        <x:v>0.3577430555524188</x:v>
      </x:c>
      <x:c r="E1663" s="29" t="n">
        <x:f>YEAR(B1663)</x:f>
        <x:v>2012</x:v>
      </x:c>
      <x:c r="F1663" s="29" t="n">
        <x:f>MONTH(B1663)</x:f>
        <x:v>5</x:v>
      </x:c>
      <x:c r="G1663" s="30" t="n">
        <x:v>-25.74</x:v>
      </x:c>
      <x:c r="H1663" s="30" t="n">
        <x:v>-70.86</x:v>
      </x:c>
      <x:c r="I1663" s="29" t="n">
        <x:v>84</x:v>
      </x:c>
      <x:c r="J1663" s="31" t="n">
        <x:v>6.1</x:v>
      </x:c>
      <x:c r="K1663" s="25" t="str">
        <x:f>IF(J1663&gt;=7,"Muy fuerte (&gt;=7)",IF(J1663&gt;=6,"Fuerte (6-6.9)",IF(J1663&gt;=5,"Moderado alto (5-5.9)",IF(J1663&gt;=4,"Moderado (4-4.9)","Menor a 4"))))</x:f>
        <x:v>Fuerte (6-6.9)</x:v>
      </x:c>
      <x:c r="L1663" s="25" t="str">
        <x:f>IF(I1663&lt;70,"Superficial (&lt;70 km)",IF(I1663&lt;=300,"Intermedio (70-300 km)","Profundo (&gt;300 km)"))</x:f>
        <x:v>Intermedio (70-300 km)</x:v>
      </x:c>
      <x:c r="M1663" s="25" t="str">
        <x:f>IF(J1663&gt;=5,"Sí","No")</x:f>
        <x:v>Sí</x:v>
      </x:c>
      <x:c r="N1663" s="25" t="str">
        <x:f>IF(J1663&gt;=6,"Sí","No")</x:f>
        <x:v>Sí</x:v>
      </x:c>
      <x:c r="O1663" s="25" t="str">
        <x:v>Pendiente: asignar con R/sf</x:v>
      </x:c>
    </x:row>
    <x:row r="1664">
      <x:c r="A1664" s="25" t="n">
        <x:v>1663</x:v>
      </x:c>
      <x:c r="B1664" s="26" t="n">
        <x:v>41229.02644675926</x:v>
      </x:c>
      <x:c r="C1664" s="27" t="n">
        <x:f>INT(B1664)</x:f>
        <x:v>41229</x:v>
      </x:c>
      <x:c r="D1664" s="28" t="n">
        <x:f>MOD(B1664,1)</x:f>
        <x:v>0.026446759256941732</x:v>
      </x:c>
      <x:c r="E1664" s="29" t="n">
        <x:f>YEAR(B1664)</x:f>
        <x:v>2012</x:v>
      </x:c>
      <x:c r="F1664" s="29" t="n">
        <x:f>MONTH(B1664)</x:f>
        <x:v>11</x:v>
      </x:c>
      <x:c r="G1664" s="30" t="n">
        <x:v>-21.51</x:v>
      </x:c>
      <x:c r="H1664" s="30" t="n">
        <x:v>-69.49</x:v>
      </x:c>
      <x:c r="I1664" s="29" t="n">
        <x:v>62</x:v>
      </x:c>
      <x:c r="J1664" s="31" t="n">
        <x:v>5.3</x:v>
      </x:c>
      <x:c r="K1664" s="25" t="str">
        <x:f>IF(J1664&gt;=7,"Muy fuerte (&gt;=7)",IF(J1664&gt;=6,"Fuerte (6-6.9)",IF(J1664&gt;=5,"Moderado alto (5-5.9)",IF(J1664&gt;=4,"Moderado (4-4.9)","Menor a 4"))))</x:f>
        <x:v>Moderado alto (5-5.9)</x:v>
      </x:c>
      <x:c r="L1664" s="25" t="str">
        <x:f>IF(I1664&lt;70,"Superficial (&lt;70 km)",IF(I1664&lt;=300,"Intermedio (70-300 km)","Profundo (&gt;300 km)"))</x:f>
        <x:v>Superficial (&lt;70 km)</x:v>
      </x:c>
      <x:c r="M1664" s="25" t="str">
        <x:f>IF(J1664&gt;=5,"Sí","No")</x:f>
        <x:v>Sí</x:v>
      </x:c>
      <x:c r="N1664" s="25" t="str">
        <x:f>IF(J1664&gt;=6,"Sí","No")</x:f>
        <x:v>No</x:v>
      </x:c>
      <x:c r="O1664" s="25" t="str">
        <x:v>Pendiente: asignar con R/sf</x:v>
      </x:c>
    </x:row>
    <x:row r="1665">
      <x:c r="A1665" s="25" t="n">
        <x:v>1664</x:v>
      </x:c>
      <x:c r="B1665" s="26" t="n">
        <x:v>41128.02711805556</x:v>
      </x:c>
      <x:c r="C1665" s="27" t="n">
        <x:f>INT(B1665)</x:f>
        <x:v>41128</x:v>
      </x:c>
      <x:c r="D1665" s="28" t="n">
        <x:f>MOD(B1665,1)</x:f>
        <x:v>0.02711805555736646</x:v>
      </x:c>
      <x:c r="E1665" s="29" t="n">
        <x:f>YEAR(B1665)</x:f>
        <x:v>2012</x:v>
      </x:c>
      <x:c r="F1665" s="29" t="n">
        <x:f>MONTH(B1665)</x:f>
        <x:v>8</x:v>
      </x:c>
      <x:c r="G1665" s="30" t="n">
        <x:v>-27.88</x:v>
      </x:c>
      <x:c r="H1665" s="30" t="n">
        <x:v>-70.58</x:v>
      </x:c>
      <x:c r="I1665" s="29" t="n">
        <x:v>74</x:v>
      </x:c>
      <x:c r="J1665" s="31" t="n">
        <x:v>5.5</x:v>
      </x:c>
      <x:c r="K1665" s="25" t="str">
        <x:f>IF(J1665&gt;=7,"Muy fuerte (&gt;=7)",IF(J1665&gt;=6,"Fuerte (6-6.9)",IF(J1665&gt;=5,"Moderado alto (5-5.9)",IF(J1665&gt;=4,"Moderado (4-4.9)","Menor a 4"))))</x:f>
        <x:v>Moderado alto (5-5.9)</x:v>
      </x:c>
      <x:c r="L1665" s="25" t="str">
        <x:f>IF(I1665&lt;70,"Superficial (&lt;70 km)",IF(I1665&lt;=300,"Intermedio (70-300 km)","Profundo (&gt;300 km)"))</x:f>
        <x:v>Intermedio (70-300 km)</x:v>
      </x:c>
      <x:c r="M1665" s="25" t="str">
        <x:f>IF(J1665&gt;=5,"Sí","No")</x:f>
        <x:v>Sí</x:v>
      </x:c>
      <x:c r="N1665" s="25" t="str">
        <x:f>IF(J1665&gt;=6,"Sí","No")</x:f>
        <x:v>No</x:v>
      </x:c>
      <x:c r="O1665" s="25" t="str">
        <x:v>Pendiente: asignar con R/sf</x:v>
      </x:c>
    </x:row>
    <x:row r="1666">
      <x:c r="A1666" s="25" t="n">
        <x:v>1665</x:v>
      </x:c>
      <x:c r="B1666" s="26" t="n">
        <x:v>41151.336550925924</x:v>
      </x:c>
      <x:c r="C1666" s="27" t="n">
        <x:f>INT(B1666)</x:f>
        <x:v>41151</x:v>
      </x:c>
      <x:c r="D1666" s="28" t="n">
        <x:f>MOD(B1666,1)</x:f>
        <x:v>0.3365509259238024</x:v>
      </x:c>
      <x:c r="E1666" s="29" t="n">
        <x:f>YEAR(B1666)</x:f>
        <x:v>2012</x:v>
      </x:c>
      <x:c r="F1666" s="29" t="n">
        <x:f>MONTH(B1666)</x:f>
        <x:v>8</x:v>
      </x:c>
      <x:c r="G1666" s="30" t="n">
        <x:v>-37.24</x:v>
      </x:c>
      <x:c r="H1666" s="30" t="n">
        <x:v>-73.86</x:v>
      </x:c>
      <x:c r="I1666" s="29" t="n">
        <x:v>40</x:v>
      </x:c>
      <x:c r="J1666" s="31" t="n">
        <x:v>5.2</x:v>
      </x:c>
      <x:c r="K1666" s="25" t="str">
        <x:f>IF(J1666&gt;=7,"Muy fuerte (&gt;=7)",IF(J1666&gt;=6,"Fuerte (6-6.9)",IF(J1666&gt;=5,"Moderado alto (5-5.9)",IF(J1666&gt;=4,"Moderado (4-4.9)","Menor a 4"))))</x:f>
        <x:v>Moderado alto (5-5.9)</x:v>
      </x:c>
      <x:c r="L1666" s="25" t="str">
        <x:f>IF(I1666&lt;70,"Superficial (&lt;70 km)",IF(I1666&lt;=300,"Intermedio (70-300 km)","Profundo (&gt;300 km)"))</x:f>
        <x:v>Superficial (&lt;70 km)</x:v>
      </x:c>
      <x:c r="M1666" s="25" t="str">
        <x:f>IF(J1666&gt;=5,"Sí","No")</x:f>
        <x:v>Sí</x:v>
      </x:c>
      <x:c r="N1666" s="25" t="str">
        <x:f>IF(J1666&gt;=6,"Sí","No")</x:f>
        <x:v>No</x:v>
      </x:c>
      <x:c r="O1666" s="25" t="str">
        <x:v>Pendiente: asignar con R/sf</x:v>
      </x:c>
    </x:row>
    <x:row r="1667">
      <x:c r="A1667" s="25" t="n">
        <x:v>1666</x:v>
      </x:c>
      <x:c r="B1667" s="26" t="n">
        <x:v>40992.31149305555</x:v>
      </x:c>
      <x:c r="C1667" s="27" t="n">
        <x:f>INT(B1667)</x:f>
        <x:v>40992</x:v>
      </x:c>
      <x:c r="D1667" s="28" t="n">
        <x:f>MOD(B1667,1)</x:f>
        <x:v>0.3114930555530009</x:v>
      </x:c>
      <x:c r="E1667" s="29" t="n">
        <x:f>YEAR(B1667)</x:f>
        <x:v>2012</x:v>
      </x:c>
      <x:c r="F1667" s="29" t="n">
        <x:f>MONTH(B1667)</x:f>
        <x:v>3</x:v>
      </x:c>
      <x:c r="G1667" s="30" t="n">
        <x:v>-33.05</x:v>
      </x:c>
      <x:c r="H1667" s="30" t="n">
        <x:v>-71.06</x:v>
      </x:c>
      <x:c r="I1667" s="29" t="n">
        <x:v>69</x:v>
      </x:c>
      <x:c r="J1667" s="31" t="n">
        <x:v>5.2</x:v>
      </x:c>
      <x:c r="K1667" s="25" t="str">
        <x:f>IF(J1667&gt;=7,"Muy fuerte (&gt;=7)",IF(J1667&gt;=6,"Fuerte (6-6.9)",IF(J1667&gt;=5,"Moderado alto (5-5.9)",IF(J1667&gt;=4,"Moderado (4-4.9)","Menor a 4"))))</x:f>
        <x:v>Moderado alto (5-5.9)</x:v>
      </x:c>
      <x:c r="L1667" s="25" t="str">
        <x:f>IF(I1667&lt;70,"Superficial (&lt;70 km)",IF(I1667&lt;=300,"Intermedio (70-300 km)","Profundo (&gt;300 km)"))</x:f>
        <x:v>Superficial (&lt;70 km)</x:v>
      </x:c>
      <x:c r="M1667" s="25" t="str">
        <x:f>IF(J1667&gt;=5,"Sí","No")</x:f>
        <x:v>Sí</x:v>
      </x:c>
      <x:c r="N1667" s="25" t="str">
        <x:f>IF(J1667&gt;=6,"Sí","No")</x:f>
        <x:v>No</x:v>
      </x:c>
      <x:c r="O1667" s="25" t="str">
        <x:v>Pendiente: asignar con R/sf</x:v>
      </x:c>
    </x:row>
    <x:row r="1668">
      <x:c r="A1668" s="25" t="n">
        <x:v>1667</x:v>
      </x:c>
      <x:c r="B1668" s="26" t="n">
        <x:v>41148.027719907404</x:v>
      </x:c>
      <x:c r="C1668" s="27" t="n">
        <x:f>INT(B1668)</x:f>
        <x:v>41148</x:v>
      </x:c>
      <x:c r="D1668" s="28" t="n">
        <x:f>MOD(B1668,1)</x:f>
        <x:v>0.027719907404389232</x:v>
      </x:c>
      <x:c r="E1668" s="29" t="n">
        <x:f>YEAR(B1668)</x:f>
        <x:v>2012</x:v>
      </x:c>
      <x:c r="F1668" s="29" t="n">
        <x:f>MONTH(B1668)</x:f>
        <x:v>8</x:v>
      </x:c>
      <x:c r="G1668" s="30" t="n">
        <x:v>-23.74</x:v>
      </x:c>
      <x:c r="H1668" s="30" t="n">
        <x:v>-69.42</x:v>
      </x:c>
      <x:c r="I1668" s="29" t="n">
        <x:v>99</x:v>
      </x:c>
      <x:c r="J1668" s="31" t="n">
        <x:v>5</x:v>
      </x:c>
      <x:c r="K1668" s="25" t="str">
        <x:f>IF(J1668&gt;=7,"Muy fuerte (&gt;=7)",IF(J1668&gt;=6,"Fuerte (6-6.9)",IF(J1668&gt;=5,"Moderado alto (5-5.9)",IF(J1668&gt;=4,"Moderado (4-4.9)","Menor a 4"))))</x:f>
        <x:v>Moderado alto (5-5.9)</x:v>
      </x:c>
      <x:c r="L1668" s="25" t="str">
        <x:f>IF(I1668&lt;70,"Superficial (&lt;70 km)",IF(I1668&lt;=300,"Intermedio (70-300 km)","Profundo (&gt;300 km)"))</x:f>
        <x:v>Intermedio (70-300 km)</x:v>
      </x:c>
      <x:c r="M1668" s="25" t="str">
        <x:f>IF(J1668&gt;=5,"Sí","No")</x:f>
        <x:v>Sí</x:v>
      </x:c>
      <x:c r="N1668" s="25" t="str">
        <x:f>IF(J1668&gt;=6,"Sí","No")</x:f>
        <x:v>No</x:v>
      </x:c>
      <x:c r="O1668" s="25" t="str">
        <x:v>Pendiente: asignar con R/sf</x:v>
      </x:c>
    </x:row>
    <x:row r="1669">
      <x:c r="A1669" s="25" t="n">
        <x:v>1668</x:v>
      </x:c>
      <x:c r="B1669" s="26" t="n">
        <x:v>41226.13292824074</x:v>
      </x:c>
      <x:c r="C1669" s="27" t="n">
        <x:f>INT(B1669)</x:f>
        <x:v>41226</x:v>
      </x:c>
      <x:c r="D1669" s="28" t="n">
        <x:f>MOD(B1669,1)</x:f>
        <x:v>0.1329282407386927</x:v>
      </x:c>
      <x:c r="E1669" s="29" t="n">
        <x:f>YEAR(B1669)</x:f>
        <x:v>2012</x:v>
      </x:c>
      <x:c r="F1669" s="29" t="n">
        <x:f>MONTH(B1669)</x:f>
        <x:v>11</x:v>
      </x:c>
      <x:c r="G1669" s="30" t="n">
        <x:v>-20.54</x:v>
      </x:c>
      <x:c r="H1669" s="30" t="n">
        <x:v>-69.03</x:v>
      </x:c>
      <x:c r="I1669" s="29" t="n">
        <x:v>93</x:v>
      </x:c>
      <x:c r="J1669" s="31" t="n">
        <x:v>5.1</x:v>
      </x:c>
      <x:c r="K1669" s="25" t="str">
        <x:f>IF(J1669&gt;=7,"Muy fuerte (&gt;=7)",IF(J1669&gt;=6,"Fuerte (6-6.9)",IF(J1669&gt;=5,"Moderado alto (5-5.9)",IF(J1669&gt;=4,"Moderado (4-4.9)","Menor a 4"))))</x:f>
        <x:v>Moderado alto (5-5.9)</x:v>
      </x:c>
      <x:c r="L1669" s="25" t="str">
        <x:f>IF(I1669&lt;70,"Superficial (&lt;70 km)",IF(I1669&lt;=300,"Intermedio (70-300 km)","Profundo (&gt;300 km)"))</x:f>
        <x:v>Intermedio (70-300 km)</x:v>
      </x:c>
      <x:c r="M1669" s="25" t="str">
        <x:f>IF(J1669&gt;=5,"Sí","No")</x:f>
        <x:v>Sí</x:v>
      </x:c>
      <x:c r="N1669" s="25" t="str">
        <x:f>IF(J1669&gt;=6,"Sí","No")</x:f>
        <x:v>No</x:v>
      </x:c>
      <x:c r="O1669" s="25" t="str">
        <x:v>Pendiente: asignar con R/sf</x:v>
      </x:c>
    </x:row>
    <x:row r="1670">
      <x:c r="A1670" s="25" t="n">
        <x:v>1669</x:v>
      </x:c>
      <x:c r="B1670" s="26" t="n">
        <x:v>41043.417129629626</x:v>
      </x:c>
      <x:c r="C1670" s="27" t="n">
        <x:f>INT(B1670)</x:f>
        <x:v>41043</x:v>
      </x:c>
      <x:c r="D1670" s="28" t="n">
        <x:f>MOD(B1670,1)</x:f>
        <x:v>0.4171296296262881</x:v>
      </x:c>
      <x:c r="E1670" s="29" t="n">
        <x:f>YEAR(B1670)</x:f>
        <x:v>2012</x:v>
      </x:c>
      <x:c r="F1670" s="29" t="n">
        <x:f>MONTH(B1670)</x:f>
        <x:v>5</x:v>
      </x:c>
      <x:c r="G1670" s="30" t="n">
        <x:v>-18.11</x:v>
      </x:c>
      <x:c r="H1670" s="30" t="n">
        <x:v>-70.24</x:v>
      </x:c>
      <x:c r="I1670" s="29" t="n">
        <x:v>120</x:v>
      </x:c>
      <x:c r="J1670" s="31" t="n">
        <x:v>6.4</x:v>
      </x:c>
      <x:c r="K1670" s="25" t="str">
        <x:f>IF(J1670&gt;=7,"Muy fuerte (&gt;=7)",IF(J1670&gt;=6,"Fuerte (6-6.9)",IF(J1670&gt;=5,"Moderado alto (5-5.9)",IF(J1670&gt;=4,"Moderado (4-4.9)","Menor a 4"))))</x:f>
        <x:v>Fuerte (6-6.9)</x:v>
      </x:c>
      <x:c r="L1670" s="25" t="str">
        <x:f>IF(I1670&lt;70,"Superficial (&lt;70 km)",IF(I1670&lt;=300,"Intermedio (70-300 km)","Profundo (&gt;300 km)"))</x:f>
        <x:v>Intermedio (70-300 km)</x:v>
      </x:c>
      <x:c r="M1670" s="25" t="str">
        <x:f>IF(J1670&gt;=5,"Sí","No")</x:f>
        <x:v>Sí</x:v>
      </x:c>
      <x:c r="N1670" s="25" t="str">
        <x:f>IF(J1670&gt;=6,"Sí","No")</x:f>
        <x:v>Sí</x:v>
      </x:c>
      <x:c r="O1670" s="25" t="str">
        <x:v>Pendiente: asignar con R/sf</x:v>
      </x:c>
    </x:row>
    <x:row r="1671">
      <x:c r="A1671" s="25" t="n">
        <x:v>1670</x:v>
      </x:c>
      <x:c r="B1671" s="26" t="n">
        <x:v>41193.72372685185</x:v>
      </x:c>
      <x:c r="C1671" s="27" t="n">
        <x:f>INT(B1671)</x:f>
        <x:v>41193</x:v>
      </x:c>
      <x:c r="D1671" s="28" t="n">
        <x:f>MOD(B1671,1)</x:f>
        <x:v>0.7237268518510973</x:v>
      </x:c>
      <x:c r="E1671" s="29" t="n">
        <x:f>YEAR(B1671)</x:f>
        <x:v>2012</x:v>
      </x:c>
      <x:c r="F1671" s="29" t="n">
        <x:f>MONTH(B1671)</x:f>
        <x:v>10</x:v>
      </x:c>
      <x:c r="G1671" s="30" t="n">
        <x:v>-32.88</x:v>
      </x:c>
      <x:c r="H1671" s="30" t="n">
        <x:v>-70.65</x:v>
      </x:c>
      <x:c r="I1671" s="29" t="n">
        <x:v>95</x:v>
      </x:c>
      <x:c r="J1671" s="31" t="n">
        <x:v>5.7</x:v>
      </x:c>
      <x:c r="K1671" s="25" t="str">
        <x:f>IF(J1671&gt;=7,"Muy fuerte (&gt;=7)",IF(J1671&gt;=6,"Fuerte (6-6.9)",IF(J1671&gt;=5,"Moderado alto (5-5.9)",IF(J1671&gt;=4,"Moderado (4-4.9)","Menor a 4"))))</x:f>
        <x:v>Moderado alto (5-5.9)</x:v>
      </x:c>
      <x:c r="L1671" s="25" t="str">
        <x:f>IF(I1671&lt;70,"Superficial (&lt;70 km)",IF(I1671&lt;=300,"Intermedio (70-300 km)","Profundo (&gt;300 km)"))</x:f>
        <x:v>Intermedio (70-300 km)</x:v>
      </x:c>
      <x:c r="M1671" s="25" t="str">
        <x:f>IF(J1671&gt;=5,"Sí","No")</x:f>
        <x:v>Sí</x:v>
      </x:c>
      <x:c r="N1671" s="25" t="str">
        <x:f>IF(J1671&gt;=6,"Sí","No")</x:f>
        <x:v>No</x:v>
      </x:c>
      <x:c r="O1671" s="25" t="str">
        <x:v>Pendiente: asignar con R/sf</x:v>
      </x:c>
    </x:row>
    <x:row r="1672">
      <x:c r="A1672" s="25" t="n">
        <x:v>1671</x:v>
      </x:c>
      <x:c r="B1672" s="26" t="n">
        <x:v>41227.79309027778</x:v>
      </x:c>
      <x:c r="C1672" s="27" t="n">
        <x:f>INT(B1672)</x:f>
        <x:v>41227</x:v>
      </x:c>
      <x:c r="D1672" s="28" t="n">
        <x:f>MOD(B1672,1)</x:f>
        <x:v>0.7930902777807205</x:v>
      </x:c>
      <x:c r="E1672" s="29" t="n">
        <x:f>YEAR(B1672)</x:f>
        <x:v>2012</x:v>
      </x:c>
      <x:c r="F1672" s="29" t="n">
        <x:f>MONTH(B1672)</x:f>
        <x:v>11</x:v>
      </x:c>
      <x:c r="G1672" s="30" t="n">
        <x:v>-29.24</x:v>
      </x:c>
      <x:c r="H1672" s="30" t="n">
        <x:v>-71.23</x:v>
      </x:c>
      <x:c r="I1672" s="29" t="n">
        <x:v>82</x:v>
      </x:c>
      <x:c r="J1672" s="31" t="n">
        <x:v>5.7</x:v>
      </x:c>
      <x:c r="K1672" s="25" t="str">
        <x:f>IF(J1672&gt;=7,"Muy fuerte (&gt;=7)",IF(J1672&gt;=6,"Fuerte (6-6.9)",IF(J1672&gt;=5,"Moderado alto (5-5.9)",IF(J1672&gt;=4,"Moderado (4-4.9)","Menor a 4"))))</x:f>
        <x:v>Moderado alto (5-5.9)</x:v>
      </x:c>
      <x:c r="L1672" s="25" t="str">
        <x:f>IF(I1672&lt;70,"Superficial (&lt;70 km)",IF(I1672&lt;=300,"Intermedio (70-300 km)","Profundo (&gt;300 km)"))</x:f>
        <x:v>Intermedio (70-300 km)</x:v>
      </x:c>
      <x:c r="M1672" s="25" t="str">
        <x:f>IF(J1672&gt;=5,"Sí","No")</x:f>
        <x:v>Sí</x:v>
      </x:c>
      <x:c r="N1672" s="25" t="str">
        <x:f>IF(J1672&gt;=6,"Sí","No")</x:f>
        <x:v>No</x:v>
      </x:c>
      <x:c r="O1672" s="25" t="str">
        <x:v>Pendiente: asignar con R/sf</x:v>
      </x:c>
    </x:row>
    <x:row r="1673">
      <x:c r="A1673" s="25" t="n">
        <x:v>1672</x:v>
      </x:c>
      <x:c r="B1673" s="26" t="n">
        <x:v>41576.153344907405</x:v>
      </x:c>
      <x:c r="C1673" s="27" t="n">
        <x:f>INT(B1673)</x:f>
        <x:v>41576</x:v>
      </x:c>
      <x:c r="D1673" s="28" t="n">
        <x:f>MOD(B1673,1)</x:f>
        <x:v>0.1533449074049713</x:v>
      </x:c>
      <x:c r="E1673" s="29" t="n">
        <x:f>YEAR(B1673)</x:f>
        <x:v>2013</x:v>
      </x:c>
      <x:c r="F1673" s="29" t="n">
        <x:f>MONTH(B1673)</x:f>
        <x:v>10</x:v>
      </x:c>
      <x:c r="G1673" s="30" t="n">
        <x:v>-30.7</x:v>
      </x:c>
      <x:c r="H1673" s="30" t="n">
        <x:v>-71.28</x:v>
      </x:c>
      <x:c r="I1673" s="29" t="n">
        <x:v>47</x:v>
      </x:c>
      <x:c r="J1673" s="31" t="n">
        <x:v>5</x:v>
      </x:c>
      <x:c r="K1673" s="25" t="str">
        <x:f>IF(J1673&gt;=7,"Muy fuerte (&gt;=7)",IF(J1673&gt;=6,"Fuerte (6-6.9)",IF(J1673&gt;=5,"Moderado alto (5-5.9)",IF(J1673&gt;=4,"Moderado (4-4.9)","Menor a 4"))))</x:f>
        <x:v>Moderado alto (5-5.9)</x:v>
      </x:c>
      <x:c r="L1673" s="25" t="str">
        <x:f>IF(I1673&lt;70,"Superficial (&lt;70 km)",IF(I1673&lt;=300,"Intermedio (70-300 km)","Profundo (&gt;300 km)"))</x:f>
        <x:v>Superficial (&lt;70 km)</x:v>
      </x:c>
      <x:c r="M1673" s="25" t="str">
        <x:f>IF(J1673&gt;=5,"Sí","No")</x:f>
        <x:v>Sí</x:v>
      </x:c>
      <x:c r="N1673" s="25" t="str">
        <x:f>IF(J1673&gt;=6,"Sí","No")</x:f>
        <x:v>No</x:v>
      </x:c>
      <x:c r="O1673" s="25" t="str">
        <x:v>Pendiente: asignar con R/sf</x:v>
      </x:c>
    </x:row>
    <x:row r="1674">
      <x:c r="A1674" s="25" t="n">
        <x:v>1673</x:v>
      </x:c>
      <x:c r="B1674" s="26" t="n">
        <x:v>41501.43525462963</x:v>
      </x:c>
      <x:c r="C1674" s="27" t="n">
        <x:f>INT(B1674)</x:f>
        <x:v>41501</x:v>
      </x:c>
      <x:c r="D1674" s="28" t="n">
        <x:f>MOD(B1674,1)</x:f>
        <x:v>0.4352546296286164</x:v>
      </x:c>
      <x:c r="E1674" s="29" t="n">
        <x:f>YEAR(B1674)</x:f>
        <x:v>2013</x:v>
      </x:c>
      <x:c r="F1674" s="29" t="n">
        <x:f>MONTH(B1674)</x:f>
        <x:v>8</x:v>
      </x:c>
      <x:c r="G1674" s="30" t="n">
        <x:v>-32.51</x:v>
      </x:c>
      <x:c r="H1674" s="30" t="n">
        <x:v>-71.64</x:v>
      </x:c>
      <x:c r="I1674" s="29" t="n">
        <x:v>48</x:v>
      </x:c>
      <x:c r="J1674" s="31" t="n">
        <x:v>4.9</x:v>
      </x:c>
      <x:c r="K1674" s="25" t="str">
        <x:f>IF(J1674&gt;=7,"Muy fuerte (&gt;=7)",IF(J1674&gt;=6,"Fuerte (6-6.9)",IF(J1674&gt;=5,"Moderado alto (5-5.9)",IF(J1674&gt;=4,"Moderado (4-4.9)","Menor a 4"))))</x:f>
        <x:v>Moderado (4-4.9)</x:v>
      </x:c>
      <x:c r="L1674" s="25" t="str">
        <x:f>IF(I1674&lt;70,"Superficial (&lt;70 km)",IF(I1674&lt;=300,"Intermedio (70-300 km)","Profundo (&gt;300 km)"))</x:f>
        <x:v>Superficial (&lt;70 km)</x:v>
      </x:c>
      <x:c r="M1674" s="25" t="str">
        <x:f>IF(J1674&gt;=5,"Sí","No")</x:f>
        <x:v>No</x:v>
      </x:c>
      <x:c r="N1674" s="25" t="str">
        <x:f>IF(J1674&gt;=6,"Sí","No")</x:f>
        <x:v>No</x:v>
      </x:c>
      <x:c r="O1674" s="25" t="str">
        <x:v>Pendiente: asignar con R/sf</x:v>
      </x:c>
    </x:row>
    <x:row r="1675">
      <x:c r="A1675" s="25" t="n">
        <x:v>1674</x:v>
      </x:c>
      <x:c r="B1675" s="26" t="n">
        <x:v>41304.84422453704</x:v>
      </x:c>
      <x:c r="C1675" s="27" t="n">
        <x:f>INT(B1675)</x:f>
        <x:v>41304</x:v>
      </x:c>
      <x:c r="D1675" s="28" t="n">
        <x:f>MOD(B1675,1)</x:f>
        <x:v>0.8442245370388264</x:v>
      </x:c>
      <x:c r="E1675" s="29" t="n">
        <x:f>YEAR(B1675)</x:f>
        <x:v>2013</x:v>
      </x:c>
      <x:c r="F1675" s="29" t="n">
        <x:f>MONTH(B1675)</x:f>
        <x:v>1</x:v>
      </x:c>
      <x:c r="G1675" s="30" t="n">
        <x:v>-28.18</x:v>
      </x:c>
      <x:c r="H1675" s="30" t="n">
        <x:v>-70.88</x:v>
      </x:c>
      <x:c r="I1675" s="29" t="n">
        <x:v>52</x:v>
      </x:c>
      <x:c r="J1675" s="31" t="n">
        <x:v>6.7</x:v>
      </x:c>
      <x:c r="K1675" s="25" t="str">
        <x:f>IF(J1675&gt;=7,"Muy fuerte (&gt;=7)",IF(J1675&gt;=6,"Fuerte (6-6.9)",IF(J1675&gt;=5,"Moderado alto (5-5.9)",IF(J1675&gt;=4,"Moderado (4-4.9)","Menor a 4"))))</x:f>
        <x:v>Fuerte (6-6.9)</x:v>
      </x:c>
      <x:c r="L1675" s="25" t="str">
        <x:f>IF(I1675&lt;70,"Superficial (&lt;70 km)",IF(I1675&lt;=300,"Intermedio (70-300 km)","Profundo (&gt;300 km)"))</x:f>
        <x:v>Superficial (&lt;70 km)</x:v>
      </x:c>
      <x:c r="M1675" s="25" t="str">
        <x:f>IF(J1675&gt;=5,"Sí","No")</x:f>
        <x:v>Sí</x:v>
      </x:c>
      <x:c r="N1675" s="25" t="str">
        <x:f>IF(J1675&gt;=6,"Sí","No")</x:f>
        <x:v>Sí</x:v>
      </x:c>
      <x:c r="O1675" s="25" t="str">
        <x:v>Pendiente: asignar con R/sf</x:v>
      </x:c>
    </x:row>
    <x:row r="1676">
      <x:c r="A1676" s="25" t="n">
        <x:v>1675</x:v>
      </x:c>
      <x:c r="B1676" s="26" t="n">
        <x:v>41623.33403935185</x:v>
      </x:c>
      <x:c r="C1676" s="27" t="n">
        <x:f>INT(B1676)</x:f>
        <x:v>41623</x:v>
      </x:c>
      <x:c r="D1676" s="28" t="n">
        <x:f>MOD(B1676,1)</x:f>
        <x:v>0.3340393518519704</x:v>
      </x:c>
      <x:c r="E1676" s="29" t="n">
        <x:f>YEAR(B1676)</x:f>
        <x:v>2013</x:v>
      </x:c>
      <x:c r="F1676" s="29" t="n">
        <x:f>MONTH(B1676)</x:f>
        <x:v>12</x:v>
      </x:c>
      <x:c r="G1676" s="30" t="n">
        <x:v>-30.77</x:v>
      </x:c>
      <x:c r="H1676" s="30" t="n">
        <x:v>-71.39</x:v>
      </x:c>
      <x:c r="I1676" s="29" t="n">
        <x:v>35</x:v>
      </x:c>
      <x:c r="J1676" s="31" t="n">
        <x:v>4.5</x:v>
      </x:c>
      <x:c r="K1676" s="25" t="str">
        <x:f>IF(J1676&gt;=7,"Muy fuerte (&gt;=7)",IF(J1676&gt;=6,"Fuerte (6-6.9)",IF(J1676&gt;=5,"Moderado alto (5-5.9)",IF(J1676&gt;=4,"Moderado (4-4.9)","Menor a 4"))))</x:f>
        <x:v>Moderado (4-4.9)</x:v>
      </x:c>
      <x:c r="L1676" s="25" t="str">
        <x:f>IF(I1676&lt;70,"Superficial (&lt;70 km)",IF(I1676&lt;=300,"Intermedio (70-300 km)","Profundo (&gt;300 km)"))</x:f>
        <x:v>Superficial (&lt;70 km)</x:v>
      </x:c>
      <x:c r="M1676" s="25" t="str">
        <x:f>IF(J1676&gt;=5,"Sí","No")</x:f>
        <x:v>No</x:v>
      </x:c>
      <x:c r="N1676" s="25" t="str">
        <x:f>IF(J1676&gt;=6,"Sí","No")</x:f>
        <x:v>No</x:v>
      </x:c>
      <x:c r="O1676" s="25" t="str">
        <x:v>Pendiente: asignar con R/sf</x:v>
      </x:c>
    </x:row>
    <x:row r="1677">
      <x:c r="A1677" s="25" t="n">
        <x:v>1676</x:v>
      </x:c>
      <x:c r="B1677" s="26" t="n">
        <x:v>41546.96318287037</x:v>
      </x:c>
      <x:c r="C1677" s="27" t="n">
        <x:f>INT(B1677)</x:f>
        <x:v>41546</x:v>
      </x:c>
      <x:c r="D1677" s="28" t="n">
        <x:f>MOD(B1677,1)</x:f>
        <x:v>0.9631828703713836</x:v>
      </x:c>
      <x:c r="E1677" s="29" t="n">
        <x:f>YEAR(B1677)</x:f>
        <x:v>2013</x:v>
      </x:c>
      <x:c r="F1677" s="29" t="n">
        <x:f>MONTH(B1677)</x:f>
        <x:v>9</x:v>
      </x:c>
      <x:c r="G1677" s="30" t="n">
        <x:v>-37.47</x:v>
      </x:c>
      <x:c r="H1677" s="30" t="n">
        <x:v>-73.75</x:v>
      </x:c>
      <x:c r="I1677" s="29" t="n">
        <x:v>49</x:v>
      </x:c>
      <x:c r="J1677" s="31" t="n">
        <x:v>5.2</x:v>
      </x:c>
      <x:c r="K1677" s="25" t="str">
        <x:f>IF(J1677&gt;=7,"Muy fuerte (&gt;=7)",IF(J1677&gt;=6,"Fuerte (6-6.9)",IF(J1677&gt;=5,"Moderado alto (5-5.9)",IF(J1677&gt;=4,"Moderado (4-4.9)","Menor a 4"))))</x:f>
        <x:v>Moderado alto (5-5.9)</x:v>
      </x:c>
      <x:c r="L1677" s="25" t="str">
        <x:f>IF(I1677&lt;70,"Superficial (&lt;70 km)",IF(I1677&lt;=300,"Intermedio (70-300 km)","Profundo (&gt;300 km)"))</x:f>
        <x:v>Superficial (&lt;70 km)</x:v>
      </x:c>
      <x:c r="M1677" s="25" t="str">
        <x:f>IF(J1677&gt;=5,"Sí","No")</x:f>
        <x:v>Sí</x:v>
      </x:c>
      <x:c r="N1677" s="25" t="str">
        <x:f>IF(J1677&gt;=6,"Sí","No")</x:f>
        <x:v>No</x:v>
      </x:c>
      <x:c r="O1677" s="25" t="str">
        <x:v>Pendiente: asignar con R/sf</x:v>
      </x:c>
    </x:row>
    <x:row r="1678">
      <x:c r="A1678" s="25" t="n">
        <x:v>1677</x:v>
      </x:c>
      <x:c r="B1678" s="26" t="n">
        <x:v>41630.07880787037</x:v>
      </x:c>
      <x:c r="C1678" s="27" t="n">
        <x:f>INT(B1678)</x:f>
        <x:v>41630</x:v>
      </x:c>
      <x:c r="D1678" s="28" t="n">
        <x:f>MOD(B1678,1)</x:f>
        <x:v>0.07880787036992842</x:v>
      </x:c>
      <x:c r="E1678" s="29" t="n">
        <x:f>YEAR(B1678)</x:f>
        <x:v>2013</x:v>
      </x:c>
      <x:c r="F1678" s="29" t="n">
        <x:f>MONTH(B1678)</x:f>
        <x:v>12</x:v>
      </x:c>
      <x:c r="G1678" s="30" t="n">
        <x:v>-32.87</x:v>
      </x:c>
      <x:c r="H1678" s="30" t="n">
        <x:v>-70.62</x:v>
      </x:c>
      <x:c r="I1678" s="29" t="n">
        <x:v>95</x:v>
      </x:c>
      <x:c r="J1678" s="31" t="n">
        <x:v>5</x:v>
      </x:c>
      <x:c r="K1678" s="25" t="str">
        <x:f>IF(J1678&gt;=7,"Muy fuerte (&gt;=7)",IF(J1678&gt;=6,"Fuerte (6-6.9)",IF(J1678&gt;=5,"Moderado alto (5-5.9)",IF(J1678&gt;=4,"Moderado (4-4.9)","Menor a 4"))))</x:f>
        <x:v>Moderado alto (5-5.9)</x:v>
      </x:c>
      <x:c r="L1678" s="25" t="str">
        <x:f>IF(I1678&lt;70,"Superficial (&lt;70 km)",IF(I1678&lt;=300,"Intermedio (70-300 km)","Profundo (&gt;300 km)"))</x:f>
        <x:v>Intermedio (70-300 km)</x:v>
      </x:c>
      <x:c r="M1678" s="25" t="str">
        <x:f>IF(J1678&gt;=5,"Sí","No")</x:f>
        <x:v>Sí</x:v>
      </x:c>
      <x:c r="N1678" s="25" t="str">
        <x:f>IF(J1678&gt;=6,"Sí","No")</x:f>
        <x:v>No</x:v>
      </x:c>
      <x:c r="O1678" s="25" t="str">
        <x:v>Pendiente: asignar con R/sf</x:v>
      </x:c>
    </x:row>
    <x:row r="1679">
      <x:c r="A1679" s="25" t="n">
        <x:v>1678</x:v>
      </x:c>
      <x:c r="B1679" s="26" t="n">
        <x:v>41541.71398148148</x:v>
      </x:c>
      <x:c r="C1679" s="27" t="n">
        <x:f>INT(B1679)</x:f>
        <x:v>41541</x:v>
      </x:c>
      <x:c r="D1679" s="28" t="n">
        <x:f>MOD(B1679,1)</x:f>
        <x:v>0.7139814814800047</x:v>
      </x:c>
      <x:c r="E1679" s="29" t="n">
        <x:f>YEAR(B1679)</x:f>
        <x:v>2013</x:v>
      </x:c>
      <x:c r="F1679" s="29" t="n">
        <x:f>MONTH(B1679)</x:f>
        <x:v>9</x:v>
      </x:c>
      <x:c r="G1679" s="30" t="n">
        <x:v>-29.83</x:v>
      </x:c>
      <x:c r="H1679" s="30" t="n">
        <x:v>-71.32</x:v>
      </x:c>
      <x:c r="I1679" s="29" t="n">
        <x:v>56</x:v>
      </x:c>
      <x:c r="J1679" s="31" t="n">
        <x:v>4.2</x:v>
      </x:c>
      <x:c r="K1679" s="25" t="str">
        <x:f>IF(J1679&gt;=7,"Muy fuerte (&gt;=7)",IF(J1679&gt;=6,"Fuerte (6-6.9)",IF(J1679&gt;=5,"Moderado alto (5-5.9)",IF(J1679&gt;=4,"Moderado (4-4.9)","Menor a 4"))))</x:f>
        <x:v>Moderado (4-4.9)</x:v>
      </x:c>
      <x:c r="L1679" s="25" t="str">
        <x:f>IF(I1679&lt;70,"Superficial (&lt;70 km)",IF(I1679&lt;=300,"Intermedio (70-300 km)","Profundo (&gt;300 km)"))</x:f>
        <x:v>Superficial (&lt;70 km)</x:v>
      </x:c>
      <x:c r="M1679" s="25" t="str">
        <x:f>IF(J1679&gt;=5,"Sí","No")</x:f>
        <x:v>No</x:v>
      </x:c>
      <x:c r="N1679" s="25" t="str">
        <x:f>IF(J1679&gt;=6,"Sí","No")</x:f>
        <x:v>No</x:v>
      </x:c>
      <x:c r="O1679" s="25" t="str">
        <x:v>Pendiente: asignar con R/sf</x:v>
      </x:c>
    </x:row>
    <x:row r="1680">
      <x:c r="A1680" s="25" t="n">
        <x:v>1679</x:v>
      </x:c>
      <x:c r="B1680" s="26" t="n">
        <x:v>41578.96108796296</x:v>
      </x:c>
      <x:c r="C1680" s="27" t="n">
        <x:f>INT(B1680)</x:f>
        <x:v>41578</x:v>
      </x:c>
      <x:c r="D1680" s="28" t="n">
        <x:f>MOD(B1680,1)</x:f>
        <x:v>0.9610879629617557</x:v>
      </x:c>
      <x:c r="E1680" s="29" t="n">
        <x:f>YEAR(B1680)</x:f>
        <x:v>2013</x:v>
      </x:c>
      <x:c r="F1680" s="29" t="n">
        <x:f>MONTH(B1680)</x:f>
        <x:v>10</x:v>
      </x:c>
      <x:c r="G1680" s="30" t="n">
        <x:v>-30.37</x:v>
      </x:c>
      <x:c r="H1680" s="30" t="n">
        <x:v>-71.5</x:v>
      </x:c>
      <x:c r="I1680" s="29" t="n">
        <x:v>52</x:v>
      </x:c>
      <x:c r="J1680" s="31" t="n">
        <x:v>6.5</x:v>
      </x:c>
      <x:c r="K1680" s="25" t="str">
        <x:f>IF(J1680&gt;=7,"Muy fuerte (&gt;=7)",IF(J1680&gt;=6,"Fuerte (6-6.9)",IF(J1680&gt;=5,"Moderado alto (5-5.9)",IF(J1680&gt;=4,"Moderado (4-4.9)","Menor a 4"))))</x:f>
        <x:v>Fuerte (6-6.9)</x:v>
      </x:c>
      <x:c r="L1680" s="25" t="str">
        <x:f>IF(I1680&lt;70,"Superficial (&lt;70 km)",IF(I1680&lt;=300,"Intermedio (70-300 km)","Profundo (&gt;300 km)"))</x:f>
        <x:v>Superficial (&lt;70 km)</x:v>
      </x:c>
      <x:c r="M1680" s="25" t="str">
        <x:f>IF(J1680&gt;=5,"Sí","No")</x:f>
        <x:v>Sí</x:v>
      </x:c>
      <x:c r="N1680" s="25" t="str">
        <x:f>IF(J1680&gt;=6,"Sí","No")</x:f>
        <x:v>Sí</x:v>
      </x:c>
      <x:c r="O1680" s="25" t="str">
        <x:v>Pendiente: asignar con R/sf</x:v>
      </x:c>
    </x:row>
    <x:row r="1681">
      <x:c r="A1681" s="25" t="n">
        <x:v>1680</x:v>
      </x:c>
      <x:c r="B1681" s="26" t="n">
        <x:v>41509.35700231481</x:v>
      </x:c>
      <x:c r="C1681" s="27" t="n">
        <x:f>INT(B1681)</x:f>
        <x:v>41509</x:v>
      </x:c>
      <x:c r="D1681" s="28" t="n">
        <x:f>MOD(B1681,1)</x:f>
        <x:v>0.35700231481314404</x:v>
      </x:c>
      <x:c r="E1681" s="29" t="n">
        <x:f>YEAR(B1681)</x:f>
        <x:v>2013</x:v>
      </x:c>
      <x:c r="F1681" s="29" t="n">
        <x:f>MONTH(B1681)</x:f>
        <x:v>8</x:v>
      </x:c>
      <x:c r="G1681" s="30" t="n">
        <x:v>-22.28</x:v>
      </x:c>
      <x:c r="H1681" s="30" t="n">
        <x:v>-68.86</x:v>
      </x:c>
      <x:c r="I1681" s="29" t="n">
        <x:v>118</x:v>
      </x:c>
      <x:c r="J1681" s="31" t="n">
        <x:v>5.7</x:v>
      </x:c>
      <x:c r="K1681" s="25" t="str">
        <x:f>IF(J1681&gt;=7,"Muy fuerte (&gt;=7)",IF(J1681&gt;=6,"Fuerte (6-6.9)",IF(J1681&gt;=5,"Moderado alto (5-5.9)",IF(J1681&gt;=4,"Moderado (4-4.9)","Menor a 4"))))</x:f>
        <x:v>Moderado alto (5-5.9)</x:v>
      </x:c>
      <x:c r="L1681" s="25" t="str">
        <x:f>IF(I1681&lt;70,"Superficial (&lt;70 km)",IF(I1681&lt;=300,"Intermedio (70-300 km)","Profundo (&gt;300 km)"))</x:f>
        <x:v>Intermedio (70-300 km)</x:v>
      </x:c>
      <x:c r="M1681" s="25" t="str">
        <x:f>IF(J1681&gt;=5,"Sí","No")</x:f>
        <x:v>Sí</x:v>
      </x:c>
      <x:c r="N1681" s="25" t="str">
        <x:f>IF(J1681&gt;=6,"Sí","No")</x:f>
        <x:v>No</x:v>
      </x:c>
      <x:c r="O1681" s="25" t="str">
        <x:v>Pendiente: asignar con R/sf</x:v>
      </x:c>
    </x:row>
    <x:row r="1682">
      <x:c r="A1682" s="25" t="n">
        <x:v>1681</x:v>
      </x:c>
      <x:c r="B1682" s="26" t="n">
        <x:v>41335.48752314815</x:v>
      </x:c>
      <x:c r="C1682" s="27" t="n">
        <x:f>INT(B1682)</x:f>
        <x:v>41335</x:v>
      </x:c>
      <x:c r="D1682" s="28" t="n">
        <x:f>MOD(B1682,1)</x:f>
        <x:v>0.48752314814919373</x:v>
      </x:c>
      <x:c r="E1682" s="29" t="n">
        <x:f>YEAR(B1682)</x:f>
        <x:v>2013</x:v>
      </x:c>
      <x:c r="F1682" s="29" t="n">
        <x:f>MONTH(B1682)</x:f>
        <x:v>3</x:v>
      </x:c>
      <x:c r="G1682" s="30" t="n">
        <x:v>-22.85</x:v>
      </x:c>
      <x:c r="H1682" s="30" t="n">
        <x:v>-70.38</x:v>
      </x:c>
      <x:c r="I1682" s="29" t="n">
        <x:v>51</x:v>
      </x:c>
      <x:c r="J1682" s="31" t="n">
        <x:v>5.1</x:v>
      </x:c>
      <x:c r="K1682" s="25" t="str">
        <x:f>IF(J1682&gt;=7,"Muy fuerte (&gt;=7)",IF(J1682&gt;=6,"Fuerte (6-6.9)",IF(J1682&gt;=5,"Moderado alto (5-5.9)",IF(J1682&gt;=4,"Moderado (4-4.9)","Menor a 4"))))</x:f>
        <x:v>Moderado alto (5-5.9)</x:v>
      </x:c>
      <x:c r="L1682" s="25" t="str">
        <x:f>IF(I1682&lt;70,"Superficial (&lt;70 km)",IF(I1682&lt;=300,"Intermedio (70-300 km)","Profundo (&gt;300 km)"))</x:f>
        <x:v>Superficial (&lt;70 km)</x:v>
      </x:c>
      <x:c r="M1682" s="25" t="str">
        <x:f>IF(J1682&gt;=5,"Sí","No")</x:f>
        <x:v>Sí</x:v>
      </x:c>
      <x:c r="N1682" s="25" t="str">
        <x:f>IF(J1682&gt;=6,"Sí","No")</x:f>
        <x:v>No</x:v>
      </x:c>
      <x:c r="O1682" s="25" t="str">
        <x:v>Pendiente: asignar con R/sf</x:v>
      </x:c>
    </x:row>
    <x:row r="1683">
      <x:c r="A1683" s="25" t="n">
        <x:v>1682</x:v>
      </x:c>
      <x:c r="B1683" s="26" t="n">
        <x:v>41546.97447916667</x:v>
      </x:c>
      <x:c r="C1683" s="27" t="n">
        <x:f>INT(B1683)</x:f>
        <x:v>41546</x:v>
      </x:c>
      <x:c r="D1683" s="28" t="n">
        <x:f>MOD(B1683,1)</x:f>
        <x:v>0.9744791666671517</x:v>
      </x:c>
      <x:c r="E1683" s="29" t="n">
        <x:f>YEAR(B1683)</x:f>
        <x:v>2013</x:v>
      </x:c>
      <x:c r="F1683" s="29" t="n">
        <x:f>MONTH(B1683)</x:f>
        <x:v>9</x:v>
      </x:c>
      <x:c r="G1683" s="30" t="n">
        <x:v>-37.47</x:v>
      </x:c>
      <x:c r="H1683" s="30" t="n">
        <x:v>-73.88</x:v>
      </x:c>
      <x:c r="I1683" s="29" t="n">
        <x:v>42</x:v>
      </x:c>
      <x:c r="J1683" s="31" t="n">
        <x:v>5.5</x:v>
      </x:c>
      <x:c r="K1683" s="25" t="str">
        <x:f>IF(J1683&gt;=7,"Muy fuerte (&gt;=7)",IF(J1683&gt;=6,"Fuerte (6-6.9)",IF(J1683&gt;=5,"Moderado alto (5-5.9)",IF(J1683&gt;=4,"Moderado (4-4.9)","Menor a 4"))))</x:f>
        <x:v>Moderado alto (5-5.9)</x:v>
      </x:c>
      <x:c r="L1683" s="25" t="str">
        <x:f>IF(I1683&lt;70,"Superficial (&lt;70 km)",IF(I1683&lt;=300,"Intermedio (70-300 km)","Profundo (&gt;300 km)"))</x:f>
        <x:v>Superficial (&lt;70 km)</x:v>
      </x:c>
      <x:c r="M1683" s="25" t="str">
        <x:f>IF(J1683&gt;=5,"Sí","No")</x:f>
        <x:v>Sí</x:v>
      </x:c>
      <x:c r="N1683" s="25" t="str">
        <x:f>IF(J1683&gt;=6,"Sí","No")</x:f>
        <x:v>No</x:v>
      </x:c>
      <x:c r="O1683" s="25" t="str">
        <x:v>Pendiente: asignar con R/sf</x:v>
      </x:c>
    </x:row>
    <x:row r="1684">
      <x:c r="A1684" s="25" t="n">
        <x:v>1683</x:v>
      </x:c>
      <x:c r="B1684" s="26" t="n">
        <x:v>41524.80105324074</x:v>
      </x:c>
      <x:c r="C1684" s="27" t="n">
        <x:f>INT(B1684)</x:f>
        <x:v>41524</x:v>
      </x:c>
      <x:c r="D1684" s="28" t="n">
        <x:f>MOD(B1684,1)</x:f>
        <x:v>0.8010532407424762</x:v>
      </x:c>
      <x:c r="E1684" s="29" t="n">
        <x:f>YEAR(B1684)</x:f>
        <x:v>2013</x:v>
      </x:c>
      <x:c r="F1684" s="29" t="n">
        <x:f>MONTH(B1684)</x:f>
        <x:v>9</x:v>
      </x:c>
      <x:c r="G1684" s="30" t="n">
        <x:v>-19.62</x:v>
      </x:c>
      <x:c r="H1684" s="30" t="n">
        <x:v>-69.3</x:v>
      </x:c>
      <x:c r="I1684" s="29" t="n">
        <x:v>100</x:v>
      </x:c>
      <x:c r="J1684" s="31" t="n">
        <x:v>5.2</x:v>
      </x:c>
      <x:c r="K1684" s="25" t="str">
        <x:f>IF(J1684&gt;=7,"Muy fuerte (&gt;=7)",IF(J1684&gt;=6,"Fuerte (6-6.9)",IF(J1684&gt;=5,"Moderado alto (5-5.9)",IF(J1684&gt;=4,"Moderado (4-4.9)","Menor a 4"))))</x:f>
        <x:v>Moderado alto (5-5.9)</x:v>
      </x:c>
      <x:c r="L1684" s="25" t="str">
        <x:f>IF(I1684&lt;70,"Superficial (&lt;70 km)",IF(I1684&lt;=300,"Intermedio (70-300 km)","Profundo (&gt;300 km)"))</x:f>
        <x:v>Intermedio (70-300 km)</x:v>
      </x:c>
      <x:c r="M1684" s="25" t="str">
        <x:f>IF(J1684&gt;=5,"Sí","No")</x:f>
        <x:v>Sí</x:v>
      </x:c>
      <x:c r="N1684" s="25" t="str">
        <x:f>IF(J1684&gt;=6,"Sí","No")</x:f>
        <x:v>No</x:v>
      </x:c>
      <x:c r="O1684" s="25" t="str">
        <x:v>Pendiente: asignar con R/sf</x:v>
      </x:c>
    </x:row>
    <x:row r="1685">
      <x:c r="A1685" s="25" t="n">
        <x:v>1684</x:v>
      </x:c>
      <x:c r="B1685" s="26" t="n">
        <x:v>41465.60569444444</x:v>
      </x:c>
      <x:c r="C1685" s="27" t="n">
        <x:f>INT(B1685)</x:f>
        <x:v>41465</x:v>
      </x:c>
      <x:c r="D1685" s="28" t="n">
        <x:f>MOD(B1685,1)</x:f>
        <x:v>0.6056944444426335</x:v>
      </x:c>
      <x:c r="E1685" s="29" t="n">
        <x:f>YEAR(B1685)</x:f>
        <x:v>2013</x:v>
      </x:c>
      <x:c r="F1685" s="29" t="n">
        <x:f>MONTH(B1685)</x:f>
        <x:v>7</x:v>
      </x:c>
      <x:c r="G1685" s="30" t="n">
        <x:v>-19.37</x:v>
      </x:c>
      <x:c r="H1685" s="30" t="n">
        <x:v>-69.52</x:v>
      </x:c>
      <x:c r="I1685" s="29" t="n">
        <x:v>113</x:v>
      </x:c>
      <x:c r="J1685" s="31" t="n">
        <x:v>5.7</x:v>
      </x:c>
      <x:c r="K1685" s="25" t="str">
        <x:f>IF(J1685&gt;=7,"Muy fuerte (&gt;=7)",IF(J1685&gt;=6,"Fuerte (6-6.9)",IF(J1685&gt;=5,"Moderado alto (5-5.9)",IF(J1685&gt;=4,"Moderado (4-4.9)","Menor a 4"))))</x:f>
        <x:v>Moderado alto (5-5.9)</x:v>
      </x:c>
      <x:c r="L1685" s="25" t="str">
        <x:f>IF(I1685&lt;70,"Superficial (&lt;70 km)",IF(I1685&lt;=300,"Intermedio (70-300 km)","Profundo (&gt;300 km)"))</x:f>
        <x:v>Intermedio (70-300 km)</x:v>
      </x:c>
      <x:c r="M1685" s="25" t="str">
        <x:f>IF(J1685&gt;=5,"Sí","No")</x:f>
        <x:v>Sí</x:v>
      </x:c>
      <x:c r="N1685" s="25" t="str">
        <x:f>IF(J1685&gt;=6,"Sí","No")</x:f>
        <x:v>No</x:v>
      </x:c>
      <x:c r="O1685" s="25" t="str">
        <x:v>Pendiente: asignar con R/sf</x:v>
      </x:c>
    </x:row>
    <x:row r="1686">
      <x:c r="A1686" s="25" t="n">
        <x:v>1685</x:v>
      </x:c>
      <x:c r="B1686" s="26" t="n">
        <x:v>41275.16055555556</x:v>
      </x:c>
      <x:c r="C1686" s="27" t="n">
        <x:f>INT(B1686)</x:f>
        <x:v>41275</x:v>
      </x:c>
      <x:c r="D1686" s="28" t="n">
        <x:f>MOD(B1686,1)</x:f>
        <x:v>0.16055555555794854</x:v>
      </x:c>
      <x:c r="E1686" s="29" t="n">
        <x:f>YEAR(B1686)</x:f>
        <x:v>2013</x:v>
      </x:c>
      <x:c r="F1686" s="29" t="n">
        <x:f>MONTH(B1686)</x:f>
        <x:v>1</x:v>
      </x:c>
      <x:c r="G1686" s="30" t="n">
        <x:v>-20.81</x:v>
      </x:c>
      <x:c r="H1686" s="30" t="n">
        <x:v>-69.67</x:v>
      </x:c>
      <x:c r="I1686" s="29" t="n">
        <x:v>59</x:v>
      </x:c>
      <x:c r="J1686" s="31" t="n">
        <x:v>5.1</x:v>
      </x:c>
      <x:c r="K1686" s="25" t="str">
        <x:f>IF(J1686&gt;=7,"Muy fuerte (&gt;=7)",IF(J1686&gt;=6,"Fuerte (6-6.9)",IF(J1686&gt;=5,"Moderado alto (5-5.9)",IF(J1686&gt;=4,"Moderado (4-4.9)","Menor a 4"))))</x:f>
        <x:v>Moderado alto (5-5.9)</x:v>
      </x:c>
      <x:c r="L1686" s="25" t="str">
        <x:f>IF(I1686&lt;70,"Superficial (&lt;70 km)",IF(I1686&lt;=300,"Intermedio (70-300 km)","Profundo (&gt;300 km)"))</x:f>
        <x:v>Superficial (&lt;70 km)</x:v>
      </x:c>
      <x:c r="M1686" s="25" t="str">
        <x:f>IF(J1686&gt;=5,"Sí","No")</x:f>
        <x:v>Sí</x:v>
      </x:c>
      <x:c r="N1686" s="25" t="str">
        <x:f>IF(J1686&gt;=6,"Sí","No")</x:f>
        <x:v>No</x:v>
      </x:c>
      <x:c r="O1686" s="25" t="str">
        <x:v>Pendiente: asignar con R/sf</x:v>
      </x:c>
    </x:row>
    <x:row r="1687">
      <x:c r="A1687" s="25" t="n">
        <x:v>1686</x:v>
      </x:c>
      <x:c r="B1687" s="26" t="n">
        <x:v>41612.23579861111</x:v>
      </x:c>
      <x:c r="C1687" s="27" t="n">
        <x:f>INT(B1687)</x:f>
        <x:v>41612</x:v>
      </x:c>
      <x:c r="D1687" s="28" t="n">
        <x:f>MOD(B1687,1)</x:f>
        <x:v>0.2357986111092032</x:v>
      </x:c>
      <x:c r="E1687" s="29" t="n">
        <x:f>YEAR(B1687)</x:f>
        <x:v>2013</x:v>
      </x:c>
      <x:c r="F1687" s="29" t="n">
        <x:f>MONTH(B1687)</x:f>
        <x:v>12</x:v>
      </x:c>
      <x:c r="G1687" s="30" t="n">
        <x:v>-24.58</x:v>
      </x:c>
      <x:c r="H1687" s="30" t="n">
        <x:v>-69.3</x:v>
      </x:c>
      <x:c r="I1687" s="29" t="n">
        <x:v>72</x:v>
      </x:c>
      <x:c r="J1687" s="31" t="n">
        <x:v>5.5</x:v>
      </x:c>
      <x:c r="K1687" s="25" t="str">
        <x:f>IF(J1687&gt;=7,"Muy fuerte (&gt;=7)",IF(J1687&gt;=6,"Fuerte (6-6.9)",IF(J1687&gt;=5,"Moderado alto (5-5.9)",IF(J1687&gt;=4,"Moderado (4-4.9)","Menor a 4"))))</x:f>
        <x:v>Moderado alto (5-5.9)</x:v>
      </x:c>
      <x:c r="L1687" s="25" t="str">
        <x:f>IF(I1687&lt;70,"Superficial (&lt;70 km)",IF(I1687&lt;=300,"Intermedio (70-300 km)","Profundo (&gt;300 km)"))</x:f>
        <x:v>Intermedio (70-300 km)</x:v>
      </x:c>
      <x:c r="M1687" s="25" t="str">
        <x:f>IF(J1687&gt;=5,"Sí","No")</x:f>
        <x:v>Sí</x:v>
      </x:c>
      <x:c r="N1687" s="25" t="str">
        <x:f>IF(J1687&gt;=6,"Sí","No")</x:f>
        <x:v>No</x:v>
      </x:c>
      <x:c r="O1687" s="25" t="str">
        <x:v>Pendiente: asignar con R/sf</x:v>
      </x:c>
    </x:row>
    <x:row r="1688">
      <x:c r="A1688" s="25" t="n">
        <x:v>1687</x:v>
      </x:c>
      <x:c r="B1688" s="26" t="n">
        <x:v>41593.41920138889</x:v>
      </x:c>
      <x:c r="C1688" s="27" t="n">
        <x:f>INT(B1688)</x:f>
        <x:v>41593</x:v>
      </x:c>
      <x:c r="D1688" s="28" t="n">
        <x:f>MOD(B1688,1)</x:f>
        <x:v>0.41920138888963265</x:v>
      </x:c>
      <x:c r="E1688" s="29" t="n">
        <x:f>YEAR(B1688)</x:f>
        <x:v>2013</x:v>
      </x:c>
      <x:c r="F1688" s="29" t="n">
        <x:f>MONTH(B1688)</x:f>
        <x:v>11</x:v>
      </x:c>
      <x:c r="G1688" s="30" t="n">
        <x:v>-30.54</x:v>
      </x:c>
      <x:c r="H1688" s="30" t="n">
        <x:v>-71.61</x:v>
      </x:c>
      <x:c r="I1688" s="29" t="n">
        <x:v>23</x:v>
      </x:c>
      <x:c r="J1688" s="31" t="n">
        <x:v>4.2</x:v>
      </x:c>
      <x:c r="K1688" s="25" t="str">
        <x:f>IF(J1688&gt;=7,"Muy fuerte (&gt;=7)",IF(J1688&gt;=6,"Fuerte (6-6.9)",IF(J1688&gt;=5,"Moderado alto (5-5.9)",IF(J1688&gt;=4,"Moderado (4-4.9)","Menor a 4"))))</x:f>
        <x:v>Moderado (4-4.9)</x:v>
      </x:c>
      <x:c r="L1688" s="25" t="str">
        <x:f>IF(I1688&lt;70,"Superficial (&lt;70 km)",IF(I1688&lt;=300,"Intermedio (70-300 km)","Profundo (&gt;300 km)"))</x:f>
        <x:v>Superficial (&lt;70 km)</x:v>
      </x:c>
      <x:c r="M1688" s="25" t="str">
        <x:f>IF(J1688&gt;=5,"Sí","No")</x:f>
        <x:v>No</x:v>
      </x:c>
      <x:c r="N1688" s="25" t="str">
        <x:f>IF(J1688&gt;=6,"Sí","No")</x:f>
        <x:v>No</x:v>
      </x:c>
      <x:c r="O1688" s="25" t="str">
        <x:v>Pendiente: asignar con R/sf</x:v>
      </x:c>
    </x:row>
    <x:row r="1689">
      <x:c r="A1689" s="25" t="n">
        <x:v>1688</x:v>
      </x:c>
      <x:c r="B1689" s="26" t="n">
        <x:v>41287.891284722224</x:v>
      </x:c>
      <x:c r="C1689" s="27" t="n">
        <x:f>INT(B1689)</x:f>
        <x:v>41287</x:v>
      </x:c>
      <x:c r="D1689" s="28" t="n">
        <x:f>MOD(B1689,1)</x:f>
        <x:v>0.8912847222236451</x:v>
      </x:c>
      <x:c r="E1689" s="29" t="n">
        <x:f>YEAR(B1689)</x:f>
        <x:v>2013</x:v>
      </x:c>
      <x:c r="F1689" s="29" t="n">
        <x:f>MONTH(B1689)</x:f>
        <x:v>1</x:v>
      </x:c>
      <x:c r="G1689" s="30" t="n">
        <x:v>-20.12</x:v>
      </x:c>
      <x:c r="H1689" s="30" t="n">
        <x:v>-69.31</x:v>
      </x:c>
      <x:c r="I1689" s="29" t="n">
        <x:v>90</x:v>
      </x:c>
      <x:c r="J1689" s="31" t="n">
        <x:v>5.5</x:v>
      </x:c>
      <x:c r="K1689" s="25" t="str">
        <x:f>IF(J1689&gt;=7,"Muy fuerte (&gt;=7)",IF(J1689&gt;=6,"Fuerte (6-6.9)",IF(J1689&gt;=5,"Moderado alto (5-5.9)",IF(J1689&gt;=4,"Moderado (4-4.9)","Menor a 4"))))</x:f>
        <x:v>Moderado alto (5-5.9)</x:v>
      </x:c>
      <x:c r="L1689" s="25" t="str">
        <x:f>IF(I1689&lt;70,"Superficial (&lt;70 km)",IF(I1689&lt;=300,"Intermedio (70-300 km)","Profundo (&gt;300 km)"))</x:f>
        <x:v>Intermedio (70-300 km)</x:v>
      </x:c>
      <x:c r="M1689" s="25" t="str">
        <x:f>IF(J1689&gt;=5,"Sí","No")</x:f>
        <x:v>Sí</x:v>
      </x:c>
      <x:c r="N1689" s="25" t="str">
        <x:f>IF(J1689&gt;=6,"Sí","No")</x:f>
        <x:v>No</x:v>
      </x:c>
      <x:c r="O1689" s="25" t="str">
        <x:v>Pendiente: asignar con R/sf</x:v>
      </x:c>
    </x:row>
    <x:row r="1690">
      <x:c r="A1690" s="25" t="n">
        <x:v>1689</x:v>
      </x:c>
      <x:c r="B1690" s="26" t="n">
        <x:v>41738.3284375</x:v>
      </x:c>
      <x:c r="C1690" s="27" t="n">
        <x:f>INT(B1690)</x:f>
        <x:v>41738</x:v>
      </x:c>
      <x:c r="D1690" s="28" t="n">
        <x:f>MOD(B1690,1)</x:f>
        <x:v>0.32843750000029104</x:v>
      </x:c>
      <x:c r="E1690" s="29" t="n">
        <x:f>YEAR(B1690)</x:f>
        <x:v>2014</x:v>
      </x:c>
      <x:c r="F1690" s="29" t="n">
        <x:f>MONTH(B1690)</x:f>
        <x:v>4</x:v>
      </x:c>
      <x:c r="G1690" s="30" t="n">
        <x:v>-19.87</x:v>
      </x:c>
      <x:c r="H1690" s="30" t="n">
        <x:v>-70.88</x:v>
      </x:c>
      <x:c r="I1690" s="29" t="n">
        <x:v>33</x:v>
      </x:c>
      <x:c r="J1690" s="31" t="n">
        <x:v>4.5</x:v>
      </x:c>
      <x:c r="K1690" s="25" t="str">
        <x:f>IF(J1690&gt;=7,"Muy fuerte (&gt;=7)",IF(J1690&gt;=6,"Fuerte (6-6.9)",IF(J1690&gt;=5,"Moderado alto (5-5.9)",IF(J1690&gt;=4,"Moderado (4-4.9)","Menor a 4"))))</x:f>
        <x:v>Moderado (4-4.9)</x:v>
      </x:c>
      <x:c r="L1690" s="25" t="str">
        <x:f>IF(I1690&lt;70,"Superficial (&lt;70 km)",IF(I1690&lt;=300,"Intermedio (70-300 km)","Profundo (&gt;300 km)"))</x:f>
        <x:v>Superficial (&lt;70 km)</x:v>
      </x:c>
      <x:c r="M1690" s="25" t="str">
        <x:f>IF(J1690&gt;=5,"Sí","No")</x:f>
        <x:v>No</x:v>
      </x:c>
      <x:c r="N1690" s="25" t="str">
        <x:f>IF(J1690&gt;=6,"Sí","No")</x:f>
        <x:v>No</x:v>
      </x:c>
      <x:c r="O1690" s="25" t="str">
        <x:v>Pendiente: asignar con R/sf</x:v>
      </x:c>
    </x:row>
    <x:row r="1691">
      <x:c r="A1691" s="25" t="n">
        <x:v>1690</x:v>
      </x:c>
      <x:c r="B1691" s="26" t="n">
        <x:v>41736.74065972222</x:v>
      </x:c>
      <x:c r="C1691" s="27" t="n">
        <x:f>INT(B1691)</x:f>
        <x:v>41736</x:v>
      </x:c>
      <x:c r="D1691" s="28" t="n">
        <x:f>MOD(B1691,1)</x:f>
        <x:v>0.7406597222216078</x:v>
      </x:c>
      <x:c r="E1691" s="29" t="n">
        <x:f>YEAR(B1691)</x:f>
        <x:v>2014</x:v>
      </x:c>
      <x:c r="F1691" s="29" t="n">
        <x:f>MONTH(B1691)</x:f>
        <x:v>4</x:v>
      </x:c>
      <x:c r="G1691" s="30" t="n">
        <x:v>-20.14</x:v>
      </x:c>
      <x:c r="H1691" s="30" t="n">
        <x:v>-70.37</x:v>
      </x:c>
      <x:c r="I1691" s="29" t="n">
        <x:v>29</x:v>
      </x:c>
      <x:c r="J1691" s="31" t="n">
        <x:v>4.7</x:v>
      </x:c>
      <x:c r="K1691" s="25" t="str">
        <x:f>IF(J1691&gt;=7,"Muy fuerte (&gt;=7)",IF(J1691&gt;=6,"Fuerte (6-6.9)",IF(J1691&gt;=5,"Moderado alto (5-5.9)",IF(J1691&gt;=4,"Moderado (4-4.9)","Menor a 4"))))</x:f>
        <x:v>Moderado (4-4.9)</x:v>
      </x:c>
      <x:c r="L1691" s="25" t="str">
        <x:f>IF(I1691&lt;70,"Superficial (&lt;70 km)",IF(I1691&lt;=300,"Intermedio (70-300 km)","Profundo (&gt;300 km)"))</x:f>
        <x:v>Superficial (&lt;70 km)</x:v>
      </x:c>
      <x:c r="M1691" s="25" t="str">
        <x:f>IF(J1691&gt;=5,"Sí","No")</x:f>
        <x:v>No</x:v>
      </x:c>
      <x:c r="N1691" s="25" t="str">
        <x:f>IF(J1691&gt;=6,"Sí","No")</x:f>
        <x:v>No</x:v>
      </x:c>
      <x:c r="O1691" s="25" t="str">
        <x:v>Pendiente: asignar con R/sf</x:v>
      </x:c>
    </x:row>
    <x:row r="1692">
      <x:c r="A1692" s="25" t="n">
        <x:v>1691</x:v>
      </x:c>
      <x:c r="B1692" s="26" t="n">
        <x:v>41914.59013888889</x:v>
      </x:c>
      <x:c r="C1692" s="27" t="n">
        <x:f>INT(B1692)</x:f>
        <x:v>41914</x:v>
      </x:c>
      <x:c r="D1692" s="28" t="n">
        <x:f>MOD(B1692,1)</x:f>
        <x:v>0.5901388888887595</x:v>
      </x:c>
      <x:c r="E1692" s="29" t="n">
        <x:f>YEAR(B1692)</x:f>
        <x:v>2014</x:v>
      </x:c>
      <x:c r="F1692" s="29" t="n">
        <x:f>MONTH(B1692)</x:f>
        <x:v>10</x:v>
      </x:c>
      <x:c r="G1692" s="30" t="n">
        <x:v>-23.09</x:v>
      </x:c>
      <x:c r="H1692" s="30" t="n">
        <x:v>-69.19</x:v>
      </x:c>
      <x:c r="I1692" s="29" t="n">
        <x:v>82</x:v>
      </x:c>
      <x:c r="J1692" s="31" t="n">
        <x:v>4.1</x:v>
      </x:c>
      <x:c r="K1692" s="25" t="str">
        <x:f>IF(J1692&gt;=7,"Muy fuerte (&gt;=7)",IF(J1692&gt;=6,"Fuerte (6-6.9)",IF(J1692&gt;=5,"Moderado alto (5-5.9)",IF(J1692&gt;=4,"Moderado (4-4.9)","Menor a 4"))))</x:f>
        <x:v>Moderado (4-4.9)</x:v>
      </x:c>
      <x:c r="L1692" s="25" t="str">
        <x:f>IF(I1692&lt;70,"Superficial (&lt;70 km)",IF(I1692&lt;=300,"Intermedio (70-300 km)","Profundo (&gt;300 km)"))</x:f>
        <x:v>Intermedio (70-300 km)</x:v>
      </x:c>
      <x:c r="M1692" s="25" t="str">
        <x:f>IF(J1692&gt;=5,"Sí","No")</x:f>
        <x:v>No</x:v>
      </x:c>
      <x:c r="N1692" s="25" t="str">
        <x:f>IF(J1692&gt;=6,"Sí","No")</x:f>
        <x:v>No</x:v>
      </x:c>
      <x:c r="O1692" s="25" t="str">
        <x:v>Pendiente: asignar con R/sf</x:v>
      </x:c>
    </x:row>
    <x:row r="1693">
      <x:c r="A1693" s="25" t="n">
        <x:v>1692</x:v>
      </x:c>
      <x:c r="B1693" s="26" t="n">
        <x:v>42001.76001157407</x:v>
      </x:c>
      <x:c r="C1693" s="27" t="n">
        <x:f>INT(B1693)</x:f>
        <x:v>42001</x:v>
      </x:c>
      <x:c r="D1693" s="28" t="n">
        <x:f>MOD(B1693,1)</x:f>
        <x:v>0.760011574071541</x:v>
      </x:c>
      <x:c r="E1693" s="29" t="n">
        <x:f>YEAR(B1693)</x:f>
        <x:v>2014</x:v>
      </x:c>
      <x:c r="F1693" s="29" t="n">
        <x:f>MONTH(B1693)</x:f>
        <x:v>12</x:v>
      </x:c>
      <x:c r="G1693" s="30" t="n">
        <x:v>-19.88</x:v>
      </x:c>
      <x:c r="H1693" s="30" t="n">
        <x:v>-68.89</x:v>
      </x:c>
      <x:c r="I1693" s="29" t="n">
        <x:v>114</x:v>
      </x:c>
      <x:c r="J1693" s="31" t="n">
        <x:v>4.9</x:v>
      </x:c>
      <x:c r="K1693" s="25" t="str">
        <x:f>IF(J1693&gt;=7,"Muy fuerte (&gt;=7)",IF(J1693&gt;=6,"Fuerte (6-6.9)",IF(J1693&gt;=5,"Moderado alto (5-5.9)",IF(J1693&gt;=4,"Moderado (4-4.9)","Menor a 4"))))</x:f>
        <x:v>Moderado (4-4.9)</x:v>
      </x:c>
      <x:c r="L1693" s="25" t="str">
        <x:f>IF(I1693&lt;70,"Superficial (&lt;70 km)",IF(I1693&lt;=300,"Intermedio (70-300 km)","Profundo (&gt;300 km)"))</x:f>
        <x:v>Intermedio (70-300 km)</x:v>
      </x:c>
      <x:c r="M1693" s="25" t="str">
        <x:f>IF(J1693&gt;=5,"Sí","No")</x:f>
        <x:v>No</x:v>
      </x:c>
      <x:c r="N1693" s="25" t="str">
        <x:f>IF(J1693&gt;=6,"Sí","No")</x:f>
        <x:v>No</x:v>
      </x:c>
      <x:c r="O1693" s="25" t="str">
        <x:v>Pendiente: asignar con R/sf</x:v>
      </x:c>
    </x:row>
    <x:row r="1694">
      <x:c r="A1694" s="25" t="n">
        <x:v>1693</x:v>
      </x:c>
      <x:c r="B1694" s="26" t="n">
        <x:v>41731.040185185186</x:v>
      </x:c>
      <x:c r="C1694" s="27" t="n">
        <x:f>INT(B1694)</x:f>
        <x:v>41731</x:v>
      </x:c>
      <x:c r="D1694" s="28" t="n">
        <x:f>MOD(B1694,1)</x:f>
        <x:v>0.04018518518569181</x:v>
      </x:c>
      <x:c r="E1694" s="29" t="n">
        <x:f>YEAR(B1694)</x:f>
        <x:v>2014</x:v>
      </x:c>
      <x:c r="F1694" s="29" t="n">
        <x:f>MONTH(B1694)</x:f>
        <x:v>4</x:v>
      </x:c>
      <x:c r="G1694" s="30" t="n">
        <x:v>-19.8</x:v>
      </x:c>
      <x:c r="H1694" s="30" t="n">
        <x:v>-70.48</x:v>
      </x:c>
      <x:c r="I1694" s="29" t="n">
        <x:v>33</x:v>
      </x:c>
      <x:c r="J1694" s="31" t="n">
        <x:v>4.5</x:v>
      </x:c>
      <x:c r="K1694" s="25" t="str">
        <x:f>IF(J1694&gt;=7,"Muy fuerte (&gt;=7)",IF(J1694&gt;=6,"Fuerte (6-6.9)",IF(J1694&gt;=5,"Moderado alto (5-5.9)",IF(J1694&gt;=4,"Moderado (4-4.9)","Menor a 4"))))</x:f>
        <x:v>Moderado (4-4.9)</x:v>
      </x:c>
      <x:c r="L1694" s="25" t="str">
        <x:f>IF(I1694&lt;70,"Superficial (&lt;70 km)",IF(I1694&lt;=300,"Intermedio (70-300 km)","Profundo (&gt;300 km)"))</x:f>
        <x:v>Superficial (&lt;70 km)</x:v>
      </x:c>
      <x:c r="M1694" s="25" t="str">
        <x:f>IF(J1694&gt;=5,"Sí","No")</x:f>
        <x:v>No</x:v>
      </x:c>
      <x:c r="N1694" s="25" t="str">
        <x:f>IF(J1694&gt;=6,"Sí","No")</x:f>
        <x:v>No</x:v>
      </x:c>
      <x:c r="O1694" s="25" t="str">
        <x:v>Pendiente: asignar con R/sf</x:v>
      </x:c>
    </x:row>
    <x:row r="1695">
      <x:c r="A1695" s="25" t="n">
        <x:v>1694</x:v>
      </x:c>
      <x:c r="B1695" s="26" t="n">
        <x:v>41787.75976851852</x:v>
      </x:c>
      <x:c r="C1695" s="27" t="n">
        <x:f>INT(B1695)</x:f>
        <x:v>41787</x:v>
      </x:c>
      <x:c r="D1695" s="28" t="n">
        <x:f>MOD(B1695,1)</x:f>
        <x:v>0.7597685185173759</x:v>
      </x:c>
      <x:c r="E1695" s="29" t="n">
        <x:f>YEAR(B1695)</x:f>
        <x:v>2014</x:v>
      </x:c>
      <x:c r="F1695" s="29" t="n">
        <x:f>MONTH(B1695)</x:f>
        <x:v>5</x:v>
      </x:c>
      <x:c r="G1695" s="30" t="n">
        <x:v>-20.25</x:v>
      </x:c>
      <x:c r="H1695" s="30" t="n">
        <x:v>-70.75</x:v>
      </x:c>
      <x:c r="I1695" s="29" t="n">
        <x:v>31</x:v>
      </x:c>
      <x:c r="J1695" s="31" t="n">
        <x:v>4.5</x:v>
      </x:c>
      <x:c r="K1695" s="25" t="str">
        <x:f>IF(J1695&gt;=7,"Muy fuerte (&gt;=7)",IF(J1695&gt;=6,"Fuerte (6-6.9)",IF(J1695&gt;=5,"Moderado alto (5-5.9)",IF(J1695&gt;=4,"Moderado (4-4.9)","Menor a 4"))))</x:f>
        <x:v>Moderado (4-4.9)</x:v>
      </x:c>
      <x:c r="L1695" s="25" t="str">
        <x:f>IF(I1695&lt;70,"Superficial (&lt;70 km)",IF(I1695&lt;=300,"Intermedio (70-300 km)","Profundo (&gt;300 km)"))</x:f>
        <x:v>Superficial (&lt;70 km)</x:v>
      </x:c>
      <x:c r="M1695" s="25" t="str">
        <x:f>IF(J1695&gt;=5,"Sí","No")</x:f>
        <x:v>No</x:v>
      </x:c>
      <x:c r="N1695" s="25" t="str">
        <x:f>IF(J1695&gt;=6,"Sí","No")</x:f>
        <x:v>No</x:v>
      </x:c>
      <x:c r="O1695" s="25" t="str">
        <x:v>Pendiente: asignar con R/sf</x:v>
      </x:c>
    </x:row>
    <x:row r="1696">
      <x:c r="A1696" s="25" t="n">
        <x:v>1695</x:v>
      </x:c>
      <x:c r="B1696" s="26" t="n">
        <x:v>41804.92605324074</x:v>
      </x:c>
      <x:c r="C1696" s="27" t="n">
        <x:f>INT(B1696)</x:f>
        <x:v>41804</x:v>
      </x:c>
      <x:c r="D1696" s="28" t="n">
        <x:f>MOD(B1696,1)</x:f>
        <x:v>0.9260532407424762</x:v>
      </x:c>
      <x:c r="E1696" s="29" t="n">
        <x:f>YEAR(B1696)</x:f>
        <x:v>2014</x:v>
      </x:c>
      <x:c r="F1696" s="29" t="n">
        <x:f>MONTH(B1696)</x:f>
        <x:v>6</x:v>
      </x:c>
      <x:c r="G1696" s="30" t="n">
        <x:v>-24.94</x:v>
      </x:c>
      <x:c r="H1696" s="30" t="n">
        <x:v>-69.4</x:v>
      </x:c>
      <x:c r="I1696" s="29" t="n">
        <x:v>108</x:v>
      </x:c>
      <x:c r="J1696" s="31" t="n">
        <x:v>5.5</x:v>
      </x:c>
      <x:c r="K1696" s="25" t="str">
        <x:f>IF(J1696&gt;=7,"Muy fuerte (&gt;=7)",IF(J1696&gt;=6,"Fuerte (6-6.9)",IF(J1696&gt;=5,"Moderado alto (5-5.9)",IF(J1696&gt;=4,"Moderado (4-4.9)","Menor a 4"))))</x:f>
        <x:v>Moderado alto (5-5.9)</x:v>
      </x:c>
      <x:c r="L1696" s="25" t="str">
        <x:f>IF(I1696&lt;70,"Superficial (&lt;70 km)",IF(I1696&lt;=300,"Intermedio (70-300 km)","Profundo (&gt;300 km)"))</x:f>
        <x:v>Intermedio (70-300 km)</x:v>
      </x:c>
      <x:c r="M1696" s="25" t="str">
        <x:f>IF(J1696&gt;=5,"Sí","No")</x:f>
        <x:v>Sí</x:v>
      </x:c>
      <x:c r="N1696" s="25" t="str">
        <x:f>IF(J1696&gt;=6,"Sí","No")</x:f>
        <x:v>No</x:v>
      </x:c>
      <x:c r="O1696" s="25" t="str">
        <x:v>Pendiente: asignar con R/sf</x:v>
      </x:c>
    </x:row>
    <x:row r="1697">
      <x:c r="A1697" s="25" t="n">
        <x:v>1696</x:v>
      </x:c>
      <x:c r="B1697" s="26" t="n">
        <x:v>41737.236666666664</x:v>
      </x:c>
      <x:c r="C1697" s="27" t="n">
        <x:f>INT(B1697)</x:f>
        <x:v>41737</x:v>
      </x:c>
      <x:c r="D1697" s="28" t="n">
        <x:f>MOD(B1697,1)</x:f>
        <x:v>0.2366666666639503</x:v>
      </x:c>
      <x:c r="E1697" s="29" t="n">
        <x:f>YEAR(B1697)</x:f>
        <x:v>2014</x:v>
      </x:c>
      <x:c r="F1697" s="29" t="n">
        <x:f>MONTH(B1697)</x:f>
        <x:v>4</x:v>
      </x:c>
      <x:c r="G1697" s="30" t="n">
        <x:v>-20.51</x:v>
      </x:c>
      <x:c r="H1697" s="30" t="n">
        <x:v>-70.65</x:v>
      </x:c>
      <x:c r="I1697" s="29" t="n">
        <x:v>30</x:v>
      </x:c>
      <x:c r="J1697" s="31" t="n">
        <x:v>4.6</x:v>
      </x:c>
      <x:c r="K1697" s="25" t="str">
        <x:f>IF(J1697&gt;=7,"Muy fuerte (&gt;=7)",IF(J1697&gt;=6,"Fuerte (6-6.9)",IF(J1697&gt;=5,"Moderado alto (5-5.9)",IF(J1697&gt;=4,"Moderado (4-4.9)","Menor a 4"))))</x:f>
        <x:v>Moderado (4-4.9)</x:v>
      </x:c>
      <x:c r="L1697" s="25" t="str">
        <x:f>IF(I1697&lt;70,"Superficial (&lt;70 km)",IF(I1697&lt;=300,"Intermedio (70-300 km)","Profundo (&gt;300 km)"))</x:f>
        <x:v>Superficial (&lt;70 km)</x:v>
      </x:c>
      <x:c r="M1697" s="25" t="str">
        <x:f>IF(J1697&gt;=5,"Sí","No")</x:f>
        <x:v>No</x:v>
      </x:c>
      <x:c r="N1697" s="25" t="str">
        <x:f>IF(J1697&gt;=6,"Sí","No")</x:f>
        <x:v>No</x:v>
      </x:c>
      <x:c r="O1697" s="25" t="str">
        <x:v>Pendiente: asignar con R/sf</x:v>
      </x:c>
    </x:row>
    <x:row r="1698">
      <x:c r="A1698" s="25" t="n">
        <x:v>1697</x:v>
      </x:c>
      <x:c r="B1698" s="26" t="n">
        <x:v>41832.28853009259</x:v>
      </x:c>
      <x:c r="C1698" s="27" t="n">
        <x:f>INT(B1698)</x:f>
        <x:v>41832</x:v>
      </x:c>
      <x:c r="D1698" s="28" t="n">
        <x:f>MOD(B1698,1)</x:f>
        <x:v>0.28853009259182727</x:v>
      </x:c>
      <x:c r="E1698" s="29" t="n">
        <x:f>YEAR(B1698)</x:f>
        <x:v>2014</x:v>
      </x:c>
      <x:c r="F1698" s="29" t="n">
        <x:f>MONTH(B1698)</x:f>
        <x:v>7</x:v>
      </x:c>
      <x:c r="G1698" s="30" t="n">
        <x:v>-19.7</x:v>
      </x:c>
      <x:c r="H1698" s="30" t="n">
        <x:v>-69.13</x:v>
      </x:c>
      <x:c r="I1698" s="29" t="n">
        <x:v>112</x:v>
      </x:c>
      <x:c r="J1698" s="31" t="n">
        <x:v>4.2</x:v>
      </x:c>
      <x:c r="K1698" s="25" t="str">
        <x:f>IF(J1698&gt;=7,"Muy fuerte (&gt;=7)",IF(J1698&gt;=6,"Fuerte (6-6.9)",IF(J1698&gt;=5,"Moderado alto (5-5.9)",IF(J1698&gt;=4,"Moderado (4-4.9)","Menor a 4"))))</x:f>
        <x:v>Moderado (4-4.9)</x:v>
      </x:c>
      <x:c r="L1698" s="25" t="str">
        <x:f>IF(I1698&lt;70,"Superficial (&lt;70 km)",IF(I1698&lt;=300,"Intermedio (70-300 km)","Profundo (&gt;300 km)"))</x:f>
        <x:v>Intermedio (70-300 km)</x:v>
      </x:c>
      <x:c r="M1698" s="25" t="str">
        <x:f>IF(J1698&gt;=5,"Sí","No")</x:f>
        <x:v>No</x:v>
      </x:c>
      <x:c r="N1698" s="25" t="str">
        <x:f>IF(J1698&gt;=6,"Sí","No")</x:f>
        <x:v>No</x:v>
      </x:c>
      <x:c r="O1698" s="25" t="str">
        <x:v>Pendiente: asignar con R/sf</x:v>
      </x:c>
    </x:row>
    <x:row r="1699">
      <x:c r="A1699" s="25" t="n">
        <x:v>1698</x:v>
      </x:c>
      <x:c r="B1699" s="26" t="n">
        <x:v>41731.736342592594</x:v>
      </x:c>
      <x:c r="C1699" s="27" t="n">
        <x:f>INT(B1699)</x:f>
        <x:v>41731</x:v>
      </x:c>
      <x:c r="D1699" s="28" t="n">
        <x:f>MOD(B1699,1)</x:f>
        <x:v>0.7363425925941556</x:v>
      </x:c>
      <x:c r="E1699" s="29" t="n">
        <x:f>YEAR(B1699)</x:f>
        <x:v>2014</x:v>
      </x:c>
      <x:c r="F1699" s="29" t="n">
        <x:f>MONTH(B1699)</x:f>
        <x:v>4</x:v>
      </x:c>
      <x:c r="G1699" s="30" t="n">
        <x:v>-19.89</x:v>
      </x:c>
      <x:c r="H1699" s="30" t="n">
        <x:v>-70.08</x:v>
      </x:c>
      <x:c r="I1699" s="29" t="n">
        <x:v>53</x:v>
      </x:c>
      <x:c r="J1699" s="31" t="n">
        <x:v>4.4</x:v>
      </x:c>
      <x:c r="K1699" s="25" t="str">
        <x:f>IF(J1699&gt;=7,"Muy fuerte (&gt;=7)",IF(J1699&gt;=6,"Fuerte (6-6.9)",IF(J1699&gt;=5,"Moderado alto (5-5.9)",IF(J1699&gt;=4,"Moderado (4-4.9)","Menor a 4"))))</x:f>
        <x:v>Moderado (4-4.9)</x:v>
      </x:c>
      <x:c r="L1699" s="25" t="str">
        <x:f>IF(I1699&lt;70,"Superficial (&lt;70 km)",IF(I1699&lt;=300,"Intermedio (70-300 km)","Profundo (&gt;300 km)"))</x:f>
        <x:v>Superficial (&lt;70 km)</x:v>
      </x:c>
      <x:c r="M1699" s="25" t="str">
        <x:f>IF(J1699&gt;=5,"Sí","No")</x:f>
        <x:v>No</x:v>
      </x:c>
      <x:c r="N1699" s="25" t="str">
        <x:f>IF(J1699&gt;=6,"Sí","No")</x:f>
        <x:v>No</x:v>
      </x:c>
      <x:c r="O1699" s="25" t="str">
        <x:v>Pendiente: asignar con R/sf</x:v>
      </x:c>
    </x:row>
    <x:row r="1700">
      <x:c r="A1700" s="25" t="n">
        <x:v>1699</x:v>
      </x:c>
      <x:c r="B1700" s="26" t="n">
        <x:v>41833.304456018515</x:v>
      </x:c>
      <x:c r="C1700" s="27" t="n">
        <x:f>INT(B1700)</x:f>
        <x:v>41833</x:v>
      </x:c>
      <x:c r="D1700" s="28" t="n">
        <x:f>MOD(B1700,1)</x:f>
        <x:v>0.30445601851533866</x:v>
      </x:c>
      <x:c r="E1700" s="29" t="n">
        <x:f>YEAR(B1700)</x:f>
        <x:v>2014</x:v>
      </x:c>
      <x:c r="F1700" s="29" t="n">
        <x:f>MONTH(B1700)</x:f>
        <x:v>7</x:v>
      </x:c>
      <x:c r="G1700" s="30" t="n">
        <x:v>-30.75</x:v>
      </x:c>
      <x:c r="H1700" s="30" t="n">
        <x:v>-70.62</x:v>
      </x:c>
      <x:c r="I1700" s="29" t="n">
        <x:v>83</x:v>
      </x:c>
      <x:c r="J1700" s="31" t="n">
        <x:v>5.6</x:v>
      </x:c>
      <x:c r="K1700" s="25" t="str">
        <x:f>IF(J1700&gt;=7,"Muy fuerte (&gt;=7)",IF(J1700&gt;=6,"Fuerte (6-6.9)",IF(J1700&gt;=5,"Moderado alto (5-5.9)",IF(J1700&gt;=4,"Moderado (4-4.9)","Menor a 4"))))</x:f>
        <x:v>Moderado alto (5-5.9)</x:v>
      </x:c>
      <x:c r="L1700" s="25" t="str">
        <x:f>IF(I1700&lt;70,"Superficial (&lt;70 km)",IF(I1700&lt;=300,"Intermedio (70-300 km)","Profundo (&gt;300 km)"))</x:f>
        <x:v>Intermedio (70-300 km)</x:v>
      </x:c>
      <x:c r="M1700" s="25" t="str">
        <x:f>IF(J1700&gt;=5,"Sí","No")</x:f>
        <x:v>Sí</x:v>
      </x:c>
      <x:c r="N1700" s="25" t="str">
        <x:f>IF(J1700&gt;=6,"Sí","No")</x:f>
        <x:v>No</x:v>
      </x:c>
      <x:c r="O1700" s="25" t="str">
        <x:v>Pendiente: asignar con R/sf</x:v>
      </x:c>
    </x:row>
    <x:row r="1701">
      <x:c r="A1701" s="25" t="n">
        <x:v>1700</x:v>
      </x:c>
      <x:c r="B1701" s="26" t="n">
        <x:v>41731.81222222222</x:v>
      </x:c>
      <x:c r="C1701" s="27" t="n">
        <x:f>INT(B1701)</x:f>
        <x:v>41731</x:v>
      </x:c>
      <x:c r="D1701" s="28" t="n">
        <x:f>MOD(B1701,1)</x:f>
        <x:v>0.812222222222772</x:v>
      </x:c>
      <x:c r="E1701" s="29" t="n">
        <x:f>YEAR(B1701)</x:f>
        <x:v>2014</x:v>
      </x:c>
      <x:c r="F1701" s="29" t="n">
        <x:f>MONTH(B1701)</x:f>
        <x:v>4</x:v>
      </x:c>
      <x:c r="G1701" s="30" t="n">
        <x:v>-20.16</x:v>
      </x:c>
      <x:c r="H1701" s="30" t="n">
        <x:v>-70.4</x:v>
      </x:c>
      <x:c r="I1701" s="29" t="n">
        <x:v>36</x:v>
      </x:c>
      <x:c r="J1701" s="31" t="n">
        <x:v>4.4</x:v>
      </x:c>
      <x:c r="K1701" s="25" t="str">
        <x:f>IF(J1701&gt;=7,"Muy fuerte (&gt;=7)",IF(J1701&gt;=6,"Fuerte (6-6.9)",IF(J1701&gt;=5,"Moderado alto (5-5.9)",IF(J1701&gt;=4,"Moderado (4-4.9)","Menor a 4"))))</x:f>
        <x:v>Moderado (4-4.9)</x:v>
      </x:c>
      <x:c r="L1701" s="25" t="str">
        <x:f>IF(I1701&lt;70,"Superficial (&lt;70 km)",IF(I1701&lt;=300,"Intermedio (70-300 km)","Profundo (&gt;300 km)"))</x:f>
        <x:v>Superficial (&lt;70 km)</x:v>
      </x:c>
      <x:c r="M1701" s="25" t="str">
        <x:f>IF(J1701&gt;=5,"Sí","No")</x:f>
        <x:v>No</x:v>
      </x:c>
      <x:c r="N1701" s="25" t="str">
        <x:f>IF(J1701&gt;=6,"Sí","No")</x:f>
        <x:v>No</x:v>
      </x:c>
      <x:c r="O1701" s="25" t="str">
        <x:v>Pendiente: asignar con R/sf</x:v>
      </x:c>
    </x:row>
    <x:row r="1702">
      <x:c r="A1702" s="25" t="n">
        <x:v>1701</x:v>
      </x:c>
      <x:c r="B1702" s="26" t="n">
        <x:v>41733.19060185185</x:v>
      </x:c>
      <x:c r="C1702" s="27" t="n">
        <x:f>INT(B1702)</x:f>
        <x:v>41733</x:v>
      </x:c>
      <x:c r="D1702" s="28" t="n">
        <x:f>MOD(B1702,1)</x:f>
        <x:v>0.19060185184935108</x:v>
      </x:c>
      <x:c r="E1702" s="29" t="n">
        <x:f>YEAR(B1702)</x:f>
        <x:v>2014</x:v>
      </x:c>
      <x:c r="F1702" s="29" t="n">
        <x:f>MONTH(B1702)</x:f>
        <x:v>4</x:v>
      </x:c>
      <x:c r="G1702" s="30" t="n">
        <x:v>-22.16</x:v>
      </x:c>
      <x:c r="H1702" s="30" t="n">
        <x:v>-70.26</x:v>
      </x:c>
      <x:c r="I1702" s="29" t="n">
        <x:v>70</x:v>
      </x:c>
      <x:c r="J1702" s="31" t="n">
        <x:v>5.2</x:v>
      </x:c>
      <x:c r="K1702" s="25" t="str">
        <x:f>IF(J1702&gt;=7,"Muy fuerte (&gt;=7)",IF(J1702&gt;=6,"Fuerte (6-6.9)",IF(J1702&gt;=5,"Moderado alto (5-5.9)",IF(J1702&gt;=4,"Moderado (4-4.9)","Menor a 4"))))</x:f>
        <x:v>Moderado alto (5-5.9)</x:v>
      </x:c>
      <x:c r="L1702" s="25" t="str">
        <x:f>IF(I1702&lt;70,"Superficial (&lt;70 km)",IF(I1702&lt;=300,"Intermedio (70-300 km)","Profundo (&gt;300 km)"))</x:f>
        <x:v>Intermedio (70-300 km)</x:v>
      </x:c>
      <x:c r="M1702" s="25" t="str">
        <x:f>IF(J1702&gt;=5,"Sí","No")</x:f>
        <x:v>Sí</x:v>
      </x:c>
      <x:c r="N1702" s="25" t="str">
        <x:f>IF(J1702&gt;=6,"Sí","No")</x:f>
        <x:v>No</x:v>
      </x:c>
      <x:c r="O1702" s="25" t="str">
        <x:v>Pendiente: asignar con R/sf</x:v>
      </x:c>
    </x:row>
    <x:row r="1703">
      <x:c r="A1703" s="25" t="n">
        <x:v>1702</x:v>
      </x:c>
      <x:c r="B1703" s="26" t="n">
        <x:v>41764.08447916667</x:v>
      </x:c>
      <x:c r="C1703" s="27" t="n">
        <x:f>INT(B1703)</x:f>
        <x:v>41764</x:v>
      </x:c>
      <x:c r="D1703" s="28" t="n">
        <x:f>MOD(B1703,1)</x:f>
        <x:v>0.08447916666773381</x:v>
      </x:c>
      <x:c r="E1703" s="29" t="n">
        <x:f>YEAR(B1703)</x:f>
        <x:v>2014</x:v>
      </x:c>
      <x:c r="F1703" s="29" t="n">
        <x:f>MONTH(B1703)</x:f>
        <x:v>5</x:v>
      </x:c>
      <x:c r="G1703" s="30" t="n">
        <x:v>-20.18</x:v>
      </x:c>
      <x:c r="H1703" s="30" t="n">
        <x:v>-70.35</x:v>
      </x:c>
      <x:c r="I1703" s="29" t="n">
        <x:v>42</x:v>
      </x:c>
      <x:c r="J1703" s="31" t="n">
        <x:v>4.5</x:v>
      </x:c>
      <x:c r="K1703" s="25" t="str">
        <x:f>IF(J1703&gt;=7,"Muy fuerte (&gt;=7)",IF(J1703&gt;=6,"Fuerte (6-6.9)",IF(J1703&gt;=5,"Moderado alto (5-5.9)",IF(J1703&gt;=4,"Moderado (4-4.9)","Menor a 4"))))</x:f>
        <x:v>Moderado (4-4.9)</x:v>
      </x:c>
      <x:c r="L1703" s="25" t="str">
        <x:f>IF(I1703&lt;70,"Superficial (&lt;70 km)",IF(I1703&lt;=300,"Intermedio (70-300 km)","Profundo (&gt;300 km)"))</x:f>
        <x:v>Superficial (&lt;70 km)</x:v>
      </x:c>
      <x:c r="M1703" s="25" t="str">
        <x:f>IF(J1703&gt;=5,"Sí","No")</x:f>
        <x:v>No</x:v>
      </x:c>
      <x:c r="N1703" s="25" t="str">
        <x:f>IF(J1703&gt;=6,"Sí","No")</x:f>
        <x:v>No</x:v>
      </x:c>
      <x:c r="O1703" s="25" t="str">
        <x:v>Pendiente: asignar con R/sf</x:v>
      </x:c>
    </x:row>
    <x:row r="1704">
      <x:c r="A1704" s="25" t="n">
        <x:v>1703</x:v>
      </x:c>
      <x:c r="B1704" s="26" t="n">
        <x:v>41735.704560185186</x:v>
      </x:c>
      <x:c r="C1704" s="27" t="n">
        <x:f>INT(B1704)</x:f>
        <x:v>41735</x:v>
      </x:c>
      <x:c r="D1704" s="28" t="n">
        <x:f>MOD(B1704,1)</x:f>
        <x:v>0.7045601851859828</x:v>
      </x:c>
      <x:c r="E1704" s="29" t="n">
        <x:f>YEAR(B1704)</x:f>
        <x:v>2014</x:v>
      </x:c>
      <x:c r="F1704" s="29" t="n">
        <x:f>MONTH(B1704)</x:f>
        <x:v>4</x:v>
      </x:c>
      <x:c r="G1704" s="30" t="n">
        <x:v>-20.17</x:v>
      </x:c>
      <x:c r="H1704" s="30" t="n">
        <x:v>-70.37</x:v>
      </x:c>
      <x:c r="I1704" s="29" t="n">
        <x:v>38</x:v>
      </x:c>
      <x:c r="J1704" s="31" t="n">
        <x:v>4</x:v>
      </x:c>
      <x:c r="K1704" s="25" t="str">
        <x:f>IF(J1704&gt;=7,"Muy fuerte (&gt;=7)",IF(J1704&gt;=6,"Fuerte (6-6.9)",IF(J1704&gt;=5,"Moderado alto (5-5.9)",IF(J1704&gt;=4,"Moderado (4-4.9)","Menor a 4"))))</x:f>
        <x:v>Moderado (4-4.9)</x:v>
      </x:c>
      <x:c r="L1704" s="25" t="str">
        <x:f>IF(I1704&lt;70,"Superficial (&lt;70 km)",IF(I1704&lt;=300,"Intermedio (70-300 km)","Profundo (&gt;300 km)"))</x:f>
        <x:v>Superficial (&lt;70 km)</x:v>
      </x:c>
      <x:c r="M1704" s="25" t="str">
        <x:f>IF(J1704&gt;=5,"Sí","No")</x:f>
        <x:v>No</x:v>
      </x:c>
      <x:c r="N1704" s="25" t="str">
        <x:f>IF(J1704&gt;=6,"Sí","No")</x:f>
        <x:v>No</x:v>
      </x:c>
      <x:c r="O1704" s="25" t="str">
        <x:v>Pendiente: asignar con R/sf</x:v>
      </x:c>
    </x:row>
    <x:row r="1705">
      <x:c r="A1705" s="25" t="n">
        <x:v>1704</x:v>
      </x:c>
      <x:c r="B1705" s="26" t="n">
        <x:v>41731.21482638889</x:v>
      </x:c>
      <x:c r="C1705" s="27" t="n">
        <x:f>INT(B1705)</x:f>
        <x:v>41731</x:v>
      </x:c>
      <x:c r="D1705" s="28" t="n">
        <x:f>MOD(B1705,1)</x:f>
        <x:v>0.2148263888884685</x:v>
      </x:c>
      <x:c r="E1705" s="29" t="n">
        <x:f>YEAR(B1705)</x:f>
        <x:v>2014</x:v>
      </x:c>
      <x:c r="F1705" s="29" t="n">
        <x:f>MONTH(B1705)</x:f>
        <x:v>4</x:v>
      </x:c>
      <x:c r="G1705" s="30" t="n">
        <x:v>-20.38</x:v>
      </x:c>
      <x:c r="H1705" s="30" t="n">
        <x:v>-70.58</x:v>
      </x:c>
      <x:c r="I1705" s="29" t="n">
        <x:v>26</x:v>
      </x:c>
      <x:c r="J1705" s="31" t="n">
        <x:v>4.7</x:v>
      </x:c>
      <x:c r="K1705" s="25" t="str">
        <x:f>IF(J1705&gt;=7,"Muy fuerte (&gt;=7)",IF(J1705&gt;=6,"Fuerte (6-6.9)",IF(J1705&gt;=5,"Moderado alto (5-5.9)",IF(J1705&gt;=4,"Moderado (4-4.9)","Menor a 4"))))</x:f>
        <x:v>Moderado (4-4.9)</x:v>
      </x:c>
      <x:c r="L1705" s="25" t="str">
        <x:f>IF(I1705&lt;70,"Superficial (&lt;70 km)",IF(I1705&lt;=300,"Intermedio (70-300 km)","Profundo (&gt;300 km)"))</x:f>
        <x:v>Superficial (&lt;70 km)</x:v>
      </x:c>
      <x:c r="M1705" s="25" t="str">
        <x:f>IF(J1705&gt;=5,"Sí","No")</x:f>
        <x:v>No</x:v>
      </x:c>
      <x:c r="N1705" s="25" t="str">
        <x:f>IF(J1705&gt;=6,"Sí","No")</x:f>
        <x:v>No</x:v>
      </x:c>
      <x:c r="O1705" s="25" t="str">
        <x:v>Pendiente: asignar con R/sf</x:v>
      </x:c>
    </x:row>
    <x:row r="1706">
      <x:c r="A1706" s="25" t="n">
        <x:v>1705</x:v>
      </x:c>
      <x:c r="B1706" s="26" t="n">
        <x:v>41808.97728009259</x:v>
      </x:c>
      <x:c r="C1706" s="27" t="n">
        <x:f>INT(B1706)</x:f>
        <x:v>41808</x:v>
      </x:c>
      <x:c r="D1706" s="28" t="n">
        <x:f>MOD(B1706,1)</x:f>
        <x:v>0.9772800925929914</x:v>
      </x:c>
      <x:c r="E1706" s="29" t="n">
        <x:f>YEAR(B1706)</x:f>
        <x:v>2014</x:v>
      </x:c>
      <x:c r="F1706" s="29" t="n">
        <x:f>MONTH(B1706)</x:f>
        <x:v>6</x:v>
      </x:c>
      <x:c r="G1706" s="30" t="n">
        <x:v>-20.22</x:v>
      </x:c>
      <x:c r="H1706" s="30" t="n">
        <x:v>-70.9</x:v>
      </x:c>
      <x:c r="I1706" s="29" t="n">
        <x:v>35</x:v>
      </x:c>
      <x:c r="J1706" s="31" t="n">
        <x:v>4.3</x:v>
      </x:c>
      <x:c r="K1706" s="25" t="str">
        <x:f>IF(J1706&gt;=7,"Muy fuerte (&gt;=7)",IF(J1706&gt;=6,"Fuerte (6-6.9)",IF(J1706&gt;=5,"Moderado alto (5-5.9)",IF(J1706&gt;=4,"Moderado (4-4.9)","Menor a 4"))))</x:f>
        <x:v>Moderado (4-4.9)</x:v>
      </x:c>
      <x:c r="L1706" s="25" t="str">
        <x:f>IF(I1706&lt;70,"Superficial (&lt;70 km)",IF(I1706&lt;=300,"Intermedio (70-300 km)","Profundo (&gt;300 km)"))</x:f>
        <x:v>Superficial (&lt;70 km)</x:v>
      </x:c>
      <x:c r="M1706" s="25" t="str">
        <x:f>IF(J1706&gt;=5,"Sí","No")</x:f>
        <x:v>No</x:v>
      </x:c>
      <x:c r="N1706" s="25" t="str">
        <x:f>IF(J1706&gt;=6,"Sí","No")</x:f>
        <x:v>No</x:v>
      </x:c>
      <x:c r="O1706" s="25" t="str">
        <x:v>Pendiente: asignar con R/sf</x:v>
      </x:c>
    </x:row>
    <x:row r="1707">
      <x:c r="A1707" s="25" t="n">
        <x:v>1706</x:v>
      </x:c>
      <x:c r="B1707" s="26" t="n">
        <x:v>41795.84688657407</x:v>
      </x:c>
      <x:c r="C1707" s="27" t="n">
        <x:f>INT(B1707)</x:f>
        <x:v>41795</x:v>
      </x:c>
      <x:c r="D1707" s="28" t="n">
        <x:f>MOD(B1707,1)</x:f>
        <x:v>0.8468865740724141</x:v>
      </x:c>
      <x:c r="E1707" s="29" t="n">
        <x:f>YEAR(B1707)</x:f>
        <x:v>2014</x:v>
      </x:c>
      <x:c r="F1707" s="29" t="n">
        <x:f>MONTH(B1707)</x:f>
        <x:v>6</x:v>
      </x:c>
      <x:c r="G1707" s="30" t="n">
        <x:v>-20.36</x:v>
      </x:c>
      <x:c r="H1707" s="30" t="n">
        <x:v>-70.22</x:v>
      </x:c>
      <x:c r="I1707" s="29" t="n">
        <x:v>37</x:v>
      </x:c>
      <x:c r="J1707" s="31" t="n">
        <x:v>5</x:v>
      </x:c>
      <x:c r="K1707" s="25" t="str">
        <x:f>IF(J1707&gt;=7,"Muy fuerte (&gt;=7)",IF(J1707&gt;=6,"Fuerte (6-6.9)",IF(J1707&gt;=5,"Moderado alto (5-5.9)",IF(J1707&gt;=4,"Moderado (4-4.9)","Menor a 4"))))</x:f>
        <x:v>Moderado alto (5-5.9)</x:v>
      </x:c>
      <x:c r="L1707" s="25" t="str">
        <x:f>IF(I1707&lt;70,"Superficial (&lt;70 km)",IF(I1707&lt;=300,"Intermedio (70-300 km)","Profundo (&gt;300 km)"))</x:f>
        <x:v>Superficial (&lt;70 km)</x:v>
      </x:c>
      <x:c r="M1707" s="25" t="str">
        <x:f>IF(J1707&gt;=5,"Sí","No")</x:f>
        <x:v>Sí</x:v>
      </x:c>
      <x:c r="N1707" s="25" t="str">
        <x:f>IF(J1707&gt;=6,"Sí","No")</x:f>
        <x:v>No</x:v>
      </x:c>
      <x:c r="O1707" s="25" t="str">
        <x:v>Pendiente: asignar con R/sf</x:v>
      </x:c>
    </x:row>
    <x:row r="1708">
      <x:c r="A1708" s="25" t="n">
        <x:v>1707</x:v>
      </x:c>
      <x:c r="B1708" s="26" t="n">
        <x:v>41929.409375</x:v>
      </x:c>
      <x:c r="C1708" s="27" t="n">
        <x:f>INT(B1708)</x:f>
        <x:v>41929</x:v>
      </x:c>
      <x:c r="D1708" s="28" t="n">
        <x:f>MOD(B1708,1)</x:f>
        <x:v>0.4093750000029104</x:v>
      </x:c>
      <x:c r="E1708" s="29" t="n">
        <x:f>YEAR(B1708)</x:f>
        <x:v>2014</x:v>
      </x:c>
      <x:c r="F1708" s="29" t="n">
        <x:f>MONTH(B1708)</x:f>
        <x:v>10</x:v>
      </x:c>
      <x:c r="G1708" s="30" t="n">
        <x:v>-18.28</x:v>
      </x:c>
      <x:c r="H1708" s="30" t="n">
        <x:v>-70.41</x:v>
      </x:c>
      <x:c r="I1708" s="29" t="n">
        <x:v>71</x:v>
      </x:c>
      <x:c r="J1708" s="31" t="n">
        <x:v>4.2</x:v>
      </x:c>
      <x:c r="K1708" s="25" t="str">
        <x:f>IF(J1708&gt;=7,"Muy fuerte (&gt;=7)",IF(J1708&gt;=6,"Fuerte (6-6.9)",IF(J1708&gt;=5,"Moderado alto (5-5.9)",IF(J1708&gt;=4,"Moderado (4-4.9)","Menor a 4"))))</x:f>
        <x:v>Moderado (4-4.9)</x:v>
      </x:c>
      <x:c r="L1708" s="25" t="str">
        <x:f>IF(I1708&lt;70,"Superficial (&lt;70 km)",IF(I1708&lt;=300,"Intermedio (70-300 km)","Profundo (&gt;300 km)"))</x:f>
        <x:v>Intermedio (70-300 km)</x:v>
      </x:c>
      <x:c r="M1708" s="25" t="str">
        <x:f>IF(J1708&gt;=5,"Sí","No")</x:f>
        <x:v>No</x:v>
      </x:c>
      <x:c r="N1708" s="25" t="str">
        <x:f>IF(J1708&gt;=6,"Sí","No")</x:f>
        <x:v>No</x:v>
      </x:c>
      <x:c r="O1708" s="25" t="str">
        <x:v>Pendiente: asignar con R/sf</x:v>
      </x:c>
    </x:row>
    <x:row r="1709">
      <x:c r="A1709" s="25" t="n">
        <x:v>1708</x:v>
      </x:c>
      <x:c r="B1709" s="26" t="n">
        <x:v>41775.71425925926</x:v>
      </x:c>
      <x:c r="C1709" s="27" t="n">
        <x:f>INT(B1709)</x:f>
        <x:v>41775</x:v>
      </x:c>
      <x:c r="D1709" s="28" t="n">
        <x:f>MOD(B1709,1)</x:f>
        <x:v>0.7142592592572328</x:v>
      </x:c>
      <x:c r="E1709" s="29" t="n">
        <x:f>YEAR(B1709)</x:f>
        <x:v>2014</x:v>
      </x:c>
      <x:c r="F1709" s="29" t="n">
        <x:f>MONTH(B1709)</x:f>
        <x:v>5</x:v>
      </x:c>
      <x:c r="G1709" s="30" t="n">
        <x:v>-23.49</x:v>
      </x:c>
      <x:c r="H1709" s="30" t="n">
        <x:v>-68.86</x:v>
      </x:c>
      <x:c r="I1709" s="29" t="n">
        <x:v>112</x:v>
      </x:c>
      <x:c r="J1709" s="31" t="n">
        <x:v>5.5</x:v>
      </x:c>
      <x:c r="K1709" s="25" t="str">
        <x:f>IF(J1709&gt;=7,"Muy fuerte (&gt;=7)",IF(J1709&gt;=6,"Fuerte (6-6.9)",IF(J1709&gt;=5,"Moderado alto (5-5.9)",IF(J1709&gt;=4,"Moderado (4-4.9)","Menor a 4"))))</x:f>
        <x:v>Moderado alto (5-5.9)</x:v>
      </x:c>
      <x:c r="L1709" s="25" t="str">
        <x:f>IF(I1709&lt;70,"Superficial (&lt;70 km)",IF(I1709&lt;=300,"Intermedio (70-300 km)","Profundo (&gt;300 km)"))</x:f>
        <x:v>Intermedio (70-300 km)</x:v>
      </x:c>
      <x:c r="M1709" s="25" t="str">
        <x:f>IF(J1709&gt;=5,"Sí","No")</x:f>
        <x:v>Sí</x:v>
      </x:c>
      <x:c r="N1709" s="25" t="str">
        <x:f>IF(J1709&gt;=6,"Sí","No")</x:f>
        <x:v>No</x:v>
      </x:c>
      <x:c r="O1709" s="25" t="str">
        <x:v>Pendiente: asignar con R/sf</x:v>
      </x:c>
    </x:row>
    <x:row r="1710">
      <x:c r="A1710" s="25" t="n">
        <x:v>1709</x:v>
      </x:c>
      <x:c r="B1710" s="26" t="n">
        <x:v>41805.10548611111</x:v>
      </x:c>
      <x:c r="C1710" s="27" t="n">
        <x:f>INT(B1710)</x:f>
        <x:v>41805</x:v>
      </x:c>
      <x:c r="D1710" s="28" t="n">
        <x:f>MOD(B1710,1)</x:f>
        <x:v>0.1054861111115315</x:v>
      </x:c>
      <x:c r="E1710" s="29" t="n">
        <x:f>YEAR(B1710)</x:f>
        <x:v>2014</x:v>
      </x:c>
      <x:c r="F1710" s="29" t="n">
        <x:f>MONTH(B1710)</x:f>
        <x:v>6</x:v>
      </x:c>
      <x:c r="G1710" s="30" t="n">
        <x:v>-32.65</x:v>
      </x:c>
      <x:c r="H1710" s="30" t="n">
        <x:v>-71.46</x:v>
      </x:c>
      <x:c r="I1710" s="29" t="n">
        <x:v>40</x:v>
      </x:c>
      <x:c r="J1710" s="31" t="n">
        <x:v>4</x:v>
      </x:c>
      <x:c r="K1710" s="25" t="str">
        <x:f>IF(J1710&gt;=7,"Muy fuerte (&gt;=7)",IF(J1710&gt;=6,"Fuerte (6-6.9)",IF(J1710&gt;=5,"Moderado alto (5-5.9)",IF(J1710&gt;=4,"Moderado (4-4.9)","Menor a 4"))))</x:f>
        <x:v>Moderado (4-4.9)</x:v>
      </x:c>
      <x:c r="L1710" s="25" t="str">
        <x:f>IF(I1710&lt;70,"Superficial (&lt;70 km)",IF(I1710&lt;=300,"Intermedio (70-300 km)","Profundo (&gt;300 km)"))</x:f>
        <x:v>Superficial (&lt;70 km)</x:v>
      </x:c>
      <x:c r="M1710" s="25" t="str">
        <x:f>IF(J1710&gt;=5,"Sí","No")</x:f>
        <x:v>No</x:v>
      </x:c>
      <x:c r="N1710" s="25" t="str">
        <x:f>IF(J1710&gt;=6,"Sí","No")</x:f>
        <x:v>No</x:v>
      </x:c>
      <x:c r="O1710" s="25" t="str">
        <x:v>Pendiente: asignar con R/sf</x:v>
      </x:c>
    </x:row>
    <x:row r="1711">
      <x:c r="A1711" s="25" t="n">
        <x:v>1710</x:v>
      </x:c>
      <x:c r="B1711" s="26" t="n">
        <x:v>41731.12825231482</x:v>
      </x:c>
      <x:c r="C1711" s="27" t="n">
        <x:f>INT(B1711)</x:f>
        <x:v>41731</x:v>
      </x:c>
      <x:c r="D1711" s="28" t="n">
        <x:f>MOD(B1711,1)</x:f>
        <x:v>0.12825231481838273</x:v>
      </x:c>
      <x:c r="E1711" s="29" t="n">
        <x:f>YEAR(B1711)</x:f>
        <x:v>2014</x:v>
      </x:c>
      <x:c r="F1711" s="29" t="n">
        <x:f>MONTH(B1711)</x:f>
        <x:v>4</x:v>
      </x:c>
      <x:c r="G1711" s="30" t="n">
        <x:v>-19.75</x:v>
      </x:c>
      <x:c r="H1711" s="30" t="n">
        <x:v>-69.97</x:v>
      </x:c>
      <x:c r="I1711" s="29" t="n">
        <x:v>42</x:v>
      </x:c>
      <x:c r="J1711" s="31" t="n">
        <x:v>4.5</x:v>
      </x:c>
      <x:c r="K1711" s="25" t="str">
        <x:f>IF(J1711&gt;=7,"Muy fuerte (&gt;=7)",IF(J1711&gt;=6,"Fuerte (6-6.9)",IF(J1711&gt;=5,"Moderado alto (5-5.9)",IF(J1711&gt;=4,"Moderado (4-4.9)","Menor a 4"))))</x:f>
        <x:v>Moderado (4-4.9)</x:v>
      </x:c>
      <x:c r="L1711" s="25" t="str">
        <x:f>IF(I1711&lt;70,"Superficial (&lt;70 km)",IF(I1711&lt;=300,"Intermedio (70-300 km)","Profundo (&gt;300 km)"))</x:f>
        <x:v>Superficial (&lt;70 km)</x:v>
      </x:c>
      <x:c r="M1711" s="25" t="str">
        <x:f>IF(J1711&gt;=5,"Sí","No")</x:f>
        <x:v>No</x:v>
      </x:c>
      <x:c r="N1711" s="25" t="str">
        <x:f>IF(J1711&gt;=6,"Sí","No")</x:f>
        <x:v>No</x:v>
      </x:c>
      <x:c r="O1711" s="25" t="str">
        <x:v>Pendiente: asignar con R/sf</x:v>
      </x:c>
    </x:row>
    <x:row r="1712">
      <x:c r="A1712" s="25" t="n">
        <x:v>1711</x:v>
      </x:c>
      <x:c r="B1712" s="26" t="n">
        <x:v>41736.26694444445</x:v>
      </x:c>
      <x:c r="C1712" s="27" t="n">
        <x:f>INT(B1712)</x:f>
        <x:v>41736</x:v>
      </x:c>
      <x:c r="D1712" s="28" t="n">
        <x:f>MOD(B1712,1)</x:f>
        <x:v>0.26694444444729015</x:v>
      </x:c>
      <x:c r="E1712" s="29" t="n">
        <x:f>YEAR(B1712)</x:f>
        <x:v>2014</x:v>
      </x:c>
      <x:c r="F1712" s="29" t="n">
        <x:f>MONTH(B1712)</x:f>
        <x:v>4</x:v>
      </x:c>
      <x:c r="G1712" s="30" t="n">
        <x:v>-20.64</x:v>
      </x:c>
      <x:c r="H1712" s="30" t="n">
        <x:v>-70.87</x:v>
      </x:c>
      <x:c r="I1712" s="29" t="n">
        <x:v>36</x:v>
      </x:c>
      <x:c r="J1712" s="31" t="n">
        <x:v>4.7</x:v>
      </x:c>
      <x:c r="K1712" s="25" t="str">
        <x:f>IF(J1712&gt;=7,"Muy fuerte (&gt;=7)",IF(J1712&gt;=6,"Fuerte (6-6.9)",IF(J1712&gt;=5,"Moderado alto (5-5.9)",IF(J1712&gt;=4,"Moderado (4-4.9)","Menor a 4"))))</x:f>
        <x:v>Moderado (4-4.9)</x:v>
      </x:c>
      <x:c r="L1712" s="25" t="str">
        <x:f>IF(I1712&lt;70,"Superficial (&lt;70 km)",IF(I1712&lt;=300,"Intermedio (70-300 km)","Profundo (&gt;300 km)"))</x:f>
        <x:v>Superficial (&lt;70 km)</x:v>
      </x:c>
      <x:c r="M1712" s="25" t="str">
        <x:f>IF(J1712&gt;=5,"Sí","No")</x:f>
        <x:v>No</x:v>
      </x:c>
      <x:c r="N1712" s="25" t="str">
        <x:f>IF(J1712&gt;=6,"Sí","No")</x:f>
        <x:v>No</x:v>
      </x:c>
      <x:c r="O1712" s="25" t="str">
        <x:v>Pendiente: asignar con R/sf</x:v>
      </x:c>
    </x:row>
    <x:row r="1713">
      <x:c r="A1713" s="25" t="n">
        <x:v>1712</x:v>
      </x:c>
      <x:c r="B1713" s="26" t="n">
        <x:v>41817.77087962963</x:v>
      </x:c>
      <x:c r="C1713" s="27" t="n">
        <x:f>INT(B1713)</x:f>
        <x:v>41817</x:v>
      </x:c>
      <x:c r="D1713" s="28" t="n">
        <x:f>MOD(B1713,1)</x:f>
        <x:v>0.7708796296283253</x:v>
      </x:c>
      <x:c r="E1713" s="29" t="n">
        <x:f>YEAR(B1713)</x:f>
        <x:v>2014</x:v>
      </x:c>
      <x:c r="F1713" s="29" t="n">
        <x:f>MONTH(B1713)</x:f>
        <x:v>6</x:v>
      </x:c>
      <x:c r="G1713" s="30" t="n">
        <x:v>-30.17</x:v>
      </x:c>
      <x:c r="H1713" s="30" t="n">
        <x:v>-71.12</x:v>
      </x:c>
      <x:c r="I1713" s="29" t="n">
        <x:v>64</x:v>
      </x:c>
      <x:c r="J1713" s="31" t="n">
        <x:v>4.5</x:v>
      </x:c>
      <x:c r="K1713" s="25" t="str">
        <x:f>IF(J1713&gt;=7,"Muy fuerte (&gt;=7)",IF(J1713&gt;=6,"Fuerte (6-6.9)",IF(J1713&gt;=5,"Moderado alto (5-5.9)",IF(J1713&gt;=4,"Moderado (4-4.9)","Menor a 4"))))</x:f>
        <x:v>Moderado (4-4.9)</x:v>
      </x:c>
      <x:c r="L1713" s="25" t="str">
        <x:f>IF(I1713&lt;70,"Superficial (&lt;70 km)",IF(I1713&lt;=300,"Intermedio (70-300 km)","Profundo (&gt;300 km)"))</x:f>
        <x:v>Superficial (&lt;70 km)</x:v>
      </x:c>
      <x:c r="M1713" s="25" t="str">
        <x:f>IF(J1713&gt;=5,"Sí","No")</x:f>
        <x:v>No</x:v>
      </x:c>
      <x:c r="N1713" s="25" t="str">
        <x:f>IF(J1713&gt;=6,"Sí","No")</x:f>
        <x:v>No</x:v>
      </x:c>
      <x:c r="O1713" s="25" t="str">
        <x:v>Pendiente: asignar con R/sf</x:v>
      </x:c>
    </x:row>
    <x:row r="1714">
      <x:c r="A1714" s="25" t="n">
        <x:v>1713</x:v>
      </x:c>
      <x:c r="B1714" s="26" t="n">
        <x:v>41900.836643518516</x:v>
      </x:c>
      <x:c r="C1714" s="27" t="n">
        <x:f>INT(B1714)</x:f>
        <x:v>41900</x:v>
      </x:c>
      <x:c r="D1714" s="28" t="n">
        <x:f>MOD(B1714,1)</x:f>
        <x:v>0.8366435185162118</x:v>
      </x:c>
      <x:c r="E1714" s="29" t="n">
        <x:f>YEAR(B1714)</x:f>
        <x:v>2014</x:v>
      </x:c>
      <x:c r="F1714" s="29" t="n">
        <x:f>MONTH(B1714)</x:f>
        <x:v>9</x:v>
      </x:c>
      <x:c r="G1714" s="30" t="n">
        <x:v>-25.48</x:v>
      </x:c>
      <x:c r="H1714" s="30" t="n">
        <x:v>-70.64</x:v>
      </x:c>
      <x:c r="I1714" s="29" t="n">
        <x:v>53</x:v>
      </x:c>
      <x:c r="J1714" s="31" t="n">
        <x:v>4</x:v>
      </x:c>
      <x:c r="K1714" s="25" t="str">
        <x:f>IF(J1714&gt;=7,"Muy fuerte (&gt;=7)",IF(J1714&gt;=6,"Fuerte (6-6.9)",IF(J1714&gt;=5,"Moderado alto (5-5.9)",IF(J1714&gt;=4,"Moderado (4-4.9)","Menor a 4"))))</x:f>
        <x:v>Moderado (4-4.9)</x:v>
      </x:c>
      <x:c r="L1714" s="25" t="str">
        <x:f>IF(I1714&lt;70,"Superficial (&lt;70 km)",IF(I1714&lt;=300,"Intermedio (70-300 km)","Profundo (&gt;300 km)"))</x:f>
        <x:v>Superficial (&lt;70 km)</x:v>
      </x:c>
      <x:c r="M1714" s="25" t="str">
        <x:f>IF(J1714&gt;=5,"Sí","No")</x:f>
        <x:v>No</x:v>
      </x:c>
      <x:c r="N1714" s="25" t="str">
        <x:f>IF(J1714&gt;=6,"Sí","No")</x:f>
        <x:v>No</x:v>
      </x:c>
      <x:c r="O1714" s="25" t="str">
        <x:v>Pendiente: asignar con R/sf</x:v>
      </x:c>
    </x:row>
    <x:row r="1715">
      <x:c r="A1715" s="25" t="n">
        <x:v>1714</x:v>
      </x:c>
      <x:c r="B1715" s="26" t="n">
        <x:v>41764.56842592593</x:v>
      </x:c>
      <x:c r="C1715" s="27" t="n">
        <x:f>INT(B1715)</x:f>
        <x:v>41764</x:v>
      </x:c>
      <x:c r="D1715" s="28" t="n">
        <x:f>MOD(B1715,1)</x:f>
        <x:v>0.5684259259287501</x:v>
      </x:c>
      <x:c r="E1715" s="29" t="n">
        <x:f>YEAR(B1715)</x:f>
        <x:v>2014</x:v>
      </x:c>
      <x:c r="F1715" s="29" t="n">
        <x:f>MONTH(B1715)</x:f>
        <x:v>5</x:v>
      </x:c>
      <x:c r="G1715" s="30" t="n">
        <x:v>-20.23</x:v>
      </x:c>
      <x:c r="H1715" s="30" t="n">
        <x:v>-68.19</x:v>
      </x:c>
      <x:c r="I1715" s="29" t="n">
        <x:v>172</x:v>
      </x:c>
      <x:c r="J1715" s="31" t="n">
        <x:v>5.1</x:v>
      </x:c>
      <x:c r="K1715" s="25" t="str">
        <x:f>IF(J1715&gt;=7,"Muy fuerte (&gt;=7)",IF(J1715&gt;=6,"Fuerte (6-6.9)",IF(J1715&gt;=5,"Moderado alto (5-5.9)",IF(J1715&gt;=4,"Moderado (4-4.9)","Menor a 4"))))</x:f>
        <x:v>Moderado alto (5-5.9)</x:v>
      </x:c>
      <x:c r="L1715" s="25" t="str">
        <x:f>IF(I1715&lt;70,"Superficial (&lt;70 km)",IF(I1715&lt;=300,"Intermedio (70-300 km)","Profundo (&gt;300 km)"))</x:f>
        <x:v>Intermedio (70-300 km)</x:v>
      </x:c>
      <x:c r="M1715" s="25" t="str">
        <x:f>IF(J1715&gt;=5,"Sí","No")</x:f>
        <x:v>Sí</x:v>
      </x:c>
      <x:c r="N1715" s="25" t="str">
        <x:f>IF(J1715&gt;=6,"Sí","No")</x:f>
        <x:v>No</x:v>
      </x:c>
      <x:c r="O1715" s="25" t="str">
        <x:v>Pendiente: asignar con R/sf</x:v>
      </x:c>
    </x:row>
    <x:row r="1716">
      <x:c r="A1716" s="25" t="n">
        <x:v>1715</x:v>
      </x:c>
      <x:c r="B1716" s="26" t="n">
        <x:v>41763.806608796294</x:v>
      </x:c>
      <x:c r="C1716" s="27" t="n">
        <x:f>INT(B1716)</x:f>
        <x:v>41763</x:v>
      </x:c>
      <x:c r="D1716" s="28" t="n">
        <x:f>MOD(B1716,1)</x:f>
        <x:v>0.8066087962943129</x:v>
      </x:c>
      <x:c r="E1716" s="29" t="n">
        <x:f>YEAR(B1716)</x:f>
        <x:v>2014</x:v>
      </x:c>
      <x:c r="F1716" s="29" t="n">
        <x:f>MONTH(B1716)</x:f>
        <x:v>5</x:v>
      </x:c>
      <x:c r="G1716" s="30" t="n">
        <x:v>-20.04</x:v>
      </x:c>
      <x:c r="H1716" s="30" t="n">
        <x:v>-70.92</x:v>
      </x:c>
      <x:c r="I1716" s="29" t="n">
        <x:v>42</x:v>
      </x:c>
      <x:c r="J1716" s="31" t="n">
        <x:v>4.5</x:v>
      </x:c>
      <x:c r="K1716" s="25" t="str">
        <x:f>IF(J1716&gt;=7,"Muy fuerte (&gt;=7)",IF(J1716&gt;=6,"Fuerte (6-6.9)",IF(J1716&gt;=5,"Moderado alto (5-5.9)",IF(J1716&gt;=4,"Moderado (4-4.9)","Menor a 4"))))</x:f>
        <x:v>Moderado (4-4.9)</x:v>
      </x:c>
      <x:c r="L1716" s="25" t="str">
        <x:f>IF(I1716&lt;70,"Superficial (&lt;70 km)",IF(I1716&lt;=300,"Intermedio (70-300 km)","Profundo (&gt;300 km)"))</x:f>
        <x:v>Superficial (&lt;70 km)</x:v>
      </x:c>
      <x:c r="M1716" s="25" t="str">
        <x:f>IF(J1716&gt;=5,"Sí","No")</x:f>
        <x:v>No</x:v>
      </x:c>
      <x:c r="N1716" s="25" t="str">
        <x:f>IF(J1716&gt;=6,"Sí","No")</x:f>
        <x:v>No</x:v>
      </x:c>
      <x:c r="O1716" s="25" t="str">
        <x:v>Pendiente: asignar con R/sf</x:v>
      </x:c>
    </x:row>
    <x:row r="1717">
      <x:c r="A1717" s="25" t="n">
        <x:v>1716</x:v>
      </x:c>
      <x:c r="B1717" s="26" t="n">
        <x:v>41924.44736111111</x:v>
      </x:c>
      <x:c r="C1717" s="27" t="n">
        <x:f>INT(B1717)</x:f>
        <x:v>41924</x:v>
      </x:c>
      <x:c r="D1717" s="28" t="n">
        <x:f>MOD(B1717,1)</x:f>
        <x:v>0.44736111110978527</x:v>
      </x:c>
      <x:c r="E1717" s="29" t="n">
        <x:f>YEAR(B1717)</x:f>
        <x:v>2014</x:v>
      </x:c>
      <x:c r="F1717" s="29" t="n">
        <x:f>MONTH(B1717)</x:f>
        <x:v>10</x:v>
      </x:c>
      <x:c r="G1717" s="30" t="n">
        <x:v>-22.89</x:v>
      </x:c>
      <x:c r="H1717" s="30" t="n">
        <x:v>-68.3</x:v>
      </x:c>
      <x:c r="I1717" s="29" t="n">
        <x:v>144</x:v>
      </x:c>
      <x:c r="J1717" s="31" t="n">
        <x:v>5</x:v>
      </x:c>
      <x:c r="K1717" s="25" t="str">
        <x:f>IF(J1717&gt;=7,"Muy fuerte (&gt;=7)",IF(J1717&gt;=6,"Fuerte (6-6.9)",IF(J1717&gt;=5,"Moderado alto (5-5.9)",IF(J1717&gt;=4,"Moderado (4-4.9)","Menor a 4"))))</x:f>
        <x:v>Moderado alto (5-5.9)</x:v>
      </x:c>
      <x:c r="L1717" s="25" t="str">
        <x:f>IF(I1717&lt;70,"Superficial (&lt;70 km)",IF(I1717&lt;=300,"Intermedio (70-300 km)","Profundo (&gt;300 km)"))</x:f>
        <x:v>Intermedio (70-300 km)</x:v>
      </x:c>
      <x:c r="M1717" s="25" t="str">
        <x:f>IF(J1717&gt;=5,"Sí","No")</x:f>
        <x:v>Sí</x:v>
      </x:c>
      <x:c r="N1717" s="25" t="str">
        <x:f>IF(J1717&gt;=6,"Sí","No")</x:f>
        <x:v>No</x:v>
      </x:c>
      <x:c r="O1717" s="25" t="str">
        <x:v>Pendiente: asignar con R/sf</x:v>
      </x:c>
    </x:row>
    <x:row r="1718">
      <x:c r="A1718" s="25" t="n">
        <x:v>1717</x:v>
      </x:c>
      <x:c r="B1718" s="26" t="n">
        <x:v>41849.032847222225</x:v>
      </x:c>
      <x:c r="C1718" s="27" t="n">
        <x:f>INT(B1718)</x:f>
        <x:v>41849</x:v>
      </x:c>
      <x:c r="D1718" s="28" t="n">
        <x:f>MOD(B1718,1)</x:f>
        <x:v>0.03284722222451819</x:v>
      </x:c>
      <x:c r="E1718" s="29" t="n">
        <x:f>YEAR(B1718)</x:f>
        <x:v>2014</x:v>
      </x:c>
      <x:c r="F1718" s="29" t="n">
        <x:f>MONTH(B1718)</x:f>
        <x:v>7</x:v>
      </x:c>
      <x:c r="G1718" s="30" t="n">
        <x:v>-20.13</x:v>
      </x:c>
      <x:c r="H1718" s="30" t="n">
        <x:v>-70.48</x:v>
      </x:c>
      <x:c r="I1718" s="29" t="n">
        <x:v>32</x:v>
      </x:c>
      <x:c r="J1718" s="31" t="n">
        <x:v>4.6</x:v>
      </x:c>
      <x:c r="K1718" s="25" t="str">
        <x:f>IF(J1718&gt;=7,"Muy fuerte (&gt;=7)",IF(J1718&gt;=6,"Fuerte (6-6.9)",IF(J1718&gt;=5,"Moderado alto (5-5.9)",IF(J1718&gt;=4,"Moderado (4-4.9)","Menor a 4"))))</x:f>
        <x:v>Moderado (4-4.9)</x:v>
      </x:c>
      <x:c r="L1718" s="25" t="str">
        <x:f>IF(I1718&lt;70,"Superficial (&lt;70 km)",IF(I1718&lt;=300,"Intermedio (70-300 km)","Profundo (&gt;300 km)"))</x:f>
        <x:v>Superficial (&lt;70 km)</x:v>
      </x:c>
      <x:c r="M1718" s="25" t="str">
        <x:f>IF(J1718&gt;=5,"Sí","No")</x:f>
        <x:v>No</x:v>
      </x:c>
      <x:c r="N1718" s="25" t="str">
        <x:f>IF(J1718&gt;=6,"Sí","No")</x:f>
        <x:v>No</x:v>
      </x:c>
      <x:c r="O1718" s="25" t="str">
        <x:v>Pendiente: asignar con R/sf</x:v>
      </x:c>
    </x:row>
    <x:row r="1719">
      <x:c r="A1719" s="25" t="n">
        <x:v>1718</x:v>
      </x:c>
      <x:c r="B1719" s="26" t="n">
        <x:v>41722.48662037037</x:v>
      </x:c>
      <x:c r="C1719" s="27" t="n">
        <x:f>INT(B1719)</x:f>
        <x:v>41722</x:v>
      </x:c>
      <x:c r="D1719" s="28" t="n">
        <x:f>MOD(B1719,1)</x:f>
        <x:v>0.4866203703713836</x:v>
      </x:c>
      <x:c r="E1719" s="29" t="n">
        <x:f>YEAR(B1719)</x:f>
        <x:v>2014</x:v>
      </x:c>
      <x:c r="F1719" s="29" t="n">
        <x:f>MONTH(B1719)</x:f>
        <x:v>3</x:v>
      </x:c>
      <x:c r="G1719" s="30" t="n">
        <x:v>-19.82</x:v>
      </x:c>
      <x:c r="H1719" s="30" t="n">
        <x:v>-70.87</x:v>
      </x:c>
      <x:c r="I1719" s="29" t="n">
        <x:v>41</x:v>
      </x:c>
      <x:c r="J1719" s="31" t="n">
        <x:v>5.3</x:v>
      </x:c>
      <x:c r="K1719" s="25" t="str">
        <x:f>IF(J1719&gt;=7,"Muy fuerte (&gt;=7)",IF(J1719&gt;=6,"Fuerte (6-6.9)",IF(J1719&gt;=5,"Moderado alto (5-5.9)",IF(J1719&gt;=4,"Moderado (4-4.9)","Menor a 4"))))</x:f>
        <x:v>Moderado alto (5-5.9)</x:v>
      </x:c>
      <x:c r="L1719" s="25" t="str">
        <x:f>IF(I1719&lt;70,"Superficial (&lt;70 km)",IF(I1719&lt;=300,"Intermedio (70-300 km)","Profundo (&gt;300 km)"))</x:f>
        <x:v>Superficial (&lt;70 km)</x:v>
      </x:c>
      <x:c r="M1719" s="25" t="str">
        <x:f>IF(J1719&gt;=5,"Sí","No")</x:f>
        <x:v>Sí</x:v>
      </x:c>
      <x:c r="N1719" s="25" t="str">
        <x:f>IF(J1719&gt;=6,"Sí","No")</x:f>
        <x:v>No</x:v>
      </x:c>
      <x:c r="O1719" s="25" t="str">
        <x:v>Pendiente: asignar con R/sf</x:v>
      </x:c>
    </x:row>
    <x:row r="1720">
      <x:c r="A1720" s="25" t="n">
        <x:v>1719</x:v>
      </x:c>
      <x:c r="B1720" s="26" t="n">
        <x:v>41806.387337962966</x:v>
      </x:c>
      <x:c r="C1720" s="27" t="n">
        <x:f>INT(B1720)</x:f>
        <x:v>41806</x:v>
      </x:c>
      <x:c r="D1720" s="28" t="n">
        <x:f>MOD(B1720,1)</x:f>
        <x:v>0.38733796296583023</x:v>
      </x:c>
      <x:c r="E1720" s="29" t="n">
        <x:f>YEAR(B1720)</x:f>
        <x:v>2014</x:v>
      </x:c>
      <x:c r="F1720" s="29" t="n">
        <x:f>MONTH(B1720)</x:f>
        <x:v>6</x:v>
      </x:c>
      <x:c r="G1720" s="30" t="n">
        <x:v>-23.97</x:v>
      </x:c>
      <x:c r="H1720" s="30" t="n">
        <x:v>-69.56</x:v>
      </x:c>
      <x:c r="I1720" s="29" t="n">
        <x:v>91</x:v>
      </x:c>
      <x:c r="J1720" s="31" t="n">
        <x:v>5</x:v>
      </x:c>
      <x:c r="K1720" s="25" t="str">
        <x:f>IF(J1720&gt;=7,"Muy fuerte (&gt;=7)",IF(J1720&gt;=6,"Fuerte (6-6.9)",IF(J1720&gt;=5,"Moderado alto (5-5.9)",IF(J1720&gt;=4,"Moderado (4-4.9)","Menor a 4"))))</x:f>
        <x:v>Moderado alto (5-5.9)</x:v>
      </x:c>
      <x:c r="L1720" s="25" t="str">
        <x:f>IF(I1720&lt;70,"Superficial (&lt;70 km)",IF(I1720&lt;=300,"Intermedio (70-300 km)","Profundo (&gt;300 km)"))</x:f>
        <x:v>Intermedio (70-300 km)</x:v>
      </x:c>
      <x:c r="M1720" s="25" t="str">
        <x:f>IF(J1720&gt;=5,"Sí","No")</x:f>
        <x:v>Sí</x:v>
      </x:c>
      <x:c r="N1720" s="25" t="str">
        <x:f>IF(J1720&gt;=6,"Sí","No")</x:f>
        <x:v>No</x:v>
      </x:c>
      <x:c r="O1720" s="25" t="str">
        <x:v>Pendiente: asignar con R/sf</x:v>
      </x:c>
    </x:row>
    <x:row r="1721">
      <x:c r="A1721" s="25" t="n">
        <x:v>1720</x:v>
      </x:c>
      <x:c r="B1721" s="26" t="n">
        <x:v>41935.98532407408</x:v>
      </x:c>
      <x:c r="C1721" s="27" t="n">
        <x:f>INT(B1721)</x:f>
        <x:v>41935</x:v>
      </x:c>
      <x:c r="D1721" s="28" t="n">
        <x:f>MOD(B1721,1)</x:f>
        <x:v>0.9853240740776528</x:v>
      </x:c>
      <x:c r="E1721" s="29" t="n">
        <x:f>YEAR(B1721)</x:f>
        <x:v>2014</x:v>
      </x:c>
      <x:c r="F1721" s="29" t="n">
        <x:f>MONTH(B1721)</x:f>
        <x:v>10</x:v>
      </x:c>
      <x:c r="G1721" s="30" t="n">
        <x:v>-34.01</x:v>
      </x:c>
      <x:c r="H1721" s="30" t="n">
        <x:v>-72.33</x:v>
      </x:c>
      <x:c r="I1721" s="29" t="n">
        <x:v>36</x:v>
      </x:c>
      <x:c r="J1721" s="31" t="n">
        <x:v>5</x:v>
      </x:c>
      <x:c r="K1721" s="25" t="str">
        <x:f>IF(J1721&gt;=7,"Muy fuerte (&gt;=7)",IF(J1721&gt;=6,"Fuerte (6-6.9)",IF(J1721&gt;=5,"Moderado alto (5-5.9)",IF(J1721&gt;=4,"Moderado (4-4.9)","Menor a 4"))))</x:f>
        <x:v>Moderado alto (5-5.9)</x:v>
      </x:c>
      <x:c r="L1721" s="25" t="str">
        <x:f>IF(I1721&lt;70,"Superficial (&lt;70 km)",IF(I1721&lt;=300,"Intermedio (70-300 km)","Profundo (&gt;300 km)"))</x:f>
        <x:v>Superficial (&lt;70 km)</x:v>
      </x:c>
      <x:c r="M1721" s="25" t="str">
        <x:f>IF(J1721&gt;=5,"Sí","No")</x:f>
        <x:v>Sí</x:v>
      </x:c>
      <x:c r="N1721" s="25" t="str">
        <x:f>IF(J1721&gt;=6,"Sí","No")</x:f>
        <x:v>No</x:v>
      </x:c>
      <x:c r="O1721" s="25" t="str">
        <x:v>Pendiente: asignar con R/sf</x:v>
      </x:c>
    </x:row>
    <x:row r="1722">
      <x:c r="A1722" s="25" t="n">
        <x:v>1721</x:v>
      </x:c>
      <x:c r="B1722" s="26" t="n">
        <x:v>41884.743414351855</x:v>
      </x:c>
      <x:c r="C1722" s="27" t="n">
        <x:f>INT(B1722)</x:f>
        <x:v>41884</x:v>
      </x:c>
      <x:c r="D1722" s="28" t="n">
        <x:f>MOD(B1722,1)</x:f>
        <x:v>0.7434143518548808</x:v>
      </x:c>
      <x:c r="E1722" s="29" t="n">
        <x:f>YEAR(B1722)</x:f>
        <x:v>2014</x:v>
      </x:c>
      <x:c r="F1722" s="29" t="n">
        <x:f>MONTH(B1722)</x:f>
        <x:v>9</x:v>
      </x:c>
      <x:c r="G1722" s="30" t="n">
        <x:v>-23.45</x:v>
      </x:c>
      <x:c r="H1722" s="30" t="n">
        <x:v>-69.34</x:v>
      </x:c>
      <x:c r="I1722" s="29" t="n">
        <x:v>79</x:v>
      </x:c>
      <x:c r="J1722" s="31" t="n">
        <x:v>4.3</x:v>
      </x:c>
      <x:c r="K1722" s="25" t="str">
        <x:f>IF(J1722&gt;=7,"Muy fuerte (&gt;=7)",IF(J1722&gt;=6,"Fuerte (6-6.9)",IF(J1722&gt;=5,"Moderado alto (5-5.9)",IF(J1722&gt;=4,"Moderado (4-4.9)","Menor a 4"))))</x:f>
        <x:v>Moderado (4-4.9)</x:v>
      </x:c>
      <x:c r="L1722" s="25" t="str">
        <x:f>IF(I1722&lt;70,"Superficial (&lt;70 km)",IF(I1722&lt;=300,"Intermedio (70-300 km)","Profundo (&gt;300 km)"))</x:f>
        <x:v>Intermedio (70-300 km)</x:v>
      </x:c>
      <x:c r="M1722" s="25" t="str">
        <x:f>IF(J1722&gt;=5,"Sí","No")</x:f>
        <x:v>No</x:v>
      </x:c>
      <x:c r="N1722" s="25" t="str">
        <x:f>IF(J1722&gt;=6,"Sí","No")</x:f>
        <x:v>No</x:v>
      </x:c>
      <x:c r="O1722" s="25" t="str">
        <x:v>Pendiente: asignar con R/sf</x:v>
      </x:c>
    </x:row>
    <x:row r="1723">
      <x:c r="A1723" s="25" t="n">
        <x:v>1722</x:v>
      </x:c>
      <x:c r="B1723" s="26" t="n">
        <x:v>41971.348703703705</x:v>
      </x:c>
      <x:c r="C1723" s="27" t="n">
        <x:f>INT(B1723)</x:f>
        <x:v>41971</x:v>
      </x:c>
      <x:c r="D1723" s="28" t="n">
        <x:f>MOD(B1723,1)</x:f>
        <x:v>0.34870370370481396</x:v>
      </x:c>
      <x:c r="E1723" s="29" t="n">
        <x:f>YEAR(B1723)</x:f>
        <x:v>2014</x:v>
      </x:c>
      <x:c r="F1723" s="29" t="n">
        <x:f>MONTH(B1723)</x:f>
        <x:v>11</x:v>
      </x:c>
      <x:c r="G1723" s="30" t="n">
        <x:v>-30.31</x:v>
      </x:c>
      <x:c r="H1723" s="30" t="n">
        <x:v>-71.39</x:v>
      </x:c>
      <x:c r="I1723" s="29" t="n">
        <x:v>52</x:v>
      </x:c>
      <x:c r="J1723" s="31" t="n">
        <x:v>4.4</x:v>
      </x:c>
      <x:c r="K1723" s="25" t="str">
        <x:f>IF(J1723&gt;=7,"Muy fuerte (&gt;=7)",IF(J1723&gt;=6,"Fuerte (6-6.9)",IF(J1723&gt;=5,"Moderado alto (5-5.9)",IF(J1723&gt;=4,"Moderado (4-4.9)","Menor a 4"))))</x:f>
        <x:v>Moderado (4-4.9)</x:v>
      </x:c>
      <x:c r="L1723" s="25" t="str">
        <x:f>IF(I1723&lt;70,"Superficial (&lt;70 km)",IF(I1723&lt;=300,"Intermedio (70-300 km)","Profundo (&gt;300 km)"))</x:f>
        <x:v>Superficial (&lt;70 km)</x:v>
      </x:c>
      <x:c r="M1723" s="25" t="str">
        <x:f>IF(J1723&gt;=5,"Sí","No")</x:f>
        <x:v>No</x:v>
      </x:c>
      <x:c r="N1723" s="25" t="str">
        <x:f>IF(J1723&gt;=6,"Sí","No")</x:f>
        <x:v>No</x:v>
      </x:c>
      <x:c r="O1723" s="25" t="str">
        <x:v>Pendiente: asignar con R/sf</x:v>
      </x:c>
    </x:row>
    <x:row r="1724">
      <x:c r="A1724" s="25" t="n">
        <x:v>1723</x:v>
      </x:c>
      <x:c r="B1724" s="26" t="n">
        <x:v>41737.22247685185</x:v>
      </x:c>
      <x:c r="C1724" s="27" t="n">
        <x:f>INT(B1724)</x:f>
        <x:v>41737</x:v>
      </x:c>
      <x:c r="D1724" s="28" t="n">
        <x:f>MOD(B1724,1)</x:f>
        <x:v>0.22247685184993315</x:v>
      </x:c>
      <x:c r="E1724" s="29" t="n">
        <x:f>YEAR(B1724)</x:f>
        <x:v>2014</x:v>
      </x:c>
      <x:c r="F1724" s="29" t="n">
        <x:f>MONTH(B1724)</x:f>
        <x:v>4</x:v>
      </x:c>
      <x:c r="G1724" s="30" t="n">
        <x:v>-19.88</x:v>
      </x:c>
      <x:c r="H1724" s="30" t="n">
        <x:v>-70.86</x:v>
      </x:c>
      <x:c r="I1724" s="29" t="n">
        <x:v>40</x:v>
      </x:c>
      <x:c r="J1724" s="31" t="n">
        <x:v>5.1</x:v>
      </x:c>
      <x:c r="K1724" s="25" t="str">
        <x:f>IF(J1724&gt;=7,"Muy fuerte (&gt;=7)",IF(J1724&gt;=6,"Fuerte (6-6.9)",IF(J1724&gt;=5,"Moderado alto (5-5.9)",IF(J1724&gt;=4,"Moderado (4-4.9)","Menor a 4"))))</x:f>
        <x:v>Moderado alto (5-5.9)</x:v>
      </x:c>
      <x:c r="L1724" s="25" t="str">
        <x:f>IF(I1724&lt;70,"Superficial (&lt;70 km)",IF(I1724&lt;=300,"Intermedio (70-300 km)","Profundo (&gt;300 km)"))</x:f>
        <x:v>Superficial (&lt;70 km)</x:v>
      </x:c>
      <x:c r="M1724" s="25" t="str">
        <x:f>IF(J1724&gt;=5,"Sí","No")</x:f>
        <x:v>Sí</x:v>
      </x:c>
      <x:c r="N1724" s="25" t="str">
        <x:f>IF(J1724&gt;=6,"Sí","No")</x:f>
        <x:v>No</x:v>
      </x:c>
      <x:c r="O1724" s="25" t="str">
        <x:v>Pendiente: asignar con R/sf</x:v>
      </x:c>
    </x:row>
    <x:row r="1725">
      <x:c r="A1725" s="25" t="n">
        <x:v>1724</x:v>
      </x:c>
      <x:c r="B1725" s="26" t="n">
        <x:v>41739.00733796296</x:v>
      </x:c>
      <x:c r="C1725" s="27" t="n">
        <x:f>INT(B1725)</x:f>
        <x:v>41739</x:v>
      </x:c>
      <x:c r="D1725" s="28" t="n">
        <x:f>MOD(B1725,1)</x:f>
        <x:v>0.007337962961173616</x:v>
      </x:c>
      <x:c r="E1725" s="29" t="n">
        <x:f>YEAR(B1725)</x:f>
        <x:v>2014</x:v>
      </x:c>
      <x:c r="F1725" s="29" t="n">
        <x:f>MONTH(B1725)</x:f>
        <x:v>4</x:v>
      </x:c>
      <x:c r="G1725" s="30" t="n">
        <x:v>-20.34</x:v>
      </x:c>
      <x:c r="H1725" s="30" t="n">
        <x:v>-70.87</x:v>
      </x:c>
      <x:c r="I1725" s="29" t="n">
        <x:v>16</x:v>
      </x:c>
      <x:c r="J1725" s="31" t="n">
        <x:v>4.7</x:v>
      </x:c>
      <x:c r="K1725" s="25" t="str">
        <x:f>IF(J1725&gt;=7,"Muy fuerte (&gt;=7)",IF(J1725&gt;=6,"Fuerte (6-6.9)",IF(J1725&gt;=5,"Moderado alto (5-5.9)",IF(J1725&gt;=4,"Moderado (4-4.9)","Menor a 4"))))</x:f>
        <x:v>Moderado (4-4.9)</x:v>
      </x:c>
      <x:c r="L1725" s="25" t="str">
        <x:f>IF(I1725&lt;70,"Superficial (&lt;70 km)",IF(I1725&lt;=300,"Intermedio (70-300 km)","Profundo (&gt;300 km)"))</x:f>
        <x:v>Superficial (&lt;70 km)</x:v>
      </x:c>
      <x:c r="M1725" s="25" t="str">
        <x:f>IF(J1725&gt;=5,"Sí","No")</x:f>
        <x:v>No</x:v>
      </x:c>
      <x:c r="N1725" s="25" t="str">
        <x:f>IF(J1725&gt;=6,"Sí","No")</x:f>
        <x:v>No</x:v>
      </x:c>
      <x:c r="O1725" s="25" t="str">
        <x:v>Pendiente: asignar con R/sf</x:v>
      </x:c>
    </x:row>
    <x:row r="1726">
      <x:c r="A1726" s="25" t="n">
        <x:v>1725</x:v>
      </x:c>
      <x:c r="B1726" s="26" t="n">
        <x:v>41795.846863425926</x:v>
      </x:c>
      <x:c r="C1726" s="27" t="n">
        <x:f>INT(B1726)</x:f>
        <x:v>41795</x:v>
      </x:c>
      <x:c r="D1726" s="28" t="n">
        <x:f>MOD(B1726,1)</x:f>
        <x:v>0.8468634259261307</x:v>
      </x:c>
      <x:c r="E1726" s="29" t="n">
        <x:f>YEAR(B1726)</x:f>
        <x:v>2014</x:v>
      </x:c>
      <x:c r="F1726" s="29" t="n">
        <x:f>MONTH(B1726)</x:f>
        <x:v>6</x:v>
      </x:c>
      <x:c r="G1726" s="30" t="n">
        <x:v>-20.34</x:v>
      </x:c>
      <x:c r="H1726" s="30" t="n">
        <x:v>-70.22</x:v>
      </x:c>
      <x:c r="I1726" s="29" t="n">
        <x:v>40</x:v>
      </x:c>
      <x:c r="J1726" s="31" t="n">
        <x:v>5</x:v>
      </x:c>
      <x:c r="K1726" s="25" t="str">
        <x:f>IF(J1726&gt;=7,"Muy fuerte (&gt;=7)",IF(J1726&gt;=6,"Fuerte (6-6.9)",IF(J1726&gt;=5,"Moderado alto (5-5.9)",IF(J1726&gt;=4,"Moderado (4-4.9)","Menor a 4"))))</x:f>
        <x:v>Moderado alto (5-5.9)</x:v>
      </x:c>
      <x:c r="L1726" s="25" t="str">
        <x:f>IF(I1726&lt;70,"Superficial (&lt;70 km)",IF(I1726&lt;=300,"Intermedio (70-300 km)","Profundo (&gt;300 km)"))</x:f>
        <x:v>Superficial (&lt;70 km)</x:v>
      </x:c>
      <x:c r="M1726" s="25" t="str">
        <x:f>IF(J1726&gt;=5,"Sí","No")</x:f>
        <x:v>Sí</x:v>
      </x:c>
      <x:c r="N1726" s="25" t="str">
        <x:f>IF(J1726&gt;=6,"Sí","No")</x:f>
        <x:v>No</x:v>
      </x:c>
      <x:c r="O1726" s="25" t="str">
        <x:v>Pendiente: asignar con R/sf</x:v>
      </x:c>
    </x:row>
    <x:row r="1727">
      <x:c r="A1727" s="25" t="n">
        <x:v>1726</x:v>
      </x:c>
      <x:c r="B1727" s="26" t="n">
        <x:v>41720.552037037036</x:v>
      </x:c>
      <x:c r="C1727" s="27" t="n">
        <x:f>INT(B1727)</x:f>
        <x:v>41720</x:v>
      </x:c>
      <x:c r="D1727" s="28" t="n">
        <x:f>MOD(B1727,1)</x:f>
        <x:v>0.552037037035916</x:v>
      </x:c>
      <x:c r="E1727" s="29" t="n">
        <x:f>YEAR(B1727)</x:f>
        <x:v>2014</x:v>
      </x:c>
      <x:c r="F1727" s="29" t="n">
        <x:f>MONTH(B1727)</x:f>
        <x:v>3</x:v>
      </x:c>
      <x:c r="G1727" s="30" t="n">
        <x:v>-19.82</x:v>
      </x:c>
      <x:c r="H1727" s="30" t="n">
        <x:v>-70.88</x:v>
      </x:c>
      <x:c r="I1727" s="29" t="n">
        <x:v>20</x:v>
      </x:c>
      <x:c r="J1727" s="31" t="n">
        <x:v>5.3</x:v>
      </x:c>
      <x:c r="K1727" s="25" t="str">
        <x:f>IF(J1727&gt;=7,"Muy fuerte (&gt;=7)",IF(J1727&gt;=6,"Fuerte (6-6.9)",IF(J1727&gt;=5,"Moderado alto (5-5.9)",IF(J1727&gt;=4,"Moderado (4-4.9)","Menor a 4"))))</x:f>
        <x:v>Moderado alto (5-5.9)</x:v>
      </x:c>
      <x:c r="L1727" s="25" t="str">
        <x:f>IF(I1727&lt;70,"Superficial (&lt;70 km)",IF(I1727&lt;=300,"Intermedio (70-300 km)","Profundo (&gt;300 km)"))</x:f>
        <x:v>Superficial (&lt;70 km)</x:v>
      </x:c>
      <x:c r="M1727" s="25" t="str">
        <x:f>IF(J1727&gt;=5,"Sí","No")</x:f>
        <x:v>Sí</x:v>
      </x:c>
      <x:c r="N1727" s="25" t="str">
        <x:f>IF(J1727&gt;=6,"Sí","No")</x:f>
        <x:v>No</x:v>
      </x:c>
      <x:c r="O1727" s="25" t="str">
        <x:v>Pendiente: asignar con R/sf</x:v>
      </x:c>
    </x:row>
    <x:row r="1728">
      <x:c r="A1728" s="25" t="n">
        <x:v>1727</x:v>
      </x:c>
      <x:c r="B1728" s="26" t="n">
        <x:v>41738.32596064815</x:v>
      </x:c>
      <x:c r="C1728" s="27" t="n">
        <x:f>INT(B1728)</x:f>
        <x:v>41738</x:v>
      </x:c>
      <x:c r="D1728" s="28" t="n">
        <x:f>MOD(B1728,1)</x:f>
        <x:v>0.32596064815152204</x:v>
      </x:c>
      <x:c r="E1728" s="29" t="n">
        <x:f>YEAR(B1728)</x:f>
        <x:v>2014</x:v>
      </x:c>
      <x:c r="F1728" s="29" t="n">
        <x:f>MONTH(B1728)</x:f>
        <x:v>4</x:v>
      </x:c>
      <x:c r="G1728" s="30" t="n">
        <x:v>-19.87</x:v>
      </x:c>
      <x:c r="H1728" s="30" t="n">
        <x:v>-70.94</x:v>
      </x:c>
      <x:c r="I1728" s="29" t="n">
        <x:v>33</x:v>
      </x:c>
      <x:c r="J1728" s="31" t="n">
        <x:v>4.6</x:v>
      </x:c>
      <x:c r="K1728" s="25" t="str">
        <x:f>IF(J1728&gt;=7,"Muy fuerte (&gt;=7)",IF(J1728&gt;=6,"Fuerte (6-6.9)",IF(J1728&gt;=5,"Moderado alto (5-5.9)",IF(J1728&gt;=4,"Moderado (4-4.9)","Menor a 4"))))</x:f>
        <x:v>Moderado (4-4.9)</x:v>
      </x:c>
      <x:c r="L1728" s="25" t="str">
        <x:f>IF(I1728&lt;70,"Superficial (&lt;70 km)",IF(I1728&lt;=300,"Intermedio (70-300 km)","Profundo (&gt;300 km)"))</x:f>
        <x:v>Superficial (&lt;70 km)</x:v>
      </x:c>
      <x:c r="M1728" s="25" t="str">
        <x:f>IF(J1728&gt;=5,"Sí","No")</x:f>
        <x:v>No</x:v>
      </x:c>
      <x:c r="N1728" s="25" t="str">
        <x:f>IF(J1728&gt;=6,"Sí","No")</x:f>
        <x:v>No</x:v>
      </x:c>
      <x:c r="O1728" s="25" t="str">
        <x:v>Pendiente: asignar con R/sf</x:v>
      </x:c>
    </x:row>
    <x:row r="1729">
      <x:c r="A1729" s="25" t="n">
        <x:v>1728</x:v>
      </x:c>
      <x:c r="B1729" s="26" t="n">
        <x:v>41732.28947916667</x:v>
      </x:c>
      <x:c r="C1729" s="27" t="n">
        <x:f>INT(B1729)</x:f>
        <x:v>41732</x:v>
      </x:c>
      <x:c r="D1729" s="28" t="n">
        <x:f>MOD(B1729,1)</x:f>
        <x:v>0.28947916666948004</x:v>
      </x:c>
      <x:c r="E1729" s="29" t="n">
        <x:f>YEAR(B1729)</x:f>
        <x:v>2014</x:v>
      </x:c>
      <x:c r="F1729" s="29" t="n">
        <x:f>MONTH(B1729)</x:f>
        <x:v>4</x:v>
      </x:c>
      <x:c r="G1729" s="30" t="n">
        <x:v>-20.36</x:v>
      </x:c>
      <x:c r="H1729" s="30" t="n">
        <x:v>-70.03</x:v>
      </x:c>
      <x:c r="I1729" s="29" t="n">
        <x:v>43</x:v>
      </x:c>
      <x:c r="J1729" s="31" t="n">
        <x:v>4.4</x:v>
      </x:c>
      <x:c r="K1729" s="25" t="str">
        <x:f>IF(J1729&gt;=7,"Muy fuerte (&gt;=7)",IF(J1729&gt;=6,"Fuerte (6-6.9)",IF(J1729&gt;=5,"Moderado alto (5-5.9)",IF(J1729&gt;=4,"Moderado (4-4.9)","Menor a 4"))))</x:f>
        <x:v>Moderado (4-4.9)</x:v>
      </x:c>
      <x:c r="L1729" s="25" t="str">
        <x:f>IF(I1729&lt;70,"Superficial (&lt;70 km)",IF(I1729&lt;=300,"Intermedio (70-300 km)","Profundo (&gt;300 km)"))</x:f>
        <x:v>Superficial (&lt;70 km)</x:v>
      </x:c>
      <x:c r="M1729" s="25" t="str">
        <x:f>IF(J1729&gt;=5,"Sí","No")</x:f>
        <x:v>No</x:v>
      </x:c>
      <x:c r="N1729" s="25" t="str">
        <x:f>IF(J1729&gt;=6,"Sí","No")</x:f>
        <x:v>No</x:v>
      </x:c>
      <x:c r="O1729" s="25" t="str">
        <x:v>Pendiente: asignar con R/sf</x:v>
      </x:c>
    </x:row>
    <x:row r="1730">
      <x:c r="A1730" s="25" t="n">
        <x:v>1729</x:v>
      </x:c>
      <x:c r="B1730" s="26" t="n">
        <x:v>41731.15295138889</x:v>
      </x:c>
      <x:c r="C1730" s="27" t="n">
        <x:f>INT(B1730)</x:f>
        <x:v>41731</x:v>
      </x:c>
      <x:c r="D1730" s="28" t="n">
        <x:f>MOD(B1730,1)</x:f>
        <x:v>0.15295138888905058</x:v>
      </x:c>
      <x:c r="E1730" s="29" t="n">
        <x:f>YEAR(B1730)</x:f>
        <x:v>2014</x:v>
      </x:c>
      <x:c r="F1730" s="29" t="n">
        <x:f>MONTH(B1730)</x:f>
        <x:v>4</x:v>
      </x:c>
      <x:c r="G1730" s="30" t="n">
        <x:v>-19.97</x:v>
      </x:c>
      <x:c r="H1730" s="30" t="n">
        <x:v>-71.12</x:v>
      </x:c>
      <x:c r="I1730" s="29" t="n">
        <x:v>33</x:v>
      </x:c>
      <x:c r="J1730" s="31" t="n">
        <x:v>5</x:v>
      </x:c>
      <x:c r="K1730" s="25" t="str">
        <x:f>IF(J1730&gt;=7,"Muy fuerte (&gt;=7)",IF(J1730&gt;=6,"Fuerte (6-6.9)",IF(J1730&gt;=5,"Moderado alto (5-5.9)",IF(J1730&gt;=4,"Moderado (4-4.9)","Menor a 4"))))</x:f>
        <x:v>Moderado alto (5-5.9)</x:v>
      </x:c>
      <x:c r="L1730" s="25" t="str">
        <x:f>IF(I1730&lt;70,"Superficial (&lt;70 km)",IF(I1730&lt;=300,"Intermedio (70-300 km)","Profundo (&gt;300 km)"))</x:f>
        <x:v>Superficial (&lt;70 km)</x:v>
      </x:c>
      <x:c r="M1730" s="25" t="str">
        <x:f>IF(J1730&gt;=5,"Sí","No")</x:f>
        <x:v>Sí</x:v>
      </x:c>
      <x:c r="N1730" s="25" t="str">
        <x:f>IF(J1730&gt;=6,"Sí","No")</x:f>
        <x:v>No</x:v>
      </x:c>
      <x:c r="O1730" s="25" t="str">
        <x:v>Pendiente: asignar con R/sf</x:v>
      </x:c>
    </x:row>
    <x:row r="1731">
      <x:c r="A1731" s="25" t="n">
        <x:v>1730</x:v>
      </x:c>
      <x:c r="B1731" s="26" t="n">
        <x:v>41776.42916666667</x:v>
      </x:c>
      <x:c r="C1731" s="27" t="n">
        <x:f>INT(B1731)</x:f>
        <x:v>41776</x:v>
      </x:c>
      <x:c r="D1731" s="28" t="n">
        <x:f>MOD(B1731,1)</x:f>
        <x:v>0.4291666666686069</x:v>
      </x:c>
      <x:c r="E1731" s="29" t="n">
        <x:f>YEAR(B1731)</x:f>
        <x:v>2014</x:v>
      </x:c>
      <x:c r="F1731" s="29" t="n">
        <x:f>MONTH(B1731)</x:f>
        <x:v>5</x:v>
      </x:c>
      <x:c r="G1731" s="30" t="n">
        <x:v>-19.96</x:v>
      </x:c>
      <x:c r="H1731" s="30" t="n">
        <x:v>-70.98</x:v>
      </x:c>
      <x:c r="I1731" s="29" t="n">
        <x:v>33</x:v>
      </x:c>
      <x:c r="J1731" s="31" t="n">
        <x:v>4.6</x:v>
      </x:c>
      <x:c r="K1731" s="25" t="str">
        <x:f>IF(J1731&gt;=7,"Muy fuerte (&gt;=7)",IF(J1731&gt;=6,"Fuerte (6-6.9)",IF(J1731&gt;=5,"Moderado alto (5-5.9)",IF(J1731&gt;=4,"Moderado (4-4.9)","Menor a 4"))))</x:f>
        <x:v>Moderado (4-4.9)</x:v>
      </x:c>
      <x:c r="L1731" s="25" t="str">
        <x:f>IF(I1731&lt;70,"Superficial (&lt;70 km)",IF(I1731&lt;=300,"Intermedio (70-300 km)","Profundo (&gt;300 km)"))</x:f>
        <x:v>Superficial (&lt;70 km)</x:v>
      </x:c>
      <x:c r="M1731" s="25" t="str">
        <x:f>IF(J1731&gt;=5,"Sí","No")</x:f>
        <x:v>No</x:v>
      </x:c>
      <x:c r="N1731" s="25" t="str">
        <x:f>IF(J1731&gt;=6,"Sí","No")</x:f>
        <x:v>No</x:v>
      </x:c>
      <x:c r="O1731" s="25" t="str">
        <x:v>Pendiente: asignar con R/sf</x:v>
      </x:c>
    </x:row>
    <x:row r="1732">
      <x:c r="A1732" s="25" t="n">
        <x:v>1731</x:v>
      </x:c>
      <x:c r="B1732" s="26" t="n">
        <x:v>41897.27452546296</x:v>
      </x:c>
      <x:c r="C1732" s="27" t="n">
        <x:f>INT(B1732)</x:f>
        <x:v>41897</x:v>
      </x:c>
      <x:c r="D1732" s="28" t="n">
        <x:f>MOD(B1732,1)</x:f>
        <x:v>0.2745254629626288</x:v>
      </x:c>
      <x:c r="E1732" s="29" t="n">
        <x:f>YEAR(B1732)</x:f>
        <x:v>2014</x:v>
      </x:c>
      <x:c r="F1732" s="29" t="n">
        <x:f>MONTH(B1732)</x:f>
        <x:v>9</x:v>
      </x:c>
      <x:c r="G1732" s="30" t="n">
        <x:v>-31.97</x:v>
      </x:c>
      <x:c r="H1732" s="30" t="n">
        <x:v>-71.24</x:v>
      </x:c>
      <x:c r="I1732" s="29" t="n">
        <x:v>85</x:v>
      </x:c>
      <x:c r="J1732" s="31" t="n">
        <x:v>4.6</x:v>
      </x:c>
      <x:c r="K1732" s="25" t="str">
        <x:f>IF(J1732&gt;=7,"Muy fuerte (&gt;=7)",IF(J1732&gt;=6,"Fuerte (6-6.9)",IF(J1732&gt;=5,"Moderado alto (5-5.9)",IF(J1732&gt;=4,"Moderado (4-4.9)","Menor a 4"))))</x:f>
        <x:v>Moderado (4-4.9)</x:v>
      </x:c>
      <x:c r="L1732" s="25" t="str">
        <x:f>IF(I1732&lt;70,"Superficial (&lt;70 km)",IF(I1732&lt;=300,"Intermedio (70-300 km)","Profundo (&gt;300 km)"))</x:f>
        <x:v>Intermedio (70-300 km)</x:v>
      </x:c>
      <x:c r="M1732" s="25" t="str">
        <x:f>IF(J1732&gt;=5,"Sí","No")</x:f>
        <x:v>No</x:v>
      </x:c>
      <x:c r="N1732" s="25" t="str">
        <x:f>IF(J1732&gt;=6,"Sí","No")</x:f>
        <x:v>No</x:v>
      </x:c>
      <x:c r="O1732" s="25" t="str">
        <x:v>Pendiente: asignar con R/sf</x:v>
      </x:c>
    </x:row>
    <x:row r="1733">
      <x:c r="A1733" s="25" t="n">
        <x:v>1732</x:v>
      </x:c>
      <x:c r="B1733" s="26" t="n">
        <x:v>41731.67616898148</x:v>
      </x:c>
      <x:c r="C1733" s="27" t="n">
        <x:f>INT(B1733)</x:f>
        <x:v>41731</x:v>
      </x:c>
      <x:c r="D1733" s="28" t="n">
        <x:f>MOD(B1733,1)</x:f>
        <x:v>0.6761689814811689</x:v>
      </x:c>
      <x:c r="E1733" s="29" t="n">
        <x:f>YEAR(B1733)</x:f>
        <x:v>2014</x:v>
      </x:c>
      <x:c r="F1733" s="29" t="n">
        <x:f>MONTH(B1733)</x:f>
        <x:v>4</x:v>
      </x:c>
      <x:c r="G1733" s="30" t="n">
        <x:v>-19.95</x:v>
      </x:c>
      <x:c r="H1733" s="30" t="n">
        <x:v>-70.4</x:v>
      </x:c>
      <x:c r="I1733" s="29" t="n">
        <x:v>33</x:v>
      </x:c>
      <x:c r="J1733" s="31" t="n">
        <x:v>4</x:v>
      </x:c>
      <x:c r="K1733" s="25" t="str">
        <x:f>IF(J1733&gt;=7,"Muy fuerte (&gt;=7)",IF(J1733&gt;=6,"Fuerte (6-6.9)",IF(J1733&gt;=5,"Moderado alto (5-5.9)",IF(J1733&gt;=4,"Moderado (4-4.9)","Menor a 4"))))</x:f>
        <x:v>Moderado (4-4.9)</x:v>
      </x:c>
      <x:c r="L1733" s="25" t="str">
        <x:f>IF(I1733&lt;70,"Superficial (&lt;70 km)",IF(I1733&lt;=300,"Intermedio (70-300 km)","Profundo (&gt;300 km)"))</x:f>
        <x:v>Superficial (&lt;70 km)</x:v>
      </x:c>
      <x:c r="M1733" s="25" t="str">
        <x:f>IF(J1733&gt;=5,"Sí","No")</x:f>
        <x:v>No</x:v>
      </x:c>
      <x:c r="N1733" s="25" t="str">
        <x:f>IF(J1733&gt;=6,"Sí","No")</x:f>
        <x:v>No</x:v>
      </x:c>
      <x:c r="O1733" s="25" t="str">
        <x:v>Pendiente: asignar con R/sf</x:v>
      </x:c>
    </x:row>
    <x:row r="1734">
      <x:c r="A1734" s="25" t="n">
        <x:v>1733</x:v>
      </x:c>
      <x:c r="B1734" s="26" t="n">
        <x:v>41731.139444444445</x:v>
      </x:c>
      <x:c r="C1734" s="27" t="n">
        <x:f>INT(B1734)</x:f>
        <x:v>41731</x:v>
      </x:c>
      <x:c r="D1734" s="28" t="n">
        <x:f>MOD(B1734,1)</x:f>
        <x:v>0.13944444444496185</x:v>
      </x:c>
      <x:c r="E1734" s="29" t="n">
        <x:f>YEAR(B1734)</x:f>
        <x:v>2014</x:v>
      </x:c>
      <x:c r="F1734" s="29" t="n">
        <x:f>MONTH(B1734)</x:f>
        <x:v>4</x:v>
      </x:c>
      <x:c r="G1734" s="30" t="n">
        <x:v>-20.12</x:v>
      </x:c>
      <x:c r="H1734" s="30" t="n">
        <x:v>-70.39</x:v>
      </x:c>
      <x:c r="I1734" s="29" t="n">
        <x:v>30</x:v>
      </x:c>
      <x:c r="J1734" s="31" t="n">
        <x:v>4.5</x:v>
      </x:c>
      <x:c r="K1734" s="25" t="str">
        <x:f>IF(J1734&gt;=7,"Muy fuerte (&gt;=7)",IF(J1734&gt;=6,"Fuerte (6-6.9)",IF(J1734&gt;=5,"Moderado alto (5-5.9)",IF(J1734&gt;=4,"Moderado (4-4.9)","Menor a 4"))))</x:f>
        <x:v>Moderado (4-4.9)</x:v>
      </x:c>
      <x:c r="L1734" s="25" t="str">
        <x:f>IF(I1734&lt;70,"Superficial (&lt;70 km)",IF(I1734&lt;=300,"Intermedio (70-300 km)","Profundo (&gt;300 km)"))</x:f>
        <x:v>Superficial (&lt;70 km)</x:v>
      </x:c>
      <x:c r="M1734" s="25" t="str">
        <x:f>IF(J1734&gt;=5,"Sí","No")</x:f>
        <x:v>No</x:v>
      </x:c>
      <x:c r="N1734" s="25" t="str">
        <x:f>IF(J1734&gt;=6,"Sí","No")</x:f>
        <x:v>No</x:v>
      </x:c>
      <x:c r="O1734" s="25" t="str">
        <x:v>Pendiente: asignar con R/sf</x:v>
      </x:c>
    </x:row>
    <x:row r="1735">
      <x:c r="A1735" s="25" t="n">
        <x:v>1734</x:v>
      </x:c>
      <x:c r="B1735" s="26" t="n">
        <x:v>41833.304444444446</x:v>
      </x:c>
      <x:c r="C1735" s="27" t="n">
        <x:f>INT(B1735)</x:f>
        <x:v>41833</x:v>
      </x:c>
      <x:c r="D1735" s="28" t="n">
        <x:f>MOD(B1735,1)</x:f>
        <x:v>0.30444444444583496</x:v>
      </x:c>
      <x:c r="E1735" s="29" t="n">
        <x:f>YEAR(B1735)</x:f>
        <x:v>2014</x:v>
      </x:c>
      <x:c r="F1735" s="29" t="n">
        <x:f>MONTH(B1735)</x:f>
        <x:v>7</x:v>
      </x:c>
      <x:c r="G1735" s="30" t="n">
        <x:v>-30.74</x:v>
      </x:c>
      <x:c r="H1735" s="30" t="n">
        <x:v>-70.67</x:v>
      </x:c>
      <x:c r="I1735" s="29" t="n">
        <x:v>86</x:v>
      </x:c>
      <x:c r="J1735" s="31" t="n">
        <x:v>5.7</x:v>
      </x:c>
      <x:c r="K1735" s="25" t="str">
        <x:f>IF(J1735&gt;=7,"Muy fuerte (&gt;=7)",IF(J1735&gt;=6,"Fuerte (6-6.9)",IF(J1735&gt;=5,"Moderado alto (5-5.9)",IF(J1735&gt;=4,"Moderado (4-4.9)","Menor a 4"))))</x:f>
        <x:v>Moderado alto (5-5.9)</x:v>
      </x:c>
      <x:c r="L1735" s="25" t="str">
        <x:f>IF(I1735&lt;70,"Superficial (&lt;70 km)",IF(I1735&lt;=300,"Intermedio (70-300 km)","Profundo (&gt;300 km)"))</x:f>
        <x:v>Intermedio (70-300 km)</x:v>
      </x:c>
      <x:c r="M1735" s="25" t="str">
        <x:f>IF(J1735&gt;=5,"Sí","No")</x:f>
        <x:v>Sí</x:v>
      </x:c>
      <x:c r="N1735" s="25" t="str">
        <x:f>IF(J1735&gt;=6,"Sí","No")</x:f>
        <x:v>No</x:v>
      </x:c>
      <x:c r="O1735" s="25" t="str">
        <x:v>Pendiente: asignar con R/sf</x:v>
      </x:c>
    </x:row>
    <x:row r="1736">
      <x:c r="A1736" s="25" t="n">
        <x:v>1735</x:v>
      </x:c>
      <x:c r="B1736" s="26" t="n">
        <x:v>41792.23920138889</x:v>
      </x:c>
      <x:c r="C1736" s="27" t="n">
        <x:f>INT(B1736)</x:f>
        <x:v>41792</x:v>
      </x:c>
      <x:c r="D1736" s="28" t="n">
        <x:f>MOD(B1736,1)</x:f>
        <x:v>0.23920138888934162</x:v>
      </x:c>
      <x:c r="E1736" s="29" t="n">
        <x:f>YEAR(B1736)</x:f>
        <x:v>2014</x:v>
      </x:c>
      <x:c r="F1736" s="29" t="n">
        <x:f>MONTH(B1736)</x:f>
        <x:v>6</x:v>
      </x:c>
      <x:c r="G1736" s="30" t="n">
        <x:v>-33.78</x:v>
      </x:c>
      <x:c r="H1736" s="30" t="n">
        <x:v>-72.01</x:v>
      </x:c>
      <x:c r="I1736" s="29" t="n">
        <x:v>36</x:v>
      </x:c>
      <x:c r="J1736" s="31" t="n">
        <x:v>4.5</x:v>
      </x:c>
      <x:c r="K1736" s="25" t="str">
        <x:f>IF(J1736&gt;=7,"Muy fuerte (&gt;=7)",IF(J1736&gt;=6,"Fuerte (6-6.9)",IF(J1736&gt;=5,"Moderado alto (5-5.9)",IF(J1736&gt;=4,"Moderado (4-4.9)","Menor a 4"))))</x:f>
        <x:v>Moderado (4-4.9)</x:v>
      </x:c>
      <x:c r="L1736" s="25" t="str">
        <x:f>IF(I1736&lt;70,"Superficial (&lt;70 km)",IF(I1736&lt;=300,"Intermedio (70-300 km)","Profundo (&gt;300 km)"))</x:f>
        <x:v>Superficial (&lt;70 km)</x:v>
      </x:c>
      <x:c r="M1736" s="25" t="str">
        <x:f>IF(J1736&gt;=5,"Sí","No")</x:f>
        <x:v>No</x:v>
      </x:c>
      <x:c r="N1736" s="25" t="str">
        <x:f>IF(J1736&gt;=6,"Sí","No")</x:f>
        <x:v>No</x:v>
      </x:c>
      <x:c r="O1736" s="25" t="str">
        <x:v>Pendiente: asignar con R/sf</x:v>
      </x:c>
    </x:row>
    <x:row r="1737">
      <x:c r="A1737" s="25" t="n">
        <x:v>1736</x:v>
      </x:c>
      <x:c r="B1737" s="26" t="n">
        <x:v>41841.64481481481</x:v>
      </x:c>
      <x:c r="C1737" s="27" t="n">
        <x:f>INT(B1737)</x:f>
        <x:v>41841</x:v>
      </x:c>
      <x:c r="D1737" s="28" t="n">
        <x:f>MOD(B1737,1)</x:f>
        <x:v>0.6448148148119799</x:v>
      </x:c>
      <x:c r="E1737" s="29" t="n">
        <x:f>YEAR(B1737)</x:f>
        <x:v>2014</x:v>
      </x:c>
      <x:c r="F1737" s="29" t="n">
        <x:f>MONTH(B1737)</x:f>
        <x:v>7</x:v>
      </x:c>
      <x:c r="G1737" s="30" t="n">
        <x:v>-20.27</x:v>
      </x:c>
      <x:c r="H1737" s="30" t="n">
        <x:v>-69.98</x:v>
      </x:c>
      <x:c r="I1737" s="29" t="n">
        <x:v>51</x:v>
      </x:c>
      <x:c r="J1737" s="31" t="n">
        <x:v>4</x:v>
      </x:c>
      <x:c r="K1737" s="25" t="str">
        <x:f>IF(J1737&gt;=7,"Muy fuerte (&gt;=7)",IF(J1737&gt;=6,"Fuerte (6-6.9)",IF(J1737&gt;=5,"Moderado alto (5-5.9)",IF(J1737&gt;=4,"Moderado (4-4.9)","Menor a 4"))))</x:f>
        <x:v>Moderado (4-4.9)</x:v>
      </x:c>
      <x:c r="L1737" s="25" t="str">
        <x:f>IF(I1737&lt;70,"Superficial (&lt;70 km)",IF(I1737&lt;=300,"Intermedio (70-300 km)","Profundo (&gt;300 km)"))</x:f>
        <x:v>Superficial (&lt;70 km)</x:v>
      </x:c>
      <x:c r="M1737" s="25" t="str">
        <x:f>IF(J1737&gt;=5,"Sí","No")</x:f>
        <x:v>No</x:v>
      </x:c>
      <x:c r="N1737" s="25" t="str">
        <x:f>IF(J1737&gt;=6,"Sí","No")</x:f>
        <x:v>No</x:v>
      </x:c>
      <x:c r="O1737" s="25" t="str">
        <x:v>Pendiente: asignar con R/sf</x:v>
      </x:c>
    </x:row>
    <x:row r="1738">
      <x:c r="A1738" s="25" t="n">
        <x:v>1737</x:v>
      </x:c>
      <x:c r="B1738" s="26" t="n">
        <x:v>41731.01460648148</x:v>
      </x:c>
      <x:c r="C1738" s="27" t="n">
        <x:f>INT(B1738)</x:f>
        <x:v>41731</x:v>
      </x:c>
      <x:c r="D1738" s="28" t="n">
        <x:f>MOD(B1738,1)</x:f>
        <x:v>0.014606481483497191</x:v>
      </x:c>
      <x:c r="E1738" s="29" t="n">
        <x:f>YEAR(B1738)</x:f>
        <x:v>2014</x:v>
      </x:c>
      <x:c r="F1738" s="29" t="n">
        <x:f>MONTH(B1738)</x:f>
        <x:v>4</x:v>
      </x:c>
      <x:c r="G1738" s="30" t="n">
        <x:v>-20.06</x:v>
      </x:c>
      <x:c r="H1738" s="30" t="n">
        <x:v>-71.02</x:v>
      </x:c>
      <x:c r="I1738" s="29" t="n">
        <x:v>2</x:v>
      </x:c>
      <x:c r="J1738" s="31" t="n">
        <x:v>5.1</x:v>
      </x:c>
      <x:c r="K1738" s="25" t="str">
        <x:f>IF(J1738&gt;=7,"Muy fuerte (&gt;=7)",IF(J1738&gt;=6,"Fuerte (6-6.9)",IF(J1738&gt;=5,"Moderado alto (5-5.9)",IF(J1738&gt;=4,"Moderado (4-4.9)","Menor a 4"))))</x:f>
        <x:v>Moderado alto (5-5.9)</x:v>
      </x:c>
      <x:c r="L1738" s="25" t="str">
        <x:f>IF(I1738&lt;70,"Superficial (&lt;70 km)",IF(I1738&lt;=300,"Intermedio (70-300 km)","Profundo (&gt;300 km)"))</x:f>
        <x:v>Superficial (&lt;70 km)</x:v>
      </x:c>
      <x:c r="M1738" s="25" t="str">
        <x:f>IF(J1738&gt;=5,"Sí","No")</x:f>
        <x:v>Sí</x:v>
      </x:c>
      <x:c r="N1738" s="25" t="str">
        <x:f>IF(J1738&gt;=6,"Sí","No")</x:f>
        <x:v>No</x:v>
      </x:c>
      <x:c r="O1738" s="25" t="str">
        <x:v>Pendiente: asignar con R/sf</x:v>
      </x:c>
    </x:row>
    <x:row r="1739">
      <x:c r="A1739" s="25" t="n">
        <x:v>1738</x:v>
      </x:c>
      <x:c r="B1739" s="26" t="n">
        <x:v>41789.48724537037</x:v>
      </x:c>
      <x:c r="C1739" s="27" t="n">
        <x:f>INT(B1739)</x:f>
        <x:v>41789</x:v>
      </x:c>
      <x:c r="D1739" s="28" t="n">
        <x:f>MOD(B1739,1)</x:f>
        <x:v>0.4872453703719657</x:v>
      </x:c>
      <x:c r="E1739" s="29" t="n">
        <x:f>YEAR(B1739)</x:f>
        <x:v>2014</x:v>
      </x:c>
      <x:c r="F1739" s="29" t="n">
        <x:f>MONTH(B1739)</x:f>
        <x:v>5</x:v>
      </x:c>
      <x:c r="G1739" s="30" t="n">
        <x:v>-21.31</x:v>
      </x:c>
      <x:c r="H1739" s="30" t="n">
        <x:v>-69.97</x:v>
      </x:c>
      <x:c r="I1739" s="29" t="n">
        <x:v>68</x:v>
      </x:c>
      <x:c r="J1739" s="31" t="n">
        <x:v>5.3</x:v>
      </x:c>
      <x:c r="K1739" s="25" t="str">
        <x:f>IF(J1739&gt;=7,"Muy fuerte (&gt;=7)",IF(J1739&gt;=6,"Fuerte (6-6.9)",IF(J1739&gt;=5,"Moderado alto (5-5.9)",IF(J1739&gt;=4,"Moderado (4-4.9)","Menor a 4"))))</x:f>
        <x:v>Moderado alto (5-5.9)</x:v>
      </x:c>
      <x:c r="L1739" s="25" t="str">
        <x:f>IF(I1739&lt;70,"Superficial (&lt;70 km)",IF(I1739&lt;=300,"Intermedio (70-300 km)","Profundo (&gt;300 km)"))</x:f>
        <x:v>Superficial (&lt;70 km)</x:v>
      </x:c>
      <x:c r="M1739" s="25" t="str">
        <x:f>IF(J1739&gt;=5,"Sí","No")</x:f>
        <x:v>Sí</x:v>
      </x:c>
      <x:c r="N1739" s="25" t="str">
        <x:f>IF(J1739&gt;=6,"Sí","No")</x:f>
        <x:v>No</x:v>
      </x:c>
      <x:c r="O1739" s="25" t="str">
        <x:v>Pendiente: asignar con R/sf</x:v>
      </x:c>
    </x:row>
    <x:row r="1740">
      <x:c r="A1740" s="25" t="n">
        <x:v>1739</x:v>
      </x:c>
      <x:c r="B1740" s="26" t="n">
        <x:v>41732.28787037037</x:v>
      </x:c>
      <x:c r="C1740" s="27" t="n">
        <x:f>INT(B1740)</x:f>
        <x:v>41732</x:v>
      </x:c>
      <x:c r="D1740" s="28" t="n">
        <x:f>MOD(B1740,1)</x:f>
        <x:v>0.2878703703681822</x:v>
      </x:c>
      <x:c r="E1740" s="29" t="n">
        <x:f>YEAR(B1740)</x:f>
        <x:v>2014</x:v>
      </x:c>
      <x:c r="F1740" s="29" t="n">
        <x:f>MONTH(B1740)</x:f>
        <x:v>4</x:v>
      </x:c>
      <x:c r="G1740" s="30" t="n">
        <x:v>-20.62</x:v>
      </x:c>
      <x:c r="H1740" s="30" t="n">
        <x:v>-70.64</x:v>
      </x:c>
      <x:c r="I1740" s="29" t="n">
        <x:v>30</x:v>
      </x:c>
      <x:c r="J1740" s="31" t="n">
        <x:v>4.7</x:v>
      </x:c>
      <x:c r="K1740" s="25" t="str">
        <x:f>IF(J1740&gt;=7,"Muy fuerte (&gt;=7)",IF(J1740&gt;=6,"Fuerte (6-6.9)",IF(J1740&gt;=5,"Moderado alto (5-5.9)",IF(J1740&gt;=4,"Moderado (4-4.9)","Menor a 4"))))</x:f>
        <x:v>Moderado (4-4.9)</x:v>
      </x:c>
      <x:c r="L1740" s="25" t="str">
        <x:f>IF(I1740&lt;70,"Superficial (&lt;70 km)",IF(I1740&lt;=300,"Intermedio (70-300 km)","Profundo (&gt;300 km)"))</x:f>
        <x:v>Superficial (&lt;70 km)</x:v>
      </x:c>
      <x:c r="M1740" s="25" t="str">
        <x:f>IF(J1740&gt;=5,"Sí","No")</x:f>
        <x:v>No</x:v>
      </x:c>
      <x:c r="N1740" s="25" t="str">
        <x:f>IF(J1740&gt;=6,"Sí","No")</x:f>
        <x:v>No</x:v>
      </x:c>
      <x:c r="O1740" s="25" t="str">
        <x:v>Pendiente: asignar con R/sf</x:v>
      </x:c>
    </x:row>
    <x:row r="1741">
      <x:c r="A1741" s="25" t="n">
        <x:v>1740</x:v>
      </x:c>
      <x:c r="B1741" s="26" t="n">
        <x:v>41732.391238425924</x:v>
      </x:c>
      <x:c r="C1741" s="27" t="n">
        <x:f>INT(B1741)</x:f>
        <x:v>41732</x:v>
      </x:c>
      <x:c r="D1741" s="28" t="n">
        <x:f>MOD(B1741,1)</x:f>
        <x:v>0.3912384259238024</x:v>
      </x:c>
      <x:c r="E1741" s="29" t="n">
        <x:f>YEAR(B1741)</x:f>
        <x:v>2014</x:v>
      </x:c>
      <x:c r="F1741" s="29" t="n">
        <x:f>MONTH(B1741)</x:f>
        <x:v>4</x:v>
      </x:c>
      <x:c r="G1741" s="30" t="n">
        <x:v>-20.59</x:v>
      </x:c>
      <x:c r="H1741" s="30" t="n">
        <x:v>-70.77</x:v>
      </x:c>
      <x:c r="I1741" s="29" t="n">
        <x:v>16</x:v>
      </x:c>
      <x:c r="J1741" s="31" t="n">
        <x:v>5.2</x:v>
      </x:c>
      <x:c r="K1741" s="25" t="str">
        <x:f>IF(J1741&gt;=7,"Muy fuerte (&gt;=7)",IF(J1741&gt;=6,"Fuerte (6-6.9)",IF(J1741&gt;=5,"Moderado alto (5-5.9)",IF(J1741&gt;=4,"Moderado (4-4.9)","Menor a 4"))))</x:f>
        <x:v>Moderado alto (5-5.9)</x:v>
      </x:c>
      <x:c r="L1741" s="25" t="str">
        <x:f>IF(I1741&lt;70,"Superficial (&lt;70 km)",IF(I1741&lt;=300,"Intermedio (70-300 km)","Profundo (&gt;300 km)"))</x:f>
        <x:v>Superficial (&lt;70 km)</x:v>
      </x:c>
      <x:c r="M1741" s="25" t="str">
        <x:f>IF(J1741&gt;=5,"Sí","No")</x:f>
        <x:v>Sí</x:v>
      </x:c>
      <x:c r="N1741" s="25" t="str">
        <x:f>IF(J1741&gt;=6,"Sí","No")</x:f>
        <x:v>No</x:v>
      </x:c>
      <x:c r="O1741" s="25" t="str">
        <x:v>Pendiente: asignar con R/sf</x:v>
      </x:c>
    </x:row>
    <x:row r="1742">
      <x:c r="A1742" s="25" t="n">
        <x:v>1741</x:v>
      </x:c>
      <x:c r="B1742" s="26" t="n">
        <x:v>41732.12231481481</x:v>
      </x:c>
      <x:c r="C1742" s="27" t="n">
        <x:f>INT(B1742)</x:f>
        <x:v>41732</x:v>
      </x:c>
      <x:c r="D1742" s="28" t="n">
        <x:f>MOD(B1742,1)</x:f>
        <x:v>0.122314814812853</x:v>
      </x:c>
      <x:c r="E1742" s="29" t="n">
        <x:f>YEAR(B1742)</x:f>
        <x:v>2014</x:v>
      </x:c>
      <x:c r="F1742" s="29" t="n">
        <x:f>MONTH(B1742)</x:f>
        <x:v>4</x:v>
      </x:c>
      <x:c r="G1742" s="30" t="n">
        <x:v>-20.74</x:v>
      </x:c>
      <x:c r="H1742" s="30" t="n">
        <x:v>-70.54</x:v>
      </x:c>
      <x:c r="I1742" s="29" t="n">
        <x:v>13</x:v>
      </x:c>
      <x:c r="J1742" s="31" t="n">
        <x:v>5.3</x:v>
      </x:c>
      <x:c r="K1742" s="25" t="str">
        <x:f>IF(J1742&gt;=7,"Muy fuerte (&gt;=7)",IF(J1742&gt;=6,"Fuerte (6-6.9)",IF(J1742&gt;=5,"Moderado alto (5-5.9)",IF(J1742&gt;=4,"Moderado (4-4.9)","Menor a 4"))))</x:f>
        <x:v>Moderado alto (5-5.9)</x:v>
      </x:c>
      <x:c r="L1742" s="25" t="str">
        <x:f>IF(I1742&lt;70,"Superficial (&lt;70 km)",IF(I1742&lt;=300,"Intermedio (70-300 km)","Profundo (&gt;300 km)"))</x:f>
        <x:v>Superficial (&lt;70 km)</x:v>
      </x:c>
      <x:c r="M1742" s="25" t="str">
        <x:f>IF(J1742&gt;=5,"Sí","No")</x:f>
        <x:v>Sí</x:v>
      </x:c>
      <x:c r="N1742" s="25" t="str">
        <x:f>IF(J1742&gt;=6,"Sí","No")</x:f>
        <x:v>No</x:v>
      </x:c>
      <x:c r="O1742" s="25" t="str">
        <x:v>Pendiente: asignar con R/sf</x:v>
      </x:c>
    </x:row>
    <x:row r="1743">
      <x:c r="A1743" s="25" t="n">
        <x:v>1742</x:v>
      </x:c>
      <x:c r="B1743" s="26" t="n">
        <x:v>41738.197847222225</x:v>
      </x:c>
      <x:c r="C1743" s="27" t="n">
        <x:f>INT(B1743)</x:f>
        <x:v>41738</x:v>
      </x:c>
      <x:c r="D1743" s="28" t="n">
        <x:f>MOD(B1743,1)</x:f>
        <x:v>0.1978472222253913</x:v>
      </x:c>
      <x:c r="E1743" s="29" t="n">
        <x:f>YEAR(B1743)</x:f>
        <x:v>2014</x:v>
      </x:c>
      <x:c r="F1743" s="29" t="n">
        <x:f>MONTH(B1743)</x:f>
        <x:v>4</x:v>
      </x:c>
      <x:c r="G1743" s="30" t="n">
        <x:v>-20.4</x:v>
      </x:c>
      <x:c r="H1743" s="30" t="n">
        <x:v>-70.48</x:v>
      </x:c>
      <x:c r="I1743" s="29" t="n">
        <x:v>32</x:v>
      </x:c>
      <x:c r="J1743" s="31" t="n">
        <x:v>4.3</x:v>
      </x:c>
      <x:c r="K1743" s="25" t="str">
        <x:f>IF(J1743&gt;=7,"Muy fuerte (&gt;=7)",IF(J1743&gt;=6,"Fuerte (6-6.9)",IF(J1743&gt;=5,"Moderado alto (5-5.9)",IF(J1743&gt;=4,"Moderado (4-4.9)","Menor a 4"))))</x:f>
        <x:v>Moderado (4-4.9)</x:v>
      </x:c>
      <x:c r="L1743" s="25" t="str">
        <x:f>IF(I1743&lt;70,"Superficial (&lt;70 km)",IF(I1743&lt;=300,"Intermedio (70-300 km)","Profundo (&gt;300 km)"))</x:f>
        <x:v>Superficial (&lt;70 km)</x:v>
      </x:c>
      <x:c r="M1743" s="25" t="str">
        <x:f>IF(J1743&gt;=5,"Sí","No")</x:f>
        <x:v>No</x:v>
      </x:c>
      <x:c r="N1743" s="25" t="str">
        <x:f>IF(J1743&gt;=6,"Sí","No")</x:f>
        <x:v>No</x:v>
      </x:c>
      <x:c r="O1743" s="25" t="str">
        <x:v>Pendiente: asignar con R/sf</x:v>
      </x:c>
    </x:row>
    <x:row r="1744">
      <x:c r="A1744" s="25" t="n">
        <x:v>1743</x:v>
      </x:c>
      <x:c r="B1744" s="26" t="n">
        <x:v>41742.322280092594</x:v>
      </x:c>
      <x:c r="C1744" s="27" t="n">
        <x:f>INT(B1744)</x:f>
        <x:v>41742</x:v>
      </x:c>
      <x:c r="D1744" s="28" t="n">
        <x:f>MOD(B1744,1)</x:f>
        <x:v>0.3222800925941556</x:v>
      </x:c>
      <x:c r="E1744" s="29" t="n">
        <x:f>YEAR(B1744)</x:f>
        <x:v>2014</x:v>
      </x:c>
      <x:c r="F1744" s="29" t="n">
        <x:f>MONTH(B1744)</x:f>
        <x:v>4</x:v>
      </x:c>
      <x:c r="G1744" s="30" t="n">
        <x:v>-21.16</x:v>
      </x:c>
      <x:c r="H1744" s="30" t="n">
        <x:v>-68.62</x:v>
      </x:c>
      <x:c r="I1744" s="29" t="n">
        <x:v>124</x:v>
      </x:c>
      <x:c r="J1744" s="31" t="n">
        <x:v>4.5</x:v>
      </x:c>
      <x:c r="K1744" s="25" t="str">
        <x:f>IF(J1744&gt;=7,"Muy fuerte (&gt;=7)",IF(J1744&gt;=6,"Fuerte (6-6.9)",IF(J1744&gt;=5,"Moderado alto (5-5.9)",IF(J1744&gt;=4,"Moderado (4-4.9)","Menor a 4"))))</x:f>
        <x:v>Moderado (4-4.9)</x:v>
      </x:c>
      <x:c r="L1744" s="25" t="str">
        <x:f>IF(I1744&lt;70,"Superficial (&lt;70 km)",IF(I1744&lt;=300,"Intermedio (70-300 km)","Profundo (&gt;300 km)"))</x:f>
        <x:v>Intermedio (70-300 km)</x:v>
      </x:c>
      <x:c r="M1744" s="25" t="str">
        <x:f>IF(J1744&gt;=5,"Sí","No")</x:f>
        <x:v>No</x:v>
      </x:c>
      <x:c r="N1744" s="25" t="str">
        <x:f>IF(J1744&gt;=6,"Sí","No")</x:f>
        <x:v>No</x:v>
      </x:c>
      <x:c r="O1744" s="25" t="str">
        <x:v>Pendiente: asignar con R/sf</x:v>
      </x:c>
    </x:row>
    <x:row r="1745">
      <x:c r="A1745" s="25" t="n">
        <x:v>1744</x:v>
      </x:c>
      <x:c r="B1745" s="26" t="n">
        <x:v>41739.492118055554</x:v>
      </x:c>
      <x:c r="C1745" s="27" t="n">
        <x:f>INT(B1745)</x:f>
        <x:v>41739</x:v>
      </x:c>
      <x:c r="D1745" s="28" t="n">
        <x:f>MOD(B1745,1)</x:f>
        <x:v>0.492118055553874</x:v>
      </x:c>
      <x:c r="E1745" s="29" t="n">
        <x:f>YEAR(B1745)</x:f>
        <x:v>2014</x:v>
      </x:c>
      <x:c r="F1745" s="29" t="n">
        <x:f>MONTH(B1745)</x:f>
        <x:v>4</x:v>
      </x:c>
      <x:c r="G1745" s="30" t="n">
        <x:v>-20.23</x:v>
      </x:c>
      <x:c r="H1745" s="30" t="n">
        <x:v>-70.91</x:v>
      </x:c>
      <x:c r="I1745" s="29" t="n">
        <x:v>37</x:v>
      </x:c>
      <x:c r="J1745" s="31" t="n">
        <x:v>4.3</x:v>
      </x:c>
      <x:c r="K1745" s="25" t="str">
        <x:f>IF(J1745&gt;=7,"Muy fuerte (&gt;=7)",IF(J1745&gt;=6,"Fuerte (6-6.9)",IF(J1745&gt;=5,"Moderado alto (5-5.9)",IF(J1745&gt;=4,"Moderado (4-4.9)","Menor a 4"))))</x:f>
        <x:v>Moderado (4-4.9)</x:v>
      </x:c>
      <x:c r="L1745" s="25" t="str">
        <x:f>IF(I1745&lt;70,"Superficial (&lt;70 km)",IF(I1745&lt;=300,"Intermedio (70-300 km)","Profundo (&gt;300 km)"))</x:f>
        <x:v>Superficial (&lt;70 km)</x:v>
      </x:c>
      <x:c r="M1745" s="25" t="str">
        <x:f>IF(J1745&gt;=5,"Sí","No")</x:f>
        <x:v>No</x:v>
      </x:c>
      <x:c r="N1745" s="25" t="str">
        <x:f>IF(J1745&gt;=6,"Sí","No")</x:f>
        <x:v>No</x:v>
      </x:c>
      <x:c r="O1745" s="25" t="str">
        <x:v>Pendiente: asignar con R/sf</x:v>
      </x:c>
    </x:row>
    <x:row r="1746">
      <x:c r="A1746" s="25" t="n">
        <x:v>1745</x:v>
      </x:c>
      <x:c r="B1746" s="26" t="n">
        <x:v>41732.85324074074</x:v>
      </x:c>
      <x:c r="C1746" s="27" t="n">
        <x:f>INT(B1746)</x:f>
        <x:v>41732</x:v>
      </x:c>
      <x:c r="D1746" s="28" t="n">
        <x:f>MOD(B1746,1)</x:f>
        <x:v>0.8532407407401479</x:v>
      </x:c>
      <x:c r="E1746" s="29" t="n">
        <x:f>YEAR(B1746)</x:f>
        <x:v>2014</x:v>
      </x:c>
      <x:c r="F1746" s="29" t="n">
        <x:f>MONTH(B1746)</x:f>
        <x:v>4</x:v>
      </x:c>
      <x:c r="G1746" s="30" t="n">
        <x:v>-20.07</x:v>
      </x:c>
      <x:c r="H1746" s="30" t="n">
        <x:v>-70.55</x:v>
      </x:c>
      <x:c r="I1746" s="29" t="n">
        <x:v>34</x:v>
      </x:c>
      <x:c r="J1746" s="31" t="n">
        <x:v>4.2</x:v>
      </x:c>
      <x:c r="K1746" s="25" t="str">
        <x:f>IF(J1746&gt;=7,"Muy fuerte (&gt;=7)",IF(J1746&gt;=6,"Fuerte (6-6.9)",IF(J1746&gt;=5,"Moderado alto (5-5.9)",IF(J1746&gt;=4,"Moderado (4-4.9)","Menor a 4"))))</x:f>
        <x:v>Moderado (4-4.9)</x:v>
      </x:c>
      <x:c r="L1746" s="25" t="str">
        <x:f>IF(I1746&lt;70,"Superficial (&lt;70 km)",IF(I1746&lt;=300,"Intermedio (70-300 km)","Profundo (&gt;300 km)"))</x:f>
        <x:v>Superficial (&lt;70 km)</x:v>
      </x:c>
      <x:c r="M1746" s="25" t="str">
        <x:f>IF(J1746&gt;=5,"Sí","No")</x:f>
        <x:v>No</x:v>
      </x:c>
      <x:c r="N1746" s="25" t="str">
        <x:f>IF(J1746&gt;=6,"Sí","No")</x:f>
        <x:v>No</x:v>
      </x:c>
      <x:c r="O1746" s="25" t="str">
        <x:v>Pendiente: asignar con R/sf</x:v>
      </x:c>
    </x:row>
    <x:row r="1747">
      <x:c r="A1747" s="25" t="n">
        <x:v>1746</x:v>
      </x:c>
      <x:c r="B1747" s="26" t="n">
        <x:v>41740.36094907407</x:v>
      </x:c>
      <x:c r="C1747" s="27" t="n">
        <x:f>INT(B1747)</x:f>
        <x:v>41740</x:v>
      </x:c>
      <x:c r="D1747" s="28" t="n">
        <x:f>MOD(B1747,1)</x:f>
        <x:v>0.3609490740709589</x:v>
      </x:c>
      <x:c r="E1747" s="29" t="n">
        <x:f>YEAR(B1747)</x:f>
        <x:v>2014</x:v>
      </x:c>
      <x:c r="F1747" s="29" t="n">
        <x:f>MONTH(B1747)</x:f>
        <x:v>4</x:v>
      </x:c>
      <x:c r="G1747" s="30" t="n">
        <x:v>-20.55</x:v>
      </x:c>
      <x:c r="H1747" s="30" t="n">
        <x:v>-70.81</x:v>
      </x:c>
      <x:c r="I1747" s="29" t="n">
        <x:v>38</x:v>
      </x:c>
      <x:c r="J1747" s="31" t="n">
        <x:v>4.6</x:v>
      </x:c>
      <x:c r="K1747" s="25" t="str">
        <x:f>IF(J1747&gt;=7,"Muy fuerte (&gt;=7)",IF(J1747&gt;=6,"Fuerte (6-6.9)",IF(J1747&gt;=5,"Moderado alto (5-5.9)",IF(J1747&gt;=4,"Moderado (4-4.9)","Menor a 4"))))</x:f>
        <x:v>Moderado (4-4.9)</x:v>
      </x:c>
      <x:c r="L1747" s="25" t="str">
        <x:f>IF(I1747&lt;70,"Superficial (&lt;70 km)",IF(I1747&lt;=300,"Intermedio (70-300 km)","Profundo (&gt;300 km)"))</x:f>
        <x:v>Superficial (&lt;70 km)</x:v>
      </x:c>
      <x:c r="M1747" s="25" t="str">
        <x:f>IF(J1747&gt;=5,"Sí","No")</x:f>
        <x:v>No</x:v>
      </x:c>
      <x:c r="N1747" s="25" t="str">
        <x:f>IF(J1747&gt;=6,"Sí","No")</x:f>
        <x:v>No</x:v>
      </x:c>
      <x:c r="O1747" s="25" t="str">
        <x:v>Pendiente: asignar con R/sf</x:v>
      </x:c>
    </x:row>
    <x:row r="1748">
      <x:c r="A1748" s="25" t="n">
        <x:v>1747</x:v>
      </x:c>
      <x:c r="B1748" s="26" t="n">
        <x:v>41789.64753472222</x:v>
      </x:c>
      <x:c r="C1748" s="27" t="n">
        <x:f>INT(B1748)</x:f>
        <x:v>41789</x:v>
      </x:c>
      <x:c r="D1748" s="28" t="n">
        <x:f>MOD(B1748,1)</x:f>
        <x:v>0.6475347222221899</x:v>
      </x:c>
      <x:c r="E1748" s="29" t="n">
        <x:f>YEAR(B1748)</x:f>
        <x:v>2014</x:v>
      </x:c>
      <x:c r="F1748" s="29" t="n">
        <x:f>MONTH(B1748)</x:f>
        <x:v>5</x:v>
      </x:c>
      <x:c r="G1748" s="30" t="n">
        <x:v>-21.3</x:v>
      </x:c>
      <x:c r="H1748" s="30" t="n">
        <x:v>-70</x:v>
      </x:c>
      <x:c r="I1748" s="29" t="n">
        <x:v>60</x:v>
      </x:c>
      <x:c r="J1748" s="31" t="n">
        <x:v>5.5</x:v>
      </x:c>
      <x:c r="K1748" s="25" t="str">
        <x:f>IF(J1748&gt;=7,"Muy fuerte (&gt;=7)",IF(J1748&gt;=6,"Fuerte (6-6.9)",IF(J1748&gt;=5,"Moderado alto (5-5.9)",IF(J1748&gt;=4,"Moderado (4-4.9)","Menor a 4"))))</x:f>
        <x:v>Moderado alto (5-5.9)</x:v>
      </x:c>
      <x:c r="L1748" s="25" t="str">
        <x:f>IF(I1748&lt;70,"Superficial (&lt;70 km)",IF(I1748&lt;=300,"Intermedio (70-300 km)","Profundo (&gt;300 km)"))</x:f>
        <x:v>Superficial (&lt;70 km)</x:v>
      </x:c>
      <x:c r="M1748" s="25" t="str">
        <x:f>IF(J1748&gt;=5,"Sí","No")</x:f>
        <x:v>Sí</x:v>
      </x:c>
      <x:c r="N1748" s="25" t="str">
        <x:f>IF(J1748&gt;=6,"Sí","No")</x:f>
        <x:v>No</x:v>
      </x:c>
      <x:c r="O1748" s="25" t="str">
        <x:v>Pendiente: asignar con R/sf</x:v>
      </x:c>
    </x:row>
    <x:row r="1749">
      <x:c r="A1749" s="25" t="n">
        <x:v>1748</x:v>
      </x:c>
      <x:c r="B1749" s="26" t="n">
        <x:v>41784.622037037036</x:v>
      </x:c>
      <x:c r="C1749" s="27" t="n">
        <x:f>INT(B1749)</x:f>
        <x:v>41784</x:v>
      </x:c>
      <x:c r="D1749" s="28" t="n">
        <x:f>MOD(B1749,1)</x:f>
        <x:v>0.622037037035625</x:v>
      </x:c>
      <x:c r="E1749" s="29" t="n">
        <x:f>YEAR(B1749)</x:f>
        <x:v>2014</x:v>
      </x:c>
      <x:c r="F1749" s="29" t="n">
        <x:f>MONTH(B1749)</x:f>
        <x:v>5</x:v>
      </x:c>
      <x:c r="G1749" s="30" t="n">
        <x:v>-23.41</x:v>
      </x:c>
      <x:c r="H1749" s="30" t="n">
        <x:v>-68.88</x:v>
      </x:c>
      <x:c r="I1749" s="29" t="n">
        <x:v>109</x:v>
      </x:c>
      <x:c r="J1749" s="31" t="n">
        <x:v>4</x:v>
      </x:c>
      <x:c r="K1749" s="25" t="str">
        <x:f>IF(J1749&gt;=7,"Muy fuerte (&gt;=7)",IF(J1749&gt;=6,"Fuerte (6-6.9)",IF(J1749&gt;=5,"Moderado alto (5-5.9)",IF(J1749&gt;=4,"Moderado (4-4.9)","Menor a 4"))))</x:f>
        <x:v>Moderado (4-4.9)</x:v>
      </x:c>
      <x:c r="L1749" s="25" t="str">
        <x:f>IF(I1749&lt;70,"Superficial (&lt;70 km)",IF(I1749&lt;=300,"Intermedio (70-300 km)","Profundo (&gt;300 km)"))</x:f>
        <x:v>Intermedio (70-300 km)</x:v>
      </x:c>
      <x:c r="M1749" s="25" t="str">
        <x:f>IF(J1749&gt;=5,"Sí","No")</x:f>
        <x:v>No</x:v>
      </x:c>
      <x:c r="N1749" s="25" t="str">
        <x:f>IF(J1749&gt;=6,"Sí","No")</x:f>
        <x:v>No</x:v>
      </x:c>
      <x:c r="O1749" s="25" t="str">
        <x:v>Pendiente: asignar con R/sf</x:v>
      </x:c>
    </x:row>
    <x:row r="1750">
      <x:c r="A1750" s="25" t="n">
        <x:v>1749</x:v>
      </x:c>
      <x:c r="B1750" s="26" t="n">
        <x:v>41744.67859953704</x:v>
      </x:c>
      <x:c r="C1750" s="27" t="n">
        <x:f>INT(B1750)</x:f>
        <x:v>41744</x:v>
      </x:c>
      <x:c r="D1750" s="28" t="n">
        <x:f>MOD(B1750,1)</x:f>
        <x:v>0.6785995370373712</x:v>
      </x:c>
      <x:c r="E1750" s="29" t="n">
        <x:f>YEAR(B1750)</x:f>
        <x:v>2014</x:v>
      </x:c>
      <x:c r="F1750" s="29" t="n">
        <x:f>MONTH(B1750)</x:f>
        <x:v>4</x:v>
      </x:c>
      <x:c r="G1750" s="30" t="n">
        <x:v>-20.23</x:v>
      </x:c>
      <x:c r="H1750" s="30" t="n">
        <x:v>-70.85</x:v>
      </x:c>
      <x:c r="I1750" s="29" t="n">
        <x:v>22</x:v>
      </x:c>
      <x:c r="J1750" s="31" t="n">
        <x:v>4.3</x:v>
      </x:c>
      <x:c r="K1750" s="25" t="str">
        <x:f>IF(J1750&gt;=7,"Muy fuerte (&gt;=7)",IF(J1750&gt;=6,"Fuerte (6-6.9)",IF(J1750&gt;=5,"Moderado alto (5-5.9)",IF(J1750&gt;=4,"Moderado (4-4.9)","Menor a 4"))))</x:f>
        <x:v>Moderado (4-4.9)</x:v>
      </x:c>
      <x:c r="L1750" s="25" t="str">
        <x:f>IF(I1750&lt;70,"Superficial (&lt;70 km)",IF(I1750&lt;=300,"Intermedio (70-300 km)","Profundo (&gt;300 km)"))</x:f>
        <x:v>Superficial (&lt;70 km)</x:v>
      </x:c>
      <x:c r="M1750" s="25" t="str">
        <x:f>IF(J1750&gt;=5,"Sí","No")</x:f>
        <x:v>No</x:v>
      </x:c>
      <x:c r="N1750" s="25" t="str">
        <x:f>IF(J1750&gt;=6,"Sí","No")</x:f>
        <x:v>No</x:v>
      </x:c>
      <x:c r="O1750" s="25" t="str">
        <x:v>Pendiente: asignar con R/sf</x:v>
      </x:c>
    </x:row>
    <x:row r="1751">
      <x:c r="A1751" s="25" t="n">
        <x:v>1750</x:v>
      </x:c>
      <x:c r="B1751" s="26" t="n">
        <x:v>41736.14244212963</x:v>
      </x:c>
      <x:c r="C1751" s="27" t="n">
        <x:f>INT(B1751)</x:f>
        <x:v>41736</x:v>
      </x:c>
      <x:c r="D1751" s="28" t="n">
        <x:f>MOD(B1751,1)</x:f>
        <x:v>0.14244212963239988</x:v>
      </x:c>
      <x:c r="E1751" s="29" t="n">
        <x:f>YEAR(B1751)</x:f>
        <x:v>2014</x:v>
      </x:c>
      <x:c r="F1751" s="29" t="n">
        <x:f>MONTH(B1751)</x:f>
        <x:v>4</x:v>
      </x:c>
      <x:c r="G1751" s="30" t="n">
        <x:v>-20.04</x:v>
      </x:c>
      <x:c r="H1751" s="30" t="n">
        <x:v>-69.29</x:v>
      </x:c>
      <x:c r="I1751" s="29" t="n">
        <x:v>102</x:v>
      </x:c>
      <x:c r="J1751" s="31" t="n">
        <x:v>4.3</x:v>
      </x:c>
      <x:c r="K1751" s="25" t="str">
        <x:f>IF(J1751&gt;=7,"Muy fuerte (&gt;=7)",IF(J1751&gt;=6,"Fuerte (6-6.9)",IF(J1751&gt;=5,"Moderado alto (5-5.9)",IF(J1751&gt;=4,"Moderado (4-4.9)","Menor a 4"))))</x:f>
        <x:v>Moderado (4-4.9)</x:v>
      </x:c>
      <x:c r="L1751" s="25" t="str">
        <x:f>IF(I1751&lt;70,"Superficial (&lt;70 km)",IF(I1751&lt;=300,"Intermedio (70-300 km)","Profundo (&gt;300 km)"))</x:f>
        <x:v>Intermedio (70-300 km)</x:v>
      </x:c>
      <x:c r="M1751" s="25" t="str">
        <x:f>IF(J1751&gt;=5,"Sí","No")</x:f>
        <x:v>No</x:v>
      </x:c>
      <x:c r="N1751" s="25" t="str">
        <x:f>IF(J1751&gt;=6,"Sí","No")</x:f>
        <x:v>No</x:v>
      </x:c>
      <x:c r="O1751" s="25" t="str">
        <x:v>Pendiente: asignar con R/sf</x:v>
      </x:c>
    </x:row>
    <x:row r="1752">
      <x:c r="A1752" s="25" t="n">
        <x:v>1751</x:v>
      </x:c>
      <x:c r="B1752" s="26" t="n">
        <x:v>41733.59751157407</x:v>
      </x:c>
      <x:c r="C1752" s="27" t="n">
        <x:f>INT(B1752)</x:f>
        <x:v>41733</x:v>
      </x:c>
      <x:c r="D1752" s="28" t="n">
        <x:f>MOD(B1752,1)</x:f>
        <x:v>0.5975115740729962</x:v>
      </x:c>
      <x:c r="E1752" s="29" t="n">
        <x:f>YEAR(B1752)</x:f>
        <x:v>2014</x:v>
      </x:c>
      <x:c r="F1752" s="29" t="n">
        <x:f>MONTH(B1752)</x:f>
        <x:v>4</x:v>
      </x:c>
      <x:c r="G1752" s="30" t="n">
        <x:v>-20.37</x:v>
      </x:c>
      <x:c r="H1752" s="30" t="n">
        <x:v>-69.86</x:v>
      </x:c>
      <x:c r="I1752" s="29" t="n">
        <x:v>50</x:v>
      </x:c>
      <x:c r="J1752" s="31" t="n">
        <x:v>4</x:v>
      </x:c>
      <x:c r="K1752" s="25" t="str">
        <x:f>IF(J1752&gt;=7,"Muy fuerte (&gt;=7)",IF(J1752&gt;=6,"Fuerte (6-6.9)",IF(J1752&gt;=5,"Moderado alto (5-5.9)",IF(J1752&gt;=4,"Moderado (4-4.9)","Menor a 4"))))</x:f>
        <x:v>Moderado (4-4.9)</x:v>
      </x:c>
      <x:c r="L1752" s="25" t="str">
        <x:f>IF(I1752&lt;70,"Superficial (&lt;70 km)",IF(I1752&lt;=300,"Intermedio (70-300 km)","Profundo (&gt;300 km)"))</x:f>
        <x:v>Superficial (&lt;70 km)</x:v>
      </x:c>
      <x:c r="M1752" s="25" t="str">
        <x:f>IF(J1752&gt;=5,"Sí","No")</x:f>
        <x:v>No</x:v>
      </x:c>
      <x:c r="N1752" s="25" t="str">
        <x:f>IF(J1752&gt;=6,"Sí","No")</x:f>
        <x:v>No</x:v>
      </x:c>
      <x:c r="O1752" s="25" t="str">
        <x:v>Pendiente: asignar con R/sf</x:v>
      </x:c>
    </x:row>
    <x:row r="1753">
      <x:c r="A1753" s="25" t="n">
        <x:v>1752</x:v>
      </x:c>
      <x:c r="B1753" s="26" t="n">
        <x:v>41736.58592592592</x:v>
      </x:c>
      <x:c r="C1753" s="27" t="n">
        <x:f>INT(B1753)</x:f>
        <x:v>41736</x:v>
      </x:c>
      <x:c r="D1753" s="28" t="n">
        <x:f>MOD(B1753,1)</x:f>
        <x:v>0.5859259259232203</x:v>
      </x:c>
      <x:c r="E1753" s="29" t="n">
        <x:f>YEAR(B1753)</x:f>
        <x:v>2014</x:v>
      </x:c>
      <x:c r="F1753" s="29" t="n">
        <x:f>MONTH(B1753)</x:f>
        <x:v>4</x:v>
      </x:c>
      <x:c r="G1753" s="30" t="n">
        <x:v>-20.14</x:v>
      </x:c>
      <x:c r="H1753" s="30" t="n">
        <x:v>-70.9</x:v>
      </x:c>
      <x:c r="I1753" s="29" t="n">
        <x:v>39</x:v>
      </x:c>
      <x:c r="J1753" s="31" t="n">
        <x:v>5</x:v>
      </x:c>
      <x:c r="K1753" s="25" t="str">
        <x:f>IF(J1753&gt;=7,"Muy fuerte (&gt;=7)",IF(J1753&gt;=6,"Fuerte (6-6.9)",IF(J1753&gt;=5,"Moderado alto (5-5.9)",IF(J1753&gt;=4,"Moderado (4-4.9)","Menor a 4"))))</x:f>
        <x:v>Moderado alto (5-5.9)</x:v>
      </x:c>
      <x:c r="L1753" s="25" t="str">
        <x:f>IF(I1753&lt;70,"Superficial (&lt;70 km)",IF(I1753&lt;=300,"Intermedio (70-300 km)","Profundo (&gt;300 km)"))</x:f>
        <x:v>Superficial (&lt;70 km)</x:v>
      </x:c>
      <x:c r="M1753" s="25" t="str">
        <x:f>IF(J1753&gt;=5,"Sí","No")</x:f>
        <x:v>Sí</x:v>
      </x:c>
      <x:c r="N1753" s="25" t="str">
        <x:f>IF(J1753&gt;=6,"Sí","No")</x:f>
        <x:v>No</x:v>
      </x:c>
      <x:c r="O1753" s="25" t="str">
        <x:v>Pendiente: asignar con R/sf</x:v>
      </x:c>
    </x:row>
    <x:row r="1754">
      <x:c r="A1754" s="25" t="n">
        <x:v>1753</x:v>
      </x:c>
      <x:c r="B1754" s="26" t="n">
        <x:v>41965.285358796296</x:v>
      </x:c>
      <x:c r="C1754" s="27" t="n">
        <x:f>INT(B1754)</x:f>
        <x:v>41965</x:v>
      </x:c>
      <x:c r="D1754" s="28" t="n">
        <x:f>MOD(B1754,1)</x:f>
        <x:v>0.2853587962963502</x:v>
      </x:c>
      <x:c r="E1754" s="29" t="n">
        <x:f>YEAR(B1754)</x:f>
        <x:v>2014</x:v>
      </x:c>
      <x:c r="F1754" s="29" t="n">
        <x:f>MONTH(B1754)</x:f>
        <x:v>11</x:v>
      </x:c>
      <x:c r="G1754" s="30" t="n">
        <x:v>-20.03</x:v>
      </x:c>
      <x:c r="H1754" s="30" t="n">
        <x:v>-71.12</x:v>
      </x:c>
      <x:c r="I1754" s="29" t="n">
        <x:v>16</x:v>
      </x:c>
      <x:c r="J1754" s="31" t="n">
        <x:v>4.9</x:v>
      </x:c>
      <x:c r="K1754" s="25" t="str">
        <x:f>IF(J1754&gt;=7,"Muy fuerte (&gt;=7)",IF(J1754&gt;=6,"Fuerte (6-6.9)",IF(J1754&gt;=5,"Moderado alto (5-5.9)",IF(J1754&gt;=4,"Moderado (4-4.9)","Menor a 4"))))</x:f>
        <x:v>Moderado (4-4.9)</x:v>
      </x:c>
      <x:c r="L1754" s="25" t="str">
        <x:f>IF(I1754&lt;70,"Superficial (&lt;70 km)",IF(I1754&lt;=300,"Intermedio (70-300 km)","Profundo (&gt;300 km)"))</x:f>
        <x:v>Superficial (&lt;70 km)</x:v>
      </x:c>
      <x:c r="M1754" s="25" t="str">
        <x:f>IF(J1754&gt;=5,"Sí","No")</x:f>
        <x:v>No</x:v>
      </x:c>
      <x:c r="N1754" s="25" t="str">
        <x:f>IF(J1754&gt;=6,"Sí","No")</x:f>
        <x:v>No</x:v>
      </x:c>
      <x:c r="O1754" s="25" t="str">
        <x:v>Pendiente: asignar con R/sf</x:v>
      </x:c>
    </x:row>
    <x:row r="1755">
      <x:c r="A1755" s="25" t="n">
        <x:v>1754</x:v>
      </x:c>
      <x:c r="B1755" s="26" t="n">
        <x:v>41927.20648148148</x:v>
      </x:c>
      <x:c r="C1755" s="27" t="n">
        <x:f>INT(B1755)</x:f>
        <x:v>41927</x:v>
      </x:c>
      <x:c r="D1755" s="28" t="n">
        <x:f>MOD(B1755,1)</x:f>
        <x:v>0.20648148148029577</x:v>
      </x:c>
      <x:c r="E1755" s="29" t="n">
        <x:f>YEAR(B1755)</x:f>
        <x:v>2014</x:v>
      </x:c>
      <x:c r="F1755" s="29" t="n">
        <x:f>MONTH(B1755)</x:f>
        <x:v>10</x:v>
      </x:c>
      <x:c r="G1755" s="30" t="n">
        <x:v>-25</x:v>
      </x:c>
      <x:c r="H1755" s="30" t="n">
        <x:v>-69.95</x:v>
      </x:c>
      <x:c r="I1755" s="29" t="n">
        <x:v>64</x:v>
      </x:c>
      <x:c r="J1755" s="31" t="n">
        <x:v>4.4</x:v>
      </x:c>
      <x:c r="K1755" s="25" t="str">
        <x:f>IF(J1755&gt;=7,"Muy fuerte (&gt;=7)",IF(J1755&gt;=6,"Fuerte (6-6.9)",IF(J1755&gt;=5,"Moderado alto (5-5.9)",IF(J1755&gt;=4,"Moderado (4-4.9)","Menor a 4"))))</x:f>
        <x:v>Moderado (4-4.9)</x:v>
      </x:c>
      <x:c r="L1755" s="25" t="str">
        <x:f>IF(I1755&lt;70,"Superficial (&lt;70 km)",IF(I1755&lt;=300,"Intermedio (70-300 km)","Profundo (&gt;300 km)"))</x:f>
        <x:v>Superficial (&lt;70 km)</x:v>
      </x:c>
      <x:c r="M1755" s="25" t="str">
        <x:f>IF(J1755&gt;=5,"Sí","No")</x:f>
        <x:v>No</x:v>
      </x:c>
      <x:c r="N1755" s="25" t="str">
        <x:f>IF(J1755&gt;=6,"Sí","No")</x:f>
        <x:v>No</x:v>
      </x:c>
      <x:c r="O1755" s="25" t="str">
        <x:v>Pendiente: asignar con R/sf</x:v>
      </x:c>
    </x:row>
    <x:row r="1756">
      <x:c r="A1756" s="25" t="n">
        <x:v>1755</x:v>
      </x:c>
      <x:c r="B1756" s="26" t="n">
        <x:v>41744.673310185186</x:v>
      </x:c>
      <x:c r="C1756" s="27" t="n">
        <x:f>INT(B1756)</x:f>
        <x:v>41744</x:v>
      </x:c>
      <x:c r="D1756" s="28" t="n">
        <x:f>MOD(B1756,1)</x:f>
        <x:v>0.6733101851859828</x:v>
      </x:c>
      <x:c r="E1756" s="29" t="n">
        <x:f>YEAR(B1756)</x:f>
        <x:v>2014</x:v>
      </x:c>
      <x:c r="F1756" s="29" t="n">
        <x:f>MONTH(B1756)</x:f>
        <x:v>4</x:v>
      </x:c>
      <x:c r="G1756" s="30" t="n">
        <x:v>-20.2</x:v>
      </x:c>
      <x:c r="H1756" s="30" t="n">
        <x:v>-70.86</x:v>
      </x:c>
      <x:c r="I1756" s="29" t="n">
        <x:v>40</x:v>
      </x:c>
      <x:c r="J1756" s="31" t="n">
        <x:v>5.3</x:v>
      </x:c>
      <x:c r="K1756" s="25" t="str">
        <x:f>IF(J1756&gt;=7,"Muy fuerte (&gt;=7)",IF(J1756&gt;=6,"Fuerte (6-6.9)",IF(J1756&gt;=5,"Moderado alto (5-5.9)",IF(J1756&gt;=4,"Moderado (4-4.9)","Menor a 4"))))</x:f>
        <x:v>Moderado alto (5-5.9)</x:v>
      </x:c>
      <x:c r="L1756" s="25" t="str">
        <x:f>IF(I1756&lt;70,"Superficial (&lt;70 km)",IF(I1756&lt;=300,"Intermedio (70-300 km)","Profundo (&gt;300 km)"))</x:f>
        <x:v>Superficial (&lt;70 km)</x:v>
      </x:c>
      <x:c r="M1756" s="25" t="str">
        <x:f>IF(J1756&gt;=5,"Sí","No")</x:f>
        <x:v>Sí</x:v>
      </x:c>
      <x:c r="N1756" s="25" t="str">
        <x:f>IF(J1756&gt;=6,"Sí","No")</x:f>
        <x:v>No</x:v>
      </x:c>
      <x:c r="O1756" s="25" t="str">
        <x:v>Pendiente: asignar con R/sf</x:v>
      </x:c>
    </x:row>
    <x:row r="1757">
      <x:c r="A1757" s="25" t="n">
        <x:v>1756</x:v>
      </x:c>
      <x:c r="B1757" s="26" t="n">
        <x:v>41747.99002314815</x:v>
      </x:c>
      <x:c r="C1757" s="27" t="n">
        <x:f>INT(B1757)</x:f>
        <x:v>41747</x:v>
      </x:c>
      <x:c r="D1757" s="28" t="n">
        <x:f>MOD(B1757,1)</x:f>
        <x:v>0.990023148151522</x:v>
      </x:c>
      <x:c r="E1757" s="29" t="n">
        <x:f>YEAR(B1757)</x:f>
        <x:v>2014</x:v>
      </x:c>
      <x:c r="F1757" s="29" t="n">
        <x:f>MONTH(B1757)</x:f>
        <x:v>4</x:v>
      </x:c>
      <x:c r="G1757" s="30" t="n">
        <x:v>-20.66</x:v>
      </x:c>
      <x:c r="H1757" s="30" t="n">
        <x:v>-70.95</x:v>
      </x:c>
      <x:c r="I1757" s="29" t="n">
        <x:v>47</x:v>
      </x:c>
      <x:c r="J1757" s="31" t="n">
        <x:v>4.4</x:v>
      </x:c>
      <x:c r="K1757" s="25" t="str">
        <x:f>IF(J1757&gt;=7,"Muy fuerte (&gt;=7)",IF(J1757&gt;=6,"Fuerte (6-6.9)",IF(J1757&gt;=5,"Moderado alto (5-5.9)",IF(J1757&gt;=4,"Moderado (4-4.9)","Menor a 4"))))</x:f>
        <x:v>Moderado (4-4.9)</x:v>
      </x:c>
      <x:c r="L1757" s="25" t="str">
        <x:f>IF(I1757&lt;70,"Superficial (&lt;70 km)",IF(I1757&lt;=300,"Intermedio (70-300 km)","Profundo (&gt;300 km)"))</x:f>
        <x:v>Superficial (&lt;70 km)</x:v>
      </x:c>
      <x:c r="M1757" s="25" t="str">
        <x:f>IF(J1757&gt;=5,"Sí","No")</x:f>
        <x:v>No</x:v>
      </x:c>
      <x:c r="N1757" s="25" t="str">
        <x:f>IF(J1757&gt;=6,"Sí","No")</x:f>
        <x:v>No</x:v>
      </x:c>
      <x:c r="O1757" s="25" t="str">
        <x:v>Pendiente: asignar con R/sf</x:v>
      </x:c>
    </x:row>
    <x:row r="1758">
      <x:c r="A1758" s="25" t="n">
        <x:v>1757</x:v>
      </x:c>
      <x:c r="B1758" s="26" t="n">
        <x:v>41842.123125</x:v>
      </x:c>
      <x:c r="C1758" s="27" t="n">
        <x:f>INT(B1758)</x:f>
        <x:v>41842</x:v>
      </x:c>
      <x:c r="D1758" s="28" t="n">
        <x:f>MOD(B1758,1)</x:f>
        <x:v>0.12312499999825377</x:v>
      </x:c>
      <x:c r="E1758" s="29" t="n">
        <x:f>YEAR(B1758)</x:f>
        <x:v>2014</x:v>
      </x:c>
      <x:c r="F1758" s="29" t="n">
        <x:f>MONTH(B1758)</x:f>
        <x:v>7</x:v>
      </x:c>
      <x:c r="G1758" s="30" t="n">
        <x:v>-23.28</x:v>
      </x:c>
      <x:c r="H1758" s="30" t="n">
        <x:v>-68.93</x:v>
      </x:c>
      <x:c r="I1758" s="29" t="n">
        <x:v>96</x:v>
      </x:c>
      <x:c r="J1758" s="31" t="n">
        <x:v>4.2</x:v>
      </x:c>
      <x:c r="K1758" s="25" t="str">
        <x:f>IF(J1758&gt;=7,"Muy fuerte (&gt;=7)",IF(J1758&gt;=6,"Fuerte (6-6.9)",IF(J1758&gt;=5,"Moderado alto (5-5.9)",IF(J1758&gt;=4,"Moderado (4-4.9)","Menor a 4"))))</x:f>
        <x:v>Moderado (4-4.9)</x:v>
      </x:c>
      <x:c r="L1758" s="25" t="str">
        <x:f>IF(I1758&lt;70,"Superficial (&lt;70 km)",IF(I1758&lt;=300,"Intermedio (70-300 km)","Profundo (&gt;300 km)"))</x:f>
        <x:v>Intermedio (70-300 km)</x:v>
      </x:c>
      <x:c r="M1758" s="25" t="str">
        <x:f>IF(J1758&gt;=5,"Sí","No")</x:f>
        <x:v>No</x:v>
      </x:c>
      <x:c r="N1758" s="25" t="str">
        <x:f>IF(J1758&gt;=6,"Sí","No")</x:f>
        <x:v>No</x:v>
      </x:c>
      <x:c r="O1758" s="25" t="str">
        <x:v>Pendiente: asignar con R/sf</x:v>
      </x:c>
    </x:row>
    <x:row r="1759">
      <x:c r="A1759" s="25" t="n">
        <x:v>1758</x:v>
      </x:c>
      <x:c r="B1759" s="26" t="n">
        <x:v>41743.930972222224</x:v>
      </x:c>
      <x:c r="C1759" s="27" t="n">
        <x:f>INT(B1759)</x:f>
        <x:v>41743</x:v>
      </x:c>
      <x:c r="D1759" s="28" t="n">
        <x:f>MOD(B1759,1)</x:f>
        <x:v>0.9309722222242272</x:v>
      </x:c>
      <x:c r="E1759" s="29" t="n">
        <x:f>YEAR(B1759)</x:f>
        <x:v>2014</x:v>
      </x:c>
      <x:c r="F1759" s="29" t="n">
        <x:f>MONTH(B1759)</x:f>
        <x:v>4</x:v>
      </x:c>
      <x:c r="G1759" s="30" t="n">
        <x:v>-18.56</x:v>
      </x:c>
      <x:c r="H1759" s="30" t="n">
        <x:v>-70.9</x:v>
      </x:c>
      <x:c r="I1759" s="29" t="n">
        <x:v>44</x:v>
      </x:c>
      <x:c r="J1759" s="31" t="n">
        <x:v>4.6</x:v>
      </x:c>
      <x:c r="K1759" s="25" t="str">
        <x:f>IF(J1759&gt;=7,"Muy fuerte (&gt;=7)",IF(J1759&gt;=6,"Fuerte (6-6.9)",IF(J1759&gt;=5,"Moderado alto (5-5.9)",IF(J1759&gt;=4,"Moderado (4-4.9)","Menor a 4"))))</x:f>
        <x:v>Moderado (4-4.9)</x:v>
      </x:c>
      <x:c r="L1759" s="25" t="str">
        <x:f>IF(I1759&lt;70,"Superficial (&lt;70 km)",IF(I1759&lt;=300,"Intermedio (70-300 km)","Profundo (&gt;300 km)"))</x:f>
        <x:v>Superficial (&lt;70 km)</x:v>
      </x:c>
      <x:c r="M1759" s="25" t="str">
        <x:f>IF(J1759&gt;=5,"Sí","No")</x:f>
        <x:v>No</x:v>
      </x:c>
      <x:c r="N1759" s="25" t="str">
        <x:f>IF(J1759&gt;=6,"Sí","No")</x:f>
        <x:v>No</x:v>
      </x:c>
      <x:c r="O1759" s="25" t="str">
        <x:v>Pendiente: asignar con R/sf</x:v>
      </x:c>
    </x:row>
    <x:row r="1760">
      <x:c r="A1760" s="25" t="n">
        <x:v>1759</x:v>
      </x:c>
      <x:c r="B1760" s="26" t="n">
        <x:v>41731.82665509259</x:v>
      </x:c>
      <x:c r="C1760" s="27" t="n">
        <x:f>INT(B1760)</x:f>
        <x:v>41731</x:v>
      </x:c>
      <x:c r="D1760" s="28" t="n">
        <x:f>MOD(B1760,1)</x:f>
        <x:v>0.8266550925909542</x:v>
      </x:c>
      <x:c r="E1760" s="29" t="n">
        <x:f>YEAR(B1760)</x:f>
        <x:v>2014</x:v>
      </x:c>
      <x:c r="F1760" s="29" t="n">
        <x:f>MONTH(B1760)</x:f>
        <x:v>4</x:v>
      </x:c>
      <x:c r="G1760" s="30" t="n">
        <x:v>-20.06</x:v>
      </x:c>
      <x:c r="H1760" s="30" t="n">
        <x:v>-70.52</x:v>
      </x:c>
      <x:c r="I1760" s="29" t="n">
        <x:v>28</x:v>
      </x:c>
      <x:c r="J1760" s="31" t="n">
        <x:v>4.6</x:v>
      </x:c>
      <x:c r="K1760" s="25" t="str">
        <x:f>IF(J1760&gt;=7,"Muy fuerte (&gt;=7)",IF(J1760&gt;=6,"Fuerte (6-6.9)",IF(J1760&gt;=5,"Moderado alto (5-5.9)",IF(J1760&gt;=4,"Moderado (4-4.9)","Menor a 4"))))</x:f>
        <x:v>Moderado (4-4.9)</x:v>
      </x:c>
      <x:c r="L1760" s="25" t="str">
        <x:f>IF(I1760&lt;70,"Superficial (&lt;70 km)",IF(I1760&lt;=300,"Intermedio (70-300 km)","Profundo (&gt;300 km)"))</x:f>
        <x:v>Superficial (&lt;70 km)</x:v>
      </x:c>
      <x:c r="M1760" s="25" t="str">
        <x:f>IF(J1760&gt;=5,"Sí","No")</x:f>
        <x:v>No</x:v>
      </x:c>
      <x:c r="N1760" s="25" t="str">
        <x:f>IF(J1760&gt;=6,"Sí","No")</x:f>
        <x:v>No</x:v>
      </x:c>
      <x:c r="O1760" s="25" t="str">
        <x:v>Pendiente: asignar con R/sf</x:v>
      </x:c>
    </x:row>
    <x:row r="1761">
      <x:c r="A1761" s="25" t="n">
        <x:v>1760</x:v>
      </x:c>
      <x:c r="B1761" s="26" t="n">
        <x:v>41739.742476851854</x:v>
      </x:c>
      <x:c r="C1761" s="27" t="n">
        <x:f>INT(B1761)</x:f>
        <x:v>41739</x:v>
      </x:c>
      <x:c r="D1761" s="28" t="n">
        <x:f>MOD(B1761,1)</x:f>
        <x:v>0.7424768518540077</x:v>
      </x:c>
      <x:c r="E1761" s="29" t="n">
        <x:f>YEAR(B1761)</x:f>
        <x:v>2014</x:v>
      </x:c>
      <x:c r="F1761" s="29" t="n">
        <x:f>MONTH(B1761)</x:f>
        <x:v>4</x:v>
      </x:c>
      <x:c r="G1761" s="30" t="n">
        <x:v>-19.99</x:v>
      </x:c>
      <x:c r="H1761" s="30" t="n">
        <x:v>-71.03</x:v>
      </x:c>
      <x:c r="I1761" s="29" t="n">
        <x:v>38</x:v>
      </x:c>
      <x:c r="J1761" s="31" t="n">
        <x:v>4.9</x:v>
      </x:c>
      <x:c r="K1761" s="25" t="str">
        <x:f>IF(J1761&gt;=7,"Muy fuerte (&gt;=7)",IF(J1761&gt;=6,"Fuerte (6-6.9)",IF(J1761&gt;=5,"Moderado alto (5-5.9)",IF(J1761&gt;=4,"Moderado (4-4.9)","Menor a 4"))))</x:f>
        <x:v>Moderado (4-4.9)</x:v>
      </x:c>
      <x:c r="L1761" s="25" t="str">
        <x:f>IF(I1761&lt;70,"Superficial (&lt;70 km)",IF(I1761&lt;=300,"Intermedio (70-300 km)","Profundo (&gt;300 km)"))</x:f>
        <x:v>Superficial (&lt;70 km)</x:v>
      </x:c>
      <x:c r="M1761" s="25" t="str">
        <x:f>IF(J1761&gt;=5,"Sí","No")</x:f>
        <x:v>No</x:v>
      </x:c>
      <x:c r="N1761" s="25" t="str">
        <x:f>IF(J1761&gt;=6,"Sí","No")</x:f>
        <x:v>No</x:v>
      </x:c>
      <x:c r="O1761" s="25" t="str">
        <x:v>Pendiente: asignar con R/sf</x:v>
      </x:c>
    </x:row>
    <x:row r="1762">
      <x:c r="A1762" s="25" t="n">
        <x:v>1761</x:v>
      </x:c>
      <x:c r="B1762" s="26" t="n">
        <x:v>41776.38271990741</x:v>
      </x:c>
      <x:c r="C1762" s="27" t="n">
        <x:f>INT(B1762)</x:f>
        <x:v>41776</x:v>
      </x:c>
      <x:c r="D1762" s="28" t="n">
        <x:f>MOD(B1762,1)</x:f>
        <x:v>0.38271990740759065</x:v>
      </x:c>
      <x:c r="E1762" s="29" t="n">
        <x:f>YEAR(B1762)</x:f>
        <x:v>2014</x:v>
      </x:c>
      <x:c r="F1762" s="29" t="n">
        <x:f>MONTH(B1762)</x:f>
        <x:v>5</x:v>
      </x:c>
      <x:c r="G1762" s="30" t="n">
        <x:v>-20</x:v>
      </x:c>
      <x:c r="H1762" s="30" t="n">
        <x:v>-70.97</x:v>
      </x:c>
      <x:c r="I1762" s="29" t="n">
        <x:v>37</x:v>
      </x:c>
      <x:c r="J1762" s="31" t="n">
        <x:v>5.5</x:v>
      </x:c>
      <x:c r="K1762" s="25" t="str">
        <x:f>IF(J1762&gt;=7,"Muy fuerte (&gt;=7)",IF(J1762&gt;=6,"Fuerte (6-6.9)",IF(J1762&gt;=5,"Moderado alto (5-5.9)",IF(J1762&gt;=4,"Moderado (4-4.9)","Menor a 4"))))</x:f>
        <x:v>Moderado alto (5-5.9)</x:v>
      </x:c>
      <x:c r="L1762" s="25" t="str">
        <x:f>IF(I1762&lt;70,"Superficial (&lt;70 km)",IF(I1762&lt;=300,"Intermedio (70-300 km)","Profundo (&gt;300 km)"))</x:f>
        <x:v>Superficial (&lt;70 km)</x:v>
      </x:c>
      <x:c r="M1762" s="25" t="str">
        <x:f>IF(J1762&gt;=5,"Sí","No")</x:f>
        <x:v>Sí</x:v>
      </x:c>
      <x:c r="N1762" s="25" t="str">
        <x:f>IF(J1762&gt;=6,"Sí","No")</x:f>
        <x:v>No</x:v>
      </x:c>
      <x:c r="O1762" s="25" t="str">
        <x:v>Pendiente: asignar con R/sf</x:v>
      </x:c>
    </x:row>
    <x:row r="1763">
      <x:c r="A1763" s="25" t="n">
        <x:v>1762</x:v>
      </x:c>
      <x:c r="B1763" s="26" t="n">
        <x:v>41731.14127314815</x:v>
      </x:c>
      <x:c r="C1763" s="27" t="n">
        <x:f>INT(B1763)</x:f>
        <x:v>41731</x:v>
      </x:c>
      <x:c r="D1763" s="28" t="n">
        <x:f>MOD(B1763,1)</x:f>
        <x:v>0.14127314814686542</x:v>
      </x:c>
      <x:c r="E1763" s="29" t="n">
        <x:f>YEAR(B1763)</x:f>
        <x:v>2014</x:v>
      </x:c>
      <x:c r="F1763" s="29" t="n">
        <x:f>MONTH(B1763)</x:f>
        <x:v>4</x:v>
      </x:c>
      <x:c r="G1763" s="30" t="n">
        <x:v>-19.39</x:v>
      </x:c>
      <x:c r="H1763" s="30" t="n">
        <x:v>-70.26</x:v>
      </x:c>
      <x:c r="I1763" s="29" t="n">
        <x:v>38</x:v>
      </x:c>
      <x:c r="J1763" s="31" t="n">
        <x:v>4.3</x:v>
      </x:c>
      <x:c r="K1763" s="25" t="str">
        <x:f>IF(J1763&gt;=7,"Muy fuerte (&gt;=7)",IF(J1763&gt;=6,"Fuerte (6-6.9)",IF(J1763&gt;=5,"Moderado alto (5-5.9)",IF(J1763&gt;=4,"Moderado (4-4.9)","Menor a 4"))))</x:f>
        <x:v>Moderado (4-4.9)</x:v>
      </x:c>
      <x:c r="L1763" s="25" t="str">
        <x:f>IF(I1763&lt;70,"Superficial (&lt;70 km)",IF(I1763&lt;=300,"Intermedio (70-300 km)","Profundo (&gt;300 km)"))</x:f>
        <x:v>Superficial (&lt;70 km)</x:v>
      </x:c>
      <x:c r="M1763" s="25" t="str">
        <x:f>IF(J1763&gt;=5,"Sí","No")</x:f>
        <x:v>No</x:v>
      </x:c>
      <x:c r="N1763" s="25" t="str">
        <x:f>IF(J1763&gt;=6,"Sí","No")</x:f>
        <x:v>No</x:v>
      </x:c>
      <x:c r="O1763" s="25" t="str">
        <x:v>Pendiente: asignar con R/sf</x:v>
      </x:c>
    </x:row>
    <x:row r="1764">
      <x:c r="A1764" s="25" t="n">
        <x:v>1763</x:v>
      </x:c>
      <x:c r="B1764" s="26" t="n">
        <x:v>41936.303252314814</x:v>
      </x:c>
      <x:c r="C1764" s="27" t="n">
        <x:f>INT(B1764)</x:f>
        <x:v>41936</x:v>
      </x:c>
      <x:c r="D1764" s="28" t="n">
        <x:f>MOD(B1764,1)</x:f>
        <x:v>0.30325231481401715</x:v>
      </x:c>
      <x:c r="E1764" s="29" t="n">
        <x:f>YEAR(B1764)</x:f>
        <x:v>2014</x:v>
      </x:c>
      <x:c r="F1764" s="29" t="n">
        <x:f>MONTH(B1764)</x:f>
        <x:v>10</x:v>
      </x:c>
      <x:c r="G1764" s="30" t="n">
        <x:v>-34</x:v>
      </x:c>
      <x:c r="H1764" s="30" t="n">
        <x:v>-72.24</x:v>
      </x:c>
      <x:c r="I1764" s="29" t="n">
        <x:v>25</x:v>
      </x:c>
      <x:c r="J1764" s="31" t="n">
        <x:v>4.6</x:v>
      </x:c>
      <x:c r="K1764" s="25" t="str">
        <x:f>IF(J1764&gt;=7,"Muy fuerte (&gt;=7)",IF(J1764&gt;=6,"Fuerte (6-6.9)",IF(J1764&gt;=5,"Moderado alto (5-5.9)",IF(J1764&gt;=4,"Moderado (4-4.9)","Menor a 4"))))</x:f>
        <x:v>Moderado (4-4.9)</x:v>
      </x:c>
      <x:c r="L1764" s="25" t="str">
        <x:f>IF(I1764&lt;70,"Superficial (&lt;70 km)",IF(I1764&lt;=300,"Intermedio (70-300 km)","Profundo (&gt;300 km)"))</x:f>
        <x:v>Superficial (&lt;70 km)</x:v>
      </x:c>
      <x:c r="M1764" s="25" t="str">
        <x:f>IF(J1764&gt;=5,"Sí","No")</x:f>
        <x:v>No</x:v>
      </x:c>
      <x:c r="N1764" s="25" t="str">
        <x:f>IF(J1764&gt;=6,"Sí","No")</x:f>
        <x:v>No</x:v>
      </x:c>
      <x:c r="O1764" s="25" t="str">
        <x:v>Pendiente: asignar con R/sf</x:v>
      </x:c>
    </x:row>
    <x:row r="1765">
      <x:c r="A1765" s="25" t="n">
        <x:v>1764</x:v>
      </x:c>
      <x:c r="B1765" s="26" t="n">
        <x:v>41740.99767361111</x:v>
      </x:c>
      <x:c r="C1765" s="27" t="n">
        <x:f>INT(B1765)</x:f>
        <x:v>41740</x:v>
      </x:c>
      <x:c r="D1765" s="28" t="n">
        <x:f>MOD(B1765,1)</x:f>
        <x:v>0.9976736111129867</x:v>
      </x:c>
      <x:c r="E1765" s="29" t="n">
        <x:f>YEAR(B1765)</x:f>
        <x:v>2014</x:v>
      </x:c>
      <x:c r="F1765" s="29" t="n">
        <x:f>MONTH(B1765)</x:f>
        <x:v>4</x:v>
      </x:c>
      <x:c r="G1765" s="30" t="n">
        <x:v>-20.71</x:v>
      </x:c>
      <x:c r="H1765" s="30" t="n">
        <x:v>-70.72</x:v>
      </x:c>
      <x:c r="I1765" s="29" t="n">
        <x:v>22</x:v>
      </x:c>
      <x:c r="J1765" s="31" t="n">
        <x:v>4.5</x:v>
      </x:c>
      <x:c r="K1765" s="25" t="str">
        <x:f>IF(J1765&gt;=7,"Muy fuerte (&gt;=7)",IF(J1765&gt;=6,"Fuerte (6-6.9)",IF(J1765&gt;=5,"Moderado alto (5-5.9)",IF(J1765&gt;=4,"Moderado (4-4.9)","Menor a 4"))))</x:f>
        <x:v>Moderado (4-4.9)</x:v>
      </x:c>
      <x:c r="L1765" s="25" t="str">
        <x:f>IF(I1765&lt;70,"Superficial (&lt;70 km)",IF(I1765&lt;=300,"Intermedio (70-300 km)","Profundo (&gt;300 km)"))</x:f>
        <x:v>Superficial (&lt;70 km)</x:v>
      </x:c>
      <x:c r="M1765" s="25" t="str">
        <x:f>IF(J1765&gt;=5,"Sí","No")</x:f>
        <x:v>No</x:v>
      </x:c>
      <x:c r="N1765" s="25" t="str">
        <x:f>IF(J1765&gt;=6,"Sí","No")</x:f>
        <x:v>No</x:v>
      </x:c>
      <x:c r="O1765" s="25" t="str">
        <x:v>Pendiente: asignar con R/sf</x:v>
      </x:c>
    </x:row>
    <x:row r="1766">
      <x:c r="A1766" s="25" t="n">
        <x:v>1765</x:v>
      </x:c>
      <x:c r="B1766" s="26" t="n">
        <x:v>41731.71704861111</x:v>
      </x:c>
      <x:c r="C1766" s="27" t="n">
        <x:f>INT(B1766)</x:f>
        <x:v>41731</x:v>
      </x:c>
      <x:c r="D1766" s="28" t="n">
        <x:f>MOD(B1766,1)</x:f>
        <x:v>0.7170486111135688</x:v>
      </x:c>
      <x:c r="E1766" s="29" t="n">
        <x:f>YEAR(B1766)</x:f>
        <x:v>2014</x:v>
      </x:c>
      <x:c r="F1766" s="29" t="n">
        <x:f>MONTH(B1766)</x:f>
        <x:v>4</x:v>
      </x:c>
      <x:c r="G1766" s="30" t="n">
        <x:v>-19.8</x:v>
      </x:c>
      <x:c r="H1766" s="30" t="n">
        <x:v>-70.29</x:v>
      </x:c>
      <x:c r="I1766" s="29" t="n">
        <x:v>42</x:v>
      </x:c>
      <x:c r="J1766" s="31" t="n">
        <x:v>4.3</x:v>
      </x:c>
      <x:c r="K1766" s="25" t="str">
        <x:f>IF(J1766&gt;=7,"Muy fuerte (&gt;=7)",IF(J1766&gt;=6,"Fuerte (6-6.9)",IF(J1766&gt;=5,"Moderado alto (5-5.9)",IF(J1766&gt;=4,"Moderado (4-4.9)","Menor a 4"))))</x:f>
        <x:v>Moderado (4-4.9)</x:v>
      </x:c>
      <x:c r="L1766" s="25" t="str">
        <x:f>IF(I1766&lt;70,"Superficial (&lt;70 km)",IF(I1766&lt;=300,"Intermedio (70-300 km)","Profundo (&gt;300 km)"))</x:f>
        <x:v>Superficial (&lt;70 km)</x:v>
      </x:c>
      <x:c r="M1766" s="25" t="str">
        <x:f>IF(J1766&gt;=5,"Sí","No")</x:f>
        <x:v>No</x:v>
      </x:c>
      <x:c r="N1766" s="25" t="str">
        <x:f>IF(J1766&gt;=6,"Sí","No")</x:f>
        <x:v>No</x:v>
      </x:c>
      <x:c r="O1766" s="25" t="str">
        <x:v>Pendiente: asignar con R/sf</x:v>
      </x:c>
    </x:row>
    <x:row r="1767">
      <x:c r="A1767" s="25" t="n">
        <x:v>1766</x:v>
      </x:c>
      <x:c r="B1767" s="26" t="n">
        <x:v>41732.244259259256</x:v>
      </x:c>
      <x:c r="C1767" s="27" t="n">
        <x:f>INT(B1767)</x:f>
        <x:v>41732</x:v>
      </x:c>
      <x:c r="D1767" s="28" t="n">
        <x:f>MOD(B1767,1)</x:f>
        <x:v>0.24425925925606862</x:v>
      </x:c>
      <x:c r="E1767" s="29" t="n">
        <x:f>YEAR(B1767)</x:f>
        <x:v>2014</x:v>
      </x:c>
      <x:c r="F1767" s="29" t="n">
        <x:f>MONTH(B1767)</x:f>
        <x:v>4</x:v>
      </x:c>
      <x:c r="G1767" s="30" t="n">
        <x:v>-20.76</x:v>
      </x:c>
      <x:c r="H1767" s="30" t="n">
        <x:v>-70.42</x:v>
      </x:c>
      <x:c r="I1767" s="29" t="n">
        <x:v>36</x:v>
      </x:c>
      <x:c r="J1767" s="31" t="n">
        <x:v>5.5</x:v>
      </x:c>
      <x:c r="K1767" s="25" t="str">
        <x:f>IF(J1767&gt;=7,"Muy fuerte (&gt;=7)",IF(J1767&gt;=6,"Fuerte (6-6.9)",IF(J1767&gt;=5,"Moderado alto (5-5.9)",IF(J1767&gt;=4,"Moderado (4-4.9)","Menor a 4"))))</x:f>
        <x:v>Moderado alto (5-5.9)</x:v>
      </x:c>
      <x:c r="L1767" s="25" t="str">
        <x:f>IF(I1767&lt;70,"Superficial (&lt;70 km)",IF(I1767&lt;=300,"Intermedio (70-300 km)","Profundo (&gt;300 km)"))</x:f>
        <x:v>Superficial (&lt;70 km)</x:v>
      </x:c>
      <x:c r="M1767" s="25" t="str">
        <x:f>IF(J1767&gt;=5,"Sí","No")</x:f>
        <x:v>Sí</x:v>
      </x:c>
      <x:c r="N1767" s="25" t="str">
        <x:f>IF(J1767&gt;=6,"Sí","No")</x:f>
        <x:v>No</x:v>
      </x:c>
      <x:c r="O1767" s="25" t="str">
        <x:v>Pendiente: asignar con R/sf</x:v>
      </x:c>
    </x:row>
    <x:row r="1768">
      <x:c r="A1768" s="25" t="n">
        <x:v>1767</x:v>
      </x:c>
      <x:c r="B1768" s="26" t="n">
        <x:v>41754.12613425926</x:v>
      </x:c>
      <x:c r="C1768" s="27" t="n">
        <x:f>INT(B1768)</x:f>
        <x:v>41754</x:v>
      </x:c>
      <x:c r="D1768" s="28" t="n">
        <x:f>MOD(B1768,1)</x:f>
        <x:v>0.12613425926247146</x:v>
      </x:c>
      <x:c r="E1768" s="29" t="n">
        <x:f>YEAR(B1768)</x:f>
        <x:v>2014</x:v>
      </x:c>
      <x:c r="F1768" s="29" t="n">
        <x:f>MONTH(B1768)</x:f>
        <x:v>4</x:v>
      </x:c>
      <x:c r="G1768" s="30" t="n">
        <x:v>-20.28</x:v>
      </x:c>
      <x:c r="H1768" s="30" t="n">
        <x:v>-70.98</x:v>
      </x:c>
      <x:c r="I1768" s="29" t="n">
        <x:v>38</x:v>
      </x:c>
      <x:c r="J1768" s="31" t="n">
        <x:v>4.6</x:v>
      </x:c>
      <x:c r="K1768" s="25" t="str">
        <x:f>IF(J1768&gt;=7,"Muy fuerte (&gt;=7)",IF(J1768&gt;=6,"Fuerte (6-6.9)",IF(J1768&gt;=5,"Moderado alto (5-5.9)",IF(J1768&gt;=4,"Moderado (4-4.9)","Menor a 4"))))</x:f>
        <x:v>Moderado (4-4.9)</x:v>
      </x:c>
      <x:c r="L1768" s="25" t="str">
        <x:f>IF(I1768&lt;70,"Superficial (&lt;70 km)",IF(I1768&lt;=300,"Intermedio (70-300 km)","Profundo (&gt;300 km)"))</x:f>
        <x:v>Superficial (&lt;70 km)</x:v>
      </x:c>
      <x:c r="M1768" s="25" t="str">
        <x:f>IF(J1768&gt;=5,"Sí","No")</x:f>
        <x:v>No</x:v>
      </x:c>
      <x:c r="N1768" s="25" t="str">
        <x:f>IF(J1768&gt;=6,"Sí","No")</x:f>
        <x:v>No</x:v>
      </x:c>
      <x:c r="O1768" s="25" t="str">
        <x:v>Pendiente: asignar con R/sf</x:v>
      </x:c>
    </x:row>
    <x:row r="1769">
      <x:c r="A1769" s="25" t="n">
        <x:v>1768</x:v>
      </x:c>
      <x:c r="B1769" s="26" t="n">
        <x:v>41994.7303125</x:v>
      </x:c>
      <x:c r="C1769" s="27" t="n">
        <x:f>INT(B1769)</x:f>
        <x:v>41994</x:v>
      </x:c>
      <x:c r="D1769" s="28" t="n">
        <x:f>MOD(B1769,1)</x:f>
        <x:v>0.7303125000034925</x:v>
      </x:c>
      <x:c r="E1769" s="29" t="n">
        <x:f>YEAR(B1769)</x:f>
        <x:v>2014</x:v>
      </x:c>
      <x:c r="F1769" s="29" t="n">
        <x:f>MONTH(B1769)</x:f>
        <x:v>12</x:v>
      </x:c>
      <x:c r="G1769" s="30" t="n">
        <x:v>-32.57</x:v>
      </x:c>
      <x:c r="H1769" s="30" t="n">
        <x:v>-71.68</x:v>
      </x:c>
      <x:c r="I1769" s="29" t="n">
        <x:v>30</x:v>
      </x:c>
      <x:c r="J1769" s="31" t="n">
        <x:v>4.2</x:v>
      </x:c>
      <x:c r="K1769" s="25" t="str">
        <x:f>IF(J1769&gt;=7,"Muy fuerte (&gt;=7)",IF(J1769&gt;=6,"Fuerte (6-6.9)",IF(J1769&gt;=5,"Moderado alto (5-5.9)",IF(J1769&gt;=4,"Moderado (4-4.9)","Menor a 4"))))</x:f>
        <x:v>Moderado (4-4.9)</x:v>
      </x:c>
      <x:c r="L1769" s="25" t="str">
        <x:f>IF(I1769&lt;70,"Superficial (&lt;70 km)",IF(I1769&lt;=300,"Intermedio (70-300 km)","Profundo (&gt;300 km)"))</x:f>
        <x:v>Superficial (&lt;70 km)</x:v>
      </x:c>
      <x:c r="M1769" s="25" t="str">
        <x:f>IF(J1769&gt;=5,"Sí","No")</x:f>
        <x:v>No</x:v>
      </x:c>
      <x:c r="N1769" s="25" t="str">
        <x:f>IF(J1769&gt;=6,"Sí","No")</x:f>
        <x:v>No</x:v>
      </x:c>
      <x:c r="O1769" s="25" t="str">
        <x:v>Pendiente: asignar con R/sf</x:v>
      </x:c>
    </x:row>
    <x:row r="1770">
      <x:c r="A1770" s="25" t="n">
        <x:v>1769</x:v>
      </x:c>
      <x:c r="B1770" s="26" t="n">
        <x:v>41794.71144675926</x:v>
      </x:c>
      <x:c r="C1770" s="27" t="n">
        <x:f>INT(B1770)</x:f>
        <x:v>41794</x:v>
      </x:c>
      <x:c r="D1770" s="28" t="n">
        <x:f>MOD(B1770,1)</x:f>
        <x:v>0.7114467592618894</x:v>
      </x:c>
      <x:c r="E1770" s="29" t="n">
        <x:f>YEAR(B1770)</x:f>
        <x:v>2014</x:v>
      </x:c>
      <x:c r="F1770" s="29" t="n">
        <x:f>MONTH(B1770)</x:f>
        <x:v>6</x:v>
      </x:c>
      <x:c r="G1770" s="30" t="n">
        <x:v>-20.64</x:v>
      </x:c>
      <x:c r="H1770" s="30" t="n">
        <x:v>-70.79</x:v>
      </x:c>
      <x:c r="I1770" s="29" t="n">
        <x:v>24</x:v>
      </x:c>
      <x:c r="J1770" s="31" t="n">
        <x:v>4.9</x:v>
      </x:c>
      <x:c r="K1770" s="25" t="str">
        <x:f>IF(J1770&gt;=7,"Muy fuerte (&gt;=7)",IF(J1770&gt;=6,"Fuerte (6-6.9)",IF(J1770&gt;=5,"Moderado alto (5-5.9)",IF(J1770&gt;=4,"Moderado (4-4.9)","Menor a 4"))))</x:f>
        <x:v>Moderado (4-4.9)</x:v>
      </x:c>
      <x:c r="L1770" s="25" t="str">
        <x:f>IF(I1770&lt;70,"Superficial (&lt;70 km)",IF(I1770&lt;=300,"Intermedio (70-300 km)","Profundo (&gt;300 km)"))</x:f>
        <x:v>Superficial (&lt;70 km)</x:v>
      </x:c>
      <x:c r="M1770" s="25" t="str">
        <x:f>IF(J1770&gt;=5,"Sí","No")</x:f>
        <x:v>No</x:v>
      </x:c>
      <x:c r="N1770" s="25" t="str">
        <x:f>IF(J1770&gt;=6,"Sí","No")</x:f>
        <x:v>No</x:v>
      </x:c>
      <x:c r="O1770" s="25" t="str">
        <x:v>Pendiente: asignar con R/sf</x:v>
      </x:c>
    </x:row>
    <x:row r="1771">
      <x:c r="A1771" s="25" t="n">
        <x:v>1770</x:v>
      </x:c>
      <x:c r="B1771" s="26" t="n">
        <x:v>41900.15479166667</x:v>
      </x:c>
      <x:c r="C1771" s="27" t="n">
        <x:f>INT(B1771)</x:f>
        <x:v>41900</x:v>
      </x:c>
      <x:c r="D1771" s="28" t="n">
        <x:f>MOD(B1771,1)</x:f>
        <x:v>0.1547916666677338</x:v>
      </x:c>
      <x:c r="E1771" s="29" t="n">
        <x:f>YEAR(B1771)</x:f>
        <x:v>2014</x:v>
      </x:c>
      <x:c r="F1771" s="29" t="n">
        <x:f>MONTH(B1771)</x:f>
        <x:v>9</x:v>
      </x:c>
      <x:c r="G1771" s="30" t="n">
        <x:v>-18.76</x:v>
      </x:c>
      <x:c r="H1771" s="30" t="n">
        <x:v>-70.07</x:v>
      </x:c>
      <x:c r="I1771" s="29" t="n">
        <x:v>102</x:v>
      </x:c>
      <x:c r="J1771" s="31" t="n">
        <x:v>4.8</x:v>
      </x:c>
      <x:c r="K1771" s="25" t="str">
        <x:f>IF(J1771&gt;=7,"Muy fuerte (&gt;=7)",IF(J1771&gt;=6,"Fuerte (6-6.9)",IF(J1771&gt;=5,"Moderado alto (5-5.9)",IF(J1771&gt;=4,"Moderado (4-4.9)","Menor a 4"))))</x:f>
        <x:v>Moderado (4-4.9)</x:v>
      </x:c>
      <x:c r="L1771" s="25" t="str">
        <x:f>IF(I1771&lt;70,"Superficial (&lt;70 km)",IF(I1771&lt;=300,"Intermedio (70-300 km)","Profundo (&gt;300 km)"))</x:f>
        <x:v>Intermedio (70-300 km)</x:v>
      </x:c>
      <x:c r="M1771" s="25" t="str">
        <x:f>IF(J1771&gt;=5,"Sí","No")</x:f>
        <x:v>No</x:v>
      </x:c>
      <x:c r="N1771" s="25" t="str">
        <x:f>IF(J1771&gt;=6,"Sí","No")</x:f>
        <x:v>No</x:v>
      </x:c>
      <x:c r="O1771" s="25" t="str">
        <x:v>Pendiente: asignar con R/sf</x:v>
      </x:c>
    </x:row>
    <x:row r="1772">
      <x:c r="A1772" s="25" t="n">
        <x:v>1771</x:v>
      </x:c>
      <x:c r="B1772" s="26" t="n">
        <x:v>41716.89800925926</x:v>
      </x:c>
      <x:c r="C1772" s="27" t="n">
        <x:f>INT(B1772)</x:f>
        <x:v>41716</x:v>
      </x:c>
      <x:c r="D1772" s="28" t="n">
        <x:f>MOD(B1772,1)</x:f>
        <x:v>0.8980092592610163</x:v>
      </x:c>
      <x:c r="E1772" s="29" t="n">
        <x:f>YEAR(B1772)</x:f>
        <x:v>2014</x:v>
      </x:c>
      <x:c r="F1772" s="29" t="n">
        <x:f>MONTH(B1772)</x:f>
        <x:v>3</x:v>
      </x:c>
      <x:c r="G1772" s="30" t="n">
        <x:v>-20.02</x:v>
      </x:c>
      <x:c r="H1772" s="30" t="n">
        <x:v>-70.84</x:v>
      </x:c>
      <x:c r="I1772" s="29" t="n">
        <x:v>20</x:v>
      </x:c>
      <x:c r="J1772" s="31" t="n">
        <x:v>5</x:v>
      </x:c>
      <x:c r="K1772" s="25" t="str">
        <x:f>IF(J1772&gt;=7,"Muy fuerte (&gt;=7)",IF(J1772&gt;=6,"Fuerte (6-6.9)",IF(J1772&gt;=5,"Moderado alto (5-5.9)",IF(J1772&gt;=4,"Moderado (4-4.9)","Menor a 4"))))</x:f>
        <x:v>Moderado alto (5-5.9)</x:v>
      </x:c>
      <x:c r="L1772" s="25" t="str">
        <x:f>IF(I1772&lt;70,"Superficial (&lt;70 km)",IF(I1772&lt;=300,"Intermedio (70-300 km)","Profundo (&gt;300 km)"))</x:f>
        <x:v>Superficial (&lt;70 km)</x:v>
      </x:c>
      <x:c r="M1772" s="25" t="str">
        <x:f>IF(J1772&gt;=5,"Sí","No")</x:f>
        <x:v>Sí</x:v>
      </x:c>
      <x:c r="N1772" s="25" t="str">
        <x:f>IF(J1772&gt;=6,"Sí","No")</x:f>
        <x:v>No</x:v>
      </x:c>
      <x:c r="O1772" s="25" t="str">
        <x:v>Pendiente: asignar con R/sf</x:v>
      </x:c>
    </x:row>
    <x:row r="1773">
      <x:c r="A1773" s="25" t="n">
        <x:v>1772</x:v>
      </x:c>
      <x:c r="B1773" s="26" t="n">
        <x:v>41731.46356481482</x:v>
      </x:c>
      <x:c r="C1773" s="27" t="n">
        <x:f>INT(B1773)</x:f>
        <x:v>41731</x:v>
      </x:c>
      <x:c r="D1773" s="28" t="n">
        <x:f>MOD(B1773,1)</x:f>
        <x:v>0.46356481481780065</x:v>
      </x:c>
      <x:c r="E1773" s="29" t="n">
        <x:f>YEAR(B1773)</x:f>
        <x:v>2014</x:v>
      </x:c>
      <x:c r="F1773" s="29" t="n">
        <x:f>MONTH(B1773)</x:f>
        <x:v>4</x:v>
      </x:c>
      <x:c r="G1773" s="30" t="n">
        <x:v>-19.99</x:v>
      </x:c>
      <x:c r="H1773" s="30" t="n">
        <x:v>-71.05</x:v>
      </x:c>
      <x:c r="I1773" s="29" t="n">
        <x:v>32</x:v>
      </x:c>
      <x:c r="J1773" s="31" t="n">
        <x:v>5.3</x:v>
      </x:c>
      <x:c r="K1773" s="25" t="str">
        <x:f>IF(J1773&gt;=7,"Muy fuerte (&gt;=7)",IF(J1773&gt;=6,"Fuerte (6-6.9)",IF(J1773&gt;=5,"Moderado alto (5-5.9)",IF(J1773&gt;=4,"Moderado (4-4.9)","Menor a 4"))))</x:f>
        <x:v>Moderado alto (5-5.9)</x:v>
      </x:c>
      <x:c r="L1773" s="25" t="str">
        <x:f>IF(I1773&lt;70,"Superficial (&lt;70 km)",IF(I1773&lt;=300,"Intermedio (70-300 km)","Profundo (&gt;300 km)"))</x:f>
        <x:v>Superficial (&lt;70 km)</x:v>
      </x:c>
      <x:c r="M1773" s="25" t="str">
        <x:f>IF(J1773&gt;=5,"Sí","No")</x:f>
        <x:v>Sí</x:v>
      </x:c>
      <x:c r="N1773" s="25" t="str">
        <x:f>IF(J1773&gt;=6,"Sí","No")</x:f>
        <x:v>No</x:v>
      </x:c>
      <x:c r="O1773" s="25" t="str">
        <x:v>Pendiente: asignar con R/sf</x:v>
      </x:c>
    </x:row>
    <x:row r="1774">
      <x:c r="A1774" s="25" t="n">
        <x:v>1773</x:v>
      </x:c>
      <x:c r="B1774" s="26" t="n">
        <x:v>41960.02344907408</x:v>
      </x:c>
      <x:c r="C1774" s="27" t="n">
        <x:f>INT(B1774)</x:f>
        <x:v>41960</x:v>
      </x:c>
      <x:c r="D1774" s="28" t="n">
        <x:f>MOD(B1774,1)</x:f>
        <x:v>0.023449074076779652</x:v>
      </x:c>
      <x:c r="E1774" s="29" t="n">
        <x:f>YEAR(B1774)</x:f>
        <x:v>2014</x:v>
      </x:c>
      <x:c r="F1774" s="29" t="n">
        <x:f>MONTH(B1774)</x:f>
        <x:v>11</x:v>
      </x:c>
      <x:c r="G1774" s="30" t="n">
        <x:v>-32.96</x:v>
      </x:c>
      <x:c r="H1774" s="30" t="n">
        <x:v>-70.6</x:v>
      </x:c>
      <x:c r="I1774" s="29" t="n">
        <x:v>86</x:v>
      </x:c>
      <x:c r="J1774" s="31" t="n">
        <x:v>5.1</x:v>
      </x:c>
      <x:c r="K1774" s="25" t="str">
        <x:f>IF(J1774&gt;=7,"Muy fuerte (&gt;=7)",IF(J1774&gt;=6,"Fuerte (6-6.9)",IF(J1774&gt;=5,"Moderado alto (5-5.9)",IF(J1774&gt;=4,"Moderado (4-4.9)","Menor a 4"))))</x:f>
        <x:v>Moderado alto (5-5.9)</x:v>
      </x:c>
      <x:c r="L1774" s="25" t="str">
        <x:f>IF(I1774&lt;70,"Superficial (&lt;70 km)",IF(I1774&lt;=300,"Intermedio (70-300 km)","Profundo (&gt;300 km)"))</x:f>
        <x:v>Intermedio (70-300 km)</x:v>
      </x:c>
      <x:c r="M1774" s="25" t="str">
        <x:f>IF(J1774&gt;=5,"Sí","No")</x:f>
        <x:v>Sí</x:v>
      </x:c>
      <x:c r="N1774" s="25" t="str">
        <x:f>IF(J1774&gt;=6,"Sí","No")</x:f>
        <x:v>No</x:v>
      </x:c>
      <x:c r="O1774" s="25" t="str">
        <x:v>Pendiente: asignar con R/sf</x:v>
      </x:c>
    </x:row>
    <x:row r="1775">
      <x:c r="A1775" s="25" t="n">
        <x:v>1774</x:v>
      </x:c>
      <x:c r="B1775" s="26" t="n">
        <x:v>41833.365752314814</x:v>
      </x:c>
      <x:c r="C1775" s="27" t="n">
        <x:f>INT(B1775)</x:f>
        <x:v>41833</x:v>
      </x:c>
      <x:c r="D1775" s="28" t="n">
        <x:f>MOD(B1775,1)</x:f>
        <x:v>0.36575231481401715</x:v>
      </x:c>
      <x:c r="E1775" s="29" t="n">
        <x:f>YEAR(B1775)</x:f>
        <x:v>2014</x:v>
      </x:c>
      <x:c r="F1775" s="29" t="n">
        <x:f>MONTH(B1775)</x:f>
        <x:v>7</x:v>
      </x:c>
      <x:c r="G1775" s="30" t="n">
        <x:v>-24.07</x:v>
      </x:c>
      <x:c r="H1775" s="30" t="n">
        <x:v>-69.19</x:v>
      </x:c>
      <x:c r="I1775" s="29" t="n">
        <x:v>91</x:v>
      </x:c>
      <x:c r="J1775" s="31" t="n">
        <x:v>4.8</x:v>
      </x:c>
      <x:c r="K1775" s="25" t="str">
        <x:f>IF(J1775&gt;=7,"Muy fuerte (&gt;=7)",IF(J1775&gt;=6,"Fuerte (6-6.9)",IF(J1775&gt;=5,"Moderado alto (5-5.9)",IF(J1775&gt;=4,"Moderado (4-4.9)","Menor a 4"))))</x:f>
        <x:v>Moderado (4-4.9)</x:v>
      </x:c>
      <x:c r="L1775" s="25" t="str">
        <x:f>IF(I1775&lt;70,"Superficial (&lt;70 km)",IF(I1775&lt;=300,"Intermedio (70-300 km)","Profundo (&gt;300 km)"))</x:f>
        <x:v>Intermedio (70-300 km)</x:v>
      </x:c>
      <x:c r="M1775" s="25" t="str">
        <x:f>IF(J1775&gt;=5,"Sí","No")</x:f>
        <x:v>No</x:v>
      </x:c>
      <x:c r="N1775" s="25" t="str">
        <x:f>IF(J1775&gt;=6,"Sí","No")</x:f>
        <x:v>No</x:v>
      </x:c>
      <x:c r="O1775" s="25" t="str">
        <x:v>Pendiente: asignar con R/sf</x:v>
      </x:c>
    </x:row>
    <x:row r="1776">
      <x:c r="A1776" s="25" t="n">
        <x:v>1775</x:v>
      </x:c>
      <x:c r="B1776" s="26" t="n">
        <x:v>41752.76060185185</x:v>
      </x:c>
      <x:c r="C1776" s="27" t="n">
        <x:f>INT(B1776)</x:f>
        <x:v>41752</x:v>
      </x:c>
      <x:c r="D1776" s="28" t="n">
        <x:f>MOD(B1776,1)</x:f>
        <x:v>0.76060185184906</x:v>
      </x:c>
      <x:c r="E1776" s="29" t="n">
        <x:f>YEAR(B1776)</x:f>
        <x:v>2014</x:v>
      </x:c>
      <x:c r="F1776" s="29" t="n">
        <x:f>MONTH(B1776)</x:f>
        <x:v>4</x:v>
      </x:c>
      <x:c r="G1776" s="30" t="n">
        <x:v>-25.78</x:v>
      </x:c>
      <x:c r="H1776" s="30" t="n">
        <x:v>-70.76</x:v>
      </x:c>
      <x:c r="I1776" s="29" t="n">
        <x:v>74</x:v>
      </x:c>
      <x:c r="J1776" s="31" t="n">
        <x:v>4.6</x:v>
      </x:c>
      <x:c r="K1776" s="25" t="str">
        <x:f>IF(J1776&gt;=7,"Muy fuerte (&gt;=7)",IF(J1776&gt;=6,"Fuerte (6-6.9)",IF(J1776&gt;=5,"Moderado alto (5-5.9)",IF(J1776&gt;=4,"Moderado (4-4.9)","Menor a 4"))))</x:f>
        <x:v>Moderado (4-4.9)</x:v>
      </x:c>
      <x:c r="L1776" s="25" t="str">
        <x:f>IF(I1776&lt;70,"Superficial (&lt;70 km)",IF(I1776&lt;=300,"Intermedio (70-300 km)","Profundo (&gt;300 km)"))</x:f>
        <x:v>Intermedio (70-300 km)</x:v>
      </x:c>
      <x:c r="M1776" s="25" t="str">
        <x:f>IF(J1776&gt;=5,"Sí","No")</x:f>
        <x:v>No</x:v>
      </x:c>
      <x:c r="N1776" s="25" t="str">
        <x:f>IF(J1776&gt;=6,"Sí","No")</x:f>
        <x:v>No</x:v>
      </x:c>
      <x:c r="O1776" s="25" t="str">
        <x:v>Pendiente: asignar con R/sf</x:v>
      </x:c>
    </x:row>
    <x:row r="1777">
      <x:c r="A1777" s="25" t="n">
        <x:v>1776</x:v>
      </x:c>
      <x:c r="B1777" s="26" t="n">
        <x:v>41900.75991898148</x:v>
      </x:c>
      <x:c r="C1777" s="27" t="n">
        <x:f>INT(B1777)</x:f>
        <x:v>41900</x:v>
      </x:c>
      <x:c r="D1777" s="28" t="n">
        <x:f>MOD(B1777,1)</x:f>
        <x:v>0.7599189814791316</x:v>
      </x:c>
      <x:c r="E1777" s="29" t="n">
        <x:f>YEAR(B1777)</x:f>
        <x:v>2014</x:v>
      </x:c>
      <x:c r="F1777" s="29" t="n">
        <x:f>MONTH(B1777)</x:f>
        <x:v>9</x:v>
      </x:c>
      <x:c r="G1777" s="30" t="n">
        <x:v>-20.23</x:v>
      </x:c>
      <x:c r="H1777" s="30" t="n">
        <x:v>-70.84</x:v>
      </x:c>
      <x:c r="I1777" s="29" t="n">
        <x:v>39</x:v>
      </x:c>
      <x:c r="J1777" s="31" t="n">
        <x:v>4.2</x:v>
      </x:c>
      <x:c r="K1777" s="25" t="str">
        <x:f>IF(J1777&gt;=7,"Muy fuerte (&gt;=7)",IF(J1777&gt;=6,"Fuerte (6-6.9)",IF(J1777&gt;=5,"Moderado alto (5-5.9)",IF(J1777&gt;=4,"Moderado (4-4.9)","Menor a 4"))))</x:f>
        <x:v>Moderado (4-4.9)</x:v>
      </x:c>
      <x:c r="L1777" s="25" t="str">
        <x:f>IF(I1777&lt;70,"Superficial (&lt;70 km)",IF(I1777&lt;=300,"Intermedio (70-300 km)","Profundo (&gt;300 km)"))</x:f>
        <x:v>Superficial (&lt;70 km)</x:v>
      </x:c>
      <x:c r="M1777" s="25" t="str">
        <x:f>IF(J1777&gt;=5,"Sí","No")</x:f>
        <x:v>No</x:v>
      </x:c>
      <x:c r="N1777" s="25" t="str">
        <x:f>IF(J1777&gt;=6,"Sí","No")</x:f>
        <x:v>No</x:v>
      </x:c>
      <x:c r="O1777" s="25" t="str">
        <x:v>Pendiente: asignar con R/sf</x:v>
      </x:c>
    </x:row>
    <x:row r="1778">
      <x:c r="A1778" s="25" t="n">
        <x:v>1777</x:v>
      </x:c>
      <x:c r="B1778" s="26" t="n">
        <x:v>41740.37217592593</x:v>
      </x:c>
      <x:c r="C1778" s="27" t="n">
        <x:f>INT(B1778)</x:f>
        <x:v>41740</x:v>
      </x:c>
      <x:c r="D1778" s="28" t="n">
        <x:f>MOD(B1778,1)</x:f>
        <x:v>0.37217592592787696</x:v>
      </x:c>
      <x:c r="E1778" s="29" t="n">
        <x:f>YEAR(B1778)</x:f>
        <x:v>2014</x:v>
      </x:c>
      <x:c r="F1778" s="29" t="n">
        <x:f>MONTH(B1778)</x:f>
        <x:v>4</x:v>
      </x:c>
      <x:c r="G1778" s="30" t="n">
        <x:v>-19.94</x:v>
      </x:c>
      <x:c r="H1778" s="30" t="n">
        <x:v>-70.93</x:v>
      </x:c>
      <x:c r="I1778" s="29" t="n">
        <x:v>39</x:v>
      </x:c>
      <x:c r="J1778" s="31" t="n">
        <x:v>5</x:v>
      </x:c>
      <x:c r="K1778" s="25" t="str">
        <x:f>IF(J1778&gt;=7,"Muy fuerte (&gt;=7)",IF(J1778&gt;=6,"Fuerte (6-6.9)",IF(J1778&gt;=5,"Moderado alto (5-5.9)",IF(J1778&gt;=4,"Moderado (4-4.9)","Menor a 4"))))</x:f>
        <x:v>Moderado alto (5-5.9)</x:v>
      </x:c>
      <x:c r="L1778" s="25" t="str">
        <x:f>IF(I1778&lt;70,"Superficial (&lt;70 km)",IF(I1778&lt;=300,"Intermedio (70-300 km)","Profundo (&gt;300 km)"))</x:f>
        <x:v>Superficial (&lt;70 km)</x:v>
      </x:c>
      <x:c r="M1778" s="25" t="str">
        <x:f>IF(J1778&gt;=5,"Sí","No")</x:f>
        <x:v>Sí</x:v>
      </x:c>
      <x:c r="N1778" s="25" t="str">
        <x:f>IF(J1778&gt;=6,"Sí","No")</x:f>
        <x:v>No</x:v>
      </x:c>
      <x:c r="O1778" s="25" t="str">
        <x:v>Pendiente: asignar con R/sf</x:v>
      </x:c>
    </x:row>
    <x:row r="1779">
      <x:c r="A1779" s="25" t="n">
        <x:v>1778</x:v>
      </x:c>
      <x:c r="B1779" s="26" t="n">
        <x:v>41868.23862268519</x:v>
      </x:c>
      <x:c r="C1779" s="27" t="n">
        <x:f>INT(B1779)</x:f>
        <x:v>41868</x:v>
      </x:c>
      <x:c r="D1779" s="28" t="n">
        <x:f>MOD(B1779,1)</x:f>
        <x:v>0.2386226851886022</x:v>
      </x:c>
      <x:c r="E1779" s="29" t="n">
        <x:f>YEAR(B1779)</x:f>
        <x:v>2014</x:v>
      </x:c>
      <x:c r="F1779" s="29" t="n">
        <x:f>MONTH(B1779)</x:f>
        <x:v>8</x:v>
      </x:c>
      <x:c r="G1779" s="30" t="n">
        <x:v>-20.07</x:v>
      </x:c>
      <x:c r="H1779" s="30" t="n">
        <x:v>-69.25</x:v>
      </x:c>
      <x:c r="I1779" s="29" t="n">
        <x:v>105</x:v>
      </x:c>
      <x:c r="J1779" s="31" t="n">
        <x:v>4.2</x:v>
      </x:c>
      <x:c r="K1779" s="25" t="str">
        <x:f>IF(J1779&gt;=7,"Muy fuerte (&gt;=7)",IF(J1779&gt;=6,"Fuerte (6-6.9)",IF(J1779&gt;=5,"Moderado alto (5-5.9)",IF(J1779&gt;=4,"Moderado (4-4.9)","Menor a 4"))))</x:f>
        <x:v>Moderado (4-4.9)</x:v>
      </x:c>
      <x:c r="L1779" s="25" t="str">
        <x:f>IF(I1779&lt;70,"Superficial (&lt;70 km)",IF(I1779&lt;=300,"Intermedio (70-300 km)","Profundo (&gt;300 km)"))</x:f>
        <x:v>Intermedio (70-300 km)</x:v>
      </x:c>
      <x:c r="M1779" s="25" t="str">
        <x:f>IF(J1779&gt;=5,"Sí","No")</x:f>
        <x:v>No</x:v>
      </x:c>
      <x:c r="N1779" s="25" t="str">
        <x:f>IF(J1779&gt;=6,"Sí","No")</x:f>
        <x:v>No</x:v>
      </x:c>
      <x:c r="O1779" s="25" t="str">
        <x:v>Pendiente: asignar con R/sf</x:v>
      </x:c>
    </x:row>
    <x:row r="1780">
      <x:c r="A1780" s="25" t="n">
        <x:v>1779</x:v>
      </x:c>
      <x:c r="B1780" s="26" t="n">
        <x:v>41736.57469907407</x:v>
      </x:c>
      <x:c r="C1780" s="27" t="n">
        <x:f>INT(B1780)</x:f>
        <x:v>41736</x:v>
      </x:c>
      <x:c r="D1780" s="28" t="n">
        <x:f>MOD(B1780,1)</x:f>
        <x:v>0.5746990740735782</x:v>
      </x:c>
      <x:c r="E1780" s="29" t="n">
        <x:f>YEAR(B1780)</x:f>
        <x:v>2014</x:v>
      </x:c>
      <x:c r="F1780" s="29" t="n">
        <x:f>MONTH(B1780)</x:f>
        <x:v>4</x:v>
      </x:c>
      <x:c r="G1780" s="30" t="n">
        <x:v>-20.14</x:v>
      </x:c>
      <x:c r="H1780" s="30" t="n">
        <x:v>-70.92</x:v>
      </x:c>
      <x:c r="I1780" s="29" t="n">
        <x:v>20</x:v>
      </x:c>
      <x:c r="J1780" s="31" t="n">
        <x:v>5</x:v>
      </x:c>
      <x:c r="K1780" s="25" t="str">
        <x:f>IF(J1780&gt;=7,"Muy fuerte (&gt;=7)",IF(J1780&gt;=6,"Fuerte (6-6.9)",IF(J1780&gt;=5,"Moderado alto (5-5.9)",IF(J1780&gt;=4,"Moderado (4-4.9)","Menor a 4"))))</x:f>
        <x:v>Moderado alto (5-5.9)</x:v>
      </x:c>
      <x:c r="L1780" s="25" t="str">
        <x:f>IF(I1780&lt;70,"Superficial (&lt;70 km)",IF(I1780&lt;=300,"Intermedio (70-300 km)","Profundo (&gt;300 km)"))</x:f>
        <x:v>Superficial (&lt;70 km)</x:v>
      </x:c>
      <x:c r="M1780" s="25" t="str">
        <x:f>IF(J1780&gt;=5,"Sí","No")</x:f>
        <x:v>Sí</x:v>
      </x:c>
      <x:c r="N1780" s="25" t="str">
        <x:f>IF(J1780&gt;=6,"Sí","No")</x:f>
        <x:v>No</x:v>
      </x:c>
      <x:c r="O1780" s="25" t="str">
        <x:v>Pendiente: asignar con R/sf</x:v>
      </x:c>
    </x:row>
    <x:row r="1781">
      <x:c r="A1781" s="25" t="n">
        <x:v>1780</x:v>
      </x:c>
      <x:c r="B1781" s="26" t="n">
        <x:v>41973.365694444445</x:v>
      </x:c>
      <x:c r="C1781" s="27" t="n">
        <x:f>INT(B1781)</x:f>
        <x:v>41973</x:v>
      </x:c>
      <x:c r="D1781" s="28" t="n">
        <x:f>MOD(B1781,1)</x:f>
        <x:v>0.3656944444446708</x:v>
      </x:c>
      <x:c r="E1781" s="29" t="n">
        <x:f>YEAR(B1781)</x:f>
        <x:v>2014</x:v>
      </x:c>
      <x:c r="F1781" s="29" t="n">
        <x:f>MONTH(B1781)</x:f>
        <x:v>11</x:v>
      </x:c>
      <x:c r="G1781" s="30" t="n">
        <x:v>-19.18</x:v>
      </x:c>
      <x:c r="H1781" s="30" t="n">
        <x:v>-69.39</x:v>
      </x:c>
      <x:c r="I1781" s="29" t="n">
        <x:v>99</x:v>
      </x:c>
      <x:c r="J1781" s="31" t="n">
        <x:v>4.1</x:v>
      </x:c>
      <x:c r="K1781" s="25" t="str">
        <x:f>IF(J1781&gt;=7,"Muy fuerte (&gt;=7)",IF(J1781&gt;=6,"Fuerte (6-6.9)",IF(J1781&gt;=5,"Moderado alto (5-5.9)",IF(J1781&gt;=4,"Moderado (4-4.9)","Menor a 4"))))</x:f>
        <x:v>Moderado (4-4.9)</x:v>
      </x:c>
      <x:c r="L1781" s="25" t="str">
        <x:f>IF(I1781&lt;70,"Superficial (&lt;70 km)",IF(I1781&lt;=300,"Intermedio (70-300 km)","Profundo (&gt;300 km)"))</x:f>
        <x:v>Intermedio (70-300 km)</x:v>
      </x:c>
      <x:c r="M1781" s="25" t="str">
        <x:f>IF(J1781&gt;=5,"Sí","No")</x:f>
        <x:v>No</x:v>
      </x:c>
      <x:c r="N1781" s="25" t="str">
        <x:f>IF(J1781&gt;=6,"Sí","No")</x:f>
        <x:v>No</x:v>
      </x:c>
      <x:c r="O1781" s="25" t="str">
        <x:v>Pendiente: asignar con R/sf</x:v>
      </x:c>
    </x:row>
    <x:row r="1782">
      <x:c r="A1782" s="25" t="n">
        <x:v>1781</x:v>
      </x:c>
      <x:c r="B1782" s="26" t="n">
        <x:v>41732.17915509259</x:v>
      </x:c>
      <x:c r="C1782" s="27" t="n">
        <x:f>INT(B1782)</x:f>
        <x:v>41732</x:v>
      </x:c>
      <x:c r="D1782" s="28" t="n">
        <x:f>MOD(B1782,1)</x:f>
        <x:v>0.17915509259182727</x:v>
      </x:c>
      <x:c r="E1782" s="29" t="n">
        <x:f>YEAR(B1782)</x:f>
        <x:v>2014</x:v>
      </x:c>
      <x:c r="F1782" s="29" t="n">
        <x:f>MONTH(B1782)</x:f>
        <x:v>4</x:v>
      </x:c>
      <x:c r="G1782" s="30" t="n">
        <x:v>-20.59</x:v>
      </x:c>
      <x:c r="H1782" s="30" t="n">
        <x:v>-70.67</x:v>
      </x:c>
      <x:c r="I1782" s="29" t="n">
        <x:v>12</x:v>
      </x:c>
      <x:c r="J1782" s="31" t="n">
        <x:v>5</x:v>
      </x:c>
      <x:c r="K1782" s="25" t="str">
        <x:f>IF(J1782&gt;=7,"Muy fuerte (&gt;=7)",IF(J1782&gt;=6,"Fuerte (6-6.9)",IF(J1782&gt;=5,"Moderado alto (5-5.9)",IF(J1782&gt;=4,"Moderado (4-4.9)","Menor a 4"))))</x:f>
        <x:v>Moderado alto (5-5.9)</x:v>
      </x:c>
      <x:c r="L1782" s="25" t="str">
        <x:f>IF(I1782&lt;70,"Superficial (&lt;70 km)",IF(I1782&lt;=300,"Intermedio (70-300 km)","Profundo (&gt;300 km)"))</x:f>
        <x:v>Superficial (&lt;70 km)</x:v>
      </x:c>
      <x:c r="M1782" s="25" t="str">
        <x:f>IF(J1782&gt;=5,"Sí","No")</x:f>
        <x:v>Sí</x:v>
      </x:c>
      <x:c r="N1782" s="25" t="str">
        <x:f>IF(J1782&gt;=6,"Sí","No")</x:f>
        <x:v>No</x:v>
      </x:c>
      <x:c r="O1782" s="25" t="str">
        <x:v>Pendiente: asignar con R/sf</x:v>
      </x:c>
    </x:row>
    <x:row r="1783">
      <x:c r="A1783" s="25" t="n">
        <x:v>1782</x:v>
      </x:c>
      <x:c r="B1783" s="26" t="n">
        <x:v>41920.3527662037</x:v>
      </x:c>
      <x:c r="C1783" s="27" t="n">
        <x:f>INT(B1783)</x:f>
        <x:v>41920</x:v>
      </x:c>
      <x:c r="D1783" s="28" t="n">
        <x:f>MOD(B1783,1)</x:f>
        <x:v>0.3527662037013215</x:v>
      </x:c>
      <x:c r="E1783" s="29" t="n">
        <x:f>YEAR(B1783)</x:f>
        <x:v>2014</x:v>
      </x:c>
      <x:c r="F1783" s="29" t="n">
        <x:f>MONTH(B1783)</x:f>
        <x:v>10</x:v>
      </x:c>
      <x:c r="G1783" s="30" t="n">
        <x:v>-36</x:v>
      </x:c>
      <x:c r="H1783" s="30" t="n">
        <x:v>-72.14</x:v>
      </x:c>
      <x:c r="I1783" s="29" t="n">
        <x:v>30</x:v>
      </x:c>
      <x:c r="J1783" s="31" t="n">
        <x:v>4.3</x:v>
      </x:c>
      <x:c r="K1783" s="25" t="str">
        <x:f>IF(J1783&gt;=7,"Muy fuerte (&gt;=7)",IF(J1783&gt;=6,"Fuerte (6-6.9)",IF(J1783&gt;=5,"Moderado alto (5-5.9)",IF(J1783&gt;=4,"Moderado (4-4.9)","Menor a 4"))))</x:f>
        <x:v>Moderado (4-4.9)</x:v>
      </x:c>
      <x:c r="L1783" s="25" t="str">
        <x:f>IF(I1783&lt;70,"Superficial (&lt;70 km)",IF(I1783&lt;=300,"Intermedio (70-300 km)","Profundo (&gt;300 km)"))</x:f>
        <x:v>Superficial (&lt;70 km)</x:v>
      </x:c>
      <x:c r="M1783" s="25" t="str">
        <x:f>IF(J1783&gt;=5,"Sí","No")</x:f>
        <x:v>No</x:v>
      </x:c>
      <x:c r="N1783" s="25" t="str">
        <x:f>IF(J1783&gt;=6,"Sí","No")</x:f>
        <x:v>No</x:v>
      </x:c>
      <x:c r="O1783" s="25" t="str">
        <x:v>Pendiente: asignar con R/sf</x:v>
      </x:c>
    </x:row>
    <x:row r="1784">
      <x:c r="A1784" s="25" t="n">
        <x:v>1783</x:v>
      </x:c>
      <x:c r="B1784" s="26" t="n">
        <x:v>41747.342152777775</x:v>
      </x:c>
      <x:c r="C1784" s="27" t="n">
        <x:f>INT(B1784)</x:f>
        <x:v>41747</x:v>
      </x:c>
      <x:c r="D1784" s="28" t="n">
        <x:f>MOD(B1784,1)</x:f>
        <x:v>0.3421527777754818</x:v>
      </x:c>
      <x:c r="E1784" s="29" t="n">
        <x:f>YEAR(B1784)</x:f>
        <x:v>2014</x:v>
      </x:c>
      <x:c r="F1784" s="29" t="n">
        <x:f>MONTH(B1784)</x:f>
        <x:v>4</x:v>
      </x:c>
      <x:c r="G1784" s="30" t="n">
        <x:v>-20.53</x:v>
      </x:c>
      <x:c r="H1784" s="30" t="n">
        <x:v>-70.38</x:v>
      </x:c>
      <x:c r="I1784" s="29" t="n">
        <x:v>39</x:v>
      </x:c>
      <x:c r="J1784" s="31" t="n">
        <x:v>4.1</x:v>
      </x:c>
      <x:c r="K1784" s="25" t="str">
        <x:f>IF(J1784&gt;=7,"Muy fuerte (&gt;=7)",IF(J1784&gt;=6,"Fuerte (6-6.9)",IF(J1784&gt;=5,"Moderado alto (5-5.9)",IF(J1784&gt;=4,"Moderado (4-4.9)","Menor a 4"))))</x:f>
        <x:v>Moderado (4-4.9)</x:v>
      </x:c>
      <x:c r="L1784" s="25" t="str">
        <x:f>IF(I1784&lt;70,"Superficial (&lt;70 km)",IF(I1784&lt;=300,"Intermedio (70-300 km)","Profundo (&gt;300 km)"))</x:f>
        <x:v>Superficial (&lt;70 km)</x:v>
      </x:c>
      <x:c r="M1784" s="25" t="str">
        <x:f>IF(J1784&gt;=5,"Sí","No")</x:f>
        <x:v>No</x:v>
      </x:c>
      <x:c r="N1784" s="25" t="str">
        <x:f>IF(J1784&gt;=6,"Sí","No")</x:f>
        <x:v>No</x:v>
      </x:c>
      <x:c r="O1784" s="25" t="str">
        <x:v>Pendiente: asignar con R/sf</x:v>
      </x:c>
    </x:row>
    <x:row r="1785">
      <x:c r="A1785" s="25" t="n">
        <x:v>1784</x:v>
      </x:c>
      <x:c r="B1785" s="26" t="n">
        <x:v>41734.29267361111</x:v>
      </x:c>
      <x:c r="C1785" s="27" t="n">
        <x:f>INT(B1785)</x:f>
        <x:v>41734</x:v>
      </x:c>
      <x:c r="D1785" s="28" t="n">
        <x:f>MOD(B1785,1)</x:f>
        <x:v>0.29267361111124046</x:v>
      </x:c>
      <x:c r="E1785" s="29" t="n">
        <x:f>YEAR(B1785)</x:f>
        <x:v>2014</x:v>
      </x:c>
      <x:c r="F1785" s="29" t="n">
        <x:f>MONTH(B1785)</x:f>
        <x:v>4</x:v>
      </x:c>
      <x:c r="G1785" s="30" t="n">
        <x:v>-20.27</x:v>
      </x:c>
      <x:c r="H1785" s="30" t="n">
        <x:v>-70.22</x:v>
      </x:c>
      <x:c r="I1785" s="29" t="n">
        <x:v>40</x:v>
      </x:c>
      <x:c r="J1785" s="31" t="n">
        <x:v>4.1</x:v>
      </x:c>
      <x:c r="K1785" s="25" t="str">
        <x:f>IF(J1785&gt;=7,"Muy fuerte (&gt;=7)",IF(J1785&gt;=6,"Fuerte (6-6.9)",IF(J1785&gt;=5,"Moderado alto (5-5.9)",IF(J1785&gt;=4,"Moderado (4-4.9)","Menor a 4"))))</x:f>
        <x:v>Moderado (4-4.9)</x:v>
      </x:c>
      <x:c r="L1785" s="25" t="str">
        <x:f>IF(I1785&lt;70,"Superficial (&lt;70 km)",IF(I1785&lt;=300,"Intermedio (70-300 km)","Profundo (&gt;300 km)"))</x:f>
        <x:v>Superficial (&lt;70 km)</x:v>
      </x:c>
      <x:c r="M1785" s="25" t="str">
        <x:f>IF(J1785&gt;=5,"Sí","No")</x:f>
        <x:v>No</x:v>
      </x:c>
      <x:c r="N1785" s="25" t="str">
        <x:f>IF(J1785&gt;=6,"Sí","No")</x:f>
        <x:v>No</x:v>
      </x:c>
      <x:c r="O1785" s="25" t="str">
        <x:v>Pendiente: asignar con R/sf</x:v>
      </x:c>
    </x:row>
    <x:row r="1786">
      <x:c r="A1786" s="25" t="n">
        <x:v>1785</x:v>
      </x:c>
      <x:c r="B1786" s="26" t="n">
        <x:v>41770.96837962963</x:v>
      </x:c>
      <x:c r="C1786" s="27" t="n">
        <x:f>INT(B1786)</x:f>
        <x:v>41770</x:v>
      </x:c>
      <x:c r="D1786" s="28" t="n">
        <x:f>MOD(B1786,1)</x:f>
        <x:v>0.9683796296303626</x:v>
      </x:c>
      <x:c r="E1786" s="29" t="n">
        <x:f>YEAR(B1786)</x:f>
        <x:v>2014</x:v>
      </x:c>
      <x:c r="F1786" s="29" t="n">
        <x:f>MONTH(B1786)</x:f>
        <x:v>5</x:v>
      </x:c>
      <x:c r="G1786" s="30" t="n">
        <x:v>-18.94</x:v>
      </x:c>
      <x:c r="H1786" s="30" t="n">
        <x:v>-69.47</x:v>
      </x:c>
      <x:c r="I1786" s="29" t="n">
        <x:v>107</x:v>
      </x:c>
      <x:c r="J1786" s="31" t="n">
        <x:v>4</x:v>
      </x:c>
      <x:c r="K1786" s="25" t="str">
        <x:f>IF(J1786&gt;=7,"Muy fuerte (&gt;=7)",IF(J1786&gt;=6,"Fuerte (6-6.9)",IF(J1786&gt;=5,"Moderado alto (5-5.9)",IF(J1786&gt;=4,"Moderado (4-4.9)","Menor a 4"))))</x:f>
        <x:v>Moderado (4-4.9)</x:v>
      </x:c>
      <x:c r="L1786" s="25" t="str">
        <x:f>IF(I1786&lt;70,"Superficial (&lt;70 km)",IF(I1786&lt;=300,"Intermedio (70-300 km)","Profundo (&gt;300 km)"))</x:f>
        <x:v>Intermedio (70-300 km)</x:v>
      </x:c>
      <x:c r="M1786" s="25" t="str">
        <x:f>IF(J1786&gt;=5,"Sí","No")</x:f>
        <x:v>No</x:v>
      </x:c>
      <x:c r="N1786" s="25" t="str">
        <x:f>IF(J1786&gt;=6,"Sí","No")</x:f>
        <x:v>No</x:v>
      </x:c>
      <x:c r="O1786" s="25" t="str">
        <x:v>Pendiente: asignar con R/sf</x:v>
      </x:c>
    </x:row>
    <x:row r="1787">
      <x:c r="A1787" s="25" t="n">
        <x:v>1786</x:v>
      </x:c>
      <x:c r="B1787" s="26" t="n">
        <x:v>41763.199166666665</x:v>
      </x:c>
      <x:c r="C1787" s="27" t="n">
        <x:f>INT(B1787)</x:f>
        <x:v>41763</x:v>
      </x:c>
      <x:c r="D1787" s="28" t="n">
        <x:f>MOD(B1787,1)</x:f>
        <x:v>0.1991666666654055</x:v>
      </x:c>
      <x:c r="E1787" s="29" t="n">
        <x:f>YEAR(B1787)</x:f>
        <x:v>2014</x:v>
      </x:c>
      <x:c r="F1787" s="29" t="n">
        <x:f>MONTH(B1787)</x:f>
        <x:v>5</x:v>
      </x:c>
      <x:c r="G1787" s="30" t="n">
        <x:v>-20.01</x:v>
      </x:c>
      <x:c r="H1787" s="30" t="n">
        <x:v>-71.06</x:v>
      </x:c>
      <x:c r="I1787" s="29" t="n">
        <x:v>32</x:v>
      </x:c>
      <x:c r="J1787" s="31" t="n">
        <x:v>4.9</x:v>
      </x:c>
      <x:c r="K1787" s="25" t="str">
        <x:f>IF(J1787&gt;=7,"Muy fuerte (&gt;=7)",IF(J1787&gt;=6,"Fuerte (6-6.9)",IF(J1787&gt;=5,"Moderado alto (5-5.9)",IF(J1787&gt;=4,"Moderado (4-4.9)","Menor a 4"))))</x:f>
        <x:v>Moderado (4-4.9)</x:v>
      </x:c>
      <x:c r="L1787" s="25" t="str">
        <x:f>IF(I1787&lt;70,"Superficial (&lt;70 km)",IF(I1787&lt;=300,"Intermedio (70-300 km)","Profundo (&gt;300 km)"))</x:f>
        <x:v>Superficial (&lt;70 km)</x:v>
      </x:c>
      <x:c r="M1787" s="25" t="str">
        <x:f>IF(J1787&gt;=5,"Sí","No")</x:f>
        <x:v>No</x:v>
      </x:c>
      <x:c r="N1787" s="25" t="str">
        <x:f>IF(J1787&gt;=6,"Sí","No")</x:f>
        <x:v>No</x:v>
      </x:c>
      <x:c r="O1787" s="25" t="str">
        <x:v>Pendiente: asignar con R/sf</x:v>
      </x:c>
    </x:row>
    <x:row r="1788">
      <x:c r="A1788" s="25" t="n">
        <x:v>1787</x:v>
      </x:c>
      <x:c r="B1788" s="26" t="n">
        <x:v>41809.833125</x:v>
      </x:c>
      <x:c r="C1788" s="27" t="n">
        <x:f>INT(B1788)</x:f>
        <x:v>41809</x:v>
      </x:c>
      <x:c r="D1788" s="28" t="n">
        <x:f>MOD(B1788,1)</x:f>
        <x:v>0.8331249999973807</x:v>
      </x:c>
      <x:c r="E1788" s="29" t="n">
        <x:f>YEAR(B1788)</x:f>
        <x:v>2014</x:v>
      </x:c>
      <x:c r="F1788" s="29" t="n">
        <x:f>MONTH(B1788)</x:f>
        <x:v>6</x:v>
      </x:c>
      <x:c r="G1788" s="30" t="n">
        <x:v>-19.84</x:v>
      </x:c>
      <x:c r="H1788" s="30" t="n">
        <x:v>-70.89</x:v>
      </x:c>
      <x:c r="I1788" s="29" t="n">
        <x:v>39</x:v>
      </x:c>
      <x:c r="J1788" s="31" t="n">
        <x:v>5</x:v>
      </x:c>
      <x:c r="K1788" s="25" t="str">
        <x:f>IF(J1788&gt;=7,"Muy fuerte (&gt;=7)",IF(J1788&gt;=6,"Fuerte (6-6.9)",IF(J1788&gt;=5,"Moderado alto (5-5.9)",IF(J1788&gt;=4,"Moderado (4-4.9)","Menor a 4"))))</x:f>
        <x:v>Moderado alto (5-5.9)</x:v>
      </x:c>
      <x:c r="L1788" s="25" t="str">
        <x:f>IF(I1788&lt;70,"Superficial (&lt;70 km)",IF(I1788&lt;=300,"Intermedio (70-300 km)","Profundo (&gt;300 km)"))</x:f>
        <x:v>Superficial (&lt;70 km)</x:v>
      </x:c>
      <x:c r="M1788" s="25" t="str">
        <x:f>IF(J1788&gt;=5,"Sí","No")</x:f>
        <x:v>Sí</x:v>
      </x:c>
      <x:c r="N1788" s="25" t="str">
        <x:f>IF(J1788&gt;=6,"Sí","No")</x:f>
        <x:v>No</x:v>
      </x:c>
      <x:c r="O1788" s="25" t="str">
        <x:v>Pendiente: asignar con R/sf</x:v>
      </x:c>
    </x:row>
    <x:row r="1789">
      <x:c r="A1789" s="25" t="n">
        <x:v>1788</x:v>
      </x:c>
      <x:c r="B1789" s="26" t="n">
        <x:v>41750.56884259259</x:v>
      </x:c>
      <x:c r="C1789" s="27" t="n">
        <x:f>INT(B1789)</x:f>
        <x:v>41750</x:v>
      </x:c>
      <x:c r="D1789" s="28" t="n">
        <x:f>MOD(B1789,1)</x:f>
        <x:v>0.5688425925909542</x:v>
      </x:c>
      <x:c r="E1789" s="29" t="n">
        <x:f>YEAR(B1789)</x:f>
        <x:v>2014</x:v>
      </x:c>
      <x:c r="F1789" s="29" t="n">
        <x:f>MONTH(B1789)</x:f>
        <x:v>4</x:v>
      </x:c>
      <x:c r="G1789" s="30" t="n">
        <x:v>-19.68</x:v>
      </x:c>
      <x:c r="H1789" s="30" t="n">
        <x:v>-70.96</x:v>
      </x:c>
      <x:c r="I1789" s="29" t="n">
        <x:v>32</x:v>
      </x:c>
      <x:c r="J1789" s="31" t="n">
        <x:v>5.2</x:v>
      </x:c>
      <x:c r="K1789" s="25" t="str">
        <x:f>IF(J1789&gt;=7,"Muy fuerte (&gt;=7)",IF(J1789&gt;=6,"Fuerte (6-6.9)",IF(J1789&gt;=5,"Moderado alto (5-5.9)",IF(J1789&gt;=4,"Moderado (4-4.9)","Menor a 4"))))</x:f>
        <x:v>Moderado alto (5-5.9)</x:v>
      </x:c>
      <x:c r="L1789" s="25" t="str">
        <x:f>IF(I1789&lt;70,"Superficial (&lt;70 km)",IF(I1789&lt;=300,"Intermedio (70-300 km)","Profundo (&gt;300 km)"))</x:f>
        <x:v>Superficial (&lt;70 km)</x:v>
      </x:c>
      <x:c r="M1789" s="25" t="str">
        <x:f>IF(J1789&gt;=5,"Sí","No")</x:f>
        <x:v>Sí</x:v>
      </x:c>
      <x:c r="N1789" s="25" t="str">
        <x:f>IF(J1789&gt;=6,"Sí","No")</x:f>
        <x:v>No</x:v>
      </x:c>
      <x:c r="O1789" s="25" t="str">
        <x:v>Pendiente: asignar con R/sf</x:v>
      </x:c>
    </x:row>
    <x:row r="1790">
      <x:c r="A1790" s="25" t="n">
        <x:v>1789</x:v>
      </x:c>
      <x:c r="B1790" s="26" t="n">
        <x:v>41712.64673611111</x:v>
      </x:c>
      <x:c r="C1790" s="27" t="n">
        <x:f>INT(B1790)</x:f>
        <x:v>41712</x:v>
      </x:c>
      <x:c r="D1790" s="28" t="n">
        <x:f>MOD(B1790,1)</x:f>
        <x:v>0.6467361111135688</x:v>
      </x:c>
      <x:c r="E1790" s="29" t="n">
        <x:f>YEAR(B1790)</x:f>
        <x:v>2014</x:v>
      </x:c>
      <x:c r="F1790" s="29" t="n">
        <x:f>MONTH(B1790)</x:f>
        <x:v>3</x:v>
      </x:c>
      <x:c r="G1790" s="30" t="n">
        <x:v>-19.46</x:v>
      </x:c>
      <x:c r="H1790" s="30" t="n">
        <x:v>-69.45</x:v>
      </x:c>
      <x:c r="I1790" s="29" t="n">
        <x:v>93</x:v>
      </x:c>
      <x:c r="J1790" s="31" t="n">
        <x:v>4.9</x:v>
      </x:c>
      <x:c r="K1790" s="25" t="str">
        <x:f>IF(J1790&gt;=7,"Muy fuerte (&gt;=7)",IF(J1790&gt;=6,"Fuerte (6-6.9)",IF(J1790&gt;=5,"Moderado alto (5-5.9)",IF(J1790&gt;=4,"Moderado (4-4.9)","Menor a 4"))))</x:f>
        <x:v>Moderado (4-4.9)</x:v>
      </x:c>
      <x:c r="L1790" s="25" t="str">
        <x:f>IF(I1790&lt;70,"Superficial (&lt;70 km)",IF(I1790&lt;=300,"Intermedio (70-300 km)","Profundo (&gt;300 km)"))</x:f>
        <x:v>Intermedio (70-300 km)</x:v>
      </x:c>
      <x:c r="M1790" s="25" t="str">
        <x:f>IF(J1790&gt;=5,"Sí","No")</x:f>
        <x:v>No</x:v>
      </x:c>
      <x:c r="N1790" s="25" t="str">
        <x:f>IF(J1790&gt;=6,"Sí","No")</x:f>
        <x:v>No</x:v>
      </x:c>
      <x:c r="O1790" s="25" t="str">
        <x:v>Pendiente: asignar con R/sf</x:v>
      </x:c>
    </x:row>
    <x:row r="1791">
      <x:c r="A1791" s="25" t="n">
        <x:v>1790</x:v>
      </x:c>
      <x:c r="B1791" s="26" t="n">
        <x:v>41764.473125</x:v>
      </x:c>
      <x:c r="C1791" s="27" t="n">
        <x:f>INT(B1791)</x:f>
        <x:v>41764</x:v>
      </x:c>
      <x:c r="D1791" s="28" t="n">
        <x:f>MOD(B1791,1)</x:f>
        <x:v>0.4731249999967986</x:v>
      </x:c>
      <x:c r="E1791" s="29" t="n">
        <x:f>YEAR(B1791)</x:f>
        <x:v>2014</x:v>
      </x:c>
      <x:c r="F1791" s="29" t="n">
        <x:f>MONTH(B1791)</x:f>
        <x:v>5</x:v>
      </x:c>
      <x:c r="G1791" s="30" t="n">
        <x:v>-20.2</x:v>
      </x:c>
      <x:c r="H1791" s="30" t="n">
        <x:v>-70.74</x:v>
      </x:c>
      <x:c r="I1791" s="29" t="n">
        <x:v>41</x:v>
      </x:c>
      <x:c r="J1791" s="31" t="n">
        <x:v>5.1</x:v>
      </x:c>
      <x:c r="K1791" s="25" t="str">
        <x:f>IF(J1791&gt;=7,"Muy fuerte (&gt;=7)",IF(J1791&gt;=6,"Fuerte (6-6.9)",IF(J1791&gt;=5,"Moderado alto (5-5.9)",IF(J1791&gt;=4,"Moderado (4-4.9)","Menor a 4"))))</x:f>
        <x:v>Moderado alto (5-5.9)</x:v>
      </x:c>
      <x:c r="L1791" s="25" t="str">
        <x:f>IF(I1791&lt;70,"Superficial (&lt;70 km)",IF(I1791&lt;=300,"Intermedio (70-300 km)","Profundo (&gt;300 km)"))</x:f>
        <x:v>Superficial (&lt;70 km)</x:v>
      </x:c>
      <x:c r="M1791" s="25" t="str">
        <x:f>IF(J1791&gt;=5,"Sí","No")</x:f>
        <x:v>Sí</x:v>
      </x:c>
      <x:c r="N1791" s="25" t="str">
        <x:f>IF(J1791&gt;=6,"Sí","No")</x:f>
        <x:v>No</x:v>
      </x:c>
      <x:c r="O1791" s="25" t="str">
        <x:v>Pendiente: asignar con R/sf</x:v>
      </x:c>
    </x:row>
    <x:row r="1792">
      <x:c r="A1792" s="25" t="n">
        <x:v>1791</x:v>
      </x:c>
      <x:c r="B1792" s="26" t="n">
        <x:v>41732.490011574075</x:v>
      </x:c>
      <x:c r="C1792" s="27" t="n">
        <x:f>INT(B1792)</x:f>
        <x:v>41732</x:v>
      </x:c>
      <x:c r="D1792" s="28" t="n">
        <x:f>MOD(B1792,1)</x:f>
        <x:v>0.4900115740747424</x:v>
      </x:c>
      <x:c r="E1792" s="29" t="n">
        <x:f>YEAR(B1792)</x:f>
        <x:v>2014</x:v>
      </x:c>
      <x:c r="F1792" s="29" t="n">
        <x:f>MONTH(B1792)</x:f>
        <x:v>4</x:v>
      </x:c>
      <x:c r="G1792" s="30" t="n">
        <x:v>-20.34</x:v>
      </x:c>
      <x:c r="H1792" s="30" t="n">
        <x:v>-69.92</x:v>
      </x:c>
      <x:c r="I1792" s="29" t="n">
        <x:v>48</x:v>
      </x:c>
      <x:c r="J1792" s="31" t="n">
        <x:v>4</x:v>
      </x:c>
      <x:c r="K1792" s="25" t="str">
        <x:f>IF(J1792&gt;=7,"Muy fuerte (&gt;=7)",IF(J1792&gt;=6,"Fuerte (6-6.9)",IF(J1792&gt;=5,"Moderado alto (5-5.9)",IF(J1792&gt;=4,"Moderado (4-4.9)","Menor a 4"))))</x:f>
        <x:v>Moderado (4-4.9)</x:v>
      </x:c>
      <x:c r="L1792" s="25" t="str">
        <x:f>IF(I1792&lt;70,"Superficial (&lt;70 km)",IF(I1792&lt;=300,"Intermedio (70-300 km)","Profundo (&gt;300 km)"))</x:f>
        <x:v>Superficial (&lt;70 km)</x:v>
      </x:c>
      <x:c r="M1792" s="25" t="str">
        <x:f>IF(J1792&gt;=5,"Sí","No")</x:f>
        <x:v>No</x:v>
      </x:c>
      <x:c r="N1792" s="25" t="str">
        <x:f>IF(J1792&gt;=6,"Sí","No")</x:f>
        <x:v>No</x:v>
      </x:c>
      <x:c r="O1792" s="25" t="str">
        <x:v>Pendiente: asignar con R/sf</x:v>
      </x:c>
    </x:row>
    <x:row r="1793">
      <x:c r="A1793" s="25" t="n">
        <x:v>1792</x:v>
      </x:c>
      <x:c r="B1793" s="26" t="n">
        <x:v>41732.22655092592</x:v>
      </x:c>
      <x:c r="C1793" s="27" t="n">
        <x:f>INT(B1793)</x:f>
        <x:v>41732</x:v>
      </x:c>
      <x:c r="D1793" s="28" t="n">
        <x:f>MOD(B1793,1)</x:f>
        <x:v>0.22655092592322035</x:v>
      </x:c>
      <x:c r="E1793" s="29" t="n">
        <x:f>YEAR(B1793)</x:f>
        <x:v>2014</x:v>
      </x:c>
      <x:c r="F1793" s="29" t="n">
        <x:f>MONTH(B1793)</x:f>
        <x:v>4</x:v>
      </x:c>
      <x:c r="G1793" s="30" t="n">
        <x:v>-20.8</x:v>
      </x:c>
      <x:c r="H1793" s="30" t="n">
        <x:v>-70.65</x:v>
      </x:c>
      <x:c r="I1793" s="29" t="n">
        <x:v>38</x:v>
      </x:c>
      <x:c r="J1793" s="31" t="n">
        <x:v>6.3</x:v>
      </x:c>
      <x:c r="K1793" s="25" t="str">
        <x:f>IF(J1793&gt;=7,"Muy fuerte (&gt;=7)",IF(J1793&gt;=6,"Fuerte (6-6.9)",IF(J1793&gt;=5,"Moderado alto (5-5.9)",IF(J1793&gt;=4,"Moderado (4-4.9)","Menor a 4"))))</x:f>
        <x:v>Fuerte (6-6.9)</x:v>
      </x:c>
      <x:c r="L1793" s="25" t="str">
        <x:f>IF(I1793&lt;70,"Superficial (&lt;70 km)",IF(I1793&lt;=300,"Intermedio (70-300 km)","Profundo (&gt;300 km)"))</x:f>
        <x:v>Superficial (&lt;70 km)</x:v>
      </x:c>
      <x:c r="M1793" s="25" t="str">
        <x:f>IF(J1793&gt;=5,"Sí","No")</x:f>
        <x:v>Sí</x:v>
      </x:c>
      <x:c r="N1793" s="25" t="str">
        <x:f>IF(J1793&gt;=6,"Sí","No")</x:f>
        <x:v>Sí</x:v>
      </x:c>
      <x:c r="O1793" s="25" t="str">
        <x:v>Pendiente: asignar con R/sf</x:v>
      </x:c>
    </x:row>
    <x:row r="1794">
      <x:c r="A1794" s="25" t="n">
        <x:v>1793</x:v>
      </x:c>
      <x:c r="B1794" s="26" t="n">
        <x:v>41722.476851851854</x:v>
      </x:c>
      <x:c r="C1794" s="27" t="n">
        <x:f>INT(B1794)</x:f>
        <x:v>41722</x:v>
      </x:c>
      <x:c r="D1794" s="28" t="n">
        <x:f>MOD(B1794,1)</x:f>
        <x:v>0.4768518518540077</x:v>
      </x:c>
      <x:c r="E1794" s="29" t="n">
        <x:f>YEAR(B1794)</x:f>
        <x:v>2014</x:v>
      </x:c>
      <x:c r="F1794" s="29" t="n">
        <x:f>MONTH(B1794)</x:f>
        <x:v>3</x:v>
      </x:c>
      <x:c r="G1794" s="30" t="n">
        <x:v>-19.88</x:v>
      </x:c>
      <x:c r="H1794" s="30" t="n">
        <x:v>-70.84</x:v>
      </x:c>
      <x:c r="I1794" s="29" t="n">
        <x:v>6</x:v>
      </x:c>
      <x:c r="J1794" s="31" t="n">
        <x:v>5.4</x:v>
      </x:c>
      <x:c r="K1794" s="25" t="str">
        <x:f>IF(J1794&gt;=7,"Muy fuerte (&gt;=7)",IF(J1794&gt;=6,"Fuerte (6-6.9)",IF(J1794&gt;=5,"Moderado alto (5-5.9)",IF(J1794&gt;=4,"Moderado (4-4.9)","Menor a 4"))))</x:f>
        <x:v>Moderado alto (5-5.9)</x:v>
      </x:c>
      <x:c r="L1794" s="25" t="str">
        <x:f>IF(I1794&lt;70,"Superficial (&lt;70 km)",IF(I1794&lt;=300,"Intermedio (70-300 km)","Profundo (&gt;300 km)"))</x:f>
        <x:v>Superficial (&lt;70 km)</x:v>
      </x:c>
      <x:c r="M1794" s="25" t="str">
        <x:f>IF(J1794&gt;=5,"Sí","No")</x:f>
        <x:v>Sí</x:v>
      </x:c>
      <x:c r="N1794" s="25" t="str">
        <x:f>IF(J1794&gt;=6,"Sí","No")</x:f>
        <x:v>No</x:v>
      </x:c>
      <x:c r="O1794" s="25" t="str">
        <x:v>Pendiente: asignar con R/sf</x:v>
      </x:c>
    </x:row>
    <x:row r="1795">
      <x:c r="A1795" s="25" t="n">
        <x:v>1794</x:v>
      </x:c>
      <x:c r="B1795" s="26" t="n">
        <x:v>41734.22844907407</x:v>
      </x:c>
      <x:c r="C1795" s="27" t="n">
        <x:f>INT(B1795)</x:f>
        <x:v>41734</x:v>
      </x:c>
      <x:c r="D1795" s="28" t="n">
        <x:f>MOD(B1795,1)</x:f>
        <x:v>0.22844907407124992</x:v>
      </x:c>
      <x:c r="E1795" s="29" t="n">
        <x:f>YEAR(B1795)</x:f>
        <x:v>2014</x:v>
      </x:c>
      <x:c r="F1795" s="29" t="n">
        <x:f>MONTH(B1795)</x:f>
        <x:v>4</x:v>
      </x:c>
      <x:c r="G1795" s="30" t="n">
        <x:v>-20.6</x:v>
      </x:c>
      <x:c r="H1795" s="30" t="n">
        <x:v>-70.67</x:v>
      </x:c>
      <x:c r="I1795" s="29" t="n">
        <x:v>21</x:v>
      </x:c>
      <x:c r="J1795" s="31" t="n">
        <x:v>4.6</x:v>
      </x:c>
      <x:c r="K1795" s="25" t="str">
        <x:f>IF(J1795&gt;=7,"Muy fuerte (&gt;=7)",IF(J1795&gt;=6,"Fuerte (6-6.9)",IF(J1795&gt;=5,"Moderado alto (5-5.9)",IF(J1795&gt;=4,"Moderado (4-4.9)","Menor a 4"))))</x:f>
        <x:v>Moderado (4-4.9)</x:v>
      </x:c>
      <x:c r="L1795" s="25" t="str">
        <x:f>IF(I1795&lt;70,"Superficial (&lt;70 km)",IF(I1795&lt;=300,"Intermedio (70-300 km)","Profundo (&gt;300 km)"))</x:f>
        <x:v>Superficial (&lt;70 km)</x:v>
      </x:c>
      <x:c r="M1795" s="25" t="str">
        <x:f>IF(J1795&gt;=5,"Sí","No")</x:f>
        <x:v>No</x:v>
      </x:c>
      <x:c r="N1795" s="25" t="str">
        <x:f>IF(J1795&gt;=6,"Sí","No")</x:f>
        <x:v>No</x:v>
      </x:c>
      <x:c r="O1795" s="25" t="str">
        <x:v>Pendiente: asignar con R/sf</x:v>
      </x:c>
    </x:row>
    <x:row r="1796">
      <x:c r="A1796" s="25" t="n">
        <x:v>1795</x:v>
      </x:c>
      <x:c r="B1796" s="26" t="n">
        <x:v>41732.08230324074</x:v>
      </x:c>
      <x:c r="C1796" s="27" t="n">
        <x:f>INT(B1796)</x:f>
        <x:v>41732</x:v>
      </x:c>
      <x:c r="D1796" s="28" t="n">
        <x:f>MOD(B1796,1)</x:f>
        <x:v>0.08230324074247619</x:v>
      </x:c>
      <x:c r="E1796" s="29" t="n">
        <x:f>YEAR(B1796)</x:f>
        <x:v>2014</x:v>
      </x:c>
      <x:c r="F1796" s="29" t="n">
        <x:f>MONTH(B1796)</x:f>
        <x:v>4</x:v>
      </x:c>
      <x:c r="G1796" s="30" t="n">
        <x:v>-20.29</x:v>
      </x:c>
      <x:c r="H1796" s="30" t="n">
        <x:v>-70.61</x:v>
      </x:c>
      <x:c r="I1796" s="29" t="n">
        <x:v>26</x:v>
      </x:c>
      <x:c r="J1796" s="31" t="n">
        <x:v>6.3</x:v>
      </x:c>
      <x:c r="K1796" s="25" t="str">
        <x:f>IF(J1796&gt;=7,"Muy fuerte (&gt;=7)",IF(J1796&gt;=6,"Fuerte (6-6.9)",IF(J1796&gt;=5,"Moderado alto (5-5.9)",IF(J1796&gt;=4,"Moderado (4-4.9)","Menor a 4"))))</x:f>
        <x:v>Fuerte (6-6.9)</x:v>
      </x:c>
      <x:c r="L1796" s="25" t="str">
        <x:f>IF(I1796&lt;70,"Superficial (&lt;70 km)",IF(I1796&lt;=300,"Intermedio (70-300 km)","Profundo (&gt;300 km)"))</x:f>
        <x:v>Superficial (&lt;70 km)</x:v>
      </x:c>
      <x:c r="M1796" s="25" t="str">
        <x:f>IF(J1796&gt;=5,"Sí","No")</x:f>
        <x:v>Sí</x:v>
      </x:c>
      <x:c r="N1796" s="25" t="str">
        <x:f>IF(J1796&gt;=6,"Sí","No")</x:f>
        <x:v>Sí</x:v>
      </x:c>
      <x:c r="O1796" s="25" t="str">
        <x:v>Pendiente: asignar con R/sf</x:v>
      </x:c>
    </x:row>
    <x:row r="1797">
      <x:c r="A1797" s="25" t="n">
        <x:v>1796</x:v>
      </x:c>
      <x:c r="B1797" s="26" t="n">
        <x:v>41732.23232638889</x:v>
      </x:c>
      <x:c r="C1797" s="27" t="n">
        <x:f>INT(B1797)</x:f>
        <x:v>41732</x:v>
      </x:c>
      <x:c r="D1797" s="28" t="n">
        <x:f>MOD(B1797,1)</x:f>
        <x:v>0.23232638889021473</x:v>
      </x:c>
      <x:c r="E1797" s="29" t="n">
        <x:f>YEAR(B1797)</x:f>
        <x:v>2014</x:v>
      </x:c>
      <x:c r="F1797" s="29" t="n">
        <x:f>MONTH(B1797)</x:f>
        <x:v>4</x:v>
      </x:c>
      <x:c r="G1797" s="30" t="n">
        <x:v>-20.47</x:v>
      </x:c>
      <x:c r="H1797" s="30" t="n">
        <x:v>-70.57</x:v>
      </x:c>
      <x:c r="I1797" s="29" t="n">
        <x:v>20</x:v>
      </x:c>
      <x:c r="J1797" s="31" t="n">
        <x:v>4.6</x:v>
      </x:c>
      <x:c r="K1797" s="25" t="str">
        <x:f>IF(J1797&gt;=7,"Muy fuerte (&gt;=7)",IF(J1797&gt;=6,"Fuerte (6-6.9)",IF(J1797&gt;=5,"Moderado alto (5-5.9)",IF(J1797&gt;=4,"Moderado (4-4.9)","Menor a 4"))))</x:f>
        <x:v>Moderado (4-4.9)</x:v>
      </x:c>
      <x:c r="L1797" s="25" t="str">
        <x:f>IF(I1797&lt;70,"Superficial (&lt;70 km)",IF(I1797&lt;=300,"Intermedio (70-300 km)","Profundo (&gt;300 km)"))</x:f>
        <x:v>Superficial (&lt;70 km)</x:v>
      </x:c>
      <x:c r="M1797" s="25" t="str">
        <x:f>IF(J1797&gt;=5,"Sí","No")</x:f>
        <x:v>No</x:v>
      </x:c>
      <x:c r="N1797" s="25" t="str">
        <x:f>IF(J1797&gt;=6,"Sí","No")</x:f>
        <x:v>No</x:v>
      </x:c>
      <x:c r="O1797" s="25" t="str">
        <x:v>Pendiente: asignar con R/sf</x:v>
      </x:c>
    </x:row>
    <x:row r="1798">
      <x:c r="A1798" s="25" t="n">
        <x:v>1797</x:v>
      </x:c>
      <x:c r="B1798" s="26" t="n">
        <x:v>41768.881886574076</x:v>
      </x:c>
      <x:c r="C1798" s="27" t="n">
        <x:f>INT(B1798)</x:f>
        <x:v>41768</x:v>
      </x:c>
      <x:c r="D1798" s="28" t="n">
        <x:f>MOD(B1798,1)</x:f>
        <x:v>0.8818865740759065</x:v>
      </x:c>
      <x:c r="E1798" s="29" t="n">
        <x:f>YEAR(B1798)</x:f>
        <x:v>2014</x:v>
      </x:c>
      <x:c r="F1798" s="29" t="n">
        <x:f>MONTH(B1798)</x:f>
        <x:v>5</x:v>
      </x:c>
      <x:c r="G1798" s="30" t="n">
        <x:v>-20.19</x:v>
      </x:c>
      <x:c r="H1798" s="30" t="n">
        <x:v>-70.43</x:v>
      </x:c>
      <x:c r="I1798" s="29" t="n">
        <x:v>34</x:v>
      </x:c>
      <x:c r="J1798" s="31" t="n">
        <x:v>4.1</x:v>
      </x:c>
      <x:c r="K1798" s="25" t="str">
        <x:f>IF(J1798&gt;=7,"Muy fuerte (&gt;=7)",IF(J1798&gt;=6,"Fuerte (6-6.9)",IF(J1798&gt;=5,"Moderado alto (5-5.9)",IF(J1798&gt;=4,"Moderado (4-4.9)","Menor a 4"))))</x:f>
        <x:v>Moderado (4-4.9)</x:v>
      </x:c>
      <x:c r="L1798" s="25" t="str">
        <x:f>IF(I1798&lt;70,"Superficial (&lt;70 km)",IF(I1798&lt;=300,"Intermedio (70-300 km)","Profundo (&gt;300 km)"))</x:f>
        <x:v>Superficial (&lt;70 km)</x:v>
      </x:c>
      <x:c r="M1798" s="25" t="str">
        <x:f>IF(J1798&gt;=5,"Sí","No")</x:f>
        <x:v>No</x:v>
      </x:c>
      <x:c r="N1798" s="25" t="str">
        <x:f>IF(J1798&gt;=6,"Sí","No")</x:f>
        <x:v>No</x:v>
      </x:c>
      <x:c r="O1798" s="25" t="str">
        <x:v>Pendiente: asignar con R/sf</x:v>
      </x:c>
    </x:row>
    <x:row r="1799">
      <x:c r="A1799" s="25" t="n">
        <x:v>1798</x:v>
      </x:c>
      <x:c r="B1799" s="26" t="n">
        <x:v>41732.57596064815</x:v>
      </x:c>
      <x:c r="C1799" s="27" t="n">
        <x:f>INT(B1799)</x:f>
        <x:v>41732</x:v>
      </x:c>
      <x:c r="D1799" s="28" t="n">
        <x:f>MOD(B1799,1)</x:f>
        <x:v>0.575960648151522</x:v>
      </x:c>
      <x:c r="E1799" s="29" t="n">
        <x:f>YEAR(B1799)</x:f>
        <x:v>2014</x:v>
      </x:c>
      <x:c r="F1799" s="29" t="n">
        <x:f>MONTH(B1799)</x:f>
        <x:v>4</x:v>
      </x:c>
      <x:c r="G1799" s="30" t="n">
        <x:v>-20.48</x:v>
      </x:c>
      <x:c r="H1799" s="30" t="n">
        <x:v>-70.49</x:v>
      </x:c>
      <x:c r="I1799" s="29" t="n">
        <x:v>28</x:v>
      </x:c>
      <x:c r="J1799" s="31" t="n">
        <x:v>4.5</x:v>
      </x:c>
      <x:c r="K1799" s="25" t="str">
        <x:f>IF(J1799&gt;=7,"Muy fuerte (&gt;=7)",IF(J1799&gt;=6,"Fuerte (6-6.9)",IF(J1799&gt;=5,"Moderado alto (5-5.9)",IF(J1799&gt;=4,"Moderado (4-4.9)","Menor a 4"))))</x:f>
        <x:v>Moderado (4-4.9)</x:v>
      </x:c>
      <x:c r="L1799" s="25" t="str">
        <x:f>IF(I1799&lt;70,"Superficial (&lt;70 km)",IF(I1799&lt;=300,"Intermedio (70-300 km)","Profundo (&gt;300 km)"))</x:f>
        <x:v>Superficial (&lt;70 km)</x:v>
      </x:c>
      <x:c r="M1799" s="25" t="str">
        <x:f>IF(J1799&gt;=5,"Sí","No")</x:f>
        <x:v>No</x:v>
      </x:c>
      <x:c r="N1799" s="25" t="str">
        <x:f>IF(J1799&gt;=6,"Sí","No")</x:f>
        <x:v>No</x:v>
      </x:c>
      <x:c r="O1799" s="25" t="str">
        <x:v>Pendiente: asignar con R/sf</x:v>
      </x:c>
    </x:row>
    <x:row r="1800">
      <x:c r="A1800" s="25" t="n">
        <x:v>1799</x:v>
      </x:c>
      <x:c r="B1800" s="26" t="n">
        <x:v>41972.56269675926</x:v>
      </x:c>
      <x:c r="C1800" s="27" t="n">
        <x:f>INT(B1800)</x:f>
        <x:v>41972</x:v>
      </x:c>
      <x:c r="D1800" s="28" t="n">
        <x:f>MOD(B1800,1)</x:f>
        <x:v>0.5626967592615983</x:v>
      </x:c>
      <x:c r="E1800" s="29" t="n">
        <x:f>YEAR(B1800)</x:f>
        <x:v>2014</x:v>
      </x:c>
      <x:c r="F1800" s="29" t="n">
        <x:f>MONTH(B1800)</x:f>
        <x:v>11</x:v>
      </x:c>
      <x:c r="G1800" s="30" t="n">
        <x:v>-29.78</x:v>
      </x:c>
      <x:c r="H1800" s="30" t="n">
        <x:v>-71.28</x:v>
      </x:c>
      <x:c r="I1800" s="29" t="n">
        <x:v>60</x:v>
      </x:c>
      <x:c r="J1800" s="31" t="n">
        <x:v>4.8</x:v>
      </x:c>
      <x:c r="K1800" s="25" t="str">
        <x:f>IF(J1800&gt;=7,"Muy fuerte (&gt;=7)",IF(J1800&gt;=6,"Fuerte (6-6.9)",IF(J1800&gt;=5,"Moderado alto (5-5.9)",IF(J1800&gt;=4,"Moderado (4-4.9)","Menor a 4"))))</x:f>
        <x:v>Moderado (4-4.9)</x:v>
      </x:c>
      <x:c r="L1800" s="25" t="str">
        <x:f>IF(I1800&lt;70,"Superficial (&lt;70 km)",IF(I1800&lt;=300,"Intermedio (70-300 km)","Profundo (&gt;300 km)"))</x:f>
        <x:v>Superficial (&lt;70 km)</x:v>
      </x:c>
      <x:c r="M1800" s="25" t="str">
        <x:f>IF(J1800&gt;=5,"Sí","No")</x:f>
        <x:v>No</x:v>
      </x:c>
      <x:c r="N1800" s="25" t="str">
        <x:f>IF(J1800&gt;=6,"Sí","No")</x:f>
        <x:v>No</x:v>
      </x:c>
      <x:c r="O1800" s="25" t="str">
        <x:v>Pendiente: asignar con R/sf</x:v>
      </x:c>
    </x:row>
    <x:row r="1801">
      <x:c r="A1801" s="25" t="n">
        <x:v>1800</x:v>
      </x:c>
      <x:c r="B1801" s="26" t="n">
        <x:v>41721.76388888889</x:v>
      </x:c>
      <x:c r="C1801" s="27" t="n">
        <x:f>INT(B1801)</x:f>
        <x:v>41721</x:v>
      </x:c>
      <x:c r="D1801" s="28" t="n">
        <x:f>MOD(B1801,1)</x:f>
        <x:v>0.7638888888905058</x:v>
      </x:c>
      <x:c r="E1801" s="29" t="n">
        <x:f>YEAR(B1801)</x:f>
        <x:v>2014</x:v>
      </x:c>
      <x:c r="F1801" s="29" t="n">
        <x:f>MONTH(B1801)</x:f>
        <x:v>3</x:v>
      </x:c>
      <x:c r="G1801" s="30" t="n">
        <x:v>-19.79</x:v>
      </x:c>
      <x:c r="H1801" s="30" t="n">
        <x:v>-70.94</x:v>
      </x:c>
      <x:c r="I1801" s="29" t="n">
        <x:v>34</x:v>
      </x:c>
      <x:c r="J1801" s="31" t="n">
        <x:v>6.1</x:v>
      </x:c>
      <x:c r="K1801" s="25" t="str">
        <x:f>IF(J1801&gt;=7,"Muy fuerte (&gt;=7)",IF(J1801&gt;=6,"Fuerte (6-6.9)",IF(J1801&gt;=5,"Moderado alto (5-5.9)",IF(J1801&gt;=4,"Moderado (4-4.9)","Menor a 4"))))</x:f>
        <x:v>Fuerte (6-6.9)</x:v>
      </x:c>
      <x:c r="L1801" s="25" t="str">
        <x:f>IF(I1801&lt;70,"Superficial (&lt;70 km)",IF(I1801&lt;=300,"Intermedio (70-300 km)","Profundo (&gt;300 km)"))</x:f>
        <x:v>Superficial (&lt;70 km)</x:v>
      </x:c>
      <x:c r="M1801" s="25" t="str">
        <x:f>IF(J1801&gt;=5,"Sí","No")</x:f>
        <x:v>Sí</x:v>
      </x:c>
      <x:c r="N1801" s="25" t="str">
        <x:f>IF(J1801&gt;=6,"Sí","No")</x:f>
        <x:v>Sí</x:v>
      </x:c>
      <x:c r="O1801" s="25" t="str">
        <x:v>Pendiente: asignar con R/sf</x:v>
      </x:c>
    </x:row>
    <x:row r="1802">
      <x:c r="A1802" s="25" t="n">
        <x:v>1801</x:v>
      </x:c>
      <x:c r="B1802" s="26" t="n">
        <x:v>41720.541597222225</x:v>
      </x:c>
      <x:c r="C1802" s="27" t="n">
        <x:f>INT(B1802)</x:f>
        <x:v>41720</x:v>
      </x:c>
      <x:c r="D1802" s="28" t="n">
        <x:f>MOD(B1802,1)</x:f>
        <x:v>0.5415972222253913</x:v>
      </x:c>
      <x:c r="E1802" s="29" t="n">
        <x:f>YEAR(B1802)</x:f>
        <x:v>2014</x:v>
      </x:c>
      <x:c r="F1802" s="29" t="n">
        <x:f>MONTH(B1802)</x:f>
        <x:v>3</x:v>
      </x:c>
      <x:c r="G1802" s="30" t="n">
        <x:v>-19.84</x:v>
      </x:c>
      <x:c r="H1802" s="30" t="n">
        <x:v>-71.38</x:v>
      </x:c>
      <x:c r="I1802" s="29" t="n">
        <x:v>32</x:v>
      </x:c>
      <x:c r="J1802" s="31" t="n">
        <x:v>5.8</x:v>
      </x:c>
      <x:c r="K1802" s="25" t="str">
        <x:f>IF(J1802&gt;=7,"Muy fuerte (&gt;=7)",IF(J1802&gt;=6,"Fuerte (6-6.9)",IF(J1802&gt;=5,"Moderado alto (5-5.9)",IF(J1802&gt;=4,"Moderado (4-4.9)","Menor a 4"))))</x:f>
        <x:v>Moderado alto (5-5.9)</x:v>
      </x:c>
      <x:c r="L1802" s="25" t="str">
        <x:f>IF(I1802&lt;70,"Superficial (&lt;70 km)",IF(I1802&lt;=300,"Intermedio (70-300 km)","Profundo (&gt;300 km)"))</x:f>
        <x:v>Superficial (&lt;70 km)</x:v>
      </x:c>
      <x:c r="M1802" s="25" t="str">
        <x:f>IF(J1802&gt;=5,"Sí","No")</x:f>
        <x:v>Sí</x:v>
      </x:c>
      <x:c r="N1802" s="25" t="str">
        <x:f>IF(J1802&gt;=6,"Sí","No")</x:f>
        <x:v>No</x:v>
      </x:c>
      <x:c r="O1802" s="25" t="str">
        <x:v>Pendiente: asignar con R/sf</x:v>
      </x:c>
    </x:row>
    <x:row r="1803">
      <x:c r="A1803" s="25" t="n">
        <x:v>1802</x:v>
      </x:c>
      <x:c r="B1803" s="26" t="n">
        <x:v>41732.49361111111</x:v>
      </x:c>
      <x:c r="C1803" s="27" t="n">
        <x:f>INT(B1803)</x:f>
        <x:v>41732</x:v>
      </x:c>
      <x:c r="D1803" s="28" t="n">
        <x:f>MOD(B1803,1)</x:f>
        <x:v>0.4936111111092032</x:v>
      </x:c>
      <x:c r="E1803" s="29" t="n">
        <x:f>YEAR(B1803)</x:f>
        <x:v>2014</x:v>
      </x:c>
      <x:c r="F1803" s="29" t="n">
        <x:f>MONTH(B1803)</x:f>
        <x:v>4</x:v>
      </x:c>
      <x:c r="G1803" s="30" t="n">
        <x:v>-20.66</x:v>
      </x:c>
      <x:c r="H1803" s="30" t="n">
        <x:v>-70.34</x:v>
      </x:c>
      <x:c r="I1803" s="29" t="n">
        <x:v>32</x:v>
      </x:c>
      <x:c r="J1803" s="31" t="n">
        <x:v>4.7</x:v>
      </x:c>
      <x:c r="K1803" s="25" t="str">
        <x:f>IF(J1803&gt;=7,"Muy fuerte (&gt;=7)",IF(J1803&gt;=6,"Fuerte (6-6.9)",IF(J1803&gt;=5,"Moderado alto (5-5.9)",IF(J1803&gt;=4,"Moderado (4-4.9)","Menor a 4"))))</x:f>
        <x:v>Moderado (4-4.9)</x:v>
      </x:c>
      <x:c r="L1803" s="25" t="str">
        <x:f>IF(I1803&lt;70,"Superficial (&lt;70 km)",IF(I1803&lt;=300,"Intermedio (70-300 km)","Profundo (&gt;300 km)"))</x:f>
        <x:v>Superficial (&lt;70 km)</x:v>
      </x:c>
      <x:c r="M1803" s="25" t="str">
        <x:f>IF(J1803&gt;=5,"Sí","No")</x:f>
        <x:v>No</x:v>
      </x:c>
      <x:c r="N1803" s="25" t="str">
        <x:f>IF(J1803&gt;=6,"Sí","No")</x:f>
        <x:v>No</x:v>
      </x:c>
      <x:c r="O1803" s="25" t="str">
        <x:v>Pendiente: asignar con R/sf</x:v>
      </x:c>
    </x:row>
    <x:row r="1804">
      <x:c r="A1804" s="25" t="n">
        <x:v>1803</x:v>
      </x:c>
      <x:c r="B1804" s="26" t="n">
        <x:v>41675.49380787037</x:v>
      </x:c>
      <x:c r="C1804" s="27" t="n">
        <x:f>INT(B1804)</x:f>
        <x:v>41675</x:v>
      </x:c>
      <x:c r="D1804" s="28" t="n">
        <x:f>MOD(B1804,1)</x:f>
        <x:v>0.49380787037080154</x:v>
      </x:c>
      <x:c r="E1804" s="29" t="n">
        <x:f>YEAR(B1804)</x:f>
        <x:v>2014</x:v>
      </x:c>
      <x:c r="F1804" s="29" t="n">
        <x:f>MONTH(B1804)</x:f>
        <x:v>2</x:v>
      </x:c>
      <x:c r="G1804" s="30" t="n">
        <x:v>-21.38</x:v>
      </x:c>
      <x:c r="H1804" s="30" t="n">
        <x:v>-69.52</x:v>
      </x:c>
      <x:c r="I1804" s="29" t="n">
        <x:v>40</x:v>
      </x:c>
      <x:c r="J1804" s="31" t="n">
        <x:v>5.2</x:v>
      </x:c>
      <x:c r="K1804" s="25" t="str">
        <x:f>IF(J1804&gt;=7,"Muy fuerte (&gt;=7)",IF(J1804&gt;=6,"Fuerte (6-6.9)",IF(J1804&gt;=5,"Moderado alto (5-5.9)",IF(J1804&gt;=4,"Moderado (4-4.9)","Menor a 4"))))</x:f>
        <x:v>Moderado alto (5-5.9)</x:v>
      </x:c>
      <x:c r="L1804" s="25" t="str">
        <x:f>IF(I1804&lt;70,"Superficial (&lt;70 km)",IF(I1804&lt;=300,"Intermedio (70-300 km)","Profundo (&gt;300 km)"))</x:f>
        <x:v>Superficial (&lt;70 km)</x:v>
      </x:c>
      <x:c r="M1804" s="25" t="str">
        <x:f>IF(J1804&gt;=5,"Sí","No")</x:f>
        <x:v>Sí</x:v>
      </x:c>
      <x:c r="N1804" s="25" t="str">
        <x:f>IF(J1804&gt;=6,"Sí","No")</x:f>
        <x:v>No</x:v>
      </x:c>
      <x:c r="O1804" s="25" t="str">
        <x:v>Pendiente: asignar con R/sf</x:v>
      </x:c>
    </x:row>
    <x:row r="1805">
      <x:c r="A1805" s="25" t="n">
        <x:v>1804</x:v>
      </x:c>
      <x:c r="B1805" s="26" t="n">
        <x:v>41768.48947916667</x:v>
      </x:c>
      <x:c r="C1805" s="27" t="n">
        <x:f>INT(B1805)</x:f>
        <x:v>41768</x:v>
      </x:c>
      <x:c r="D1805" s="28" t="n">
        <x:f>MOD(B1805,1)</x:f>
        <x:v>0.48947916666656965</x:v>
      </x:c>
      <x:c r="E1805" s="29" t="n">
        <x:f>YEAR(B1805)</x:f>
        <x:v>2014</x:v>
      </x:c>
      <x:c r="F1805" s="29" t="n">
        <x:f>MONTH(B1805)</x:f>
        <x:v>5</x:v>
      </x:c>
      <x:c r="G1805" s="30" t="n">
        <x:v>-34.71</x:v>
      </x:c>
      <x:c r="H1805" s="30" t="n">
        <x:v>-71.69</x:v>
      </x:c>
      <x:c r="I1805" s="29" t="n">
        <x:v>44</x:v>
      </x:c>
      <x:c r="J1805" s="31" t="n">
        <x:v>4.8</x:v>
      </x:c>
      <x:c r="K1805" s="25" t="str">
        <x:f>IF(J1805&gt;=7,"Muy fuerte (&gt;=7)",IF(J1805&gt;=6,"Fuerte (6-6.9)",IF(J1805&gt;=5,"Moderado alto (5-5.9)",IF(J1805&gt;=4,"Moderado (4-4.9)","Menor a 4"))))</x:f>
        <x:v>Moderado (4-4.9)</x:v>
      </x:c>
      <x:c r="L1805" s="25" t="str">
        <x:f>IF(I1805&lt;70,"Superficial (&lt;70 km)",IF(I1805&lt;=300,"Intermedio (70-300 km)","Profundo (&gt;300 km)"))</x:f>
        <x:v>Superficial (&lt;70 km)</x:v>
      </x:c>
      <x:c r="M1805" s="25" t="str">
        <x:f>IF(J1805&gt;=5,"Sí","No")</x:f>
        <x:v>No</x:v>
      </x:c>
      <x:c r="N1805" s="25" t="str">
        <x:f>IF(J1805&gt;=6,"Sí","No")</x:f>
        <x:v>No</x:v>
      </x:c>
      <x:c r="O1805" s="25" t="str">
        <x:v>Pendiente: asignar con R/sf</x:v>
      </x:c>
    </x:row>
    <x:row r="1806">
      <x:c r="A1806" s="25" t="n">
        <x:v>1805</x:v>
      </x:c>
      <x:c r="B1806" s="26" t="n">
        <x:v>41771.49618055556</x:v>
      </x:c>
      <x:c r="C1806" s="27" t="n">
        <x:f>INT(B1806)</x:f>
        <x:v>41771</x:v>
      </x:c>
      <x:c r="D1806" s="28" t="n">
        <x:f>MOD(B1806,1)</x:f>
        <x:v>0.4961805555576575</x:v>
      </x:c>
      <x:c r="E1806" s="29" t="n">
        <x:f>YEAR(B1806)</x:f>
        <x:v>2014</x:v>
      </x:c>
      <x:c r="F1806" s="29" t="n">
        <x:f>MONTH(B1806)</x:f>
        <x:v>5</x:v>
      </x:c>
      <x:c r="G1806" s="30" t="n">
        <x:v>-20.65</x:v>
      </x:c>
      <x:c r="H1806" s="30" t="n">
        <x:v>-70.92</x:v>
      </x:c>
      <x:c r="I1806" s="29" t="n">
        <x:v>36</x:v>
      </x:c>
      <x:c r="J1806" s="31" t="n">
        <x:v>4.6</x:v>
      </x:c>
      <x:c r="K1806" s="25" t="str">
        <x:f>IF(J1806&gt;=7,"Muy fuerte (&gt;=7)",IF(J1806&gt;=6,"Fuerte (6-6.9)",IF(J1806&gt;=5,"Moderado alto (5-5.9)",IF(J1806&gt;=4,"Moderado (4-4.9)","Menor a 4"))))</x:f>
        <x:v>Moderado (4-4.9)</x:v>
      </x:c>
      <x:c r="L1806" s="25" t="str">
        <x:f>IF(I1806&lt;70,"Superficial (&lt;70 km)",IF(I1806&lt;=300,"Intermedio (70-300 km)","Profundo (&gt;300 km)"))</x:f>
        <x:v>Superficial (&lt;70 km)</x:v>
      </x:c>
      <x:c r="M1806" s="25" t="str">
        <x:f>IF(J1806&gt;=5,"Sí","No")</x:f>
        <x:v>No</x:v>
      </x:c>
      <x:c r="N1806" s="25" t="str">
        <x:f>IF(J1806&gt;=6,"Sí","No")</x:f>
        <x:v>No</x:v>
      </x:c>
      <x:c r="O1806" s="25" t="str">
        <x:v>Pendiente: asignar con R/sf</x:v>
      </x:c>
    </x:row>
    <x:row r="1807">
      <x:c r="A1807" s="25" t="n">
        <x:v>1806</x:v>
      </x:c>
      <x:c r="B1807" s="26" t="n">
        <x:v>41757.116319444445</x:v>
      </x:c>
      <x:c r="C1807" s="27" t="n">
        <x:f>INT(B1807)</x:f>
        <x:v>41757</x:v>
      </x:c>
      <x:c r="D1807" s="28" t="n">
        <x:f>MOD(B1807,1)</x:f>
        <x:v>0.11631944444525288</x:v>
      </x:c>
      <x:c r="E1807" s="29" t="n">
        <x:f>YEAR(B1807)</x:f>
        <x:v>2014</x:v>
      </x:c>
      <x:c r="F1807" s="29" t="n">
        <x:f>MONTH(B1807)</x:f>
        <x:v>4</x:v>
      </x:c>
      <x:c r="G1807" s="30" t="n">
        <x:v>-20.51</x:v>
      </x:c>
      <x:c r="H1807" s="30" t="n">
        <x:v>-70.79</x:v>
      </x:c>
      <x:c r="I1807" s="29" t="n">
        <x:v>27</x:v>
      </x:c>
      <x:c r="J1807" s="31" t="n">
        <x:v>4</x:v>
      </x:c>
      <x:c r="K1807" s="25" t="str">
        <x:f>IF(J1807&gt;=7,"Muy fuerte (&gt;=7)",IF(J1807&gt;=6,"Fuerte (6-6.9)",IF(J1807&gt;=5,"Moderado alto (5-5.9)",IF(J1807&gt;=4,"Moderado (4-4.9)","Menor a 4"))))</x:f>
        <x:v>Moderado (4-4.9)</x:v>
      </x:c>
      <x:c r="L1807" s="25" t="str">
        <x:f>IF(I1807&lt;70,"Superficial (&lt;70 km)",IF(I1807&lt;=300,"Intermedio (70-300 km)","Profundo (&gt;300 km)"))</x:f>
        <x:v>Superficial (&lt;70 km)</x:v>
      </x:c>
      <x:c r="M1807" s="25" t="str">
        <x:f>IF(J1807&gt;=5,"Sí","No")</x:f>
        <x:v>No</x:v>
      </x:c>
      <x:c r="N1807" s="25" t="str">
        <x:f>IF(J1807&gt;=6,"Sí","No")</x:f>
        <x:v>No</x:v>
      </x:c>
      <x:c r="O1807" s="25" t="str">
        <x:v>Pendiente: asignar con R/sf</x:v>
      </x:c>
    </x:row>
    <x:row r="1808">
      <x:c r="A1808" s="25" t="n">
        <x:v>1807</x:v>
      </x:c>
      <x:c r="B1808" s="26" t="n">
        <x:v>41998.9246875</x:v>
      </x:c>
      <x:c r="C1808" s="27" t="n">
        <x:f>INT(B1808)</x:f>
        <x:v>41998</x:v>
      </x:c>
      <x:c r="D1808" s="28" t="n">
        <x:f>MOD(B1808,1)</x:f>
        <x:v>0.9246875000026193</x:v>
      </x:c>
      <x:c r="E1808" s="29" t="n">
        <x:f>YEAR(B1808)</x:f>
        <x:v>2014</x:v>
      </x:c>
      <x:c r="F1808" s="29" t="n">
        <x:f>MONTH(B1808)</x:f>
        <x:v>12</x:v>
      </x:c>
      <x:c r="G1808" s="30" t="n">
        <x:v>-30.89</x:v>
      </x:c>
      <x:c r="H1808" s="30" t="n">
        <x:v>-71.58</x:v>
      </x:c>
      <x:c r="I1808" s="29" t="n">
        <x:v>68</x:v>
      </x:c>
      <x:c r="J1808" s="31" t="n">
        <x:v>4.2</x:v>
      </x:c>
      <x:c r="K1808" s="25" t="str">
        <x:f>IF(J1808&gt;=7,"Muy fuerte (&gt;=7)",IF(J1808&gt;=6,"Fuerte (6-6.9)",IF(J1808&gt;=5,"Moderado alto (5-5.9)",IF(J1808&gt;=4,"Moderado (4-4.9)","Menor a 4"))))</x:f>
        <x:v>Moderado (4-4.9)</x:v>
      </x:c>
      <x:c r="L1808" s="25" t="str">
        <x:f>IF(I1808&lt;70,"Superficial (&lt;70 km)",IF(I1808&lt;=300,"Intermedio (70-300 km)","Profundo (&gt;300 km)"))</x:f>
        <x:v>Superficial (&lt;70 km)</x:v>
      </x:c>
      <x:c r="M1808" s="25" t="str">
        <x:f>IF(J1808&gt;=5,"Sí","No")</x:f>
        <x:v>No</x:v>
      </x:c>
      <x:c r="N1808" s="25" t="str">
        <x:f>IF(J1808&gt;=6,"Sí","No")</x:f>
        <x:v>No</x:v>
      </x:c>
      <x:c r="O1808" s="25" t="str">
        <x:v>Pendiente: asignar con R/sf</x:v>
      </x:c>
    </x:row>
    <x:row r="1809">
      <x:c r="A1809" s="25" t="n">
        <x:v>1808</x:v>
      </x:c>
      <x:c r="B1809" s="26" t="n">
        <x:v>41903.38759259259</x:v>
      </x:c>
      <x:c r="C1809" s="27" t="n">
        <x:f>INT(B1809)</x:f>
        <x:v>41903</x:v>
      </x:c>
      <x:c r="D1809" s="28" t="n">
        <x:f>MOD(B1809,1)</x:f>
        <x:v>0.38759259258949896</x:v>
      </x:c>
      <x:c r="E1809" s="29" t="n">
        <x:f>YEAR(B1809)</x:f>
        <x:v>2014</x:v>
      </x:c>
      <x:c r="F1809" s="29" t="n">
        <x:f>MONTH(B1809)</x:f>
        <x:v>9</x:v>
      </x:c>
      <x:c r="G1809" s="30" t="n">
        <x:v>-20.09</x:v>
      </x:c>
      <x:c r="H1809" s="30" t="n">
        <x:v>-69.04</x:v>
      </x:c>
      <x:c r="I1809" s="29" t="n">
        <x:v>113</x:v>
      </x:c>
      <x:c r="J1809" s="31" t="n">
        <x:v>4.4</x:v>
      </x:c>
      <x:c r="K1809" s="25" t="str">
        <x:f>IF(J1809&gt;=7,"Muy fuerte (&gt;=7)",IF(J1809&gt;=6,"Fuerte (6-6.9)",IF(J1809&gt;=5,"Moderado alto (5-5.9)",IF(J1809&gt;=4,"Moderado (4-4.9)","Menor a 4"))))</x:f>
        <x:v>Moderado (4-4.9)</x:v>
      </x:c>
      <x:c r="L1809" s="25" t="str">
        <x:f>IF(I1809&lt;70,"Superficial (&lt;70 km)",IF(I1809&lt;=300,"Intermedio (70-300 km)","Profundo (&gt;300 km)"))</x:f>
        <x:v>Intermedio (70-300 km)</x:v>
      </x:c>
      <x:c r="M1809" s="25" t="str">
        <x:f>IF(J1809&gt;=5,"Sí","No")</x:f>
        <x:v>No</x:v>
      </x:c>
      <x:c r="N1809" s="25" t="str">
        <x:f>IF(J1809&gt;=6,"Sí","No")</x:f>
        <x:v>No</x:v>
      </x:c>
      <x:c r="O1809" s="25" t="str">
        <x:v>Pendiente: asignar con R/sf</x:v>
      </x:c>
    </x:row>
    <x:row r="1810">
      <x:c r="A1810" s="25" t="n">
        <x:v>1809</x:v>
      </x:c>
      <x:c r="B1810" s="26" t="n">
        <x:v>41771.68572916667</x:v>
      </x:c>
      <x:c r="C1810" s="27" t="n">
        <x:f>INT(B1810)</x:f>
        <x:v>41771</x:v>
      </x:c>
      <x:c r="D1810" s="28" t="n">
        <x:f>MOD(B1810,1)</x:f>
        <x:v>0.6857291666674428</x:v>
      </x:c>
      <x:c r="E1810" s="29" t="n">
        <x:f>YEAR(B1810)</x:f>
        <x:v>2014</x:v>
      </x:c>
      <x:c r="F1810" s="29" t="n">
        <x:f>MONTH(B1810)</x:f>
        <x:v>5</x:v>
      </x:c>
      <x:c r="G1810" s="30" t="n">
        <x:v>-29.63</x:v>
      </x:c>
      <x:c r="H1810" s="30" t="n">
        <x:v>-71.23</x:v>
      </x:c>
      <x:c r="I1810" s="29" t="n">
        <x:v>65</x:v>
      </x:c>
      <x:c r="J1810" s="31" t="n">
        <x:v>4.3</x:v>
      </x:c>
      <x:c r="K1810" s="25" t="str">
        <x:f>IF(J1810&gt;=7,"Muy fuerte (&gt;=7)",IF(J1810&gt;=6,"Fuerte (6-6.9)",IF(J1810&gt;=5,"Moderado alto (5-5.9)",IF(J1810&gt;=4,"Moderado (4-4.9)","Menor a 4"))))</x:f>
        <x:v>Moderado (4-4.9)</x:v>
      </x:c>
      <x:c r="L1810" s="25" t="str">
        <x:f>IF(I1810&lt;70,"Superficial (&lt;70 km)",IF(I1810&lt;=300,"Intermedio (70-300 km)","Profundo (&gt;300 km)"))</x:f>
        <x:v>Superficial (&lt;70 km)</x:v>
      </x:c>
      <x:c r="M1810" s="25" t="str">
        <x:f>IF(J1810&gt;=5,"Sí","No")</x:f>
        <x:v>No</x:v>
      </x:c>
      <x:c r="N1810" s="25" t="str">
        <x:f>IF(J1810&gt;=6,"Sí","No")</x:f>
        <x:v>No</x:v>
      </x:c>
      <x:c r="O1810" s="25" t="str">
        <x:v>Pendiente: asignar con R/sf</x:v>
      </x:c>
    </x:row>
    <x:row r="1811">
      <x:c r="A1811" s="25" t="n">
        <x:v>1810</x:v>
      </x:c>
      <x:c r="B1811" s="26" t="n">
        <x:v>41818.658113425925</x:v>
      </x:c>
      <x:c r="C1811" s="27" t="n">
        <x:f>INT(B1811)</x:f>
        <x:v>41818</x:v>
      </x:c>
      <x:c r="D1811" s="28" t="n">
        <x:f>MOD(B1811,1)</x:f>
        <x:v>0.6581134259249666</x:v>
      </x:c>
      <x:c r="E1811" s="29" t="n">
        <x:f>YEAR(B1811)</x:f>
        <x:v>2014</x:v>
      </x:c>
      <x:c r="F1811" s="29" t="n">
        <x:f>MONTH(B1811)</x:f>
        <x:v>6</x:v>
      </x:c>
      <x:c r="G1811" s="30" t="n">
        <x:v>-20.34</x:v>
      </x:c>
      <x:c r="H1811" s="30" t="n">
        <x:v>-69.68</x:v>
      </x:c>
      <x:c r="I1811" s="29" t="n">
        <x:v>53</x:v>
      </x:c>
      <x:c r="J1811" s="31" t="n">
        <x:v>4.2</x:v>
      </x:c>
      <x:c r="K1811" s="25" t="str">
        <x:f>IF(J1811&gt;=7,"Muy fuerte (&gt;=7)",IF(J1811&gt;=6,"Fuerte (6-6.9)",IF(J1811&gt;=5,"Moderado alto (5-5.9)",IF(J1811&gt;=4,"Moderado (4-4.9)","Menor a 4"))))</x:f>
        <x:v>Moderado (4-4.9)</x:v>
      </x:c>
      <x:c r="L1811" s="25" t="str">
        <x:f>IF(I1811&lt;70,"Superficial (&lt;70 km)",IF(I1811&lt;=300,"Intermedio (70-300 km)","Profundo (&gt;300 km)"))</x:f>
        <x:v>Superficial (&lt;70 km)</x:v>
      </x:c>
      <x:c r="M1811" s="25" t="str">
        <x:f>IF(J1811&gt;=5,"Sí","No")</x:f>
        <x:v>No</x:v>
      </x:c>
      <x:c r="N1811" s="25" t="str">
        <x:f>IF(J1811&gt;=6,"Sí","No")</x:f>
        <x:v>No</x:v>
      </x:c>
      <x:c r="O1811" s="25" t="str">
        <x:v>Pendiente: asignar con R/sf</x:v>
      </x:c>
    </x:row>
    <x:row r="1812">
      <x:c r="A1812" s="25" t="n">
        <x:v>1811</x:v>
      </x:c>
      <x:c r="B1812" s="26" t="n">
        <x:v>41732.959548611114</x:v>
      </x:c>
      <x:c r="C1812" s="27" t="n">
        <x:f>INT(B1812)</x:f>
        <x:v>41732</x:v>
      </x:c>
      <x:c r="D1812" s="28" t="n">
        <x:f>MOD(B1812,1)</x:f>
        <x:v>0.9595486111138598</x:v>
      </x:c>
      <x:c r="E1812" s="29" t="n">
        <x:f>YEAR(B1812)</x:f>
        <x:v>2014</x:v>
      </x:c>
      <x:c r="F1812" s="29" t="n">
        <x:f>MONTH(B1812)</x:f>
        <x:v>4</x:v>
      </x:c>
      <x:c r="G1812" s="30" t="n">
        <x:v>-20.31</x:v>
      </x:c>
      <x:c r="H1812" s="30" t="n">
        <x:v>-70.51</x:v>
      </x:c>
      <x:c r="I1812" s="29" t="n">
        <x:v>21</x:v>
      </x:c>
      <x:c r="J1812" s="31" t="n">
        <x:v>4.1</x:v>
      </x:c>
      <x:c r="K1812" s="25" t="str">
        <x:f>IF(J1812&gt;=7,"Muy fuerte (&gt;=7)",IF(J1812&gt;=6,"Fuerte (6-6.9)",IF(J1812&gt;=5,"Moderado alto (5-5.9)",IF(J1812&gt;=4,"Moderado (4-4.9)","Menor a 4"))))</x:f>
        <x:v>Moderado (4-4.9)</x:v>
      </x:c>
      <x:c r="L1812" s="25" t="str">
        <x:f>IF(I1812&lt;70,"Superficial (&lt;70 km)",IF(I1812&lt;=300,"Intermedio (70-300 km)","Profundo (&gt;300 km)"))</x:f>
        <x:v>Superficial (&lt;70 km)</x:v>
      </x:c>
      <x:c r="M1812" s="25" t="str">
        <x:f>IF(J1812&gt;=5,"Sí","No")</x:f>
        <x:v>No</x:v>
      </x:c>
      <x:c r="N1812" s="25" t="str">
        <x:f>IF(J1812&gt;=6,"Sí","No")</x:f>
        <x:v>No</x:v>
      </x:c>
      <x:c r="O1812" s="25" t="str">
        <x:v>Pendiente: asignar con R/sf</x:v>
      </x:c>
    </x:row>
    <x:row r="1813">
      <x:c r="A1813" s="25" t="n">
        <x:v>1812</x:v>
      </x:c>
      <x:c r="B1813" s="26" t="n">
        <x:v>41731.198842592596</x:v>
      </x:c>
      <x:c r="C1813" s="27" t="n">
        <x:f>INT(B1813)</x:f>
        <x:v>41731</x:v>
      </x:c>
      <x:c r="D1813" s="28" t="n">
        <x:f>MOD(B1813,1)</x:f>
        <x:v>0.19884259259561077</x:v>
      </x:c>
      <x:c r="E1813" s="29" t="n">
        <x:f>YEAR(B1813)</x:f>
        <x:v>2014</x:v>
      </x:c>
      <x:c r="F1813" s="29" t="n">
        <x:f>MONTH(B1813)</x:f>
        <x:v>4</x:v>
      </x:c>
      <x:c r="G1813" s="30" t="n">
        <x:v>-20.13</x:v>
      </x:c>
      <x:c r="H1813" s="30" t="n">
        <x:v>-70.79</x:v>
      </x:c>
      <x:c r="I1813" s="29" t="n">
        <x:v>39</x:v>
      </x:c>
      <x:c r="J1813" s="31" t="n">
        <x:v>5.7</x:v>
      </x:c>
      <x:c r="K1813" s="25" t="str">
        <x:f>IF(J1813&gt;=7,"Muy fuerte (&gt;=7)",IF(J1813&gt;=6,"Fuerte (6-6.9)",IF(J1813&gt;=5,"Moderado alto (5-5.9)",IF(J1813&gt;=4,"Moderado (4-4.9)","Menor a 4"))))</x:f>
        <x:v>Moderado alto (5-5.9)</x:v>
      </x:c>
      <x:c r="L1813" s="25" t="str">
        <x:f>IF(I1813&lt;70,"Superficial (&lt;70 km)",IF(I1813&lt;=300,"Intermedio (70-300 km)","Profundo (&gt;300 km)"))</x:f>
        <x:v>Superficial (&lt;70 km)</x:v>
      </x:c>
      <x:c r="M1813" s="25" t="str">
        <x:f>IF(J1813&gt;=5,"Sí","No")</x:f>
        <x:v>Sí</x:v>
      </x:c>
      <x:c r="N1813" s="25" t="str">
        <x:f>IF(J1813&gt;=6,"Sí","No")</x:f>
        <x:v>No</x:v>
      </x:c>
      <x:c r="O1813" s="25" t="str">
        <x:v>Pendiente: asignar con R/sf</x:v>
      </x:c>
    </x:row>
    <x:row r="1814">
      <x:c r="A1814" s="25" t="n">
        <x:v>1813</x:v>
      </x:c>
      <x:c r="B1814" s="26" t="n">
        <x:v>41738.514016203706</x:v>
      </x:c>
      <x:c r="C1814" s="27" t="n">
        <x:f>INT(B1814)</x:f>
        <x:v>41738</x:v>
      </x:c>
      <x:c r="D1814" s="28" t="n">
        <x:f>MOD(B1814,1)</x:f>
        <x:v>0.5140162037059781</x:v>
      </x:c>
      <x:c r="E1814" s="29" t="n">
        <x:f>YEAR(B1814)</x:f>
        <x:v>2014</x:v>
      </x:c>
      <x:c r="F1814" s="29" t="n">
        <x:f>MONTH(B1814)</x:f>
        <x:v>4</x:v>
      </x:c>
      <x:c r="G1814" s="30" t="n">
        <x:v>-19.99</x:v>
      </x:c>
      <x:c r="H1814" s="30" t="n">
        <x:v>-70.11</x:v>
      </x:c>
      <x:c r="I1814" s="29" t="n">
        <x:v>39</x:v>
      </x:c>
      <x:c r="J1814" s="31" t="n">
        <x:v>4.3</x:v>
      </x:c>
      <x:c r="K1814" s="25" t="str">
        <x:f>IF(J1814&gt;=7,"Muy fuerte (&gt;=7)",IF(J1814&gt;=6,"Fuerte (6-6.9)",IF(J1814&gt;=5,"Moderado alto (5-5.9)",IF(J1814&gt;=4,"Moderado (4-4.9)","Menor a 4"))))</x:f>
        <x:v>Moderado (4-4.9)</x:v>
      </x:c>
      <x:c r="L1814" s="25" t="str">
        <x:f>IF(I1814&lt;70,"Superficial (&lt;70 km)",IF(I1814&lt;=300,"Intermedio (70-300 km)","Profundo (&gt;300 km)"))</x:f>
        <x:v>Superficial (&lt;70 km)</x:v>
      </x:c>
      <x:c r="M1814" s="25" t="str">
        <x:f>IF(J1814&gt;=5,"Sí","No")</x:f>
        <x:v>No</x:v>
      </x:c>
      <x:c r="N1814" s="25" t="str">
        <x:f>IF(J1814&gt;=6,"Sí","No")</x:f>
        <x:v>No</x:v>
      </x:c>
      <x:c r="O1814" s="25" t="str">
        <x:v>Pendiente: asignar con R/sf</x:v>
      </x:c>
    </x:row>
    <x:row r="1815">
      <x:c r="A1815" s="25" t="n">
        <x:v>1814</x:v>
      </x:c>
      <x:c r="B1815" s="26" t="n">
        <x:v>41733.06795138889</x:v>
      </x:c>
      <x:c r="C1815" s="27" t="n">
        <x:f>INT(B1815)</x:f>
        <x:v>41733</x:v>
      </x:c>
      <x:c r="D1815" s="28" t="n">
        <x:f>MOD(B1815,1)</x:f>
        <x:v>0.06795138888992369</x:v>
      </x:c>
      <x:c r="E1815" s="29" t="n">
        <x:f>YEAR(B1815)</x:f>
        <x:v>2014</x:v>
      </x:c>
      <x:c r="F1815" s="29" t="n">
        <x:f>MONTH(B1815)</x:f>
        <x:v>4</x:v>
      </x:c>
      <x:c r="G1815" s="30" t="n">
        <x:v>-20.62</x:v>
      </x:c>
      <x:c r="H1815" s="30" t="n">
        <x:v>-70.57</x:v>
      </x:c>
      <x:c r="I1815" s="29" t="n">
        <x:v>40</x:v>
      </x:c>
      <x:c r="J1815" s="31" t="n">
        <x:v>6.1</x:v>
      </x:c>
      <x:c r="K1815" s="25" t="str">
        <x:f>IF(J1815&gt;=7,"Muy fuerte (&gt;=7)",IF(J1815&gt;=6,"Fuerte (6-6.9)",IF(J1815&gt;=5,"Moderado alto (5-5.9)",IF(J1815&gt;=4,"Moderado (4-4.9)","Menor a 4"))))</x:f>
        <x:v>Fuerte (6-6.9)</x:v>
      </x:c>
      <x:c r="L1815" s="25" t="str">
        <x:f>IF(I1815&lt;70,"Superficial (&lt;70 km)",IF(I1815&lt;=300,"Intermedio (70-300 km)","Profundo (&gt;300 km)"))</x:f>
        <x:v>Superficial (&lt;70 km)</x:v>
      </x:c>
      <x:c r="M1815" s="25" t="str">
        <x:f>IF(J1815&gt;=5,"Sí","No")</x:f>
        <x:v>Sí</x:v>
      </x:c>
      <x:c r="N1815" s="25" t="str">
        <x:f>IF(J1815&gt;=6,"Sí","No")</x:f>
        <x:v>Sí</x:v>
      </x:c>
      <x:c r="O1815" s="25" t="str">
        <x:v>Pendiente: asignar con R/sf</x:v>
      </x:c>
    </x:row>
    <x:row r="1816">
      <x:c r="A1816" s="25" t="n">
        <x:v>1815</x:v>
      </x:c>
      <x:c r="B1816" s="26" t="n">
        <x:v>41744.18201388889</x:v>
      </x:c>
      <x:c r="C1816" s="27" t="n">
        <x:f>INT(B1816)</x:f>
        <x:v>41744</x:v>
      </x:c>
      <x:c r="D1816" s="28" t="n">
        <x:f>MOD(B1816,1)</x:f>
        <x:v>0.1820138888870133</x:v>
      </x:c>
      <x:c r="E1816" s="29" t="n">
        <x:f>YEAR(B1816)</x:f>
        <x:v>2014</x:v>
      </x:c>
      <x:c r="F1816" s="29" t="n">
        <x:f>MONTH(B1816)</x:f>
        <x:v>4</x:v>
      </x:c>
      <x:c r="G1816" s="30" t="n">
        <x:v>-20.04</x:v>
      </x:c>
      <x:c r="H1816" s="30" t="n">
        <x:v>-70.46</x:v>
      </x:c>
      <x:c r="I1816" s="29" t="n">
        <x:v>30</x:v>
      </x:c>
      <x:c r="J1816" s="31" t="n">
        <x:v>4.1</x:v>
      </x:c>
      <x:c r="K1816" s="25" t="str">
        <x:f>IF(J1816&gt;=7,"Muy fuerte (&gt;=7)",IF(J1816&gt;=6,"Fuerte (6-6.9)",IF(J1816&gt;=5,"Moderado alto (5-5.9)",IF(J1816&gt;=4,"Moderado (4-4.9)","Menor a 4"))))</x:f>
        <x:v>Moderado (4-4.9)</x:v>
      </x:c>
      <x:c r="L1816" s="25" t="str">
        <x:f>IF(I1816&lt;70,"Superficial (&lt;70 km)",IF(I1816&lt;=300,"Intermedio (70-300 km)","Profundo (&gt;300 km)"))</x:f>
        <x:v>Superficial (&lt;70 km)</x:v>
      </x:c>
      <x:c r="M1816" s="25" t="str">
        <x:f>IF(J1816&gt;=5,"Sí","No")</x:f>
        <x:v>No</x:v>
      </x:c>
      <x:c r="N1816" s="25" t="str">
        <x:f>IF(J1816&gt;=6,"Sí","No")</x:f>
        <x:v>No</x:v>
      </x:c>
      <x:c r="O1816" s="25" t="str">
        <x:v>Pendiente: asignar con R/sf</x:v>
      </x:c>
    </x:row>
    <x:row r="1817">
      <x:c r="A1817" s="25" t="n">
        <x:v>1816</x:v>
      </x:c>
      <x:c r="B1817" s="26" t="n">
        <x:v>41734.239537037036</x:v>
      </x:c>
      <x:c r="C1817" s="27" t="n">
        <x:f>INT(B1817)</x:f>
        <x:v>41734</x:v>
      </x:c>
      <x:c r="D1817" s="28" t="n">
        <x:f>MOD(B1817,1)</x:f>
        <x:v>0.239537037035916</x:v>
      </x:c>
      <x:c r="E1817" s="29" t="n">
        <x:f>YEAR(B1817)</x:f>
        <x:v>2014</x:v>
      </x:c>
      <x:c r="F1817" s="29" t="n">
        <x:f>MONTH(B1817)</x:f>
        <x:v>4</x:v>
      </x:c>
      <x:c r="G1817" s="30" t="n">
        <x:v>-20.16</x:v>
      </x:c>
      <x:c r="H1817" s="30" t="n">
        <x:v>-70.54</x:v>
      </x:c>
      <x:c r="I1817" s="29" t="n">
        <x:v>43</x:v>
      </x:c>
      <x:c r="J1817" s="31" t="n">
        <x:v>5.4</x:v>
      </x:c>
      <x:c r="K1817" s="25" t="str">
        <x:f>IF(J1817&gt;=7,"Muy fuerte (&gt;=7)",IF(J1817&gt;=6,"Fuerte (6-6.9)",IF(J1817&gt;=5,"Moderado alto (5-5.9)",IF(J1817&gt;=4,"Moderado (4-4.9)","Menor a 4"))))</x:f>
        <x:v>Moderado alto (5-5.9)</x:v>
      </x:c>
      <x:c r="L1817" s="25" t="str">
        <x:f>IF(I1817&lt;70,"Superficial (&lt;70 km)",IF(I1817&lt;=300,"Intermedio (70-300 km)","Profundo (&gt;300 km)"))</x:f>
        <x:v>Superficial (&lt;70 km)</x:v>
      </x:c>
      <x:c r="M1817" s="25" t="str">
        <x:f>IF(J1817&gt;=5,"Sí","No")</x:f>
        <x:v>Sí</x:v>
      </x:c>
      <x:c r="N1817" s="25" t="str">
        <x:f>IF(J1817&gt;=6,"Sí","No")</x:f>
        <x:v>No</x:v>
      </x:c>
      <x:c r="O1817" s="25" t="str">
        <x:v>Pendiente: asignar con R/sf</x:v>
      </x:c>
    </x:row>
    <x:row r="1818">
      <x:c r="A1818" s="25" t="n">
        <x:v>1817</x:v>
      </x:c>
      <x:c r="B1818" s="26" t="n">
        <x:v>41731.026284722226</x:v>
      </x:c>
      <x:c r="C1818" s="27" t="n">
        <x:f>INT(B1818)</x:f>
        <x:v>41731</x:v>
      </x:c>
      <x:c r="D1818" s="28" t="n">
        <x:f>MOD(B1818,1)</x:f>
        <x:v>0.026284722225682344</x:v>
      </x:c>
      <x:c r="E1818" s="29" t="n">
        <x:f>YEAR(B1818)</x:f>
        <x:v>2014</x:v>
      </x:c>
      <x:c r="F1818" s="29" t="n">
        <x:f>MONTH(B1818)</x:f>
        <x:v>4</x:v>
      </x:c>
      <x:c r="G1818" s="30" t="n">
        <x:v>-20.03</x:v>
      </x:c>
      <x:c r="H1818" s="30" t="n">
        <x:v>-70.52</x:v>
      </x:c>
      <x:c r="I1818" s="29" t="n">
        <x:v>34</x:v>
      </x:c>
      <x:c r="J1818" s="31" t="n">
        <x:v>5.1</x:v>
      </x:c>
      <x:c r="K1818" s="25" t="str">
        <x:f>IF(J1818&gt;=7,"Muy fuerte (&gt;=7)",IF(J1818&gt;=6,"Fuerte (6-6.9)",IF(J1818&gt;=5,"Moderado alto (5-5.9)",IF(J1818&gt;=4,"Moderado (4-4.9)","Menor a 4"))))</x:f>
        <x:v>Moderado alto (5-5.9)</x:v>
      </x:c>
      <x:c r="L1818" s="25" t="str">
        <x:f>IF(I1818&lt;70,"Superficial (&lt;70 km)",IF(I1818&lt;=300,"Intermedio (70-300 km)","Profundo (&gt;300 km)"))</x:f>
        <x:v>Superficial (&lt;70 km)</x:v>
      </x:c>
      <x:c r="M1818" s="25" t="str">
        <x:f>IF(J1818&gt;=5,"Sí","No")</x:f>
        <x:v>Sí</x:v>
      </x:c>
      <x:c r="N1818" s="25" t="str">
        <x:f>IF(J1818&gt;=6,"Sí","No")</x:f>
        <x:v>No</x:v>
      </x:c>
      <x:c r="O1818" s="25" t="str">
        <x:v>Pendiente: asignar con R/sf</x:v>
      </x:c>
    </x:row>
    <x:row r="1819">
      <x:c r="A1819" s="25" t="n">
        <x:v>1818</x:v>
      </x:c>
      <x:c r="B1819" s="26" t="n">
        <x:v>41732.11336805556</x:v>
      </x:c>
      <x:c r="C1819" s="27" t="n">
        <x:f>INT(B1819)</x:f>
        <x:v>41732</x:v>
      </x:c>
      <x:c r="D1819" s="28" t="n">
        <x:f>MOD(B1819,1)</x:f>
        <x:v>0.1133680555576575</x:v>
      </x:c>
      <x:c r="E1819" s="29" t="n">
        <x:f>YEAR(B1819)</x:f>
        <x:v>2014</x:v>
      </x:c>
      <x:c r="F1819" s="29" t="n">
        <x:f>MONTH(B1819)</x:f>
        <x:v>4</x:v>
      </x:c>
      <x:c r="G1819" s="30" t="n">
        <x:v>-20.52</x:v>
      </x:c>
      <x:c r="H1819" s="30" t="n">
        <x:v>-70.44</x:v>
      </x:c>
      <x:c r="I1819" s="29" t="n">
        <x:v>28</x:v>
      </x:c>
      <x:c r="J1819" s="31" t="n">
        <x:v>7.6</x:v>
      </x:c>
      <x:c r="K1819" s="25" t="str">
        <x:f>IF(J1819&gt;=7,"Muy fuerte (&gt;=7)",IF(J1819&gt;=6,"Fuerte (6-6.9)",IF(J1819&gt;=5,"Moderado alto (5-5.9)",IF(J1819&gt;=4,"Moderado (4-4.9)","Menor a 4"))))</x:f>
        <x:v>Muy fuerte (&gt;=7)</x:v>
      </x:c>
      <x:c r="L1819" s="25" t="str">
        <x:f>IF(I1819&lt;70,"Superficial (&lt;70 km)",IF(I1819&lt;=300,"Intermedio (70-300 km)","Profundo (&gt;300 km)"))</x:f>
        <x:v>Superficial (&lt;70 km)</x:v>
      </x:c>
      <x:c r="M1819" s="25" t="str">
        <x:f>IF(J1819&gt;=5,"Sí","No")</x:f>
        <x:v>Sí</x:v>
      </x:c>
      <x:c r="N1819" s="25" t="str">
        <x:f>IF(J1819&gt;=6,"Sí","No")</x:f>
        <x:v>Sí</x:v>
      </x:c>
      <x:c r="O1819" s="25" t="str">
        <x:v>Pendiente: asignar con R/sf</x:v>
      </x:c>
    </x:row>
    <x:row r="1820">
      <x:c r="A1820" s="25" t="n">
        <x:v>1819</x:v>
      </x:c>
      <x:c r="B1820" s="26" t="n">
        <x:v>41790.38719907407</x:v>
      </x:c>
      <x:c r="C1820" s="27" t="n">
        <x:f>INT(B1820)</x:f>
        <x:v>41790</x:v>
      </x:c>
      <x:c r="D1820" s="28" t="n">
        <x:f>MOD(B1820,1)</x:f>
        <x:v>0.38719907407357823</x:v>
      </x:c>
      <x:c r="E1820" s="29" t="n">
        <x:f>YEAR(B1820)</x:f>
        <x:v>2014</x:v>
      </x:c>
      <x:c r="F1820" s="29" t="n">
        <x:f>MONTH(B1820)</x:f>
        <x:v>5</x:v>
      </x:c>
      <x:c r="G1820" s="30" t="n">
        <x:v>-19.79</x:v>
      </x:c>
      <x:c r="H1820" s="30" t="n">
        <x:v>-70.5</x:v>
      </x:c>
      <x:c r="I1820" s="29" t="n">
        <x:v>35</x:v>
      </x:c>
      <x:c r="J1820" s="31" t="n">
        <x:v>4.1</x:v>
      </x:c>
      <x:c r="K1820" s="25" t="str">
        <x:f>IF(J1820&gt;=7,"Muy fuerte (&gt;=7)",IF(J1820&gt;=6,"Fuerte (6-6.9)",IF(J1820&gt;=5,"Moderado alto (5-5.9)",IF(J1820&gt;=4,"Moderado (4-4.9)","Menor a 4"))))</x:f>
        <x:v>Moderado (4-4.9)</x:v>
      </x:c>
      <x:c r="L1820" s="25" t="str">
        <x:f>IF(I1820&lt;70,"Superficial (&lt;70 km)",IF(I1820&lt;=300,"Intermedio (70-300 km)","Profundo (&gt;300 km)"))</x:f>
        <x:v>Superficial (&lt;70 km)</x:v>
      </x:c>
      <x:c r="M1820" s="25" t="str">
        <x:f>IF(J1820&gt;=5,"Sí","No")</x:f>
        <x:v>No</x:v>
      </x:c>
      <x:c r="N1820" s="25" t="str">
        <x:f>IF(J1820&gt;=6,"Sí","No")</x:f>
        <x:v>No</x:v>
      </x:c>
      <x:c r="O1820" s="25" t="str">
        <x:v>Pendiente: asignar con R/sf</x:v>
      </x:c>
    </x:row>
    <x:row r="1821">
      <x:c r="A1821" s="25" t="n">
        <x:v>1820</x:v>
      </x:c>
      <x:c r="B1821" s="26" t="n">
        <x:v>41753.20613425926</x:v>
      </x:c>
      <x:c r="C1821" s="27" t="n">
        <x:f>INT(B1821)</x:f>
        <x:v>41753</x:v>
      </x:c>
      <x:c r="D1821" s="28" t="n">
        <x:f>MOD(B1821,1)</x:f>
        <x:v>0.20613425925694173</x:v>
      </x:c>
      <x:c r="E1821" s="29" t="n">
        <x:f>YEAR(B1821)</x:f>
        <x:v>2014</x:v>
      </x:c>
      <x:c r="F1821" s="29" t="n">
        <x:f>MONTH(B1821)</x:f>
        <x:v>4</x:v>
      </x:c>
      <x:c r="G1821" s="30" t="n">
        <x:v>-20.09</x:v>
      </x:c>
      <x:c r="H1821" s="30" t="n">
        <x:v>-70.91</x:v>
      </x:c>
      <x:c r="I1821" s="29" t="n">
        <x:v>36</x:v>
      </x:c>
      <x:c r="J1821" s="31" t="n">
        <x:v>4.9</x:v>
      </x:c>
      <x:c r="K1821" s="25" t="str">
        <x:f>IF(J1821&gt;=7,"Muy fuerte (&gt;=7)",IF(J1821&gt;=6,"Fuerte (6-6.9)",IF(J1821&gt;=5,"Moderado alto (5-5.9)",IF(J1821&gt;=4,"Moderado (4-4.9)","Menor a 4"))))</x:f>
        <x:v>Moderado (4-4.9)</x:v>
      </x:c>
      <x:c r="L1821" s="25" t="str">
        <x:f>IF(I1821&lt;70,"Superficial (&lt;70 km)",IF(I1821&lt;=300,"Intermedio (70-300 km)","Profundo (&gt;300 km)"))</x:f>
        <x:v>Superficial (&lt;70 km)</x:v>
      </x:c>
      <x:c r="M1821" s="25" t="str">
        <x:f>IF(J1821&gt;=5,"Sí","No")</x:f>
        <x:v>No</x:v>
      </x:c>
      <x:c r="N1821" s="25" t="str">
        <x:f>IF(J1821&gt;=6,"Sí","No")</x:f>
        <x:v>No</x:v>
      </x:c>
      <x:c r="O1821" s="25" t="str">
        <x:v>Pendiente: asignar con R/sf</x:v>
      </x:c>
    </x:row>
    <x:row r="1822">
      <x:c r="A1822" s="25" t="n">
        <x:v>1821</x:v>
      </x:c>
      <x:c r="B1822" s="26" t="n">
        <x:v>41870.96729166667</x:v>
      </x:c>
      <x:c r="C1822" s="27" t="n">
        <x:f>INT(B1822)</x:f>
        <x:v>41870</x:v>
      </x:c>
      <x:c r="D1822" s="28" t="n">
        <x:f>MOD(B1822,1)</x:f>
        <x:v>0.9672916666677338</x:v>
      </x:c>
      <x:c r="E1822" s="29" t="n">
        <x:f>YEAR(B1822)</x:f>
        <x:v>2014</x:v>
      </x:c>
      <x:c r="F1822" s="29" t="n">
        <x:f>MONTH(B1822)</x:f>
        <x:v>8</x:v>
      </x:c>
      <x:c r="G1822" s="30" t="n">
        <x:v>-20.73</x:v>
      </x:c>
      <x:c r="H1822" s="30" t="n">
        <x:v>-70.61</x:v>
      </x:c>
      <x:c r="I1822" s="29" t="n">
        <x:v>22</x:v>
      </x:c>
      <x:c r="J1822" s="31" t="n">
        <x:v>4.4</x:v>
      </x:c>
      <x:c r="K1822" s="25" t="str">
        <x:f>IF(J1822&gt;=7,"Muy fuerte (&gt;=7)",IF(J1822&gt;=6,"Fuerte (6-6.9)",IF(J1822&gt;=5,"Moderado alto (5-5.9)",IF(J1822&gt;=4,"Moderado (4-4.9)","Menor a 4"))))</x:f>
        <x:v>Moderado (4-4.9)</x:v>
      </x:c>
      <x:c r="L1822" s="25" t="str">
        <x:f>IF(I1822&lt;70,"Superficial (&lt;70 km)",IF(I1822&lt;=300,"Intermedio (70-300 km)","Profundo (&gt;300 km)"))</x:f>
        <x:v>Superficial (&lt;70 km)</x:v>
      </x:c>
      <x:c r="M1822" s="25" t="str">
        <x:f>IF(J1822&gt;=5,"Sí","No")</x:f>
        <x:v>No</x:v>
      </x:c>
      <x:c r="N1822" s="25" t="str">
        <x:f>IF(J1822&gt;=6,"Sí","No")</x:f>
        <x:v>No</x:v>
      </x:c>
      <x:c r="O1822" s="25" t="str">
        <x:v>Pendiente: asignar con R/sf</x:v>
      </x:c>
    </x:row>
    <x:row r="1823">
      <x:c r="A1823" s="25" t="n">
        <x:v>1822</x:v>
      </x:c>
      <x:c r="B1823" s="26" t="n">
        <x:v>41732.381215277775</x:v>
      </x:c>
      <x:c r="C1823" s="27" t="n">
        <x:f>INT(B1823)</x:f>
        <x:v>41732</x:v>
      </x:c>
      <x:c r="D1823" s="28" t="n">
        <x:f>MOD(B1823,1)</x:f>
        <x:v>0.3812152777754818</x:v>
      </x:c>
      <x:c r="E1823" s="29" t="n">
        <x:f>YEAR(B1823)</x:f>
        <x:v>2014</x:v>
      </x:c>
      <x:c r="F1823" s="29" t="n">
        <x:f>MONTH(B1823)</x:f>
        <x:v>4</x:v>
      </x:c>
      <x:c r="G1823" s="30" t="n">
        <x:v>-20.28</x:v>
      </x:c>
      <x:c r="H1823" s="30" t="n">
        <x:v>-70.47</x:v>
      </x:c>
      <x:c r="I1823" s="29" t="n">
        <x:v>37</x:v>
      </x:c>
      <x:c r="J1823" s="31" t="n">
        <x:v>4.8</x:v>
      </x:c>
      <x:c r="K1823" s="25" t="str">
        <x:f>IF(J1823&gt;=7,"Muy fuerte (&gt;=7)",IF(J1823&gt;=6,"Fuerte (6-6.9)",IF(J1823&gt;=5,"Moderado alto (5-5.9)",IF(J1823&gt;=4,"Moderado (4-4.9)","Menor a 4"))))</x:f>
        <x:v>Moderado (4-4.9)</x:v>
      </x:c>
      <x:c r="L1823" s="25" t="str">
        <x:f>IF(I1823&lt;70,"Superficial (&lt;70 km)",IF(I1823&lt;=300,"Intermedio (70-300 km)","Profundo (&gt;300 km)"))</x:f>
        <x:v>Superficial (&lt;70 km)</x:v>
      </x:c>
      <x:c r="M1823" s="25" t="str">
        <x:f>IF(J1823&gt;=5,"Sí","No")</x:f>
        <x:v>No</x:v>
      </x:c>
      <x:c r="N1823" s="25" t="str">
        <x:f>IF(J1823&gt;=6,"Sí","No")</x:f>
        <x:v>No</x:v>
      </x:c>
      <x:c r="O1823" s="25" t="str">
        <x:v>Pendiente: asignar con R/sf</x:v>
      </x:c>
    </x:row>
    <x:row r="1824">
      <x:c r="A1824" s="25" t="n">
        <x:v>1823</x:v>
      </x:c>
      <x:c r="B1824" s="26" t="n">
        <x:v>41972.847037037034</x:v>
      </x:c>
      <x:c r="C1824" s="27" t="n">
        <x:f>INT(B1824)</x:f>
        <x:v>41972</x:v>
      </x:c>
      <x:c r="D1824" s="28" t="n">
        <x:f>MOD(B1824,1)</x:f>
        <x:v>0.8470370370341698</x:v>
      </x:c>
      <x:c r="E1824" s="29" t="n">
        <x:f>YEAR(B1824)</x:f>
        <x:v>2014</x:v>
      </x:c>
      <x:c r="F1824" s="29" t="n">
        <x:f>MONTH(B1824)</x:f>
        <x:v>11</x:v>
      </x:c>
      <x:c r="G1824" s="30" t="n">
        <x:v>-19.92</x:v>
      </x:c>
      <x:c r="H1824" s="30" t="n">
        <x:v>-71.04</x:v>
      </x:c>
      <x:c r="I1824" s="29" t="n">
        <x:v>35</x:v>
      </x:c>
      <x:c r="J1824" s="31" t="n">
        <x:v>4.3</x:v>
      </x:c>
      <x:c r="K1824" s="25" t="str">
        <x:f>IF(J1824&gt;=7,"Muy fuerte (&gt;=7)",IF(J1824&gt;=6,"Fuerte (6-6.9)",IF(J1824&gt;=5,"Moderado alto (5-5.9)",IF(J1824&gt;=4,"Moderado (4-4.9)","Menor a 4"))))</x:f>
        <x:v>Moderado (4-4.9)</x:v>
      </x:c>
      <x:c r="L1824" s="25" t="str">
        <x:f>IF(I1824&lt;70,"Superficial (&lt;70 km)",IF(I1824&lt;=300,"Intermedio (70-300 km)","Profundo (&gt;300 km)"))</x:f>
        <x:v>Superficial (&lt;70 km)</x:v>
      </x:c>
      <x:c r="M1824" s="25" t="str">
        <x:f>IF(J1824&gt;=5,"Sí","No")</x:f>
        <x:v>No</x:v>
      </x:c>
      <x:c r="N1824" s="25" t="str">
        <x:f>IF(J1824&gt;=6,"Sí","No")</x:f>
        <x:v>No</x:v>
      </x:c>
      <x:c r="O1824" s="25" t="str">
        <x:v>Pendiente: asignar con R/sf</x:v>
      </x:c>
    </x:row>
    <x:row r="1825">
      <x:c r="A1825" s="25" t="n">
        <x:v>1824</x:v>
      </x:c>
      <x:c r="B1825" s="26" t="n">
        <x:v>41814.731041666666</x:v>
      </x:c>
      <x:c r="C1825" s="27" t="n">
        <x:f>INT(B1825)</x:f>
        <x:v>41814</x:v>
      </x:c>
      <x:c r="D1825" s="28" t="n">
        <x:f>MOD(B1825,1)</x:f>
        <x:v>0.7310416666659876</x:v>
      </x:c>
      <x:c r="E1825" s="29" t="n">
        <x:f>YEAR(B1825)</x:f>
        <x:v>2014</x:v>
      </x:c>
      <x:c r="F1825" s="29" t="n">
        <x:f>MONTH(B1825)</x:f>
        <x:v>6</x:v>
      </x:c>
      <x:c r="G1825" s="30" t="n">
        <x:v>-32.63</x:v>
      </x:c>
      <x:c r="H1825" s="30" t="n">
        <x:v>-71.54</x:v>
      </x:c>
      <x:c r="I1825" s="29" t="n">
        <x:v>39</x:v>
      </x:c>
      <x:c r="J1825" s="31" t="n">
        <x:v>4.1</x:v>
      </x:c>
      <x:c r="K1825" s="25" t="str">
        <x:f>IF(J1825&gt;=7,"Muy fuerte (&gt;=7)",IF(J1825&gt;=6,"Fuerte (6-6.9)",IF(J1825&gt;=5,"Moderado alto (5-5.9)",IF(J1825&gt;=4,"Moderado (4-4.9)","Menor a 4"))))</x:f>
        <x:v>Moderado (4-4.9)</x:v>
      </x:c>
      <x:c r="L1825" s="25" t="str">
        <x:f>IF(I1825&lt;70,"Superficial (&lt;70 km)",IF(I1825&lt;=300,"Intermedio (70-300 km)","Profundo (&gt;300 km)"))</x:f>
        <x:v>Superficial (&lt;70 km)</x:v>
      </x:c>
      <x:c r="M1825" s="25" t="str">
        <x:f>IF(J1825&gt;=5,"Sí","No")</x:f>
        <x:v>No</x:v>
      </x:c>
      <x:c r="N1825" s="25" t="str">
        <x:f>IF(J1825&gt;=6,"Sí","No")</x:f>
        <x:v>No</x:v>
      </x:c>
      <x:c r="O1825" s="25" t="str">
        <x:v>Pendiente: asignar con R/sf</x:v>
      </x:c>
    </x:row>
    <x:row r="1826">
      <x:c r="A1826" s="25" t="n">
        <x:v>1825</x:v>
      </x:c>
      <x:c r="B1826" s="26" t="n">
        <x:v>41810.84894675926</x:v>
      </x:c>
      <x:c r="C1826" s="27" t="n">
        <x:f>INT(B1826)</x:f>
        <x:v>41810</x:v>
      </x:c>
      <x:c r="D1826" s="28" t="n">
        <x:f>MOD(B1826,1)</x:f>
        <x:v>0.848946759258979</x:v>
      </x:c>
      <x:c r="E1826" s="29" t="n">
        <x:f>YEAR(B1826)</x:f>
        <x:v>2014</x:v>
      </x:c>
      <x:c r="F1826" s="29" t="n">
        <x:f>MONTH(B1826)</x:f>
        <x:v>6</x:v>
      </x:c>
      <x:c r="G1826" s="30" t="n">
        <x:v>-19.76</x:v>
      </x:c>
      <x:c r="H1826" s="30" t="n">
        <x:v>-71.04</x:v>
      </x:c>
      <x:c r="I1826" s="29" t="n">
        <x:v>33</x:v>
      </x:c>
      <x:c r="J1826" s="31" t="n">
        <x:v>5.4</x:v>
      </x:c>
      <x:c r="K1826" s="25" t="str">
        <x:f>IF(J1826&gt;=7,"Muy fuerte (&gt;=7)",IF(J1826&gt;=6,"Fuerte (6-6.9)",IF(J1826&gt;=5,"Moderado alto (5-5.9)",IF(J1826&gt;=4,"Moderado (4-4.9)","Menor a 4"))))</x:f>
        <x:v>Moderado alto (5-5.9)</x:v>
      </x:c>
      <x:c r="L1826" s="25" t="str">
        <x:f>IF(I1826&lt;70,"Superficial (&lt;70 km)",IF(I1826&lt;=300,"Intermedio (70-300 km)","Profundo (&gt;300 km)"))</x:f>
        <x:v>Superficial (&lt;70 km)</x:v>
      </x:c>
      <x:c r="M1826" s="25" t="str">
        <x:f>IF(J1826&gt;=5,"Sí","No")</x:f>
        <x:v>Sí</x:v>
      </x:c>
      <x:c r="N1826" s="25" t="str">
        <x:f>IF(J1826&gt;=6,"Sí","No")</x:f>
        <x:v>No</x:v>
      </x:c>
      <x:c r="O1826" s="25" t="str">
        <x:v>Pendiente: asignar con R/sf</x:v>
      </x:c>
    </x:row>
    <x:row r="1827">
      <x:c r="A1827" s="25" t="n">
        <x:v>1826</x:v>
      </x:c>
      <x:c r="B1827" s="26" t="n">
        <x:v>41810.82884259259</x:v>
      </x:c>
      <x:c r="C1827" s="27" t="n">
        <x:f>INT(B1827)</x:f>
        <x:v>41810</x:v>
      </x:c>
      <x:c r="D1827" s="28" t="n">
        <x:f>MOD(B1827,1)</x:f>
        <x:v>0.8288425925929914</x:v>
      </x:c>
      <x:c r="E1827" s="29" t="n">
        <x:f>YEAR(B1827)</x:f>
        <x:v>2014</x:v>
      </x:c>
      <x:c r="F1827" s="29" t="n">
        <x:f>MONTH(B1827)</x:f>
        <x:v>6</x:v>
      </x:c>
      <x:c r="G1827" s="30" t="n">
        <x:v>-19.77</x:v>
      </x:c>
      <x:c r="H1827" s="30" t="n">
        <x:v>-70.94</x:v>
      </x:c>
      <x:c r="I1827" s="29" t="n">
        <x:v>40</x:v>
      </x:c>
      <x:c r="J1827" s="31" t="n">
        <x:v>5.2</x:v>
      </x:c>
      <x:c r="K1827" s="25" t="str">
        <x:f>IF(J1827&gt;=7,"Muy fuerte (&gt;=7)",IF(J1827&gt;=6,"Fuerte (6-6.9)",IF(J1827&gt;=5,"Moderado alto (5-5.9)",IF(J1827&gt;=4,"Moderado (4-4.9)","Menor a 4"))))</x:f>
        <x:v>Moderado alto (5-5.9)</x:v>
      </x:c>
      <x:c r="L1827" s="25" t="str">
        <x:f>IF(I1827&lt;70,"Superficial (&lt;70 km)",IF(I1827&lt;=300,"Intermedio (70-300 km)","Profundo (&gt;300 km)"))</x:f>
        <x:v>Superficial (&lt;70 km)</x:v>
      </x:c>
      <x:c r="M1827" s="25" t="str">
        <x:f>IF(J1827&gt;=5,"Sí","No")</x:f>
        <x:v>Sí</x:v>
      </x:c>
      <x:c r="N1827" s="25" t="str">
        <x:f>IF(J1827&gt;=6,"Sí","No")</x:f>
        <x:v>No</x:v>
      </x:c>
      <x:c r="O1827" s="25" t="str">
        <x:v>Pendiente: asignar con R/sf</x:v>
      </x:c>
    </x:row>
    <x:row r="1828">
      <x:c r="A1828" s="25" t="n">
        <x:v>1827</x:v>
      </x:c>
      <x:c r="B1828" s="26" t="n">
        <x:v>41748.87130787037</x:v>
      </x:c>
      <x:c r="C1828" s="27" t="n">
        <x:f>INT(B1828)</x:f>
        <x:v>41748</x:v>
      </x:c>
      <x:c r="D1828" s="28" t="n">
        <x:f>MOD(B1828,1)</x:f>
        <x:v>0.8713078703731298</x:v>
      </x:c>
      <x:c r="E1828" s="29" t="n">
        <x:f>YEAR(B1828)</x:f>
        <x:v>2014</x:v>
      </x:c>
      <x:c r="F1828" s="29" t="n">
        <x:f>MONTH(B1828)</x:f>
        <x:v>4</x:v>
      </x:c>
      <x:c r="G1828" s="30" t="n">
        <x:v>-19.96</x:v>
      </x:c>
      <x:c r="H1828" s="30" t="n">
        <x:v>-71.11</x:v>
      </x:c>
      <x:c r="I1828" s="29" t="n">
        <x:v>40</x:v>
      </x:c>
      <x:c r="J1828" s="31" t="n">
        <x:v>5.3</x:v>
      </x:c>
      <x:c r="K1828" s="25" t="str">
        <x:f>IF(J1828&gt;=7,"Muy fuerte (&gt;=7)",IF(J1828&gt;=6,"Fuerte (6-6.9)",IF(J1828&gt;=5,"Moderado alto (5-5.9)",IF(J1828&gt;=4,"Moderado (4-4.9)","Menor a 4"))))</x:f>
        <x:v>Moderado alto (5-5.9)</x:v>
      </x:c>
      <x:c r="L1828" s="25" t="str">
        <x:f>IF(I1828&lt;70,"Superficial (&lt;70 km)",IF(I1828&lt;=300,"Intermedio (70-300 km)","Profundo (&gt;300 km)"))</x:f>
        <x:v>Superficial (&lt;70 km)</x:v>
      </x:c>
      <x:c r="M1828" s="25" t="str">
        <x:f>IF(J1828&gt;=5,"Sí","No")</x:f>
        <x:v>Sí</x:v>
      </x:c>
      <x:c r="N1828" s="25" t="str">
        <x:f>IF(J1828&gt;=6,"Sí","No")</x:f>
        <x:v>No</x:v>
      </x:c>
      <x:c r="O1828" s="25" t="str">
        <x:v>Pendiente: asignar con R/sf</x:v>
      </x:c>
    </x:row>
    <x:row r="1829">
      <x:c r="A1829" s="25" t="n">
        <x:v>1828</x:v>
      </x:c>
      <x:c r="B1829" s="26" t="n">
        <x:v>41787.43548611111</x:v>
      </x:c>
      <x:c r="C1829" s="27" t="n">
        <x:f>INT(B1829)</x:f>
        <x:v>41787</x:v>
      </x:c>
      <x:c r="D1829" s="28" t="n">
        <x:f>MOD(B1829,1)</x:f>
        <x:v>0.43548611111327773</x:v>
      </x:c>
      <x:c r="E1829" s="29" t="n">
        <x:f>YEAR(B1829)</x:f>
        <x:v>2014</x:v>
      </x:c>
      <x:c r="F1829" s="29" t="n">
        <x:f>MONTH(B1829)</x:f>
        <x:v>5</x:v>
      </x:c>
      <x:c r="G1829" s="30" t="n">
        <x:v>-32.29</x:v>
      </x:c>
      <x:c r="H1829" s="30" t="n">
        <x:v>-71.56</x:v>
      </x:c>
      <x:c r="I1829" s="29" t="n">
        <x:v>57</x:v>
      </x:c>
      <x:c r="J1829" s="31" t="n">
        <x:v>4.3</x:v>
      </x:c>
      <x:c r="K1829" s="25" t="str">
        <x:f>IF(J1829&gt;=7,"Muy fuerte (&gt;=7)",IF(J1829&gt;=6,"Fuerte (6-6.9)",IF(J1829&gt;=5,"Moderado alto (5-5.9)",IF(J1829&gt;=4,"Moderado (4-4.9)","Menor a 4"))))</x:f>
        <x:v>Moderado (4-4.9)</x:v>
      </x:c>
      <x:c r="L1829" s="25" t="str">
        <x:f>IF(I1829&lt;70,"Superficial (&lt;70 km)",IF(I1829&lt;=300,"Intermedio (70-300 km)","Profundo (&gt;300 km)"))</x:f>
        <x:v>Superficial (&lt;70 km)</x:v>
      </x:c>
      <x:c r="M1829" s="25" t="str">
        <x:f>IF(J1829&gt;=5,"Sí","No")</x:f>
        <x:v>No</x:v>
      </x:c>
      <x:c r="N1829" s="25" t="str">
        <x:f>IF(J1829&gt;=6,"Sí","No")</x:f>
        <x:v>No</x:v>
      </x:c>
      <x:c r="O1829" s="25" t="str">
        <x:v>Pendiente: asignar con R/sf</x:v>
      </x:c>
    </x:row>
    <x:row r="1830">
      <x:c r="A1830" s="25" t="n">
        <x:v>1829</x:v>
      </x:c>
      <x:c r="B1830" s="26" t="n">
        <x:v>41798.34296296296</x:v>
      </x:c>
      <x:c r="C1830" s="27" t="n">
        <x:f>INT(B1830)</x:f>
        <x:v>41798</x:v>
      </x:c>
      <x:c r="D1830" s="28" t="n">
        <x:f>MOD(B1830,1)</x:f>
        <x:v>0.3429629629608826</x:v>
      </x:c>
      <x:c r="E1830" s="29" t="n">
        <x:f>YEAR(B1830)</x:f>
        <x:v>2014</x:v>
      </x:c>
      <x:c r="F1830" s="29" t="n">
        <x:f>MONTH(B1830)</x:f>
        <x:v>6</x:v>
      </x:c>
      <x:c r="G1830" s="30" t="n">
        <x:v>-32.6</x:v>
      </x:c>
      <x:c r="H1830" s="30" t="n">
        <x:v>-71.67</x:v>
      </x:c>
      <x:c r="I1830" s="29" t="n">
        <x:v>20</x:v>
      </x:c>
      <x:c r="J1830" s="31" t="n">
        <x:v>4.4</x:v>
      </x:c>
      <x:c r="K1830" s="25" t="str">
        <x:f>IF(J1830&gt;=7,"Muy fuerte (&gt;=7)",IF(J1830&gt;=6,"Fuerte (6-6.9)",IF(J1830&gt;=5,"Moderado alto (5-5.9)",IF(J1830&gt;=4,"Moderado (4-4.9)","Menor a 4"))))</x:f>
        <x:v>Moderado (4-4.9)</x:v>
      </x:c>
      <x:c r="L1830" s="25" t="str">
        <x:f>IF(I1830&lt;70,"Superficial (&lt;70 km)",IF(I1830&lt;=300,"Intermedio (70-300 km)","Profundo (&gt;300 km)"))</x:f>
        <x:v>Superficial (&lt;70 km)</x:v>
      </x:c>
      <x:c r="M1830" s="25" t="str">
        <x:f>IF(J1830&gt;=5,"Sí","No")</x:f>
        <x:v>No</x:v>
      </x:c>
      <x:c r="N1830" s="25" t="str">
        <x:f>IF(J1830&gt;=6,"Sí","No")</x:f>
        <x:v>No</x:v>
      </x:c>
      <x:c r="O1830" s="25" t="str">
        <x:v>Pendiente: asignar con R/sf</x:v>
      </x:c>
    </x:row>
    <x:row r="1831">
      <x:c r="A1831" s="25" t="n">
        <x:v>1830</x:v>
      </x:c>
      <x:c r="B1831" s="26" t="n">
        <x:v>41722.48074074074</x:v>
      </x:c>
      <x:c r="C1831" s="27" t="n">
        <x:f>INT(B1831)</x:f>
        <x:v>41722</x:v>
      </x:c>
      <x:c r="D1831" s="28" t="n">
        <x:f>MOD(B1831,1)</x:f>
        <x:v>0.4807407407424762</x:v>
      </x:c>
      <x:c r="E1831" s="29" t="n">
        <x:f>YEAR(B1831)</x:f>
        <x:v>2014</x:v>
      </x:c>
      <x:c r="F1831" s="29" t="n">
        <x:f>MONTH(B1831)</x:f>
        <x:v>3</x:v>
      </x:c>
      <x:c r="G1831" s="30" t="n">
        <x:v>-19.8</x:v>
      </x:c>
      <x:c r="H1831" s="30" t="n">
        <x:v>-70.81</x:v>
      </x:c>
      <x:c r="I1831" s="29" t="n">
        <x:v>42</x:v>
      </x:c>
      <x:c r="J1831" s="31" t="n">
        <x:v>5.1</x:v>
      </x:c>
      <x:c r="K1831" s="25" t="str">
        <x:f>IF(J1831&gt;=7,"Muy fuerte (&gt;=7)",IF(J1831&gt;=6,"Fuerte (6-6.9)",IF(J1831&gt;=5,"Moderado alto (5-5.9)",IF(J1831&gt;=4,"Moderado (4-4.9)","Menor a 4"))))</x:f>
        <x:v>Moderado alto (5-5.9)</x:v>
      </x:c>
      <x:c r="L1831" s="25" t="str">
        <x:f>IF(I1831&lt;70,"Superficial (&lt;70 km)",IF(I1831&lt;=300,"Intermedio (70-300 km)","Profundo (&gt;300 km)"))</x:f>
        <x:v>Superficial (&lt;70 km)</x:v>
      </x:c>
      <x:c r="M1831" s="25" t="str">
        <x:f>IF(J1831&gt;=5,"Sí","No")</x:f>
        <x:v>Sí</x:v>
      </x:c>
      <x:c r="N1831" s="25" t="str">
        <x:f>IF(J1831&gt;=6,"Sí","No")</x:f>
        <x:v>No</x:v>
      </x:c>
      <x:c r="O1831" s="25" t="str">
        <x:v>Pendiente: asignar con R/sf</x:v>
      </x:c>
    </x:row>
    <x:row r="1832">
      <x:c r="A1832" s="25" t="n">
        <x:v>1831</x:v>
      </x:c>
      <x:c r="B1832" s="26" t="n">
        <x:v>41866.08597222222</x:v>
      </x:c>
      <x:c r="C1832" s="27" t="n">
        <x:f>INT(B1832)</x:f>
        <x:v>41866</x:v>
      </x:c>
      <x:c r="D1832" s="28" t="n">
        <x:f>MOD(B1832,1)</x:f>
        <x:v>0.085972222223063</x:v>
      </x:c>
      <x:c r="E1832" s="29" t="n">
        <x:f>YEAR(B1832)</x:f>
        <x:v>2014</x:v>
      </x:c>
      <x:c r="F1832" s="29" t="n">
        <x:f>MONTH(B1832)</x:f>
        <x:v>8</x:v>
      </x:c>
      <x:c r="G1832" s="30" t="n">
        <x:v>-20.34</x:v>
      </x:c>
      <x:c r="H1832" s="30" t="n">
        <x:v>-68.8</x:v>
      </x:c>
      <x:c r="I1832" s="29" t="n">
        <x:v>122</x:v>
      </x:c>
      <x:c r="J1832" s="31" t="n">
        <x:v>4.5</x:v>
      </x:c>
      <x:c r="K1832" s="25" t="str">
        <x:f>IF(J1832&gt;=7,"Muy fuerte (&gt;=7)",IF(J1832&gt;=6,"Fuerte (6-6.9)",IF(J1832&gt;=5,"Moderado alto (5-5.9)",IF(J1832&gt;=4,"Moderado (4-4.9)","Menor a 4"))))</x:f>
        <x:v>Moderado (4-4.9)</x:v>
      </x:c>
      <x:c r="L1832" s="25" t="str">
        <x:f>IF(I1832&lt;70,"Superficial (&lt;70 km)",IF(I1832&lt;=300,"Intermedio (70-300 km)","Profundo (&gt;300 km)"))</x:f>
        <x:v>Intermedio (70-300 km)</x:v>
      </x:c>
      <x:c r="M1832" s="25" t="str">
        <x:f>IF(J1832&gt;=5,"Sí","No")</x:f>
        <x:v>No</x:v>
      </x:c>
      <x:c r="N1832" s="25" t="str">
        <x:f>IF(J1832&gt;=6,"Sí","No")</x:f>
        <x:v>No</x:v>
      </x:c>
      <x:c r="O1832" s="25" t="str">
        <x:v>Pendiente: asignar con R/sf</x:v>
      </x:c>
    </x:row>
    <x:row r="1833">
      <x:c r="A1833" s="25" t="n">
        <x:v>1832</x:v>
      </x:c>
      <x:c r="B1833" s="26" t="n">
        <x:v>41788.07493055556</x:v>
      </x:c>
      <x:c r="C1833" s="27" t="n">
        <x:f>INT(B1833)</x:f>
        <x:v>41788</x:v>
      </x:c>
      <x:c r="D1833" s="28" t="n">
        <x:f>MOD(B1833,1)</x:f>
        <x:v>0.07493055555823958</x:v>
      </x:c>
      <x:c r="E1833" s="29" t="n">
        <x:f>YEAR(B1833)</x:f>
        <x:v>2014</x:v>
      </x:c>
      <x:c r="F1833" s="29" t="n">
        <x:f>MONTH(B1833)</x:f>
        <x:v>5</x:v>
      </x:c>
      <x:c r="G1833" s="30" t="n">
        <x:v>-33.74</x:v>
      </x:c>
      <x:c r="H1833" s="30" t="n">
        <x:v>-71.92</x:v>
      </x:c>
      <x:c r="I1833" s="29" t="n">
        <x:v>44</x:v>
      </x:c>
      <x:c r="J1833" s="31" t="n">
        <x:v>4.2</x:v>
      </x:c>
      <x:c r="K1833" s="25" t="str">
        <x:f>IF(J1833&gt;=7,"Muy fuerte (&gt;=7)",IF(J1833&gt;=6,"Fuerte (6-6.9)",IF(J1833&gt;=5,"Moderado alto (5-5.9)",IF(J1833&gt;=4,"Moderado (4-4.9)","Menor a 4"))))</x:f>
        <x:v>Moderado (4-4.9)</x:v>
      </x:c>
      <x:c r="L1833" s="25" t="str">
        <x:f>IF(I1833&lt;70,"Superficial (&lt;70 km)",IF(I1833&lt;=300,"Intermedio (70-300 km)","Profundo (&gt;300 km)"))</x:f>
        <x:v>Superficial (&lt;70 km)</x:v>
      </x:c>
      <x:c r="M1833" s="25" t="str">
        <x:f>IF(J1833&gt;=5,"Sí","No")</x:f>
        <x:v>No</x:v>
      </x:c>
      <x:c r="N1833" s="25" t="str">
        <x:f>IF(J1833&gt;=6,"Sí","No")</x:f>
        <x:v>No</x:v>
      </x:c>
      <x:c r="O1833" s="25" t="str">
        <x:v>Pendiente: asignar con R/sf</x:v>
      </x:c>
    </x:row>
    <x:row r="1834">
      <x:c r="A1834" s="25" t="n">
        <x:v>1833</x:v>
      </x:c>
      <x:c r="B1834" s="26" t="n">
        <x:v>41808.16835648148</x:v>
      </x:c>
      <x:c r="C1834" s="27" t="n">
        <x:f>INT(B1834)</x:f>
        <x:v>41808</x:v>
      </x:c>
      <x:c r="D1834" s="28" t="n">
        <x:f>MOD(B1834,1)</x:f>
        <x:v>0.16835648148116888</x:v>
      </x:c>
      <x:c r="E1834" s="29" t="n">
        <x:f>YEAR(B1834)</x:f>
        <x:v>2014</x:v>
      </x:c>
      <x:c r="F1834" s="29" t="n">
        <x:f>MONTH(B1834)</x:f>
        <x:v>6</x:v>
      </x:c>
      <x:c r="G1834" s="30" t="n">
        <x:v>-20.21</x:v>
      </x:c>
      <x:c r="H1834" s="30" t="n">
        <x:v>-70.89</x:v>
      </x:c>
      <x:c r="I1834" s="29" t="n">
        <x:v>19</x:v>
      </x:c>
      <x:c r="J1834" s="31" t="n">
        <x:v>4.5</x:v>
      </x:c>
      <x:c r="K1834" s="25" t="str">
        <x:f>IF(J1834&gt;=7,"Muy fuerte (&gt;=7)",IF(J1834&gt;=6,"Fuerte (6-6.9)",IF(J1834&gt;=5,"Moderado alto (5-5.9)",IF(J1834&gt;=4,"Moderado (4-4.9)","Menor a 4"))))</x:f>
        <x:v>Moderado (4-4.9)</x:v>
      </x:c>
      <x:c r="L1834" s="25" t="str">
        <x:f>IF(I1834&lt;70,"Superficial (&lt;70 km)",IF(I1834&lt;=300,"Intermedio (70-300 km)","Profundo (&gt;300 km)"))</x:f>
        <x:v>Superficial (&lt;70 km)</x:v>
      </x:c>
      <x:c r="M1834" s="25" t="str">
        <x:f>IF(J1834&gt;=5,"Sí","No")</x:f>
        <x:v>No</x:v>
      </x:c>
      <x:c r="N1834" s="25" t="str">
        <x:f>IF(J1834&gt;=6,"Sí","No")</x:f>
        <x:v>No</x:v>
      </x:c>
      <x:c r="O1834" s="25" t="str">
        <x:v>Pendiente: asignar con R/sf</x:v>
      </x:c>
    </x:row>
    <x:row r="1835">
      <x:c r="A1835" s="25" t="n">
        <x:v>1834</x:v>
      </x:c>
      <x:c r="B1835" s="26" t="n">
        <x:v>41838.22510416667</x:v>
      </x:c>
      <x:c r="C1835" s="27" t="n">
        <x:f>INT(B1835)</x:f>
        <x:v>41838</x:v>
      </x:c>
      <x:c r="D1835" s="28" t="n">
        <x:f>MOD(B1835,1)</x:f>
        <x:v>0.2251041666677338</x:v>
      </x:c>
      <x:c r="E1835" s="29" t="n">
        <x:f>YEAR(B1835)</x:f>
        <x:v>2014</x:v>
      </x:c>
      <x:c r="F1835" s="29" t="n">
        <x:f>MONTH(B1835)</x:f>
        <x:v>7</x:v>
      </x:c>
      <x:c r="G1835" s="30" t="n">
        <x:v>-20.15</x:v>
      </x:c>
      <x:c r="H1835" s="30" t="n">
        <x:v>-70.99</x:v>
      </x:c>
      <x:c r="I1835" s="29" t="n">
        <x:v>39</x:v>
      </x:c>
      <x:c r="J1835" s="31" t="n">
        <x:v>4.7</x:v>
      </x:c>
      <x:c r="K1835" s="25" t="str">
        <x:f>IF(J1835&gt;=7,"Muy fuerte (&gt;=7)",IF(J1835&gt;=6,"Fuerte (6-6.9)",IF(J1835&gt;=5,"Moderado alto (5-5.9)",IF(J1835&gt;=4,"Moderado (4-4.9)","Menor a 4"))))</x:f>
        <x:v>Moderado (4-4.9)</x:v>
      </x:c>
      <x:c r="L1835" s="25" t="str">
        <x:f>IF(I1835&lt;70,"Superficial (&lt;70 km)",IF(I1835&lt;=300,"Intermedio (70-300 km)","Profundo (&gt;300 km)"))</x:f>
        <x:v>Superficial (&lt;70 km)</x:v>
      </x:c>
      <x:c r="M1835" s="25" t="str">
        <x:f>IF(J1835&gt;=5,"Sí","No")</x:f>
        <x:v>No</x:v>
      </x:c>
      <x:c r="N1835" s="25" t="str">
        <x:f>IF(J1835&gt;=6,"Sí","No")</x:f>
        <x:v>No</x:v>
      </x:c>
      <x:c r="O1835" s="25" t="str">
        <x:v>Pendiente: asignar con R/sf</x:v>
      </x:c>
    </x:row>
    <x:row r="1836">
      <x:c r="A1836" s="25" t="n">
        <x:v>1835</x:v>
      </x:c>
      <x:c r="B1836" s="26" t="n">
        <x:v>41744.681446759256</x:v>
      </x:c>
      <x:c r="C1836" s="27" t="n">
        <x:f>INT(B1836)</x:f>
        <x:v>41744</x:v>
      </x:c>
      <x:c r="D1836" s="28" t="n">
        <x:f>MOD(B1836,1)</x:f>
        <x:v>0.6814467592557776</x:v>
      </x:c>
      <x:c r="E1836" s="29" t="n">
        <x:f>YEAR(B1836)</x:f>
        <x:v>2014</x:v>
      </x:c>
      <x:c r="F1836" s="29" t="n">
        <x:f>MONTH(B1836)</x:f>
        <x:v>4</x:v>
      </x:c>
      <x:c r="G1836" s="30" t="n">
        <x:v>-20.19</x:v>
      </x:c>
      <x:c r="H1836" s="30" t="n">
        <x:v>-70.83</x:v>
      </x:c>
      <x:c r="I1836" s="29" t="n">
        <x:v>28</x:v>
      </x:c>
      <x:c r="J1836" s="31" t="n">
        <x:v>5.3</x:v>
      </x:c>
      <x:c r="K1836" s="25" t="str">
        <x:f>IF(J1836&gt;=7,"Muy fuerte (&gt;=7)",IF(J1836&gt;=6,"Fuerte (6-6.9)",IF(J1836&gt;=5,"Moderado alto (5-5.9)",IF(J1836&gt;=4,"Moderado (4-4.9)","Menor a 4"))))</x:f>
        <x:v>Moderado alto (5-5.9)</x:v>
      </x:c>
      <x:c r="L1836" s="25" t="str">
        <x:f>IF(I1836&lt;70,"Superficial (&lt;70 km)",IF(I1836&lt;=300,"Intermedio (70-300 km)","Profundo (&gt;300 km)"))</x:f>
        <x:v>Superficial (&lt;70 km)</x:v>
      </x:c>
      <x:c r="M1836" s="25" t="str">
        <x:f>IF(J1836&gt;=5,"Sí","No")</x:f>
        <x:v>Sí</x:v>
      </x:c>
      <x:c r="N1836" s="25" t="str">
        <x:f>IF(J1836&gt;=6,"Sí","No")</x:f>
        <x:v>No</x:v>
      </x:c>
      <x:c r="O1836" s="25" t="str">
        <x:v>Pendiente: asignar con R/sf</x:v>
      </x:c>
    </x:row>
    <x:row r="1837">
      <x:c r="A1837" s="25" t="n">
        <x:v>1836</x:v>
      </x:c>
      <x:c r="B1837" s="26" t="n">
        <x:v>41682.56623842593</x:v>
      </x:c>
      <x:c r="C1837" s="27" t="n">
        <x:f>INT(B1837)</x:f>
        <x:v>41682</x:v>
      </x:c>
      <x:c r="D1837" s="28" t="n">
        <x:f>MOD(B1837,1)</x:f>
        <x:v>0.5662384259267128</x:v>
      </x:c>
      <x:c r="E1837" s="29" t="n">
        <x:f>YEAR(B1837)</x:f>
        <x:v>2014</x:v>
      </x:c>
      <x:c r="F1837" s="29" t="n">
        <x:f>MONTH(B1837)</x:f>
        <x:v>2</x:v>
      </x:c>
      <x:c r="G1837" s="30" t="n">
        <x:v>-34.77</x:v>
      </x:c>
      <x:c r="H1837" s="30" t="n">
        <x:v>-71.66</x:v>
      </x:c>
      <x:c r="I1837" s="29" t="n">
        <x:v>28</x:v>
      </x:c>
      <x:c r="J1837" s="31" t="n">
        <x:v>5.2</x:v>
      </x:c>
      <x:c r="K1837" s="25" t="str">
        <x:f>IF(J1837&gt;=7,"Muy fuerte (&gt;=7)",IF(J1837&gt;=6,"Fuerte (6-6.9)",IF(J1837&gt;=5,"Moderado alto (5-5.9)",IF(J1837&gt;=4,"Moderado (4-4.9)","Menor a 4"))))</x:f>
        <x:v>Moderado alto (5-5.9)</x:v>
      </x:c>
      <x:c r="L1837" s="25" t="str">
        <x:f>IF(I1837&lt;70,"Superficial (&lt;70 km)",IF(I1837&lt;=300,"Intermedio (70-300 km)","Profundo (&gt;300 km)"))</x:f>
        <x:v>Superficial (&lt;70 km)</x:v>
      </x:c>
      <x:c r="M1837" s="25" t="str">
        <x:f>IF(J1837&gt;=5,"Sí","No")</x:f>
        <x:v>Sí</x:v>
      </x:c>
      <x:c r="N1837" s="25" t="str">
        <x:f>IF(J1837&gt;=6,"Sí","No")</x:f>
        <x:v>No</x:v>
      </x:c>
      <x:c r="O1837" s="25" t="str">
        <x:v>Pendiente: asignar con R/sf</x:v>
      </x:c>
    </x:row>
    <x:row r="1838">
      <x:c r="A1838" s="25" t="n">
        <x:v>1837</x:v>
      </x:c>
      <x:c r="B1838" s="26" t="n">
        <x:v>41798.8918287037</x:v>
      </x:c>
      <x:c r="C1838" s="27" t="n">
        <x:f>INT(B1838)</x:f>
        <x:v>41798</x:v>
      </x:c>
      <x:c r="D1838" s="28" t="n">
        <x:f>MOD(B1838,1)</x:f>
        <x:v>0.8918287037013215</x:v>
      </x:c>
      <x:c r="E1838" s="29" t="n">
        <x:f>YEAR(B1838)</x:f>
        <x:v>2014</x:v>
      </x:c>
      <x:c r="F1838" s="29" t="n">
        <x:f>MONTH(B1838)</x:f>
        <x:v>6</x:v>
      </x:c>
      <x:c r="G1838" s="30" t="n">
        <x:v>-20.22</x:v>
      </x:c>
      <x:c r="H1838" s="30" t="n">
        <x:v>-70.85</x:v>
      </x:c>
      <x:c r="I1838" s="29" t="n">
        <x:v>40</x:v>
      </x:c>
      <x:c r="J1838" s="31" t="n">
        <x:v>4.3</x:v>
      </x:c>
      <x:c r="K1838" s="25" t="str">
        <x:f>IF(J1838&gt;=7,"Muy fuerte (&gt;=7)",IF(J1838&gt;=6,"Fuerte (6-6.9)",IF(J1838&gt;=5,"Moderado alto (5-5.9)",IF(J1838&gt;=4,"Moderado (4-4.9)","Menor a 4"))))</x:f>
        <x:v>Moderado (4-4.9)</x:v>
      </x:c>
      <x:c r="L1838" s="25" t="str">
        <x:f>IF(I1838&lt;70,"Superficial (&lt;70 km)",IF(I1838&lt;=300,"Intermedio (70-300 km)","Profundo (&gt;300 km)"))</x:f>
        <x:v>Superficial (&lt;70 km)</x:v>
      </x:c>
      <x:c r="M1838" s="25" t="str">
        <x:f>IF(J1838&gt;=5,"Sí","No")</x:f>
        <x:v>No</x:v>
      </x:c>
      <x:c r="N1838" s="25" t="str">
        <x:f>IF(J1838&gt;=6,"Sí","No")</x:f>
        <x:v>No</x:v>
      </x:c>
      <x:c r="O1838" s="25" t="str">
        <x:v>Pendiente: asignar con R/sf</x:v>
      </x:c>
    </x:row>
    <x:row r="1839">
      <x:c r="A1839" s="25" t="n">
        <x:v>1838</x:v>
      </x:c>
      <x:c r="B1839" s="26" t="n">
        <x:v>41731.17581018519</x:v>
      </x:c>
      <x:c r="C1839" s="27" t="n">
        <x:f>INT(B1839)</x:f>
        <x:v>41731</x:v>
      </x:c>
      <x:c r="D1839" s="28" t="n">
        <x:f>MOD(B1839,1)</x:f>
        <x:v>0.17581018518831115</x:v>
      </x:c>
      <x:c r="E1839" s="29" t="n">
        <x:f>YEAR(B1839)</x:f>
        <x:v>2014</x:v>
      </x:c>
      <x:c r="F1839" s="29" t="n">
        <x:f>MONTH(B1839)</x:f>
        <x:v>4</x:v>
      </x:c>
      <x:c r="G1839" s="30" t="n">
        <x:v>-19.57</x:v>
      </x:c>
      <x:c r="H1839" s="30" t="n">
        <x:v>-70.53</x:v>
      </x:c>
      <x:c r="I1839" s="29" t="n">
        <x:v>34</x:v>
      </x:c>
      <x:c r="J1839" s="31" t="n">
        <x:v>4.8</x:v>
      </x:c>
      <x:c r="K1839" s="25" t="str">
        <x:f>IF(J1839&gt;=7,"Muy fuerte (&gt;=7)",IF(J1839&gt;=6,"Fuerte (6-6.9)",IF(J1839&gt;=5,"Moderado alto (5-5.9)",IF(J1839&gt;=4,"Moderado (4-4.9)","Menor a 4"))))</x:f>
        <x:v>Moderado (4-4.9)</x:v>
      </x:c>
      <x:c r="L1839" s="25" t="str">
        <x:f>IF(I1839&lt;70,"Superficial (&lt;70 km)",IF(I1839&lt;=300,"Intermedio (70-300 km)","Profundo (&gt;300 km)"))</x:f>
        <x:v>Superficial (&lt;70 km)</x:v>
      </x:c>
      <x:c r="M1839" s="25" t="str">
        <x:f>IF(J1839&gt;=5,"Sí","No")</x:f>
        <x:v>No</x:v>
      </x:c>
      <x:c r="N1839" s="25" t="str">
        <x:f>IF(J1839&gt;=6,"Sí","No")</x:f>
        <x:v>No</x:v>
      </x:c>
      <x:c r="O1839" s="25" t="str">
        <x:v>Pendiente: asignar con R/sf</x:v>
      </x:c>
    </x:row>
    <x:row r="1840">
      <x:c r="A1840" s="25" t="n">
        <x:v>1839</x:v>
      </x:c>
      <x:c r="B1840" s="26" t="n">
        <x:v>41959.454976851855</x:v>
      </x:c>
      <x:c r="C1840" s="27" t="n">
        <x:f>INT(B1840)</x:f>
        <x:v>41959</x:v>
      </x:c>
      <x:c r="D1840" s="28" t="n">
        <x:f>MOD(B1840,1)</x:f>
        <x:v>0.4549768518554629</x:v>
      </x:c>
      <x:c r="E1840" s="29" t="n">
        <x:f>YEAR(B1840)</x:f>
        <x:v>2014</x:v>
      </x:c>
      <x:c r="F1840" s="29" t="n">
        <x:f>MONTH(B1840)</x:f>
        <x:v>11</x:v>
      </x:c>
      <x:c r="G1840" s="30" t="n">
        <x:v>-20.81</x:v>
      </x:c>
      <x:c r="H1840" s="30" t="n">
        <x:v>-69.95</x:v>
      </x:c>
      <x:c r="I1840" s="29" t="n">
        <x:v>45</x:v>
      </x:c>
      <x:c r="J1840" s="31" t="n">
        <x:v>4</x:v>
      </x:c>
      <x:c r="K1840" s="25" t="str">
        <x:f>IF(J1840&gt;=7,"Muy fuerte (&gt;=7)",IF(J1840&gt;=6,"Fuerte (6-6.9)",IF(J1840&gt;=5,"Moderado alto (5-5.9)",IF(J1840&gt;=4,"Moderado (4-4.9)","Menor a 4"))))</x:f>
        <x:v>Moderado (4-4.9)</x:v>
      </x:c>
      <x:c r="L1840" s="25" t="str">
        <x:f>IF(I1840&lt;70,"Superficial (&lt;70 km)",IF(I1840&lt;=300,"Intermedio (70-300 km)","Profundo (&gt;300 km)"))</x:f>
        <x:v>Superficial (&lt;70 km)</x:v>
      </x:c>
      <x:c r="M1840" s="25" t="str">
        <x:f>IF(J1840&gt;=5,"Sí","No")</x:f>
        <x:v>No</x:v>
      </x:c>
      <x:c r="N1840" s="25" t="str">
        <x:f>IF(J1840&gt;=6,"Sí","No")</x:f>
        <x:v>No</x:v>
      </x:c>
      <x:c r="O1840" s="25" t="str">
        <x:v>Pendiente: asignar con R/sf</x:v>
      </x:c>
    </x:row>
    <x:row r="1841">
      <x:c r="A1841" s="25" t="n">
        <x:v>1840</x:v>
      </x:c>
      <x:c r="B1841" s="26" t="n">
        <x:v>41737.04377314815</x:v>
      </x:c>
      <x:c r="C1841" s="27" t="n">
        <x:f>INT(B1841)</x:f>
        <x:v>41737</x:v>
      </x:c>
      <x:c r="D1841" s="28" t="n">
        <x:f>MOD(B1841,1)</x:f>
        <x:v>0.04377314815064892</x:v>
      </x:c>
      <x:c r="E1841" s="29" t="n">
        <x:f>YEAR(B1841)</x:f>
        <x:v>2014</x:v>
      </x:c>
      <x:c r="F1841" s="29" t="n">
        <x:f>MONTH(B1841)</x:f>
        <x:v>4</x:v>
      </x:c>
      <x:c r="G1841" s="30" t="n">
        <x:v>-19.77</x:v>
      </x:c>
      <x:c r="H1841" s="30" t="n">
        <x:v>-70.48</x:v>
      </x:c>
      <x:c r="I1841" s="29" t="n">
        <x:v>39</x:v>
      </x:c>
      <x:c r="J1841" s="31" t="n">
        <x:v>5</x:v>
      </x:c>
      <x:c r="K1841" s="25" t="str">
        <x:f>IF(J1841&gt;=7,"Muy fuerte (&gt;=7)",IF(J1841&gt;=6,"Fuerte (6-6.9)",IF(J1841&gt;=5,"Moderado alto (5-5.9)",IF(J1841&gt;=4,"Moderado (4-4.9)","Menor a 4"))))</x:f>
        <x:v>Moderado alto (5-5.9)</x:v>
      </x:c>
      <x:c r="L1841" s="25" t="str">
        <x:f>IF(I1841&lt;70,"Superficial (&lt;70 km)",IF(I1841&lt;=300,"Intermedio (70-300 km)","Profundo (&gt;300 km)"))</x:f>
        <x:v>Superficial (&lt;70 km)</x:v>
      </x:c>
      <x:c r="M1841" s="25" t="str">
        <x:f>IF(J1841&gt;=5,"Sí","No")</x:f>
        <x:v>Sí</x:v>
      </x:c>
      <x:c r="N1841" s="25" t="str">
        <x:f>IF(J1841&gt;=6,"Sí","No")</x:f>
        <x:v>No</x:v>
      </x:c>
      <x:c r="O1841" s="25" t="str">
        <x:v>Pendiente: asignar con R/sf</x:v>
      </x:c>
    </x:row>
    <x:row r="1842">
      <x:c r="A1842" s="25" t="n">
        <x:v>1841</x:v>
      </x:c>
      <x:c r="B1842" s="26" t="n">
        <x:v>41965.26920138889</x:v>
      </x:c>
      <x:c r="C1842" s="27" t="n">
        <x:f>INT(B1842)</x:f>
        <x:v>41965</x:v>
      </x:c>
      <x:c r="D1842" s="28" t="n">
        <x:f>MOD(B1842,1)</x:f>
        <x:v>0.26920138888817746</x:v>
      </x:c>
      <x:c r="E1842" s="29" t="n">
        <x:f>YEAR(B1842)</x:f>
        <x:v>2014</x:v>
      </x:c>
      <x:c r="F1842" s="29" t="n">
        <x:f>MONTH(B1842)</x:f>
        <x:v>11</x:v>
      </x:c>
      <x:c r="G1842" s="30" t="n">
        <x:v>-40.77</x:v>
      </x:c>
      <x:c r="H1842" s="30" t="n">
        <x:v>-73.13</x:v>
      </x:c>
      <x:c r="I1842" s="29" t="n">
        <x:v>64</x:v>
      </x:c>
      <x:c r="J1842" s="31" t="n">
        <x:v>4</x:v>
      </x:c>
      <x:c r="K1842" s="25" t="str">
        <x:f>IF(J1842&gt;=7,"Muy fuerte (&gt;=7)",IF(J1842&gt;=6,"Fuerte (6-6.9)",IF(J1842&gt;=5,"Moderado alto (5-5.9)",IF(J1842&gt;=4,"Moderado (4-4.9)","Menor a 4"))))</x:f>
        <x:v>Moderado (4-4.9)</x:v>
      </x:c>
      <x:c r="L1842" s="25" t="str">
        <x:f>IF(I1842&lt;70,"Superficial (&lt;70 km)",IF(I1842&lt;=300,"Intermedio (70-300 km)","Profundo (&gt;300 km)"))</x:f>
        <x:v>Superficial (&lt;70 km)</x:v>
      </x:c>
      <x:c r="M1842" s="25" t="str">
        <x:f>IF(J1842&gt;=5,"Sí","No")</x:f>
        <x:v>No</x:v>
      </x:c>
      <x:c r="N1842" s="25" t="str">
        <x:f>IF(J1842&gt;=6,"Sí","No")</x:f>
        <x:v>No</x:v>
      </x:c>
      <x:c r="O1842" s="25" t="str">
        <x:v>Pendiente: asignar con R/sf</x:v>
      </x:c>
    </x:row>
    <x:row r="1843">
      <x:c r="A1843" s="25" t="n">
        <x:v>1842</x:v>
      </x:c>
      <x:c r="B1843" s="26" t="n">
        <x:v>41764.11951388889</x:v>
      </x:c>
      <x:c r="C1843" s="27" t="n">
        <x:f>INT(B1843)</x:f>
        <x:v>41764</x:v>
      </x:c>
      <x:c r="D1843" s="28" t="n">
        <x:f>MOD(B1843,1)</x:f>
        <x:v>0.11951388888701331</x:v>
      </x:c>
      <x:c r="E1843" s="29" t="n">
        <x:f>YEAR(B1843)</x:f>
        <x:v>2014</x:v>
      </x:c>
      <x:c r="F1843" s="29" t="n">
        <x:f>MONTH(B1843)</x:f>
        <x:v>5</x:v>
      </x:c>
      <x:c r="G1843" s="30" t="n">
        <x:v>-19.93</x:v>
      </x:c>
      <x:c r="H1843" s="30" t="n">
        <x:v>-70.83</x:v>
      </x:c>
      <x:c r="I1843" s="29" t="n">
        <x:v>43</x:v>
      </x:c>
      <x:c r="J1843" s="31" t="n">
        <x:v>4.6</x:v>
      </x:c>
      <x:c r="K1843" s="25" t="str">
        <x:f>IF(J1843&gt;=7,"Muy fuerte (&gt;=7)",IF(J1843&gt;=6,"Fuerte (6-6.9)",IF(J1843&gt;=5,"Moderado alto (5-5.9)",IF(J1843&gt;=4,"Moderado (4-4.9)","Menor a 4"))))</x:f>
        <x:v>Moderado (4-4.9)</x:v>
      </x:c>
      <x:c r="L1843" s="25" t="str">
        <x:f>IF(I1843&lt;70,"Superficial (&lt;70 km)",IF(I1843&lt;=300,"Intermedio (70-300 km)","Profundo (&gt;300 km)"))</x:f>
        <x:v>Superficial (&lt;70 km)</x:v>
      </x:c>
      <x:c r="M1843" s="25" t="str">
        <x:f>IF(J1843&gt;=5,"Sí","No")</x:f>
        <x:v>No</x:v>
      </x:c>
      <x:c r="N1843" s="25" t="str">
        <x:f>IF(J1843&gt;=6,"Sí","No")</x:f>
        <x:v>No</x:v>
      </x:c>
      <x:c r="O1843" s="25" t="str">
        <x:v>Pendiente: asignar con R/sf</x:v>
      </x:c>
    </x:row>
    <x:row r="1844">
      <x:c r="A1844" s="25" t="n">
        <x:v>1843</x:v>
      </x:c>
      <x:c r="B1844" s="26" t="n">
        <x:v>41731.002233796295</x:v>
      </x:c>
      <x:c r="C1844" s="27" t="n">
        <x:f>INT(B1844)</x:f>
        <x:v>41731</x:v>
      </x:c>
      <x:c r="D1844" s="28" t="n">
        <x:f>MOD(B1844,1)</x:f>
        <x:v>0.0022337962946039625</x:v>
      </x:c>
      <x:c r="E1844" s="29" t="n">
        <x:f>YEAR(B1844)</x:f>
        <x:v>2014</x:v>
      </x:c>
      <x:c r="F1844" s="29" t="n">
        <x:f>MONTH(B1844)</x:f>
        <x:v>4</x:v>
      </x:c>
      <x:c r="G1844" s="30" t="n">
        <x:v>-19.84</x:v>
      </x:c>
      <x:c r="H1844" s="30" t="n">
        <x:v>-70.93</x:v>
      </x:c>
      <x:c r="I1844" s="29" t="n">
        <x:v>22</x:v>
      </x:c>
      <x:c r="J1844" s="31" t="n">
        <x:v>5.9</x:v>
      </x:c>
      <x:c r="K1844" s="25" t="str">
        <x:f>IF(J1844&gt;=7,"Muy fuerte (&gt;=7)",IF(J1844&gt;=6,"Fuerte (6-6.9)",IF(J1844&gt;=5,"Moderado alto (5-5.9)",IF(J1844&gt;=4,"Moderado (4-4.9)","Menor a 4"))))</x:f>
        <x:v>Moderado alto (5-5.9)</x:v>
      </x:c>
      <x:c r="L1844" s="25" t="str">
        <x:f>IF(I1844&lt;70,"Superficial (&lt;70 km)",IF(I1844&lt;=300,"Intermedio (70-300 km)","Profundo (&gt;300 km)"))</x:f>
        <x:v>Superficial (&lt;70 km)</x:v>
      </x:c>
      <x:c r="M1844" s="25" t="str">
        <x:f>IF(J1844&gt;=5,"Sí","No")</x:f>
        <x:v>Sí</x:v>
      </x:c>
      <x:c r="N1844" s="25" t="str">
        <x:f>IF(J1844&gt;=6,"Sí","No")</x:f>
        <x:v>No</x:v>
      </x:c>
      <x:c r="O1844" s="25" t="str">
        <x:v>Pendiente: asignar con R/sf</x:v>
      </x:c>
    </x:row>
    <x:row r="1845">
      <x:c r="A1845" s="25" t="n">
        <x:v>1844</x:v>
      </x:c>
      <x:c r="B1845" s="26" t="n">
        <x:v>41735.87217592593</x:v>
      </x:c>
      <x:c r="C1845" s="27" t="n">
        <x:f>INT(B1845)</x:f>
        <x:v>41735</x:v>
      </x:c>
      <x:c r="D1845" s="28" t="n">
        <x:f>MOD(B1845,1)</x:f>
        <x:v>0.872175925927877</x:v>
      </x:c>
      <x:c r="E1845" s="29" t="n">
        <x:f>YEAR(B1845)</x:f>
        <x:v>2014</x:v>
      </x:c>
      <x:c r="F1845" s="29" t="n">
        <x:f>MONTH(B1845)</x:f>
        <x:v>4</x:v>
      </x:c>
      <x:c r="G1845" s="30" t="n">
        <x:v>-19.77</x:v>
      </x:c>
      <x:c r="H1845" s="30" t="n">
        <x:v>-70.5</x:v>
      </x:c>
      <x:c r="I1845" s="29" t="n">
        <x:v>41</x:v>
      </x:c>
      <x:c r="J1845" s="31" t="n">
        <x:v>4.5</x:v>
      </x:c>
      <x:c r="K1845" s="25" t="str">
        <x:f>IF(J1845&gt;=7,"Muy fuerte (&gt;=7)",IF(J1845&gt;=6,"Fuerte (6-6.9)",IF(J1845&gt;=5,"Moderado alto (5-5.9)",IF(J1845&gt;=4,"Moderado (4-4.9)","Menor a 4"))))</x:f>
        <x:v>Moderado (4-4.9)</x:v>
      </x:c>
      <x:c r="L1845" s="25" t="str">
        <x:f>IF(I1845&lt;70,"Superficial (&lt;70 km)",IF(I1845&lt;=300,"Intermedio (70-300 km)","Profundo (&gt;300 km)"))</x:f>
        <x:v>Superficial (&lt;70 km)</x:v>
      </x:c>
      <x:c r="M1845" s="25" t="str">
        <x:f>IF(J1845&gt;=5,"Sí","No")</x:f>
        <x:v>No</x:v>
      </x:c>
      <x:c r="N1845" s="25" t="str">
        <x:f>IF(J1845&gt;=6,"Sí","No")</x:f>
        <x:v>No</x:v>
      </x:c>
      <x:c r="O1845" s="25" t="str">
        <x:v>Pendiente: asignar con R/sf</x:v>
      </x:c>
    </x:row>
    <x:row r="1846">
      <x:c r="A1846" s="25" t="n">
        <x:v>1845</x:v>
      </x:c>
      <x:c r="B1846" s="26" t="n">
        <x:v>41859.173784722225</x:v>
      </x:c>
      <x:c r="C1846" s="27" t="n">
        <x:f>INT(B1846)</x:f>
        <x:v>41859</x:v>
      </x:c>
      <x:c r="D1846" s="28" t="n">
        <x:f>MOD(B1846,1)</x:f>
        <x:v>0.17378472222480923</x:v>
      </x:c>
      <x:c r="E1846" s="29" t="n">
        <x:f>YEAR(B1846)</x:f>
        <x:v>2014</x:v>
      </x:c>
      <x:c r="F1846" s="29" t="n">
        <x:f>MONTH(B1846)</x:f>
        <x:v>8</x:v>
      </x:c>
      <x:c r="G1846" s="30" t="n">
        <x:v>-33.78</x:v>
      </x:c>
      <x:c r="H1846" s="30" t="n">
        <x:v>-72.2</x:v>
      </x:c>
      <x:c r="I1846" s="29" t="n">
        <x:v>16</x:v>
      </x:c>
      <x:c r="J1846" s="31" t="n">
        <x:v>4.8</x:v>
      </x:c>
      <x:c r="K1846" s="25" t="str">
        <x:f>IF(J1846&gt;=7,"Muy fuerte (&gt;=7)",IF(J1846&gt;=6,"Fuerte (6-6.9)",IF(J1846&gt;=5,"Moderado alto (5-5.9)",IF(J1846&gt;=4,"Moderado (4-4.9)","Menor a 4"))))</x:f>
        <x:v>Moderado (4-4.9)</x:v>
      </x:c>
      <x:c r="L1846" s="25" t="str">
        <x:f>IF(I1846&lt;70,"Superficial (&lt;70 km)",IF(I1846&lt;=300,"Intermedio (70-300 km)","Profundo (&gt;300 km)"))</x:f>
        <x:v>Superficial (&lt;70 km)</x:v>
      </x:c>
      <x:c r="M1846" s="25" t="str">
        <x:f>IF(J1846&gt;=5,"Sí","No")</x:f>
        <x:v>No</x:v>
      </x:c>
      <x:c r="N1846" s="25" t="str">
        <x:f>IF(J1846&gt;=6,"Sí","No")</x:f>
        <x:v>No</x:v>
      </x:c>
      <x:c r="O1846" s="25" t="str">
        <x:v>Pendiente: asignar con R/sf</x:v>
      </x:c>
    </x:row>
    <x:row r="1847">
      <x:c r="A1847" s="25" t="n">
        <x:v>1846</x:v>
      </x:c>
      <x:c r="B1847" s="26" t="n">
        <x:v>41764.953055555554</x:v>
      </x:c>
      <x:c r="C1847" s="27" t="n">
        <x:f>INT(B1847)</x:f>
        <x:v>41764</x:v>
      </x:c>
      <x:c r="D1847" s="28" t="n">
        <x:f>MOD(B1847,1)</x:f>
        <x:v>0.953055555553874</x:v>
      </x:c>
      <x:c r="E1847" s="29" t="n">
        <x:f>YEAR(B1847)</x:f>
        <x:v>2014</x:v>
      </x:c>
      <x:c r="F1847" s="29" t="n">
        <x:f>MONTH(B1847)</x:f>
        <x:v>5</x:v>
      </x:c>
      <x:c r="G1847" s="30" t="n">
        <x:v>-19.86</x:v>
      </x:c>
      <x:c r="H1847" s="30" t="n">
        <x:v>-70.87</x:v>
      </x:c>
      <x:c r="I1847" s="29" t="n">
        <x:v>42</x:v>
      </x:c>
      <x:c r="J1847" s="31" t="n">
        <x:v>4.8</x:v>
      </x:c>
      <x:c r="K1847" s="25" t="str">
        <x:f>IF(J1847&gt;=7,"Muy fuerte (&gt;=7)",IF(J1847&gt;=6,"Fuerte (6-6.9)",IF(J1847&gt;=5,"Moderado alto (5-5.9)",IF(J1847&gt;=4,"Moderado (4-4.9)","Menor a 4"))))</x:f>
        <x:v>Moderado (4-4.9)</x:v>
      </x:c>
      <x:c r="L1847" s="25" t="str">
        <x:f>IF(I1847&lt;70,"Superficial (&lt;70 km)",IF(I1847&lt;=300,"Intermedio (70-300 km)","Profundo (&gt;300 km)"))</x:f>
        <x:v>Superficial (&lt;70 km)</x:v>
      </x:c>
      <x:c r="M1847" s="25" t="str">
        <x:f>IF(J1847&gt;=5,"Sí","No")</x:f>
        <x:v>No</x:v>
      </x:c>
      <x:c r="N1847" s="25" t="str">
        <x:f>IF(J1847&gt;=6,"Sí","No")</x:f>
        <x:v>No</x:v>
      </x:c>
      <x:c r="O1847" s="25" t="str">
        <x:v>Pendiente: asignar con R/sf</x:v>
      </x:c>
    </x:row>
    <x:row r="1848">
      <x:c r="A1848" s="25" t="n">
        <x:v>1847</x:v>
      </x:c>
      <x:c r="B1848" s="26" t="n">
        <x:v>41841.01490740741</x:v>
      </x:c>
      <x:c r="C1848" s="27" t="n">
        <x:f>INT(B1848)</x:f>
        <x:v>41841</x:v>
      </x:c>
      <x:c r="D1848" s="28" t="n">
        <x:f>MOD(B1848,1)</x:f>
        <x:v>0.014907407407008577</x:v>
      </x:c>
      <x:c r="E1848" s="29" t="n">
        <x:f>YEAR(B1848)</x:f>
        <x:v>2014</x:v>
      </x:c>
      <x:c r="F1848" s="29" t="n">
        <x:f>MONTH(B1848)</x:f>
        <x:v>7</x:v>
      </x:c>
      <x:c r="G1848" s="30" t="n">
        <x:v>-20.15</x:v>
      </x:c>
      <x:c r="H1848" s="30" t="n">
        <x:v>-70.54</x:v>
      </x:c>
      <x:c r="I1848" s="29" t="n">
        <x:v>40</x:v>
      </x:c>
      <x:c r="J1848" s="31" t="n">
        <x:v>4.7</x:v>
      </x:c>
      <x:c r="K1848" s="25" t="str">
        <x:f>IF(J1848&gt;=7,"Muy fuerte (&gt;=7)",IF(J1848&gt;=6,"Fuerte (6-6.9)",IF(J1848&gt;=5,"Moderado alto (5-5.9)",IF(J1848&gt;=4,"Moderado (4-4.9)","Menor a 4"))))</x:f>
        <x:v>Moderado (4-4.9)</x:v>
      </x:c>
      <x:c r="L1848" s="25" t="str">
        <x:f>IF(I1848&lt;70,"Superficial (&lt;70 km)",IF(I1848&lt;=300,"Intermedio (70-300 km)","Profundo (&gt;300 km)"))</x:f>
        <x:v>Superficial (&lt;70 km)</x:v>
      </x:c>
      <x:c r="M1848" s="25" t="str">
        <x:f>IF(J1848&gt;=5,"Sí","No")</x:f>
        <x:v>No</x:v>
      </x:c>
      <x:c r="N1848" s="25" t="str">
        <x:f>IF(J1848&gt;=6,"Sí","No")</x:f>
        <x:v>No</x:v>
      </x:c>
      <x:c r="O1848" s="25" t="str">
        <x:v>Pendiente: asignar con R/sf</x:v>
      </x:c>
    </x:row>
    <x:row r="1849">
      <x:c r="A1849" s="25" t="n">
        <x:v>1848</x:v>
      </x:c>
      <x:c r="B1849" s="26" t="n">
        <x:v>41731.18040509259</x:v>
      </x:c>
      <x:c r="C1849" s="27" t="n">
        <x:f>INT(B1849)</x:f>
        <x:v>41731</x:v>
      </x:c>
      <x:c r="D1849" s="28" t="n">
        <x:f>MOD(B1849,1)</x:f>
        <x:v>0.18040509259299142</x:v>
      </x:c>
      <x:c r="E1849" s="29" t="n">
        <x:f>YEAR(B1849)</x:f>
        <x:v>2014</x:v>
      </x:c>
      <x:c r="F1849" s="29" t="n">
        <x:f>MONTH(B1849)</x:f>
        <x:v>4</x:v>
      </x:c>
      <x:c r="G1849" s="30" t="n">
        <x:v>-19.89</x:v>
      </x:c>
      <x:c r="H1849" s="30" t="n">
        <x:v>-71.11</x:v>
      </x:c>
      <x:c r="I1849" s="29" t="n">
        <x:v>39</x:v>
      </x:c>
      <x:c r="J1849" s="31" t="n">
        <x:v>5.1</x:v>
      </x:c>
      <x:c r="K1849" s="25" t="str">
        <x:f>IF(J1849&gt;=7,"Muy fuerte (&gt;=7)",IF(J1849&gt;=6,"Fuerte (6-6.9)",IF(J1849&gt;=5,"Moderado alto (5-5.9)",IF(J1849&gt;=4,"Moderado (4-4.9)","Menor a 4"))))</x:f>
        <x:v>Moderado alto (5-5.9)</x:v>
      </x:c>
      <x:c r="L1849" s="25" t="str">
        <x:f>IF(I1849&lt;70,"Superficial (&lt;70 km)",IF(I1849&lt;=300,"Intermedio (70-300 km)","Profundo (&gt;300 km)"))</x:f>
        <x:v>Superficial (&lt;70 km)</x:v>
      </x:c>
      <x:c r="M1849" s="25" t="str">
        <x:f>IF(J1849&gt;=5,"Sí","No")</x:f>
        <x:v>Sí</x:v>
      </x:c>
      <x:c r="N1849" s="25" t="str">
        <x:f>IF(J1849&gt;=6,"Sí","No")</x:f>
        <x:v>No</x:v>
      </x:c>
      <x:c r="O1849" s="25" t="str">
        <x:v>Pendiente: asignar con R/sf</x:v>
      </x:c>
    </x:row>
    <x:row r="1850">
      <x:c r="A1850" s="25" t="n">
        <x:v>1849</x:v>
      </x:c>
      <x:c r="B1850" s="26" t="n">
        <x:v>41714.88644675926</x:v>
      </x:c>
      <x:c r="C1850" s="27" t="n">
        <x:f>INT(B1850)</x:f>
        <x:v>41714</x:v>
      </x:c>
      <x:c r="D1850" s="28" t="n">
        <x:f>MOD(B1850,1)</x:f>
        <x:v>0.8864467592575238</x:v>
      </x:c>
      <x:c r="E1850" s="29" t="n">
        <x:f>YEAR(B1850)</x:f>
        <x:v>2014</x:v>
      </x:c>
      <x:c r="F1850" s="29" t="n">
        <x:f>MONTH(B1850)</x:f>
        <x:v>3</x:v>
      </x:c>
      <x:c r="G1850" s="30" t="n">
        <x:v>-19.96</x:v>
      </x:c>
      <x:c r="H1850" s="30" t="n">
        <x:v>-70.81</x:v>
      </x:c>
      <x:c r="I1850" s="29" t="n">
        <x:v>21</x:v>
      </x:c>
      <x:c r="J1850" s="31" t="n">
        <x:v>6.7</x:v>
      </x:c>
      <x:c r="K1850" s="25" t="str">
        <x:f>IF(J1850&gt;=7,"Muy fuerte (&gt;=7)",IF(J1850&gt;=6,"Fuerte (6-6.9)",IF(J1850&gt;=5,"Moderado alto (5-5.9)",IF(J1850&gt;=4,"Moderado (4-4.9)","Menor a 4"))))</x:f>
        <x:v>Fuerte (6-6.9)</x:v>
      </x:c>
      <x:c r="L1850" s="25" t="str">
        <x:f>IF(I1850&lt;70,"Superficial (&lt;70 km)",IF(I1850&lt;=300,"Intermedio (70-300 km)","Profundo (&gt;300 km)"))</x:f>
        <x:v>Superficial (&lt;70 km)</x:v>
      </x:c>
      <x:c r="M1850" s="25" t="str">
        <x:f>IF(J1850&gt;=5,"Sí","No")</x:f>
        <x:v>Sí</x:v>
      </x:c>
      <x:c r="N1850" s="25" t="str">
        <x:f>IF(J1850&gt;=6,"Sí","No")</x:f>
        <x:v>Sí</x:v>
      </x:c>
      <x:c r="O1850" s="25" t="str">
        <x:v>Pendiente: asignar con R/sf</x:v>
      </x:c>
    </x:row>
    <x:row r="1851">
      <x:c r="A1851" s="25" t="n">
        <x:v>1850</x:v>
      </x:c>
      <x:c r="B1851" s="26" t="n">
        <x:v>41766.16447916667</x:v>
      </x:c>
      <x:c r="C1851" s="27" t="n">
        <x:f>INT(B1851)</x:f>
        <x:v>41766</x:v>
      </x:c>
      <x:c r="D1851" s="28" t="n">
        <x:f>MOD(B1851,1)</x:f>
        <x:v>0.16447916666948004</x:v>
      </x:c>
      <x:c r="E1851" s="29" t="n">
        <x:f>YEAR(B1851)</x:f>
        <x:v>2014</x:v>
      </x:c>
      <x:c r="F1851" s="29" t="n">
        <x:f>MONTH(B1851)</x:f>
        <x:v>5</x:v>
      </x:c>
      <x:c r="G1851" s="30" t="n">
        <x:v>-19.57</x:v>
      </x:c>
      <x:c r="H1851" s="30" t="n">
        <x:v>-70.41</x:v>
      </x:c>
      <x:c r="I1851" s="29" t="n">
        <x:v>35</x:v>
      </x:c>
      <x:c r="J1851" s="31" t="n">
        <x:v>4.4</x:v>
      </x:c>
      <x:c r="K1851" s="25" t="str">
        <x:f>IF(J1851&gt;=7,"Muy fuerte (&gt;=7)",IF(J1851&gt;=6,"Fuerte (6-6.9)",IF(J1851&gt;=5,"Moderado alto (5-5.9)",IF(J1851&gt;=4,"Moderado (4-4.9)","Menor a 4"))))</x:f>
        <x:v>Moderado (4-4.9)</x:v>
      </x:c>
      <x:c r="L1851" s="25" t="str">
        <x:f>IF(I1851&lt;70,"Superficial (&lt;70 km)",IF(I1851&lt;=300,"Intermedio (70-300 km)","Profundo (&gt;300 km)"))</x:f>
        <x:v>Superficial (&lt;70 km)</x:v>
      </x:c>
      <x:c r="M1851" s="25" t="str">
        <x:f>IF(J1851&gt;=5,"Sí","No")</x:f>
        <x:v>No</x:v>
      </x:c>
      <x:c r="N1851" s="25" t="str">
        <x:f>IF(J1851&gt;=6,"Sí","No")</x:f>
        <x:v>No</x:v>
      </x:c>
      <x:c r="O1851" s="25" t="str">
        <x:v>Pendiente: asignar con R/sf</x:v>
      </x:c>
    </x:row>
    <x:row r="1852">
      <x:c r="A1852" s="25" t="n">
        <x:v>1851</x:v>
      </x:c>
      <x:c r="B1852" s="26" t="n">
        <x:v>41739.92431712963</x:v>
      </x:c>
      <x:c r="C1852" s="27" t="n">
        <x:f>INT(B1852)</x:f>
        <x:v>41739</x:v>
      </x:c>
      <x:c r="D1852" s="28" t="n">
        <x:f>MOD(B1852,1)</x:f>
        <x:v>0.924317129632982</x:v>
      </x:c>
      <x:c r="E1852" s="29" t="n">
        <x:f>YEAR(B1852)</x:f>
        <x:v>2014</x:v>
      </x:c>
      <x:c r="F1852" s="29" t="n">
        <x:f>MONTH(B1852)</x:f>
        <x:v>4</x:v>
      </x:c>
      <x:c r="G1852" s="30" t="n">
        <x:v>-20.55</x:v>
      </x:c>
      <x:c r="H1852" s="30" t="n">
        <x:v>-70.97</x:v>
      </x:c>
      <x:c r="I1852" s="29" t="n">
        <x:v>33</x:v>
      </x:c>
      <x:c r="J1852" s="31" t="n">
        <x:v>4.3</x:v>
      </x:c>
      <x:c r="K1852" s="25" t="str">
        <x:f>IF(J1852&gt;=7,"Muy fuerte (&gt;=7)",IF(J1852&gt;=6,"Fuerte (6-6.9)",IF(J1852&gt;=5,"Moderado alto (5-5.9)",IF(J1852&gt;=4,"Moderado (4-4.9)","Menor a 4"))))</x:f>
        <x:v>Moderado (4-4.9)</x:v>
      </x:c>
      <x:c r="L1852" s="25" t="str">
        <x:f>IF(I1852&lt;70,"Superficial (&lt;70 km)",IF(I1852&lt;=300,"Intermedio (70-300 km)","Profundo (&gt;300 km)"))</x:f>
        <x:v>Superficial (&lt;70 km)</x:v>
      </x:c>
      <x:c r="M1852" s="25" t="str">
        <x:f>IF(J1852&gt;=5,"Sí","No")</x:f>
        <x:v>No</x:v>
      </x:c>
      <x:c r="N1852" s="25" t="str">
        <x:f>IF(J1852&gt;=6,"Sí","No")</x:f>
        <x:v>No</x:v>
      </x:c>
      <x:c r="O1852" s="25" t="str">
        <x:v>Pendiente: asignar con R/sf</x:v>
      </x:c>
    </x:row>
    <x:row r="1853">
      <x:c r="A1853" s="25" t="n">
        <x:v>1852</x:v>
      </x:c>
      <x:c r="B1853" s="26" t="n">
        <x:v>41734.34480324074</x:v>
      </x:c>
      <x:c r="C1853" s="27" t="n">
        <x:f>INT(B1853)</x:f>
        <x:v>41734</x:v>
      </x:c>
      <x:c r="D1853" s="28" t="n">
        <x:f>MOD(B1853,1)</x:f>
        <x:v>0.3448032407395658</x:v>
      </x:c>
      <x:c r="E1853" s="29" t="n">
        <x:f>YEAR(B1853)</x:f>
        <x:v>2014</x:v>
      </x:c>
      <x:c r="F1853" s="29" t="n">
        <x:f>MONTH(B1853)</x:f>
        <x:v>4</x:v>
      </x:c>
      <x:c r="G1853" s="30" t="n">
        <x:v>-20.28</x:v>
      </x:c>
      <x:c r="H1853" s="30" t="n">
        <x:v>-70.03</x:v>
      </x:c>
      <x:c r="I1853" s="29" t="n">
        <x:v>52</x:v>
      </x:c>
      <x:c r="J1853" s="31" t="n">
        <x:v>4.3</x:v>
      </x:c>
      <x:c r="K1853" s="25" t="str">
        <x:f>IF(J1853&gt;=7,"Muy fuerte (&gt;=7)",IF(J1853&gt;=6,"Fuerte (6-6.9)",IF(J1853&gt;=5,"Moderado alto (5-5.9)",IF(J1853&gt;=4,"Moderado (4-4.9)","Menor a 4"))))</x:f>
        <x:v>Moderado (4-4.9)</x:v>
      </x:c>
      <x:c r="L1853" s="25" t="str">
        <x:f>IF(I1853&lt;70,"Superficial (&lt;70 km)",IF(I1853&lt;=300,"Intermedio (70-300 km)","Profundo (&gt;300 km)"))</x:f>
        <x:v>Superficial (&lt;70 km)</x:v>
      </x:c>
      <x:c r="M1853" s="25" t="str">
        <x:f>IF(J1853&gt;=5,"Sí","No")</x:f>
        <x:v>No</x:v>
      </x:c>
      <x:c r="N1853" s="25" t="str">
        <x:f>IF(J1853&gt;=6,"Sí","No")</x:f>
        <x:v>No</x:v>
      </x:c>
      <x:c r="O1853" s="25" t="str">
        <x:v>Pendiente: asignar con R/sf</x:v>
      </x:c>
    </x:row>
    <x:row r="1854">
      <x:c r="A1854" s="25" t="n">
        <x:v>1853</x:v>
      </x:c>
      <x:c r="B1854" s="26" t="n">
        <x:v>41868.77113425926</x:v>
      </x:c>
      <x:c r="C1854" s="27" t="n">
        <x:f>INT(B1854)</x:f>
        <x:v>41868</x:v>
      </x:c>
      <x:c r="D1854" s="28" t="n">
        <x:f>MOD(B1854,1)</x:f>
        <x:v>0.77113425925927</x:v>
      </x:c>
      <x:c r="E1854" s="29" t="n">
        <x:f>YEAR(B1854)</x:f>
        <x:v>2014</x:v>
      </x:c>
      <x:c r="F1854" s="29" t="n">
        <x:f>MONTH(B1854)</x:f>
        <x:v>8</x:v>
      </x:c>
      <x:c r="G1854" s="30" t="n">
        <x:v>-20.14</x:v>
      </x:c>
      <x:c r="H1854" s="30" t="n">
        <x:v>-70.37</x:v>
      </x:c>
      <x:c r="I1854" s="29" t="n">
        <x:v>40</x:v>
      </x:c>
      <x:c r="J1854" s="31" t="n">
        <x:v>4.2</x:v>
      </x:c>
      <x:c r="K1854" s="25" t="str">
        <x:f>IF(J1854&gt;=7,"Muy fuerte (&gt;=7)",IF(J1854&gt;=6,"Fuerte (6-6.9)",IF(J1854&gt;=5,"Moderado alto (5-5.9)",IF(J1854&gt;=4,"Moderado (4-4.9)","Menor a 4"))))</x:f>
        <x:v>Moderado (4-4.9)</x:v>
      </x:c>
      <x:c r="L1854" s="25" t="str">
        <x:f>IF(I1854&lt;70,"Superficial (&lt;70 km)",IF(I1854&lt;=300,"Intermedio (70-300 km)","Profundo (&gt;300 km)"))</x:f>
        <x:v>Superficial (&lt;70 km)</x:v>
      </x:c>
      <x:c r="M1854" s="25" t="str">
        <x:f>IF(J1854&gt;=5,"Sí","No")</x:f>
        <x:v>No</x:v>
      </x:c>
      <x:c r="N1854" s="25" t="str">
        <x:f>IF(J1854&gt;=6,"Sí","No")</x:f>
        <x:v>No</x:v>
      </x:c>
      <x:c r="O1854" s="25" t="str">
        <x:v>Pendiente: asignar con R/sf</x:v>
      </x:c>
    </x:row>
    <x:row r="1855">
      <x:c r="A1855" s="25" t="n">
        <x:v>1854</x:v>
      </x:c>
      <x:c r="B1855" s="26" t="n">
        <x:v>41732.124930555554</x:v>
      </x:c>
      <x:c r="C1855" s="27" t="n">
        <x:f>INT(B1855)</x:f>
        <x:v>41732</x:v>
      </x:c>
      <x:c r="D1855" s="28" t="n">
        <x:f>MOD(B1855,1)</x:f>
        <x:v>0.124930555553874</x:v>
      </x:c>
      <x:c r="E1855" s="29" t="n">
        <x:f>YEAR(B1855)</x:f>
        <x:v>2014</x:v>
      </x:c>
      <x:c r="F1855" s="29" t="n">
        <x:f>MONTH(B1855)</x:f>
        <x:v>4</x:v>
      </x:c>
      <x:c r="G1855" s="30" t="n">
        <x:v>-20.57</x:v>
      </x:c>
      <x:c r="H1855" s="30" t="n">
        <x:v>-70.43</x:v>
      </x:c>
      <x:c r="I1855" s="29" t="n">
        <x:v>28</x:v>
      </x:c>
      <x:c r="J1855" s="31" t="n">
        <x:v>4.5</x:v>
      </x:c>
      <x:c r="K1855" s="25" t="str">
        <x:f>IF(J1855&gt;=7,"Muy fuerte (&gt;=7)",IF(J1855&gt;=6,"Fuerte (6-6.9)",IF(J1855&gt;=5,"Moderado alto (5-5.9)",IF(J1855&gt;=4,"Moderado (4-4.9)","Menor a 4"))))</x:f>
        <x:v>Moderado (4-4.9)</x:v>
      </x:c>
      <x:c r="L1855" s="25" t="str">
        <x:f>IF(I1855&lt;70,"Superficial (&lt;70 km)",IF(I1855&lt;=300,"Intermedio (70-300 km)","Profundo (&gt;300 km)"))</x:f>
        <x:v>Superficial (&lt;70 km)</x:v>
      </x:c>
      <x:c r="M1855" s="25" t="str">
        <x:f>IF(J1855&gt;=5,"Sí","No")</x:f>
        <x:v>No</x:v>
      </x:c>
      <x:c r="N1855" s="25" t="str">
        <x:f>IF(J1855&gt;=6,"Sí","No")</x:f>
        <x:v>No</x:v>
      </x:c>
      <x:c r="O1855" s="25" t="str">
        <x:v>Pendiente: asignar con R/sf</x:v>
      </x:c>
    </x:row>
    <x:row r="1856">
      <x:c r="A1856" s="25" t="n">
        <x:v>1855</x:v>
      </x:c>
      <x:c r="B1856" s="26" t="n">
        <x:v>41972.59594907407</x:v>
      </x:c>
      <x:c r="C1856" s="27" t="n">
        <x:f>INT(B1856)</x:f>
        <x:v>41972</x:v>
      </x:c>
      <x:c r="D1856" s="28" t="n">
        <x:f>MOD(B1856,1)</x:f>
        <x:v>0.595949074071541</x:v>
      </x:c>
      <x:c r="E1856" s="29" t="n">
        <x:f>YEAR(B1856)</x:f>
        <x:v>2014</x:v>
      </x:c>
      <x:c r="F1856" s="29" t="n">
        <x:f>MONTH(B1856)</x:f>
        <x:v>11</x:v>
      </x:c>
      <x:c r="G1856" s="30" t="n">
        <x:v>-19.95</x:v>
      </x:c>
      <x:c r="H1856" s="30" t="n">
        <x:v>-71.13</x:v>
      </x:c>
      <x:c r="I1856" s="29" t="n">
        <x:v>30</x:v>
      </x:c>
      <x:c r="J1856" s="31" t="n">
        <x:v>5.1</x:v>
      </x:c>
      <x:c r="K1856" s="25" t="str">
        <x:f>IF(J1856&gt;=7,"Muy fuerte (&gt;=7)",IF(J1856&gt;=6,"Fuerte (6-6.9)",IF(J1856&gt;=5,"Moderado alto (5-5.9)",IF(J1856&gt;=4,"Moderado (4-4.9)","Menor a 4"))))</x:f>
        <x:v>Moderado alto (5-5.9)</x:v>
      </x:c>
      <x:c r="L1856" s="25" t="str">
        <x:f>IF(I1856&lt;70,"Superficial (&lt;70 km)",IF(I1856&lt;=300,"Intermedio (70-300 km)","Profundo (&gt;300 km)"))</x:f>
        <x:v>Superficial (&lt;70 km)</x:v>
      </x:c>
      <x:c r="M1856" s="25" t="str">
        <x:f>IF(J1856&gt;=5,"Sí","No")</x:f>
        <x:v>Sí</x:v>
      </x:c>
      <x:c r="N1856" s="25" t="str">
        <x:f>IF(J1856&gt;=6,"Sí","No")</x:f>
        <x:v>No</x:v>
      </x:c>
      <x:c r="O1856" s="25" t="str">
        <x:v>Pendiente: asignar con R/sf</x:v>
      </x:c>
    </x:row>
    <x:row r="1857">
      <x:c r="A1857" s="25" t="n">
        <x:v>1856</x:v>
      </x:c>
      <x:c r="B1857" s="26" t="n">
        <x:v>41869.31545138889</x:v>
      </x:c>
      <x:c r="C1857" s="27" t="n">
        <x:f>INT(B1857)</x:f>
        <x:v>41869</x:v>
      </x:c>
      <x:c r="D1857" s="28" t="n">
        <x:f>MOD(B1857,1)</x:f>
        <x:v>0.3154513888875954</x:v>
      </x:c>
      <x:c r="E1857" s="29" t="n">
        <x:f>YEAR(B1857)</x:f>
        <x:v>2014</x:v>
      </x:c>
      <x:c r="F1857" s="29" t="n">
        <x:f>MONTH(B1857)</x:f>
        <x:v>8</x:v>
      </x:c>
      <x:c r="G1857" s="30" t="n">
        <x:v>-19.87</x:v>
      </x:c>
      <x:c r="H1857" s="30" t="n">
        <x:v>-69.21</x:v>
      </x:c>
      <x:c r="I1857" s="29" t="n">
        <x:v>103</x:v>
      </x:c>
      <x:c r="J1857" s="31" t="n">
        <x:v>4.1</x:v>
      </x:c>
      <x:c r="K1857" s="25" t="str">
        <x:f>IF(J1857&gt;=7,"Muy fuerte (&gt;=7)",IF(J1857&gt;=6,"Fuerte (6-6.9)",IF(J1857&gt;=5,"Moderado alto (5-5.9)",IF(J1857&gt;=4,"Moderado (4-4.9)","Menor a 4"))))</x:f>
        <x:v>Moderado (4-4.9)</x:v>
      </x:c>
      <x:c r="L1857" s="25" t="str">
        <x:f>IF(I1857&lt;70,"Superficial (&lt;70 km)",IF(I1857&lt;=300,"Intermedio (70-300 km)","Profundo (&gt;300 km)"))</x:f>
        <x:v>Intermedio (70-300 km)</x:v>
      </x:c>
      <x:c r="M1857" s="25" t="str">
        <x:f>IF(J1857&gt;=5,"Sí","No")</x:f>
        <x:v>No</x:v>
      </x:c>
      <x:c r="N1857" s="25" t="str">
        <x:f>IF(J1857&gt;=6,"Sí","No")</x:f>
        <x:v>No</x:v>
      </x:c>
      <x:c r="O1857" s="25" t="str">
        <x:v>Pendiente: asignar con R/sf</x:v>
      </x:c>
    </x:row>
    <x:row r="1858">
      <x:c r="A1858" s="25" t="n">
        <x:v>1857</x:v>
      </x:c>
      <x:c r="B1858" s="26" t="n">
        <x:v>41851.86170138889</x:v>
      </x:c>
      <x:c r="C1858" s="27" t="n">
        <x:f>INT(B1858)</x:f>
        <x:v>41851</x:v>
      </x:c>
      <x:c r="D1858" s="28" t="n">
        <x:f>MOD(B1858,1)</x:f>
        <x:v>0.8617013888870133</x:v>
      </x:c>
      <x:c r="E1858" s="29" t="n">
        <x:f>YEAR(B1858)</x:f>
        <x:v>2014</x:v>
      </x:c>
      <x:c r="F1858" s="29" t="n">
        <x:f>MONTH(B1858)</x:f>
        <x:v>7</x:v>
      </x:c>
      <x:c r="G1858" s="30" t="n">
        <x:v>-31.81</x:v>
      </x:c>
      <x:c r="H1858" s="30" t="n">
        <x:v>-71.23</x:v>
      </x:c>
      <x:c r="I1858" s="29" t="n">
        <x:v>74</x:v>
      </x:c>
      <x:c r="J1858" s="31" t="n">
        <x:v>4.7</x:v>
      </x:c>
      <x:c r="K1858" s="25" t="str">
        <x:f>IF(J1858&gt;=7,"Muy fuerte (&gt;=7)",IF(J1858&gt;=6,"Fuerte (6-6.9)",IF(J1858&gt;=5,"Moderado alto (5-5.9)",IF(J1858&gt;=4,"Moderado (4-4.9)","Menor a 4"))))</x:f>
        <x:v>Moderado (4-4.9)</x:v>
      </x:c>
      <x:c r="L1858" s="25" t="str">
        <x:f>IF(I1858&lt;70,"Superficial (&lt;70 km)",IF(I1858&lt;=300,"Intermedio (70-300 km)","Profundo (&gt;300 km)"))</x:f>
        <x:v>Intermedio (70-300 km)</x:v>
      </x:c>
      <x:c r="M1858" s="25" t="str">
        <x:f>IF(J1858&gt;=5,"Sí","No")</x:f>
        <x:v>No</x:v>
      </x:c>
      <x:c r="N1858" s="25" t="str">
        <x:f>IF(J1858&gt;=6,"Sí","No")</x:f>
        <x:v>No</x:v>
      </x:c>
      <x:c r="O1858" s="25" t="str">
        <x:v>Pendiente: asignar con R/sf</x:v>
      </x:c>
    </x:row>
    <x:row r="1859">
      <x:c r="A1859" s="25" t="n">
        <x:v>1858</x:v>
      </x:c>
      <x:c r="B1859" s="26" t="n">
        <x:v>41730.990798611114</x:v>
      </x:c>
      <x:c r="C1859" s="27" t="n">
        <x:f>INT(B1859)</x:f>
        <x:v>41730</x:v>
      </x:c>
      <x:c r="D1859" s="28" t="n">
        <x:f>MOD(B1859,1)</x:f>
        <x:v>0.9907986111138598</x:v>
      </x:c>
      <x:c r="E1859" s="29" t="n">
        <x:f>YEAR(B1859)</x:f>
        <x:v>2014</x:v>
      </x:c>
      <x:c r="F1859" s="29" t="n">
        <x:f>MONTH(B1859)</x:f>
        <x:v>4</x:v>
      </x:c>
      <x:c r="G1859" s="30" t="n">
        <x:v>-19.57</x:v>
      </x:c>
      <x:c r="H1859" s="30" t="n">
        <x:v>-70.91</x:v>
      </x:c>
      <x:c r="I1859" s="29" t="n">
        <x:v>39</x:v>
      </x:c>
      <x:c r="J1859" s="31" t="n">
        <x:v>8.2</x:v>
      </x:c>
      <x:c r="K1859" s="25" t="str">
        <x:f>IF(J1859&gt;=7,"Muy fuerte (&gt;=7)",IF(J1859&gt;=6,"Fuerte (6-6.9)",IF(J1859&gt;=5,"Moderado alto (5-5.9)",IF(J1859&gt;=4,"Moderado (4-4.9)","Menor a 4"))))</x:f>
        <x:v>Muy fuerte (&gt;=7)</x:v>
      </x:c>
      <x:c r="L1859" s="25" t="str">
        <x:f>IF(I1859&lt;70,"Superficial (&lt;70 km)",IF(I1859&lt;=300,"Intermedio (70-300 km)","Profundo (&gt;300 km)"))</x:f>
        <x:v>Superficial (&lt;70 km)</x:v>
      </x:c>
      <x:c r="M1859" s="25" t="str">
        <x:f>IF(J1859&gt;=5,"Sí","No")</x:f>
        <x:v>Sí</x:v>
      </x:c>
      <x:c r="N1859" s="25" t="str">
        <x:f>IF(J1859&gt;=6,"Sí","No")</x:f>
        <x:v>Sí</x:v>
      </x:c>
      <x:c r="O1859" s="25" t="str">
        <x:v>Pendiente: asignar con R/sf</x:v>
      </x:c>
    </x:row>
    <x:row r="1860">
      <x:c r="A1860" s="25" t="n">
        <x:v>1859</x:v>
      </x:c>
      <x:c r="B1860" s="26" t="n">
        <x:v>41828.830625</x:v>
      </x:c>
      <x:c r="C1860" s="27" t="n">
        <x:f>INT(B1860)</x:f>
        <x:v>41828</x:v>
      </x:c>
      <x:c r="D1860" s="28" t="n">
        <x:f>MOD(B1860,1)</x:f>
        <x:v>0.8306250000023283</x:v>
      </x:c>
      <x:c r="E1860" s="29" t="n">
        <x:f>YEAR(B1860)</x:f>
        <x:v>2014</x:v>
      </x:c>
      <x:c r="F1860" s="29" t="n">
        <x:f>MONTH(B1860)</x:f>
        <x:v>7</x:v>
      </x:c>
      <x:c r="G1860" s="30" t="n">
        <x:v>-19.32</x:v>
      </x:c>
      <x:c r="H1860" s="30" t="n">
        <x:v>-69.43</x:v>
      </x:c>
      <x:c r="I1860" s="29" t="n">
        <x:v>100</x:v>
      </x:c>
      <x:c r="J1860" s="31" t="n">
        <x:v>4</x:v>
      </x:c>
      <x:c r="K1860" s="25" t="str">
        <x:f>IF(J1860&gt;=7,"Muy fuerte (&gt;=7)",IF(J1860&gt;=6,"Fuerte (6-6.9)",IF(J1860&gt;=5,"Moderado alto (5-5.9)",IF(J1860&gt;=4,"Moderado (4-4.9)","Menor a 4"))))</x:f>
        <x:v>Moderado (4-4.9)</x:v>
      </x:c>
      <x:c r="L1860" s="25" t="str">
        <x:f>IF(I1860&lt;70,"Superficial (&lt;70 km)",IF(I1860&lt;=300,"Intermedio (70-300 km)","Profundo (&gt;300 km)"))</x:f>
        <x:v>Intermedio (70-300 km)</x:v>
      </x:c>
      <x:c r="M1860" s="25" t="str">
        <x:f>IF(J1860&gt;=5,"Sí","No")</x:f>
        <x:v>No</x:v>
      </x:c>
      <x:c r="N1860" s="25" t="str">
        <x:f>IF(J1860&gt;=6,"Sí","No")</x:f>
        <x:v>No</x:v>
      </x:c>
      <x:c r="O1860" s="25" t="str">
        <x:v>Pendiente: asignar con R/sf</x:v>
      </x:c>
    </x:row>
    <x:row r="1861">
      <x:c r="A1861" s="25" t="n">
        <x:v>1860</x:v>
      </x:c>
      <x:c r="B1861" s="26" t="n">
        <x:v>41745.13857638889</x:v>
      </x:c>
      <x:c r="C1861" s="27" t="n">
        <x:f>INT(B1861)</x:f>
        <x:v>41745</x:v>
      </x:c>
      <x:c r="D1861" s="28" t="n">
        <x:f>MOD(B1861,1)</x:f>
        <x:v>0.13857638889021473</x:v>
      </x:c>
      <x:c r="E1861" s="29" t="n">
        <x:f>YEAR(B1861)</x:f>
        <x:v>2014</x:v>
      </x:c>
      <x:c r="F1861" s="29" t="n">
        <x:f>MONTH(B1861)</x:f>
        <x:v>4</x:v>
      </x:c>
      <x:c r="G1861" s="30" t="n">
        <x:v>-20.19</x:v>
      </x:c>
      <x:c r="H1861" s="30" t="n">
        <x:v>-70.88</x:v>
      </x:c>
      <x:c r="I1861" s="29" t="n">
        <x:v>36</x:v>
      </x:c>
      <x:c r="J1861" s="31" t="n">
        <x:v>4.4</x:v>
      </x:c>
      <x:c r="K1861" s="25" t="str">
        <x:f>IF(J1861&gt;=7,"Muy fuerte (&gt;=7)",IF(J1861&gt;=6,"Fuerte (6-6.9)",IF(J1861&gt;=5,"Moderado alto (5-5.9)",IF(J1861&gt;=4,"Moderado (4-4.9)","Menor a 4"))))</x:f>
        <x:v>Moderado (4-4.9)</x:v>
      </x:c>
      <x:c r="L1861" s="25" t="str">
        <x:f>IF(I1861&lt;70,"Superficial (&lt;70 km)",IF(I1861&lt;=300,"Intermedio (70-300 km)","Profundo (&gt;300 km)"))</x:f>
        <x:v>Superficial (&lt;70 km)</x:v>
      </x:c>
      <x:c r="M1861" s="25" t="str">
        <x:f>IF(J1861&gt;=5,"Sí","No")</x:f>
        <x:v>No</x:v>
      </x:c>
      <x:c r="N1861" s="25" t="str">
        <x:f>IF(J1861&gt;=6,"Sí","No")</x:f>
        <x:v>No</x:v>
      </x:c>
      <x:c r="O1861" s="25" t="str">
        <x:v>Pendiente: asignar con R/sf</x:v>
      </x:c>
    </x:row>
    <x:row r="1862">
      <x:c r="A1862" s="25" t="n">
        <x:v>1861</x:v>
      </x:c>
      <x:c r="B1862" s="26" t="n">
        <x:v>41849.542766203704</x:v>
      </x:c>
      <x:c r="C1862" s="27" t="n">
        <x:f>INT(B1862)</x:f>
        <x:v>41849</x:v>
      </x:c>
      <x:c r="D1862" s="28" t="n">
        <x:f>MOD(B1862,1)</x:f>
        <x:v>0.5427662037036498</x:v>
      </x:c>
      <x:c r="E1862" s="29" t="n">
        <x:f>YEAR(B1862)</x:f>
        <x:v>2014</x:v>
      </x:c>
      <x:c r="F1862" s="29" t="n">
        <x:f>MONTH(B1862)</x:f>
        <x:v>7</x:v>
      </x:c>
      <x:c r="G1862" s="30" t="n">
        <x:v>-20.12</x:v>
      </x:c>
      <x:c r="H1862" s="30" t="n">
        <x:v>-70.37</x:v>
      </x:c>
      <x:c r="I1862" s="29" t="n">
        <x:v>22</x:v>
      </x:c>
      <x:c r="J1862" s="31" t="n">
        <x:v>4</x:v>
      </x:c>
      <x:c r="K1862" s="25" t="str">
        <x:f>IF(J1862&gt;=7,"Muy fuerte (&gt;=7)",IF(J1862&gt;=6,"Fuerte (6-6.9)",IF(J1862&gt;=5,"Moderado alto (5-5.9)",IF(J1862&gt;=4,"Moderado (4-4.9)","Menor a 4"))))</x:f>
        <x:v>Moderado (4-4.9)</x:v>
      </x:c>
      <x:c r="L1862" s="25" t="str">
        <x:f>IF(I1862&lt;70,"Superficial (&lt;70 km)",IF(I1862&lt;=300,"Intermedio (70-300 km)","Profundo (&gt;300 km)"))</x:f>
        <x:v>Superficial (&lt;70 km)</x:v>
      </x:c>
      <x:c r="M1862" s="25" t="str">
        <x:f>IF(J1862&gt;=5,"Sí","No")</x:f>
        <x:v>No</x:v>
      </x:c>
      <x:c r="N1862" s="25" t="str">
        <x:f>IF(J1862&gt;=6,"Sí","No")</x:f>
        <x:v>No</x:v>
      </x:c>
      <x:c r="O1862" s="25" t="str">
        <x:v>Pendiente: asignar con R/sf</x:v>
      </x:c>
    </x:row>
    <x:row r="1863">
      <x:c r="A1863" s="25" t="n">
        <x:v>1862</x:v>
      </x:c>
      <x:c r="B1863" s="26" t="n">
        <x:v>41732.15688657408</x:v>
      </x:c>
      <x:c r="C1863" s="27" t="n">
        <x:f>INT(B1863)</x:f>
        <x:v>41732</x:v>
      </x:c>
      <x:c r="D1863" s="28" t="n">
        <x:f>MOD(B1863,1)</x:f>
        <x:v>0.15688657407736173</x:v>
      </x:c>
      <x:c r="E1863" s="29" t="n">
        <x:f>YEAR(B1863)</x:f>
        <x:v>2014</x:v>
      </x:c>
      <x:c r="F1863" s="29" t="n">
        <x:f>MONTH(B1863)</x:f>
        <x:v>4</x:v>
      </x:c>
      <x:c r="G1863" s="30" t="n">
        <x:v>-19.96</x:v>
      </x:c>
      <x:c r="H1863" s="30" t="n">
        <x:v>-70.91</x:v>
      </x:c>
      <x:c r="I1863" s="29" t="n">
        <x:v>20</x:v>
      </x:c>
      <x:c r="J1863" s="31" t="n">
        <x:v>5</x:v>
      </x:c>
      <x:c r="K1863" s="25" t="str">
        <x:f>IF(J1863&gt;=7,"Muy fuerte (&gt;=7)",IF(J1863&gt;=6,"Fuerte (6-6.9)",IF(J1863&gt;=5,"Moderado alto (5-5.9)",IF(J1863&gt;=4,"Moderado (4-4.9)","Menor a 4"))))</x:f>
        <x:v>Moderado alto (5-5.9)</x:v>
      </x:c>
      <x:c r="L1863" s="25" t="str">
        <x:f>IF(I1863&lt;70,"Superficial (&lt;70 km)",IF(I1863&lt;=300,"Intermedio (70-300 km)","Profundo (&gt;300 km)"))</x:f>
        <x:v>Superficial (&lt;70 km)</x:v>
      </x:c>
      <x:c r="M1863" s="25" t="str">
        <x:f>IF(J1863&gt;=5,"Sí","No")</x:f>
        <x:v>Sí</x:v>
      </x:c>
      <x:c r="N1863" s="25" t="str">
        <x:f>IF(J1863&gt;=6,"Sí","No")</x:f>
        <x:v>No</x:v>
      </x:c>
      <x:c r="O1863" s="25" t="str">
        <x:v>Pendiente: asignar con R/sf</x:v>
      </x:c>
    </x:row>
    <x:row r="1864">
      <x:c r="A1864" s="25" t="n">
        <x:v>1863</x:v>
      </x:c>
      <x:c r="B1864" s="26" t="n">
        <x:v>41737.23883101852</x:v>
      </x:c>
      <x:c r="C1864" s="27" t="n">
        <x:f>INT(B1864)</x:f>
        <x:v>41737</x:v>
      </x:c>
      <x:c r="D1864" s="28" t="n">
        <x:f>MOD(B1864,1)</x:f>
        <x:v>0.23883101851970423</x:v>
      </x:c>
      <x:c r="E1864" s="29" t="n">
        <x:f>YEAR(B1864)</x:f>
        <x:v>2014</x:v>
      </x:c>
      <x:c r="F1864" s="29" t="n">
        <x:f>MONTH(B1864)</x:f>
        <x:v>4</x:v>
      </x:c>
      <x:c r="G1864" s="30" t="n">
        <x:v>-20.54</x:v>
      </x:c>
      <x:c r="H1864" s="30" t="n">
        <x:v>-70.7</x:v>
      </x:c>
      <x:c r="I1864" s="29" t="n">
        <x:v>26</x:v>
      </x:c>
      <x:c r="J1864" s="31" t="n">
        <x:v>4.8</x:v>
      </x:c>
      <x:c r="K1864" s="25" t="str">
        <x:f>IF(J1864&gt;=7,"Muy fuerte (&gt;=7)",IF(J1864&gt;=6,"Fuerte (6-6.9)",IF(J1864&gt;=5,"Moderado alto (5-5.9)",IF(J1864&gt;=4,"Moderado (4-4.9)","Menor a 4"))))</x:f>
        <x:v>Moderado (4-4.9)</x:v>
      </x:c>
      <x:c r="L1864" s="25" t="str">
        <x:f>IF(I1864&lt;70,"Superficial (&lt;70 km)",IF(I1864&lt;=300,"Intermedio (70-300 km)","Profundo (&gt;300 km)"))</x:f>
        <x:v>Superficial (&lt;70 km)</x:v>
      </x:c>
      <x:c r="M1864" s="25" t="str">
        <x:f>IF(J1864&gt;=5,"Sí","No")</x:f>
        <x:v>No</x:v>
      </x:c>
      <x:c r="N1864" s="25" t="str">
        <x:f>IF(J1864&gt;=6,"Sí","No")</x:f>
        <x:v>No</x:v>
      </x:c>
      <x:c r="O1864" s="25" t="str">
        <x:v>Pendiente: asignar con R/sf</x:v>
      </x:c>
    </x:row>
    <x:row r="1865">
      <x:c r="A1865" s="25" t="n">
        <x:v>1864</x:v>
      </x:c>
      <x:c r="B1865" s="26" t="n">
        <x:v>41887.867430555554</x:v>
      </x:c>
      <x:c r="C1865" s="27" t="n">
        <x:f>INT(B1865)</x:f>
        <x:v>41887</x:v>
      </x:c>
      <x:c r="D1865" s="28" t="n">
        <x:f>MOD(B1865,1)</x:f>
        <x:v>0.867430555554165</x:v>
      </x:c>
      <x:c r="E1865" s="29" t="n">
        <x:f>YEAR(B1865)</x:f>
        <x:v>2014</x:v>
      </x:c>
      <x:c r="F1865" s="29" t="n">
        <x:f>MONTH(B1865)</x:f>
        <x:v>9</x:v>
      </x:c>
      <x:c r="G1865" s="30" t="n">
        <x:v>-30.66</x:v>
      </x:c>
      <x:c r="H1865" s="30" t="n">
        <x:v>-71.34</x:v>
      </x:c>
      <x:c r="I1865" s="29" t="n">
        <x:v>59</x:v>
      </x:c>
      <x:c r="J1865" s="31" t="n">
        <x:v>4.7</x:v>
      </x:c>
      <x:c r="K1865" s="25" t="str">
        <x:f>IF(J1865&gt;=7,"Muy fuerte (&gt;=7)",IF(J1865&gt;=6,"Fuerte (6-6.9)",IF(J1865&gt;=5,"Moderado alto (5-5.9)",IF(J1865&gt;=4,"Moderado (4-4.9)","Menor a 4"))))</x:f>
        <x:v>Moderado (4-4.9)</x:v>
      </x:c>
      <x:c r="L1865" s="25" t="str">
        <x:f>IF(I1865&lt;70,"Superficial (&lt;70 km)",IF(I1865&lt;=300,"Intermedio (70-300 km)","Profundo (&gt;300 km)"))</x:f>
        <x:v>Superficial (&lt;70 km)</x:v>
      </x:c>
      <x:c r="M1865" s="25" t="str">
        <x:f>IF(J1865&gt;=5,"Sí","No")</x:f>
        <x:v>No</x:v>
      </x:c>
      <x:c r="N1865" s="25" t="str">
        <x:f>IF(J1865&gt;=6,"Sí","No")</x:f>
        <x:v>No</x:v>
      </x:c>
      <x:c r="O1865" s="25" t="str">
        <x:v>Pendiente: asignar con R/sf</x:v>
      </x:c>
    </x:row>
    <x:row r="1866">
      <x:c r="A1866" s="25" t="n">
        <x:v>1865</x:v>
      </x:c>
      <x:c r="B1866" s="26" t="n">
        <x:v>41773.244305555556</x:v>
      </x:c>
      <x:c r="C1866" s="27" t="n">
        <x:f>INT(B1866)</x:f>
        <x:v>41773</x:v>
      </x:c>
      <x:c r="D1866" s="28" t="n">
        <x:f>MOD(B1866,1)</x:f>
        <x:v>0.24430555555591127</x:v>
      </x:c>
      <x:c r="E1866" s="29" t="n">
        <x:f>YEAR(B1866)</x:f>
        <x:v>2014</x:v>
      </x:c>
      <x:c r="F1866" s="29" t="n">
        <x:f>MONTH(B1866)</x:f>
        <x:v>5</x:v>
      </x:c>
      <x:c r="G1866" s="30" t="n">
        <x:v>-19.68</x:v>
      </x:c>
      <x:c r="H1866" s="30" t="n">
        <x:v>-71.19</x:v>
      </x:c>
      <x:c r="I1866" s="29" t="n">
        <x:v>37</x:v>
      </x:c>
      <x:c r="J1866" s="31" t="n">
        <x:v>5.4</x:v>
      </x:c>
      <x:c r="K1866" s="25" t="str">
        <x:f>IF(J1866&gt;=7,"Muy fuerte (&gt;=7)",IF(J1866&gt;=6,"Fuerte (6-6.9)",IF(J1866&gt;=5,"Moderado alto (5-5.9)",IF(J1866&gt;=4,"Moderado (4-4.9)","Menor a 4"))))</x:f>
        <x:v>Moderado alto (5-5.9)</x:v>
      </x:c>
      <x:c r="L1866" s="25" t="str">
        <x:f>IF(I1866&lt;70,"Superficial (&lt;70 km)",IF(I1866&lt;=300,"Intermedio (70-300 km)","Profundo (&gt;300 km)"))</x:f>
        <x:v>Superficial (&lt;70 km)</x:v>
      </x:c>
      <x:c r="M1866" s="25" t="str">
        <x:f>IF(J1866&gt;=5,"Sí","No")</x:f>
        <x:v>Sí</x:v>
      </x:c>
      <x:c r="N1866" s="25" t="str">
        <x:f>IF(J1866&gt;=6,"Sí","No")</x:f>
        <x:v>No</x:v>
      </x:c>
      <x:c r="O1866" s="25" t="str">
        <x:v>Pendiente: asignar con R/sf</x:v>
      </x:c>
    </x:row>
    <x:row r="1867">
      <x:c r="A1867" s="25" t="n">
        <x:v>1866</x:v>
      </x:c>
      <x:c r="B1867" s="26" t="n">
        <x:v>41737.33012731482</x:v>
      </x:c>
      <x:c r="C1867" s="27" t="n">
        <x:f>INT(B1867)</x:f>
        <x:v>41737</x:v>
      </x:c>
      <x:c r="D1867" s="28" t="n">
        <x:f>MOD(B1867,1)</x:f>
        <x:v>0.3301273148172186</x:v>
      </x:c>
      <x:c r="E1867" s="29" t="n">
        <x:f>YEAR(B1867)</x:f>
        <x:v>2014</x:v>
      </x:c>
      <x:c r="F1867" s="29" t="n">
        <x:f>MONTH(B1867)</x:f>
        <x:v>4</x:v>
      </x:c>
      <x:c r="G1867" s="30" t="n">
        <x:v>-20.58</x:v>
      </x:c>
      <x:c r="H1867" s="30" t="n">
        <x:v>-70.73</x:v>
      </x:c>
      <x:c r="I1867" s="29" t="n">
        <x:v>35</x:v>
      </x:c>
      <x:c r="J1867" s="31" t="n">
        <x:v>4.4</x:v>
      </x:c>
      <x:c r="K1867" s="25" t="str">
        <x:f>IF(J1867&gt;=7,"Muy fuerte (&gt;=7)",IF(J1867&gt;=6,"Fuerte (6-6.9)",IF(J1867&gt;=5,"Moderado alto (5-5.9)",IF(J1867&gt;=4,"Moderado (4-4.9)","Menor a 4"))))</x:f>
        <x:v>Moderado (4-4.9)</x:v>
      </x:c>
      <x:c r="L1867" s="25" t="str">
        <x:f>IF(I1867&lt;70,"Superficial (&lt;70 km)",IF(I1867&lt;=300,"Intermedio (70-300 km)","Profundo (&gt;300 km)"))</x:f>
        <x:v>Superficial (&lt;70 km)</x:v>
      </x:c>
      <x:c r="M1867" s="25" t="str">
        <x:f>IF(J1867&gt;=5,"Sí","No")</x:f>
        <x:v>No</x:v>
      </x:c>
      <x:c r="N1867" s="25" t="str">
        <x:f>IF(J1867&gt;=6,"Sí","No")</x:f>
        <x:v>No</x:v>
      </x:c>
      <x:c r="O1867" s="25" t="str">
        <x:v>Pendiente: asignar con R/sf</x:v>
      </x:c>
    </x:row>
    <x:row r="1868">
      <x:c r="A1868" s="25" t="n">
        <x:v>1867</x:v>
      </x:c>
      <x:c r="B1868" s="26" t="n">
        <x:v>41733.06796296296</x:v>
      </x:c>
      <x:c r="C1868" s="27" t="n">
        <x:f>INT(B1868)</x:f>
        <x:v>41733</x:v>
      </x:c>
      <x:c r="D1868" s="28" t="n">
        <x:f>MOD(B1868,1)</x:f>
        <x:v>0.06796296295942739</x:v>
      </x:c>
      <x:c r="E1868" s="29" t="n">
        <x:f>YEAR(B1868)</x:f>
        <x:v>2014</x:v>
      </x:c>
      <x:c r="F1868" s="29" t="n">
        <x:f>MONTH(B1868)</x:f>
        <x:v>4</x:v>
      </x:c>
      <x:c r="G1868" s="30" t="n">
        <x:v>-20.62</x:v>
      </x:c>
      <x:c r="H1868" s="30" t="n">
        <x:v>-70.61</x:v>
      </x:c>
      <x:c r="I1868" s="29" t="n">
        <x:v>33</x:v>
      </x:c>
      <x:c r="J1868" s="31" t="n">
        <x:v>6.1</x:v>
      </x:c>
      <x:c r="K1868" s="25" t="str">
        <x:f>IF(J1868&gt;=7,"Muy fuerte (&gt;=7)",IF(J1868&gt;=6,"Fuerte (6-6.9)",IF(J1868&gt;=5,"Moderado alto (5-5.9)",IF(J1868&gt;=4,"Moderado (4-4.9)","Menor a 4"))))</x:f>
        <x:v>Fuerte (6-6.9)</x:v>
      </x:c>
      <x:c r="L1868" s="25" t="str">
        <x:f>IF(I1868&lt;70,"Superficial (&lt;70 km)",IF(I1868&lt;=300,"Intermedio (70-300 km)","Profundo (&gt;300 km)"))</x:f>
        <x:v>Superficial (&lt;70 km)</x:v>
      </x:c>
      <x:c r="M1868" s="25" t="str">
        <x:f>IF(J1868&gt;=5,"Sí","No")</x:f>
        <x:v>Sí</x:v>
      </x:c>
      <x:c r="N1868" s="25" t="str">
        <x:f>IF(J1868&gt;=6,"Sí","No")</x:f>
        <x:v>Sí</x:v>
      </x:c>
      <x:c r="O1868" s="25" t="str">
        <x:v>Pendiente: asignar con R/sf</x:v>
      </x:c>
    </x:row>
    <x:row r="1869">
      <x:c r="A1869" s="25" t="n">
        <x:v>1868</x:v>
      </x:c>
      <x:c r="B1869" s="26" t="n">
        <x:v>41744.716886574075</x:v>
      </x:c>
      <x:c r="C1869" s="27" t="n">
        <x:f>INT(B1869)</x:f>
        <x:v>41744</x:v>
      </x:c>
      <x:c r="D1869" s="28" t="n">
        <x:f>MOD(B1869,1)</x:f>
        <x:v>0.7168865740750334</x:v>
      </x:c>
      <x:c r="E1869" s="29" t="n">
        <x:f>YEAR(B1869)</x:f>
        <x:v>2014</x:v>
      </x:c>
      <x:c r="F1869" s="29" t="n">
        <x:f>MONTH(B1869)</x:f>
        <x:v>4</x:v>
      </x:c>
      <x:c r="G1869" s="30" t="n">
        <x:v>-20.2</x:v>
      </x:c>
      <x:c r="H1869" s="30" t="n">
        <x:v>-70.9</x:v>
      </x:c>
      <x:c r="I1869" s="29" t="n">
        <x:v>40</x:v>
      </x:c>
      <x:c r="J1869" s="31" t="n">
        <x:v>4.6</x:v>
      </x:c>
      <x:c r="K1869" s="25" t="str">
        <x:f>IF(J1869&gt;=7,"Muy fuerte (&gt;=7)",IF(J1869&gt;=6,"Fuerte (6-6.9)",IF(J1869&gt;=5,"Moderado alto (5-5.9)",IF(J1869&gt;=4,"Moderado (4-4.9)","Menor a 4"))))</x:f>
        <x:v>Moderado (4-4.9)</x:v>
      </x:c>
      <x:c r="L1869" s="25" t="str">
        <x:f>IF(I1869&lt;70,"Superficial (&lt;70 km)",IF(I1869&lt;=300,"Intermedio (70-300 km)","Profundo (&gt;300 km)"))</x:f>
        <x:v>Superficial (&lt;70 km)</x:v>
      </x:c>
      <x:c r="M1869" s="25" t="str">
        <x:f>IF(J1869&gt;=5,"Sí","No")</x:f>
        <x:v>No</x:v>
      </x:c>
      <x:c r="N1869" s="25" t="str">
        <x:f>IF(J1869&gt;=6,"Sí","No")</x:f>
        <x:v>No</x:v>
      </x:c>
      <x:c r="O1869" s="25" t="str">
        <x:v>Pendiente: asignar con R/sf</x:v>
      </x:c>
    </x:row>
    <x:row r="1870">
      <x:c r="A1870" s="25" t="n">
        <x:v>1869</x:v>
      </x:c>
      <x:c r="B1870" s="26" t="n">
        <x:v>41760.69818287037</x:v>
      </x:c>
      <x:c r="C1870" s="27" t="n">
        <x:f>INT(B1870)</x:f>
        <x:v>41760</x:v>
      </x:c>
      <x:c r="D1870" s="28" t="n">
        <x:f>MOD(B1870,1)</x:f>
        <x:v>0.6981828703719657</x:v>
      </x:c>
      <x:c r="E1870" s="29" t="n">
        <x:f>YEAR(B1870)</x:f>
        <x:v>2014</x:v>
      </x:c>
      <x:c r="F1870" s="29" t="n">
        <x:f>MONTH(B1870)</x:f>
        <x:v>5</x:v>
      </x:c>
      <x:c r="G1870" s="30" t="n">
        <x:v>-19.95</x:v>
      </x:c>
      <x:c r="H1870" s="30" t="n">
        <x:v>-71.28</x:v>
      </x:c>
      <x:c r="I1870" s="29" t="n">
        <x:v>27</x:v>
      </x:c>
      <x:c r="J1870" s="31" t="n">
        <x:v>4.8</x:v>
      </x:c>
      <x:c r="K1870" s="25" t="str">
        <x:f>IF(J1870&gt;=7,"Muy fuerte (&gt;=7)",IF(J1870&gt;=6,"Fuerte (6-6.9)",IF(J1870&gt;=5,"Moderado alto (5-5.9)",IF(J1870&gt;=4,"Moderado (4-4.9)","Menor a 4"))))</x:f>
        <x:v>Moderado (4-4.9)</x:v>
      </x:c>
      <x:c r="L1870" s="25" t="str">
        <x:f>IF(I1870&lt;70,"Superficial (&lt;70 km)",IF(I1870&lt;=300,"Intermedio (70-300 km)","Profundo (&gt;300 km)"))</x:f>
        <x:v>Superficial (&lt;70 km)</x:v>
      </x:c>
      <x:c r="M1870" s="25" t="str">
        <x:f>IF(J1870&gt;=5,"Sí","No")</x:f>
        <x:v>No</x:v>
      </x:c>
      <x:c r="N1870" s="25" t="str">
        <x:f>IF(J1870&gt;=6,"Sí","No")</x:f>
        <x:v>No</x:v>
      </x:c>
      <x:c r="O1870" s="25" t="str">
        <x:v>Pendiente: asignar con R/sf</x:v>
      </x:c>
    </x:row>
    <x:row r="1871">
      <x:c r="A1871" s="25" t="n">
        <x:v>1870</x:v>
      </x:c>
      <x:c r="B1871" s="26" t="n">
        <x:v>41865.00202546296</x:v>
      </x:c>
      <x:c r="C1871" s="27" t="n">
        <x:f>INT(B1871)</x:f>
        <x:v>41865</x:v>
      </x:c>
      <x:c r="D1871" s="28" t="n">
        <x:f>MOD(B1871,1)</x:f>
        <x:v>0.002025462963501923</x:v>
      </x:c>
      <x:c r="E1871" s="29" t="n">
        <x:f>YEAR(B1871)</x:f>
        <x:v>2014</x:v>
      </x:c>
      <x:c r="F1871" s="29" t="n">
        <x:f>MONTH(B1871)</x:f>
        <x:v>8</x:v>
      </x:c>
      <x:c r="G1871" s="30" t="n">
        <x:v>-20.16</x:v>
      </x:c>
      <x:c r="H1871" s="30" t="n">
        <x:v>-70.02</x:v>
      </x:c>
      <x:c r="I1871" s="29" t="n">
        <x:v>51</x:v>
      </x:c>
      <x:c r="J1871" s="31" t="n">
        <x:v>5.6</x:v>
      </x:c>
      <x:c r="K1871" s="25" t="str">
        <x:f>IF(J1871&gt;=7,"Muy fuerte (&gt;=7)",IF(J1871&gt;=6,"Fuerte (6-6.9)",IF(J1871&gt;=5,"Moderado alto (5-5.9)",IF(J1871&gt;=4,"Moderado (4-4.9)","Menor a 4"))))</x:f>
        <x:v>Moderado alto (5-5.9)</x:v>
      </x:c>
      <x:c r="L1871" s="25" t="str">
        <x:f>IF(I1871&lt;70,"Superficial (&lt;70 km)",IF(I1871&lt;=300,"Intermedio (70-300 km)","Profundo (&gt;300 km)"))</x:f>
        <x:v>Superficial (&lt;70 km)</x:v>
      </x:c>
      <x:c r="M1871" s="25" t="str">
        <x:f>IF(J1871&gt;=5,"Sí","No")</x:f>
        <x:v>Sí</x:v>
      </x:c>
      <x:c r="N1871" s="25" t="str">
        <x:f>IF(J1871&gt;=6,"Sí","No")</x:f>
        <x:v>No</x:v>
      </x:c>
      <x:c r="O1871" s="25" t="str">
        <x:v>Pendiente: asignar con R/sf</x:v>
      </x:c>
    </x:row>
    <x:row r="1872">
      <x:c r="A1872" s="25" t="n">
        <x:v>1871</x:v>
      </x:c>
      <x:c r="B1872" s="26" t="n">
        <x:v>41809.40181712963</x:v>
      </x:c>
      <x:c r="C1872" s="27" t="n">
        <x:f>INT(B1872)</x:f>
        <x:v>41809</x:v>
      </x:c>
      <x:c r="D1872" s="28" t="n">
        <x:f>MOD(B1872,1)</x:f>
        <x:v>0.4018171296265791</x:v>
      </x:c>
      <x:c r="E1872" s="29" t="n">
        <x:f>YEAR(B1872)</x:f>
        <x:v>2014</x:v>
      </x:c>
      <x:c r="F1872" s="29" t="n">
        <x:f>MONTH(B1872)</x:f>
        <x:v>6</x:v>
      </x:c>
      <x:c r="G1872" s="30" t="n">
        <x:v>-19.94</x:v>
      </x:c>
      <x:c r="H1872" s="30" t="n">
        <x:v>-70.95</x:v>
      </x:c>
      <x:c r="I1872" s="29" t="n">
        <x:v>21</x:v>
      </x:c>
      <x:c r="J1872" s="31" t="n">
        <x:v>5.4</x:v>
      </x:c>
      <x:c r="K1872" s="25" t="str">
        <x:f>IF(J1872&gt;=7,"Muy fuerte (&gt;=7)",IF(J1872&gt;=6,"Fuerte (6-6.9)",IF(J1872&gt;=5,"Moderado alto (5-5.9)",IF(J1872&gt;=4,"Moderado (4-4.9)","Menor a 4"))))</x:f>
        <x:v>Moderado alto (5-5.9)</x:v>
      </x:c>
      <x:c r="L1872" s="25" t="str">
        <x:f>IF(I1872&lt;70,"Superficial (&lt;70 km)",IF(I1872&lt;=300,"Intermedio (70-300 km)","Profundo (&gt;300 km)"))</x:f>
        <x:v>Superficial (&lt;70 km)</x:v>
      </x:c>
      <x:c r="M1872" s="25" t="str">
        <x:f>IF(J1872&gt;=5,"Sí","No")</x:f>
        <x:v>Sí</x:v>
      </x:c>
      <x:c r="N1872" s="25" t="str">
        <x:f>IF(J1872&gt;=6,"Sí","No")</x:f>
        <x:v>No</x:v>
      </x:c>
      <x:c r="O1872" s="25" t="str">
        <x:v>Pendiente: asignar con R/sf</x:v>
      </x:c>
    </x:row>
    <x:row r="1873">
      <x:c r="A1873" s="25" t="n">
        <x:v>1872</x:v>
      </x:c>
      <x:c r="B1873" s="26" t="n">
        <x:v>41753.43525462963</x:v>
      </x:c>
      <x:c r="C1873" s="27" t="n">
        <x:f>INT(B1873)</x:f>
        <x:v>41753</x:v>
      </x:c>
      <x:c r="D1873" s="28" t="n">
        <x:f>MOD(B1873,1)</x:f>
        <x:v>0.4352546296286164</x:v>
      </x:c>
      <x:c r="E1873" s="29" t="n">
        <x:f>YEAR(B1873)</x:f>
        <x:v>2014</x:v>
      </x:c>
      <x:c r="F1873" s="29" t="n">
        <x:f>MONTH(B1873)</x:f>
        <x:v>4</x:v>
      </x:c>
      <x:c r="G1873" s="30" t="n">
        <x:v>-19.9</x:v>
      </x:c>
      <x:c r="H1873" s="30" t="n">
        <x:v>-71.18</x:v>
      </x:c>
      <x:c r="I1873" s="29" t="n">
        <x:v>36</x:v>
      </x:c>
      <x:c r="J1873" s="31" t="n">
        <x:v>4.8</x:v>
      </x:c>
      <x:c r="K1873" s="25" t="str">
        <x:f>IF(J1873&gt;=7,"Muy fuerte (&gt;=7)",IF(J1873&gt;=6,"Fuerte (6-6.9)",IF(J1873&gt;=5,"Moderado alto (5-5.9)",IF(J1873&gt;=4,"Moderado (4-4.9)","Menor a 4"))))</x:f>
        <x:v>Moderado (4-4.9)</x:v>
      </x:c>
      <x:c r="L1873" s="25" t="str">
        <x:f>IF(I1873&lt;70,"Superficial (&lt;70 km)",IF(I1873&lt;=300,"Intermedio (70-300 km)","Profundo (&gt;300 km)"))</x:f>
        <x:v>Superficial (&lt;70 km)</x:v>
      </x:c>
      <x:c r="M1873" s="25" t="str">
        <x:f>IF(J1873&gt;=5,"Sí","No")</x:f>
        <x:v>No</x:v>
      </x:c>
      <x:c r="N1873" s="25" t="str">
        <x:f>IF(J1873&gt;=6,"Sí","No")</x:f>
        <x:v>No</x:v>
      </x:c>
      <x:c r="O1873" s="25" t="str">
        <x:v>Pendiente: asignar con R/sf</x:v>
      </x:c>
    </x:row>
    <x:row r="1874">
      <x:c r="A1874" s="25" t="n">
        <x:v>1873</x:v>
      </x:c>
      <x:c r="B1874" s="26" t="n">
        <x:v>41731.17790509259</x:v>
      </x:c>
      <x:c r="C1874" s="27" t="n">
        <x:f>INT(B1874)</x:f>
        <x:v>41731</x:v>
      </x:c>
      <x:c r="D1874" s="28" t="n">
        <x:f>MOD(B1874,1)</x:f>
        <x:v>0.17790509259066312</x:v>
      </x:c>
      <x:c r="E1874" s="29" t="n">
        <x:f>YEAR(B1874)</x:f>
        <x:v>2014</x:v>
      </x:c>
      <x:c r="F1874" s="29" t="n">
        <x:f>MONTH(B1874)</x:f>
        <x:v>4</x:v>
      </x:c>
      <x:c r="G1874" s="30" t="n">
        <x:v>-19.95</x:v>
      </x:c>
      <x:c r="H1874" s="30" t="n">
        <x:v>-70.88</x:v>
      </x:c>
      <x:c r="I1874" s="29" t="n">
        <x:v>29</x:v>
      </x:c>
      <x:c r="J1874" s="31" t="n">
        <x:v>4.9</x:v>
      </x:c>
      <x:c r="K1874" s="25" t="str">
        <x:f>IF(J1874&gt;=7,"Muy fuerte (&gt;=7)",IF(J1874&gt;=6,"Fuerte (6-6.9)",IF(J1874&gt;=5,"Moderado alto (5-5.9)",IF(J1874&gt;=4,"Moderado (4-4.9)","Menor a 4"))))</x:f>
        <x:v>Moderado (4-4.9)</x:v>
      </x:c>
      <x:c r="L1874" s="25" t="str">
        <x:f>IF(I1874&lt;70,"Superficial (&lt;70 km)",IF(I1874&lt;=300,"Intermedio (70-300 km)","Profundo (&gt;300 km)"))</x:f>
        <x:v>Superficial (&lt;70 km)</x:v>
      </x:c>
      <x:c r="M1874" s="25" t="str">
        <x:f>IF(J1874&gt;=5,"Sí","No")</x:f>
        <x:v>No</x:v>
      </x:c>
      <x:c r="N1874" s="25" t="str">
        <x:f>IF(J1874&gt;=6,"Sí","No")</x:f>
        <x:v>No</x:v>
      </x:c>
      <x:c r="O1874" s="25" t="str">
        <x:v>Pendiente: asignar con R/sf</x:v>
      </x:c>
    </x:row>
    <x:row r="1875">
      <x:c r="A1875" s="25" t="n">
        <x:v>1874</x:v>
      </x:c>
      <x:c r="B1875" s="26" t="n">
        <x:v>41731.20710648148</x:v>
      </x:c>
      <x:c r="C1875" s="27" t="n">
        <x:f>INT(B1875)</x:f>
        <x:v>41731</x:v>
      </x:c>
      <x:c r="D1875" s="28" t="n">
        <x:f>MOD(B1875,1)</x:f>
        <x:v>0.20710648148087785</x:v>
      </x:c>
      <x:c r="E1875" s="29" t="n">
        <x:f>YEAR(B1875)</x:f>
        <x:v>2014</x:v>
      </x:c>
      <x:c r="F1875" s="29" t="n">
        <x:f>MONTH(B1875)</x:f>
        <x:v>4</x:v>
      </x:c>
      <x:c r="G1875" s="30" t="n">
        <x:v>-20.16</x:v>
      </x:c>
      <x:c r="H1875" s="30" t="n">
        <x:v>-70.07</x:v>
      </x:c>
      <x:c r="I1875" s="29" t="n">
        <x:v>44</x:v>
      </x:c>
      <x:c r="J1875" s="31" t="n">
        <x:v>4.2</x:v>
      </x:c>
      <x:c r="K1875" s="25" t="str">
        <x:f>IF(J1875&gt;=7,"Muy fuerte (&gt;=7)",IF(J1875&gt;=6,"Fuerte (6-6.9)",IF(J1875&gt;=5,"Moderado alto (5-5.9)",IF(J1875&gt;=4,"Moderado (4-4.9)","Menor a 4"))))</x:f>
        <x:v>Moderado (4-4.9)</x:v>
      </x:c>
      <x:c r="L1875" s="25" t="str">
        <x:f>IF(I1875&lt;70,"Superficial (&lt;70 km)",IF(I1875&lt;=300,"Intermedio (70-300 km)","Profundo (&gt;300 km)"))</x:f>
        <x:v>Superficial (&lt;70 km)</x:v>
      </x:c>
      <x:c r="M1875" s="25" t="str">
        <x:f>IF(J1875&gt;=5,"Sí","No")</x:f>
        <x:v>No</x:v>
      </x:c>
      <x:c r="N1875" s="25" t="str">
        <x:f>IF(J1875&gt;=6,"Sí","No")</x:f>
        <x:v>No</x:v>
      </x:c>
      <x:c r="O1875" s="25" t="str">
        <x:v>Pendiente: asignar con R/sf</x:v>
      </x:c>
    </x:row>
    <x:row r="1876">
      <x:c r="A1876" s="25" t="n">
        <x:v>1875</x:v>
      </x:c>
      <x:c r="B1876" s="26" t="n">
        <x:v>41781.59842592593</x:v>
      </x:c>
      <x:c r="C1876" s="27" t="n">
        <x:f>INT(B1876)</x:f>
        <x:v>41781</x:v>
      </x:c>
      <x:c r="D1876" s="28" t="n">
        <x:f>MOD(B1876,1)</x:f>
        <x:v>0.5984259259275859</x:v>
      </x:c>
      <x:c r="E1876" s="29" t="n">
        <x:f>YEAR(B1876)</x:f>
        <x:v>2014</x:v>
      </x:c>
      <x:c r="F1876" s="29" t="n">
        <x:f>MONTH(B1876)</x:f>
        <x:v>5</x:v>
      </x:c>
      <x:c r="G1876" s="30" t="n">
        <x:v>-20.33</x:v>
      </x:c>
      <x:c r="H1876" s="30" t="n">
        <x:v>-69.89</x:v>
      </x:c>
      <x:c r="I1876" s="29" t="n">
        <x:v>57</x:v>
      </x:c>
      <x:c r="J1876" s="31" t="n">
        <x:v>4.1</x:v>
      </x:c>
      <x:c r="K1876" s="25" t="str">
        <x:f>IF(J1876&gt;=7,"Muy fuerte (&gt;=7)",IF(J1876&gt;=6,"Fuerte (6-6.9)",IF(J1876&gt;=5,"Moderado alto (5-5.9)",IF(J1876&gt;=4,"Moderado (4-4.9)","Menor a 4"))))</x:f>
        <x:v>Moderado (4-4.9)</x:v>
      </x:c>
      <x:c r="L1876" s="25" t="str">
        <x:f>IF(I1876&lt;70,"Superficial (&lt;70 km)",IF(I1876&lt;=300,"Intermedio (70-300 km)","Profundo (&gt;300 km)"))</x:f>
        <x:v>Superficial (&lt;70 km)</x:v>
      </x:c>
      <x:c r="M1876" s="25" t="str">
        <x:f>IF(J1876&gt;=5,"Sí","No")</x:f>
        <x:v>No</x:v>
      </x:c>
      <x:c r="N1876" s="25" t="str">
        <x:f>IF(J1876&gt;=6,"Sí","No")</x:f>
        <x:v>No</x:v>
      </x:c>
      <x:c r="O1876" s="25" t="str">
        <x:v>Pendiente: asignar con R/sf</x:v>
      </x:c>
    </x:row>
    <x:row r="1877">
      <x:c r="A1877" s="25" t="n">
        <x:v>1876</x:v>
      </x:c>
      <x:c r="B1877" s="26" t="n">
        <x:v>41737.42675925926</x:v>
      </x:c>
      <x:c r="C1877" s="27" t="n">
        <x:f>INT(B1877)</x:f>
        <x:v>41737</x:v>
      </x:c>
      <x:c r="D1877" s="28" t="n">
        <x:f>MOD(B1877,1)</x:f>
        <x:v>0.42675925925868796</x:v>
      </x:c>
      <x:c r="E1877" s="29" t="n">
        <x:f>YEAR(B1877)</x:f>
        <x:v>2014</x:v>
      </x:c>
      <x:c r="F1877" s="29" t="n">
        <x:f>MONTH(B1877)</x:f>
        <x:v>4</x:v>
      </x:c>
      <x:c r="G1877" s="30" t="n">
        <x:v>-20.56</x:v>
      </x:c>
      <x:c r="H1877" s="30" t="n">
        <x:v>-70.98</x:v>
      </x:c>
      <x:c r="I1877" s="29" t="n">
        <x:v>38</x:v>
      </x:c>
      <x:c r="J1877" s="31" t="n">
        <x:v>5.2</x:v>
      </x:c>
      <x:c r="K1877" s="25" t="str">
        <x:f>IF(J1877&gt;=7,"Muy fuerte (&gt;=7)",IF(J1877&gt;=6,"Fuerte (6-6.9)",IF(J1877&gt;=5,"Moderado alto (5-5.9)",IF(J1877&gt;=4,"Moderado (4-4.9)","Menor a 4"))))</x:f>
        <x:v>Moderado alto (5-5.9)</x:v>
      </x:c>
      <x:c r="L1877" s="25" t="str">
        <x:f>IF(I1877&lt;70,"Superficial (&lt;70 km)",IF(I1877&lt;=300,"Intermedio (70-300 km)","Profundo (&gt;300 km)"))</x:f>
        <x:v>Superficial (&lt;70 km)</x:v>
      </x:c>
      <x:c r="M1877" s="25" t="str">
        <x:f>IF(J1877&gt;=5,"Sí","No")</x:f>
        <x:v>Sí</x:v>
      </x:c>
      <x:c r="N1877" s="25" t="str">
        <x:f>IF(J1877&gt;=6,"Sí","No")</x:f>
        <x:v>No</x:v>
      </x:c>
      <x:c r="O1877" s="25" t="str">
        <x:v>Pendiente: asignar con R/sf</x:v>
      </x:c>
    </x:row>
    <x:row r="1878">
      <x:c r="A1878" s="25" t="n">
        <x:v>1877</x:v>
      </x:c>
      <x:c r="B1878" s="26" t="n">
        <x:v>41700.87168981481</x:v>
      </x:c>
      <x:c r="C1878" s="27" t="n">
        <x:f>INT(B1878)</x:f>
        <x:v>41700</x:v>
      </x:c>
      <x:c r="D1878" s="28" t="n">
        <x:f>MOD(B1878,1)</x:f>
        <x:v>0.8716898148122709</x:v>
      </x:c>
      <x:c r="E1878" s="29" t="n">
        <x:f>YEAR(B1878)</x:f>
        <x:v>2014</x:v>
      </x:c>
      <x:c r="F1878" s="29" t="n">
        <x:f>MONTH(B1878)</x:f>
        <x:v>3</x:v>
      </x:c>
      <x:c r="G1878" s="30" t="n">
        <x:v>-19.16</x:v>
      </x:c>
      <x:c r="H1878" s="30" t="n">
        <x:v>-69.33</x:v>
      </x:c>
      <x:c r="I1878" s="29" t="n">
        <x:v>110</x:v>
      </x:c>
      <x:c r="J1878" s="31" t="n">
        <x:v>4.2</x:v>
      </x:c>
      <x:c r="K1878" s="25" t="str">
        <x:f>IF(J1878&gt;=7,"Muy fuerte (&gt;=7)",IF(J1878&gt;=6,"Fuerte (6-6.9)",IF(J1878&gt;=5,"Moderado alto (5-5.9)",IF(J1878&gt;=4,"Moderado (4-4.9)","Menor a 4"))))</x:f>
        <x:v>Moderado (4-4.9)</x:v>
      </x:c>
      <x:c r="L1878" s="25" t="str">
        <x:f>IF(I1878&lt;70,"Superficial (&lt;70 km)",IF(I1878&lt;=300,"Intermedio (70-300 km)","Profundo (&gt;300 km)"))</x:f>
        <x:v>Intermedio (70-300 km)</x:v>
      </x:c>
      <x:c r="M1878" s="25" t="str">
        <x:f>IF(J1878&gt;=5,"Sí","No")</x:f>
        <x:v>No</x:v>
      </x:c>
      <x:c r="N1878" s="25" t="str">
        <x:f>IF(J1878&gt;=6,"Sí","No")</x:f>
        <x:v>No</x:v>
      </x:c>
      <x:c r="O1878" s="25" t="str">
        <x:v>Pendiente: asignar con R/sf</x:v>
      </x:c>
    </x:row>
    <x:row r="1879">
      <x:c r="A1879" s="25" t="n">
        <x:v>1878</x:v>
      </x:c>
      <x:c r="B1879" s="26" t="n">
        <x:v>41864.043391203704</x:v>
      </x:c>
      <x:c r="C1879" s="27" t="n">
        <x:f>INT(B1879)</x:f>
        <x:v>41864</x:v>
      </x:c>
      <x:c r="D1879" s="28" t="n">
        <x:f>MOD(B1879,1)</x:f>
        <x:v>0.043391203704231884</x:v>
      </x:c>
      <x:c r="E1879" s="29" t="n">
        <x:f>YEAR(B1879)</x:f>
        <x:v>2014</x:v>
      </x:c>
      <x:c r="F1879" s="29" t="n">
        <x:f>MONTH(B1879)</x:f>
        <x:v>8</x:v>
      </x:c>
      <x:c r="G1879" s="30" t="n">
        <x:v>-20.43</x:v>
      </x:c>
      <x:c r="H1879" s="30" t="n">
        <x:v>-69.46</x:v>
      </x:c>
      <x:c r="I1879" s="29" t="n">
        <x:v>79</x:v>
      </x:c>
      <x:c r="J1879" s="31" t="n">
        <x:v>4.4</x:v>
      </x:c>
      <x:c r="K1879" s="25" t="str">
        <x:f>IF(J1879&gt;=7,"Muy fuerte (&gt;=7)",IF(J1879&gt;=6,"Fuerte (6-6.9)",IF(J1879&gt;=5,"Moderado alto (5-5.9)",IF(J1879&gt;=4,"Moderado (4-4.9)","Menor a 4"))))</x:f>
        <x:v>Moderado (4-4.9)</x:v>
      </x:c>
      <x:c r="L1879" s="25" t="str">
        <x:f>IF(I1879&lt;70,"Superficial (&lt;70 km)",IF(I1879&lt;=300,"Intermedio (70-300 km)","Profundo (&gt;300 km)"))</x:f>
        <x:v>Intermedio (70-300 km)</x:v>
      </x:c>
      <x:c r="M1879" s="25" t="str">
        <x:f>IF(J1879&gt;=5,"Sí","No")</x:f>
        <x:v>No</x:v>
      </x:c>
      <x:c r="N1879" s="25" t="str">
        <x:f>IF(J1879&gt;=6,"Sí","No")</x:f>
        <x:v>No</x:v>
      </x:c>
      <x:c r="O1879" s="25" t="str">
        <x:v>Pendiente: asignar con R/sf</x:v>
      </x:c>
    </x:row>
    <x:row r="1880">
      <x:c r="A1880" s="25" t="n">
        <x:v>1879</x:v>
      </x:c>
      <x:c r="B1880" s="26" t="n">
        <x:v>41740.90540509259</x:v>
      </x:c>
      <x:c r="C1880" s="27" t="n">
        <x:f>INT(B1880)</x:f>
        <x:v>41740</x:v>
      </x:c>
      <x:c r="D1880" s="28" t="n">
        <x:f>MOD(B1880,1)</x:f>
        <x:v>0.9054050925915362</x:v>
      </x:c>
      <x:c r="E1880" s="29" t="n">
        <x:f>YEAR(B1880)</x:f>
        <x:v>2014</x:v>
      </x:c>
      <x:c r="F1880" s="29" t="n">
        <x:f>MONTH(B1880)</x:f>
        <x:v>4</x:v>
      </x:c>
      <x:c r="G1880" s="30" t="n">
        <x:v>-20.28</x:v>
      </x:c>
      <x:c r="H1880" s="30" t="n">
        <x:v>-70.47</x:v>
      </x:c>
      <x:c r="I1880" s="29" t="n">
        <x:v>30</x:v>
      </x:c>
      <x:c r="J1880" s="31" t="n">
        <x:v>4.3</x:v>
      </x:c>
      <x:c r="K1880" s="25" t="str">
        <x:f>IF(J1880&gt;=7,"Muy fuerte (&gt;=7)",IF(J1880&gt;=6,"Fuerte (6-6.9)",IF(J1880&gt;=5,"Moderado alto (5-5.9)",IF(J1880&gt;=4,"Moderado (4-4.9)","Menor a 4"))))</x:f>
        <x:v>Moderado (4-4.9)</x:v>
      </x:c>
      <x:c r="L1880" s="25" t="str">
        <x:f>IF(I1880&lt;70,"Superficial (&lt;70 km)",IF(I1880&lt;=300,"Intermedio (70-300 km)","Profundo (&gt;300 km)"))</x:f>
        <x:v>Superficial (&lt;70 km)</x:v>
      </x:c>
      <x:c r="M1880" s="25" t="str">
        <x:f>IF(J1880&gt;=5,"Sí","No")</x:f>
        <x:v>No</x:v>
      </x:c>
      <x:c r="N1880" s="25" t="str">
        <x:f>IF(J1880&gt;=6,"Sí","No")</x:f>
        <x:v>No</x:v>
      </x:c>
      <x:c r="O1880" s="25" t="str">
        <x:v>Pendiente: asignar con R/sf</x:v>
      </x:c>
    </x:row>
    <x:row r="1881">
      <x:c r="A1881" s="25" t="n">
        <x:v>1880</x:v>
      </x:c>
      <x:c r="B1881" s="26" t="n">
        <x:v>41737.078564814816</x:v>
      </x:c>
      <x:c r="C1881" s="27" t="n">
        <x:f>INT(B1881)</x:f>
        <x:v>41737</x:v>
      </x:c>
      <x:c r="D1881" s="28" t="n">
        <x:f>MOD(B1881,1)</x:f>
        <x:v>0.07856481481576338</x:v>
      </x:c>
      <x:c r="E1881" s="29" t="n">
        <x:f>YEAR(B1881)</x:f>
        <x:v>2014</x:v>
      </x:c>
      <x:c r="F1881" s="29" t="n">
        <x:f>MONTH(B1881)</x:f>
        <x:v>4</x:v>
      </x:c>
      <x:c r="G1881" s="30" t="n">
        <x:v>-20.36</x:v>
      </x:c>
      <x:c r="H1881" s="30" t="n">
        <x:v>-69.89</x:v>
      </x:c>
      <x:c r="I1881" s="29" t="n">
        <x:v>52</x:v>
      </x:c>
      <x:c r="J1881" s="31" t="n">
        <x:v>4</x:v>
      </x:c>
      <x:c r="K1881" s="25" t="str">
        <x:f>IF(J1881&gt;=7,"Muy fuerte (&gt;=7)",IF(J1881&gt;=6,"Fuerte (6-6.9)",IF(J1881&gt;=5,"Moderado alto (5-5.9)",IF(J1881&gt;=4,"Moderado (4-4.9)","Menor a 4"))))</x:f>
        <x:v>Moderado (4-4.9)</x:v>
      </x:c>
      <x:c r="L1881" s="25" t="str">
        <x:f>IF(I1881&lt;70,"Superficial (&lt;70 km)",IF(I1881&lt;=300,"Intermedio (70-300 km)","Profundo (&gt;300 km)"))</x:f>
        <x:v>Superficial (&lt;70 km)</x:v>
      </x:c>
      <x:c r="M1881" s="25" t="str">
        <x:f>IF(J1881&gt;=5,"Sí","No")</x:f>
        <x:v>No</x:v>
      </x:c>
      <x:c r="N1881" s="25" t="str">
        <x:f>IF(J1881&gt;=6,"Sí","No")</x:f>
        <x:v>No</x:v>
      </x:c>
      <x:c r="O1881" s="25" t="str">
        <x:v>Pendiente: asignar con R/sf</x:v>
      </x:c>
    </x:row>
    <x:row r="1882">
      <x:c r="A1882" s="25" t="n">
        <x:v>1881</x:v>
      </x:c>
      <x:c r="B1882" s="26" t="n">
        <x:v>41870.99434027778</x:v>
      </x:c>
      <x:c r="C1882" s="27" t="n">
        <x:f>INT(B1882)</x:f>
        <x:v>41870</x:v>
      </x:c>
      <x:c r="D1882" s="28" t="n">
        <x:f>MOD(B1882,1)</x:f>
        <x:v>0.9943402777789743</x:v>
      </x:c>
      <x:c r="E1882" s="29" t="n">
        <x:f>YEAR(B1882)</x:f>
        <x:v>2014</x:v>
      </x:c>
      <x:c r="F1882" s="29" t="n">
        <x:f>MONTH(B1882)</x:f>
        <x:v>8</x:v>
      </x:c>
      <x:c r="G1882" s="30" t="n">
        <x:v>-20.73</x:v>
      </x:c>
      <x:c r="H1882" s="30" t="n">
        <x:v>-70.71</x:v>
      </x:c>
      <x:c r="I1882" s="29" t="n">
        <x:v>41</x:v>
      </x:c>
      <x:c r="J1882" s="31" t="n">
        <x:v>4.2</x:v>
      </x:c>
      <x:c r="K1882" s="25" t="str">
        <x:f>IF(J1882&gt;=7,"Muy fuerte (&gt;=7)",IF(J1882&gt;=6,"Fuerte (6-6.9)",IF(J1882&gt;=5,"Moderado alto (5-5.9)",IF(J1882&gt;=4,"Moderado (4-4.9)","Menor a 4"))))</x:f>
        <x:v>Moderado (4-4.9)</x:v>
      </x:c>
      <x:c r="L1882" s="25" t="str">
        <x:f>IF(I1882&lt;70,"Superficial (&lt;70 km)",IF(I1882&lt;=300,"Intermedio (70-300 km)","Profundo (&gt;300 km)"))</x:f>
        <x:v>Superficial (&lt;70 km)</x:v>
      </x:c>
      <x:c r="M1882" s="25" t="str">
        <x:f>IF(J1882&gt;=5,"Sí","No")</x:f>
        <x:v>No</x:v>
      </x:c>
      <x:c r="N1882" s="25" t="str">
        <x:f>IF(J1882&gt;=6,"Sí","No")</x:f>
        <x:v>No</x:v>
      </x:c>
      <x:c r="O1882" s="25" t="str">
        <x:v>Pendiente: asignar con R/sf</x:v>
      </x:c>
    </x:row>
    <x:row r="1883">
      <x:c r="A1883" s="25" t="n">
        <x:v>1882</x:v>
      </x:c>
      <x:c r="B1883" s="26" t="n">
        <x:v>41769.133368055554</x:v>
      </x:c>
      <x:c r="C1883" s="27" t="n">
        <x:f>INT(B1883)</x:f>
        <x:v>41769</x:v>
      </x:c>
      <x:c r="D1883" s="28" t="n">
        <x:f>MOD(B1883,1)</x:f>
        <x:v>0.13336805555445608</x:v>
      </x:c>
      <x:c r="E1883" s="29" t="n">
        <x:f>YEAR(B1883)</x:f>
        <x:v>2014</x:v>
      </x:c>
      <x:c r="F1883" s="29" t="n">
        <x:f>MONTH(B1883)</x:f>
        <x:v>5</x:v>
      </x:c>
      <x:c r="G1883" s="30" t="n">
        <x:v>-20.17</x:v>
      </x:c>
      <x:c r="H1883" s="30" t="n">
        <x:v>-69.23</x:v>
      </x:c>
      <x:c r="I1883" s="29" t="n">
        <x:v>95</x:v>
      </x:c>
      <x:c r="J1883" s="31" t="n">
        <x:v>4.6</x:v>
      </x:c>
      <x:c r="K1883" s="25" t="str">
        <x:f>IF(J1883&gt;=7,"Muy fuerte (&gt;=7)",IF(J1883&gt;=6,"Fuerte (6-6.9)",IF(J1883&gt;=5,"Moderado alto (5-5.9)",IF(J1883&gt;=4,"Moderado (4-4.9)","Menor a 4"))))</x:f>
        <x:v>Moderado (4-4.9)</x:v>
      </x:c>
      <x:c r="L1883" s="25" t="str">
        <x:f>IF(I1883&lt;70,"Superficial (&lt;70 km)",IF(I1883&lt;=300,"Intermedio (70-300 km)","Profundo (&gt;300 km)"))</x:f>
        <x:v>Intermedio (70-300 km)</x:v>
      </x:c>
      <x:c r="M1883" s="25" t="str">
        <x:f>IF(J1883&gt;=5,"Sí","No")</x:f>
        <x:v>No</x:v>
      </x:c>
      <x:c r="N1883" s="25" t="str">
        <x:f>IF(J1883&gt;=6,"Sí","No")</x:f>
        <x:v>No</x:v>
      </x:c>
      <x:c r="O1883" s="25" t="str">
        <x:v>Pendiente: asignar con R/sf</x:v>
      </x:c>
    </x:row>
    <x:row r="1884">
      <x:c r="A1884" s="25" t="n">
        <x:v>1883</x:v>
      </x:c>
      <x:c r="B1884" s="26" t="n">
        <x:v>41766.56050925926</x:v>
      </x:c>
      <x:c r="C1884" s="27" t="n">
        <x:f>INT(B1884)</x:f>
        <x:v>41766</x:v>
      </x:c>
      <x:c r="D1884" s="28" t="n">
        <x:f>MOD(B1884,1)</x:f>
        <x:v>0.5605092592595611</x:v>
      </x:c>
      <x:c r="E1884" s="29" t="n">
        <x:f>YEAR(B1884)</x:f>
        <x:v>2014</x:v>
      </x:c>
      <x:c r="F1884" s="29" t="n">
        <x:f>MONTH(B1884)</x:f>
        <x:v>5</x:v>
      </x:c>
      <x:c r="G1884" s="30" t="n">
        <x:v>-19.96</x:v>
      </x:c>
      <x:c r="H1884" s="30" t="n">
        <x:v>-70.98</x:v>
      </x:c>
      <x:c r="I1884" s="29" t="n">
        <x:v>34</x:v>
      </x:c>
      <x:c r="J1884" s="31" t="n">
        <x:v>4.8</x:v>
      </x:c>
      <x:c r="K1884" s="25" t="str">
        <x:f>IF(J1884&gt;=7,"Muy fuerte (&gt;=7)",IF(J1884&gt;=6,"Fuerte (6-6.9)",IF(J1884&gt;=5,"Moderado alto (5-5.9)",IF(J1884&gt;=4,"Moderado (4-4.9)","Menor a 4"))))</x:f>
        <x:v>Moderado (4-4.9)</x:v>
      </x:c>
      <x:c r="L1884" s="25" t="str">
        <x:f>IF(I1884&lt;70,"Superficial (&lt;70 km)",IF(I1884&lt;=300,"Intermedio (70-300 km)","Profundo (&gt;300 km)"))</x:f>
        <x:v>Superficial (&lt;70 km)</x:v>
      </x:c>
      <x:c r="M1884" s="25" t="str">
        <x:f>IF(J1884&gt;=5,"Sí","No")</x:f>
        <x:v>No</x:v>
      </x:c>
      <x:c r="N1884" s="25" t="str">
        <x:f>IF(J1884&gt;=6,"Sí","No")</x:f>
        <x:v>No</x:v>
      </x:c>
      <x:c r="O1884" s="25" t="str">
        <x:v>Pendiente: asignar con R/sf</x:v>
      </x:c>
    </x:row>
    <x:row r="1885">
      <x:c r="A1885" s="25" t="n">
        <x:v>1884</x:v>
      </x:c>
      <x:c r="B1885" s="26" t="n">
        <x:v>41716.893587962964</x:v>
      </x:c>
      <x:c r="C1885" s="27" t="n">
        <x:f>INT(B1885)</x:f>
        <x:v>41716</x:v>
      </x:c>
      <x:c r="D1885" s="28" t="n">
        <x:f>MOD(B1885,1)</x:f>
        <x:v>0.893587962964375</x:v>
      </x:c>
      <x:c r="E1885" s="29" t="n">
        <x:f>YEAR(B1885)</x:f>
        <x:v>2014</x:v>
      </x:c>
      <x:c r="F1885" s="29" t="n">
        <x:f>MONTH(B1885)</x:f>
        <x:v>3</x:v>
      </x:c>
      <x:c r="G1885" s="30" t="n">
        <x:v>-19.96</x:v>
      </x:c>
      <x:c r="H1885" s="30" t="n">
        <x:v>-70.95</x:v>
      </x:c>
      <x:c r="I1885" s="29" t="n">
        <x:v>39</x:v>
      </x:c>
      <x:c r="J1885" s="31" t="n">
        <x:v>5.8</x:v>
      </x:c>
      <x:c r="K1885" s="25" t="str">
        <x:f>IF(J1885&gt;=7,"Muy fuerte (&gt;=7)",IF(J1885&gt;=6,"Fuerte (6-6.9)",IF(J1885&gt;=5,"Moderado alto (5-5.9)",IF(J1885&gt;=4,"Moderado (4-4.9)","Menor a 4"))))</x:f>
        <x:v>Moderado alto (5-5.9)</x:v>
      </x:c>
      <x:c r="L1885" s="25" t="str">
        <x:f>IF(I1885&lt;70,"Superficial (&lt;70 km)",IF(I1885&lt;=300,"Intermedio (70-300 km)","Profundo (&gt;300 km)"))</x:f>
        <x:v>Superficial (&lt;70 km)</x:v>
      </x:c>
      <x:c r="M1885" s="25" t="str">
        <x:f>IF(J1885&gt;=5,"Sí","No")</x:f>
        <x:v>Sí</x:v>
      </x:c>
      <x:c r="N1885" s="25" t="str">
        <x:f>IF(J1885&gt;=6,"Sí","No")</x:f>
        <x:v>No</x:v>
      </x:c>
      <x:c r="O1885" s="25" t="str">
        <x:v>Pendiente: asignar con R/sf</x:v>
      </x:c>
    </x:row>
    <x:row r="1886">
      <x:c r="A1886" s="25" t="n">
        <x:v>1885</x:v>
      </x:c>
      <x:c r="B1886" s="26" t="n">
        <x:v>41734.847546296296</x:v>
      </x:c>
      <x:c r="C1886" s="27" t="n">
        <x:f>INT(B1886)</x:f>
        <x:v>41734</x:v>
      </x:c>
      <x:c r="D1886" s="28" t="n">
        <x:f>MOD(B1886,1)</x:f>
        <x:v>0.8475462962960592</x:v>
      </x:c>
      <x:c r="E1886" s="29" t="n">
        <x:f>YEAR(B1886)</x:f>
        <x:v>2014</x:v>
      </x:c>
      <x:c r="F1886" s="29" t="n">
        <x:f>MONTH(B1886)</x:f>
        <x:v>4</x:v>
      </x:c>
      <x:c r="G1886" s="30" t="n">
        <x:v>-19.87</x:v>
      </x:c>
      <x:c r="H1886" s="30" t="n">
        <x:v>-70.22</x:v>
      </x:c>
      <x:c r="I1886" s="29" t="n">
        <x:v>45</x:v>
      </x:c>
      <x:c r="J1886" s="31" t="n">
        <x:v>4.5</x:v>
      </x:c>
      <x:c r="K1886" s="25" t="str">
        <x:f>IF(J1886&gt;=7,"Muy fuerte (&gt;=7)",IF(J1886&gt;=6,"Fuerte (6-6.9)",IF(J1886&gt;=5,"Moderado alto (5-5.9)",IF(J1886&gt;=4,"Moderado (4-4.9)","Menor a 4"))))</x:f>
        <x:v>Moderado (4-4.9)</x:v>
      </x:c>
      <x:c r="L1886" s="25" t="str">
        <x:f>IF(I1886&lt;70,"Superficial (&lt;70 km)",IF(I1886&lt;=300,"Intermedio (70-300 km)","Profundo (&gt;300 km)"))</x:f>
        <x:v>Superficial (&lt;70 km)</x:v>
      </x:c>
      <x:c r="M1886" s="25" t="str">
        <x:f>IF(J1886&gt;=5,"Sí","No")</x:f>
        <x:v>No</x:v>
      </x:c>
      <x:c r="N1886" s="25" t="str">
        <x:f>IF(J1886&gt;=6,"Sí","No")</x:f>
        <x:v>No</x:v>
      </x:c>
      <x:c r="O1886" s="25" t="str">
        <x:v>Pendiente: asignar con R/sf</x:v>
      </x:c>
    </x:row>
    <x:row r="1887">
      <x:c r="A1887" s="25" t="n">
        <x:v>1886</x:v>
      </x:c>
      <x:c r="B1887" s="26" t="n">
        <x:v>41773.151666666665</x:v>
      </x:c>
      <x:c r="C1887" s="27" t="n">
        <x:f>INT(B1887)</x:f>
        <x:v>41773</x:v>
      </x:c>
      <x:c r="D1887" s="28" t="n">
        <x:f>MOD(B1887,1)</x:f>
        <x:v>0.15166666666482342</x:v>
      </x:c>
      <x:c r="E1887" s="29" t="n">
        <x:f>YEAR(B1887)</x:f>
        <x:v>2014</x:v>
      </x:c>
      <x:c r="F1887" s="29" t="n">
        <x:f>MONTH(B1887)</x:f>
        <x:v>5</x:v>
      </x:c>
      <x:c r="G1887" s="30" t="n">
        <x:v>-22.77</x:v>
      </x:c>
      <x:c r="H1887" s="30" t="n">
        <x:v>-66.86</x:v>
      </x:c>
      <x:c r="I1887" s="29" t="n">
        <x:v>245</x:v>
      </x:c>
      <x:c r="J1887" s="31" t="n">
        <x:v>5.8</x:v>
      </x:c>
      <x:c r="K1887" s="25" t="str">
        <x:f>IF(J1887&gt;=7,"Muy fuerte (&gt;=7)",IF(J1887&gt;=6,"Fuerte (6-6.9)",IF(J1887&gt;=5,"Moderado alto (5-5.9)",IF(J1887&gt;=4,"Moderado (4-4.9)","Menor a 4"))))</x:f>
        <x:v>Moderado alto (5-5.9)</x:v>
      </x:c>
      <x:c r="L1887" s="25" t="str">
        <x:f>IF(I1887&lt;70,"Superficial (&lt;70 km)",IF(I1887&lt;=300,"Intermedio (70-300 km)","Profundo (&gt;300 km)"))</x:f>
        <x:v>Intermedio (70-300 km)</x:v>
      </x:c>
      <x:c r="M1887" s="25" t="str">
        <x:f>IF(J1887&gt;=5,"Sí","No")</x:f>
        <x:v>Sí</x:v>
      </x:c>
      <x:c r="N1887" s="25" t="str">
        <x:f>IF(J1887&gt;=6,"Sí","No")</x:f>
        <x:v>No</x:v>
      </x:c>
      <x:c r="O1887" s="25" t="str">
        <x:v>Pendiente: asignar con R/sf</x:v>
      </x:c>
    </x:row>
    <x:row r="1888">
      <x:c r="A1888" s="25" t="n">
        <x:v>1887</x:v>
      </x:c>
      <x:c r="B1888" s="26" t="n">
        <x:v>41715.216365740744</x:v>
      </x:c>
      <x:c r="C1888" s="27" t="n">
        <x:f>INT(B1888)</x:f>
        <x:v>41715</x:v>
      </x:c>
      <x:c r="D1888" s="28" t="n">
        <x:f>MOD(B1888,1)</x:f>
        <x:v>0.21636574074364034</x:v>
      </x:c>
      <x:c r="E1888" s="29" t="n">
        <x:f>YEAR(B1888)</x:f>
        <x:v>2014</x:v>
      </x:c>
      <x:c r="F1888" s="29" t="n">
        <x:f>MONTH(B1888)</x:f>
        <x:v>3</x:v>
      </x:c>
      <x:c r="G1888" s="30" t="n">
        <x:v>-19.93</x:v>
      </x:c>
      <x:c r="H1888" s="30" t="n">
        <x:v>-70.94</x:v>
      </x:c>
      <x:c r="I1888" s="29" t="n">
        <x:v>28</x:v>
      </x:c>
      <x:c r="J1888" s="31" t="n">
        <x:v>5.9</x:v>
      </x:c>
      <x:c r="K1888" s="25" t="str">
        <x:f>IF(J1888&gt;=7,"Muy fuerte (&gt;=7)",IF(J1888&gt;=6,"Fuerte (6-6.9)",IF(J1888&gt;=5,"Moderado alto (5-5.9)",IF(J1888&gt;=4,"Moderado (4-4.9)","Menor a 4"))))</x:f>
        <x:v>Moderado alto (5-5.9)</x:v>
      </x:c>
      <x:c r="L1888" s="25" t="str">
        <x:f>IF(I1888&lt;70,"Superficial (&lt;70 km)",IF(I1888&lt;=300,"Intermedio (70-300 km)","Profundo (&gt;300 km)"))</x:f>
        <x:v>Superficial (&lt;70 km)</x:v>
      </x:c>
      <x:c r="M1888" s="25" t="str">
        <x:f>IF(J1888&gt;=5,"Sí","No")</x:f>
        <x:v>Sí</x:v>
      </x:c>
      <x:c r="N1888" s="25" t="str">
        <x:f>IF(J1888&gt;=6,"Sí","No")</x:f>
        <x:v>No</x:v>
      </x:c>
      <x:c r="O1888" s="25" t="str">
        <x:v>Pendiente: asignar con R/sf</x:v>
      </x:c>
    </x:row>
    <x:row r="1889">
      <x:c r="A1889" s="25" t="n">
        <x:v>1888</x:v>
      </x:c>
      <x:c r="B1889" s="26" t="n">
        <x:v>41722.65662037037</x:v>
      </x:c>
      <x:c r="C1889" s="27" t="n">
        <x:f>INT(B1889)</x:f>
        <x:v>41722</x:v>
      </x:c>
      <x:c r="D1889" s="28" t="n">
        <x:f>MOD(B1889,1)</x:f>
        <x:v>0.6566203703696374</x:v>
      </x:c>
      <x:c r="E1889" s="29" t="n">
        <x:f>YEAR(B1889)</x:f>
        <x:v>2014</x:v>
      </x:c>
      <x:c r="F1889" s="29" t="n">
        <x:f>MONTH(B1889)</x:f>
        <x:v>3</x:v>
      </x:c>
      <x:c r="G1889" s="30" t="n">
        <x:v>-19.59</x:v>
      </x:c>
      <x:c r="H1889" s="30" t="n">
        <x:v>-70.79</x:v>
      </x:c>
      <x:c r="I1889" s="29" t="n">
        <x:v>43</x:v>
      </x:c>
      <x:c r="J1889" s="31" t="n">
        <x:v>5.5</x:v>
      </x:c>
      <x:c r="K1889" s="25" t="str">
        <x:f>IF(J1889&gt;=7,"Muy fuerte (&gt;=7)",IF(J1889&gt;=6,"Fuerte (6-6.9)",IF(J1889&gt;=5,"Moderado alto (5-5.9)",IF(J1889&gt;=4,"Moderado (4-4.9)","Menor a 4"))))</x:f>
        <x:v>Moderado alto (5-5.9)</x:v>
      </x:c>
      <x:c r="L1889" s="25" t="str">
        <x:f>IF(I1889&lt;70,"Superficial (&lt;70 km)",IF(I1889&lt;=300,"Intermedio (70-300 km)","Profundo (&gt;300 km)"))</x:f>
        <x:v>Superficial (&lt;70 km)</x:v>
      </x:c>
      <x:c r="M1889" s="25" t="str">
        <x:f>IF(J1889&gt;=5,"Sí","No")</x:f>
        <x:v>Sí</x:v>
      </x:c>
      <x:c r="N1889" s="25" t="str">
        <x:f>IF(J1889&gt;=6,"Sí","No")</x:f>
        <x:v>No</x:v>
      </x:c>
      <x:c r="O1889" s="25" t="str">
        <x:v>Pendiente: asignar con R/sf</x:v>
      </x:c>
    </x:row>
    <x:row r="1890">
      <x:c r="A1890" s="25" t="n">
        <x:v>1889</x:v>
      </x:c>
      <x:c r="B1890" s="26" t="n">
        <x:v>41731.29425925926</x:v>
      </x:c>
      <x:c r="C1890" s="27" t="n">
        <x:f>INT(B1890)</x:f>
        <x:v>41731</x:v>
      </x:c>
      <x:c r="D1890" s="28" t="n">
        <x:f>MOD(B1890,1)</x:f>
        <x:v>0.294259259258979</x:v>
      </x:c>
      <x:c r="E1890" s="29" t="n">
        <x:f>YEAR(B1890)</x:f>
        <x:v>2014</x:v>
      </x:c>
      <x:c r="F1890" s="29" t="n">
        <x:f>MONTH(B1890)</x:f>
        <x:v>4</x:v>
      </x:c>
      <x:c r="G1890" s="30" t="n">
        <x:v>-20.15</x:v>
      </x:c>
      <x:c r="H1890" s="30" t="n">
        <x:v>-70.1</x:v>
      </x:c>
      <x:c r="I1890" s="29" t="n">
        <x:v>46</x:v>
      </x:c>
      <x:c r="J1890" s="31" t="n">
        <x:v>4.6</x:v>
      </x:c>
      <x:c r="K1890" s="25" t="str">
        <x:f>IF(J1890&gt;=7,"Muy fuerte (&gt;=7)",IF(J1890&gt;=6,"Fuerte (6-6.9)",IF(J1890&gt;=5,"Moderado alto (5-5.9)",IF(J1890&gt;=4,"Moderado (4-4.9)","Menor a 4"))))</x:f>
        <x:v>Moderado (4-4.9)</x:v>
      </x:c>
      <x:c r="L1890" s="25" t="str">
        <x:f>IF(I1890&lt;70,"Superficial (&lt;70 km)",IF(I1890&lt;=300,"Intermedio (70-300 km)","Profundo (&gt;300 km)"))</x:f>
        <x:v>Superficial (&lt;70 km)</x:v>
      </x:c>
      <x:c r="M1890" s="25" t="str">
        <x:f>IF(J1890&gt;=5,"Sí","No")</x:f>
        <x:v>No</x:v>
      </x:c>
      <x:c r="N1890" s="25" t="str">
        <x:f>IF(J1890&gt;=6,"Sí","No")</x:f>
        <x:v>No</x:v>
      </x:c>
      <x:c r="O1890" s="25" t="str">
        <x:v>Pendiente: asignar con R/sf</x:v>
      </x:c>
    </x:row>
    <x:row r="1891">
      <x:c r="A1891" s="25" t="n">
        <x:v>1890</x:v>
      </x:c>
      <x:c r="B1891" s="26" t="n">
        <x:v>41796.52636574074</x:v>
      </x:c>
      <x:c r="C1891" s="27" t="n">
        <x:f>INT(B1891)</x:f>
        <x:v>41796</x:v>
      </x:c>
      <x:c r="D1891" s="28" t="n">
        <x:f>MOD(B1891,1)</x:f>
        <x:v>0.526365740741312</x:v>
      </x:c>
      <x:c r="E1891" s="29" t="n">
        <x:f>YEAR(B1891)</x:f>
        <x:v>2014</x:v>
      </x:c>
      <x:c r="F1891" s="29" t="n">
        <x:f>MONTH(B1891)</x:f>
        <x:v>6</x:v>
      </x:c>
      <x:c r="G1891" s="30" t="n">
        <x:v>-28.96</x:v>
      </x:c>
      <x:c r="H1891" s="30" t="n">
        <x:v>-71.4</x:v>
      </x:c>
      <x:c r="I1891" s="29" t="n">
        <x:v>57</x:v>
      </x:c>
      <x:c r="J1891" s="31" t="n">
        <x:v>4.7</x:v>
      </x:c>
      <x:c r="K1891" s="25" t="str">
        <x:f>IF(J1891&gt;=7,"Muy fuerte (&gt;=7)",IF(J1891&gt;=6,"Fuerte (6-6.9)",IF(J1891&gt;=5,"Moderado alto (5-5.9)",IF(J1891&gt;=4,"Moderado (4-4.9)","Menor a 4"))))</x:f>
        <x:v>Moderado (4-4.9)</x:v>
      </x:c>
      <x:c r="L1891" s="25" t="str">
        <x:f>IF(I1891&lt;70,"Superficial (&lt;70 km)",IF(I1891&lt;=300,"Intermedio (70-300 km)","Profundo (&gt;300 km)"))</x:f>
        <x:v>Superficial (&lt;70 km)</x:v>
      </x:c>
      <x:c r="M1891" s="25" t="str">
        <x:f>IF(J1891&gt;=5,"Sí","No")</x:f>
        <x:v>No</x:v>
      </x:c>
      <x:c r="N1891" s="25" t="str">
        <x:f>IF(J1891&gt;=6,"Sí","No")</x:f>
        <x:v>No</x:v>
      </x:c>
      <x:c r="O1891" s="25" t="str">
        <x:v>Pendiente: asignar con R/sf</x:v>
      </x:c>
    </x:row>
    <x:row r="1892">
      <x:c r="A1892" s="25" t="n">
        <x:v>1891</x:v>
      </x:c>
      <x:c r="B1892" s="26" t="n">
        <x:v>41731.00340277778</x:v>
      </x:c>
      <x:c r="C1892" s="27" t="n">
        <x:f>INT(B1892)</x:f>
        <x:v>41731</x:v>
      </x:c>
      <x:c r="D1892" s="28" t="n">
        <x:f>MOD(B1892,1)</x:f>
        <x:v>0.003402777780138422</x:v>
      </x:c>
      <x:c r="E1892" s="29" t="n">
        <x:f>YEAR(B1892)</x:f>
        <x:v>2014</x:v>
      </x:c>
      <x:c r="F1892" s="29" t="n">
        <x:f>MONTH(B1892)</x:f>
        <x:v>4</x:v>
      </x:c>
      <x:c r="G1892" s="30" t="n">
        <x:v>-19.62</x:v>
      </x:c>
      <x:c r="H1892" s="30" t="n">
        <x:v>-70.63</x:v>
      </x:c>
      <x:c r="I1892" s="29" t="n">
        <x:v>36</x:v>
      </x:c>
      <x:c r="J1892" s="31" t="n">
        <x:v>5.1</x:v>
      </x:c>
      <x:c r="K1892" s="25" t="str">
        <x:f>IF(J1892&gt;=7,"Muy fuerte (&gt;=7)",IF(J1892&gt;=6,"Fuerte (6-6.9)",IF(J1892&gt;=5,"Moderado alto (5-5.9)",IF(J1892&gt;=4,"Moderado (4-4.9)","Menor a 4"))))</x:f>
        <x:v>Moderado alto (5-5.9)</x:v>
      </x:c>
      <x:c r="L1892" s="25" t="str">
        <x:f>IF(I1892&lt;70,"Superficial (&lt;70 km)",IF(I1892&lt;=300,"Intermedio (70-300 km)","Profundo (&gt;300 km)"))</x:f>
        <x:v>Superficial (&lt;70 km)</x:v>
      </x:c>
      <x:c r="M1892" s="25" t="str">
        <x:f>IF(J1892&gt;=5,"Sí","No")</x:f>
        <x:v>Sí</x:v>
      </x:c>
      <x:c r="N1892" s="25" t="str">
        <x:f>IF(J1892&gt;=6,"Sí","No")</x:f>
        <x:v>No</x:v>
      </x:c>
      <x:c r="O1892" s="25" t="str">
        <x:v>Pendiente: asignar con R/sf</x:v>
      </x:c>
    </x:row>
    <x:row r="1893">
      <x:c r="A1893" s="25" t="n">
        <x:v>1892</x:v>
      </x:c>
      <x:c r="B1893" s="26" t="n">
        <x:v>41778.75761574074</x:v>
      </x:c>
      <x:c r="C1893" s="27" t="n">
        <x:f>INT(B1893)</x:f>
        <x:v>41778</x:v>
      </x:c>
      <x:c r="D1893" s="28" t="n">
        <x:f>MOD(B1893,1)</x:f>
        <x:v>0.7576157407384017</x:v>
      </x:c>
      <x:c r="E1893" s="29" t="n">
        <x:f>YEAR(B1893)</x:f>
        <x:v>2014</x:v>
      </x:c>
      <x:c r="F1893" s="29" t="n">
        <x:f>MONTH(B1893)</x:f>
        <x:v>5</x:v>
      </x:c>
      <x:c r="G1893" s="30" t="n">
        <x:v>-32.81</x:v>
      </x:c>
      <x:c r="H1893" s="30" t="n">
        <x:v>-71.15</x:v>
      </x:c>
      <x:c r="I1893" s="29" t="n">
        <x:v>60</x:v>
      </x:c>
      <x:c r="J1893" s="31" t="n">
        <x:v>4</x:v>
      </x:c>
      <x:c r="K1893" s="25" t="str">
        <x:f>IF(J1893&gt;=7,"Muy fuerte (&gt;=7)",IF(J1893&gt;=6,"Fuerte (6-6.9)",IF(J1893&gt;=5,"Moderado alto (5-5.9)",IF(J1893&gt;=4,"Moderado (4-4.9)","Menor a 4"))))</x:f>
        <x:v>Moderado (4-4.9)</x:v>
      </x:c>
      <x:c r="L1893" s="25" t="str">
        <x:f>IF(I1893&lt;70,"Superficial (&lt;70 km)",IF(I1893&lt;=300,"Intermedio (70-300 km)","Profundo (&gt;300 km)"))</x:f>
        <x:v>Superficial (&lt;70 km)</x:v>
      </x:c>
      <x:c r="M1893" s="25" t="str">
        <x:f>IF(J1893&gt;=5,"Sí","No")</x:f>
        <x:v>No</x:v>
      </x:c>
      <x:c r="N1893" s="25" t="str">
        <x:f>IF(J1893&gt;=6,"Sí","No")</x:f>
        <x:v>No</x:v>
      </x:c>
      <x:c r="O1893" s="25" t="str">
        <x:v>Pendiente: asignar con R/sf</x:v>
      </x:c>
    </x:row>
    <x:row r="1894">
      <x:c r="A1894" s="25" t="n">
        <x:v>1893</x:v>
      </x:c>
      <x:c r="B1894" s="26" t="n">
        <x:v>41829.3365625</x:v>
      </x:c>
      <x:c r="C1894" s="27" t="n">
        <x:f>INT(B1894)</x:f>
        <x:v>41829</x:v>
      </x:c>
      <x:c r="D1894" s="28" t="n">
        <x:f>MOD(B1894,1)</x:f>
        <x:v>0.3365625000005821</x:v>
      </x:c>
      <x:c r="E1894" s="29" t="n">
        <x:f>YEAR(B1894)</x:f>
        <x:v>2014</x:v>
      </x:c>
      <x:c r="F1894" s="29" t="n">
        <x:f>MONTH(B1894)</x:f>
        <x:v>7</x:v>
      </x:c>
      <x:c r="G1894" s="30" t="n">
        <x:v>-22.92</x:v>
      </x:c>
      <x:c r="H1894" s="30" t="n">
        <x:v>-70.46</x:v>
      </x:c>
      <x:c r="I1894" s="29" t="n">
        <x:v>39</x:v>
      </x:c>
      <x:c r="J1894" s="31" t="n">
        <x:v>4.1</x:v>
      </x:c>
      <x:c r="K1894" s="25" t="str">
        <x:f>IF(J1894&gt;=7,"Muy fuerte (&gt;=7)",IF(J1894&gt;=6,"Fuerte (6-6.9)",IF(J1894&gt;=5,"Moderado alto (5-5.9)",IF(J1894&gt;=4,"Moderado (4-4.9)","Menor a 4"))))</x:f>
        <x:v>Moderado (4-4.9)</x:v>
      </x:c>
      <x:c r="L1894" s="25" t="str">
        <x:f>IF(I1894&lt;70,"Superficial (&lt;70 km)",IF(I1894&lt;=300,"Intermedio (70-300 km)","Profundo (&gt;300 km)"))</x:f>
        <x:v>Superficial (&lt;70 km)</x:v>
      </x:c>
      <x:c r="M1894" s="25" t="str">
        <x:f>IF(J1894&gt;=5,"Sí","No")</x:f>
        <x:v>No</x:v>
      </x:c>
      <x:c r="N1894" s="25" t="str">
        <x:f>IF(J1894&gt;=6,"Sí","No")</x:f>
        <x:v>No</x:v>
      </x:c>
      <x:c r="O1894" s="25" t="str">
        <x:v>Pendiente: asignar con R/sf</x:v>
      </x:c>
    </x:row>
    <x:row r="1895">
      <x:c r="A1895" s="25" t="n">
        <x:v>1894</x:v>
      </x:c>
      <x:c r="B1895" s="26" t="n">
        <x:v>41919.523194444446</x:v>
      </x:c>
      <x:c r="C1895" s="27" t="n">
        <x:f>INT(B1895)</x:f>
        <x:v>41919</x:v>
      </x:c>
      <x:c r="D1895" s="28" t="n">
        <x:f>MOD(B1895,1)</x:f>
        <x:v>0.523194444445835</x:v>
      </x:c>
      <x:c r="E1895" s="29" t="n">
        <x:f>YEAR(B1895)</x:f>
        <x:v>2014</x:v>
      </x:c>
      <x:c r="F1895" s="29" t="n">
        <x:f>MONTH(B1895)</x:f>
        <x:v>10</x:v>
      </x:c>
      <x:c r="G1895" s="30" t="n">
        <x:v>-19.99</x:v>
      </x:c>
      <x:c r="H1895" s="30" t="n">
        <x:v>-70.95</x:v>
      </x:c>
      <x:c r="I1895" s="29" t="n">
        <x:v>52</x:v>
      </x:c>
      <x:c r="J1895" s="31" t="n">
        <x:v>5</x:v>
      </x:c>
      <x:c r="K1895" s="25" t="str">
        <x:f>IF(J1895&gt;=7,"Muy fuerte (&gt;=7)",IF(J1895&gt;=6,"Fuerte (6-6.9)",IF(J1895&gt;=5,"Moderado alto (5-5.9)",IF(J1895&gt;=4,"Moderado (4-4.9)","Menor a 4"))))</x:f>
        <x:v>Moderado alto (5-5.9)</x:v>
      </x:c>
      <x:c r="L1895" s="25" t="str">
        <x:f>IF(I1895&lt;70,"Superficial (&lt;70 km)",IF(I1895&lt;=300,"Intermedio (70-300 km)","Profundo (&gt;300 km)"))</x:f>
        <x:v>Superficial (&lt;70 km)</x:v>
      </x:c>
      <x:c r="M1895" s="25" t="str">
        <x:f>IF(J1895&gt;=5,"Sí","No")</x:f>
        <x:v>Sí</x:v>
      </x:c>
      <x:c r="N1895" s="25" t="str">
        <x:f>IF(J1895&gt;=6,"Sí","No")</x:f>
        <x:v>No</x:v>
      </x:c>
      <x:c r="O1895" s="25" t="str">
        <x:v>Pendiente: asignar con R/sf</x:v>
      </x:c>
    </x:row>
    <x:row r="1896">
      <x:c r="A1896" s="25" t="n">
        <x:v>1895</x:v>
      </x:c>
      <x:c r="B1896" s="26" t="n">
        <x:v>41874.939155092594</x:v>
      </x:c>
      <x:c r="C1896" s="27" t="n">
        <x:f>INT(B1896)</x:f>
        <x:v>41874</x:v>
      </x:c>
      <x:c r="D1896" s="28" t="n">
        <x:f>MOD(B1896,1)</x:f>
        <x:v>0.9391550925938645</x:v>
      </x:c>
      <x:c r="E1896" s="29" t="n">
        <x:f>YEAR(B1896)</x:f>
        <x:v>2014</x:v>
      </x:c>
      <x:c r="F1896" s="29" t="n">
        <x:f>MONTH(B1896)</x:f>
        <x:v>8</x:v>
      </x:c>
      <x:c r="G1896" s="30" t="n">
        <x:v>-32.74</x:v>
      </x:c>
      <x:c r="H1896" s="30" t="n">
        <x:v>-71.5</x:v>
      </x:c>
      <x:c r="I1896" s="29" t="n">
        <x:v>40</x:v>
      </x:c>
      <x:c r="J1896" s="31" t="n">
        <x:v>6.4</x:v>
      </x:c>
      <x:c r="K1896" s="25" t="str">
        <x:f>IF(J1896&gt;=7,"Muy fuerte (&gt;=7)",IF(J1896&gt;=6,"Fuerte (6-6.9)",IF(J1896&gt;=5,"Moderado alto (5-5.9)",IF(J1896&gt;=4,"Moderado (4-4.9)","Menor a 4"))))</x:f>
        <x:v>Fuerte (6-6.9)</x:v>
      </x:c>
      <x:c r="L1896" s="25" t="str">
        <x:f>IF(I1896&lt;70,"Superficial (&lt;70 km)",IF(I1896&lt;=300,"Intermedio (70-300 km)","Profundo (&gt;300 km)"))</x:f>
        <x:v>Superficial (&lt;70 km)</x:v>
      </x:c>
      <x:c r="M1896" s="25" t="str">
        <x:f>IF(J1896&gt;=5,"Sí","No")</x:f>
        <x:v>Sí</x:v>
      </x:c>
      <x:c r="N1896" s="25" t="str">
        <x:f>IF(J1896&gt;=6,"Sí","No")</x:f>
        <x:v>Sí</x:v>
      </x:c>
      <x:c r="O1896" s="25" t="str">
        <x:v>Pendiente: asignar con R/sf</x:v>
      </x:c>
    </x:row>
    <x:row r="1897">
      <x:c r="A1897" s="25" t="n">
        <x:v>1896</x:v>
      </x:c>
      <x:c r="B1897" s="26" t="n">
        <x:v>41821.05386574074</x:v>
      </x:c>
      <x:c r="C1897" s="27" t="n">
        <x:f>INT(B1897)</x:f>
        <x:v>41821</x:v>
      </x:c>
      <x:c r="D1897" s="28" t="n">
        <x:f>MOD(B1897,1)</x:f>
        <x:v>0.05386574073781958</x:v>
      </x:c>
      <x:c r="E1897" s="29" t="n">
        <x:f>YEAR(B1897)</x:f>
        <x:v>2014</x:v>
      </x:c>
      <x:c r="F1897" s="29" t="n">
        <x:f>MONTH(B1897)</x:f>
        <x:v>7</x:v>
      </x:c>
      <x:c r="G1897" s="30" t="n">
        <x:v>-20.47</x:v>
      </x:c>
      <x:c r="H1897" s="30" t="n">
        <x:v>-70.14</x:v>
      </x:c>
      <x:c r="I1897" s="29" t="n">
        <x:v>39</x:v>
      </x:c>
      <x:c r="J1897" s="31" t="n">
        <x:v>4</x:v>
      </x:c>
      <x:c r="K1897" s="25" t="str">
        <x:f>IF(J1897&gt;=7,"Muy fuerte (&gt;=7)",IF(J1897&gt;=6,"Fuerte (6-6.9)",IF(J1897&gt;=5,"Moderado alto (5-5.9)",IF(J1897&gt;=4,"Moderado (4-4.9)","Menor a 4"))))</x:f>
        <x:v>Moderado (4-4.9)</x:v>
      </x:c>
      <x:c r="L1897" s="25" t="str">
        <x:f>IF(I1897&lt;70,"Superficial (&lt;70 km)",IF(I1897&lt;=300,"Intermedio (70-300 km)","Profundo (&gt;300 km)"))</x:f>
        <x:v>Superficial (&lt;70 km)</x:v>
      </x:c>
      <x:c r="M1897" s="25" t="str">
        <x:f>IF(J1897&gt;=5,"Sí","No")</x:f>
        <x:v>No</x:v>
      </x:c>
      <x:c r="N1897" s="25" t="str">
        <x:f>IF(J1897&gt;=6,"Sí","No")</x:f>
        <x:v>No</x:v>
      </x:c>
      <x:c r="O1897" s="25" t="str">
        <x:v>Pendiente: asignar con R/sf</x:v>
      </x:c>
    </x:row>
    <x:row r="1898">
      <x:c r="A1898" s="25" t="n">
        <x:v>1897</x:v>
      </x:c>
      <x:c r="B1898" s="26" t="n">
        <x:v>41738.46266203704</x:v>
      </x:c>
      <x:c r="C1898" s="27" t="n">
        <x:f>INT(B1898)</x:f>
        <x:v>41738</x:v>
      </x:c>
      <x:c r="D1898" s="28" t="n">
        <x:f>MOD(B1898,1)</x:f>
        <x:v>0.46266203703999054</x:v>
      </x:c>
      <x:c r="E1898" s="29" t="n">
        <x:f>YEAR(B1898)</x:f>
        <x:v>2014</x:v>
      </x:c>
      <x:c r="F1898" s="29" t="n">
        <x:f>MONTH(B1898)</x:f>
        <x:v>4</x:v>
      </x:c>
      <x:c r="G1898" s="30" t="n">
        <x:v>-20.78</x:v>
      </x:c>
      <x:c r="H1898" s="30" t="n">
        <x:v>-70.81</x:v>
      </x:c>
      <x:c r="I1898" s="29" t="n">
        <x:v>15</x:v>
      </x:c>
      <x:c r="J1898" s="31" t="n">
        <x:v>4.9</x:v>
      </x:c>
      <x:c r="K1898" s="25" t="str">
        <x:f>IF(J1898&gt;=7,"Muy fuerte (&gt;=7)",IF(J1898&gt;=6,"Fuerte (6-6.9)",IF(J1898&gt;=5,"Moderado alto (5-5.9)",IF(J1898&gt;=4,"Moderado (4-4.9)","Menor a 4"))))</x:f>
        <x:v>Moderado (4-4.9)</x:v>
      </x:c>
      <x:c r="L1898" s="25" t="str">
        <x:f>IF(I1898&lt;70,"Superficial (&lt;70 km)",IF(I1898&lt;=300,"Intermedio (70-300 km)","Profundo (&gt;300 km)"))</x:f>
        <x:v>Superficial (&lt;70 km)</x:v>
      </x:c>
      <x:c r="M1898" s="25" t="str">
        <x:f>IF(J1898&gt;=5,"Sí","No")</x:f>
        <x:v>No</x:v>
      </x:c>
      <x:c r="N1898" s="25" t="str">
        <x:f>IF(J1898&gt;=6,"Sí","No")</x:f>
        <x:v>No</x:v>
      </x:c>
      <x:c r="O1898" s="25" t="str">
        <x:v>Pendiente: asignar con R/sf</x:v>
      </x:c>
    </x:row>
    <x:row r="1899">
      <x:c r="A1899" s="25" t="n">
        <x:v>1898</x:v>
      </x:c>
      <x:c r="B1899" s="26" t="n">
        <x:v>41733.41119212963</x:v>
      </x:c>
      <x:c r="C1899" s="27" t="n">
        <x:f>INT(B1899)</x:f>
        <x:v>41733</x:v>
      </x:c>
      <x:c r="D1899" s="28" t="n">
        <x:f>MOD(B1899,1)</x:f>
        <x:v>0.4111921296280343</x:v>
      </x:c>
      <x:c r="E1899" s="29" t="n">
        <x:f>YEAR(B1899)</x:f>
        <x:v>2014</x:v>
      </x:c>
      <x:c r="F1899" s="29" t="n">
        <x:f>MONTH(B1899)</x:f>
        <x:v>4</x:v>
      </x:c>
      <x:c r="G1899" s="30" t="n">
        <x:v>-31.48</x:v>
      </x:c>
      <x:c r="H1899" s="30" t="n">
        <x:v>-70.64</x:v>
      </x:c>
      <x:c r="I1899" s="29" t="n">
        <x:v>106</x:v>
      </x:c>
      <x:c r="J1899" s="31" t="n">
        <x:v>5.4</x:v>
      </x:c>
      <x:c r="K1899" s="25" t="str">
        <x:f>IF(J1899&gt;=7,"Muy fuerte (&gt;=7)",IF(J1899&gt;=6,"Fuerte (6-6.9)",IF(J1899&gt;=5,"Moderado alto (5-5.9)",IF(J1899&gt;=4,"Moderado (4-4.9)","Menor a 4"))))</x:f>
        <x:v>Moderado alto (5-5.9)</x:v>
      </x:c>
      <x:c r="L1899" s="25" t="str">
        <x:f>IF(I1899&lt;70,"Superficial (&lt;70 km)",IF(I1899&lt;=300,"Intermedio (70-300 km)","Profundo (&gt;300 km)"))</x:f>
        <x:v>Intermedio (70-300 km)</x:v>
      </x:c>
      <x:c r="M1899" s="25" t="str">
        <x:f>IF(J1899&gt;=5,"Sí","No")</x:f>
        <x:v>Sí</x:v>
      </x:c>
      <x:c r="N1899" s="25" t="str">
        <x:f>IF(J1899&gt;=6,"Sí","No")</x:f>
        <x:v>No</x:v>
      </x:c>
      <x:c r="O1899" s="25" t="str">
        <x:v>Pendiente: asignar con R/sf</x:v>
      </x:c>
    </x:row>
    <x:row r="1900">
      <x:c r="A1900" s="25" t="n">
        <x:v>1899</x:v>
      </x:c>
      <x:c r="B1900" s="26" t="n">
        <x:v>41646.155127314814</x:v>
      </x:c>
      <x:c r="C1900" s="27" t="n">
        <x:f>INT(B1900)</x:f>
        <x:v>41646</x:v>
      </x:c>
      <x:c r="D1900" s="28" t="n">
        <x:f>MOD(B1900,1)</x:f>
        <x:v>0.1551273148143082</x:v>
      </x:c>
      <x:c r="E1900" s="29" t="n">
        <x:f>YEAR(B1900)</x:f>
        <x:v>2014</x:v>
      </x:c>
      <x:c r="F1900" s="29" t="n">
        <x:f>MONTH(B1900)</x:f>
        <x:v>1</x:v>
      </x:c>
      <x:c r="G1900" s="30" t="n">
        <x:v>-20.99</x:v>
      </x:c>
      <x:c r="H1900" s="30" t="n">
        <x:v>-69.73</x:v>
      </x:c>
      <x:c r="I1900" s="29" t="n">
        <x:v>97</x:v>
      </x:c>
      <x:c r="J1900" s="31" t="n">
        <x:v>5.2</x:v>
      </x:c>
      <x:c r="K1900" s="25" t="str">
        <x:f>IF(J1900&gt;=7,"Muy fuerte (&gt;=7)",IF(J1900&gt;=6,"Fuerte (6-6.9)",IF(J1900&gt;=5,"Moderado alto (5-5.9)",IF(J1900&gt;=4,"Moderado (4-4.9)","Menor a 4"))))</x:f>
        <x:v>Moderado alto (5-5.9)</x:v>
      </x:c>
      <x:c r="L1900" s="25" t="str">
        <x:f>IF(I1900&lt;70,"Superficial (&lt;70 km)",IF(I1900&lt;=300,"Intermedio (70-300 km)","Profundo (&gt;300 km)"))</x:f>
        <x:v>Intermedio (70-300 km)</x:v>
      </x:c>
      <x:c r="M1900" s="25" t="str">
        <x:f>IF(J1900&gt;=5,"Sí","No")</x:f>
        <x:v>Sí</x:v>
      </x:c>
      <x:c r="N1900" s="25" t="str">
        <x:f>IF(J1900&gt;=6,"Sí","No")</x:f>
        <x:v>No</x:v>
      </x:c>
      <x:c r="O1900" s="25" t="str">
        <x:v>Pendiente: asignar con R/sf</x:v>
      </x:c>
    </x:row>
    <x:row r="1901">
      <x:c r="A1901" s="25" t="n">
        <x:v>1900</x:v>
      </x:c>
      <x:c r="B1901" s="26" t="n">
        <x:v>41833.13670138889</x:v>
      </x:c>
      <x:c r="C1901" s="27" t="n">
        <x:f>INT(B1901)</x:f>
        <x:v>41833</x:v>
      </x:c>
      <x:c r="D1901" s="28" t="n">
        <x:f>MOD(B1901,1)</x:f>
        <x:v>0.1367013888884685</x:v>
      </x:c>
      <x:c r="E1901" s="29" t="n">
        <x:f>YEAR(B1901)</x:f>
        <x:v>2014</x:v>
      </x:c>
      <x:c r="F1901" s="29" t="n">
        <x:f>MONTH(B1901)</x:f>
        <x:v>7</x:v>
      </x:c>
      <x:c r="G1901" s="30" t="n">
        <x:v>-32.93</x:v>
      </x:c>
      <x:c r="H1901" s="30" t="n">
        <x:v>-71.34</x:v>
      </x:c>
      <x:c r="I1901" s="29" t="n">
        <x:v>51</x:v>
      </x:c>
      <x:c r="J1901" s="31" t="n">
        <x:v>5</x:v>
      </x:c>
      <x:c r="K1901" s="25" t="str">
        <x:f>IF(J1901&gt;=7,"Muy fuerte (&gt;=7)",IF(J1901&gt;=6,"Fuerte (6-6.9)",IF(J1901&gt;=5,"Moderado alto (5-5.9)",IF(J1901&gt;=4,"Moderado (4-4.9)","Menor a 4"))))</x:f>
        <x:v>Moderado alto (5-5.9)</x:v>
      </x:c>
      <x:c r="L1901" s="25" t="str">
        <x:f>IF(I1901&lt;70,"Superficial (&lt;70 km)",IF(I1901&lt;=300,"Intermedio (70-300 km)","Profundo (&gt;300 km)"))</x:f>
        <x:v>Superficial (&lt;70 km)</x:v>
      </x:c>
      <x:c r="M1901" s="25" t="str">
        <x:f>IF(J1901&gt;=5,"Sí","No")</x:f>
        <x:v>Sí</x:v>
      </x:c>
      <x:c r="N1901" s="25" t="str">
        <x:f>IF(J1901&gt;=6,"Sí","No")</x:f>
        <x:v>No</x:v>
      </x:c>
      <x:c r="O1901" s="25" t="str">
        <x:v>Pendiente: asignar con R/sf</x:v>
      </x:c>
    </x:row>
    <x:row r="1902">
      <x:c r="A1902" s="25" t="n">
        <x:v>1901</x:v>
      </x:c>
      <x:c r="B1902" s="26" t="n">
        <x:v>41715.239270833335</x:v>
      </x:c>
      <x:c r="C1902" s="27" t="n">
        <x:f>INT(B1902)</x:f>
        <x:v>41715</x:v>
      </x:c>
      <x:c r="D1902" s="28" t="n">
        <x:f>MOD(B1902,1)</x:f>
        <x:v>0.23927083333546761</x:v>
      </x:c>
      <x:c r="E1902" s="29" t="n">
        <x:f>YEAR(B1902)</x:f>
        <x:v>2014</x:v>
      </x:c>
      <x:c r="F1902" s="29" t="n">
        <x:f>MONTH(B1902)</x:f>
        <x:v>3</x:v>
      </x:c>
      <x:c r="G1902" s="30" t="n">
        <x:v>-20.01</x:v>
      </x:c>
      <x:c r="H1902" s="30" t="n">
        <x:v>-70.83</x:v>
      </x:c>
      <x:c r="I1902" s="29" t="n">
        <x:v>10</x:v>
      </x:c>
      <x:c r="J1902" s="31" t="n">
        <x:v>4.5</x:v>
      </x:c>
      <x:c r="K1902" s="25" t="str">
        <x:f>IF(J1902&gt;=7,"Muy fuerte (&gt;=7)",IF(J1902&gt;=6,"Fuerte (6-6.9)",IF(J1902&gt;=5,"Moderado alto (5-5.9)",IF(J1902&gt;=4,"Moderado (4-4.9)","Menor a 4"))))</x:f>
        <x:v>Moderado (4-4.9)</x:v>
      </x:c>
      <x:c r="L1902" s="25" t="str">
        <x:f>IF(I1902&lt;70,"Superficial (&lt;70 km)",IF(I1902&lt;=300,"Intermedio (70-300 km)","Profundo (&gt;300 km)"))</x:f>
        <x:v>Superficial (&lt;70 km)</x:v>
      </x:c>
      <x:c r="M1902" s="25" t="str">
        <x:f>IF(J1902&gt;=5,"Sí","No")</x:f>
        <x:v>No</x:v>
      </x:c>
      <x:c r="N1902" s="25" t="str">
        <x:f>IF(J1902&gt;=6,"Sí","No")</x:f>
        <x:v>No</x:v>
      </x:c>
      <x:c r="O1902" s="25" t="str">
        <x:v>Pendiente: asignar con R/sf</x:v>
      </x:c>
    </x:row>
    <x:row r="1903">
      <x:c r="A1903" s="25" t="n">
        <x:v>1902</x:v>
      </x:c>
      <x:c r="B1903" s="26" t="n">
        <x:v>41738.468564814815</x:v>
      </x:c>
      <x:c r="C1903" s="27" t="n">
        <x:f>INT(B1903)</x:f>
        <x:v>41738</x:v>
      </x:c>
      <x:c r="D1903" s="28" t="n">
        <x:f>MOD(B1903,1)</x:f>
        <x:v>0.4685648148151813</x:v>
      </x:c>
      <x:c r="E1903" s="29" t="n">
        <x:f>YEAR(B1903)</x:f>
        <x:v>2014</x:v>
      </x:c>
      <x:c r="F1903" s="29" t="n">
        <x:f>MONTH(B1903)</x:f>
        <x:v>4</x:v>
      </x:c>
      <x:c r="G1903" s="30" t="n">
        <x:v>-20.62</x:v>
      </x:c>
      <x:c r="H1903" s="30" t="n">
        <x:v>-70.92</x:v>
      </x:c>
      <x:c r="I1903" s="29" t="n">
        <x:v>23</x:v>
      </x:c>
      <x:c r="J1903" s="31" t="n">
        <x:v>5</x:v>
      </x:c>
      <x:c r="K1903" s="25" t="str">
        <x:f>IF(J1903&gt;=7,"Muy fuerte (&gt;=7)",IF(J1903&gt;=6,"Fuerte (6-6.9)",IF(J1903&gt;=5,"Moderado alto (5-5.9)",IF(J1903&gt;=4,"Moderado (4-4.9)","Menor a 4"))))</x:f>
        <x:v>Moderado alto (5-5.9)</x:v>
      </x:c>
      <x:c r="L1903" s="25" t="str">
        <x:f>IF(I1903&lt;70,"Superficial (&lt;70 km)",IF(I1903&lt;=300,"Intermedio (70-300 km)","Profundo (&gt;300 km)"))</x:f>
        <x:v>Superficial (&lt;70 km)</x:v>
      </x:c>
      <x:c r="M1903" s="25" t="str">
        <x:f>IF(J1903&gt;=5,"Sí","No")</x:f>
        <x:v>Sí</x:v>
      </x:c>
      <x:c r="N1903" s="25" t="str">
        <x:f>IF(J1903&gt;=6,"Sí","No")</x:f>
        <x:v>No</x:v>
      </x:c>
      <x:c r="O1903" s="25" t="str">
        <x:v>Pendiente: asignar con R/sf</x:v>
      </x:c>
    </x:row>
    <x:row r="1904">
      <x:c r="A1904" s="25" t="n">
        <x:v>1903</x:v>
      </x:c>
      <x:c r="B1904" s="26" t="n">
        <x:v>41971.87194444444</x:v>
      </x:c>
      <x:c r="C1904" s="27" t="n">
        <x:f>INT(B1904)</x:f>
        <x:v>41971</x:v>
      </x:c>
      <x:c r="D1904" s="28" t="n">
        <x:f>MOD(B1904,1)</x:f>
        <x:v>0.8719444444432156</x:v>
      </x:c>
      <x:c r="E1904" s="29" t="n">
        <x:f>YEAR(B1904)</x:f>
        <x:v>2014</x:v>
      </x:c>
      <x:c r="F1904" s="29" t="n">
        <x:f>MONTH(B1904)</x:f>
        <x:v>11</x:v>
      </x:c>
      <x:c r="G1904" s="30" t="n">
        <x:v>-30.94</x:v>
      </x:c>
      <x:c r="H1904" s="30" t="n">
        <x:v>-71.46</x:v>
      </x:c>
      <x:c r="I1904" s="29" t="n">
        <x:v>80</x:v>
      </x:c>
      <x:c r="J1904" s="31" t="n">
        <x:v>4.2</x:v>
      </x:c>
      <x:c r="K1904" s="25" t="str">
        <x:f>IF(J1904&gt;=7,"Muy fuerte (&gt;=7)",IF(J1904&gt;=6,"Fuerte (6-6.9)",IF(J1904&gt;=5,"Moderado alto (5-5.9)",IF(J1904&gt;=4,"Moderado (4-4.9)","Menor a 4"))))</x:f>
        <x:v>Moderado (4-4.9)</x:v>
      </x:c>
      <x:c r="L1904" s="25" t="str">
        <x:f>IF(I1904&lt;70,"Superficial (&lt;70 km)",IF(I1904&lt;=300,"Intermedio (70-300 km)","Profundo (&gt;300 km)"))</x:f>
        <x:v>Intermedio (70-300 km)</x:v>
      </x:c>
      <x:c r="M1904" s="25" t="str">
        <x:f>IF(J1904&gt;=5,"Sí","No")</x:f>
        <x:v>No</x:v>
      </x:c>
      <x:c r="N1904" s="25" t="str">
        <x:f>IF(J1904&gt;=6,"Sí","No")</x:f>
        <x:v>No</x:v>
      </x:c>
      <x:c r="O1904" s="25" t="str">
        <x:v>Pendiente: asignar con R/sf</x:v>
      </x:c>
    </x:row>
    <x:row r="1905">
      <x:c r="A1905" s="25" t="n">
        <x:v>1904</x:v>
      </x:c>
      <x:c r="B1905" s="26" t="n">
        <x:v>41845.05335648148</x:v>
      </x:c>
      <x:c r="C1905" s="27" t="n">
        <x:f>INT(B1905)</x:f>
        <x:v>41845</x:v>
      </x:c>
      <x:c r="D1905" s="28" t="n">
        <x:f>MOD(B1905,1)</x:f>
        <x:v>0.05335648148320615</x:v>
      </x:c>
      <x:c r="E1905" s="29" t="n">
        <x:f>YEAR(B1905)</x:f>
        <x:v>2014</x:v>
      </x:c>
      <x:c r="F1905" s="29" t="n">
        <x:f>MONTH(B1905)</x:f>
        <x:v>7</x:v>
      </x:c>
      <x:c r="G1905" s="30" t="n">
        <x:v>-29.64</x:v>
      </x:c>
      <x:c r="H1905" s="30" t="n">
        <x:v>-71.46</x:v>
      </x:c>
      <x:c r="I1905" s="29" t="n">
        <x:v>35</x:v>
      </x:c>
      <x:c r="J1905" s="31" t="n">
        <x:v>4</x:v>
      </x:c>
      <x:c r="K1905" s="25" t="str">
        <x:f>IF(J1905&gt;=7,"Muy fuerte (&gt;=7)",IF(J1905&gt;=6,"Fuerte (6-6.9)",IF(J1905&gt;=5,"Moderado alto (5-5.9)",IF(J1905&gt;=4,"Moderado (4-4.9)","Menor a 4"))))</x:f>
        <x:v>Moderado (4-4.9)</x:v>
      </x:c>
      <x:c r="L1905" s="25" t="str">
        <x:f>IF(I1905&lt;70,"Superficial (&lt;70 km)",IF(I1905&lt;=300,"Intermedio (70-300 km)","Profundo (&gt;300 km)"))</x:f>
        <x:v>Superficial (&lt;70 km)</x:v>
      </x:c>
      <x:c r="M1905" s="25" t="str">
        <x:f>IF(J1905&gt;=5,"Sí","No")</x:f>
        <x:v>No</x:v>
      </x:c>
      <x:c r="N1905" s="25" t="str">
        <x:f>IF(J1905&gt;=6,"Sí","No")</x:f>
        <x:v>No</x:v>
      </x:c>
      <x:c r="O1905" s="25" t="str">
        <x:v>Pendiente: asignar con R/sf</x:v>
      </x:c>
    </x:row>
    <x:row r="1906">
      <x:c r="A1906" s="25" t="n">
        <x:v>1905</x:v>
      </x:c>
      <x:c r="B1906" s="26" t="n">
        <x:v>41734.0990625</x:v>
      </x:c>
      <x:c r="C1906" s="27" t="n">
        <x:f>INT(B1906)</x:f>
        <x:v>41734</x:v>
      </x:c>
      <x:c r="D1906" s="28" t="n">
        <x:f>MOD(B1906,1)</x:f>
        <x:v>0.0990624999976717</x:v>
      </x:c>
      <x:c r="E1906" s="29" t="n">
        <x:f>YEAR(B1906)</x:f>
        <x:v>2014</x:v>
      </x:c>
      <x:c r="F1906" s="29" t="n">
        <x:f>MONTH(B1906)</x:f>
        <x:v>4</x:v>
      </x:c>
      <x:c r="G1906" s="30" t="n">
        <x:v>-32.67</x:v>
      </x:c>
      <x:c r="H1906" s="30" t="n">
        <x:v>-71.3</x:v>
      </x:c>
      <x:c r="I1906" s="29" t="n">
        <x:v>42</x:v>
      </x:c>
      <x:c r="J1906" s="31" t="n">
        <x:v>5.7</x:v>
      </x:c>
      <x:c r="K1906" s="25" t="str">
        <x:f>IF(J1906&gt;=7,"Muy fuerte (&gt;=7)",IF(J1906&gt;=6,"Fuerte (6-6.9)",IF(J1906&gt;=5,"Moderado alto (5-5.9)",IF(J1906&gt;=4,"Moderado (4-4.9)","Menor a 4"))))</x:f>
        <x:v>Moderado alto (5-5.9)</x:v>
      </x:c>
      <x:c r="L1906" s="25" t="str">
        <x:f>IF(I1906&lt;70,"Superficial (&lt;70 km)",IF(I1906&lt;=300,"Intermedio (70-300 km)","Profundo (&gt;300 km)"))</x:f>
        <x:v>Superficial (&lt;70 km)</x:v>
      </x:c>
      <x:c r="M1906" s="25" t="str">
        <x:f>IF(J1906&gt;=5,"Sí","No")</x:f>
        <x:v>Sí</x:v>
      </x:c>
      <x:c r="N1906" s="25" t="str">
        <x:f>IF(J1906&gt;=6,"Sí","No")</x:f>
        <x:v>No</x:v>
      </x:c>
      <x:c r="O1906" s="25" t="str">
        <x:v>Pendiente: asignar con R/sf</x:v>
      </x:c>
    </x:row>
    <x:row r="1907">
      <x:c r="A1907" s="25" t="n">
        <x:v>1906</x:v>
      </x:c>
      <x:c r="B1907" s="26" t="n">
        <x:v>41776.39115740741</x:v>
      </x:c>
      <x:c r="C1907" s="27" t="n">
        <x:f>INT(B1907)</x:f>
        <x:v>41776</x:v>
      </x:c>
      <x:c r="D1907" s="28" t="n">
        <x:f>MOD(B1907,1)</x:f>
        <x:v>0.39115740740817273</x:v>
      </x:c>
      <x:c r="E1907" s="29" t="n">
        <x:f>YEAR(B1907)</x:f>
        <x:v>2014</x:v>
      </x:c>
      <x:c r="F1907" s="29" t="n">
        <x:f>MONTH(B1907)</x:f>
        <x:v>5</x:v>
      </x:c>
      <x:c r="G1907" s="30" t="n">
        <x:v>-19.95</x:v>
      </x:c>
      <x:c r="H1907" s="30" t="n">
        <x:v>-70.93</x:v>
      </x:c>
      <x:c r="I1907" s="29" t="n">
        <x:v>32</x:v>
      </x:c>
      <x:c r="J1907" s="31" t="n">
        <x:v>4.4</x:v>
      </x:c>
      <x:c r="K1907" s="25" t="str">
        <x:f>IF(J1907&gt;=7,"Muy fuerte (&gt;=7)",IF(J1907&gt;=6,"Fuerte (6-6.9)",IF(J1907&gt;=5,"Moderado alto (5-5.9)",IF(J1907&gt;=4,"Moderado (4-4.9)","Menor a 4"))))</x:f>
        <x:v>Moderado (4-4.9)</x:v>
      </x:c>
      <x:c r="L1907" s="25" t="str">
        <x:f>IF(I1907&lt;70,"Superficial (&lt;70 km)",IF(I1907&lt;=300,"Intermedio (70-300 km)","Profundo (&gt;300 km)"))</x:f>
        <x:v>Superficial (&lt;70 km)</x:v>
      </x:c>
      <x:c r="M1907" s="25" t="str">
        <x:f>IF(J1907&gt;=5,"Sí","No")</x:f>
        <x:v>No</x:v>
      </x:c>
      <x:c r="N1907" s="25" t="str">
        <x:f>IF(J1907&gt;=6,"Sí","No")</x:f>
        <x:v>No</x:v>
      </x:c>
      <x:c r="O1907" s="25" t="str">
        <x:v>Pendiente: asignar con R/sf</x:v>
      </x:c>
    </x:row>
    <x:row r="1908">
      <x:c r="A1908" s="25" t="n">
        <x:v>1907</x:v>
      </x:c>
      <x:c r="B1908" s="26" t="n">
        <x:v>41734.00821759259</x:v>
      </x:c>
      <x:c r="C1908" s="27" t="n">
        <x:f>INT(B1908)</x:f>
        <x:v>41734</x:v>
      </x:c>
      <x:c r="D1908" s="28" t="n">
        <x:f>MOD(B1908,1)</x:f>
        <x:v>0.008217592592700385</x:v>
      </x:c>
      <x:c r="E1908" s="29" t="n">
        <x:f>YEAR(B1908)</x:f>
        <x:v>2014</x:v>
      </x:c>
      <x:c r="F1908" s="29" t="n">
        <x:f>MONTH(B1908)</x:f>
        <x:v>4</x:v>
      </x:c>
      <x:c r="G1908" s="30" t="n">
        <x:v>-20.35</x:v>
      </x:c>
      <x:c r="H1908" s="30" t="n">
        <x:v>-69.95</x:v>
      </x:c>
      <x:c r="I1908" s="29" t="n">
        <x:v>44</x:v>
      </x:c>
      <x:c r="J1908" s="31" t="n">
        <x:v>4</x:v>
      </x:c>
      <x:c r="K1908" s="25" t="str">
        <x:f>IF(J1908&gt;=7,"Muy fuerte (&gt;=7)",IF(J1908&gt;=6,"Fuerte (6-6.9)",IF(J1908&gt;=5,"Moderado alto (5-5.9)",IF(J1908&gt;=4,"Moderado (4-4.9)","Menor a 4"))))</x:f>
        <x:v>Moderado (4-4.9)</x:v>
      </x:c>
      <x:c r="L1908" s="25" t="str">
        <x:f>IF(I1908&lt;70,"Superficial (&lt;70 km)",IF(I1908&lt;=300,"Intermedio (70-300 km)","Profundo (&gt;300 km)"))</x:f>
        <x:v>Superficial (&lt;70 km)</x:v>
      </x:c>
      <x:c r="M1908" s="25" t="str">
        <x:f>IF(J1908&gt;=5,"Sí","No")</x:f>
        <x:v>No</x:v>
      </x:c>
      <x:c r="N1908" s="25" t="str">
        <x:f>IF(J1908&gt;=6,"Sí","No")</x:f>
        <x:v>No</x:v>
      </x:c>
      <x:c r="O1908" s="25" t="str">
        <x:v>Pendiente: asignar con R/sf</x:v>
      </x:c>
    </x:row>
    <x:row r="1909">
      <x:c r="A1909" s="25" t="n">
        <x:v>1908</x:v>
      </x:c>
      <x:c r="B1909" s="26" t="n">
        <x:v>41732.16998842593</x:v>
      </x:c>
      <x:c r="C1909" s="27" t="n">
        <x:f>INT(B1909)</x:f>
        <x:v>41732</x:v>
      </x:c>
      <x:c r="D1909" s="28" t="n">
        <x:f>MOD(B1909,1)</x:f>
        <x:v>0.16998842592875008</x:v>
      </x:c>
      <x:c r="E1909" s="29" t="n">
        <x:f>YEAR(B1909)</x:f>
        <x:v>2014</x:v>
      </x:c>
      <x:c r="F1909" s="29" t="n">
        <x:f>MONTH(B1909)</x:f>
        <x:v>4</x:v>
      </x:c>
      <x:c r="G1909" s="30" t="n">
        <x:v>-20.35</x:v>
      </x:c>
      <x:c r="H1909" s="30" t="n">
        <x:v>-70.54</x:v>
      </x:c>
      <x:c r="I1909" s="29" t="n">
        <x:v>26</x:v>
      </x:c>
      <x:c r="J1909" s="31" t="n">
        <x:v>4.5</x:v>
      </x:c>
      <x:c r="K1909" s="25" t="str">
        <x:f>IF(J1909&gt;=7,"Muy fuerte (&gt;=7)",IF(J1909&gt;=6,"Fuerte (6-6.9)",IF(J1909&gt;=5,"Moderado alto (5-5.9)",IF(J1909&gt;=4,"Moderado (4-4.9)","Menor a 4"))))</x:f>
        <x:v>Moderado (4-4.9)</x:v>
      </x:c>
      <x:c r="L1909" s="25" t="str">
        <x:f>IF(I1909&lt;70,"Superficial (&lt;70 km)",IF(I1909&lt;=300,"Intermedio (70-300 km)","Profundo (&gt;300 km)"))</x:f>
        <x:v>Superficial (&lt;70 km)</x:v>
      </x:c>
      <x:c r="M1909" s="25" t="str">
        <x:f>IF(J1909&gt;=5,"Sí","No")</x:f>
        <x:v>No</x:v>
      </x:c>
      <x:c r="N1909" s="25" t="str">
        <x:f>IF(J1909&gt;=6,"Sí","No")</x:f>
        <x:v>No</x:v>
      </x:c>
      <x:c r="O1909" s="25" t="str">
        <x:v>Pendiente: asignar con R/sf</x:v>
      </x:c>
    </x:row>
    <x:row r="1910">
      <x:c r="A1910" s="25" t="n">
        <x:v>1909</x:v>
      </x:c>
      <x:c r="B1910" s="26" t="n">
        <x:v>41909.36701388889</x:v>
      </x:c>
      <x:c r="C1910" s="27" t="n">
        <x:f>INT(B1910)</x:f>
        <x:v>41909</x:v>
      </x:c>
      <x:c r="D1910" s="28" t="n">
        <x:f>MOD(B1910,1)</x:f>
        <x:v>0.36701388889196096</x:v>
      </x:c>
      <x:c r="E1910" s="29" t="n">
        <x:f>YEAR(B1910)</x:f>
        <x:v>2014</x:v>
      </x:c>
      <x:c r="F1910" s="29" t="n">
        <x:f>MONTH(B1910)</x:f>
        <x:v>9</x:v>
      </x:c>
      <x:c r="G1910" s="30" t="n">
        <x:v>-36.01</x:v>
      </x:c>
      <x:c r="H1910" s="30" t="n">
        <x:v>-71.55</x:v>
      </x:c>
      <x:c r="I1910" s="29" t="n">
        <x:v>102</x:v>
      </x:c>
      <x:c r="J1910" s="31" t="n">
        <x:v>4.1</x:v>
      </x:c>
      <x:c r="K1910" s="25" t="str">
        <x:f>IF(J1910&gt;=7,"Muy fuerte (&gt;=7)",IF(J1910&gt;=6,"Fuerte (6-6.9)",IF(J1910&gt;=5,"Moderado alto (5-5.9)",IF(J1910&gt;=4,"Moderado (4-4.9)","Menor a 4"))))</x:f>
        <x:v>Moderado (4-4.9)</x:v>
      </x:c>
      <x:c r="L1910" s="25" t="str">
        <x:f>IF(I1910&lt;70,"Superficial (&lt;70 km)",IF(I1910&lt;=300,"Intermedio (70-300 km)","Profundo (&gt;300 km)"))</x:f>
        <x:v>Intermedio (70-300 km)</x:v>
      </x:c>
      <x:c r="M1910" s="25" t="str">
        <x:f>IF(J1910&gt;=5,"Sí","No")</x:f>
        <x:v>No</x:v>
      </x:c>
      <x:c r="N1910" s="25" t="str">
        <x:f>IF(J1910&gt;=6,"Sí","No")</x:f>
        <x:v>No</x:v>
      </x:c>
      <x:c r="O1910" s="25" t="str">
        <x:v>Pendiente: asignar con R/sf</x:v>
      </x:c>
    </x:row>
    <x:row r="1911">
      <x:c r="A1911" s="25" t="n">
        <x:v>1910</x:v>
      </x:c>
      <x:c r="B1911" s="26" t="n">
        <x:v>41743.24743055556</x:v>
      </x:c>
      <x:c r="C1911" s="27" t="n">
        <x:f>INT(B1911)</x:f>
        <x:v>41743</x:v>
      </x:c>
      <x:c r="D1911" s="28" t="n">
        <x:f>MOD(B1911,1)</x:f>
        <x:v>0.24743055555882165</x:v>
      </x:c>
      <x:c r="E1911" s="29" t="n">
        <x:f>YEAR(B1911)</x:f>
        <x:v>2014</x:v>
      </x:c>
      <x:c r="F1911" s="29" t="n">
        <x:f>MONTH(B1911)</x:f>
        <x:v>4</x:v>
      </x:c>
      <x:c r="G1911" s="30" t="n">
        <x:v>-20.73</x:v>
      </x:c>
      <x:c r="H1911" s="30" t="n">
        <x:v>-70.79</x:v>
      </x:c>
      <x:c r="I1911" s="29" t="n">
        <x:v>26</x:v>
      </x:c>
      <x:c r="J1911" s="31" t="n">
        <x:v>4.9</x:v>
      </x:c>
      <x:c r="K1911" s="25" t="str">
        <x:f>IF(J1911&gt;=7,"Muy fuerte (&gt;=7)",IF(J1911&gt;=6,"Fuerte (6-6.9)",IF(J1911&gt;=5,"Moderado alto (5-5.9)",IF(J1911&gt;=4,"Moderado (4-4.9)","Menor a 4"))))</x:f>
        <x:v>Moderado (4-4.9)</x:v>
      </x:c>
      <x:c r="L1911" s="25" t="str">
        <x:f>IF(I1911&lt;70,"Superficial (&lt;70 km)",IF(I1911&lt;=300,"Intermedio (70-300 km)","Profundo (&gt;300 km)"))</x:f>
        <x:v>Superficial (&lt;70 km)</x:v>
      </x:c>
      <x:c r="M1911" s="25" t="str">
        <x:f>IF(J1911&gt;=5,"Sí","No")</x:f>
        <x:v>No</x:v>
      </x:c>
      <x:c r="N1911" s="25" t="str">
        <x:f>IF(J1911&gt;=6,"Sí","No")</x:f>
        <x:v>No</x:v>
      </x:c>
      <x:c r="O1911" s="25" t="str">
        <x:v>Pendiente: asignar con R/sf</x:v>
      </x:c>
    </x:row>
    <x:row r="1912">
      <x:c r="A1912" s="25" t="n">
        <x:v>1911</x:v>
      </x:c>
      <x:c r="B1912" s="26" t="n">
        <x:v>41789.92104166667</x:v>
      </x:c>
      <x:c r="C1912" s="27" t="n">
        <x:f>INT(B1912)</x:f>
        <x:v>41789</x:v>
      </x:c>
      <x:c r="D1912" s="28" t="n">
        <x:f>MOD(B1912,1)</x:f>
        <x:v>0.9210416666683159</x:v>
      </x:c>
      <x:c r="E1912" s="29" t="n">
        <x:f>YEAR(B1912)</x:f>
        <x:v>2014</x:v>
      </x:c>
      <x:c r="F1912" s="29" t="n">
        <x:f>MONTH(B1912)</x:f>
        <x:v>5</x:v>
      </x:c>
      <x:c r="G1912" s="30" t="n">
        <x:v>-33.54</x:v>
      </x:c>
      <x:c r="H1912" s="30" t="n">
        <x:v>-72.25</x:v>
      </x:c>
      <x:c r="I1912" s="29" t="n">
        <x:v>39</x:v>
      </x:c>
      <x:c r="J1912" s="31" t="n">
        <x:v>5.1</x:v>
      </x:c>
      <x:c r="K1912" s="25" t="str">
        <x:f>IF(J1912&gt;=7,"Muy fuerte (&gt;=7)",IF(J1912&gt;=6,"Fuerte (6-6.9)",IF(J1912&gt;=5,"Moderado alto (5-5.9)",IF(J1912&gt;=4,"Moderado (4-4.9)","Menor a 4"))))</x:f>
        <x:v>Moderado alto (5-5.9)</x:v>
      </x:c>
      <x:c r="L1912" s="25" t="str">
        <x:f>IF(I1912&lt;70,"Superficial (&lt;70 km)",IF(I1912&lt;=300,"Intermedio (70-300 km)","Profundo (&gt;300 km)"))</x:f>
        <x:v>Superficial (&lt;70 km)</x:v>
      </x:c>
      <x:c r="M1912" s="25" t="str">
        <x:f>IF(J1912&gt;=5,"Sí","No")</x:f>
        <x:v>Sí</x:v>
      </x:c>
      <x:c r="N1912" s="25" t="str">
        <x:f>IF(J1912&gt;=6,"Sí","No")</x:f>
        <x:v>No</x:v>
      </x:c>
      <x:c r="O1912" s="25" t="str">
        <x:v>Pendiente: asignar con R/sf</x:v>
      </x:c>
    </x:row>
    <x:row r="1913">
      <x:c r="A1913" s="25" t="n">
        <x:v>1912</x:v>
      </x:c>
      <x:c r="B1913" s="26" t="n">
        <x:v>41926.40994212963</x:v>
      </x:c>
      <x:c r="C1913" s="27" t="n">
        <x:f>INT(B1913)</x:f>
        <x:v>41926</x:v>
      </x:c>
      <x:c r="D1913" s="28" t="n">
        <x:f>MOD(B1913,1)</x:f>
        <x:v>0.40994212962687016</x:v>
      </x:c>
      <x:c r="E1913" s="29" t="n">
        <x:f>YEAR(B1913)</x:f>
        <x:v>2014</x:v>
      </x:c>
      <x:c r="F1913" s="29" t="n">
        <x:f>MONTH(B1913)</x:f>
        <x:v>10</x:v>
      </x:c>
      <x:c r="G1913" s="30" t="n">
        <x:v>-33.7</x:v>
      </x:c>
      <x:c r="H1913" s="30" t="n">
        <x:v>-72.02</x:v>
      </x:c>
      <x:c r="I1913" s="29" t="n">
        <x:v>10</x:v>
      </x:c>
      <x:c r="J1913" s="31" t="n">
        <x:v>4.2</x:v>
      </x:c>
      <x:c r="K1913" s="25" t="str">
        <x:f>IF(J1913&gt;=7,"Muy fuerte (&gt;=7)",IF(J1913&gt;=6,"Fuerte (6-6.9)",IF(J1913&gt;=5,"Moderado alto (5-5.9)",IF(J1913&gt;=4,"Moderado (4-4.9)","Menor a 4"))))</x:f>
        <x:v>Moderado (4-4.9)</x:v>
      </x:c>
      <x:c r="L1913" s="25" t="str">
        <x:f>IF(I1913&lt;70,"Superficial (&lt;70 km)",IF(I1913&lt;=300,"Intermedio (70-300 km)","Profundo (&gt;300 km)"))</x:f>
        <x:v>Superficial (&lt;70 km)</x:v>
      </x:c>
      <x:c r="M1913" s="25" t="str">
        <x:f>IF(J1913&gt;=5,"Sí","No")</x:f>
        <x:v>No</x:v>
      </x:c>
      <x:c r="N1913" s="25" t="str">
        <x:f>IF(J1913&gt;=6,"Sí","No")</x:f>
        <x:v>No</x:v>
      </x:c>
      <x:c r="O1913" s="25" t="str">
        <x:v>Pendiente: asignar con R/sf</x:v>
      </x:c>
    </x:row>
    <x:row r="1914">
      <x:c r="A1914" s="25" t="n">
        <x:v>1913</x:v>
      </x:c>
      <x:c r="B1914" s="26" t="n">
        <x:v>41731.34813657407</x:v>
      </x:c>
      <x:c r="C1914" s="27" t="n">
        <x:f>INT(B1914)</x:f>
        <x:v>41731</x:v>
      </x:c>
      <x:c r="D1914" s="28" t="n">
        <x:f>MOD(B1914,1)</x:f>
        <x:v>0.34813657407357823</x:v>
      </x:c>
      <x:c r="E1914" s="29" t="n">
        <x:f>YEAR(B1914)</x:f>
        <x:v>2014</x:v>
      </x:c>
      <x:c r="F1914" s="29" t="n">
        <x:f>MONTH(B1914)</x:f>
        <x:v>4</x:v>
      </x:c>
      <x:c r="G1914" s="30" t="n">
        <x:v>-20.08</x:v>
      </x:c>
      <x:c r="H1914" s="30" t="n">
        <x:v>-70.47</x:v>
      </x:c>
      <x:c r="I1914" s="29" t="n">
        <x:v>28</x:v>
      </x:c>
      <x:c r="J1914" s="31" t="n">
        <x:v>4</x:v>
      </x:c>
      <x:c r="K1914" s="25" t="str">
        <x:f>IF(J1914&gt;=7,"Muy fuerte (&gt;=7)",IF(J1914&gt;=6,"Fuerte (6-6.9)",IF(J1914&gt;=5,"Moderado alto (5-5.9)",IF(J1914&gt;=4,"Moderado (4-4.9)","Menor a 4"))))</x:f>
        <x:v>Moderado (4-4.9)</x:v>
      </x:c>
      <x:c r="L1914" s="25" t="str">
        <x:f>IF(I1914&lt;70,"Superficial (&lt;70 km)",IF(I1914&lt;=300,"Intermedio (70-300 km)","Profundo (&gt;300 km)"))</x:f>
        <x:v>Superficial (&lt;70 km)</x:v>
      </x:c>
      <x:c r="M1914" s="25" t="str">
        <x:f>IF(J1914&gt;=5,"Sí","No")</x:f>
        <x:v>No</x:v>
      </x:c>
      <x:c r="N1914" s="25" t="str">
        <x:f>IF(J1914&gt;=6,"Sí","No")</x:f>
        <x:v>No</x:v>
      </x:c>
      <x:c r="O1914" s="25" t="str">
        <x:v>Pendiente: asignar con R/sf</x:v>
      </x:c>
    </x:row>
    <x:row r="1915">
      <x:c r="A1915" s="25" t="n">
        <x:v>1914</x:v>
      </x:c>
      <x:c r="B1915" s="26" t="n">
        <x:v>41828.66967592593</x:v>
      </x:c>
      <x:c r="C1915" s="27" t="n">
        <x:f>INT(B1915)</x:f>
        <x:v>41828</x:v>
      </x:c>
      <x:c r="D1915" s="28" t="n">
        <x:f>MOD(B1915,1)</x:f>
        <x:v>0.669675925928459</x:v>
      </x:c>
      <x:c r="E1915" s="29" t="n">
        <x:f>YEAR(B1915)</x:f>
        <x:v>2014</x:v>
      </x:c>
      <x:c r="F1915" s="29" t="n">
        <x:f>MONTH(B1915)</x:f>
        <x:v>7</x:v>
      </x:c>
      <x:c r="G1915" s="30" t="n">
        <x:v>-20.78</x:v>
      </x:c>
      <x:c r="H1915" s="30" t="n">
        <x:v>-70.52</x:v>
      </x:c>
      <x:c r="I1915" s="29" t="n">
        <x:v>38</x:v>
      </x:c>
      <x:c r="J1915" s="31" t="n">
        <x:v>4.6</x:v>
      </x:c>
      <x:c r="K1915" s="25" t="str">
        <x:f>IF(J1915&gt;=7,"Muy fuerte (&gt;=7)",IF(J1915&gt;=6,"Fuerte (6-6.9)",IF(J1915&gt;=5,"Moderado alto (5-5.9)",IF(J1915&gt;=4,"Moderado (4-4.9)","Menor a 4"))))</x:f>
        <x:v>Moderado (4-4.9)</x:v>
      </x:c>
      <x:c r="L1915" s="25" t="str">
        <x:f>IF(I1915&lt;70,"Superficial (&lt;70 km)",IF(I1915&lt;=300,"Intermedio (70-300 km)","Profundo (&gt;300 km)"))</x:f>
        <x:v>Superficial (&lt;70 km)</x:v>
      </x:c>
      <x:c r="M1915" s="25" t="str">
        <x:f>IF(J1915&gt;=5,"Sí","No")</x:f>
        <x:v>No</x:v>
      </x:c>
      <x:c r="N1915" s="25" t="str">
        <x:f>IF(J1915&gt;=6,"Sí","No")</x:f>
        <x:v>No</x:v>
      </x:c>
      <x:c r="O1915" s="25" t="str">
        <x:v>Pendiente: asignar con R/sf</x:v>
      </x:c>
    </x:row>
    <x:row r="1916">
      <x:c r="A1916" s="25" t="n">
        <x:v>1915</x:v>
      </x:c>
      <x:c r="B1916" s="26" t="n">
        <x:v>41732.984618055554</x:v>
      </x:c>
      <x:c r="C1916" s="27" t="n">
        <x:f>INT(B1916)</x:f>
        <x:v>41732</x:v>
      </x:c>
      <x:c r="D1916" s="28" t="n">
        <x:f>MOD(B1916,1)</x:f>
        <x:v>0.984618055554165</x:v>
      </x:c>
      <x:c r="E1916" s="29" t="n">
        <x:f>YEAR(B1916)</x:f>
        <x:v>2014</x:v>
      </x:c>
      <x:c r="F1916" s="29" t="n">
        <x:f>MONTH(B1916)</x:f>
        <x:v>4</x:v>
      </x:c>
      <x:c r="G1916" s="30" t="n">
        <x:v>-20.18</x:v>
      </x:c>
      <x:c r="H1916" s="30" t="n">
        <x:v>-70.63</x:v>
      </x:c>
      <x:c r="I1916" s="29" t="n">
        <x:v>41</x:v>
      </x:c>
      <x:c r="J1916" s="31" t="n">
        <x:v>5.1</x:v>
      </x:c>
      <x:c r="K1916" s="25" t="str">
        <x:f>IF(J1916&gt;=7,"Muy fuerte (&gt;=7)",IF(J1916&gt;=6,"Fuerte (6-6.9)",IF(J1916&gt;=5,"Moderado alto (5-5.9)",IF(J1916&gt;=4,"Moderado (4-4.9)","Menor a 4"))))</x:f>
        <x:v>Moderado alto (5-5.9)</x:v>
      </x:c>
      <x:c r="L1916" s="25" t="str">
        <x:f>IF(I1916&lt;70,"Superficial (&lt;70 km)",IF(I1916&lt;=300,"Intermedio (70-300 km)","Profundo (&gt;300 km)"))</x:f>
        <x:v>Superficial (&lt;70 km)</x:v>
      </x:c>
      <x:c r="M1916" s="25" t="str">
        <x:f>IF(J1916&gt;=5,"Sí","No")</x:f>
        <x:v>Sí</x:v>
      </x:c>
      <x:c r="N1916" s="25" t="str">
        <x:f>IF(J1916&gt;=6,"Sí","No")</x:f>
        <x:v>No</x:v>
      </x:c>
      <x:c r="O1916" s="25" t="str">
        <x:v>Pendiente: asignar con R/sf</x:v>
      </x:c>
    </x:row>
    <x:row r="1917">
      <x:c r="A1917" s="25" t="n">
        <x:v>1916</x:v>
      </x:c>
      <x:c r="B1917" s="26" t="n">
        <x:v>41736.57175925926</x:v>
      </x:c>
      <x:c r="C1917" s="27" t="n">
        <x:f>INT(B1917)</x:f>
        <x:v>41736</x:v>
      </x:c>
      <x:c r="D1917" s="28" t="n">
        <x:f>MOD(B1917,1)</x:f>
        <x:v>0.5717592592627625</x:v>
      </x:c>
      <x:c r="E1917" s="29" t="n">
        <x:f>YEAR(B1917)</x:f>
        <x:v>2014</x:v>
      </x:c>
      <x:c r="F1917" s="29" t="n">
        <x:f>MONTH(B1917)</x:f>
        <x:v>4</x:v>
      </x:c>
      <x:c r="G1917" s="30" t="n">
        <x:v>-20.13</x:v>
      </x:c>
      <x:c r="H1917" s="30" t="n">
        <x:v>-70.91</x:v>
      </x:c>
      <x:c r="I1917" s="29" t="n">
        <x:v>36</x:v>
      </x:c>
      <x:c r="J1917" s="31" t="n">
        <x:v>6.1</x:v>
      </x:c>
      <x:c r="K1917" s="25" t="str">
        <x:f>IF(J1917&gt;=7,"Muy fuerte (&gt;=7)",IF(J1917&gt;=6,"Fuerte (6-6.9)",IF(J1917&gt;=5,"Moderado alto (5-5.9)",IF(J1917&gt;=4,"Moderado (4-4.9)","Menor a 4"))))</x:f>
        <x:v>Fuerte (6-6.9)</x:v>
      </x:c>
      <x:c r="L1917" s="25" t="str">
        <x:f>IF(I1917&lt;70,"Superficial (&lt;70 km)",IF(I1917&lt;=300,"Intermedio (70-300 km)","Profundo (&gt;300 km)"))</x:f>
        <x:v>Superficial (&lt;70 km)</x:v>
      </x:c>
      <x:c r="M1917" s="25" t="str">
        <x:f>IF(J1917&gt;=5,"Sí","No")</x:f>
        <x:v>Sí</x:v>
      </x:c>
      <x:c r="N1917" s="25" t="str">
        <x:f>IF(J1917&gt;=6,"Sí","No")</x:f>
        <x:v>Sí</x:v>
      </x:c>
      <x:c r="O1917" s="25" t="str">
        <x:v>Pendiente: asignar con R/sf</x:v>
      </x:c>
    </x:row>
    <x:row r="1918">
      <x:c r="A1918" s="25" t="n">
        <x:v>1917</x:v>
      </x:c>
      <x:c r="B1918" s="26" t="n">
        <x:v>41732.1328587963</x:v>
      </x:c>
      <x:c r="C1918" s="27" t="n">
        <x:f>INT(B1918)</x:f>
        <x:v>41732</x:v>
      </x:c>
      <x:c r="D1918" s="28" t="n">
        <x:f>MOD(B1918,1)</x:f>
        <x:v>0.13285879629984265</x:v>
      </x:c>
      <x:c r="E1918" s="29" t="n">
        <x:f>YEAR(B1918)</x:f>
        <x:v>2014</x:v>
      </x:c>
      <x:c r="F1918" s="29" t="n">
        <x:f>MONTH(B1918)</x:f>
        <x:v>4</x:v>
      </x:c>
      <x:c r="G1918" s="30" t="n">
        <x:v>-20.61</x:v>
      </x:c>
      <x:c r="H1918" s="30" t="n">
        <x:v>-70.56</x:v>
      </x:c>
      <x:c r="I1918" s="29" t="n">
        <x:v>36</x:v>
      </x:c>
      <x:c r="J1918" s="31" t="n">
        <x:v>5.1</x:v>
      </x:c>
      <x:c r="K1918" s="25" t="str">
        <x:f>IF(J1918&gt;=7,"Muy fuerte (&gt;=7)",IF(J1918&gt;=6,"Fuerte (6-6.9)",IF(J1918&gt;=5,"Moderado alto (5-5.9)",IF(J1918&gt;=4,"Moderado (4-4.9)","Menor a 4"))))</x:f>
        <x:v>Moderado alto (5-5.9)</x:v>
      </x:c>
      <x:c r="L1918" s="25" t="str">
        <x:f>IF(I1918&lt;70,"Superficial (&lt;70 km)",IF(I1918&lt;=300,"Intermedio (70-300 km)","Profundo (&gt;300 km)"))</x:f>
        <x:v>Superficial (&lt;70 km)</x:v>
      </x:c>
      <x:c r="M1918" s="25" t="str">
        <x:f>IF(J1918&gt;=5,"Sí","No")</x:f>
        <x:v>Sí</x:v>
      </x:c>
      <x:c r="N1918" s="25" t="str">
        <x:f>IF(J1918&gt;=6,"Sí","No")</x:f>
        <x:v>No</x:v>
      </x:c>
      <x:c r="O1918" s="25" t="str">
        <x:v>Pendiente: asignar con R/sf</x:v>
      </x:c>
    </x:row>
    <x:row r="1919">
      <x:c r="A1919" s="25" t="n">
        <x:v>1918</x:v>
      </x:c>
      <x:c r="B1919" s="26" t="n">
        <x:v>41802.52005787037</x:v>
      </x:c>
      <x:c r="C1919" s="27" t="n">
        <x:f>INT(B1919)</x:f>
        <x:v>41802</x:v>
      </x:c>
      <x:c r="D1919" s="28" t="n">
        <x:f>MOD(B1919,1)</x:f>
        <x:v>0.5200578703734209</x:v>
      </x:c>
      <x:c r="E1919" s="29" t="n">
        <x:f>YEAR(B1919)</x:f>
        <x:v>2014</x:v>
      </x:c>
      <x:c r="F1919" s="29" t="n">
        <x:f>MONTH(B1919)</x:f>
        <x:v>6</x:v>
      </x:c>
      <x:c r="G1919" s="30" t="n">
        <x:v>-30.75</x:v>
      </x:c>
      <x:c r="H1919" s="30" t="n">
        <x:v>-70.56</x:v>
      </x:c>
      <x:c r="I1919" s="29" t="n">
        <x:v>53</x:v>
      </x:c>
      <x:c r="J1919" s="31" t="n">
        <x:v>5.1</x:v>
      </x:c>
      <x:c r="K1919" s="25" t="str">
        <x:f>IF(J1919&gt;=7,"Muy fuerte (&gt;=7)",IF(J1919&gt;=6,"Fuerte (6-6.9)",IF(J1919&gt;=5,"Moderado alto (5-5.9)",IF(J1919&gt;=4,"Moderado (4-4.9)","Menor a 4"))))</x:f>
        <x:v>Moderado alto (5-5.9)</x:v>
      </x:c>
      <x:c r="L1919" s="25" t="str">
        <x:f>IF(I1919&lt;70,"Superficial (&lt;70 km)",IF(I1919&lt;=300,"Intermedio (70-300 km)","Profundo (&gt;300 km)"))</x:f>
        <x:v>Superficial (&lt;70 km)</x:v>
      </x:c>
      <x:c r="M1919" s="25" t="str">
        <x:f>IF(J1919&gt;=5,"Sí","No")</x:f>
        <x:v>Sí</x:v>
      </x:c>
      <x:c r="N1919" s="25" t="str">
        <x:f>IF(J1919&gt;=6,"Sí","No")</x:f>
        <x:v>No</x:v>
      </x:c>
      <x:c r="O1919" s="25" t="str">
        <x:v>Pendiente: asignar con R/sf</x:v>
      </x:c>
    </x:row>
    <x:row r="1920">
      <x:c r="A1920" s="25" t="n">
        <x:v>1919</x:v>
      </x:c>
      <x:c r="B1920" s="26" t="n">
        <x:v>41926.386608796296</x:v>
      </x:c>
      <x:c r="C1920" s="27" t="n">
        <x:f>INT(B1920)</x:f>
        <x:v>41926</x:v>
      </x:c>
      <x:c r="D1920" s="28" t="n">
        <x:f>MOD(B1920,1)</x:f>
        <x:v>0.38660879629605915</x:v>
      </x:c>
      <x:c r="E1920" s="29" t="n">
        <x:f>YEAR(B1920)</x:f>
        <x:v>2014</x:v>
      </x:c>
      <x:c r="F1920" s="29" t="n">
        <x:f>MONTH(B1920)</x:f>
        <x:v>10</x:v>
      </x:c>
      <x:c r="G1920" s="30" t="n">
        <x:v>-33.73</x:v>
      </x:c>
      <x:c r="H1920" s="30" t="n">
        <x:v>-72.07</x:v>
      </x:c>
      <x:c r="I1920" s="29" t="n">
        <x:v>19</x:v>
      </x:c>
      <x:c r="J1920" s="31" t="n">
        <x:v>4.9</x:v>
      </x:c>
      <x:c r="K1920" s="25" t="str">
        <x:f>IF(J1920&gt;=7,"Muy fuerte (&gt;=7)",IF(J1920&gt;=6,"Fuerte (6-6.9)",IF(J1920&gt;=5,"Moderado alto (5-5.9)",IF(J1920&gt;=4,"Moderado (4-4.9)","Menor a 4"))))</x:f>
        <x:v>Moderado (4-4.9)</x:v>
      </x:c>
      <x:c r="L1920" s="25" t="str">
        <x:f>IF(I1920&lt;70,"Superficial (&lt;70 km)",IF(I1920&lt;=300,"Intermedio (70-300 km)","Profundo (&gt;300 km)"))</x:f>
        <x:v>Superficial (&lt;70 km)</x:v>
      </x:c>
      <x:c r="M1920" s="25" t="str">
        <x:f>IF(J1920&gt;=5,"Sí","No")</x:f>
        <x:v>No</x:v>
      </x:c>
      <x:c r="N1920" s="25" t="str">
        <x:f>IF(J1920&gt;=6,"Sí","No")</x:f>
        <x:v>No</x:v>
      </x:c>
      <x:c r="O1920" s="25" t="str">
        <x:v>Pendiente: asignar con R/sf</x:v>
      </x:c>
    </x:row>
    <x:row r="1921">
      <x:c r="A1921" s="25" t="n">
        <x:v>1920</x:v>
      </x:c>
      <x:c r="B1921" s="26" t="n">
        <x:v>41764.37703703704</x:v>
      </x:c>
      <x:c r="C1921" s="27" t="n">
        <x:f>INT(B1921)</x:f>
        <x:v>41764</x:v>
      </x:c>
      <x:c r="D1921" s="28" t="n">
        <x:f>MOD(B1921,1)</x:f>
        <x:v>0.3770370370402816</x:v>
      </x:c>
      <x:c r="E1921" s="29" t="n">
        <x:f>YEAR(B1921)</x:f>
        <x:v>2014</x:v>
      </x:c>
      <x:c r="F1921" s="29" t="n">
        <x:f>MONTH(B1921)</x:f>
        <x:v>5</x:v>
      </x:c>
      <x:c r="G1921" s="30" t="n">
        <x:v>-19.28</x:v>
      </x:c>
      <x:c r="H1921" s="30" t="n">
        <x:v>-71.03</x:v>
      </x:c>
      <x:c r="I1921" s="29" t="n">
        <x:v>38</x:v>
      </x:c>
      <x:c r="J1921" s="31" t="n">
        <x:v>4.7</x:v>
      </x:c>
      <x:c r="K1921" s="25" t="str">
        <x:f>IF(J1921&gt;=7,"Muy fuerte (&gt;=7)",IF(J1921&gt;=6,"Fuerte (6-6.9)",IF(J1921&gt;=5,"Moderado alto (5-5.9)",IF(J1921&gt;=4,"Moderado (4-4.9)","Menor a 4"))))</x:f>
        <x:v>Moderado (4-4.9)</x:v>
      </x:c>
      <x:c r="L1921" s="25" t="str">
        <x:f>IF(I1921&lt;70,"Superficial (&lt;70 km)",IF(I1921&lt;=300,"Intermedio (70-300 km)","Profundo (&gt;300 km)"))</x:f>
        <x:v>Superficial (&lt;70 km)</x:v>
      </x:c>
      <x:c r="M1921" s="25" t="str">
        <x:f>IF(J1921&gt;=5,"Sí","No")</x:f>
        <x:v>No</x:v>
      </x:c>
      <x:c r="N1921" s="25" t="str">
        <x:f>IF(J1921&gt;=6,"Sí","No")</x:f>
        <x:v>No</x:v>
      </x:c>
      <x:c r="O1921" s="25" t="str">
        <x:v>Pendiente: asignar con R/sf</x:v>
      </x:c>
    </x:row>
    <x:row r="1922">
      <x:c r="A1922" s="25" t="n">
        <x:v>1921</x:v>
      </x:c>
      <x:c r="B1922" s="26" t="n">
        <x:v>41715.22193287037</x:v>
      </x:c>
      <x:c r="C1922" s="27" t="n">
        <x:f>INT(B1922)</x:f>
        <x:v>41715</x:v>
      </x:c>
      <x:c r="D1922" s="28" t="n">
        <x:f>MOD(B1922,1)</x:f>
        <x:v>0.22193287037225673</x:v>
      </x:c>
      <x:c r="E1922" s="29" t="n">
        <x:f>YEAR(B1922)</x:f>
        <x:v>2014</x:v>
      </x:c>
      <x:c r="F1922" s="29" t="n">
        <x:f>MONTH(B1922)</x:f>
        <x:v>3</x:v>
      </x:c>
      <x:c r="G1922" s="30" t="n">
        <x:v>-19.99</x:v>
      </x:c>
      <x:c r="H1922" s="30" t="n">
        <x:v>-70.89</x:v>
      </x:c>
      <x:c r="I1922" s="29" t="n">
        <x:v>36</x:v>
      </x:c>
      <x:c r="J1922" s="31" t="n">
        <x:v>5.1</x:v>
      </x:c>
      <x:c r="K1922" s="25" t="str">
        <x:f>IF(J1922&gt;=7,"Muy fuerte (&gt;=7)",IF(J1922&gt;=6,"Fuerte (6-6.9)",IF(J1922&gt;=5,"Moderado alto (5-5.9)",IF(J1922&gt;=4,"Moderado (4-4.9)","Menor a 4"))))</x:f>
        <x:v>Moderado alto (5-5.9)</x:v>
      </x:c>
      <x:c r="L1922" s="25" t="str">
        <x:f>IF(I1922&lt;70,"Superficial (&lt;70 km)",IF(I1922&lt;=300,"Intermedio (70-300 km)","Profundo (&gt;300 km)"))</x:f>
        <x:v>Superficial (&lt;70 km)</x:v>
      </x:c>
      <x:c r="M1922" s="25" t="str">
        <x:f>IF(J1922&gt;=5,"Sí","No")</x:f>
        <x:v>Sí</x:v>
      </x:c>
      <x:c r="N1922" s="25" t="str">
        <x:f>IF(J1922&gt;=6,"Sí","No")</x:f>
        <x:v>No</x:v>
      </x:c>
      <x:c r="O1922" s="25" t="str">
        <x:v>Pendiente: asignar con R/sf</x:v>
      </x:c>
    </x:row>
    <x:row r="1923">
      <x:c r="A1923" s="25" t="n">
        <x:v>1922</x:v>
      </x:c>
      <x:c r="B1923" s="26" t="n">
        <x:v>41641.94425925926</x:v>
      </x:c>
      <x:c r="C1923" s="27" t="n">
        <x:f>INT(B1923)</x:f>
        <x:v>41641</x:v>
      </x:c>
      <x:c r="D1923" s="28" t="n">
        <x:f>MOD(B1923,1)</x:f>
        <x:v>0.9442592592604342</x:v>
      </x:c>
      <x:c r="E1923" s="29" t="n">
        <x:f>YEAR(B1923)</x:f>
        <x:v>2014</x:v>
      </x:c>
      <x:c r="F1923" s="29" t="n">
        <x:f>MONTH(B1923)</x:f>
        <x:v>1</x:v>
      </x:c>
      <x:c r="G1923" s="30" t="n">
        <x:v>-32.96</x:v>
      </x:c>
      <x:c r="H1923" s="30" t="n">
        <x:v>-71.39</x:v>
      </x:c>
      <x:c r="I1923" s="29" t="n">
        <x:v>45</x:v>
      </x:c>
      <x:c r="J1923" s="31" t="n">
        <x:v>4.9</x:v>
      </x:c>
      <x:c r="K1923" s="25" t="str">
        <x:f>IF(J1923&gt;=7,"Muy fuerte (&gt;=7)",IF(J1923&gt;=6,"Fuerte (6-6.9)",IF(J1923&gt;=5,"Moderado alto (5-5.9)",IF(J1923&gt;=4,"Moderado (4-4.9)","Menor a 4"))))</x:f>
        <x:v>Moderado (4-4.9)</x:v>
      </x:c>
      <x:c r="L1923" s="25" t="str">
        <x:f>IF(I1923&lt;70,"Superficial (&lt;70 km)",IF(I1923&lt;=300,"Intermedio (70-300 km)","Profundo (&gt;300 km)"))</x:f>
        <x:v>Superficial (&lt;70 km)</x:v>
      </x:c>
      <x:c r="M1923" s="25" t="str">
        <x:f>IF(J1923&gt;=5,"Sí","No")</x:f>
        <x:v>No</x:v>
      </x:c>
      <x:c r="N1923" s="25" t="str">
        <x:f>IF(J1923&gt;=6,"Sí","No")</x:f>
        <x:v>No</x:v>
      </x:c>
      <x:c r="O1923" s="25" t="str">
        <x:v>Pendiente: asignar con R/sf</x:v>
      </x:c>
    </x:row>
    <x:row r="1924">
      <x:c r="A1924" s="25" t="n">
        <x:v>1923</x:v>
      </x:c>
      <x:c r="B1924" s="26" t="n">
        <x:v>41718.77885416667</x:v>
      </x:c>
      <x:c r="C1924" s="27" t="n">
        <x:f>INT(B1924)</x:f>
        <x:v>41718</x:v>
      </x:c>
      <x:c r="D1924" s="28" t="n">
        <x:f>MOD(B1924,1)</x:f>
        <x:v>0.7788541666668607</x:v>
      </x:c>
      <x:c r="E1924" s="29" t="n">
        <x:f>YEAR(B1924)</x:f>
        <x:v>2014</x:v>
      </x:c>
      <x:c r="F1924" s="29" t="n">
        <x:f>MONTH(B1924)</x:f>
        <x:v>3</x:v>
      </x:c>
      <x:c r="G1924" s="30" t="n">
        <x:v>-24.03</x:v>
      </x:c>
      <x:c r="H1924" s="30" t="n">
        <x:v>-69.25</x:v>
      </x:c>
      <x:c r="I1924" s="29" t="n">
        <x:v>96</x:v>
      </x:c>
      <x:c r="J1924" s="31" t="n">
        <x:v>5.4</x:v>
      </x:c>
      <x:c r="K1924" s="25" t="str">
        <x:f>IF(J1924&gt;=7,"Muy fuerte (&gt;=7)",IF(J1924&gt;=6,"Fuerte (6-6.9)",IF(J1924&gt;=5,"Moderado alto (5-5.9)",IF(J1924&gt;=4,"Moderado (4-4.9)","Menor a 4"))))</x:f>
        <x:v>Moderado alto (5-5.9)</x:v>
      </x:c>
      <x:c r="L1924" s="25" t="str">
        <x:f>IF(I1924&lt;70,"Superficial (&lt;70 km)",IF(I1924&lt;=300,"Intermedio (70-300 km)","Profundo (&gt;300 km)"))</x:f>
        <x:v>Intermedio (70-300 km)</x:v>
      </x:c>
      <x:c r="M1924" s="25" t="str">
        <x:f>IF(J1924&gt;=5,"Sí","No")</x:f>
        <x:v>Sí</x:v>
      </x:c>
      <x:c r="N1924" s="25" t="str">
        <x:f>IF(J1924&gt;=6,"Sí","No")</x:f>
        <x:v>No</x:v>
      </x:c>
      <x:c r="O1924" s="25" t="str">
        <x:v>Pendiente: asignar con R/sf</x:v>
      </x:c>
    </x:row>
    <x:row r="1925">
      <x:c r="A1925" s="25" t="n">
        <x:v>1924</x:v>
      </x:c>
      <x:c r="B1925" s="26" t="n">
        <x:v>41715.00846064815</x:v>
      </x:c>
      <x:c r="C1925" s="27" t="n">
        <x:f>INT(B1925)</x:f>
        <x:v>41715</x:v>
      </x:c>
      <x:c r="D1925" s="28" t="n">
        <x:f>MOD(B1925,1)</x:f>
        <x:v>0.008460648146865424</x:v>
      </x:c>
      <x:c r="E1925" s="29" t="n">
        <x:f>YEAR(B1925)</x:f>
        <x:v>2014</x:v>
      </x:c>
      <x:c r="F1925" s="29" t="n">
        <x:f>MONTH(B1925)</x:f>
        <x:v>3</x:v>
      </x:c>
      <x:c r="G1925" s="30" t="n">
        <x:v>-19.99</x:v>
      </x:c>
      <x:c r="H1925" s="30" t="n">
        <x:v>-70.75</x:v>
      </x:c>
      <x:c r="I1925" s="29" t="n">
        <x:v>23</x:v>
      </x:c>
      <x:c r="J1925" s="31" t="n">
        <x:v>4.5</x:v>
      </x:c>
      <x:c r="K1925" s="25" t="str">
        <x:f>IF(J1925&gt;=7,"Muy fuerte (&gt;=7)",IF(J1925&gt;=6,"Fuerte (6-6.9)",IF(J1925&gt;=5,"Moderado alto (5-5.9)",IF(J1925&gt;=4,"Moderado (4-4.9)","Menor a 4"))))</x:f>
        <x:v>Moderado (4-4.9)</x:v>
      </x:c>
      <x:c r="L1925" s="25" t="str">
        <x:f>IF(I1925&lt;70,"Superficial (&lt;70 km)",IF(I1925&lt;=300,"Intermedio (70-300 km)","Profundo (&gt;300 km)"))</x:f>
        <x:v>Superficial (&lt;70 km)</x:v>
      </x:c>
      <x:c r="M1925" s="25" t="str">
        <x:f>IF(J1925&gt;=5,"Sí","No")</x:f>
        <x:v>No</x:v>
      </x:c>
      <x:c r="N1925" s="25" t="str">
        <x:f>IF(J1925&gt;=6,"Sí","No")</x:f>
        <x:v>No</x:v>
      </x:c>
      <x:c r="O1925" s="25" t="str">
        <x:v>Pendiente: asignar con R/sf</x:v>
      </x:c>
    </x:row>
    <x:row r="1926">
      <x:c r="A1926" s="25" t="n">
        <x:v>1925</x:v>
      </x:c>
      <x:c r="B1926" s="26" t="n">
        <x:v>41846.89251157407</x:v>
      </x:c>
      <x:c r="C1926" s="27" t="n">
        <x:f>INT(B1926)</x:f>
        <x:v>41846</x:v>
      </x:c>
      <x:c r="D1926" s="28" t="n">
        <x:f>MOD(B1926,1)</x:f>
        <x:v>0.8925115740712499</x:v>
      </x:c>
      <x:c r="E1926" s="29" t="n">
        <x:f>YEAR(B1926)</x:f>
        <x:v>2014</x:v>
      </x:c>
      <x:c r="F1926" s="29" t="n">
        <x:f>MONTH(B1926)</x:f>
        <x:v>7</x:v>
      </x:c>
      <x:c r="G1926" s="30" t="n">
        <x:v>-22.97</x:v>
      </x:c>
      <x:c r="H1926" s="30" t="n">
        <x:v>-69.88</x:v>
      </x:c>
      <x:c r="I1926" s="29" t="n">
        <x:v>53</x:v>
      </x:c>
      <x:c r="J1926" s="31" t="n">
        <x:v>4.4</x:v>
      </x:c>
      <x:c r="K1926" s="25" t="str">
        <x:f>IF(J1926&gt;=7,"Muy fuerte (&gt;=7)",IF(J1926&gt;=6,"Fuerte (6-6.9)",IF(J1926&gt;=5,"Moderado alto (5-5.9)",IF(J1926&gt;=4,"Moderado (4-4.9)","Menor a 4"))))</x:f>
        <x:v>Moderado (4-4.9)</x:v>
      </x:c>
      <x:c r="L1926" s="25" t="str">
        <x:f>IF(I1926&lt;70,"Superficial (&lt;70 km)",IF(I1926&lt;=300,"Intermedio (70-300 km)","Profundo (&gt;300 km)"))</x:f>
        <x:v>Superficial (&lt;70 km)</x:v>
      </x:c>
      <x:c r="M1926" s="25" t="str">
        <x:f>IF(J1926&gt;=5,"Sí","No")</x:f>
        <x:v>No</x:v>
      </x:c>
      <x:c r="N1926" s="25" t="str">
        <x:f>IF(J1926&gt;=6,"Sí","No")</x:f>
        <x:v>No</x:v>
      </x:c>
      <x:c r="O1926" s="25" t="str">
        <x:v>Pendiente: asignar con R/sf</x:v>
      </x:c>
    </x:row>
    <x:row r="1927">
      <x:c r="A1927" s="25" t="n">
        <x:v>1926</x:v>
      </x:c>
      <x:c r="B1927" s="26" t="n">
        <x:v>41809.82922453704</x:v>
      </x:c>
      <x:c r="C1927" s="27" t="n">
        <x:f>INT(B1927)</x:f>
        <x:v>41809</x:v>
      </x:c>
      <x:c r="D1927" s="28" t="n">
        <x:f>MOD(B1927,1)</x:f>
        <x:v>0.8292245370394085</x:v>
      </x:c>
      <x:c r="E1927" s="29" t="n">
        <x:f>YEAR(B1927)</x:f>
        <x:v>2014</x:v>
      </x:c>
      <x:c r="F1927" s="29" t="n">
        <x:f>MONTH(B1927)</x:f>
        <x:v>6</x:v>
      </x:c>
      <x:c r="G1927" s="30" t="n">
        <x:v>-19.82</x:v>
      </x:c>
      <x:c r="H1927" s="30" t="n">
        <x:v>-70.94</x:v>
      </x:c>
      <x:c r="I1927" s="29" t="n">
        <x:v>40</x:v>
      </x:c>
      <x:c r="J1927" s="31" t="n">
        <x:v>6</x:v>
      </x:c>
      <x:c r="K1927" s="25" t="str">
        <x:f>IF(J1927&gt;=7,"Muy fuerte (&gt;=7)",IF(J1927&gt;=6,"Fuerte (6-6.9)",IF(J1927&gt;=5,"Moderado alto (5-5.9)",IF(J1927&gt;=4,"Moderado (4-4.9)","Menor a 4"))))</x:f>
        <x:v>Fuerte (6-6.9)</x:v>
      </x:c>
      <x:c r="L1927" s="25" t="str">
        <x:f>IF(I1927&lt;70,"Superficial (&lt;70 km)",IF(I1927&lt;=300,"Intermedio (70-300 km)","Profundo (&gt;300 km)"))</x:f>
        <x:v>Superficial (&lt;70 km)</x:v>
      </x:c>
      <x:c r="M1927" s="25" t="str">
        <x:f>IF(J1927&gt;=5,"Sí","No")</x:f>
        <x:v>Sí</x:v>
      </x:c>
      <x:c r="N1927" s="25" t="str">
        <x:f>IF(J1927&gt;=6,"Sí","No")</x:f>
        <x:v>Sí</x:v>
      </x:c>
      <x:c r="O1927" s="25" t="str">
        <x:v>Pendiente: asignar con R/sf</x:v>
      </x:c>
    </x:row>
    <x:row r="1928">
      <x:c r="A1928" s="25" t="n">
        <x:v>1927</x:v>
      </x:c>
      <x:c r="B1928" s="26" t="n">
        <x:v>41731.82175925926</x:v>
      </x:c>
      <x:c r="C1928" s="27" t="n">
        <x:f>INT(B1928)</x:f>
        <x:v>41731</x:v>
      </x:c>
      <x:c r="D1928" s="28" t="n">
        <x:f>MOD(B1928,1)</x:f>
        <x:v>0.8217592592627625</x:v>
      </x:c>
      <x:c r="E1928" s="29" t="n">
        <x:f>YEAR(B1928)</x:f>
        <x:v>2014</x:v>
      </x:c>
      <x:c r="F1928" s="29" t="n">
        <x:f>MONTH(B1928)</x:f>
        <x:v>4</x:v>
      </x:c>
      <x:c r="G1928" s="30" t="n">
        <x:v>-19.85</x:v>
      </x:c>
      <x:c r="H1928" s="30" t="n">
        <x:v>-70.27</x:v>
      </x:c>
      <x:c r="I1928" s="29" t="n">
        <x:v>41</x:v>
      </x:c>
      <x:c r="J1928" s="31" t="n">
        <x:v>4</x:v>
      </x:c>
      <x:c r="K1928" s="25" t="str">
        <x:f>IF(J1928&gt;=7,"Muy fuerte (&gt;=7)",IF(J1928&gt;=6,"Fuerte (6-6.9)",IF(J1928&gt;=5,"Moderado alto (5-5.9)",IF(J1928&gt;=4,"Moderado (4-4.9)","Menor a 4"))))</x:f>
        <x:v>Moderado (4-4.9)</x:v>
      </x:c>
      <x:c r="L1928" s="25" t="str">
        <x:f>IF(I1928&lt;70,"Superficial (&lt;70 km)",IF(I1928&lt;=300,"Intermedio (70-300 km)","Profundo (&gt;300 km)"))</x:f>
        <x:v>Superficial (&lt;70 km)</x:v>
      </x:c>
      <x:c r="M1928" s="25" t="str">
        <x:f>IF(J1928&gt;=5,"Sí","No")</x:f>
        <x:v>No</x:v>
      </x:c>
      <x:c r="N1928" s="25" t="str">
        <x:f>IF(J1928&gt;=6,"Sí","No")</x:f>
        <x:v>No</x:v>
      </x:c>
      <x:c r="O1928" s="25" t="str">
        <x:v>Pendiente: asignar con R/sf</x:v>
      </x:c>
    </x:row>
    <x:row r="1929">
      <x:c r="A1929" s="25" t="n">
        <x:v>1928</x:v>
      </x:c>
      <x:c r="B1929" s="26" t="n">
        <x:v>41975.16443287037</x:v>
      </x:c>
      <x:c r="C1929" s="27" t="n">
        <x:f>INT(B1929)</x:f>
        <x:v>41975</x:v>
      </x:c>
      <x:c r="D1929" s="28" t="n">
        <x:f>MOD(B1929,1)</x:f>
        <x:v>0.16443287036963739</x:v>
      </x:c>
      <x:c r="E1929" s="29" t="n">
        <x:f>YEAR(B1929)</x:f>
        <x:v>2014</x:v>
      </x:c>
      <x:c r="F1929" s="29" t="n">
        <x:f>MONTH(B1929)</x:f>
        <x:v>12</x:v>
      </x:c>
      <x:c r="G1929" s="30" t="n">
        <x:v>-20.28</x:v>
      </x:c>
      <x:c r="H1929" s="30" t="n">
        <x:v>-71.06</x:v>
      </x:c>
      <x:c r="I1929" s="29" t="n">
        <x:v>33</x:v>
      </x:c>
      <x:c r="J1929" s="31" t="n">
        <x:v>4.6</x:v>
      </x:c>
      <x:c r="K1929" s="25" t="str">
        <x:f>IF(J1929&gt;=7,"Muy fuerte (&gt;=7)",IF(J1929&gt;=6,"Fuerte (6-6.9)",IF(J1929&gt;=5,"Moderado alto (5-5.9)",IF(J1929&gt;=4,"Moderado (4-4.9)","Menor a 4"))))</x:f>
        <x:v>Moderado (4-4.9)</x:v>
      </x:c>
      <x:c r="L1929" s="25" t="str">
        <x:f>IF(I1929&lt;70,"Superficial (&lt;70 km)",IF(I1929&lt;=300,"Intermedio (70-300 km)","Profundo (&gt;300 km)"))</x:f>
        <x:v>Superficial (&lt;70 km)</x:v>
      </x:c>
      <x:c r="M1929" s="25" t="str">
        <x:f>IF(J1929&gt;=5,"Sí","No")</x:f>
        <x:v>No</x:v>
      </x:c>
      <x:c r="N1929" s="25" t="str">
        <x:f>IF(J1929&gt;=6,"Sí","No")</x:f>
        <x:v>No</x:v>
      </x:c>
      <x:c r="O1929" s="25" t="str">
        <x:v>Pendiente: asignar con R/sf</x:v>
      </x:c>
    </x:row>
    <x:row r="1930">
      <x:c r="A1930" s="25" t="n">
        <x:v>1929</x:v>
      </x:c>
      <x:c r="B1930" s="26" t="n">
        <x:v>41732.60700231481</x:v>
      </x:c>
      <x:c r="C1930" s="27" t="n">
        <x:f>INT(B1930)</x:f>
        <x:v>41732</x:v>
      </x:c>
      <x:c r="D1930" s="28" t="n">
        <x:f>MOD(B1930,1)</x:f>
        <x:v>0.607002314813144</x:v>
      </x:c>
      <x:c r="E1930" s="29" t="n">
        <x:f>YEAR(B1930)</x:f>
        <x:v>2014</x:v>
      </x:c>
      <x:c r="F1930" s="29" t="n">
        <x:f>MONTH(B1930)</x:f>
        <x:v>4</x:v>
      </x:c>
      <x:c r="G1930" s="30" t="n">
        <x:v>-20.6</x:v>
      </x:c>
      <x:c r="H1930" s="30" t="n">
        <x:v>-70.93</x:v>
      </x:c>
      <x:c r="I1930" s="29" t="n">
        <x:v>36</x:v>
      </x:c>
      <x:c r="J1930" s="31" t="n">
        <x:v>4.8</x:v>
      </x:c>
      <x:c r="K1930" s="25" t="str">
        <x:f>IF(J1930&gt;=7,"Muy fuerte (&gt;=7)",IF(J1930&gt;=6,"Fuerte (6-6.9)",IF(J1930&gt;=5,"Moderado alto (5-5.9)",IF(J1930&gt;=4,"Moderado (4-4.9)","Menor a 4"))))</x:f>
        <x:v>Moderado (4-4.9)</x:v>
      </x:c>
      <x:c r="L1930" s="25" t="str">
        <x:f>IF(I1930&lt;70,"Superficial (&lt;70 km)",IF(I1930&lt;=300,"Intermedio (70-300 km)","Profundo (&gt;300 km)"))</x:f>
        <x:v>Superficial (&lt;70 km)</x:v>
      </x:c>
      <x:c r="M1930" s="25" t="str">
        <x:f>IF(J1930&gt;=5,"Sí","No")</x:f>
        <x:v>No</x:v>
      </x:c>
      <x:c r="N1930" s="25" t="str">
        <x:f>IF(J1930&gt;=6,"Sí","No")</x:f>
        <x:v>No</x:v>
      </x:c>
      <x:c r="O1930" s="25" t="str">
        <x:v>Pendiente: asignar con R/sf</x:v>
      </x:c>
    </x:row>
    <x:row r="1931">
      <x:c r="A1931" s="25" t="n">
        <x:v>1930</x:v>
      </x:c>
      <x:c r="B1931" s="26" t="n">
        <x:v>41910.36565972222</x:v>
      </x:c>
      <x:c r="C1931" s="27" t="n">
        <x:f>INT(B1931)</x:f>
        <x:v>41910</x:v>
      </x:c>
      <x:c r="D1931" s="28" t="n">
        <x:f>MOD(B1931,1)</x:f>
        <x:v>0.3656597222216078</x:v>
      </x:c>
      <x:c r="E1931" s="29" t="n">
        <x:f>YEAR(B1931)</x:f>
        <x:v>2014</x:v>
      </x:c>
      <x:c r="F1931" s="29" t="n">
        <x:f>MONTH(B1931)</x:f>
        <x:v>9</x:v>
      </x:c>
      <x:c r="G1931" s="30" t="n">
        <x:v>-35.62</x:v>
      </x:c>
      <x:c r="H1931" s="30" t="n">
        <x:v>-73.21</x:v>
      </x:c>
      <x:c r="I1931" s="29" t="n">
        <x:v>10</x:v>
      </x:c>
      <x:c r="J1931" s="31" t="n">
        <x:v>5.4</x:v>
      </x:c>
      <x:c r="K1931" s="25" t="str">
        <x:f>IF(J1931&gt;=7,"Muy fuerte (&gt;=7)",IF(J1931&gt;=6,"Fuerte (6-6.9)",IF(J1931&gt;=5,"Moderado alto (5-5.9)",IF(J1931&gt;=4,"Moderado (4-4.9)","Menor a 4"))))</x:f>
        <x:v>Moderado alto (5-5.9)</x:v>
      </x:c>
      <x:c r="L1931" s="25" t="str">
        <x:f>IF(I1931&lt;70,"Superficial (&lt;70 km)",IF(I1931&lt;=300,"Intermedio (70-300 km)","Profundo (&gt;300 km)"))</x:f>
        <x:v>Superficial (&lt;70 km)</x:v>
      </x:c>
      <x:c r="M1931" s="25" t="str">
        <x:f>IF(J1931&gt;=5,"Sí","No")</x:f>
        <x:v>Sí</x:v>
      </x:c>
      <x:c r="N1931" s="25" t="str">
        <x:f>IF(J1931&gt;=6,"Sí","No")</x:f>
        <x:v>No</x:v>
      </x:c>
      <x:c r="O1931" s="25" t="str">
        <x:v>Pendiente: asignar con R/sf</x:v>
      </x:c>
    </x:row>
    <x:row r="1932">
      <x:c r="A1932" s="25" t="n">
        <x:v>1931</x:v>
      </x:c>
      <x:c r="B1932" s="26" t="n">
        <x:v>41924.68277777778</x:v>
      </x:c>
      <x:c r="C1932" s="27" t="n">
        <x:f>INT(B1932)</x:f>
        <x:v>41924</x:v>
      </x:c>
      <x:c r="D1932" s="28" t="n">
        <x:f>MOD(B1932,1)</x:f>
        <x:v>0.6827777777798474</x:v>
      </x:c>
      <x:c r="E1932" s="29" t="n">
        <x:f>YEAR(B1932)</x:f>
        <x:v>2014</x:v>
      </x:c>
      <x:c r="F1932" s="29" t="n">
        <x:f>MONTH(B1932)</x:f>
        <x:v>10</x:v>
      </x:c>
      <x:c r="G1932" s="30" t="n">
        <x:v>-30.82</x:v>
      </x:c>
      <x:c r="H1932" s="30" t="n">
        <x:v>-71.07</x:v>
      </x:c>
      <x:c r="I1932" s="29" t="n">
        <x:v>76</x:v>
      </x:c>
      <x:c r="J1932" s="31" t="n">
        <x:v>4.4</x:v>
      </x:c>
      <x:c r="K1932" s="25" t="str">
        <x:f>IF(J1932&gt;=7,"Muy fuerte (&gt;=7)",IF(J1932&gt;=6,"Fuerte (6-6.9)",IF(J1932&gt;=5,"Moderado alto (5-5.9)",IF(J1932&gt;=4,"Moderado (4-4.9)","Menor a 4"))))</x:f>
        <x:v>Moderado (4-4.9)</x:v>
      </x:c>
      <x:c r="L1932" s="25" t="str">
        <x:f>IF(I1932&lt;70,"Superficial (&lt;70 km)",IF(I1932&lt;=300,"Intermedio (70-300 km)","Profundo (&gt;300 km)"))</x:f>
        <x:v>Intermedio (70-300 km)</x:v>
      </x:c>
      <x:c r="M1932" s="25" t="str">
        <x:f>IF(J1932&gt;=5,"Sí","No")</x:f>
        <x:v>No</x:v>
      </x:c>
      <x:c r="N1932" s="25" t="str">
        <x:f>IF(J1932&gt;=6,"Sí","No")</x:f>
        <x:v>No</x:v>
      </x:c>
      <x:c r="O1932" s="25" t="str">
        <x:v>Pendiente: asignar con R/sf</x:v>
      </x:c>
    </x:row>
    <x:row r="1933">
      <x:c r="A1933" s="25" t="n">
        <x:v>1932</x:v>
      </x:c>
      <x:c r="B1933" s="26" t="n">
        <x:v>41910.40907407407</x:v>
      </x:c>
      <x:c r="C1933" s="27" t="n">
        <x:f>INT(B1933)</x:f>
        <x:v>41910</x:v>
      </x:c>
      <x:c r="D1933" s="28" t="n">
        <x:f>MOD(B1933,1)</x:f>
        <x:v>0.40907407407212304</x:v>
      </x:c>
      <x:c r="E1933" s="29" t="n">
        <x:f>YEAR(B1933)</x:f>
        <x:v>2014</x:v>
      </x:c>
      <x:c r="F1933" s="29" t="n">
        <x:f>MONTH(B1933)</x:f>
        <x:v>9</x:v>
      </x:c>
      <x:c r="G1933" s="30" t="n">
        <x:v>-21.83</x:v>
      </x:c>
      <x:c r="H1933" s="30" t="n">
        <x:v>-68.78</x:v>
      </x:c>
      <x:c r="I1933" s="29" t="n">
        <x:v>129</x:v>
      </x:c>
      <x:c r="J1933" s="31" t="n">
        <x:v>4.7</x:v>
      </x:c>
      <x:c r="K1933" s="25" t="str">
        <x:f>IF(J1933&gt;=7,"Muy fuerte (&gt;=7)",IF(J1933&gt;=6,"Fuerte (6-6.9)",IF(J1933&gt;=5,"Moderado alto (5-5.9)",IF(J1933&gt;=4,"Moderado (4-4.9)","Menor a 4"))))</x:f>
        <x:v>Moderado (4-4.9)</x:v>
      </x:c>
      <x:c r="L1933" s="25" t="str">
        <x:f>IF(I1933&lt;70,"Superficial (&lt;70 km)",IF(I1933&lt;=300,"Intermedio (70-300 km)","Profundo (&gt;300 km)"))</x:f>
        <x:v>Intermedio (70-300 km)</x:v>
      </x:c>
      <x:c r="M1933" s="25" t="str">
        <x:f>IF(J1933&gt;=5,"Sí","No")</x:f>
        <x:v>No</x:v>
      </x:c>
      <x:c r="N1933" s="25" t="str">
        <x:f>IF(J1933&gt;=6,"Sí","No")</x:f>
        <x:v>No</x:v>
      </x:c>
      <x:c r="O1933" s="25" t="str">
        <x:v>Pendiente: asignar con R/sf</x:v>
      </x:c>
    </x:row>
    <x:row r="1934">
      <x:c r="A1934" s="25" t="n">
        <x:v>1933</x:v>
      </x:c>
      <x:c r="B1934" s="26" t="n">
        <x:v>41766.66416666667</x:v>
      </x:c>
      <x:c r="C1934" s="27" t="n">
        <x:f>INT(B1934)</x:f>
        <x:v>41766</x:v>
      </x:c>
      <x:c r="D1934" s="28" t="n">
        <x:f>MOD(B1934,1)</x:f>
        <x:v>0.664166666669189</x:v>
      </x:c>
      <x:c r="E1934" s="29" t="n">
        <x:f>YEAR(B1934)</x:f>
        <x:v>2014</x:v>
      </x:c>
      <x:c r="F1934" s="29" t="n">
        <x:f>MONTH(B1934)</x:f>
        <x:v>5</x:v>
      </x:c>
      <x:c r="G1934" s="30" t="n">
        <x:v>-22.3</x:v>
      </x:c>
      <x:c r="H1934" s="30" t="n">
        <x:v>-68.79</x:v>
      </x:c>
      <x:c r="I1934" s="29" t="n">
        <x:v>119</x:v>
      </x:c>
      <x:c r="J1934" s="31" t="n">
        <x:v>4.5</x:v>
      </x:c>
      <x:c r="K1934" s="25" t="str">
        <x:f>IF(J1934&gt;=7,"Muy fuerte (&gt;=7)",IF(J1934&gt;=6,"Fuerte (6-6.9)",IF(J1934&gt;=5,"Moderado alto (5-5.9)",IF(J1934&gt;=4,"Moderado (4-4.9)","Menor a 4"))))</x:f>
        <x:v>Moderado (4-4.9)</x:v>
      </x:c>
      <x:c r="L1934" s="25" t="str">
        <x:f>IF(I1934&lt;70,"Superficial (&lt;70 km)",IF(I1934&lt;=300,"Intermedio (70-300 km)","Profundo (&gt;300 km)"))</x:f>
        <x:v>Intermedio (70-300 km)</x:v>
      </x:c>
      <x:c r="M1934" s="25" t="str">
        <x:f>IF(J1934&gt;=5,"Sí","No")</x:f>
        <x:v>No</x:v>
      </x:c>
      <x:c r="N1934" s="25" t="str">
        <x:f>IF(J1934&gt;=6,"Sí","No")</x:f>
        <x:v>No</x:v>
      </x:c>
      <x:c r="O1934" s="25" t="str">
        <x:v>Pendiente: asignar con R/sf</x:v>
      </x:c>
    </x:row>
    <x:row r="1935">
      <x:c r="A1935" s="25" t="n">
        <x:v>1934</x:v>
      </x:c>
      <x:c r="B1935" s="26" t="n">
        <x:v>41734.17017361111</x:v>
      </x:c>
      <x:c r="C1935" s="27" t="n">
        <x:f>INT(B1935)</x:f>
        <x:v>41734</x:v>
      </x:c>
      <x:c r="D1935" s="28" t="n">
        <x:f>MOD(B1935,1)</x:f>
        <x:v>0.17017361111356877</x:v>
      </x:c>
      <x:c r="E1935" s="29" t="n">
        <x:f>YEAR(B1935)</x:f>
        <x:v>2014</x:v>
      </x:c>
      <x:c r="F1935" s="29" t="n">
        <x:f>MONTH(B1935)</x:f>
        <x:v>4</x:v>
      </x:c>
      <x:c r="G1935" s="30" t="n">
        <x:v>-20.71</x:v>
      </x:c>
      <x:c r="H1935" s="30" t="n">
        <x:v>-70.69</x:v>
      </x:c>
      <x:c r="I1935" s="29" t="n">
        <x:v>30</x:v>
      </x:c>
      <x:c r="J1935" s="31" t="n">
        <x:v>4.7</x:v>
      </x:c>
      <x:c r="K1935" s="25" t="str">
        <x:f>IF(J1935&gt;=7,"Muy fuerte (&gt;=7)",IF(J1935&gt;=6,"Fuerte (6-6.9)",IF(J1935&gt;=5,"Moderado alto (5-5.9)",IF(J1935&gt;=4,"Moderado (4-4.9)","Menor a 4"))))</x:f>
        <x:v>Moderado (4-4.9)</x:v>
      </x:c>
      <x:c r="L1935" s="25" t="str">
        <x:f>IF(I1935&lt;70,"Superficial (&lt;70 km)",IF(I1935&lt;=300,"Intermedio (70-300 km)","Profundo (&gt;300 km)"))</x:f>
        <x:v>Superficial (&lt;70 km)</x:v>
      </x:c>
      <x:c r="M1935" s="25" t="str">
        <x:f>IF(J1935&gt;=5,"Sí","No")</x:f>
        <x:v>No</x:v>
      </x:c>
      <x:c r="N1935" s="25" t="str">
        <x:f>IF(J1935&gt;=6,"Sí","No")</x:f>
        <x:v>No</x:v>
      </x:c>
      <x:c r="O1935" s="25" t="str">
        <x:v>Pendiente: asignar con R/sf</x:v>
      </x:c>
    </x:row>
    <x:row r="1936">
      <x:c r="A1936" s="25" t="n">
        <x:v>1935</x:v>
      </x:c>
      <x:c r="B1936" s="26" t="n">
        <x:v>41843.90217592593</x:v>
      </x:c>
      <x:c r="C1936" s="27" t="n">
        <x:f>INT(B1936)</x:f>
        <x:v>41843</x:v>
      </x:c>
      <x:c r="D1936" s="28" t="n">
        <x:f>MOD(B1936,1)</x:f>
        <x:v>0.9021759259267128</x:v>
      </x:c>
      <x:c r="E1936" s="29" t="n">
        <x:f>YEAR(B1936)</x:f>
        <x:v>2014</x:v>
      </x:c>
      <x:c r="F1936" s="29" t="n">
        <x:f>MONTH(B1936)</x:f>
        <x:v>7</x:v>
      </x:c>
      <x:c r="G1936" s="30" t="n">
        <x:v>-20.24</x:v>
      </x:c>
      <x:c r="H1936" s="30" t="n">
        <x:v>-68.74</x:v>
      </x:c>
      <x:c r="I1936" s="29" t="n">
        <x:v>122</x:v>
      </x:c>
      <x:c r="J1936" s="31" t="n">
        <x:v>5.5</x:v>
      </x:c>
      <x:c r="K1936" s="25" t="str">
        <x:f>IF(J1936&gt;=7,"Muy fuerte (&gt;=7)",IF(J1936&gt;=6,"Fuerte (6-6.9)",IF(J1936&gt;=5,"Moderado alto (5-5.9)",IF(J1936&gt;=4,"Moderado (4-4.9)","Menor a 4"))))</x:f>
        <x:v>Moderado alto (5-5.9)</x:v>
      </x:c>
      <x:c r="L1936" s="25" t="str">
        <x:f>IF(I1936&lt;70,"Superficial (&lt;70 km)",IF(I1936&lt;=300,"Intermedio (70-300 km)","Profundo (&gt;300 km)"))</x:f>
        <x:v>Intermedio (70-300 km)</x:v>
      </x:c>
      <x:c r="M1936" s="25" t="str">
        <x:f>IF(J1936&gt;=5,"Sí","No")</x:f>
        <x:v>Sí</x:v>
      </x:c>
      <x:c r="N1936" s="25" t="str">
        <x:f>IF(J1936&gt;=6,"Sí","No")</x:f>
        <x:v>No</x:v>
      </x:c>
      <x:c r="O1936" s="25" t="str">
        <x:v>Pendiente: asignar con R/sf</x:v>
      </x:c>
    </x:row>
    <x:row r="1937">
      <x:c r="A1937" s="25" t="n">
        <x:v>1936</x:v>
      </x:c>
      <x:c r="B1937" s="26" t="n">
        <x:v>41715.46686342593</x:v>
      </x:c>
      <x:c r="C1937" s="27" t="n">
        <x:f>INT(B1937)</x:f>
        <x:v>41715</x:v>
      </x:c>
      <x:c r="D1937" s="28" t="n">
        <x:f>MOD(B1937,1)</x:f>
        <x:v>0.4668634259287501</x:v>
      </x:c>
      <x:c r="E1937" s="29" t="n">
        <x:f>YEAR(B1937)</x:f>
        <x:v>2014</x:v>
      </x:c>
      <x:c r="F1937" s="29" t="n">
        <x:f>MONTH(B1937)</x:f>
        <x:v>3</x:v>
      </x:c>
      <x:c r="G1937" s="30" t="n">
        <x:v>-19.91</x:v>
      </x:c>
      <x:c r="H1937" s="30" t="n">
        <x:v>-70.91</x:v>
      </x:c>
      <x:c r="I1937" s="29" t="n">
        <x:v>33</x:v>
      </x:c>
      <x:c r="J1937" s="31" t="n">
        <x:v>5.1</x:v>
      </x:c>
      <x:c r="K1937" s="25" t="str">
        <x:f>IF(J1937&gt;=7,"Muy fuerte (&gt;=7)",IF(J1937&gt;=6,"Fuerte (6-6.9)",IF(J1937&gt;=5,"Moderado alto (5-5.9)",IF(J1937&gt;=4,"Moderado (4-4.9)","Menor a 4"))))</x:f>
        <x:v>Moderado alto (5-5.9)</x:v>
      </x:c>
      <x:c r="L1937" s="25" t="str">
        <x:f>IF(I1937&lt;70,"Superficial (&lt;70 km)",IF(I1937&lt;=300,"Intermedio (70-300 km)","Profundo (&gt;300 km)"))</x:f>
        <x:v>Superficial (&lt;70 km)</x:v>
      </x:c>
      <x:c r="M1937" s="25" t="str">
        <x:f>IF(J1937&gt;=5,"Sí","No")</x:f>
        <x:v>Sí</x:v>
      </x:c>
      <x:c r="N1937" s="25" t="str">
        <x:f>IF(J1937&gt;=6,"Sí","No")</x:f>
        <x:v>No</x:v>
      </x:c>
      <x:c r="O1937" s="25" t="str">
        <x:v>Pendiente: asignar con R/sf</x:v>
      </x:c>
    </x:row>
    <x:row r="1938">
      <x:c r="A1938" s="25" t="n">
        <x:v>1937</x:v>
      </x:c>
      <x:c r="B1938" s="26" t="n">
        <x:v>41734.02358796296</x:v>
      </x:c>
      <x:c r="C1938" s="27" t="n">
        <x:f>INT(B1938)</x:f>
        <x:v>41734</x:v>
      </x:c>
      <x:c r="D1938" s="28" t="n">
        <x:f>MOD(B1938,1)</x:f>
        <x:v>0.023587962961755693</x:v>
      </x:c>
      <x:c r="E1938" s="29" t="n">
        <x:f>YEAR(B1938)</x:f>
        <x:v>2014</x:v>
      </x:c>
      <x:c r="F1938" s="29" t="n">
        <x:f>MONTH(B1938)</x:f>
        <x:v>4</x:v>
      </x:c>
      <x:c r="G1938" s="30" t="n">
        <x:v>-20.17</x:v>
      </x:c>
      <x:c r="H1938" s="30" t="n">
        <x:v>-70.52</x:v>
      </x:c>
      <x:c r="I1938" s="29" t="n">
        <x:v>37</x:v>
      </x:c>
      <x:c r="J1938" s="31" t="n">
        <x:v>4.8</x:v>
      </x:c>
      <x:c r="K1938" s="25" t="str">
        <x:f>IF(J1938&gt;=7,"Muy fuerte (&gt;=7)",IF(J1938&gt;=6,"Fuerte (6-6.9)",IF(J1938&gt;=5,"Moderado alto (5-5.9)",IF(J1938&gt;=4,"Moderado (4-4.9)","Menor a 4"))))</x:f>
        <x:v>Moderado (4-4.9)</x:v>
      </x:c>
      <x:c r="L1938" s="25" t="str">
        <x:f>IF(I1938&lt;70,"Superficial (&lt;70 km)",IF(I1938&lt;=300,"Intermedio (70-300 km)","Profundo (&gt;300 km)"))</x:f>
        <x:v>Superficial (&lt;70 km)</x:v>
      </x:c>
      <x:c r="M1938" s="25" t="str">
        <x:f>IF(J1938&gt;=5,"Sí","No")</x:f>
        <x:v>No</x:v>
      </x:c>
      <x:c r="N1938" s="25" t="str">
        <x:f>IF(J1938&gt;=6,"Sí","No")</x:f>
        <x:v>No</x:v>
      </x:c>
      <x:c r="O1938" s="25" t="str">
        <x:v>Pendiente: asignar con R/sf</x:v>
      </x:c>
    </x:row>
    <x:row r="1939">
      <x:c r="A1939" s="25" t="n">
        <x:v>1938</x:v>
      </x:c>
      <x:c r="B1939" s="26" t="n">
        <x:v>42000.92091435185</x:v>
      </x:c>
      <x:c r="C1939" s="27" t="n">
        <x:f>INT(B1939)</x:f>
        <x:v>42000</x:v>
      </x:c>
      <x:c r="D1939" s="28" t="n">
        <x:f>MOD(B1939,1)</x:f>
        <x:v>0.9209143518528435</x:v>
      </x:c>
      <x:c r="E1939" s="29" t="n">
        <x:f>YEAR(B1939)</x:f>
        <x:v>2014</x:v>
      </x:c>
      <x:c r="F1939" s="29" t="n">
        <x:f>MONTH(B1939)</x:f>
        <x:v>12</x:v>
      </x:c>
      <x:c r="G1939" s="30" t="n">
        <x:v>-30.17</x:v>
      </x:c>
      <x:c r="H1939" s="30" t="n">
        <x:v>-71.47</x:v>
      </x:c>
      <x:c r="I1939" s="29" t="n">
        <x:v>32</x:v>
      </x:c>
      <x:c r="J1939" s="31" t="n">
        <x:v>4.6</x:v>
      </x:c>
      <x:c r="K1939" s="25" t="str">
        <x:f>IF(J1939&gt;=7,"Muy fuerte (&gt;=7)",IF(J1939&gt;=6,"Fuerte (6-6.9)",IF(J1939&gt;=5,"Moderado alto (5-5.9)",IF(J1939&gt;=4,"Moderado (4-4.9)","Menor a 4"))))</x:f>
        <x:v>Moderado (4-4.9)</x:v>
      </x:c>
      <x:c r="L1939" s="25" t="str">
        <x:f>IF(I1939&lt;70,"Superficial (&lt;70 km)",IF(I1939&lt;=300,"Intermedio (70-300 km)","Profundo (&gt;300 km)"))</x:f>
        <x:v>Superficial (&lt;70 km)</x:v>
      </x:c>
      <x:c r="M1939" s="25" t="str">
        <x:f>IF(J1939&gt;=5,"Sí","No")</x:f>
        <x:v>No</x:v>
      </x:c>
      <x:c r="N1939" s="25" t="str">
        <x:f>IF(J1939&gt;=6,"Sí","No")</x:f>
        <x:v>No</x:v>
      </x:c>
      <x:c r="O1939" s="25" t="str">
        <x:v>Pendiente: asignar con R/sf</x:v>
      </x:c>
    </x:row>
    <x:row r="1940">
      <x:c r="A1940" s="25" t="n">
        <x:v>1939</x:v>
      </x:c>
      <x:c r="B1940" s="26" t="n">
        <x:v>41753.38428240741</x:v>
      </x:c>
      <x:c r="C1940" s="27" t="n">
        <x:f>INT(B1940)</x:f>
        <x:v>41753</x:v>
      </x:c>
      <x:c r="D1940" s="28" t="n">
        <x:f>MOD(B1940,1)</x:f>
        <x:v>0.38428240740904585</x:v>
      </x:c>
      <x:c r="E1940" s="29" t="n">
        <x:f>YEAR(B1940)</x:f>
        <x:v>2014</x:v>
      </x:c>
      <x:c r="F1940" s="29" t="n">
        <x:f>MONTH(B1940)</x:f>
        <x:v>4</x:v>
      </x:c>
      <x:c r="G1940" s="30" t="n">
        <x:v>-18.08</x:v>
      </x:c>
      <x:c r="H1940" s="30" t="n">
        <x:v>-69.36</x:v>
      </x:c>
      <x:c r="I1940" s="29" t="n">
        <x:v>128</x:v>
      </x:c>
      <x:c r="J1940" s="31" t="n">
        <x:v>4.3</x:v>
      </x:c>
      <x:c r="K1940" s="25" t="str">
        <x:f>IF(J1940&gt;=7,"Muy fuerte (&gt;=7)",IF(J1940&gt;=6,"Fuerte (6-6.9)",IF(J1940&gt;=5,"Moderado alto (5-5.9)",IF(J1940&gt;=4,"Moderado (4-4.9)","Menor a 4"))))</x:f>
        <x:v>Moderado (4-4.9)</x:v>
      </x:c>
      <x:c r="L1940" s="25" t="str">
        <x:f>IF(I1940&lt;70,"Superficial (&lt;70 km)",IF(I1940&lt;=300,"Intermedio (70-300 km)","Profundo (&gt;300 km)"))</x:f>
        <x:v>Intermedio (70-300 km)</x:v>
      </x:c>
      <x:c r="M1940" s="25" t="str">
        <x:f>IF(J1940&gt;=5,"Sí","No")</x:f>
        <x:v>No</x:v>
      </x:c>
      <x:c r="N1940" s="25" t="str">
        <x:f>IF(J1940&gt;=6,"Sí","No")</x:f>
        <x:v>No</x:v>
      </x:c>
      <x:c r="O1940" s="25" t="str">
        <x:v>Pendiente: asignar con R/sf</x:v>
      </x:c>
    </x:row>
    <x:row r="1941">
      <x:c r="A1941" s="25" t="n">
        <x:v>1940</x:v>
      </x:c>
      <x:c r="B1941" s="26" t="n">
        <x:v>41901.43258101852</x:v>
      </x:c>
      <x:c r="C1941" s="27" t="n">
        <x:f>INT(B1941)</x:f>
        <x:v>41901</x:v>
      </x:c>
      <x:c r="D1941" s="28" t="n">
        <x:f>MOD(B1941,1)</x:f>
        <x:v>0.43258101851824904</x:v>
      </x:c>
      <x:c r="E1941" s="29" t="n">
        <x:f>YEAR(B1941)</x:f>
        <x:v>2014</x:v>
      </x:c>
      <x:c r="F1941" s="29" t="n">
        <x:f>MONTH(B1941)</x:f>
        <x:v>9</x:v>
      </x:c>
      <x:c r="G1941" s="30" t="n">
        <x:v>-35.66</x:v>
      </x:c>
      <x:c r="H1941" s="30" t="n">
        <x:v>-73.06</x:v>
      </x:c>
      <x:c r="I1941" s="29" t="n">
        <x:v>35</x:v>
      </x:c>
      <x:c r="J1941" s="31" t="n">
        <x:v>4.8</x:v>
      </x:c>
      <x:c r="K1941" s="25" t="str">
        <x:f>IF(J1941&gt;=7,"Muy fuerte (&gt;=7)",IF(J1941&gt;=6,"Fuerte (6-6.9)",IF(J1941&gt;=5,"Moderado alto (5-5.9)",IF(J1941&gt;=4,"Moderado (4-4.9)","Menor a 4"))))</x:f>
        <x:v>Moderado (4-4.9)</x:v>
      </x:c>
      <x:c r="L1941" s="25" t="str">
        <x:f>IF(I1941&lt;70,"Superficial (&lt;70 km)",IF(I1941&lt;=300,"Intermedio (70-300 km)","Profundo (&gt;300 km)"))</x:f>
        <x:v>Superficial (&lt;70 km)</x:v>
      </x:c>
      <x:c r="M1941" s="25" t="str">
        <x:f>IF(J1941&gt;=5,"Sí","No")</x:f>
        <x:v>No</x:v>
      </x:c>
      <x:c r="N1941" s="25" t="str">
        <x:f>IF(J1941&gt;=6,"Sí","No")</x:f>
        <x:v>No</x:v>
      </x:c>
      <x:c r="O1941" s="25" t="str">
        <x:v>Pendiente: asignar con R/sf</x:v>
      </x:c>
    </x:row>
    <x:row r="1942">
      <x:c r="A1942" s="25" t="n">
        <x:v>1941</x:v>
      </x:c>
      <x:c r="B1942" s="26" t="n">
        <x:v>41774.561273148145</x:v>
      </x:c>
      <x:c r="C1942" s="27" t="n">
        <x:f>INT(B1942)</x:f>
        <x:v>41774</x:v>
      </x:c>
      <x:c r="D1942" s="28" t="n">
        <x:f>MOD(B1942,1)</x:f>
        <x:v>0.5612731481451192</x:v>
      </x:c>
      <x:c r="E1942" s="29" t="n">
        <x:f>YEAR(B1942)</x:f>
        <x:v>2014</x:v>
      </x:c>
      <x:c r="F1942" s="29" t="n">
        <x:f>MONTH(B1942)</x:f>
        <x:v>5</x:v>
      </x:c>
      <x:c r="G1942" s="30" t="n">
        <x:v>-32.14</x:v>
      </x:c>
      <x:c r="H1942" s="30" t="n">
        <x:v>-71.76</x:v>
      </x:c>
      <x:c r="I1942" s="29" t="n">
        <x:v>20</x:v>
      </x:c>
      <x:c r="J1942" s="31" t="n">
        <x:v>4.2</x:v>
      </x:c>
      <x:c r="K1942" s="25" t="str">
        <x:f>IF(J1942&gt;=7,"Muy fuerte (&gt;=7)",IF(J1942&gt;=6,"Fuerte (6-6.9)",IF(J1942&gt;=5,"Moderado alto (5-5.9)",IF(J1942&gt;=4,"Moderado (4-4.9)","Menor a 4"))))</x:f>
        <x:v>Moderado (4-4.9)</x:v>
      </x:c>
      <x:c r="L1942" s="25" t="str">
        <x:f>IF(I1942&lt;70,"Superficial (&lt;70 km)",IF(I1942&lt;=300,"Intermedio (70-300 km)","Profundo (&gt;300 km)"))</x:f>
        <x:v>Superficial (&lt;70 km)</x:v>
      </x:c>
      <x:c r="M1942" s="25" t="str">
        <x:f>IF(J1942&gt;=5,"Sí","No")</x:f>
        <x:v>No</x:v>
      </x:c>
      <x:c r="N1942" s="25" t="str">
        <x:f>IF(J1942&gt;=6,"Sí","No")</x:f>
        <x:v>No</x:v>
      </x:c>
      <x:c r="O1942" s="25" t="str">
        <x:v>Pendiente: asignar con R/sf</x:v>
      </x:c>
    </x:row>
    <x:row r="1943">
      <x:c r="A1943" s="25" t="n">
        <x:v>1942</x:v>
      </x:c>
      <x:c r="B1943" s="26" t="n">
        <x:v>41874.974907407406</x:v>
      </x:c>
      <x:c r="C1943" s="27" t="n">
        <x:f>INT(B1943)</x:f>
        <x:v>41874</x:v>
      </x:c>
      <x:c r="D1943" s="28" t="n">
        <x:f>MOD(B1943,1)</x:f>
        <x:v>0.9749074074061355</x:v>
      </x:c>
      <x:c r="E1943" s="29" t="n">
        <x:f>YEAR(B1943)</x:f>
        <x:v>2014</x:v>
      </x:c>
      <x:c r="F1943" s="29" t="n">
        <x:f>MONTH(B1943)</x:f>
        <x:v>8</x:v>
      </x:c>
      <x:c r="G1943" s="30" t="n">
        <x:v>-32.76</x:v>
      </x:c>
      <x:c r="H1943" s="30" t="n">
        <x:v>-71.54</x:v>
      </x:c>
      <x:c r="I1943" s="29" t="n">
        <x:v>40</x:v>
      </x:c>
      <x:c r="J1943" s="31" t="n">
        <x:v>4</x:v>
      </x:c>
      <x:c r="K1943" s="25" t="str">
        <x:f>IF(J1943&gt;=7,"Muy fuerte (&gt;=7)",IF(J1943&gt;=6,"Fuerte (6-6.9)",IF(J1943&gt;=5,"Moderado alto (5-5.9)",IF(J1943&gt;=4,"Moderado (4-4.9)","Menor a 4"))))</x:f>
        <x:v>Moderado (4-4.9)</x:v>
      </x:c>
      <x:c r="L1943" s="25" t="str">
        <x:f>IF(I1943&lt;70,"Superficial (&lt;70 km)",IF(I1943&lt;=300,"Intermedio (70-300 km)","Profundo (&gt;300 km)"))</x:f>
        <x:v>Superficial (&lt;70 km)</x:v>
      </x:c>
      <x:c r="M1943" s="25" t="str">
        <x:f>IF(J1943&gt;=5,"Sí","No")</x:f>
        <x:v>No</x:v>
      </x:c>
      <x:c r="N1943" s="25" t="str">
        <x:f>IF(J1943&gt;=6,"Sí","No")</x:f>
        <x:v>No</x:v>
      </x:c>
      <x:c r="O1943" s="25" t="str">
        <x:v>Pendiente: asignar con R/sf</x:v>
      </x:c>
    </x:row>
    <x:row r="1944">
      <x:c r="A1944" s="25" t="n">
        <x:v>1943</x:v>
      </x:c>
      <x:c r="B1944" s="26" t="n">
        <x:v>41732.24427083333</x:v>
      </x:c>
      <x:c r="C1944" s="27" t="n">
        <x:f>INT(B1944)</x:f>
        <x:v>41732</x:v>
      </x:c>
      <x:c r="D1944" s="28" t="n">
        <x:f>MOD(B1944,1)</x:f>
        <x:v>0.24427083333284827</x:v>
      </x:c>
      <x:c r="E1944" s="29" t="n">
        <x:f>YEAR(B1944)</x:f>
        <x:v>2014</x:v>
      </x:c>
      <x:c r="F1944" s="29" t="n">
        <x:f>MONTH(B1944)</x:f>
        <x:v>4</x:v>
      </x:c>
      <x:c r="G1944" s="30" t="n">
        <x:v>-20.77</x:v>
      </x:c>
      <x:c r="H1944" s="30" t="n">
        <x:v>-70.44</x:v>
      </x:c>
      <x:c r="I1944" s="29" t="n">
        <x:v>31</x:v>
      </x:c>
      <x:c r="J1944" s="31" t="n">
        <x:v>5.5</x:v>
      </x:c>
      <x:c r="K1944" s="25" t="str">
        <x:f>IF(J1944&gt;=7,"Muy fuerte (&gt;=7)",IF(J1944&gt;=6,"Fuerte (6-6.9)",IF(J1944&gt;=5,"Moderado alto (5-5.9)",IF(J1944&gt;=4,"Moderado (4-4.9)","Menor a 4"))))</x:f>
        <x:v>Moderado alto (5-5.9)</x:v>
      </x:c>
      <x:c r="L1944" s="25" t="str">
        <x:f>IF(I1944&lt;70,"Superficial (&lt;70 km)",IF(I1944&lt;=300,"Intermedio (70-300 km)","Profundo (&gt;300 km)"))</x:f>
        <x:v>Superficial (&lt;70 km)</x:v>
      </x:c>
      <x:c r="M1944" s="25" t="str">
        <x:f>IF(J1944&gt;=5,"Sí","No")</x:f>
        <x:v>Sí</x:v>
      </x:c>
      <x:c r="N1944" s="25" t="str">
        <x:f>IF(J1944&gt;=6,"Sí","No")</x:f>
        <x:v>No</x:v>
      </x:c>
      <x:c r="O1944" s="25" t="str">
        <x:v>Pendiente: asignar con R/sf</x:v>
      </x:c>
    </x:row>
    <x:row r="1945">
      <x:c r="A1945" s="25" t="n">
        <x:v>1944</x:v>
      </x:c>
      <x:c r="B1945" s="26" t="n">
        <x:v>41733.412094907406</x:v>
      </x:c>
      <x:c r="C1945" s="27" t="n">
        <x:f>INT(B1945)</x:f>
        <x:v>41733</x:v>
      </x:c>
      <x:c r="D1945" s="28" t="n">
        <x:f>MOD(B1945,1)</x:f>
        <x:v>0.4120949074058444</x:v>
      </x:c>
      <x:c r="E1945" s="29" t="n">
        <x:f>YEAR(B1945)</x:f>
        <x:v>2014</x:v>
      </x:c>
      <x:c r="F1945" s="29" t="n">
        <x:f>MONTH(B1945)</x:f>
        <x:v>4</x:v>
      </x:c>
      <x:c r="G1945" s="30" t="n">
        <x:v>-20.62</x:v>
      </x:c>
      <x:c r="H1945" s="30" t="n">
        <x:v>-70.7</x:v>
      </x:c>
      <x:c r="I1945" s="29" t="n">
        <x:v>20</x:v>
      </x:c>
      <x:c r="J1945" s="31" t="n">
        <x:v>4.6</x:v>
      </x:c>
      <x:c r="K1945" s="25" t="str">
        <x:f>IF(J1945&gt;=7,"Muy fuerte (&gt;=7)",IF(J1945&gt;=6,"Fuerte (6-6.9)",IF(J1945&gt;=5,"Moderado alto (5-5.9)",IF(J1945&gt;=4,"Moderado (4-4.9)","Menor a 4"))))</x:f>
        <x:v>Moderado (4-4.9)</x:v>
      </x:c>
      <x:c r="L1945" s="25" t="str">
        <x:f>IF(I1945&lt;70,"Superficial (&lt;70 km)",IF(I1945&lt;=300,"Intermedio (70-300 km)","Profundo (&gt;300 km)"))</x:f>
        <x:v>Superficial (&lt;70 km)</x:v>
      </x:c>
      <x:c r="M1945" s="25" t="str">
        <x:f>IF(J1945&gt;=5,"Sí","No")</x:f>
        <x:v>No</x:v>
      </x:c>
      <x:c r="N1945" s="25" t="str">
        <x:f>IF(J1945&gt;=6,"Sí","No")</x:f>
        <x:v>No</x:v>
      </x:c>
      <x:c r="O1945" s="25" t="str">
        <x:v>Pendiente: asignar con R/sf</x:v>
      </x:c>
    </x:row>
    <x:row r="1946">
      <x:c r="A1946" s="25" t="n">
        <x:v>1945</x:v>
      </x:c>
      <x:c r="B1946" s="26" t="n">
        <x:v>41731.023460648146</x:v>
      </x:c>
      <x:c r="C1946" s="27" t="n">
        <x:f>INT(B1946)</x:f>
        <x:v>41731</x:v>
      </x:c>
      <x:c r="D1946" s="28" t="n">
        <x:f>MOD(B1946,1)</x:f>
        <x:v>0.023460648146283347</x:v>
      </x:c>
      <x:c r="E1946" s="29" t="n">
        <x:f>YEAR(B1946)</x:f>
        <x:v>2014</x:v>
      </x:c>
      <x:c r="F1946" s="29" t="n">
        <x:f>MONTH(B1946)</x:f>
        <x:v>4</x:v>
      </x:c>
      <x:c r="G1946" s="30" t="n">
        <x:v>-20.19</x:v>
      </x:c>
      <x:c r="H1946" s="30" t="n">
        <x:v>-70.82</x:v>
      </x:c>
      <x:c r="I1946" s="29" t="n">
        <x:v>23</x:v>
      </x:c>
      <x:c r="J1946" s="31" t="n">
        <x:v>5.4</x:v>
      </x:c>
      <x:c r="K1946" s="25" t="str">
        <x:f>IF(J1946&gt;=7,"Muy fuerte (&gt;=7)",IF(J1946&gt;=6,"Fuerte (6-6.9)",IF(J1946&gt;=5,"Moderado alto (5-5.9)",IF(J1946&gt;=4,"Moderado (4-4.9)","Menor a 4"))))</x:f>
        <x:v>Moderado alto (5-5.9)</x:v>
      </x:c>
      <x:c r="L1946" s="25" t="str">
        <x:f>IF(I1946&lt;70,"Superficial (&lt;70 km)",IF(I1946&lt;=300,"Intermedio (70-300 km)","Profundo (&gt;300 km)"))</x:f>
        <x:v>Superficial (&lt;70 km)</x:v>
      </x:c>
      <x:c r="M1946" s="25" t="str">
        <x:f>IF(J1946&gt;=5,"Sí","No")</x:f>
        <x:v>Sí</x:v>
      </x:c>
      <x:c r="N1946" s="25" t="str">
        <x:f>IF(J1946&gt;=6,"Sí","No")</x:f>
        <x:v>No</x:v>
      </x:c>
      <x:c r="O1946" s="25" t="str">
        <x:v>Pendiente: asignar con R/sf</x:v>
      </x:c>
    </x:row>
    <x:row r="1947">
      <x:c r="A1947" s="25" t="n">
        <x:v>1946</x:v>
      </x:c>
      <x:c r="B1947" s="26" t="n">
        <x:v>41668.41792824074</x:v>
      </x:c>
      <x:c r="C1947" s="27" t="n">
        <x:f>INT(B1947)</x:f>
        <x:v>41668</x:v>
      </x:c>
      <x:c r="D1947" s="28" t="n">
        <x:f>MOD(B1947,1)</x:f>
        <x:v>0.41792824074218515</x:v>
      </x:c>
      <x:c r="E1947" s="29" t="n">
        <x:f>YEAR(B1947)</x:f>
        <x:v>2014</x:v>
      </x:c>
      <x:c r="F1947" s="29" t="n">
        <x:f>MONTH(B1947)</x:f>
        <x:v>1</x:v>
      </x:c>
      <x:c r="G1947" s="30" t="n">
        <x:v>-18.56</x:v>
      </x:c>
      <x:c r="H1947" s="30" t="n">
        <x:v>-69.6</x:v>
      </x:c>
      <x:c r="I1947" s="29" t="n">
        <x:v>122</x:v>
      </x:c>
      <x:c r="J1947" s="31" t="n">
        <x:v>5.3</x:v>
      </x:c>
      <x:c r="K1947" s="25" t="str">
        <x:f>IF(J1947&gt;=7,"Muy fuerte (&gt;=7)",IF(J1947&gt;=6,"Fuerte (6-6.9)",IF(J1947&gt;=5,"Moderado alto (5-5.9)",IF(J1947&gt;=4,"Moderado (4-4.9)","Menor a 4"))))</x:f>
        <x:v>Moderado alto (5-5.9)</x:v>
      </x:c>
      <x:c r="L1947" s="25" t="str">
        <x:f>IF(I1947&lt;70,"Superficial (&lt;70 km)",IF(I1947&lt;=300,"Intermedio (70-300 km)","Profundo (&gt;300 km)"))</x:f>
        <x:v>Intermedio (70-300 km)</x:v>
      </x:c>
      <x:c r="M1947" s="25" t="str">
        <x:f>IF(J1947&gt;=5,"Sí","No")</x:f>
        <x:v>Sí</x:v>
      </x:c>
      <x:c r="N1947" s="25" t="str">
        <x:f>IF(J1947&gt;=6,"Sí","No")</x:f>
        <x:v>No</x:v>
      </x:c>
      <x:c r="O1947" s="25" t="str">
        <x:v>Pendiente: asignar con R/sf</x:v>
      </x:c>
    </x:row>
    <x:row r="1948">
      <x:c r="A1948" s="25" t="n">
        <x:v>1947</x:v>
      </x:c>
      <x:c r="B1948" s="26" t="n">
        <x:v>41745.13484953704</x:v>
      </x:c>
      <x:c r="C1948" s="27" t="n">
        <x:f>INT(B1948)</x:f>
        <x:v>41745</x:v>
      </x:c>
      <x:c r="D1948" s="28" t="n">
        <x:f>MOD(B1948,1)</x:f>
        <x:v>0.13484953704028158</x:v>
      </x:c>
      <x:c r="E1948" s="29" t="n">
        <x:f>YEAR(B1948)</x:f>
        <x:v>2014</x:v>
      </x:c>
      <x:c r="F1948" s="29" t="n">
        <x:f>MONTH(B1948)</x:f>
        <x:v>4</x:v>
      </x:c>
      <x:c r="G1948" s="30" t="n">
        <x:v>-20.18</x:v>
      </x:c>
      <x:c r="H1948" s="30" t="n">
        <x:v>-70.85</x:v>
      </x:c>
      <x:c r="I1948" s="29" t="n">
        <x:v>37</x:v>
      </x:c>
      <x:c r="J1948" s="31" t="n">
        <x:v>5.3</x:v>
      </x:c>
      <x:c r="K1948" s="25" t="str">
        <x:f>IF(J1948&gt;=7,"Muy fuerte (&gt;=7)",IF(J1948&gt;=6,"Fuerte (6-6.9)",IF(J1948&gt;=5,"Moderado alto (5-5.9)",IF(J1948&gt;=4,"Moderado (4-4.9)","Menor a 4"))))</x:f>
        <x:v>Moderado alto (5-5.9)</x:v>
      </x:c>
      <x:c r="L1948" s="25" t="str">
        <x:f>IF(I1948&lt;70,"Superficial (&lt;70 km)",IF(I1948&lt;=300,"Intermedio (70-300 km)","Profundo (&gt;300 km)"))</x:f>
        <x:v>Superficial (&lt;70 km)</x:v>
      </x:c>
      <x:c r="M1948" s="25" t="str">
        <x:f>IF(J1948&gt;=5,"Sí","No")</x:f>
        <x:v>Sí</x:v>
      </x:c>
      <x:c r="N1948" s="25" t="str">
        <x:f>IF(J1948&gt;=6,"Sí","No")</x:f>
        <x:v>No</x:v>
      </x:c>
      <x:c r="O1948" s="25" t="str">
        <x:v>Pendiente: asignar con R/sf</x:v>
      </x:c>
    </x:row>
    <x:row r="1949">
      <x:c r="A1949" s="25" t="n">
        <x:v>1948</x:v>
      </x:c>
      <x:c r="B1949" s="26" t="n">
        <x:v>41732.2265625</x:v>
      </x:c>
      <x:c r="C1949" s="27" t="n">
        <x:f>INT(B1949)</x:f>
        <x:v>41732</x:v>
      </x:c>
      <x:c r="D1949" s="28" t="n">
        <x:f>MOD(B1949,1)</x:f>
        <x:v>0.2265625</x:v>
      </x:c>
      <x:c r="E1949" s="29" t="n">
        <x:f>YEAR(B1949)</x:f>
        <x:v>2014</x:v>
      </x:c>
      <x:c r="F1949" s="29" t="n">
        <x:f>MONTH(B1949)</x:f>
        <x:v>4</x:v>
      </x:c>
      <x:c r="G1949" s="30" t="n">
        <x:v>-20.8</x:v>
      </x:c>
      <x:c r="H1949" s="30" t="n">
        <x:v>-70.67</x:v>
      </x:c>
      <x:c r="I1949" s="29" t="n">
        <x:v>30</x:v>
      </x:c>
      <x:c r="J1949" s="31" t="n">
        <x:v>6.3</x:v>
      </x:c>
      <x:c r="K1949" s="25" t="str">
        <x:f>IF(J1949&gt;=7,"Muy fuerte (&gt;=7)",IF(J1949&gt;=6,"Fuerte (6-6.9)",IF(J1949&gt;=5,"Moderado alto (5-5.9)",IF(J1949&gt;=4,"Moderado (4-4.9)","Menor a 4"))))</x:f>
        <x:v>Fuerte (6-6.9)</x:v>
      </x:c>
      <x:c r="L1949" s="25" t="str">
        <x:f>IF(I1949&lt;70,"Superficial (&lt;70 km)",IF(I1949&lt;=300,"Intermedio (70-300 km)","Profundo (&gt;300 km)"))</x:f>
        <x:v>Superficial (&lt;70 km)</x:v>
      </x:c>
      <x:c r="M1949" s="25" t="str">
        <x:f>IF(J1949&gt;=5,"Sí","No")</x:f>
        <x:v>Sí</x:v>
      </x:c>
      <x:c r="N1949" s="25" t="str">
        <x:f>IF(J1949&gt;=6,"Sí","No")</x:f>
        <x:v>Sí</x:v>
      </x:c>
      <x:c r="O1949" s="25" t="str">
        <x:v>Pendiente: asignar con R/sf</x:v>
      </x:c>
    </x:row>
    <x:row r="1950">
      <x:c r="A1950" s="25" t="n">
        <x:v>1949</x:v>
      </x:c>
      <x:c r="B1950" s="26" t="n">
        <x:v>41753.01721064815</x:v>
      </x:c>
      <x:c r="C1950" s="27" t="n">
        <x:f>INT(B1950)</x:f>
        <x:v>41753</x:v>
      </x:c>
      <x:c r="D1950" s="28" t="n">
        <x:f>MOD(B1950,1)</x:f>
        <x:v>0.01721064814773854</x:v>
      </x:c>
      <x:c r="E1950" s="29" t="n">
        <x:f>YEAR(B1950)</x:f>
        <x:v>2014</x:v>
      </x:c>
      <x:c r="F1950" s="29" t="n">
        <x:f>MONTH(B1950)</x:f>
        <x:v>4</x:v>
      </x:c>
      <x:c r="G1950" s="30" t="n">
        <x:v>-20.01</x:v>
      </x:c>
      <x:c r="H1950" s="30" t="n">
        <x:v>-69.15</x:v>
      </x:c>
      <x:c r="I1950" s="29" t="n">
        <x:v>94</x:v>
      </x:c>
      <x:c r="J1950" s="31" t="n">
        <x:v>4.2</x:v>
      </x:c>
      <x:c r="K1950" s="25" t="str">
        <x:f>IF(J1950&gt;=7,"Muy fuerte (&gt;=7)",IF(J1950&gt;=6,"Fuerte (6-6.9)",IF(J1950&gt;=5,"Moderado alto (5-5.9)",IF(J1950&gt;=4,"Moderado (4-4.9)","Menor a 4"))))</x:f>
        <x:v>Moderado (4-4.9)</x:v>
      </x:c>
      <x:c r="L1950" s="25" t="str">
        <x:f>IF(I1950&lt;70,"Superficial (&lt;70 km)",IF(I1950&lt;=300,"Intermedio (70-300 km)","Profundo (&gt;300 km)"))</x:f>
        <x:v>Intermedio (70-300 km)</x:v>
      </x:c>
      <x:c r="M1950" s="25" t="str">
        <x:f>IF(J1950&gt;=5,"Sí","No")</x:f>
        <x:v>No</x:v>
      </x:c>
      <x:c r="N1950" s="25" t="str">
        <x:f>IF(J1950&gt;=6,"Sí","No")</x:f>
        <x:v>No</x:v>
      </x:c>
      <x:c r="O1950" s="25" t="str">
        <x:v>Pendiente: asignar con R/sf</x:v>
      </x:c>
    </x:row>
    <x:row r="1951">
      <x:c r="A1951" s="25" t="n">
        <x:v>1950</x:v>
      </x:c>
      <x:c r="B1951" s="26" t="n">
        <x:v>41740.500601851854</x:v>
      </x:c>
      <x:c r="C1951" s="27" t="n">
        <x:f>INT(B1951)</x:f>
        <x:v>41740</x:v>
      </x:c>
      <x:c r="D1951" s="28" t="n">
        <x:f>MOD(B1951,1)</x:f>
        <x:v>0.5006018518542987</x:v>
      </x:c>
      <x:c r="E1951" s="29" t="n">
        <x:f>YEAR(B1951)</x:f>
        <x:v>2014</x:v>
      </x:c>
      <x:c r="F1951" s="29" t="n">
        <x:f>MONTH(B1951)</x:f>
        <x:v>4</x:v>
      </x:c>
      <x:c r="G1951" s="30" t="n">
        <x:v>-20.08</x:v>
      </x:c>
      <x:c r="H1951" s="30" t="n">
        <x:v>-70.51</x:v>
      </x:c>
      <x:c r="I1951" s="29" t="n">
        <x:v>40</x:v>
      </x:c>
      <x:c r="J1951" s="31" t="n">
        <x:v>5.3</x:v>
      </x:c>
      <x:c r="K1951" s="25" t="str">
        <x:f>IF(J1951&gt;=7,"Muy fuerte (&gt;=7)",IF(J1951&gt;=6,"Fuerte (6-6.9)",IF(J1951&gt;=5,"Moderado alto (5-5.9)",IF(J1951&gt;=4,"Moderado (4-4.9)","Menor a 4"))))</x:f>
        <x:v>Moderado alto (5-5.9)</x:v>
      </x:c>
      <x:c r="L1951" s="25" t="str">
        <x:f>IF(I1951&lt;70,"Superficial (&lt;70 km)",IF(I1951&lt;=300,"Intermedio (70-300 km)","Profundo (&gt;300 km)"))</x:f>
        <x:v>Superficial (&lt;70 km)</x:v>
      </x:c>
      <x:c r="M1951" s="25" t="str">
        <x:f>IF(J1951&gt;=5,"Sí","No")</x:f>
        <x:v>Sí</x:v>
      </x:c>
      <x:c r="N1951" s="25" t="str">
        <x:f>IF(J1951&gt;=6,"Sí","No")</x:f>
        <x:v>No</x:v>
      </x:c>
      <x:c r="O1951" s="25" t="str">
        <x:v>Pendiente: asignar con R/sf</x:v>
      </x:c>
    </x:row>
    <x:row r="1952">
      <x:c r="A1952" s="25" t="n">
        <x:v>1951</x:v>
      </x:c>
      <x:c r="B1952" s="26" t="n">
        <x:v>41764.129525462966</x:v>
      </x:c>
      <x:c r="C1952" s="27" t="n">
        <x:f>INT(B1952)</x:f>
        <x:v>41764</x:v>
      </x:c>
      <x:c r="D1952" s="28" t="n">
        <x:f>MOD(B1952,1)</x:f>
        <x:v>0.12952546296583023</x:v>
      </x:c>
      <x:c r="E1952" s="29" t="n">
        <x:f>YEAR(B1952)</x:f>
        <x:v>2014</x:v>
      </x:c>
      <x:c r="F1952" s="29" t="n">
        <x:f>MONTH(B1952)</x:f>
        <x:v>5</x:v>
      </x:c>
      <x:c r="G1952" s="30" t="n">
        <x:v>-19.93</x:v>
      </x:c>
      <x:c r="H1952" s="30" t="n">
        <x:v>-70.88</x:v>
      </x:c>
      <x:c r="I1952" s="29" t="n">
        <x:v>41</x:v>
      </x:c>
      <x:c r="J1952" s="31" t="n">
        <x:v>4.1</x:v>
      </x:c>
      <x:c r="K1952" s="25" t="str">
        <x:f>IF(J1952&gt;=7,"Muy fuerte (&gt;=7)",IF(J1952&gt;=6,"Fuerte (6-6.9)",IF(J1952&gt;=5,"Moderado alto (5-5.9)",IF(J1952&gt;=4,"Moderado (4-4.9)","Menor a 4"))))</x:f>
        <x:v>Moderado (4-4.9)</x:v>
      </x:c>
      <x:c r="L1952" s="25" t="str">
        <x:f>IF(I1952&lt;70,"Superficial (&lt;70 km)",IF(I1952&lt;=300,"Intermedio (70-300 km)","Profundo (&gt;300 km)"))</x:f>
        <x:v>Superficial (&lt;70 km)</x:v>
      </x:c>
      <x:c r="M1952" s="25" t="str">
        <x:f>IF(J1952&gt;=5,"Sí","No")</x:f>
        <x:v>No</x:v>
      </x:c>
      <x:c r="N1952" s="25" t="str">
        <x:f>IF(J1952&gt;=6,"Sí","No")</x:f>
        <x:v>No</x:v>
      </x:c>
      <x:c r="O1952" s="25" t="str">
        <x:v>Pendiente: asignar con R/sf</x:v>
      </x:c>
    </x:row>
    <x:row r="1953">
      <x:c r="A1953" s="25" t="n">
        <x:v>1952</x:v>
      </x:c>
      <x:c r="B1953" s="26" t="n">
        <x:v>41867.42417824074</x:v>
      </x:c>
      <x:c r="C1953" s="27" t="n">
        <x:f>INT(B1953)</x:f>
        <x:v>41867</x:v>
      </x:c>
      <x:c r="D1953" s="28" t="n">
        <x:f>MOD(B1953,1)</x:f>
        <x:v>0.42417824074072996</x:v>
      </x:c>
      <x:c r="E1953" s="29" t="n">
        <x:f>YEAR(B1953)</x:f>
        <x:v>2014</x:v>
      </x:c>
      <x:c r="F1953" s="29" t="n">
        <x:f>MONTH(B1953)</x:f>
        <x:v>8</x:v>
      </x:c>
      <x:c r="G1953" s="30" t="n">
        <x:v>-20.03</x:v>
      </x:c>
      <x:c r="H1953" s="30" t="n">
        <x:v>-71.02</x:v>
      </x:c>
      <x:c r="I1953" s="29" t="n">
        <x:v>42</x:v>
      </x:c>
      <x:c r="J1953" s="31" t="n">
        <x:v>4.7</x:v>
      </x:c>
      <x:c r="K1953" s="25" t="str">
        <x:f>IF(J1953&gt;=7,"Muy fuerte (&gt;=7)",IF(J1953&gt;=6,"Fuerte (6-6.9)",IF(J1953&gt;=5,"Moderado alto (5-5.9)",IF(J1953&gt;=4,"Moderado (4-4.9)","Menor a 4"))))</x:f>
        <x:v>Moderado (4-4.9)</x:v>
      </x:c>
      <x:c r="L1953" s="25" t="str">
        <x:f>IF(I1953&lt;70,"Superficial (&lt;70 km)",IF(I1953&lt;=300,"Intermedio (70-300 km)","Profundo (&gt;300 km)"))</x:f>
        <x:v>Superficial (&lt;70 km)</x:v>
      </x:c>
      <x:c r="M1953" s="25" t="str">
        <x:f>IF(J1953&gt;=5,"Sí","No")</x:f>
        <x:v>No</x:v>
      </x:c>
      <x:c r="N1953" s="25" t="str">
        <x:f>IF(J1953&gt;=6,"Sí","No")</x:f>
        <x:v>No</x:v>
      </x:c>
      <x:c r="O1953" s="25" t="str">
        <x:v>Pendiente: asignar con R/sf</x:v>
      </x:c>
    </x:row>
    <x:row r="1954">
      <x:c r="A1954" s="25" t="n">
        <x:v>1953</x:v>
      </x:c>
      <x:c r="B1954" s="26" t="n">
        <x:v>41757.20805555556</x:v>
      </x:c>
      <x:c r="C1954" s="27" t="n">
        <x:f>INT(B1954)</x:f>
        <x:v>41757</x:v>
      </x:c>
      <x:c r="D1954" s="28" t="n">
        <x:f>MOD(B1954,1)</x:f>
        <x:v>0.2080555555585306</x:v>
      </x:c>
      <x:c r="E1954" s="29" t="n">
        <x:f>YEAR(B1954)</x:f>
        <x:v>2014</x:v>
      </x:c>
      <x:c r="F1954" s="29" t="n">
        <x:f>MONTH(B1954)</x:f>
        <x:v>4</x:v>
      </x:c>
      <x:c r="G1954" s="30" t="n">
        <x:v>-19.56</x:v>
      </x:c>
      <x:c r="H1954" s="30" t="n">
        <x:v>-70.37</x:v>
      </x:c>
      <x:c r="I1954" s="29" t="n">
        <x:v>44</x:v>
      </x:c>
      <x:c r="J1954" s="31" t="n">
        <x:v>5</x:v>
      </x:c>
      <x:c r="K1954" s="25" t="str">
        <x:f>IF(J1954&gt;=7,"Muy fuerte (&gt;=7)",IF(J1954&gt;=6,"Fuerte (6-6.9)",IF(J1954&gt;=5,"Moderado alto (5-5.9)",IF(J1954&gt;=4,"Moderado (4-4.9)","Menor a 4"))))</x:f>
        <x:v>Moderado alto (5-5.9)</x:v>
      </x:c>
      <x:c r="L1954" s="25" t="str">
        <x:f>IF(I1954&lt;70,"Superficial (&lt;70 km)",IF(I1954&lt;=300,"Intermedio (70-300 km)","Profundo (&gt;300 km)"))</x:f>
        <x:v>Superficial (&lt;70 km)</x:v>
      </x:c>
      <x:c r="M1954" s="25" t="str">
        <x:f>IF(J1954&gt;=5,"Sí","No")</x:f>
        <x:v>Sí</x:v>
      </x:c>
      <x:c r="N1954" s="25" t="str">
        <x:f>IF(J1954&gt;=6,"Sí","No")</x:f>
        <x:v>No</x:v>
      </x:c>
      <x:c r="O1954" s="25" t="str">
        <x:v>Pendiente: asignar con R/sf</x:v>
      </x:c>
    </x:row>
    <x:row r="1955">
      <x:c r="A1955" s="25" t="n">
        <x:v>1954</x:v>
      </x:c>
      <x:c r="B1955" s="26" t="n">
        <x:v>41835.4669212963</x:v>
      </x:c>
      <x:c r="C1955" s="27" t="n">
        <x:f>INT(B1955)</x:f>
        <x:v>41835</x:v>
      </x:c>
      <x:c r="D1955" s="28" t="n">
        <x:f>MOD(B1955,1)</x:f>
        <x:v>0.4669212962980964</x:v>
      </x:c>
      <x:c r="E1955" s="29" t="n">
        <x:f>YEAR(B1955)</x:f>
        <x:v>2014</x:v>
      </x:c>
      <x:c r="F1955" s="29" t="n">
        <x:f>MONTH(B1955)</x:f>
        <x:v>7</x:v>
      </x:c>
      <x:c r="G1955" s="30" t="n">
        <x:v>-19.94</x:v>
      </x:c>
      <x:c r="H1955" s="30" t="n">
        <x:v>-70.11</x:v>
      </x:c>
      <x:c r="I1955" s="29" t="n">
        <x:v>45</x:v>
      </x:c>
      <x:c r="J1955" s="31" t="n">
        <x:v>4.3</x:v>
      </x:c>
      <x:c r="K1955" s="25" t="str">
        <x:f>IF(J1955&gt;=7,"Muy fuerte (&gt;=7)",IF(J1955&gt;=6,"Fuerte (6-6.9)",IF(J1955&gt;=5,"Moderado alto (5-5.9)",IF(J1955&gt;=4,"Moderado (4-4.9)","Menor a 4"))))</x:f>
        <x:v>Moderado (4-4.9)</x:v>
      </x:c>
      <x:c r="L1955" s="25" t="str">
        <x:f>IF(I1955&lt;70,"Superficial (&lt;70 km)",IF(I1955&lt;=300,"Intermedio (70-300 km)","Profundo (&gt;300 km)"))</x:f>
        <x:v>Superficial (&lt;70 km)</x:v>
      </x:c>
      <x:c r="M1955" s="25" t="str">
        <x:f>IF(J1955&gt;=5,"Sí","No")</x:f>
        <x:v>No</x:v>
      </x:c>
      <x:c r="N1955" s="25" t="str">
        <x:f>IF(J1955&gt;=6,"Sí","No")</x:f>
        <x:v>No</x:v>
      </x:c>
      <x:c r="O1955" s="25" t="str">
        <x:v>Pendiente: asignar con R/sf</x:v>
      </x:c>
    </x:row>
    <x:row r="1956">
      <x:c r="A1956" s="25" t="n">
        <x:v>1955</x:v>
      </x:c>
      <x:c r="B1956" s="26" t="n">
        <x:v>41937.712002314816</x:v>
      </x:c>
      <x:c r="C1956" s="27" t="n">
        <x:f>INT(B1956)</x:f>
        <x:v>41937</x:v>
      </x:c>
      <x:c r="D1956" s="28" t="n">
        <x:f>MOD(B1956,1)</x:f>
        <x:v>0.7120023148163455</x:v>
      </x:c>
      <x:c r="E1956" s="29" t="n">
        <x:f>YEAR(B1956)</x:f>
        <x:v>2014</x:v>
      </x:c>
      <x:c r="F1956" s="29" t="n">
        <x:f>MONTH(B1956)</x:f>
        <x:v>10</x:v>
      </x:c>
      <x:c r="G1956" s="30" t="n">
        <x:v>-34.04</x:v>
      </x:c>
      <x:c r="H1956" s="30" t="n">
        <x:v>-72.16</x:v>
      </x:c>
      <x:c r="I1956" s="29" t="n">
        <x:v>30</x:v>
      </x:c>
      <x:c r="J1956" s="31" t="n">
        <x:v>4.6</x:v>
      </x:c>
      <x:c r="K1956" s="25" t="str">
        <x:f>IF(J1956&gt;=7,"Muy fuerte (&gt;=7)",IF(J1956&gt;=6,"Fuerte (6-6.9)",IF(J1956&gt;=5,"Moderado alto (5-5.9)",IF(J1956&gt;=4,"Moderado (4-4.9)","Menor a 4"))))</x:f>
        <x:v>Moderado (4-4.9)</x:v>
      </x:c>
      <x:c r="L1956" s="25" t="str">
        <x:f>IF(I1956&lt;70,"Superficial (&lt;70 km)",IF(I1956&lt;=300,"Intermedio (70-300 km)","Profundo (&gt;300 km)"))</x:f>
        <x:v>Superficial (&lt;70 km)</x:v>
      </x:c>
      <x:c r="M1956" s="25" t="str">
        <x:f>IF(J1956&gt;=5,"Sí","No")</x:f>
        <x:v>No</x:v>
      </x:c>
      <x:c r="N1956" s="25" t="str">
        <x:f>IF(J1956&gt;=6,"Sí","No")</x:f>
        <x:v>No</x:v>
      </x:c>
      <x:c r="O1956" s="25" t="str">
        <x:v>Pendiente: asignar con R/sf</x:v>
      </x:c>
    </x:row>
    <x:row r="1957">
      <x:c r="A1957" s="25" t="n">
        <x:v>1956</x:v>
      </x:c>
      <x:c r="B1957" s="26" t="n">
        <x:v>41732.96760416667</x:v>
      </x:c>
      <x:c r="C1957" s="27" t="n">
        <x:f>INT(B1957)</x:f>
        <x:v>41732</x:v>
      </x:c>
      <x:c r="D1957" s="28" t="n">
        <x:f>MOD(B1957,1)</x:f>
        <x:v>0.9676041666680248</x:v>
      </x:c>
      <x:c r="E1957" s="29" t="n">
        <x:f>YEAR(B1957)</x:f>
        <x:v>2014</x:v>
      </x:c>
      <x:c r="F1957" s="29" t="n">
        <x:f>MONTH(B1957)</x:f>
        <x:v>4</x:v>
      </x:c>
      <x:c r="G1957" s="30" t="n">
        <x:v>-20.17</x:v>
      </x:c>
      <x:c r="H1957" s="30" t="n">
        <x:v>-70.37</x:v>
      </x:c>
      <x:c r="I1957" s="29" t="n">
        <x:v>35</x:v>
      </x:c>
      <x:c r="J1957" s="31" t="n">
        <x:v>4.3</x:v>
      </x:c>
      <x:c r="K1957" s="25" t="str">
        <x:f>IF(J1957&gt;=7,"Muy fuerte (&gt;=7)",IF(J1957&gt;=6,"Fuerte (6-6.9)",IF(J1957&gt;=5,"Moderado alto (5-5.9)",IF(J1957&gt;=4,"Moderado (4-4.9)","Menor a 4"))))</x:f>
        <x:v>Moderado (4-4.9)</x:v>
      </x:c>
      <x:c r="L1957" s="25" t="str">
        <x:f>IF(I1957&lt;70,"Superficial (&lt;70 km)",IF(I1957&lt;=300,"Intermedio (70-300 km)","Profundo (&gt;300 km)"))</x:f>
        <x:v>Superficial (&lt;70 km)</x:v>
      </x:c>
      <x:c r="M1957" s="25" t="str">
        <x:f>IF(J1957&gt;=5,"Sí","No")</x:f>
        <x:v>No</x:v>
      </x:c>
      <x:c r="N1957" s="25" t="str">
        <x:f>IF(J1957&gt;=6,"Sí","No")</x:f>
        <x:v>No</x:v>
      </x:c>
      <x:c r="O1957" s="25" t="str">
        <x:v>Pendiente: asignar con R/sf</x:v>
      </x:c>
    </x:row>
    <x:row r="1958">
      <x:c r="A1958" s="25" t="n">
        <x:v>1957</x:v>
      </x:c>
      <x:c r="B1958" s="26" t="n">
        <x:v>41943.11577546296</x:v>
      </x:c>
      <x:c r="C1958" s="27" t="n">
        <x:f>INT(B1958)</x:f>
        <x:v>41943</x:v>
      </x:c>
      <x:c r="D1958" s="28" t="n">
        <x:f>MOD(B1958,1)</x:f>
        <x:v>0.1157754629603005</x:v>
      </x:c>
      <x:c r="E1958" s="29" t="n">
        <x:f>YEAR(B1958)</x:f>
        <x:v>2014</x:v>
      </x:c>
      <x:c r="F1958" s="29" t="n">
        <x:f>MONTH(B1958)</x:f>
        <x:v>10</x:v>
      </x:c>
      <x:c r="G1958" s="30" t="n">
        <x:v>-19.39</x:v>
      </x:c>
      <x:c r="H1958" s="30" t="n">
        <x:v>-69.2</x:v>
      </x:c>
      <x:c r="I1958" s="29" t="n">
        <x:v>113</x:v>
      </x:c>
      <x:c r="J1958" s="31" t="n">
        <x:v>4.7</x:v>
      </x:c>
      <x:c r="K1958" s="25" t="str">
        <x:f>IF(J1958&gt;=7,"Muy fuerte (&gt;=7)",IF(J1958&gt;=6,"Fuerte (6-6.9)",IF(J1958&gt;=5,"Moderado alto (5-5.9)",IF(J1958&gt;=4,"Moderado (4-4.9)","Menor a 4"))))</x:f>
        <x:v>Moderado (4-4.9)</x:v>
      </x:c>
      <x:c r="L1958" s="25" t="str">
        <x:f>IF(I1958&lt;70,"Superficial (&lt;70 km)",IF(I1958&lt;=300,"Intermedio (70-300 km)","Profundo (&gt;300 km)"))</x:f>
        <x:v>Intermedio (70-300 km)</x:v>
      </x:c>
      <x:c r="M1958" s="25" t="str">
        <x:f>IF(J1958&gt;=5,"Sí","No")</x:f>
        <x:v>No</x:v>
      </x:c>
      <x:c r="N1958" s="25" t="str">
        <x:f>IF(J1958&gt;=6,"Sí","No")</x:f>
        <x:v>No</x:v>
      </x:c>
      <x:c r="O1958" s="25" t="str">
        <x:v>Pendiente: asignar con R/sf</x:v>
      </x:c>
    </x:row>
    <x:row r="1959">
      <x:c r="A1959" s="25" t="n">
        <x:v>1958</x:v>
      </x:c>
      <x:c r="B1959" s="26" t="n">
        <x:v>41682.48831018519</x:v>
      </x:c>
      <x:c r="C1959" s="27" t="n">
        <x:f>INT(B1959)</x:f>
        <x:v>41682</x:v>
      </x:c>
      <x:c r="D1959" s="28" t="n">
        <x:f>MOD(B1959,1)</x:f>
        <x:v>0.48831018518831115</x:v>
      </x:c>
      <x:c r="E1959" s="29" t="n">
        <x:f>YEAR(B1959)</x:f>
        <x:v>2014</x:v>
      </x:c>
      <x:c r="F1959" s="29" t="n">
        <x:f>MONTH(B1959)</x:f>
        <x:v>2</x:v>
      </x:c>
      <x:c r="G1959" s="30" t="n">
        <x:v>-22.35</x:v>
      </x:c>
      <x:c r="H1959" s="30" t="n">
        <x:v>-68.81</x:v>
      </x:c>
      <x:c r="I1959" s="29" t="n">
        <x:v>100</x:v>
      </x:c>
      <x:c r="J1959" s="31" t="n">
        <x:v>5.7</x:v>
      </x:c>
      <x:c r="K1959" s="25" t="str">
        <x:f>IF(J1959&gt;=7,"Muy fuerte (&gt;=7)",IF(J1959&gt;=6,"Fuerte (6-6.9)",IF(J1959&gt;=5,"Moderado alto (5-5.9)",IF(J1959&gt;=4,"Moderado (4-4.9)","Menor a 4"))))</x:f>
        <x:v>Moderado alto (5-5.9)</x:v>
      </x:c>
      <x:c r="L1959" s="25" t="str">
        <x:f>IF(I1959&lt;70,"Superficial (&lt;70 km)",IF(I1959&lt;=300,"Intermedio (70-300 km)","Profundo (&gt;300 km)"))</x:f>
        <x:v>Intermedio (70-300 km)</x:v>
      </x:c>
      <x:c r="M1959" s="25" t="str">
        <x:f>IF(J1959&gt;=5,"Sí","No")</x:f>
        <x:v>Sí</x:v>
      </x:c>
      <x:c r="N1959" s="25" t="str">
        <x:f>IF(J1959&gt;=6,"Sí","No")</x:f>
        <x:v>No</x:v>
      </x:c>
      <x:c r="O1959" s="25" t="str">
        <x:v>Pendiente: asignar con R/sf</x:v>
      </x:c>
    </x:row>
    <x:row r="1960">
      <x:c r="A1960" s="25" t="n">
        <x:v>1959</x:v>
      </x:c>
      <x:c r="B1960" s="26" t="n">
        <x:v>41735.58760416666</x:v>
      </x:c>
      <x:c r="C1960" s="27" t="n">
        <x:f>INT(B1960)</x:f>
        <x:v>41735</x:v>
      </x:c>
      <x:c r="D1960" s="28" t="n">
        <x:f>MOD(B1960,1)</x:f>
        <x:v>0.5876041666633682</x:v>
      </x:c>
      <x:c r="E1960" s="29" t="n">
        <x:f>YEAR(B1960)</x:f>
        <x:v>2014</x:v>
      </x:c>
      <x:c r="F1960" s="29" t="n">
        <x:f>MONTH(B1960)</x:f>
        <x:v>4</x:v>
      </x:c>
      <x:c r="G1960" s="30" t="n">
        <x:v>-20.41</x:v>
      </x:c>
      <x:c r="H1960" s="30" t="n">
        <x:v>-70.98</x:v>
      </x:c>
      <x:c r="I1960" s="29" t="n">
        <x:v>45</x:v>
      </x:c>
      <x:c r="J1960" s="31" t="n">
        <x:v>5</x:v>
      </x:c>
      <x:c r="K1960" s="25" t="str">
        <x:f>IF(J1960&gt;=7,"Muy fuerte (&gt;=7)",IF(J1960&gt;=6,"Fuerte (6-6.9)",IF(J1960&gt;=5,"Moderado alto (5-5.9)",IF(J1960&gt;=4,"Moderado (4-4.9)","Menor a 4"))))</x:f>
        <x:v>Moderado alto (5-5.9)</x:v>
      </x:c>
      <x:c r="L1960" s="25" t="str">
        <x:f>IF(I1960&lt;70,"Superficial (&lt;70 km)",IF(I1960&lt;=300,"Intermedio (70-300 km)","Profundo (&gt;300 km)"))</x:f>
        <x:v>Superficial (&lt;70 km)</x:v>
      </x:c>
      <x:c r="M1960" s="25" t="str">
        <x:f>IF(J1960&gt;=5,"Sí","No")</x:f>
        <x:v>Sí</x:v>
      </x:c>
      <x:c r="N1960" s="25" t="str">
        <x:f>IF(J1960&gt;=6,"Sí","No")</x:f>
        <x:v>No</x:v>
      </x:c>
      <x:c r="O1960" s="25" t="str">
        <x:v>Pendiente: asignar con R/sf</x:v>
      </x:c>
    </x:row>
    <x:row r="1961">
      <x:c r="A1961" s="25" t="n">
        <x:v>1960</x:v>
      </x:c>
      <x:c r="B1961" s="26" t="n">
        <x:v>41740.45079861111</x:v>
      </x:c>
      <x:c r="C1961" s="27" t="n">
        <x:f>INT(B1961)</x:f>
        <x:v>41740</x:v>
      </x:c>
      <x:c r="D1961" s="28" t="n">
        <x:f>MOD(B1961,1)</x:f>
        <x:v>0.4507986111129867</x:v>
      </x:c>
      <x:c r="E1961" s="29" t="n">
        <x:f>YEAR(B1961)</x:f>
        <x:v>2014</x:v>
      </x:c>
      <x:c r="F1961" s="29" t="n">
        <x:f>MONTH(B1961)</x:f>
        <x:v>4</x:v>
      </x:c>
      <x:c r="G1961" s="30" t="n">
        <x:v>-23.25</x:v>
      </x:c>
      <x:c r="H1961" s="30" t="n">
        <x:v>-68.92</x:v>
      </x:c>
      <x:c r="I1961" s="29" t="n">
        <x:v>112</x:v>
      </x:c>
      <x:c r="J1961" s="31" t="n">
        <x:v>4.4</x:v>
      </x:c>
      <x:c r="K1961" s="25" t="str">
        <x:f>IF(J1961&gt;=7,"Muy fuerte (&gt;=7)",IF(J1961&gt;=6,"Fuerte (6-6.9)",IF(J1961&gt;=5,"Moderado alto (5-5.9)",IF(J1961&gt;=4,"Moderado (4-4.9)","Menor a 4"))))</x:f>
        <x:v>Moderado (4-4.9)</x:v>
      </x:c>
      <x:c r="L1961" s="25" t="str">
        <x:f>IF(I1961&lt;70,"Superficial (&lt;70 km)",IF(I1961&lt;=300,"Intermedio (70-300 km)","Profundo (&gt;300 km)"))</x:f>
        <x:v>Intermedio (70-300 km)</x:v>
      </x:c>
      <x:c r="M1961" s="25" t="str">
        <x:f>IF(J1961&gt;=5,"Sí","No")</x:f>
        <x:v>No</x:v>
      </x:c>
      <x:c r="N1961" s="25" t="str">
        <x:f>IF(J1961&gt;=6,"Sí","No")</x:f>
        <x:v>No</x:v>
      </x:c>
      <x:c r="O1961" s="25" t="str">
        <x:v>Pendiente: asignar con R/sf</x:v>
      </x:c>
    </x:row>
    <x:row r="1962">
      <x:c r="A1962" s="25" t="n">
        <x:v>1961</x:v>
      </x:c>
      <x:c r="B1962" s="26" t="n">
        <x:v>41729.536875</x:v>
      </x:c>
      <x:c r="C1962" s="27" t="n">
        <x:f>INT(B1962)</x:f>
        <x:v>41729</x:v>
      </x:c>
      <x:c r="D1962" s="28" t="n">
        <x:f>MOD(B1962,1)</x:f>
        <x:v>0.5368749999979627</x:v>
      </x:c>
      <x:c r="E1962" s="29" t="n">
        <x:f>YEAR(B1962)</x:f>
        <x:v>2014</x:v>
      </x:c>
      <x:c r="F1962" s="29" t="n">
        <x:f>MONTH(B1962)</x:f>
        <x:v>3</x:v>
      </x:c>
      <x:c r="G1962" s="30" t="n">
        <x:v>-19.51</x:v>
      </x:c>
      <x:c r="H1962" s="30" t="n">
        <x:v>-69.17</x:v>
      </x:c>
      <x:c r="I1962" s="29" t="n">
        <x:v>114</x:v>
      </x:c>
      <x:c r="J1962" s="31" t="n">
        <x:v>5.6</x:v>
      </x:c>
      <x:c r="K1962" s="25" t="str">
        <x:f>IF(J1962&gt;=7,"Muy fuerte (&gt;=7)",IF(J1962&gt;=6,"Fuerte (6-6.9)",IF(J1962&gt;=5,"Moderado alto (5-5.9)",IF(J1962&gt;=4,"Moderado (4-4.9)","Menor a 4"))))</x:f>
        <x:v>Moderado alto (5-5.9)</x:v>
      </x:c>
      <x:c r="L1962" s="25" t="str">
        <x:f>IF(I1962&lt;70,"Superficial (&lt;70 km)",IF(I1962&lt;=300,"Intermedio (70-300 km)","Profundo (&gt;300 km)"))</x:f>
        <x:v>Intermedio (70-300 km)</x:v>
      </x:c>
      <x:c r="M1962" s="25" t="str">
        <x:f>IF(J1962&gt;=5,"Sí","No")</x:f>
        <x:v>Sí</x:v>
      </x:c>
      <x:c r="N1962" s="25" t="str">
        <x:f>IF(J1962&gt;=6,"Sí","No")</x:f>
        <x:v>No</x:v>
      </x:c>
      <x:c r="O1962" s="25" t="str">
        <x:v>Pendiente: asignar con R/sf</x:v>
      </x:c>
    </x:row>
    <x:row r="1963">
      <x:c r="A1963" s="25" t="n">
        <x:v>1962</x:v>
      </x:c>
      <x:c r="B1963" s="26" t="n">
        <x:v>41693.986134259256</x:v>
      </x:c>
      <x:c r="C1963" s="27" t="n">
        <x:f>INT(B1963)</x:f>
        <x:v>41693</x:v>
      </x:c>
      <x:c r="D1963" s="28" t="n">
        <x:f>MOD(B1963,1)</x:f>
        <x:v>0.9861342592557776</x:v>
      </x:c>
      <x:c r="E1963" s="29" t="n">
        <x:f>YEAR(B1963)</x:f>
        <x:v>2014</x:v>
      </x:c>
      <x:c r="F1963" s="29" t="n">
        <x:f>MONTH(B1963)</x:f>
        <x:v>2</x:v>
      </x:c>
      <x:c r="G1963" s="30" t="n">
        <x:v>-23.85</x:v>
      </x:c>
      <x:c r="H1963" s="30" t="n">
        <x:v>-68.78</x:v>
      </x:c>
      <x:c r="I1963" s="29" t="n">
        <x:v>106</x:v>
      </x:c>
      <x:c r="J1963" s="31" t="n">
        <x:v>5.3</x:v>
      </x:c>
      <x:c r="K1963" s="25" t="str">
        <x:f>IF(J1963&gt;=7,"Muy fuerte (&gt;=7)",IF(J1963&gt;=6,"Fuerte (6-6.9)",IF(J1963&gt;=5,"Moderado alto (5-5.9)",IF(J1963&gt;=4,"Moderado (4-4.9)","Menor a 4"))))</x:f>
        <x:v>Moderado alto (5-5.9)</x:v>
      </x:c>
      <x:c r="L1963" s="25" t="str">
        <x:f>IF(I1963&lt;70,"Superficial (&lt;70 km)",IF(I1963&lt;=300,"Intermedio (70-300 km)","Profundo (&gt;300 km)"))</x:f>
        <x:v>Intermedio (70-300 km)</x:v>
      </x:c>
      <x:c r="M1963" s="25" t="str">
        <x:f>IF(J1963&gt;=5,"Sí","No")</x:f>
        <x:v>Sí</x:v>
      </x:c>
      <x:c r="N1963" s="25" t="str">
        <x:f>IF(J1963&gt;=6,"Sí","No")</x:f>
        <x:v>No</x:v>
      </x:c>
      <x:c r="O1963" s="25" t="str">
        <x:v>Pendiente: asignar con R/sf</x:v>
      </x:c>
    </x:row>
    <x:row r="1964">
      <x:c r="A1964" s="25" t="n">
        <x:v>1963</x:v>
      </x:c>
      <x:c r="B1964" s="26" t="n">
        <x:v>41882.78728009259</x:v>
      </x:c>
      <x:c r="C1964" s="27" t="n">
        <x:f>INT(B1964)</x:f>
        <x:v>41882</x:v>
      </x:c>
      <x:c r="D1964" s="28" t="n">
        <x:f>MOD(B1964,1)</x:f>
        <x:v>0.7872800925906631</x:v>
      </x:c>
      <x:c r="E1964" s="29" t="n">
        <x:f>YEAR(B1964)</x:f>
        <x:v>2014</x:v>
      </x:c>
      <x:c r="F1964" s="29" t="n">
        <x:f>MONTH(B1964)</x:f>
        <x:v>8</x:v>
      </x:c>
      <x:c r="G1964" s="30" t="n">
        <x:v>-20.52</x:v>
      </x:c>
      <x:c r="H1964" s="30" t="n">
        <x:v>-70.1</x:v>
      </x:c>
      <x:c r="I1964" s="29" t="n">
        <x:v>48</x:v>
      </x:c>
      <x:c r="J1964" s="31" t="n">
        <x:v>4</x:v>
      </x:c>
      <x:c r="K1964" s="25" t="str">
        <x:f>IF(J1964&gt;=7,"Muy fuerte (&gt;=7)",IF(J1964&gt;=6,"Fuerte (6-6.9)",IF(J1964&gt;=5,"Moderado alto (5-5.9)",IF(J1964&gt;=4,"Moderado (4-4.9)","Menor a 4"))))</x:f>
        <x:v>Moderado (4-4.9)</x:v>
      </x:c>
      <x:c r="L1964" s="25" t="str">
        <x:f>IF(I1964&lt;70,"Superficial (&lt;70 km)",IF(I1964&lt;=300,"Intermedio (70-300 km)","Profundo (&gt;300 km)"))</x:f>
        <x:v>Superficial (&lt;70 km)</x:v>
      </x:c>
      <x:c r="M1964" s="25" t="str">
        <x:f>IF(J1964&gt;=5,"Sí","No")</x:f>
        <x:v>No</x:v>
      </x:c>
      <x:c r="N1964" s="25" t="str">
        <x:f>IF(J1964&gt;=6,"Sí","No")</x:f>
        <x:v>No</x:v>
      </x:c>
      <x:c r="O1964" s="25" t="str">
        <x:v>Pendiente: asignar con R/sf</x:v>
      </x:c>
    </x:row>
    <x:row r="1965">
      <x:c r="A1965" s="25" t="n">
        <x:v>1964</x:v>
      </x:c>
      <x:c r="B1965" s="26" t="n">
        <x:v>42004.221770833334</x:v>
      </x:c>
      <x:c r="C1965" s="27" t="n">
        <x:f>INT(B1965)</x:f>
        <x:v>42004</x:v>
      </x:c>
      <x:c r="D1965" s="28" t="n">
        <x:f>MOD(B1965,1)</x:f>
        <x:v>0.22177083333372138</x:v>
      </x:c>
      <x:c r="E1965" s="29" t="n">
        <x:f>YEAR(B1965)</x:f>
        <x:v>2014</x:v>
      </x:c>
      <x:c r="F1965" s="29" t="n">
        <x:f>MONTH(B1965)</x:f>
        <x:v>12</x:v>
      </x:c>
      <x:c r="G1965" s="30" t="n">
        <x:v>-19.14</x:v>
      </x:c>
      <x:c r="H1965" s="30" t="n">
        <x:v>-69.12</x:v>
      </x:c>
      <x:c r="I1965" s="29" t="n">
        <x:v>117</x:v>
      </x:c>
      <x:c r="J1965" s="31" t="n">
        <x:v>4.5</x:v>
      </x:c>
      <x:c r="K1965" s="25" t="str">
        <x:f>IF(J1965&gt;=7,"Muy fuerte (&gt;=7)",IF(J1965&gt;=6,"Fuerte (6-6.9)",IF(J1965&gt;=5,"Moderado alto (5-5.9)",IF(J1965&gt;=4,"Moderado (4-4.9)","Menor a 4"))))</x:f>
        <x:v>Moderado (4-4.9)</x:v>
      </x:c>
      <x:c r="L1965" s="25" t="str">
        <x:f>IF(I1965&lt;70,"Superficial (&lt;70 km)",IF(I1965&lt;=300,"Intermedio (70-300 km)","Profundo (&gt;300 km)"))</x:f>
        <x:v>Intermedio (70-300 km)</x:v>
      </x:c>
      <x:c r="M1965" s="25" t="str">
        <x:f>IF(J1965&gt;=5,"Sí","No")</x:f>
        <x:v>No</x:v>
      </x:c>
      <x:c r="N1965" s="25" t="str">
        <x:f>IF(J1965&gt;=6,"Sí","No")</x:f>
        <x:v>No</x:v>
      </x:c>
      <x:c r="O1965" s="25" t="str">
        <x:v>Pendiente: asignar con R/sf</x:v>
      </x:c>
    </x:row>
    <x:row r="1966">
      <x:c r="A1966" s="25" t="n">
        <x:v>1965</x:v>
      </x:c>
      <x:c r="B1966" s="26" t="n">
        <x:v>41780.375613425924</x:v>
      </x:c>
      <x:c r="C1966" s="27" t="n">
        <x:f>INT(B1966)</x:f>
        <x:v>41780</x:v>
      </x:c>
      <x:c r="D1966" s="28" t="n">
        <x:f>MOD(B1966,1)</x:f>
        <x:v>0.3756134259238024</x:v>
      </x:c>
      <x:c r="E1966" s="29" t="n">
        <x:f>YEAR(B1966)</x:f>
        <x:v>2014</x:v>
      </x:c>
      <x:c r="F1966" s="29" t="n">
        <x:f>MONTH(B1966)</x:f>
        <x:v>5</x:v>
      </x:c>
      <x:c r="G1966" s="30" t="n">
        <x:v>-30.45</x:v>
      </x:c>
      <x:c r="H1966" s="30" t="n">
        <x:v>-71.31</x:v>
      </x:c>
      <x:c r="I1966" s="29" t="n">
        <x:v>36</x:v>
      </x:c>
      <x:c r="J1966" s="31" t="n">
        <x:v>5.6</x:v>
      </x:c>
      <x:c r="K1966" s="25" t="str">
        <x:f>IF(J1966&gt;=7,"Muy fuerte (&gt;=7)",IF(J1966&gt;=6,"Fuerte (6-6.9)",IF(J1966&gt;=5,"Moderado alto (5-5.9)",IF(J1966&gt;=4,"Moderado (4-4.9)","Menor a 4"))))</x:f>
        <x:v>Moderado alto (5-5.9)</x:v>
      </x:c>
      <x:c r="L1966" s="25" t="str">
        <x:f>IF(I1966&lt;70,"Superficial (&lt;70 km)",IF(I1966&lt;=300,"Intermedio (70-300 km)","Profundo (&gt;300 km)"))</x:f>
        <x:v>Superficial (&lt;70 km)</x:v>
      </x:c>
      <x:c r="M1966" s="25" t="str">
        <x:f>IF(J1966&gt;=5,"Sí","No")</x:f>
        <x:v>Sí</x:v>
      </x:c>
      <x:c r="N1966" s="25" t="str">
        <x:f>IF(J1966&gt;=6,"Sí","No")</x:f>
        <x:v>No</x:v>
      </x:c>
      <x:c r="O1966" s="25" t="str">
        <x:v>Pendiente: asignar con R/sf</x:v>
      </x:c>
    </x:row>
    <x:row r="1967">
      <x:c r="A1967" s="25" t="n">
        <x:v>1966</x:v>
      </x:c>
      <x:c r="B1967" s="26" t="n">
        <x:v>41947.48947916667</x:v>
      </x:c>
      <x:c r="C1967" s="27" t="n">
        <x:f>INT(B1967)</x:f>
        <x:v>41947</x:v>
      </x:c>
      <x:c r="D1967" s="28" t="n">
        <x:f>MOD(B1967,1)</x:f>
        <x:v>0.48947916666656965</x:v>
      </x:c>
      <x:c r="E1967" s="29" t="n">
        <x:f>YEAR(B1967)</x:f>
        <x:v>2014</x:v>
      </x:c>
      <x:c r="F1967" s="29" t="n">
        <x:f>MONTH(B1967)</x:f>
        <x:v>11</x:v>
      </x:c>
      <x:c r="G1967" s="30" t="n">
        <x:v>-41.23</x:v>
      </x:c>
      <x:c r="H1967" s="30" t="n">
        <x:v>-73.83</x:v>
      </x:c>
      <x:c r="I1967" s="29" t="n">
        <x:v>25</x:v>
      </x:c>
      <x:c r="J1967" s="31" t="n">
        <x:v>4.9</x:v>
      </x:c>
      <x:c r="K1967" s="25" t="str">
        <x:f>IF(J1967&gt;=7,"Muy fuerte (&gt;=7)",IF(J1967&gt;=6,"Fuerte (6-6.9)",IF(J1967&gt;=5,"Moderado alto (5-5.9)",IF(J1967&gt;=4,"Moderado (4-4.9)","Menor a 4"))))</x:f>
        <x:v>Moderado (4-4.9)</x:v>
      </x:c>
      <x:c r="L1967" s="25" t="str">
        <x:f>IF(I1967&lt;70,"Superficial (&lt;70 km)",IF(I1967&lt;=300,"Intermedio (70-300 km)","Profundo (&gt;300 km)"))</x:f>
        <x:v>Superficial (&lt;70 km)</x:v>
      </x:c>
      <x:c r="M1967" s="25" t="str">
        <x:f>IF(J1967&gt;=5,"Sí","No")</x:f>
        <x:v>No</x:v>
      </x:c>
      <x:c r="N1967" s="25" t="str">
        <x:f>IF(J1967&gt;=6,"Sí","No")</x:f>
        <x:v>No</x:v>
      </x:c>
      <x:c r="O1967" s="25" t="str">
        <x:v>Pendiente: asignar con R/sf</x:v>
      </x:c>
    </x:row>
    <x:row r="1968">
      <x:c r="A1968" s="25" t="n">
        <x:v>1967</x:v>
      </x:c>
      <x:c r="B1968" s="26" t="n">
        <x:v>41982.85915509259</x:v>
      </x:c>
      <x:c r="C1968" s="27" t="n">
        <x:f>INT(B1968)</x:f>
        <x:v>41982</x:v>
      </x:c>
      <x:c r="D1968" s="28" t="n">
        <x:f>MOD(B1968,1)</x:f>
        <x:v>0.8591550925921183</x:v>
      </x:c>
      <x:c r="E1968" s="29" t="n">
        <x:f>YEAR(B1968)</x:f>
        <x:v>2014</x:v>
      </x:c>
      <x:c r="F1968" s="29" t="n">
        <x:f>MONTH(B1968)</x:f>
        <x:v>12</x:v>
      </x:c>
      <x:c r="G1968" s="30" t="n">
        <x:v>-36.96</x:v>
      </x:c>
      <x:c r="H1968" s="30" t="n">
        <x:v>-72.76</x:v>
      </x:c>
      <x:c r="I1968" s="29" t="n">
        <x:v>36</x:v>
      </x:c>
      <x:c r="J1968" s="31" t="n">
        <x:v>4.1</x:v>
      </x:c>
      <x:c r="K1968" s="25" t="str">
        <x:f>IF(J1968&gt;=7,"Muy fuerte (&gt;=7)",IF(J1968&gt;=6,"Fuerte (6-6.9)",IF(J1968&gt;=5,"Moderado alto (5-5.9)",IF(J1968&gt;=4,"Moderado (4-4.9)","Menor a 4"))))</x:f>
        <x:v>Moderado (4-4.9)</x:v>
      </x:c>
      <x:c r="L1968" s="25" t="str">
        <x:f>IF(I1968&lt;70,"Superficial (&lt;70 km)",IF(I1968&lt;=300,"Intermedio (70-300 km)","Profundo (&gt;300 km)"))</x:f>
        <x:v>Superficial (&lt;70 km)</x:v>
      </x:c>
      <x:c r="M1968" s="25" t="str">
        <x:f>IF(J1968&gt;=5,"Sí","No")</x:f>
        <x:v>No</x:v>
      </x:c>
      <x:c r="N1968" s="25" t="str">
        <x:f>IF(J1968&gt;=6,"Sí","No")</x:f>
        <x:v>No</x:v>
      </x:c>
      <x:c r="O1968" s="25" t="str">
        <x:v>Pendiente: asignar con R/sf</x:v>
      </x:c>
    </x:row>
    <x:row r="1969">
      <x:c r="A1969" s="25" t="n">
        <x:v>1968</x:v>
      </x:c>
      <x:c r="B1969" s="26" t="n">
        <x:v>41797.58006944445</x:v>
      </x:c>
      <x:c r="C1969" s="27" t="n">
        <x:f>INT(B1969)</x:f>
        <x:v>41797</x:v>
      </x:c>
      <x:c r="D1969" s="28" t="n">
        <x:f>MOD(B1969,1)</x:f>
        <x:v>0.5800694444478722</x:v>
      </x:c>
      <x:c r="E1969" s="29" t="n">
        <x:f>YEAR(B1969)</x:f>
        <x:v>2014</x:v>
      </x:c>
      <x:c r="F1969" s="29" t="n">
        <x:f>MONTH(B1969)</x:f>
        <x:v>6</x:v>
      </x:c>
      <x:c r="G1969" s="30" t="n">
        <x:v>-35.2</x:v>
      </x:c>
      <x:c r="H1969" s="30" t="n">
        <x:v>-71.79</x:v>
      </x:c>
      <x:c r="I1969" s="29" t="n">
        <x:v>42</x:v>
      </x:c>
      <x:c r="J1969" s="31" t="n">
        <x:v>4.6</x:v>
      </x:c>
      <x:c r="K1969" s="25" t="str">
        <x:f>IF(J1969&gt;=7,"Muy fuerte (&gt;=7)",IF(J1969&gt;=6,"Fuerte (6-6.9)",IF(J1969&gt;=5,"Moderado alto (5-5.9)",IF(J1969&gt;=4,"Moderado (4-4.9)","Menor a 4"))))</x:f>
        <x:v>Moderado (4-4.9)</x:v>
      </x:c>
      <x:c r="L1969" s="25" t="str">
        <x:f>IF(I1969&lt;70,"Superficial (&lt;70 km)",IF(I1969&lt;=300,"Intermedio (70-300 km)","Profundo (&gt;300 km)"))</x:f>
        <x:v>Superficial (&lt;70 km)</x:v>
      </x:c>
      <x:c r="M1969" s="25" t="str">
        <x:f>IF(J1969&gt;=5,"Sí","No")</x:f>
        <x:v>No</x:v>
      </x:c>
      <x:c r="N1969" s="25" t="str">
        <x:f>IF(J1969&gt;=6,"Sí","No")</x:f>
        <x:v>No</x:v>
      </x:c>
      <x:c r="O1969" s="25" t="str">
        <x:v>Pendiente: asignar con R/sf</x:v>
      </x:c>
    </x:row>
    <x:row r="1970">
      <x:c r="A1970" s="25" t="n">
        <x:v>1969</x:v>
      </x:c>
      <x:c r="B1970" s="26" t="n">
        <x:v>41823.11827546296</x:v>
      </x:c>
      <x:c r="C1970" s="27" t="n">
        <x:f>INT(B1970)</x:f>
        <x:v>41823</x:v>
      </x:c>
      <x:c r="D1970" s="28" t="n">
        <x:f>MOD(B1970,1)</x:f>
        <x:v>0.11827546296262881</x:v>
      </x:c>
      <x:c r="E1970" s="29" t="n">
        <x:f>YEAR(B1970)</x:f>
        <x:v>2014</x:v>
      </x:c>
      <x:c r="F1970" s="29" t="n">
        <x:f>MONTH(B1970)</x:f>
        <x:v>7</x:v>
      </x:c>
      <x:c r="G1970" s="30" t="n">
        <x:v>-34.76</x:v>
      </x:c>
      <x:c r="H1970" s="30" t="n">
        <x:v>-71.83</x:v>
      </x:c>
      <x:c r="I1970" s="29" t="n">
        <x:v>41</x:v>
      </x:c>
      <x:c r="J1970" s="31" t="n">
        <x:v>5</x:v>
      </x:c>
      <x:c r="K1970" s="25" t="str">
        <x:f>IF(J1970&gt;=7,"Muy fuerte (&gt;=7)",IF(J1970&gt;=6,"Fuerte (6-6.9)",IF(J1970&gt;=5,"Moderado alto (5-5.9)",IF(J1970&gt;=4,"Moderado (4-4.9)","Menor a 4"))))</x:f>
        <x:v>Moderado alto (5-5.9)</x:v>
      </x:c>
      <x:c r="L1970" s="25" t="str">
        <x:f>IF(I1970&lt;70,"Superficial (&lt;70 km)",IF(I1970&lt;=300,"Intermedio (70-300 km)","Profundo (&gt;300 km)"))</x:f>
        <x:v>Superficial (&lt;70 km)</x:v>
      </x:c>
      <x:c r="M1970" s="25" t="str">
        <x:f>IF(J1970&gt;=5,"Sí","No")</x:f>
        <x:v>Sí</x:v>
      </x:c>
      <x:c r="N1970" s="25" t="str">
        <x:f>IF(J1970&gt;=6,"Sí","No")</x:f>
        <x:v>No</x:v>
      </x:c>
      <x:c r="O1970" s="25" t="str">
        <x:v>Pendiente: asignar con R/sf</x:v>
      </x:c>
    </x:row>
    <x:row r="1971">
      <x:c r="A1971" s="25" t="n">
        <x:v>1970</x:v>
      </x:c>
      <x:c r="B1971" s="26" t="n">
        <x:v>41932.42936342592</x:v>
      </x:c>
      <x:c r="C1971" s="27" t="n">
        <x:f>INT(B1971)</x:f>
        <x:v>41932</x:v>
      </x:c>
      <x:c r="D1971" s="28" t="n">
        <x:f>MOD(B1971,1)</x:f>
        <x:v>0.4293634259229293</x:v>
      </x:c>
      <x:c r="E1971" s="29" t="n">
        <x:f>YEAR(B1971)</x:f>
        <x:v>2014</x:v>
      </x:c>
      <x:c r="F1971" s="29" t="n">
        <x:f>MONTH(B1971)</x:f>
        <x:v>10</x:v>
      </x:c>
      <x:c r="G1971" s="30" t="n">
        <x:v>-35.61</x:v>
      </x:c>
      <x:c r="H1971" s="30" t="n">
        <x:v>-71.56</x:v>
      </x:c>
      <x:c r="I1971" s="29" t="n">
        <x:v>91</x:v>
      </x:c>
      <x:c r="J1971" s="31" t="n">
        <x:v>5.2</x:v>
      </x:c>
      <x:c r="K1971" s="25" t="str">
        <x:f>IF(J1971&gt;=7,"Muy fuerte (&gt;=7)",IF(J1971&gt;=6,"Fuerte (6-6.9)",IF(J1971&gt;=5,"Moderado alto (5-5.9)",IF(J1971&gt;=4,"Moderado (4-4.9)","Menor a 4"))))</x:f>
        <x:v>Moderado alto (5-5.9)</x:v>
      </x:c>
      <x:c r="L1971" s="25" t="str">
        <x:f>IF(I1971&lt;70,"Superficial (&lt;70 km)",IF(I1971&lt;=300,"Intermedio (70-300 km)","Profundo (&gt;300 km)"))</x:f>
        <x:v>Intermedio (70-300 km)</x:v>
      </x:c>
      <x:c r="M1971" s="25" t="str">
        <x:f>IF(J1971&gt;=5,"Sí","No")</x:f>
        <x:v>Sí</x:v>
      </x:c>
      <x:c r="N1971" s="25" t="str">
        <x:f>IF(J1971&gt;=6,"Sí","No")</x:f>
        <x:v>No</x:v>
      </x:c>
      <x:c r="O1971" s="25" t="str">
        <x:v>Pendiente: asignar con R/sf</x:v>
      </x:c>
    </x:row>
    <x:row r="1972">
      <x:c r="A1972" s="25" t="n">
        <x:v>1971</x:v>
      </x:c>
      <x:c r="B1972" s="26" t="n">
        <x:v>41994.52564814815</x:v>
      </x:c>
      <x:c r="C1972" s="27" t="n">
        <x:f>INT(B1972)</x:f>
        <x:v>41994</x:v>
      </x:c>
      <x:c r="D1972" s="28" t="n">
        <x:f>MOD(B1972,1)</x:f>
        <x:v>0.5256481481483206</x:v>
      </x:c>
      <x:c r="E1972" s="29" t="n">
        <x:f>YEAR(B1972)</x:f>
        <x:v>2014</x:v>
      </x:c>
      <x:c r="F1972" s="29" t="n">
        <x:f>MONTH(B1972)</x:f>
        <x:v>12</x:v>
      </x:c>
      <x:c r="G1972" s="30" t="n">
        <x:v>-35.74</x:v>
      </x:c>
      <x:c r="H1972" s="30" t="n">
        <x:v>-71.7</x:v>
      </x:c>
      <x:c r="I1972" s="29" t="n">
        <x:v>83</x:v>
      </x:c>
      <x:c r="J1972" s="31" t="n">
        <x:v>4.7</x:v>
      </x:c>
      <x:c r="K1972" s="25" t="str">
        <x:f>IF(J1972&gt;=7,"Muy fuerte (&gt;=7)",IF(J1972&gt;=6,"Fuerte (6-6.9)",IF(J1972&gt;=5,"Moderado alto (5-5.9)",IF(J1972&gt;=4,"Moderado (4-4.9)","Menor a 4"))))</x:f>
        <x:v>Moderado (4-4.9)</x:v>
      </x:c>
      <x:c r="L1972" s="25" t="str">
        <x:f>IF(I1972&lt;70,"Superficial (&lt;70 km)",IF(I1972&lt;=300,"Intermedio (70-300 km)","Profundo (&gt;300 km)"))</x:f>
        <x:v>Intermedio (70-300 km)</x:v>
      </x:c>
      <x:c r="M1972" s="25" t="str">
        <x:f>IF(J1972&gt;=5,"Sí","No")</x:f>
        <x:v>No</x:v>
      </x:c>
      <x:c r="N1972" s="25" t="str">
        <x:f>IF(J1972&gt;=6,"Sí","No")</x:f>
        <x:v>No</x:v>
      </x:c>
      <x:c r="O1972" s="25" t="str">
        <x:v>Pendiente: asignar con R/sf</x:v>
      </x:c>
    </x:row>
    <x:row r="1973">
      <x:c r="A1973" s="25" t="n">
        <x:v>1972</x:v>
      </x:c>
      <x:c r="B1973" s="26" t="n">
        <x:v>41860.52789351852</x:v>
      </x:c>
      <x:c r="C1973" s="27" t="n">
        <x:f>INT(B1973)</x:f>
        <x:v>41860</x:v>
      </x:c>
      <x:c r="D1973" s="28" t="n">
        <x:f>MOD(B1973,1)</x:f>
        <x:v>0.5278935185197042</x:v>
      </x:c>
      <x:c r="E1973" s="29" t="n">
        <x:f>YEAR(B1973)</x:f>
        <x:v>2014</x:v>
      </x:c>
      <x:c r="F1973" s="29" t="n">
        <x:f>MONTH(B1973)</x:f>
        <x:v>8</x:v>
      </x:c>
      <x:c r="G1973" s="30" t="n">
        <x:v>-23.15</x:v>
      </x:c>
      <x:c r="H1973" s="30" t="n">
        <x:v>-70.64</x:v>
      </x:c>
      <x:c r="I1973" s="29" t="n">
        <x:v>42</x:v>
      </x:c>
      <x:c r="J1973" s="31" t="n">
        <x:v>4.2</x:v>
      </x:c>
      <x:c r="K1973" s="25" t="str">
        <x:f>IF(J1973&gt;=7,"Muy fuerte (&gt;=7)",IF(J1973&gt;=6,"Fuerte (6-6.9)",IF(J1973&gt;=5,"Moderado alto (5-5.9)",IF(J1973&gt;=4,"Moderado (4-4.9)","Menor a 4"))))</x:f>
        <x:v>Moderado (4-4.9)</x:v>
      </x:c>
      <x:c r="L1973" s="25" t="str">
        <x:f>IF(I1973&lt;70,"Superficial (&lt;70 km)",IF(I1973&lt;=300,"Intermedio (70-300 km)","Profundo (&gt;300 km)"))</x:f>
        <x:v>Superficial (&lt;70 km)</x:v>
      </x:c>
      <x:c r="M1973" s="25" t="str">
        <x:f>IF(J1973&gt;=5,"Sí","No")</x:f>
        <x:v>No</x:v>
      </x:c>
      <x:c r="N1973" s="25" t="str">
        <x:f>IF(J1973&gt;=6,"Sí","No")</x:f>
        <x:v>No</x:v>
      </x:c>
      <x:c r="O1973" s="25" t="str">
        <x:v>Pendiente: asignar con R/sf</x:v>
      </x:c>
    </x:row>
    <x:row r="1974">
      <x:c r="A1974" s="25" t="n">
        <x:v>1973</x:v>
      </x:c>
      <x:c r="B1974" s="26" t="n">
        <x:v>41929.55229166667</x:v>
      </x:c>
      <x:c r="C1974" s="27" t="n">
        <x:f>INT(B1974)</x:f>
        <x:v>41929</x:v>
      </x:c>
      <x:c r="D1974" s="28" t="n">
        <x:f>MOD(B1974,1)</x:f>
        <x:v>0.5522916666668607</x:v>
      </x:c>
      <x:c r="E1974" s="29" t="n">
        <x:f>YEAR(B1974)</x:f>
        <x:v>2014</x:v>
      </x:c>
      <x:c r="F1974" s="29" t="n">
        <x:f>MONTH(B1974)</x:f>
        <x:v>10</x:v>
      </x:c>
      <x:c r="G1974" s="30" t="n">
        <x:v>-20.18</x:v>
      </x:c>
      <x:c r="H1974" s="30" t="n">
        <x:v>-69.02</x:v>
      </x:c>
      <x:c r="I1974" s="29" t="n">
        <x:v>106</x:v>
      </x:c>
      <x:c r="J1974" s="31" t="n">
        <x:v>4.2</x:v>
      </x:c>
      <x:c r="K1974" s="25" t="str">
        <x:f>IF(J1974&gt;=7,"Muy fuerte (&gt;=7)",IF(J1974&gt;=6,"Fuerte (6-6.9)",IF(J1974&gt;=5,"Moderado alto (5-5.9)",IF(J1974&gt;=4,"Moderado (4-4.9)","Menor a 4"))))</x:f>
        <x:v>Moderado (4-4.9)</x:v>
      </x:c>
      <x:c r="L1974" s="25" t="str">
        <x:f>IF(I1974&lt;70,"Superficial (&lt;70 km)",IF(I1974&lt;=300,"Intermedio (70-300 km)","Profundo (&gt;300 km)"))</x:f>
        <x:v>Intermedio (70-300 km)</x:v>
      </x:c>
      <x:c r="M1974" s="25" t="str">
        <x:f>IF(J1974&gt;=5,"Sí","No")</x:f>
        <x:v>No</x:v>
      </x:c>
      <x:c r="N1974" s="25" t="str">
        <x:f>IF(J1974&gt;=6,"Sí","No")</x:f>
        <x:v>No</x:v>
      </x:c>
      <x:c r="O1974" s="25" t="str">
        <x:v>Pendiente: asignar con R/sf</x:v>
      </x:c>
    </x:row>
    <x:row r="1975">
      <x:c r="A1975" s="25" t="n">
        <x:v>1974</x:v>
      </x:c>
      <x:c r="B1975" s="26" t="n">
        <x:v>41740.0012037037</x:v>
      </x:c>
      <x:c r="C1975" s="27" t="n">
        <x:f>INT(B1975)</x:f>
        <x:v>41740</x:v>
      </x:c>
      <x:c r="D1975" s="28" t="n">
        <x:f>MOD(B1975,1)</x:f>
        <x:v>0.0012037037013215013</x:v>
      </x:c>
      <x:c r="E1975" s="29" t="n">
        <x:f>YEAR(B1975)</x:f>
        <x:v>2014</x:v>
      </x:c>
      <x:c r="F1975" s="29" t="n">
        <x:f>MONTH(B1975)</x:f>
        <x:v>4</x:v>
      </x:c>
      <x:c r="G1975" s="30" t="n">
        <x:v>-20.72</x:v>
      </x:c>
      <x:c r="H1975" s="30" t="n">
        <x:v>-70.65</x:v>
      </x:c>
      <x:c r="I1975" s="29" t="n">
        <x:v>39</x:v>
      </x:c>
      <x:c r="J1975" s="31" t="n">
        <x:v>6.2</x:v>
      </x:c>
      <x:c r="K1975" s="25" t="str">
        <x:f>IF(J1975&gt;=7,"Muy fuerte (&gt;=7)",IF(J1975&gt;=6,"Fuerte (6-6.9)",IF(J1975&gt;=5,"Moderado alto (5-5.9)",IF(J1975&gt;=4,"Moderado (4-4.9)","Menor a 4"))))</x:f>
        <x:v>Fuerte (6-6.9)</x:v>
      </x:c>
      <x:c r="L1975" s="25" t="str">
        <x:f>IF(I1975&lt;70,"Superficial (&lt;70 km)",IF(I1975&lt;=300,"Intermedio (70-300 km)","Profundo (&gt;300 km)"))</x:f>
        <x:v>Superficial (&lt;70 km)</x:v>
      </x:c>
      <x:c r="M1975" s="25" t="str">
        <x:f>IF(J1975&gt;=5,"Sí","No")</x:f>
        <x:v>Sí</x:v>
      </x:c>
      <x:c r="N1975" s="25" t="str">
        <x:f>IF(J1975&gt;=6,"Sí","No")</x:f>
        <x:v>Sí</x:v>
      </x:c>
      <x:c r="O1975" s="25" t="str">
        <x:v>Pendiente: asignar con R/sf</x:v>
      </x:c>
    </x:row>
    <x:row r="1976">
      <x:c r="A1976" s="25" t="n">
        <x:v>1975</x:v>
      </x:c>
      <x:c r="B1976" s="26" t="n">
        <x:v>41742.507997685185</x:v>
      </x:c>
      <x:c r="C1976" s="27" t="n">
        <x:f>INT(B1976)</x:f>
        <x:v>41742</x:v>
      </x:c>
      <x:c r="D1976" s="28" t="n">
        <x:f>MOD(B1976,1)</x:f>
        <x:v>0.5079976851848187</x:v>
      </x:c>
      <x:c r="E1976" s="29" t="n">
        <x:f>YEAR(B1976)</x:f>
        <x:v>2014</x:v>
      </x:c>
      <x:c r="F1976" s="29" t="n">
        <x:f>MONTH(B1976)</x:f>
        <x:v>4</x:v>
      </x:c>
      <x:c r="G1976" s="30" t="n">
        <x:v>-20.58</x:v>
      </x:c>
      <x:c r="H1976" s="30" t="n">
        <x:v>-70.72</x:v>
      </x:c>
      <x:c r="I1976" s="29" t="n">
        <x:v>22</x:v>
      </x:c>
      <x:c r="J1976" s="31" t="n">
        <x:v>5.2</x:v>
      </x:c>
      <x:c r="K1976" s="25" t="str">
        <x:f>IF(J1976&gt;=7,"Muy fuerte (&gt;=7)",IF(J1976&gt;=6,"Fuerte (6-6.9)",IF(J1976&gt;=5,"Moderado alto (5-5.9)",IF(J1976&gt;=4,"Moderado (4-4.9)","Menor a 4"))))</x:f>
        <x:v>Moderado alto (5-5.9)</x:v>
      </x:c>
      <x:c r="L1976" s="25" t="str">
        <x:f>IF(I1976&lt;70,"Superficial (&lt;70 km)",IF(I1976&lt;=300,"Intermedio (70-300 km)","Profundo (&gt;300 km)"))</x:f>
        <x:v>Superficial (&lt;70 km)</x:v>
      </x:c>
      <x:c r="M1976" s="25" t="str">
        <x:f>IF(J1976&gt;=5,"Sí","No")</x:f>
        <x:v>Sí</x:v>
      </x:c>
      <x:c r="N1976" s="25" t="str">
        <x:f>IF(J1976&gt;=6,"Sí","No")</x:f>
        <x:v>No</x:v>
      </x:c>
      <x:c r="O1976" s="25" t="str">
        <x:v>Pendiente: asignar con R/sf</x:v>
      </x:c>
    </x:row>
    <x:row r="1977">
      <x:c r="A1977" s="25" t="n">
        <x:v>1976</x:v>
      </x:c>
      <x:c r="B1977" s="26" t="n">
        <x:v>41746.55578703704</x:v>
      </x:c>
      <x:c r="C1977" s="27" t="n">
        <x:f>INT(B1977)</x:f>
        <x:v>41746</x:v>
      </x:c>
      <x:c r="D1977" s="28" t="n">
        <x:f>MOD(B1977,1)</x:f>
        <x:v>0.5557870370394085</x:v>
      </x:c>
      <x:c r="E1977" s="29" t="n">
        <x:f>YEAR(B1977)</x:f>
        <x:v>2014</x:v>
      </x:c>
      <x:c r="F1977" s="29" t="n">
        <x:f>MONTH(B1977)</x:f>
        <x:v>4</x:v>
      </x:c>
      <x:c r="G1977" s="30" t="n">
        <x:v>-22.53</x:v>
      </x:c>
      <x:c r="H1977" s="30" t="n">
        <x:v>-69.09</x:v>
      </x:c>
      <x:c r="I1977" s="29" t="n">
        <x:v>99</x:v>
      </x:c>
      <x:c r="J1977" s="31" t="n">
        <x:v>5.2</x:v>
      </x:c>
      <x:c r="K1977" s="25" t="str">
        <x:f>IF(J1977&gt;=7,"Muy fuerte (&gt;=7)",IF(J1977&gt;=6,"Fuerte (6-6.9)",IF(J1977&gt;=5,"Moderado alto (5-5.9)",IF(J1977&gt;=4,"Moderado (4-4.9)","Menor a 4"))))</x:f>
        <x:v>Moderado alto (5-5.9)</x:v>
      </x:c>
      <x:c r="L1977" s="25" t="str">
        <x:f>IF(I1977&lt;70,"Superficial (&lt;70 km)",IF(I1977&lt;=300,"Intermedio (70-300 km)","Profundo (&gt;300 km)"))</x:f>
        <x:v>Intermedio (70-300 km)</x:v>
      </x:c>
      <x:c r="M1977" s="25" t="str">
        <x:f>IF(J1977&gt;=5,"Sí","No")</x:f>
        <x:v>Sí</x:v>
      </x:c>
      <x:c r="N1977" s="25" t="str">
        <x:f>IF(J1977&gt;=6,"Sí","No")</x:f>
        <x:v>No</x:v>
      </x:c>
      <x:c r="O1977" s="25" t="str">
        <x:v>Pendiente: asignar con R/sf</x:v>
      </x:c>
    </x:row>
    <x:row r="1978">
      <x:c r="A1978" s="25" t="n">
        <x:v>1977</x:v>
      </x:c>
      <x:c r="B1978" s="26" t="n">
        <x:v>41775.71424768519</x:v>
      </x:c>
      <x:c r="C1978" s="27" t="n">
        <x:f>INT(B1978)</x:f>
        <x:v>41775</x:v>
      </x:c>
      <x:c r="D1978" s="28" t="n">
        <x:f>MOD(B1978,1)</x:f>
        <x:v>0.7142476851877291</x:v>
      </x:c>
      <x:c r="E1978" s="29" t="n">
        <x:f>YEAR(B1978)</x:f>
        <x:v>2014</x:v>
      </x:c>
      <x:c r="F1978" s="29" t="n">
        <x:f>MONTH(B1978)</x:f>
        <x:v>5</x:v>
      </x:c>
      <x:c r="G1978" s="30" t="n">
        <x:v>-23.5</x:v>
      </x:c>
      <x:c r="H1978" s="30" t="n">
        <x:v>-68.85</x:v>
      </x:c>
      <x:c r="I1978" s="29" t="n">
        <x:v>115</x:v>
      </x:c>
      <x:c r="J1978" s="31" t="n">
        <x:v>5.5</x:v>
      </x:c>
      <x:c r="K1978" s="25" t="str">
        <x:f>IF(J1978&gt;=7,"Muy fuerte (&gt;=7)",IF(J1978&gt;=6,"Fuerte (6-6.9)",IF(J1978&gt;=5,"Moderado alto (5-5.9)",IF(J1978&gt;=4,"Moderado (4-4.9)","Menor a 4"))))</x:f>
        <x:v>Moderado alto (5-5.9)</x:v>
      </x:c>
      <x:c r="L1978" s="25" t="str">
        <x:f>IF(I1978&lt;70,"Superficial (&lt;70 km)",IF(I1978&lt;=300,"Intermedio (70-300 km)","Profundo (&gt;300 km)"))</x:f>
        <x:v>Intermedio (70-300 km)</x:v>
      </x:c>
      <x:c r="M1978" s="25" t="str">
        <x:f>IF(J1978&gt;=5,"Sí","No")</x:f>
        <x:v>Sí</x:v>
      </x:c>
      <x:c r="N1978" s="25" t="str">
        <x:f>IF(J1978&gt;=6,"Sí","No")</x:f>
        <x:v>No</x:v>
      </x:c>
      <x:c r="O1978" s="25" t="str">
        <x:v>Pendiente: asignar con R/sf</x:v>
      </x:c>
    </x:row>
    <x:row r="1979">
      <x:c r="A1979" s="25" t="n">
        <x:v>1978</x:v>
      </x:c>
      <x:c r="B1979" s="26" t="n">
        <x:v>41786.14908564815</x:v>
      </x:c>
      <x:c r="C1979" s="27" t="n">
        <x:f>INT(B1979)</x:f>
        <x:v>41786</x:v>
      </x:c>
      <x:c r="D1979" s="28" t="n">
        <x:f>MOD(B1979,1)</x:f>
        <x:v>0.14908564814686542</x:v>
      </x:c>
      <x:c r="E1979" s="29" t="n">
        <x:f>YEAR(B1979)</x:f>
        <x:v>2014</x:v>
      </x:c>
      <x:c r="F1979" s="29" t="n">
        <x:f>MONTH(B1979)</x:f>
        <x:v>5</x:v>
      </x:c>
      <x:c r="G1979" s="30" t="n">
        <x:v>-20.86</x:v>
      </x:c>
      <x:c r="H1979" s="30" t="n">
        <x:v>-70.47</x:v>
      </x:c>
      <x:c r="I1979" s="29" t="n">
        <x:v>30</x:v>
      </x:c>
      <x:c r="J1979" s="31" t="n">
        <x:v>4.7</x:v>
      </x:c>
      <x:c r="K1979" s="25" t="str">
        <x:f>IF(J1979&gt;=7,"Muy fuerte (&gt;=7)",IF(J1979&gt;=6,"Fuerte (6-6.9)",IF(J1979&gt;=5,"Moderado alto (5-5.9)",IF(J1979&gt;=4,"Moderado (4-4.9)","Menor a 4"))))</x:f>
        <x:v>Moderado (4-4.9)</x:v>
      </x:c>
      <x:c r="L1979" s="25" t="str">
        <x:f>IF(I1979&lt;70,"Superficial (&lt;70 km)",IF(I1979&lt;=300,"Intermedio (70-300 km)","Profundo (&gt;300 km)"))</x:f>
        <x:v>Superficial (&lt;70 km)</x:v>
      </x:c>
      <x:c r="M1979" s="25" t="str">
        <x:f>IF(J1979&gt;=5,"Sí","No")</x:f>
        <x:v>No</x:v>
      </x:c>
      <x:c r="N1979" s="25" t="str">
        <x:f>IF(J1979&gt;=6,"Sí","No")</x:f>
        <x:v>No</x:v>
      </x:c>
      <x:c r="O1979" s="25" t="str">
        <x:v>Pendiente: asignar con R/sf</x:v>
      </x:c>
    </x:row>
    <x:row r="1980">
      <x:c r="A1980" s="25" t="n">
        <x:v>1979</x:v>
      </x:c>
      <x:c r="B1980" s="26" t="n">
        <x:v>41789.48725694444</x:v>
      </x:c>
      <x:c r="C1980" s="27" t="n">
        <x:f>INT(B1980)</x:f>
        <x:v>41789</x:v>
      </x:c>
      <x:c r="D1980" s="28" t="n">
        <x:f>MOD(B1980,1)</x:f>
        <x:v>0.4872569444414694</x:v>
      </x:c>
      <x:c r="E1980" s="29" t="n">
        <x:f>YEAR(B1980)</x:f>
        <x:v>2014</x:v>
      </x:c>
      <x:c r="F1980" s="29" t="n">
        <x:f>MONTH(B1980)</x:f>
        <x:v>5</x:v>
      </x:c>
      <x:c r="G1980" s="30" t="n">
        <x:v>-21.31</x:v>
      </x:c>
      <x:c r="H1980" s="30" t="n">
        <x:v>-69.98</x:v>
      </x:c>
      <x:c r="I1980" s="29" t="n">
        <x:v>62</x:v>
      </x:c>
      <x:c r="J1980" s="31" t="n">
        <x:v>5.2</x:v>
      </x:c>
      <x:c r="K1980" s="25" t="str">
        <x:f>IF(J1980&gt;=7,"Muy fuerte (&gt;=7)",IF(J1980&gt;=6,"Fuerte (6-6.9)",IF(J1980&gt;=5,"Moderado alto (5-5.9)",IF(J1980&gt;=4,"Moderado (4-4.9)","Menor a 4"))))</x:f>
        <x:v>Moderado alto (5-5.9)</x:v>
      </x:c>
      <x:c r="L1980" s="25" t="str">
        <x:f>IF(I1980&lt;70,"Superficial (&lt;70 km)",IF(I1980&lt;=300,"Intermedio (70-300 km)","Profundo (&gt;300 km)"))</x:f>
        <x:v>Superficial (&lt;70 km)</x:v>
      </x:c>
      <x:c r="M1980" s="25" t="str">
        <x:f>IF(J1980&gt;=5,"Sí","No")</x:f>
        <x:v>Sí</x:v>
      </x:c>
      <x:c r="N1980" s="25" t="str">
        <x:f>IF(J1980&gt;=6,"Sí","No")</x:f>
        <x:v>No</x:v>
      </x:c>
      <x:c r="O1980" s="25" t="str">
        <x:v>Pendiente: asignar con R/sf</x:v>
      </x:c>
    </x:row>
    <x:row r="1981">
      <x:c r="A1981" s="25" t="n">
        <x:v>1980</x:v>
      </x:c>
      <x:c r="B1981" s="26" t="n">
        <x:v>41789.6475462963</x:v>
      </x:c>
      <x:c r="C1981" s="27" t="n">
        <x:f>INT(B1981)</x:f>
        <x:v>41789</x:v>
      </x:c>
      <x:c r="D1981" s="28" t="n">
        <x:f>MOD(B1981,1)</x:f>
        <x:v>0.6475462962989695</x:v>
      </x:c>
      <x:c r="E1981" s="29" t="n">
        <x:f>YEAR(B1981)</x:f>
        <x:v>2014</x:v>
      </x:c>
      <x:c r="F1981" s="29" t="n">
        <x:f>MONTH(B1981)</x:f>
        <x:v>5</x:v>
      </x:c>
      <x:c r="G1981" s="30" t="n">
        <x:v>-21.3</x:v>
      </x:c>
      <x:c r="H1981" s="30" t="n">
        <x:v>-70</x:v>
      </x:c>
      <x:c r="I1981" s="29" t="n">
        <x:v>60</x:v>
      </x:c>
      <x:c r="J1981" s="31" t="n">
        <x:v>5.5</x:v>
      </x:c>
      <x:c r="K1981" s="25" t="str">
        <x:f>IF(J1981&gt;=7,"Muy fuerte (&gt;=7)",IF(J1981&gt;=6,"Fuerte (6-6.9)",IF(J1981&gt;=5,"Moderado alto (5-5.9)",IF(J1981&gt;=4,"Moderado (4-4.9)","Menor a 4"))))</x:f>
        <x:v>Moderado alto (5-5.9)</x:v>
      </x:c>
      <x:c r="L1981" s="25" t="str">
        <x:f>IF(I1981&lt;70,"Superficial (&lt;70 km)",IF(I1981&lt;=300,"Intermedio (70-300 km)","Profundo (&gt;300 km)"))</x:f>
        <x:v>Superficial (&lt;70 km)</x:v>
      </x:c>
      <x:c r="M1981" s="25" t="str">
        <x:f>IF(J1981&gt;=5,"Sí","No")</x:f>
        <x:v>Sí</x:v>
      </x:c>
      <x:c r="N1981" s="25" t="str">
        <x:f>IF(J1981&gt;=6,"Sí","No")</x:f>
        <x:v>No</x:v>
      </x:c>
      <x:c r="O1981" s="25" t="str">
        <x:v>Pendiente: asignar con R/sf</x:v>
      </x:c>
    </x:row>
    <x:row r="1982">
      <x:c r="A1982" s="25" t="n">
        <x:v>1981</x:v>
      </x:c>
      <x:c r="B1982" s="26" t="n">
        <x:v>41791.711377314816</x:v>
      </x:c>
      <x:c r="C1982" s="27" t="n">
        <x:f>INT(B1982)</x:f>
        <x:v>41791</x:v>
      </x:c>
      <x:c r="D1982" s="28" t="n">
        <x:f>MOD(B1982,1)</x:f>
        <x:v>0.7113773148157634</x:v>
      </x:c>
      <x:c r="E1982" s="29" t="n">
        <x:f>YEAR(B1982)</x:f>
        <x:v>2014</x:v>
      </x:c>
      <x:c r="F1982" s="29" t="n">
        <x:f>MONTH(B1982)</x:f>
        <x:v>6</x:v>
      </x:c>
      <x:c r="G1982" s="30" t="n">
        <x:v>-22.63</x:v>
      </x:c>
      <x:c r="H1982" s="30" t="n">
        <x:v>-69.54</x:v>
      </x:c>
      <x:c r="I1982" s="29" t="n">
        <x:v>38</x:v>
      </x:c>
      <x:c r="J1982" s="31" t="n">
        <x:v>4</x:v>
      </x:c>
      <x:c r="K1982" s="25" t="str">
        <x:f>IF(J1982&gt;=7,"Muy fuerte (&gt;=7)",IF(J1982&gt;=6,"Fuerte (6-6.9)",IF(J1982&gt;=5,"Moderado alto (5-5.9)",IF(J1982&gt;=4,"Moderado (4-4.9)","Menor a 4"))))</x:f>
        <x:v>Moderado (4-4.9)</x:v>
      </x:c>
      <x:c r="L1982" s="25" t="str">
        <x:f>IF(I1982&lt;70,"Superficial (&lt;70 km)",IF(I1982&lt;=300,"Intermedio (70-300 km)","Profundo (&gt;300 km)"))</x:f>
        <x:v>Superficial (&lt;70 km)</x:v>
      </x:c>
      <x:c r="M1982" s="25" t="str">
        <x:f>IF(J1982&gt;=5,"Sí","No")</x:f>
        <x:v>No</x:v>
      </x:c>
      <x:c r="N1982" s="25" t="str">
        <x:f>IF(J1982&gt;=6,"Sí","No")</x:f>
        <x:v>No</x:v>
      </x:c>
      <x:c r="O1982" s="25" t="str">
        <x:v>Pendiente: asignar con R/sf</x:v>
      </x:c>
    </x:row>
    <x:row r="1983">
      <x:c r="A1983" s="25" t="n">
        <x:v>1982</x:v>
      </x:c>
      <x:c r="B1983" s="26" t="n">
        <x:v>41833.87099537037</x:v>
      </x:c>
      <x:c r="C1983" s="27" t="n">
        <x:f>INT(B1983)</x:f>
        <x:v>41833</x:v>
      </x:c>
      <x:c r="D1983" s="28" t="n">
        <x:f>MOD(B1983,1)</x:f>
        <x:v>0.8709953703728388</x:v>
      </x:c>
      <x:c r="E1983" s="29" t="n">
        <x:f>YEAR(B1983)</x:f>
        <x:v>2014</x:v>
      </x:c>
      <x:c r="F1983" s="29" t="n">
        <x:f>MONTH(B1983)</x:f>
        <x:v>7</x:v>
      </x:c>
      <x:c r="G1983" s="30" t="n">
        <x:v>-20.24</x:v>
      </x:c>
      <x:c r="H1983" s="30" t="n">
        <x:v>-70.31</x:v>
      </x:c>
      <x:c r="I1983" s="29" t="n">
        <x:v>41</x:v>
      </x:c>
      <x:c r="J1983" s="31" t="n">
        <x:v>5.6</x:v>
      </x:c>
      <x:c r="K1983" s="25" t="str">
        <x:f>IF(J1983&gt;=7,"Muy fuerte (&gt;=7)",IF(J1983&gt;=6,"Fuerte (6-6.9)",IF(J1983&gt;=5,"Moderado alto (5-5.9)",IF(J1983&gt;=4,"Moderado (4-4.9)","Menor a 4"))))</x:f>
        <x:v>Moderado alto (5-5.9)</x:v>
      </x:c>
      <x:c r="L1983" s="25" t="str">
        <x:f>IF(I1983&lt;70,"Superficial (&lt;70 km)",IF(I1983&lt;=300,"Intermedio (70-300 km)","Profundo (&gt;300 km)"))</x:f>
        <x:v>Superficial (&lt;70 km)</x:v>
      </x:c>
      <x:c r="M1983" s="25" t="str">
        <x:f>IF(J1983&gt;=5,"Sí","No")</x:f>
        <x:v>Sí</x:v>
      </x:c>
      <x:c r="N1983" s="25" t="str">
        <x:f>IF(J1983&gt;=6,"Sí","No")</x:f>
        <x:v>No</x:v>
      </x:c>
      <x:c r="O1983" s="25" t="str">
        <x:v>Pendiente: asignar con R/sf</x:v>
      </x:c>
    </x:row>
    <x:row r="1984">
      <x:c r="A1984" s="25" t="n">
        <x:v>1983</x:v>
      </x:c>
      <x:c r="B1984" s="26" t="n">
        <x:v>41867.40483796296</x:v>
      </x:c>
      <x:c r="C1984" s="27" t="n">
        <x:f>INT(B1984)</x:f>
        <x:v>41867</x:v>
      </x:c>
      <x:c r="D1984" s="28" t="n">
        <x:f>MOD(B1984,1)</x:f>
        <x:v>0.4048379629603005</x:v>
      </x:c>
      <x:c r="E1984" s="29" t="n">
        <x:f>YEAR(B1984)</x:f>
        <x:v>2014</x:v>
      </x:c>
      <x:c r="F1984" s="29" t="n">
        <x:f>MONTH(B1984)</x:f>
        <x:v>8</x:v>
      </x:c>
      <x:c r="G1984" s="30" t="n">
        <x:v>-21.74</x:v>
      </x:c>
      <x:c r="H1984" s="30" t="n">
        <x:v>-69.14</x:v>
      </x:c>
      <x:c r="I1984" s="29" t="n">
        <x:v>90</x:v>
      </x:c>
      <x:c r="J1984" s="31" t="n">
        <x:v>4.7</x:v>
      </x:c>
      <x:c r="K1984" s="25" t="str">
        <x:f>IF(J1984&gt;=7,"Muy fuerte (&gt;=7)",IF(J1984&gt;=6,"Fuerte (6-6.9)",IF(J1984&gt;=5,"Moderado alto (5-5.9)",IF(J1984&gt;=4,"Moderado (4-4.9)","Menor a 4"))))</x:f>
        <x:v>Moderado (4-4.9)</x:v>
      </x:c>
      <x:c r="L1984" s="25" t="str">
        <x:f>IF(I1984&lt;70,"Superficial (&lt;70 km)",IF(I1984&lt;=300,"Intermedio (70-300 km)","Profundo (&gt;300 km)"))</x:f>
        <x:v>Intermedio (70-300 km)</x:v>
      </x:c>
      <x:c r="M1984" s="25" t="str">
        <x:f>IF(J1984&gt;=5,"Sí","No")</x:f>
        <x:v>No</x:v>
      </x:c>
      <x:c r="N1984" s="25" t="str">
        <x:f>IF(J1984&gt;=6,"Sí","No")</x:f>
        <x:v>No</x:v>
      </x:c>
      <x:c r="O1984" s="25" t="str">
        <x:v>Pendiente: asignar con R/sf</x:v>
      </x:c>
    </x:row>
    <x:row r="1985">
      <x:c r="A1985" s="25" t="n">
        <x:v>1984</x:v>
      </x:c>
      <x:c r="B1985" s="26" t="n">
        <x:v>41874.15623842592</x:v>
      </x:c>
      <x:c r="C1985" s="27" t="n">
        <x:f>INT(B1985)</x:f>
        <x:v>41874</x:v>
      </x:c>
      <x:c r="D1985" s="28" t="n">
        <x:f>MOD(B1985,1)</x:f>
        <x:v>0.15623842592322035</x:v>
      </x:c>
      <x:c r="E1985" s="29" t="n">
        <x:f>YEAR(B1985)</x:f>
        <x:v>2014</x:v>
      </x:c>
      <x:c r="F1985" s="29" t="n">
        <x:f>MONTH(B1985)</x:f>
        <x:v>8</x:v>
      </x:c>
      <x:c r="G1985" s="30" t="n">
        <x:v>-21.8</x:v>
      </x:c>
      <x:c r="H1985" s="30" t="n">
        <x:v>-70.13</x:v>
      </x:c>
      <x:c r="I1985" s="29" t="n">
        <x:v>65</x:v>
      </x:c>
      <x:c r="J1985" s="31" t="n">
        <x:v>4.5</x:v>
      </x:c>
      <x:c r="K1985" s="25" t="str">
        <x:f>IF(J1985&gt;=7,"Muy fuerte (&gt;=7)",IF(J1985&gt;=6,"Fuerte (6-6.9)",IF(J1985&gt;=5,"Moderado alto (5-5.9)",IF(J1985&gt;=4,"Moderado (4-4.9)","Menor a 4"))))</x:f>
        <x:v>Moderado (4-4.9)</x:v>
      </x:c>
      <x:c r="L1985" s="25" t="str">
        <x:f>IF(I1985&lt;70,"Superficial (&lt;70 km)",IF(I1985&lt;=300,"Intermedio (70-300 km)","Profundo (&gt;300 km)"))</x:f>
        <x:v>Superficial (&lt;70 km)</x:v>
      </x:c>
      <x:c r="M1985" s="25" t="str">
        <x:f>IF(J1985&gt;=5,"Sí","No")</x:f>
        <x:v>No</x:v>
      </x:c>
      <x:c r="N1985" s="25" t="str">
        <x:f>IF(J1985&gt;=6,"Sí","No")</x:f>
        <x:v>No</x:v>
      </x:c>
      <x:c r="O1985" s="25" t="str">
        <x:v>Pendiente: asignar con R/sf</x:v>
      </x:c>
    </x:row>
    <x:row r="1986">
      <x:c r="A1986" s="25" t="n">
        <x:v>1985</x:v>
      </x:c>
      <x:c r="B1986" s="26" t="n">
        <x:v>41874.19829861111</x:v>
      </x:c>
      <x:c r="C1986" s="27" t="n">
        <x:f>INT(B1986)</x:f>
        <x:v>41874</x:v>
      </x:c>
      <x:c r="D1986" s="28" t="n">
        <x:f>MOD(B1986,1)</x:f>
        <x:v>0.19829861111065838</x:v>
      </x:c>
      <x:c r="E1986" s="29" t="n">
        <x:f>YEAR(B1986)</x:f>
        <x:v>2014</x:v>
      </x:c>
      <x:c r="F1986" s="29" t="n">
        <x:f>MONTH(B1986)</x:f>
        <x:v>8</x:v>
      </x:c>
      <x:c r="G1986" s="30" t="n">
        <x:v>-20.19</x:v>
      </x:c>
      <x:c r="H1986" s="30" t="n">
        <x:v>-69.08</x:v>
      </x:c>
      <x:c r="I1986" s="29" t="n">
        <x:v>100</x:v>
      </x:c>
      <x:c r="J1986" s="31" t="n">
        <x:v>5.7</x:v>
      </x:c>
      <x:c r="K1986" s="25" t="str">
        <x:f>IF(J1986&gt;=7,"Muy fuerte (&gt;=7)",IF(J1986&gt;=6,"Fuerte (6-6.9)",IF(J1986&gt;=5,"Moderado alto (5-5.9)",IF(J1986&gt;=4,"Moderado (4-4.9)","Menor a 4"))))</x:f>
        <x:v>Moderado alto (5-5.9)</x:v>
      </x:c>
      <x:c r="L1986" s="25" t="str">
        <x:f>IF(I1986&lt;70,"Superficial (&lt;70 km)",IF(I1986&lt;=300,"Intermedio (70-300 km)","Profundo (&gt;300 km)"))</x:f>
        <x:v>Intermedio (70-300 km)</x:v>
      </x:c>
      <x:c r="M1986" s="25" t="str">
        <x:f>IF(J1986&gt;=5,"Sí","No")</x:f>
        <x:v>Sí</x:v>
      </x:c>
      <x:c r="N1986" s="25" t="str">
        <x:f>IF(J1986&gt;=6,"Sí","No")</x:f>
        <x:v>No</x:v>
      </x:c>
      <x:c r="O1986" s="25" t="str">
        <x:v>Pendiente: asignar con R/sf</x:v>
      </x:c>
    </x:row>
    <x:row r="1987">
      <x:c r="A1987" s="25" t="n">
        <x:v>1986</x:v>
      </x:c>
      <x:c r="B1987" s="26" t="n">
        <x:v>41886.39365740741</x:v>
      </x:c>
      <x:c r="C1987" s="27" t="n">
        <x:f>INT(B1987)</x:f>
        <x:v>41886</x:v>
      </x:c>
      <x:c r="D1987" s="28" t="n">
        <x:f>MOD(B1987,1)</x:f>
        <x:v>0.39365740741050104</x:v>
      </x:c>
      <x:c r="E1987" s="29" t="n">
        <x:f>YEAR(B1987)</x:f>
        <x:v>2014</x:v>
      </x:c>
      <x:c r="F1987" s="29" t="n">
        <x:f>MONTH(B1987)</x:f>
        <x:v>9</x:v>
      </x:c>
      <x:c r="G1987" s="30" t="n">
        <x:v>-20.7</x:v>
      </x:c>
      <x:c r="H1987" s="30" t="n">
        <x:v>-70.34</x:v>
      </x:c>
      <x:c r="I1987" s="29" t="n">
        <x:v>38</x:v>
      </x:c>
      <x:c r="J1987" s="31" t="n">
        <x:v>5.1</x:v>
      </x:c>
      <x:c r="K1987" s="25" t="str">
        <x:f>IF(J1987&gt;=7,"Muy fuerte (&gt;=7)",IF(J1987&gt;=6,"Fuerte (6-6.9)",IF(J1987&gt;=5,"Moderado alto (5-5.9)",IF(J1987&gt;=4,"Moderado (4-4.9)","Menor a 4"))))</x:f>
        <x:v>Moderado alto (5-5.9)</x:v>
      </x:c>
      <x:c r="L1987" s="25" t="str">
        <x:f>IF(I1987&lt;70,"Superficial (&lt;70 km)",IF(I1987&lt;=300,"Intermedio (70-300 km)","Profundo (&gt;300 km)"))</x:f>
        <x:v>Superficial (&lt;70 km)</x:v>
      </x:c>
      <x:c r="M1987" s="25" t="str">
        <x:f>IF(J1987&gt;=5,"Sí","No")</x:f>
        <x:v>Sí</x:v>
      </x:c>
      <x:c r="N1987" s="25" t="str">
        <x:f>IF(J1987&gt;=6,"Sí","No")</x:f>
        <x:v>No</x:v>
      </x:c>
      <x:c r="O1987" s="25" t="str">
        <x:v>Pendiente: asignar con R/sf</x:v>
      </x:c>
    </x:row>
    <x:row r="1988">
      <x:c r="A1988" s="25" t="n">
        <x:v>1987</x:v>
      </x:c>
      <x:c r="B1988" s="26" t="n">
        <x:v>41906.46960648148</x:v>
      </x:c>
      <x:c r="C1988" s="27" t="n">
        <x:f>INT(B1988)</x:f>
        <x:v>41906</x:v>
      </x:c>
      <x:c r="D1988" s="28" t="n">
        <x:f>MOD(B1988,1)</x:f>
        <x:v>0.46960648147796746</x:v>
      </x:c>
      <x:c r="E1988" s="29" t="n">
        <x:f>YEAR(B1988)</x:f>
        <x:v>2014</x:v>
      </x:c>
      <x:c r="F1988" s="29" t="n">
        <x:f>MONTH(B1988)</x:f>
        <x:v>9</x:v>
      </x:c>
      <x:c r="G1988" s="30" t="n">
        <x:v>-23.62</x:v>
      </x:c>
      <x:c r="H1988" s="30" t="n">
        <x:v>-67.16</x:v>
      </x:c>
      <x:c r="I1988" s="29" t="n">
        <x:v>257</x:v>
      </x:c>
      <x:c r="J1988" s="31" t="n">
        <x:v>6.3</x:v>
      </x:c>
      <x:c r="K1988" s="25" t="str">
        <x:f>IF(J1988&gt;=7,"Muy fuerte (&gt;=7)",IF(J1988&gt;=6,"Fuerte (6-6.9)",IF(J1988&gt;=5,"Moderado alto (5-5.9)",IF(J1988&gt;=4,"Moderado (4-4.9)","Menor a 4"))))</x:f>
        <x:v>Fuerte (6-6.9)</x:v>
      </x:c>
      <x:c r="L1988" s="25" t="str">
        <x:f>IF(I1988&lt;70,"Superficial (&lt;70 km)",IF(I1988&lt;=300,"Intermedio (70-300 km)","Profundo (&gt;300 km)"))</x:f>
        <x:v>Intermedio (70-300 km)</x:v>
      </x:c>
      <x:c r="M1988" s="25" t="str">
        <x:f>IF(J1988&gt;=5,"Sí","No")</x:f>
        <x:v>Sí</x:v>
      </x:c>
      <x:c r="N1988" s="25" t="str">
        <x:f>IF(J1988&gt;=6,"Sí","No")</x:f>
        <x:v>Sí</x:v>
      </x:c>
      <x:c r="O1988" s="25" t="str">
        <x:v>Pendiente: asignar con R/sf</x:v>
      </x:c>
    </x:row>
    <x:row r="1989">
      <x:c r="A1989" s="25" t="n">
        <x:v>1988</x:v>
      </x:c>
      <x:c r="B1989" s="26" t="n">
        <x:v>41919.21469907407</x:v>
      </x:c>
      <x:c r="C1989" s="27" t="n">
        <x:f>INT(B1989)</x:f>
        <x:v>41919</x:v>
      </x:c>
      <x:c r="D1989" s="28" t="n">
        <x:f>MOD(B1989,1)</x:f>
        <x:v>0.21469907407299615</x:v>
      </x:c>
      <x:c r="E1989" s="29" t="n">
        <x:f>YEAR(B1989)</x:f>
        <x:v>2014</x:v>
      </x:c>
      <x:c r="F1989" s="29" t="n">
        <x:f>MONTH(B1989)</x:f>
        <x:v>10</x:v>
      </x:c>
      <x:c r="G1989" s="30" t="n">
        <x:v>-19.65</x:v>
      </x:c>
      <x:c r="H1989" s="30" t="n">
        <x:v>-69.47</x:v>
      </x:c>
      <x:c r="I1989" s="29" t="n">
        <x:v>109</x:v>
      </x:c>
      <x:c r="J1989" s="31" t="n">
        <x:v>5.5</x:v>
      </x:c>
      <x:c r="K1989" s="25" t="str">
        <x:f>IF(J1989&gt;=7,"Muy fuerte (&gt;=7)",IF(J1989&gt;=6,"Fuerte (6-6.9)",IF(J1989&gt;=5,"Moderado alto (5-5.9)",IF(J1989&gt;=4,"Moderado (4-4.9)","Menor a 4"))))</x:f>
        <x:v>Moderado alto (5-5.9)</x:v>
      </x:c>
      <x:c r="L1989" s="25" t="str">
        <x:f>IF(I1989&lt;70,"Superficial (&lt;70 km)",IF(I1989&lt;=300,"Intermedio (70-300 km)","Profundo (&gt;300 km)"))</x:f>
        <x:v>Intermedio (70-300 km)</x:v>
      </x:c>
      <x:c r="M1989" s="25" t="str">
        <x:f>IF(J1989&gt;=5,"Sí","No")</x:f>
        <x:v>Sí</x:v>
      </x:c>
      <x:c r="N1989" s="25" t="str">
        <x:f>IF(J1989&gt;=6,"Sí","No")</x:f>
        <x:v>No</x:v>
      </x:c>
      <x:c r="O1989" s="25" t="str">
        <x:v>Pendiente: asignar con R/sf</x:v>
      </x:c>
    </x:row>
    <x:row r="1990">
      <x:c r="A1990" s="25" t="n">
        <x:v>1989</x:v>
      </x:c>
      <x:c r="B1990" s="26" t="n">
        <x:v>41935.89717592593</x:v>
      </x:c>
      <x:c r="C1990" s="27" t="n">
        <x:f>INT(B1990)</x:f>
        <x:v>41935</x:v>
      </x:c>
      <x:c r="D1990" s="28" t="n">
        <x:f>MOD(B1990,1)</x:f>
        <x:v>0.8971759259293322</x:v>
      </x:c>
      <x:c r="E1990" s="29" t="n">
        <x:f>YEAR(B1990)</x:f>
        <x:v>2014</x:v>
      </x:c>
      <x:c r="F1990" s="29" t="n">
        <x:f>MONTH(B1990)</x:f>
        <x:v>10</x:v>
      </x:c>
      <x:c r="G1990" s="30" t="n">
        <x:v>-20.25</x:v>
      </x:c>
      <x:c r="H1990" s="30" t="n">
        <x:v>-69.2</x:v>
      </x:c>
      <x:c r="I1990" s="29" t="n">
        <x:v>102</x:v>
      </x:c>
      <x:c r="J1990" s="31" t="n">
        <x:v>5</x:v>
      </x:c>
      <x:c r="K1990" s="25" t="str">
        <x:f>IF(J1990&gt;=7,"Muy fuerte (&gt;=7)",IF(J1990&gt;=6,"Fuerte (6-6.9)",IF(J1990&gt;=5,"Moderado alto (5-5.9)",IF(J1990&gt;=4,"Moderado (4-4.9)","Menor a 4"))))</x:f>
        <x:v>Moderado alto (5-5.9)</x:v>
      </x:c>
      <x:c r="L1990" s="25" t="str">
        <x:f>IF(I1990&lt;70,"Superficial (&lt;70 km)",IF(I1990&lt;=300,"Intermedio (70-300 km)","Profundo (&gt;300 km)"))</x:f>
        <x:v>Intermedio (70-300 km)</x:v>
      </x:c>
      <x:c r="M1990" s="25" t="str">
        <x:f>IF(J1990&gt;=5,"Sí","No")</x:f>
        <x:v>Sí</x:v>
      </x:c>
      <x:c r="N1990" s="25" t="str">
        <x:f>IF(J1990&gt;=6,"Sí","No")</x:f>
        <x:v>No</x:v>
      </x:c>
      <x:c r="O1990" s="25" t="str">
        <x:v>Pendiente: asignar con R/sf</x:v>
      </x:c>
    </x:row>
    <x:row r="1991">
      <x:c r="A1991" s="25" t="n">
        <x:v>1990</x:v>
      </x:c>
      <x:c r="B1991" s="26" t="n">
        <x:v>41938.12005787037</x:v>
      </x:c>
      <x:c r="C1991" s="27" t="n">
        <x:f>INT(B1991)</x:f>
        <x:v>41938</x:v>
      </x:c>
      <x:c r="D1991" s="28" t="n">
        <x:f>MOD(B1991,1)</x:f>
        <x:v>0.12005787037196569</x:v>
      </x:c>
      <x:c r="E1991" s="29" t="n">
        <x:f>YEAR(B1991)</x:f>
        <x:v>2014</x:v>
      </x:c>
      <x:c r="F1991" s="29" t="n">
        <x:f>MONTH(B1991)</x:f>
        <x:v>10</x:v>
      </x:c>
      <x:c r="G1991" s="30" t="n">
        <x:v>-20.57</x:v>
      </x:c>
      <x:c r="H1991" s="30" t="n">
        <x:v>-70.55</x:v>
      </x:c>
      <x:c r="I1991" s="29" t="n">
        <x:v>45</x:v>
      </x:c>
      <x:c r="J1991" s="31" t="n">
        <x:v>4.7</x:v>
      </x:c>
      <x:c r="K1991" s="25" t="str">
        <x:f>IF(J1991&gt;=7,"Muy fuerte (&gt;=7)",IF(J1991&gt;=6,"Fuerte (6-6.9)",IF(J1991&gt;=5,"Moderado alto (5-5.9)",IF(J1991&gt;=4,"Moderado (4-4.9)","Menor a 4"))))</x:f>
        <x:v>Moderado (4-4.9)</x:v>
      </x:c>
      <x:c r="L1991" s="25" t="str">
        <x:f>IF(I1991&lt;70,"Superficial (&lt;70 km)",IF(I1991&lt;=300,"Intermedio (70-300 km)","Profundo (&gt;300 km)"))</x:f>
        <x:v>Superficial (&lt;70 km)</x:v>
      </x:c>
      <x:c r="M1991" s="25" t="str">
        <x:f>IF(J1991&gt;=5,"Sí","No")</x:f>
        <x:v>No</x:v>
      </x:c>
      <x:c r="N1991" s="25" t="str">
        <x:f>IF(J1991&gt;=6,"Sí","No")</x:f>
        <x:v>No</x:v>
      </x:c>
      <x:c r="O1991" s="25" t="str">
        <x:v>Pendiente: asignar con R/sf</x:v>
      </x:c>
    </x:row>
    <x:row r="1992">
      <x:c r="A1992" s="25" t="n">
        <x:v>1991</x:v>
      </x:c>
      <x:c r="B1992" s="26" t="n">
        <x:v>41946.186273148145</x:v>
      </x:c>
      <x:c r="C1992" s="27" t="n">
        <x:f>INT(B1992)</x:f>
        <x:v>41946</x:v>
      </x:c>
      <x:c r="D1992" s="28" t="n">
        <x:f>MOD(B1992,1)</x:f>
        <x:v>0.1862731481451192</x:v>
      </x:c>
      <x:c r="E1992" s="29" t="n">
        <x:f>YEAR(B1992)</x:f>
        <x:v>2014</x:v>
      </x:c>
      <x:c r="F1992" s="29" t="n">
        <x:f>MONTH(B1992)</x:f>
        <x:v>11</x:v>
      </x:c>
      <x:c r="G1992" s="30" t="n">
        <x:v>-21.62</x:v>
      </x:c>
      <x:c r="H1992" s="30" t="n">
        <x:v>-69.51</x:v>
      </x:c>
      <x:c r="I1992" s="29" t="n">
        <x:v>80</x:v>
      </x:c>
      <x:c r="J1992" s="31" t="n">
        <x:v>4.6</x:v>
      </x:c>
      <x:c r="K1992" s="25" t="str">
        <x:f>IF(J1992&gt;=7,"Muy fuerte (&gt;=7)",IF(J1992&gt;=6,"Fuerte (6-6.9)",IF(J1992&gt;=5,"Moderado alto (5-5.9)",IF(J1992&gt;=4,"Moderado (4-4.9)","Menor a 4"))))</x:f>
        <x:v>Moderado (4-4.9)</x:v>
      </x:c>
      <x:c r="L1992" s="25" t="str">
        <x:f>IF(I1992&lt;70,"Superficial (&lt;70 km)",IF(I1992&lt;=300,"Intermedio (70-300 km)","Profundo (&gt;300 km)"))</x:f>
        <x:v>Intermedio (70-300 km)</x:v>
      </x:c>
      <x:c r="M1992" s="25" t="str">
        <x:f>IF(J1992&gt;=5,"Sí","No")</x:f>
        <x:v>No</x:v>
      </x:c>
      <x:c r="N1992" s="25" t="str">
        <x:f>IF(J1992&gt;=6,"Sí","No")</x:f>
        <x:v>No</x:v>
      </x:c>
      <x:c r="O1992" s="25" t="str">
        <x:v>Pendiente: asignar con R/sf</x:v>
      </x:c>
    </x:row>
    <x:row r="1993">
      <x:c r="A1993" s="25" t="n">
        <x:v>1992</x:v>
      </x:c>
      <x:c r="B1993" s="26" t="n">
        <x:v>41953.48540509259</x:v>
      </x:c>
      <x:c r="C1993" s="27" t="n">
        <x:f>INT(B1993)</x:f>
        <x:v>41953</x:v>
      </x:c>
      <x:c r="D1993" s="28" t="n">
        <x:f>MOD(B1993,1)</x:f>
        <x:v>0.48540509259328246</x:v>
      </x:c>
      <x:c r="E1993" s="29" t="n">
        <x:f>YEAR(B1993)</x:f>
        <x:v>2014</x:v>
      </x:c>
      <x:c r="F1993" s="29" t="n">
        <x:f>MONTH(B1993)</x:f>
        <x:v>11</x:v>
      </x:c>
      <x:c r="G1993" s="30" t="n">
        <x:v>-21.63</x:v>
      </x:c>
      <x:c r="H1993" s="30" t="n">
        <x:v>-68.72</x:v>
      </x:c>
      <x:c r="I1993" s="29" t="n">
        <x:v>111</x:v>
      </x:c>
      <x:c r="J1993" s="31" t="n">
        <x:v>5.6</x:v>
      </x:c>
      <x:c r="K1993" s="25" t="str">
        <x:f>IF(J1993&gt;=7,"Muy fuerte (&gt;=7)",IF(J1993&gt;=6,"Fuerte (6-6.9)",IF(J1993&gt;=5,"Moderado alto (5-5.9)",IF(J1993&gt;=4,"Moderado (4-4.9)","Menor a 4"))))</x:f>
        <x:v>Moderado alto (5-5.9)</x:v>
      </x:c>
      <x:c r="L1993" s="25" t="str">
        <x:f>IF(I1993&lt;70,"Superficial (&lt;70 km)",IF(I1993&lt;=300,"Intermedio (70-300 km)","Profundo (&gt;300 km)"))</x:f>
        <x:v>Intermedio (70-300 km)</x:v>
      </x:c>
      <x:c r="M1993" s="25" t="str">
        <x:f>IF(J1993&gt;=5,"Sí","No")</x:f>
        <x:v>Sí</x:v>
      </x:c>
      <x:c r="N1993" s="25" t="str">
        <x:f>IF(J1993&gt;=6,"Sí","No")</x:f>
        <x:v>No</x:v>
      </x:c>
      <x:c r="O1993" s="25" t="str">
        <x:v>Pendiente: asignar con R/sf</x:v>
      </x:c>
    </x:row>
    <x:row r="1994">
      <x:c r="A1994" s="25" t="n">
        <x:v>1993</x:v>
      </x:c>
      <x:c r="B1994" s="26" t="n">
        <x:v>41967.808171296296</x:v>
      </x:c>
      <x:c r="C1994" s="27" t="n">
        <x:f>INT(B1994)</x:f>
        <x:v>41967</x:v>
      </x:c>
      <x:c r="D1994" s="28" t="n">
        <x:f>MOD(B1994,1)</x:f>
        <x:v>0.8081712962957681</x:v>
      </x:c>
      <x:c r="E1994" s="29" t="n">
        <x:f>YEAR(B1994)</x:f>
        <x:v>2014</x:v>
      </x:c>
      <x:c r="F1994" s="29" t="n">
        <x:f>MONTH(B1994)</x:f>
        <x:v>11</x:v>
      </x:c>
      <x:c r="G1994" s="30" t="n">
        <x:v>-20.09</x:v>
      </x:c>
      <x:c r="H1994" s="30" t="n">
        <x:v>-69.23</x:v>
      </x:c>
      <x:c r="I1994" s="29" t="n">
        <x:v>98</x:v>
      </x:c>
      <x:c r="J1994" s="31" t="n">
        <x:v>4.9</x:v>
      </x:c>
      <x:c r="K1994" s="25" t="str">
        <x:f>IF(J1994&gt;=7,"Muy fuerte (&gt;=7)",IF(J1994&gt;=6,"Fuerte (6-6.9)",IF(J1994&gt;=5,"Moderado alto (5-5.9)",IF(J1994&gt;=4,"Moderado (4-4.9)","Menor a 4"))))</x:f>
        <x:v>Moderado (4-4.9)</x:v>
      </x:c>
      <x:c r="L1994" s="25" t="str">
        <x:f>IF(I1994&lt;70,"Superficial (&lt;70 km)",IF(I1994&lt;=300,"Intermedio (70-300 km)","Profundo (&gt;300 km)"))</x:f>
        <x:v>Intermedio (70-300 km)</x:v>
      </x:c>
      <x:c r="M1994" s="25" t="str">
        <x:f>IF(J1994&gt;=5,"Sí","No")</x:f>
        <x:v>No</x:v>
      </x:c>
      <x:c r="N1994" s="25" t="str">
        <x:f>IF(J1994&gt;=6,"Sí","No")</x:f>
        <x:v>No</x:v>
      </x:c>
      <x:c r="O1994" s="25" t="str">
        <x:v>Pendiente: asignar con R/sf</x:v>
      </x:c>
    </x:row>
    <x:row r="1995">
      <x:c r="A1995" s="25" t="n">
        <x:v>1994</x:v>
      </x:c>
      <x:c r="B1995" s="26" t="n">
        <x:v>41968.37152777778</x:v>
      </x:c>
      <x:c r="C1995" s="27" t="n">
        <x:f>INT(B1995)</x:f>
        <x:v>41968</x:v>
      </x:c>
      <x:c r="D1995" s="28" t="n">
        <x:f>MOD(B1995,1)</x:f>
        <x:v>0.37152777778101154</x:v>
      </x:c>
      <x:c r="E1995" s="29" t="n">
        <x:f>YEAR(B1995)</x:f>
        <x:v>2014</x:v>
      </x:c>
      <x:c r="F1995" s="29" t="n">
        <x:f>MONTH(B1995)</x:f>
        <x:v>11</x:v>
      </x:c>
      <x:c r="G1995" s="30" t="n">
        <x:v>-20.54</x:v>
      </x:c>
      <x:c r="H1995" s="30" t="n">
        <x:v>-68.76</x:v>
      </x:c>
      <x:c r="I1995" s="29" t="n">
        <x:v>111</x:v>
      </x:c>
      <x:c r="J1995" s="31" t="n">
        <x:v>5</x:v>
      </x:c>
      <x:c r="K1995" s="25" t="str">
        <x:f>IF(J1995&gt;=7,"Muy fuerte (&gt;=7)",IF(J1995&gt;=6,"Fuerte (6-6.9)",IF(J1995&gt;=5,"Moderado alto (5-5.9)",IF(J1995&gt;=4,"Moderado (4-4.9)","Menor a 4"))))</x:f>
        <x:v>Moderado alto (5-5.9)</x:v>
      </x:c>
      <x:c r="L1995" s="25" t="str">
        <x:f>IF(I1995&lt;70,"Superficial (&lt;70 km)",IF(I1995&lt;=300,"Intermedio (70-300 km)","Profundo (&gt;300 km)"))</x:f>
        <x:v>Intermedio (70-300 km)</x:v>
      </x:c>
      <x:c r="M1995" s="25" t="str">
        <x:f>IF(J1995&gt;=5,"Sí","No")</x:f>
        <x:v>Sí</x:v>
      </x:c>
      <x:c r="N1995" s="25" t="str">
        <x:f>IF(J1995&gt;=6,"Sí","No")</x:f>
        <x:v>No</x:v>
      </x:c>
      <x:c r="O1995" s="25" t="str">
        <x:v>Pendiente: asignar con R/sf</x:v>
      </x:c>
    </x:row>
    <x:row r="1996">
      <x:c r="A1996" s="25" t="n">
        <x:v>1995</x:v>
      </x:c>
      <x:c r="B1996" s="26" t="n">
        <x:v>41976.40181712963</x:v>
      </x:c>
      <x:c r="C1996" s="27" t="n">
        <x:f>INT(B1996)</x:f>
        <x:v>41976</x:v>
      </x:c>
      <x:c r="D1996" s="28" t="n">
        <x:f>MOD(B1996,1)</x:f>
        <x:v>0.4018171296265791</x:v>
      </x:c>
      <x:c r="E1996" s="29" t="n">
        <x:f>YEAR(B1996)</x:f>
        <x:v>2014</x:v>
      </x:c>
      <x:c r="F1996" s="29" t="n">
        <x:f>MONTH(B1996)</x:f>
        <x:v>12</x:v>
      </x:c>
      <x:c r="G1996" s="30" t="n">
        <x:v>-22.61</x:v>
      </x:c>
      <x:c r="H1996" s="30" t="n">
        <x:v>-70.2</x:v>
      </x:c>
      <x:c r="I1996" s="29" t="n">
        <x:v>70</x:v>
      </x:c>
      <x:c r="J1996" s="31" t="n">
        <x:v>5.2</x:v>
      </x:c>
      <x:c r="K1996" s="25" t="str">
        <x:f>IF(J1996&gt;=7,"Muy fuerte (&gt;=7)",IF(J1996&gt;=6,"Fuerte (6-6.9)",IF(J1996&gt;=5,"Moderado alto (5-5.9)",IF(J1996&gt;=4,"Moderado (4-4.9)","Menor a 4"))))</x:f>
        <x:v>Moderado alto (5-5.9)</x:v>
      </x:c>
      <x:c r="L1996" s="25" t="str">
        <x:f>IF(I1996&lt;70,"Superficial (&lt;70 km)",IF(I1996&lt;=300,"Intermedio (70-300 km)","Profundo (&gt;300 km)"))</x:f>
        <x:v>Intermedio (70-300 km)</x:v>
      </x:c>
      <x:c r="M1996" s="25" t="str">
        <x:f>IF(J1996&gt;=5,"Sí","No")</x:f>
        <x:v>Sí</x:v>
      </x:c>
      <x:c r="N1996" s="25" t="str">
        <x:f>IF(J1996&gt;=6,"Sí","No")</x:f>
        <x:v>No</x:v>
      </x:c>
      <x:c r="O1996" s="25" t="str">
        <x:v>Pendiente: asignar con R/sf</x:v>
      </x:c>
    </x:row>
    <x:row r="1997">
      <x:c r="A1997" s="25" t="n">
        <x:v>1996</x:v>
      </x:c>
      <x:c r="B1997" s="26" t="n">
        <x:v>41985.524675925924</x:v>
      </x:c>
      <x:c r="C1997" s="27" t="n">
        <x:f>INT(B1997)</x:f>
        <x:v>41985</x:v>
      </x:c>
      <x:c r="D1997" s="28" t="n">
        <x:f>MOD(B1997,1)</x:f>
        <x:v>0.5246759259243845</x:v>
      </x:c>
      <x:c r="E1997" s="29" t="n">
        <x:f>YEAR(B1997)</x:f>
        <x:v>2014</x:v>
      </x:c>
      <x:c r="F1997" s="29" t="n">
        <x:f>MONTH(B1997)</x:f>
        <x:v>12</x:v>
      </x:c>
      <x:c r="G1997" s="30" t="n">
        <x:v>-19.85</x:v>
      </x:c>
      <x:c r="H1997" s="30" t="n">
        <x:v>-70.92</x:v>
      </x:c>
      <x:c r="I1997" s="29" t="n">
        <x:v>34</x:v>
      </x:c>
      <x:c r="J1997" s="31" t="n">
        <x:v>5.4</x:v>
      </x:c>
      <x:c r="K1997" s="25" t="str">
        <x:f>IF(J1997&gt;=7,"Muy fuerte (&gt;=7)",IF(J1997&gt;=6,"Fuerte (6-6.9)",IF(J1997&gt;=5,"Moderado alto (5-5.9)",IF(J1997&gt;=4,"Moderado (4-4.9)","Menor a 4"))))</x:f>
        <x:v>Moderado alto (5-5.9)</x:v>
      </x:c>
      <x:c r="L1997" s="25" t="str">
        <x:f>IF(I1997&lt;70,"Superficial (&lt;70 km)",IF(I1997&lt;=300,"Intermedio (70-300 km)","Profundo (&gt;300 km)"))</x:f>
        <x:v>Superficial (&lt;70 km)</x:v>
      </x:c>
      <x:c r="M1997" s="25" t="str">
        <x:f>IF(J1997&gt;=5,"Sí","No")</x:f>
        <x:v>Sí</x:v>
      </x:c>
      <x:c r="N1997" s="25" t="str">
        <x:f>IF(J1997&gt;=6,"Sí","No")</x:f>
        <x:v>No</x:v>
      </x:c>
      <x:c r="O1997" s="25" t="str">
        <x:v>Pendiente: asignar con R/sf</x:v>
      </x:c>
    </x:row>
    <x:row r="1998">
      <x:c r="A1998" s="25" t="n">
        <x:v>1997</x:v>
      </x:c>
      <x:c r="B1998" s="26" t="n">
        <x:v>41989.19708333333</x:v>
      </x:c>
      <x:c r="C1998" s="27" t="n">
        <x:f>INT(B1998)</x:f>
        <x:v>41989</x:v>
      </x:c>
      <x:c r="D1998" s="28" t="n">
        <x:f>MOD(B1998,1)</x:f>
        <x:v>0.19708333333255723</x:v>
      </x:c>
      <x:c r="E1998" s="29" t="n">
        <x:f>YEAR(B1998)</x:f>
        <x:v>2014</x:v>
      </x:c>
      <x:c r="F1998" s="29" t="n">
        <x:f>MONTH(B1998)</x:f>
        <x:v>12</x:v>
      </x:c>
      <x:c r="G1998" s="30" t="n">
        <x:v>-20.47</x:v>
      </x:c>
      <x:c r="H1998" s="30" t="n">
        <x:v>-68.96</x:v>
      </x:c>
      <x:c r="I1998" s="29" t="n">
        <x:v>99</x:v>
      </x:c>
      <x:c r="J1998" s="31" t="n">
        <x:v>4.7</x:v>
      </x:c>
      <x:c r="K1998" s="25" t="str">
        <x:f>IF(J1998&gt;=7,"Muy fuerte (&gt;=7)",IF(J1998&gt;=6,"Fuerte (6-6.9)",IF(J1998&gt;=5,"Moderado alto (5-5.9)",IF(J1998&gt;=4,"Moderado (4-4.9)","Menor a 4"))))</x:f>
        <x:v>Moderado (4-4.9)</x:v>
      </x:c>
      <x:c r="L1998" s="25" t="str">
        <x:f>IF(I1998&lt;70,"Superficial (&lt;70 km)",IF(I1998&lt;=300,"Intermedio (70-300 km)","Profundo (&gt;300 km)"))</x:f>
        <x:v>Intermedio (70-300 km)</x:v>
      </x:c>
      <x:c r="M1998" s="25" t="str">
        <x:f>IF(J1998&gt;=5,"Sí","No")</x:f>
        <x:v>No</x:v>
      </x:c>
      <x:c r="N1998" s="25" t="str">
        <x:f>IF(J1998&gt;=6,"Sí","No")</x:f>
        <x:v>No</x:v>
      </x:c>
      <x:c r="O1998" s="25" t="str">
        <x:v>Pendiente: asignar con R/sf</x:v>
      </x:c>
    </x:row>
    <x:row r="1999">
      <x:c r="A1999" s="25" t="n">
        <x:v>1998</x:v>
      </x:c>
      <x:c r="B1999" s="26" t="n">
        <x:v>41990.36989583333</x:v>
      </x:c>
      <x:c r="C1999" s="27" t="n">
        <x:f>INT(B1999)</x:f>
        <x:v>41990</x:v>
      </x:c>
      <x:c r="D1999" s="28" t="n">
        <x:f>MOD(B1999,1)</x:f>
        <x:v>0.36989583333343035</x:v>
      </x:c>
      <x:c r="E1999" s="29" t="n">
        <x:f>YEAR(B1999)</x:f>
        <x:v>2014</x:v>
      </x:c>
      <x:c r="F1999" s="29" t="n">
        <x:f>MONTH(B1999)</x:f>
        <x:v>12</x:v>
      </x:c>
      <x:c r="G1999" s="30" t="n">
        <x:v>-21.9</x:v>
      </x:c>
      <x:c r="H1999" s="30" t="n">
        <x:v>-69.91</x:v>
      </x:c>
      <x:c r="I1999" s="29" t="n">
        <x:v>57</x:v>
      </x:c>
      <x:c r="J1999" s="31" t="n">
        <x:v>4.1</x:v>
      </x:c>
      <x:c r="K1999" s="25" t="str">
        <x:f>IF(J1999&gt;=7,"Muy fuerte (&gt;=7)",IF(J1999&gt;=6,"Fuerte (6-6.9)",IF(J1999&gt;=5,"Moderado alto (5-5.9)",IF(J1999&gt;=4,"Moderado (4-4.9)","Menor a 4"))))</x:f>
        <x:v>Moderado (4-4.9)</x:v>
      </x:c>
      <x:c r="L1999" s="25" t="str">
        <x:f>IF(I1999&lt;70,"Superficial (&lt;70 km)",IF(I1999&lt;=300,"Intermedio (70-300 km)","Profundo (&gt;300 km)"))</x:f>
        <x:v>Superficial (&lt;70 km)</x:v>
      </x:c>
      <x:c r="M1999" s="25" t="str">
        <x:f>IF(J1999&gt;=5,"Sí","No")</x:f>
        <x:v>No</x:v>
      </x:c>
      <x:c r="N1999" s="25" t="str">
        <x:f>IF(J1999&gt;=6,"Sí","No")</x:f>
        <x:v>No</x:v>
      </x:c>
      <x:c r="O1999" s="25" t="str">
        <x:v>Pendiente: asignar con R/sf</x:v>
      </x:c>
    </x:row>
    <x:row r="2000">
      <x:c r="A2000" s="25" t="n">
        <x:v>1999</x:v>
      </x:c>
      <x:c r="B2000" s="26" t="n">
        <x:v>41991.26710648148</x:v>
      </x:c>
      <x:c r="C2000" s="27" t="n">
        <x:f>INT(B2000)</x:f>
        <x:v>41991</x:v>
      </x:c>
      <x:c r="D2000" s="28" t="n">
        <x:f>MOD(B2000,1)</x:f>
        <x:v>0.26710648147854954</x:v>
      </x:c>
      <x:c r="E2000" s="29" t="n">
        <x:f>YEAR(B2000)</x:f>
        <x:v>2014</x:v>
      </x:c>
      <x:c r="F2000" s="29" t="n">
        <x:f>MONTH(B2000)</x:f>
        <x:v>12</x:v>
      </x:c>
      <x:c r="G2000" s="30" t="n">
        <x:v>-20.38</x:v>
      </x:c>
      <x:c r="H2000" s="30" t="n">
        <x:v>-68.87</x:v>
      </x:c>
      <x:c r="I2000" s="29" t="n">
        <x:v>103</x:v>
      </x:c>
      <x:c r="J2000" s="31" t="n">
        <x:v>5.2</x:v>
      </x:c>
      <x:c r="K2000" s="25" t="str">
        <x:f>IF(J2000&gt;=7,"Muy fuerte (&gt;=7)",IF(J2000&gt;=6,"Fuerte (6-6.9)",IF(J2000&gt;=5,"Moderado alto (5-5.9)",IF(J2000&gt;=4,"Moderado (4-4.9)","Menor a 4"))))</x:f>
        <x:v>Moderado alto (5-5.9)</x:v>
      </x:c>
      <x:c r="L2000" s="25" t="str">
        <x:f>IF(I2000&lt;70,"Superficial (&lt;70 km)",IF(I2000&lt;=300,"Intermedio (70-300 km)","Profundo (&gt;300 km)"))</x:f>
        <x:v>Intermedio (70-300 km)</x:v>
      </x:c>
      <x:c r="M2000" s="25" t="str">
        <x:f>IF(J2000&gt;=5,"Sí","No")</x:f>
        <x:v>Sí</x:v>
      </x:c>
      <x:c r="N2000" s="25" t="str">
        <x:f>IF(J2000&gt;=6,"Sí","No")</x:f>
        <x:v>No</x:v>
      </x:c>
      <x:c r="O2000" s="25" t="str">
        <x:v>Pendiente: asignar con R/sf</x:v>
      </x:c>
    </x:row>
    <x:row r="2001">
      <x:c r="A2001" s="25" t="n">
        <x:v>2000</x:v>
      </x:c>
      <x:c r="B2001" s="26" t="n">
        <x:v>41992.49763888889</x:v>
      </x:c>
      <x:c r="C2001" s="27" t="n">
        <x:f>INT(B2001)</x:f>
        <x:v>41992</x:v>
      </x:c>
      <x:c r="D2001" s="28" t="n">
        <x:f>MOD(B2001,1)</x:f>
        <x:v>0.4976388888899237</x:v>
      </x:c>
      <x:c r="E2001" s="29" t="n">
        <x:f>YEAR(B2001)</x:f>
        <x:v>2014</x:v>
      </x:c>
      <x:c r="F2001" s="29" t="n">
        <x:f>MONTH(B2001)</x:f>
        <x:v>12</x:v>
      </x:c>
      <x:c r="G2001" s="30" t="n">
        <x:v>-21.65</x:v>
      </x:c>
      <x:c r="H2001" s="30" t="n">
        <x:v>-70.36</x:v>
      </x:c>
      <x:c r="I2001" s="29" t="n">
        <x:v>38</x:v>
      </x:c>
      <x:c r="J2001" s="31" t="n">
        <x:v>4.2</x:v>
      </x:c>
      <x:c r="K2001" s="25" t="str">
        <x:f>IF(J2001&gt;=7,"Muy fuerte (&gt;=7)",IF(J2001&gt;=6,"Fuerte (6-6.9)",IF(J2001&gt;=5,"Moderado alto (5-5.9)",IF(J2001&gt;=4,"Moderado (4-4.9)","Menor a 4"))))</x:f>
        <x:v>Moderado (4-4.9)</x:v>
      </x:c>
      <x:c r="L2001" s="25" t="str">
        <x:f>IF(I2001&lt;70,"Superficial (&lt;70 km)",IF(I2001&lt;=300,"Intermedio (70-300 km)","Profundo (&gt;300 km)"))</x:f>
        <x:v>Superficial (&lt;70 km)</x:v>
      </x:c>
      <x:c r="M2001" s="25" t="str">
        <x:f>IF(J2001&gt;=5,"Sí","No")</x:f>
        <x:v>No</x:v>
      </x:c>
      <x:c r="N2001" s="25" t="str">
        <x:f>IF(J2001&gt;=6,"Sí","No")</x:f>
        <x:v>No</x:v>
      </x:c>
      <x:c r="O2001" s="25" t="str">
        <x:v>Pendiente: asignar con R/sf</x:v>
      </x:c>
    </x:row>
    <x:row r="2002">
      <x:c r="A2002" s="25" t="n">
        <x:v>2001</x:v>
      </x:c>
      <x:c r="B2002" s="26" t="n">
        <x:v>42264.59071759259</x:v>
      </x:c>
      <x:c r="C2002" s="27" t="n">
        <x:f>INT(B2002)</x:f>
        <x:v>42264</x:v>
      </x:c>
      <x:c r="D2002" s="28" t="n">
        <x:f>MOD(B2002,1)</x:f>
        <x:v>0.590717592589499</x:v>
      </x:c>
      <x:c r="E2002" s="29" t="n">
        <x:f>YEAR(B2002)</x:f>
        <x:v>2015</x:v>
      </x:c>
      <x:c r="F2002" s="29" t="n">
        <x:f>MONTH(B2002)</x:f>
        <x:v>9</x:v>
      </x:c>
      <x:c r="G2002" s="30" t="n">
        <x:v>-30.88</x:v>
      </x:c>
      <x:c r="H2002" s="30" t="n">
        <x:v>-71.33</x:v>
      </x:c>
      <x:c r="I2002" s="29" t="n">
        <x:v>43</x:v>
      </x:c>
      <x:c r="J2002" s="31" t="n">
        <x:v>4.1</x:v>
      </x:c>
      <x:c r="K2002" s="25" t="str">
        <x:f>IF(J2002&gt;=7,"Muy fuerte (&gt;=7)",IF(J2002&gt;=6,"Fuerte (6-6.9)",IF(J2002&gt;=5,"Moderado alto (5-5.9)",IF(J2002&gt;=4,"Moderado (4-4.9)","Menor a 4"))))</x:f>
        <x:v>Moderado (4-4.9)</x:v>
      </x:c>
      <x:c r="L2002" s="25" t="str">
        <x:f>IF(I2002&lt;70,"Superficial (&lt;70 km)",IF(I2002&lt;=300,"Intermedio (70-300 km)","Profundo (&gt;300 km)"))</x:f>
        <x:v>Superficial (&lt;70 km)</x:v>
      </x:c>
      <x:c r="M2002" s="25" t="str">
        <x:f>IF(J2002&gt;=5,"Sí","No")</x:f>
        <x:v>No</x:v>
      </x:c>
      <x:c r="N2002" s="25" t="str">
        <x:f>IF(J2002&gt;=6,"Sí","No")</x:f>
        <x:v>No</x:v>
      </x:c>
      <x:c r="O2002" s="25" t="str">
        <x:v>Pendiente: asignar con R/sf</x:v>
      </x:c>
    </x:row>
    <x:row r="2003">
      <x:c r="A2003" s="25" t="n">
        <x:v>2002</x:v>
      </x:c>
      <x:c r="B2003" s="26" t="n">
        <x:v>42057.87991898148</x:v>
      </x:c>
      <x:c r="C2003" s="27" t="n">
        <x:f>INT(B2003)</x:f>
        <x:v>42057</x:v>
      </x:c>
      <x:c r="D2003" s="28" t="n">
        <x:f>MOD(B2003,1)</x:f>
        <x:v>0.879918981481751</x:v>
      </x:c>
      <x:c r="E2003" s="29" t="n">
        <x:f>YEAR(B2003)</x:f>
        <x:v>2015</x:v>
      </x:c>
      <x:c r="F2003" s="29" t="n">
        <x:f>MONTH(B2003)</x:f>
        <x:v>2</x:v>
      </x:c>
      <x:c r="G2003" s="30" t="n">
        <x:v>-18.87</x:v>
      </x:c>
      <x:c r="H2003" s="30" t="n">
        <x:v>-69.29</x:v>
      </x:c>
      <x:c r="I2003" s="29" t="n">
        <x:v>123</x:v>
      </x:c>
      <x:c r="J2003" s="31" t="n">
        <x:v>4.3</x:v>
      </x:c>
      <x:c r="K2003" s="25" t="str">
        <x:f>IF(J2003&gt;=7,"Muy fuerte (&gt;=7)",IF(J2003&gt;=6,"Fuerte (6-6.9)",IF(J2003&gt;=5,"Moderado alto (5-5.9)",IF(J2003&gt;=4,"Moderado (4-4.9)","Menor a 4"))))</x:f>
        <x:v>Moderado (4-4.9)</x:v>
      </x:c>
      <x:c r="L2003" s="25" t="str">
        <x:f>IF(I2003&lt;70,"Superficial (&lt;70 km)",IF(I2003&lt;=300,"Intermedio (70-300 km)","Profundo (&gt;300 km)"))</x:f>
        <x:v>Intermedio (70-300 km)</x:v>
      </x:c>
      <x:c r="M2003" s="25" t="str">
        <x:f>IF(J2003&gt;=5,"Sí","No")</x:f>
        <x:v>No</x:v>
      </x:c>
      <x:c r="N2003" s="25" t="str">
        <x:f>IF(J2003&gt;=6,"Sí","No")</x:f>
        <x:v>No</x:v>
      </x:c>
      <x:c r="O2003" s="25" t="str">
        <x:v>Pendiente: asignar con R/sf</x:v>
      </x:c>
    </x:row>
    <x:row r="2004">
      <x:c r="A2004" s="25" t="n">
        <x:v>2003</x:v>
      </x:c>
      <x:c r="B2004" s="26" t="n">
        <x:v>42113.106782407405</x:v>
      </x:c>
      <x:c r="C2004" s="27" t="n">
        <x:f>INT(B2004)</x:f>
        <x:v>42113</x:v>
      </x:c>
      <x:c r="D2004" s="28" t="n">
        <x:f>MOD(B2004,1)</x:f>
        <x:v>0.10678240740526235</x:v>
      </x:c>
      <x:c r="E2004" s="29" t="n">
        <x:f>YEAR(B2004)</x:f>
        <x:v>2015</x:v>
      </x:c>
      <x:c r="F2004" s="29" t="n">
        <x:f>MONTH(B2004)</x:f>
        <x:v>4</x:v>
      </x:c>
      <x:c r="G2004" s="30" t="n">
        <x:v>-19.37</x:v>
      </x:c>
      <x:c r="H2004" s="30" t="n">
        <x:v>-70.18</x:v>
      </x:c>
      <x:c r="I2004" s="29" t="n">
        <x:v>39</x:v>
      </x:c>
      <x:c r="J2004" s="31" t="n">
        <x:v>4</x:v>
      </x:c>
      <x:c r="K2004" s="25" t="str">
        <x:f>IF(J2004&gt;=7,"Muy fuerte (&gt;=7)",IF(J2004&gt;=6,"Fuerte (6-6.9)",IF(J2004&gt;=5,"Moderado alto (5-5.9)",IF(J2004&gt;=4,"Moderado (4-4.9)","Menor a 4"))))</x:f>
        <x:v>Moderado (4-4.9)</x:v>
      </x:c>
      <x:c r="L2004" s="25" t="str">
        <x:f>IF(I2004&lt;70,"Superficial (&lt;70 km)",IF(I2004&lt;=300,"Intermedio (70-300 km)","Profundo (&gt;300 km)"))</x:f>
        <x:v>Superficial (&lt;70 km)</x:v>
      </x:c>
      <x:c r="M2004" s="25" t="str">
        <x:f>IF(J2004&gt;=5,"Sí","No")</x:f>
        <x:v>No</x:v>
      </x:c>
      <x:c r="N2004" s="25" t="str">
        <x:f>IF(J2004&gt;=6,"Sí","No")</x:f>
        <x:v>No</x:v>
      </x:c>
      <x:c r="O2004" s="25" t="str">
        <x:v>Pendiente: asignar con R/sf</x:v>
      </x:c>
    </x:row>
    <x:row r="2005">
      <x:c r="A2005" s="25" t="n">
        <x:v>2004</x:v>
      </x:c>
      <x:c r="B2005" s="26" t="n">
        <x:v>42292.75105324074</x:v>
      </x:c>
      <x:c r="C2005" s="27" t="n">
        <x:f>INT(B2005)</x:f>
        <x:v>42292</x:v>
      </x:c>
      <x:c r="D2005" s="28" t="n">
        <x:f>MOD(B2005,1)</x:f>
        <x:v>0.7510532407395658</x:v>
      </x:c>
      <x:c r="E2005" s="29" t="n">
        <x:f>YEAR(B2005)</x:f>
        <x:v>2015</x:v>
      </x:c>
      <x:c r="F2005" s="29" t="n">
        <x:f>MONTH(B2005)</x:f>
        <x:v>10</x:v>
      </x:c>
      <x:c r="G2005" s="30" t="n">
        <x:v>-22.74</x:v>
      </x:c>
      <x:c r="H2005" s="30" t="n">
        <x:v>-68.97</x:v>
      </x:c>
      <x:c r="I2005" s="29" t="n">
        <x:v>118</x:v>
      </x:c>
      <x:c r="J2005" s="31" t="n">
        <x:v>4.5</x:v>
      </x:c>
      <x:c r="K2005" s="25" t="str">
        <x:f>IF(J2005&gt;=7,"Muy fuerte (&gt;=7)",IF(J2005&gt;=6,"Fuerte (6-6.9)",IF(J2005&gt;=5,"Moderado alto (5-5.9)",IF(J2005&gt;=4,"Moderado (4-4.9)","Menor a 4"))))</x:f>
        <x:v>Moderado (4-4.9)</x:v>
      </x:c>
      <x:c r="L2005" s="25" t="str">
        <x:f>IF(I2005&lt;70,"Superficial (&lt;70 km)",IF(I2005&lt;=300,"Intermedio (70-300 km)","Profundo (&gt;300 km)"))</x:f>
        <x:v>Intermedio (70-300 km)</x:v>
      </x:c>
      <x:c r="M2005" s="25" t="str">
        <x:f>IF(J2005&gt;=5,"Sí","No")</x:f>
        <x:v>No</x:v>
      </x:c>
      <x:c r="N2005" s="25" t="str">
        <x:f>IF(J2005&gt;=6,"Sí","No")</x:f>
        <x:v>No</x:v>
      </x:c>
      <x:c r="O2005" s="25" t="str">
        <x:v>Pendiente: asignar con R/sf</x:v>
      </x:c>
    </x:row>
    <x:row r="2006">
      <x:c r="A2006" s="25" t="n">
        <x:v>2005</x:v>
      </x:c>
      <x:c r="B2006" s="26" t="n">
        <x:v>42240.11305555556</x:v>
      </x:c>
      <x:c r="C2006" s="27" t="n">
        <x:f>INT(B2006)</x:f>
        <x:v>42240</x:v>
      </x:c>
      <x:c r="D2006" s="28" t="n">
        <x:f>MOD(B2006,1)</x:f>
        <x:v>0.11305555555736646</x:v>
      </x:c>
      <x:c r="E2006" s="29" t="n">
        <x:f>YEAR(B2006)</x:f>
        <x:v>2015</x:v>
      </x:c>
      <x:c r="F2006" s="29" t="n">
        <x:f>MONTH(B2006)</x:f>
        <x:v>8</x:v>
      </x:c>
      <x:c r="G2006" s="30" t="n">
        <x:v>-29.84</x:v>
      </x:c>
      <x:c r="H2006" s="30" t="n">
        <x:v>-71.24</x:v>
      </x:c>
      <x:c r="I2006" s="29" t="n">
        <x:v>45</x:v>
      </x:c>
      <x:c r="J2006" s="31" t="n">
        <x:v>4.3</x:v>
      </x:c>
      <x:c r="K2006" s="25" t="str">
        <x:f>IF(J2006&gt;=7,"Muy fuerte (&gt;=7)",IF(J2006&gt;=6,"Fuerte (6-6.9)",IF(J2006&gt;=5,"Moderado alto (5-5.9)",IF(J2006&gt;=4,"Moderado (4-4.9)","Menor a 4"))))</x:f>
        <x:v>Moderado (4-4.9)</x:v>
      </x:c>
      <x:c r="L2006" s="25" t="str">
        <x:f>IF(I2006&lt;70,"Superficial (&lt;70 km)",IF(I2006&lt;=300,"Intermedio (70-300 km)","Profundo (&gt;300 km)"))</x:f>
        <x:v>Superficial (&lt;70 km)</x:v>
      </x:c>
      <x:c r="M2006" s="25" t="str">
        <x:f>IF(J2006&gt;=5,"Sí","No")</x:f>
        <x:v>No</x:v>
      </x:c>
      <x:c r="N2006" s="25" t="str">
        <x:f>IF(J2006&gt;=6,"Sí","No")</x:f>
        <x:v>No</x:v>
      </x:c>
      <x:c r="O2006" s="25" t="str">
        <x:v>Pendiente: asignar con R/sf</x:v>
      </x:c>
    </x:row>
    <x:row r="2007">
      <x:c r="A2007" s="25" t="n">
        <x:v>2006</x:v>
      </x:c>
      <x:c r="B2007" s="26" t="n">
        <x:v>42329.928449074076</x:v>
      </x:c>
      <x:c r="C2007" s="27" t="n">
        <x:f>INT(B2007)</x:f>
        <x:v>42329</x:v>
      </x:c>
      <x:c r="D2007" s="28" t="n">
        <x:f>MOD(B2007,1)</x:f>
        <x:v>0.9284490740756155</x:v>
      </x:c>
      <x:c r="E2007" s="29" t="n">
        <x:f>YEAR(B2007)</x:f>
        <x:v>2015</x:v>
      </x:c>
      <x:c r="F2007" s="29" t="n">
        <x:f>MONTH(B2007)</x:f>
        <x:v>11</x:v>
      </x:c>
      <x:c r="G2007" s="30" t="n">
        <x:v>-30.64</x:v>
      </x:c>
      <x:c r="H2007" s="30" t="n">
        <x:v>-71.67</x:v>
      </x:c>
      <x:c r="I2007" s="29" t="n">
        <x:v>38</x:v>
      </x:c>
      <x:c r="J2007" s="31" t="n">
        <x:v>4.3</x:v>
      </x:c>
      <x:c r="K2007" s="25" t="str">
        <x:f>IF(J2007&gt;=7,"Muy fuerte (&gt;=7)",IF(J2007&gt;=6,"Fuerte (6-6.9)",IF(J2007&gt;=5,"Moderado alto (5-5.9)",IF(J2007&gt;=4,"Moderado (4-4.9)","Menor a 4"))))</x:f>
        <x:v>Moderado (4-4.9)</x:v>
      </x:c>
      <x:c r="L2007" s="25" t="str">
        <x:f>IF(I2007&lt;70,"Superficial (&lt;70 km)",IF(I2007&lt;=300,"Intermedio (70-300 km)","Profundo (&gt;300 km)"))</x:f>
        <x:v>Superficial (&lt;70 km)</x:v>
      </x:c>
      <x:c r="M2007" s="25" t="str">
        <x:f>IF(J2007&gt;=5,"Sí","No")</x:f>
        <x:v>No</x:v>
      </x:c>
      <x:c r="N2007" s="25" t="str">
        <x:f>IF(J2007&gt;=6,"Sí","No")</x:f>
        <x:v>No</x:v>
      </x:c>
      <x:c r="O2007" s="25" t="str">
        <x:v>Pendiente: asignar con R/sf</x:v>
      </x:c>
    </x:row>
    <x:row r="2008">
      <x:c r="A2008" s="25" t="n">
        <x:v>2007</x:v>
      </x:c>
      <x:c r="B2008" s="26" t="n">
        <x:v>42257.611296296294</x:v>
      </x:c>
      <x:c r="C2008" s="27" t="n">
        <x:f>INT(B2008)</x:f>
        <x:v>42257</x:v>
      </x:c>
      <x:c r="D2008" s="28" t="n">
        <x:f>MOD(B2008,1)</x:f>
        <x:v>0.6112962962943129</x:v>
      </x:c>
      <x:c r="E2008" s="29" t="n">
        <x:f>YEAR(B2008)</x:f>
        <x:v>2015</x:v>
      </x:c>
      <x:c r="F2008" s="29" t="n">
        <x:f>MONTH(B2008)</x:f>
        <x:v>9</x:v>
      </x:c>
      <x:c r="G2008" s="30" t="n">
        <x:v>-19.98</x:v>
      </x:c>
      <x:c r="H2008" s="30" t="n">
        <x:v>-70.97</x:v>
      </x:c>
      <x:c r="I2008" s="29" t="n">
        <x:v>31</x:v>
      </x:c>
      <x:c r="J2008" s="31" t="n">
        <x:v>4.6</x:v>
      </x:c>
      <x:c r="K2008" s="25" t="str">
        <x:f>IF(J2008&gt;=7,"Muy fuerte (&gt;=7)",IF(J2008&gt;=6,"Fuerte (6-6.9)",IF(J2008&gt;=5,"Moderado alto (5-5.9)",IF(J2008&gt;=4,"Moderado (4-4.9)","Menor a 4"))))</x:f>
        <x:v>Moderado (4-4.9)</x:v>
      </x:c>
      <x:c r="L2008" s="25" t="str">
        <x:f>IF(I2008&lt;70,"Superficial (&lt;70 km)",IF(I2008&lt;=300,"Intermedio (70-300 km)","Profundo (&gt;300 km)"))</x:f>
        <x:v>Superficial (&lt;70 km)</x:v>
      </x:c>
      <x:c r="M2008" s="25" t="str">
        <x:f>IF(J2008&gt;=5,"Sí","No")</x:f>
        <x:v>No</x:v>
      </x:c>
      <x:c r="N2008" s="25" t="str">
        <x:f>IF(J2008&gt;=6,"Sí","No")</x:f>
        <x:v>No</x:v>
      </x:c>
      <x:c r="O2008" s="25" t="str">
        <x:v>Pendiente: asignar con R/sf</x:v>
      </x:c>
    </x:row>
    <x:row r="2009">
      <x:c r="A2009" s="25" t="n">
        <x:v>2008</x:v>
      </x:c>
      <x:c r="B2009" s="26" t="n">
        <x:v>42279.35287037037</x:v>
      </x:c>
      <x:c r="C2009" s="27" t="n">
        <x:f>INT(B2009)</x:f>
        <x:v>42279</x:v>
      </x:c>
      <x:c r="D2009" s="28" t="n">
        <x:f>MOD(B2009,1)</x:f>
        <x:v>0.3528703703705105</x:v>
      </x:c>
      <x:c r="E2009" s="29" t="n">
        <x:f>YEAR(B2009)</x:f>
        <x:v>2015</x:v>
      </x:c>
      <x:c r="F2009" s="29" t="n">
        <x:f>MONTH(B2009)</x:f>
        <x:v>10</x:v>
      </x:c>
      <x:c r="G2009" s="30" t="n">
        <x:v>-36.49</x:v>
      </x:c>
      <x:c r="H2009" s="30" t="n">
        <x:v>-71.73</x:v>
      </x:c>
      <x:c r="I2009" s="29" t="n">
        <x:v>110</x:v>
      </x:c>
      <x:c r="J2009" s="31" t="n">
        <x:v>4.9</x:v>
      </x:c>
      <x:c r="K2009" s="25" t="str">
        <x:f>IF(J2009&gt;=7,"Muy fuerte (&gt;=7)",IF(J2009&gt;=6,"Fuerte (6-6.9)",IF(J2009&gt;=5,"Moderado alto (5-5.9)",IF(J2009&gt;=4,"Moderado (4-4.9)","Menor a 4"))))</x:f>
        <x:v>Moderado (4-4.9)</x:v>
      </x:c>
      <x:c r="L2009" s="25" t="str">
        <x:f>IF(I2009&lt;70,"Superficial (&lt;70 km)",IF(I2009&lt;=300,"Intermedio (70-300 km)","Profundo (&gt;300 km)"))</x:f>
        <x:v>Intermedio (70-300 km)</x:v>
      </x:c>
      <x:c r="M2009" s="25" t="str">
        <x:f>IF(J2009&gt;=5,"Sí","No")</x:f>
        <x:v>No</x:v>
      </x:c>
      <x:c r="N2009" s="25" t="str">
        <x:f>IF(J2009&gt;=6,"Sí","No")</x:f>
        <x:v>No</x:v>
      </x:c>
      <x:c r="O2009" s="25" t="str">
        <x:v>Pendiente: asignar con R/sf</x:v>
      </x:c>
    </x:row>
    <x:row r="2010">
      <x:c r="A2010" s="25" t="n">
        <x:v>2009</x:v>
      </x:c>
      <x:c r="B2010" s="26" t="n">
        <x:v>42318.81831018518</x:v>
      </x:c>
      <x:c r="C2010" s="27" t="n">
        <x:f>INT(B2010)</x:f>
        <x:v>42318</x:v>
      </x:c>
      <x:c r="D2010" s="28" t="n">
        <x:f>MOD(B2010,1)</x:f>
        <x:v>0.8183101851827814</x:v>
      </x:c>
      <x:c r="E2010" s="29" t="n">
        <x:f>YEAR(B2010)</x:f>
        <x:v>2015</x:v>
      </x:c>
      <x:c r="F2010" s="29" t="n">
        <x:f>MONTH(B2010)</x:f>
        <x:v>11</x:v>
      </x:c>
      <x:c r="G2010" s="30" t="n">
        <x:v>-30.82</x:v>
      </x:c>
      <x:c r="H2010" s="30" t="n">
        <x:v>-71.42</x:v>
      </x:c>
      <x:c r="I2010" s="29" t="n">
        <x:v>50</x:v>
      </x:c>
      <x:c r="J2010" s="31" t="n">
        <x:v>4.3</x:v>
      </x:c>
      <x:c r="K2010" s="25" t="str">
        <x:f>IF(J2010&gt;=7,"Muy fuerte (&gt;=7)",IF(J2010&gt;=6,"Fuerte (6-6.9)",IF(J2010&gt;=5,"Moderado alto (5-5.9)",IF(J2010&gt;=4,"Moderado (4-4.9)","Menor a 4"))))</x:f>
        <x:v>Moderado (4-4.9)</x:v>
      </x:c>
      <x:c r="L2010" s="25" t="str">
        <x:f>IF(I2010&lt;70,"Superficial (&lt;70 km)",IF(I2010&lt;=300,"Intermedio (70-300 km)","Profundo (&gt;300 km)"))</x:f>
        <x:v>Superficial (&lt;70 km)</x:v>
      </x:c>
      <x:c r="M2010" s="25" t="str">
        <x:f>IF(J2010&gt;=5,"Sí","No")</x:f>
        <x:v>No</x:v>
      </x:c>
      <x:c r="N2010" s="25" t="str">
        <x:f>IF(J2010&gt;=6,"Sí","No")</x:f>
        <x:v>No</x:v>
      </x:c>
      <x:c r="O2010" s="25" t="str">
        <x:v>Pendiente: asignar con R/sf</x:v>
      </x:c>
    </x:row>
    <x:row r="2011">
      <x:c r="A2011" s="25" t="n">
        <x:v>2010</x:v>
      </x:c>
      <x:c r="B2011" s="26" t="n">
        <x:v>42293.70726851852</x:v>
      </x:c>
      <x:c r="C2011" s="27" t="n">
        <x:f>INT(B2011)</x:f>
        <x:v>42293</x:v>
      </x:c>
      <x:c r="D2011" s="28" t="n">
        <x:f>MOD(B2011,1)</x:f>
        <x:v>0.7072685185194132</x:v>
      </x:c>
      <x:c r="E2011" s="29" t="n">
        <x:f>YEAR(B2011)</x:f>
        <x:v>2015</x:v>
      </x:c>
      <x:c r="F2011" s="29" t="n">
        <x:f>MONTH(B2011)</x:f>
        <x:v>10</x:v>
      </x:c>
      <x:c r="G2011" s="30" t="n">
        <x:v>-30.57</x:v>
      </x:c>
      <x:c r="H2011" s="30" t="n">
        <x:v>-71.62</x:v>
      </x:c>
      <x:c r="I2011" s="29" t="n">
        <x:v>37</x:v>
      </x:c>
      <x:c r="J2011" s="31" t="n">
        <x:v>4.4</x:v>
      </x:c>
      <x:c r="K2011" s="25" t="str">
        <x:f>IF(J2011&gt;=7,"Muy fuerte (&gt;=7)",IF(J2011&gt;=6,"Fuerte (6-6.9)",IF(J2011&gt;=5,"Moderado alto (5-5.9)",IF(J2011&gt;=4,"Moderado (4-4.9)","Menor a 4"))))</x:f>
        <x:v>Moderado (4-4.9)</x:v>
      </x:c>
      <x:c r="L2011" s="25" t="str">
        <x:f>IF(I2011&lt;70,"Superficial (&lt;70 km)",IF(I2011&lt;=300,"Intermedio (70-300 km)","Profundo (&gt;300 km)"))</x:f>
        <x:v>Superficial (&lt;70 km)</x:v>
      </x:c>
      <x:c r="M2011" s="25" t="str">
        <x:f>IF(J2011&gt;=5,"Sí","No")</x:f>
        <x:v>No</x:v>
      </x:c>
      <x:c r="N2011" s="25" t="str">
        <x:f>IF(J2011&gt;=6,"Sí","No")</x:f>
        <x:v>No</x:v>
      </x:c>
      <x:c r="O2011" s="25" t="str">
        <x:v>Pendiente: asignar con R/sf</x:v>
      </x:c>
    </x:row>
    <x:row r="2012">
      <x:c r="A2012" s="25" t="n">
        <x:v>2011</x:v>
      </x:c>
      <x:c r="B2012" s="26" t="n">
        <x:v>42301.795902777776</x:v>
      </x:c>
      <x:c r="C2012" s="27" t="n">
        <x:f>INT(B2012)</x:f>
        <x:v>42301</x:v>
      </x:c>
      <x:c r="D2012" s="28" t="n">
        <x:f>MOD(B2012,1)</x:f>
        <x:v>0.7959027777760639</x:v>
      </x:c>
      <x:c r="E2012" s="29" t="n">
        <x:f>YEAR(B2012)</x:f>
        <x:v>2015</x:v>
      </x:c>
      <x:c r="F2012" s="29" t="n">
        <x:f>MONTH(B2012)</x:f>
        <x:v>10</x:v>
      </x:c>
      <x:c r="G2012" s="30" t="n">
        <x:v>-30.52</x:v>
      </x:c>
      <x:c r="H2012" s="30" t="n">
        <x:v>-71.65</x:v>
      </x:c>
      <x:c r="I2012" s="29" t="n">
        <x:v>37</x:v>
      </x:c>
      <x:c r="J2012" s="31" t="n">
        <x:v>4.2</x:v>
      </x:c>
      <x:c r="K2012" s="25" t="str">
        <x:f>IF(J2012&gt;=7,"Muy fuerte (&gt;=7)",IF(J2012&gt;=6,"Fuerte (6-6.9)",IF(J2012&gt;=5,"Moderado alto (5-5.9)",IF(J2012&gt;=4,"Moderado (4-4.9)","Menor a 4"))))</x:f>
        <x:v>Moderado (4-4.9)</x:v>
      </x:c>
      <x:c r="L2012" s="25" t="str">
        <x:f>IF(I2012&lt;70,"Superficial (&lt;70 km)",IF(I2012&lt;=300,"Intermedio (70-300 km)","Profundo (&gt;300 km)"))</x:f>
        <x:v>Superficial (&lt;70 km)</x:v>
      </x:c>
      <x:c r="M2012" s="25" t="str">
        <x:f>IF(J2012&gt;=5,"Sí","No")</x:f>
        <x:v>No</x:v>
      </x:c>
      <x:c r="N2012" s="25" t="str">
        <x:f>IF(J2012&gt;=6,"Sí","No")</x:f>
        <x:v>No</x:v>
      </x:c>
      <x:c r="O2012" s="25" t="str">
        <x:v>Pendiente: asignar con R/sf</x:v>
      </x:c>
    </x:row>
    <x:row r="2013">
      <x:c r="A2013" s="25" t="n">
        <x:v>2012</x:v>
      </x:c>
      <x:c r="B2013" s="26" t="n">
        <x:v>42281.76519675926</x:v>
      </x:c>
      <x:c r="C2013" s="27" t="n">
        <x:f>INT(B2013)</x:f>
        <x:v>42281</x:v>
      </x:c>
      <x:c r="D2013" s="28" t="n">
        <x:f>MOD(B2013,1)</x:f>
        <x:v>0.7651967592610163</x:v>
      </x:c>
      <x:c r="E2013" s="29" t="n">
        <x:f>YEAR(B2013)</x:f>
        <x:v>2015</x:v>
      </x:c>
      <x:c r="F2013" s="29" t="n">
        <x:f>MONTH(B2013)</x:f>
        <x:v>10</x:v>
      </x:c>
      <x:c r="G2013" s="30" t="n">
        <x:v>-30.34</x:v>
      </x:c>
      <x:c r="H2013" s="30" t="n">
        <x:v>-71.46</x:v>
      </x:c>
      <x:c r="I2013" s="29" t="n">
        <x:v>31</x:v>
      </x:c>
      <x:c r="J2013" s="31" t="n">
        <x:v>4.3</x:v>
      </x:c>
      <x:c r="K2013" s="25" t="str">
        <x:f>IF(J2013&gt;=7,"Muy fuerte (&gt;=7)",IF(J2013&gt;=6,"Fuerte (6-6.9)",IF(J2013&gt;=5,"Moderado alto (5-5.9)",IF(J2013&gt;=4,"Moderado (4-4.9)","Menor a 4"))))</x:f>
        <x:v>Moderado (4-4.9)</x:v>
      </x:c>
      <x:c r="L2013" s="25" t="str">
        <x:f>IF(I2013&lt;70,"Superficial (&lt;70 km)",IF(I2013&lt;=300,"Intermedio (70-300 km)","Profundo (&gt;300 km)"))</x:f>
        <x:v>Superficial (&lt;70 km)</x:v>
      </x:c>
      <x:c r="M2013" s="25" t="str">
        <x:f>IF(J2013&gt;=5,"Sí","No")</x:f>
        <x:v>No</x:v>
      </x:c>
      <x:c r="N2013" s="25" t="str">
        <x:f>IF(J2013&gt;=6,"Sí","No")</x:f>
        <x:v>No</x:v>
      </x:c>
      <x:c r="O2013" s="25" t="str">
        <x:v>Pendiente: asignar con R/sf</x:v>
      </x:c>
    </x:row>
    <x:row r="2014">
      <x:c r="A2014" s="25" t="n">
        <x:v>2013</x:v>
      </x:c>
      <x:c r="B2014" s="26" t="n">
        <x:v>42266.44865740741</x:v>
      </x:c>
      <x:c r="C2014" s="27" t="n">
        <x:f>INT(B2014)</x:f>
        <x:v>42266</x:v>
      </x:c>
      <x:c r="D2014" s="28" t="n">
        <x:f>MOD(B2014,1)</x:f>
        <x:v>0.4486574074107921</x:v>
      </x:c>
      <x:c r="E2014" s="29" t="n">
        <x:f>YEAR(B2014)</x:f>
        <x:v>2015</x:v>
      </x:c>
      <x:c r="F2014" s="29" t="n">
        <x:f>MONTH(B2014)</x:f>
        <x:v>9</x:v>
      </x:c>
      <x:c r="G2014" s="30" t="n">
        <x:v>-34</x:v>
      </x:c>
      <x:c r="H2014" s="30" t="n">
        <x:v>-71.2</x:v>
      </x:c>
      <x:c r="I2014" s="29" t="n">
        <x:v>71</x:v>
      </x:c>
      <x:c r="J2014" s="31" t="n">
        <x:v>4.5</x:v>
      </x:c>
      <x:c r="K2014" s="25" t="str">
        <x:f>IF(J2014&gt;=7,"Muy fuerte (&gt;=7)",IF(J2014&gt;=6,"Fuerte (6-6.9)",IF(J2014&gt;=5,"Moderado alto (5-5.9)",IF(J2014&gt;=4,"Moderado (4-4.9)","Menor a 4"))))</x:f>
        <x:v>Moderado (4-4.9)</x:v>
      </x:c>
      <x:c r="L2014" s="25" t="str">
        <x:f>IF(I2014&lt;70,"Superficial (&lt;70 km)",IF(I2014&lt;=300,"Intermedio (70-300 km)","Profundo (&gt;300 km)"))</x:f>
        <x:v>Intermedio (70-300 km)</x:v>
      </x:c>
      <x:c r="M2014" s="25" t="str">
        <x:f>IF(J2014&gt;=5,"Sí","No")</x:f>
        <x:v>No</x:v>
      </x:c>
      <x:c r="N2014" s="25" t="str">
        <x:f>IF(J2014&gt;=6,"Sí","No")</x:f>
        <x:v>No</x:v>
      </x:c>
      <x:c r="O2014" s="25" t="str">
        <x:v>Pendiente: asignar con R/sf</x:v>
      </x:c>
    </x:row>
    <x:row r="2015">
      <x:c r="A2015" s="25" t="n">
        <x:v>2014</x:v>
      </x:c>
      <x:c r="B2015" s="26" t="n">
        <x:v>42049.50729166667</x:v>
      </x:c>
      <x:c r="C2015" s="27" t="n">
        <x:f>INT(B2015)</x:f>
        <x:v>42049</x:v>
      </x:c>
      <x:c r="D2015" s="28" t="n">
        <x:f>MOD(B2015,1)</x:f>
        <x:v>0.5072916666686069</x:v>
      </x:c>
      <x:c r="E2015" s="29" t="n">
        <x:f>YEAR(B2015)</x:f>
        <x:v>2015</x:v>
      </x:c>
      <x:c r="F2015" s="29" t="n">
        <x:f>MONTH(B2015)</x:f>
        <x:v>2</x:v>
      </x:c>
      <x:c r="G2015" s="30" t="n">
        <x:v>-32.57</x:v>
      </x:c>
      <x:c r="H2015" s="30" t="n">
        <x:v>-71.69</x:v>
      </x:c>
      <x:c r="I2015" s="29" t="n">
        <x:v>28</x:v>
      </x:c>
      <x:c r="J2015" s="31" t="n">
        <x:v>4.1</x:v>
      </x:c>
      <x:c r="K2015" s="25" t="str">
        <x:f>IF(J2015&gt;=7,"Muy fuerte (&gt;=7)",IF(J2015&gt;=6,"Fuerte (6-6.9)",IF(J2015&gt;=5,"Moderado alto (5-5.9)",IF(J2015&gt;=4,"Moderado (4-4.9)","Menor a 4"))))</x:f>
        <x:v>Moderado (4-4.9)</x:v>
      </x:c>
      <x:c r="L2015" s="25" t="str">
        <x:f>IF(I2015&lt;70,"Superficial (&lt;70 km)",IF(I2015&lt;=300,"Intermedio (70-300 km)","Profundo (&gt;300 km)"))</x:f>
        <x:v>Superficial (&lt;70 km)</x:v>
      </x:c>
      <x:c r="M2015" s="25" t="str">
        <x:f>IF(J2015&gt;=5,"Sí","No")</x:f>
        <x:v>No</x:v>
      </x:c>
      <x:c r="N2015" s="25" t="str">
        <x:f>IF(J2015&gt;=6,"Sí","No")</x:f>
        <x:v>No</x:v>
      </x:c>
      <x:c r="O2015" s="25" t="str">
        <x:v>Pendiente: asignar con R/sf</x:v>
      </x:c>
    </x:row>
    <x:row r="2016">
      <x:c r="A2016" s="25" t="n">
        <x:v>2015</x:v>
      </x:c>
      <x:c r="B2016" s="26" t="n">
        <x:v>42137.611342592594</x:v>
      </x:c>
      <x:c r="C2016" s="27" t="n">
        <x:f>INT(B2016)</x:f>
        <x:v>42137</x:v>
      </x:c>
      <x:c r="D2016" s="28" t="n">
        <x:f>MOD(B2016,1)</x:f>
        <x:v>0.6113425925941556</x:v>
      </x:c>
      <x:c r="E2016" s="29" t="n">
        <x:f>YEAR(B2016)</x:f>
        <x:v>2015</x:v>
      </x:c>
      <x:c r="F2016" s="29" t="n">
        <x:f>MONTH(B2016)</x:f>
        <x:v>5</x:v>
      </x:c>
      <x:c r="G2016" s="30" t="n">
        <x:v>-29.92</x:v>
      </x:c>
      <x:c r="H2016" s="30" t="n">
        <x:v>-71.28</x:v>
      </x:c>
      <x:c r="I2016" s="29" t="n">
        <x:v>60</x:v>
      </x:c>
      <x:c r="J2016" s="31" t="n">
        <x:v>4.5</x:v>
      </x:c>
      <x:c r="K2016" s="25" t="str">
        <x:f>IF(J2016&gt;=7,"Muy fuerte (&gt;=7)",IF(J2016&gt;=6,"Fuerte (6-6.9)",IF(J2016&gt;=5,"Moderado alto (5-5.9)",IF(J2016&gt;=4,"Moderado (4-4.9)","Menor a 4"))))</x:f>
        <x:v>Moderado (4-4.9)</x:v>
      </x:c>
      <x:c r="L2016" s="25" t="str">
        <x:f>IF(I2016&lt;70,"Superficial (&lt;70 km)",IF(I2016&lt;=300,"Intermedio (70-300 km)","Profundo (&gt;300 km)"))</x:f>
        <x:v>Superficial (&lt;70 km)</x:v>
      </x:c>
      <x:c r="M2016" s="25" t="str">
        <x:f>IF(J2016&gt;=5,"Sí","No")</x:f>
        <x:v>No</x:v>
      </x:c>
      <x:c r="N2016" s="25" t="str">
        <x:f>IF(J2016&gt;=6,"Sí","No")</x:f>
        <x:v>No</x:v>
      </x:c>
      <x:c r="O2016" s="25" t="str">
        <x:v>Pendiente: asignar con R/sf</x:v>
      </x:c>
    </x:row>
    <x:row r="2017">
      <x:c r="A2017" s="25" t="n">
        <x:v>2016</x:v>
      </x:c>
      <x:c r="B2017" s="26" t="n">
        <x:v>42318.99196759259</x:v>
      </x:c>
      <x:c r="C2017" s="27" t="n">
        <x:f>INT(B2017)</x:f>
        <x:v>42318</x:v>
      </x:c>
      <x:c r="D2017" s="28" t="n">
        <x:f>MOD(B2017,1)</x:f>
        <x:v>0.9919675925921183</x:v>
      </x:c>
      <x:c r="E2017" s="29" t="n">
        <x:f>YEAR(B2017)</x:f>
        <x:v>2015</x:v>
      </x:c>
      <x:c r="F2017" s="29" t="n">
        <x:f>MONTH(B2017)</x:f>
        <x:v>11</x:v>
      </x:c>
      <x:c r="G2017" s="30" t="n">
        <x:v>-29.5</x:v>
      </x:c>
      <x:c r="H2017" s="30" t="n">
        <x:v>-71.97</x:v>
      </x:c>
      <x:c r="I2017" s="29" t="n">
        <x:v>53</x:v>
      </x:c>
      <x:c r="J2017" s="31" t="n">
        <x:v>5</x:v>
      </x:c>
      <x:c r="K2017" s="25" t="str">
        <x:f>IF(J2017&gt;=7,"Muy fuerte (&gt;=7)",IF(J2017&gt;=6,"Fuerte (6-6.9)",IF(J2017&gt;=5,"Moderado alto (5-5.9)",IF(J2017&gt;=4,"Moderado (4-4.9)","Menor a 4"))))</x:f>
        <x:v>Moderado alto (5-5.9)</x:v>
      </x:c>
      <x:c r="L2017" s="25" t="str">
        <x:f>IF(I2017&lt;70,"Superficial (&lt;70 km)",IF(I2017&lt;=300,"Intermedio (70-300 km)","Profundo (&gt;300 km)"))</x:f>
        <x:v>Superficial (&lt;70 km)</x:v>
      </x:c>
      <x:c r="M2017" s="25" t="str">
        <x:f>IF(J2017&gt;=5,"Sí","No")</x:f>
        <x:v>Sí</x:v>
      </x:c>
      <x:c r="N2017" s="25" t="str">
        <x:f>IF(J2017&gt;=6,"Sí","No")</x:f>
        <x:v>No</x:v>
      </x:c>
      <x:c r="O2017" s="25" t="str">
        <x:v>Pendiente: asignar con R/sf</x:v>
      </x:c>
    </x:row>
    <x:row r="2018">
      <x:c r="A2018" s="25" t="n">
        <x:v>2017</x:v>
      </x:c>
      <x:c r="B2018" s="26" t="n">
        <x:v>42081.76902777778</x:v>
      </x:c>
      <x:c r="C2018" s="27" t="n">
        <x:f>INT(B2018)</x:f>
        <x:v>42081</x:v>
      </x:c>
      <x:c r="D2018" s="28" t="n">
        <x:f>MOD(B2018,1)</x:f>
        <x:v>0.7690277777801384</x:v>
      </x:c>
      <x:c r="E2018" s="29" t="n">
        <x:f>YEAR(B2018)</x:f>
        <x:v>2015</x:v>
      </x:c>
      <x:c r="F2018" s="29" t="n">
        <x:f>MONTH(B2018)</x:f>
        <x:v>3</x:v>
      </x:c>
      <x:c r="G2018" s="30" t="n">
        <x:v>-36.1</x:v>
      </x:c>
      <x:c r="H2018" s="30" t="n">
        <x:v>-74.14</x:v>
      </x:c>
      <x:c r="I2018" s="29" t="n">
        <x:v>23</x:v>
      </x:c>
      <x:c r="J2018" s="31" t="n">
        <x:v>6.3</x:v>
      </x:c>
      <x:c r="K2018" s="25" t="str">
        <x:f>IF(J2018&gt;=7,"Muy fuerte (&gt;=7)",IF(J2018&gt;=6,"Fuerte (6-6.9)",IF(J2018&gt;=5,"Moderado alto (5-5.9)",IF(J2018&gt;=4,"Moderado (4-4.9)","Menor a 4"))))</x:f>
        <x:v>Fuerte (6-6.9)</x:v>
      </x:c>
      <x:c r="L2018" s="25" t="str">
        <x:f>IF(I2018&lt;70,"Superficial (&lt;70 km)",IF(I2018&lt;=300,"Intermedio (70-300 km)","Profundo (&gt;300 km)"))</x:f>
        <x:v>Superficial (&lt;70 km)</x:v>
      </x:c>
      <x:c r="M2018" s="25" t="str">
        <x:f>IF(J2018&gt;=5,"Sí","No")</x:f>
        <x:v>Sí</x:v>
      </x:c>
      <x:c r="N2018" s="25" t="str">
        <x:f>IF(J2018&gt;=6,"Sí","No")</x:f>
        <x:v>Sí</x:v>
      </x:c>
      <x:c r="O2018" s="25" t="str">
        <x:v>Pendiente: asignar con R/sf</x:v>
      </x:c>
    </x:row>
    <x:row r="2019">
      <x:c r="A2019" s="25" t="n">
        <x:v>2018</x:v>
      </x:c>
      <x:c r="B2019" s="26" t="n">
        <x:v>42239.87299768518</x:v>
      </x:c>
      <x:c r="C2019" s="27" t="n">
        <x:f>INT(B2019)</x:f>
        <x:v>42239</x:v>
      </x:c>
      <x:c r="D2019" s="28" t="n">
        <x:f>MOD(B2019,1)</x:f>
        <x:v>0.8729976851827814</x:v>
      </x:c>
      <x:c r="E2019" s="29" t="n">
        <x:f>YEAR(B2019)</x:f>
        <x:v>2015</x:v>
      </x:c>
      <x:c r="F2019" s="29" t="n">
        <x:f>MONTH(B2019)</x:f>
        <x:v>8</x:v>
      </x:c>
      <x:c r="G2019" s="30" t="n">
        <x:v>-19.68</x:v>
      </x:c>
      <x:c r="H2019" s="30" t="n">
        <x:v>-70.25</x:v>
      </x:c>
      <x:c r="I2019" s="29" t="n">
        <x:v>69</x:v>
      </x:c>
      <x:c r="J2019" s="31" t="n">
        <x:v>4.4</x:v>
      </x:c>
      <x:c r="K2019" s="25" t="str">
        <x:f>IF(J2019&gt;=7,"Muy fuerte (&gt;=7)",IF(J2019&gt;=6,"Fuerte (6-6.9)",IF(J2019&gt;=5,"Moderado alto (5-5.9)",IF(J2019&gt;=4,"Moderado (4-4.9)","Menor a 4"))))</x:f>
        <x:v>Moderado (4-4.9)</x:v>
      </x:c>
      <x:c r="L2019" s="25" t="str">
        <x:f>IF(I2019&lt;70,"Superficial (&lt;70 km)",IF(I2019&lt;=300,"Intermedio (70-300 km)","Profundo (&gt;300 km)"))</x:f>
        <x:v>Superficial (&lt;70 km)</x:v>
      </x:c>
      <x:c r="M2019" s="25" t="str">
        <x:f>IF(J2019&gt;=5,"Sí","No")</x:f>
        <x:v>No</x:v>
      </x:c>
      <x:c r="N2019" s="25" t="str">
        <x:f>IF(J2019&gt;=6,"Sí","No")</x:f>
        <x:v>No</x:v>
      </x:c>
      <x:c r="O2019" s="25" t="str">
        <x:v>Pendiente: asignar con R/sf</x:v>
      </x:c>
    </x:row>
    <x:row r="2020">
      <x:c r="A2020" s="25" t="n">
        <x:v>2019</x:v>
      </x:c>
      <x:c r="B2020" s="26" t="n">
        <x:v>42341.88178240741</x:v>
      </x:c>
      <x:c r="C2020" s="27" t="n">
        <x:f>INT(B2020)</x:f>
        <x:v>42341</x:v>
      </x:c>
      <x:c r="D2020" s="28" t="n">
        <x:f>MOD(B2020,1)</x:f>
        <x:v>0.8817824074067175</x:v>
      </x:c>
      <x:c r="E2020" s="29" t="n">
        <x:f>YEAR(B2020)</x:f>
        <x:v>2015</x:v>
      </x:c>
      <x:c r="F2020" s="29" t="n">
        <x:f>MONTH(B2020)</x:f>
        <x:v>12</x:v>
      </x:c>
      <x:c r="G2020" s="30" t="n">
        <x:v>-20.78</x:v>
      </x:c>
      <x:c r="H2020" s="30" t="n">
        <x:v>-69.25</x:v>
      </x:c>
      <x:c r="I2020" s="29" t="n">
        <x:v>104</x:v>
      </x:c>
      <x:c r="J2020" s="31" t="n">
        <x:v>4</x:v>
      </x:c>
      <x:c r="K2020" s="25" t="str">
        <x:f>IF(J2020&gt;=7,"Muy fuerte (&gt;=7)",IF(J2020&gt;=6,"Fuerte (6-6.9)",IF(J2020&gt;=5,"Moderado alto (5-5.9)",IF(J2020&gt;=4,"Moderado (4-4.9)","Menor a 4"))))</x:f>
        <x:v>Moderado (4-4.9)</x:v>
      </x:c>
      <x:c r="L2020" s="25" t="str">
        <x:f>IF(I2020&lt;70,"Superficial (&lt;70 km)",IF(I2020&lt;=300,"Intermedio (70-300 km)","Profundo (&gt;300 km)"))</x:f>
        <x:v>Intermedio (70-300 km)</x:v>
      </x:c>
      <x:c r="M2020" s="25" t="str">
        <x:f>IF(J2020&gt;=5,"Sí","No")</x:f>
        <x:v>No</x:v>
      </x:c>
      <x:c r="N2020" s="25" t="str">
        <x:f>IF(J2020&gt;=6,"Sí","No")</x:f>
        <x:v>No</x:v>
      </x:c>
      <x:c r="O2020" s="25" t="str">
        <x:v>Pendiente: asignar con R/sf</x:v>
      </x:c>
    </x:row>
    <x:row r="2021">
      <x:c r="A2021" s="25" t="n">
        <x:v>2020</x:v>
      </x:c>
      <x:c r="B2021" s="26" t="n">
        <x:v>42136.02512731482</x:v>
      </x:c>
      <x:c r="C2021" s="27" t="n">
        <x:f>INT(B2021)</x:f>
        <x:v>42136</x:v>
      </x:c>
      <x:c r="D2021" s="28" t="n">
        <x:f>MOD(B2021,1)</x:f>
        <x:v>0.025127314816927537</x:v>
      </x:c>
      <x:c r="E2021" s="29" t="n">
        <x:f>YEAR(B2021)</x:f>
        <x:v>2015</x:v>
      </x:c>
      <x:c r="F2021" s="29" t="n">
        <x:f>MONTH(B2021)</x:f>
        <x:v>5</x:v>
      </x:c>
      <x:c r="G2021" s="30" t="n">
        <x:v>-33.31</x:v>
      </x:c>
      <x:c r="H2021" s="30" t="n">
        <x:v>-70.47</x:v>
      </x:c>
      <x:c r="I2021" s="29" t="n">
        <x:v>93</x:v>
      </x:c>
      <x:c r="J2021" s="31" t="n">
        <x:v>4</x:v>
      </x:c>
      <x:c r="K2021" s="25" t="str">
        <x:f>IF(J2021&gt;=7,"Muy fuerte (&gt;=7)",IF(J2021&gt;=6,"Fuerte (6-6.9)",IF(J2021&gt;=5,"Moderado alto (5-5.9)",IF(J2021&gt;=4,"Moderado (4-4.9)","Menor a 4"))))</x:f>
        <x:v>Moderado (4-4.9)</x:v>
      </x:c>
      <x:c r="L2021" s="25" t="str">
        <x:f>IF(I2021&lt;70,"Superficial (&lt;70 km)",IF(I2021&lt;=300,"Intermedio (70-300 km)","Profundo (&gt;300 km)"))</x:f>
        <x:v>Intermedio (70-300 km)</x:v>
      </x:c>
      <x:c r="M2021" s="25" t="str">
        <x:f>IF(J2021&gt;=5,"Sí","No")</x:f>
        <x:v>No</x:v>
      </x:c>
      <x:c r="N2021" s="25" t="str">
        <x:f>IF(J2021&gt;=6,"Sí","No")</x:f>
        <x:v>No</x:v>
      </x:c>
      <x:c r="O2021" s="25" t="str">
        <x:v>Pendiente: asignar con R/sf</x:v>
      </x:c>
    </x:row>
    <x:row r="2022">
      <x:c r="A2022" s="25" t="n">
        <x:v>2021</x:v>
      </x:c>
      <x:c r="B2022" s="26" t="n">
        <x:v>42046.216365740744</x:v>
      </x:c>
      <x:c r="C2022" s="27" t="n">
        <x:f>INT(B2022)</x:f>
        <x:v>42046</x:v>
      </x:c>
      <x:c r="D2022" s="28" t="n">
        <x:f>MOD(B2022,1)</x:f>
        <x:v>0.21636574074364034</x:v>
      </x:c>
      <x:c r="E2022" s="29" t="n">
        <x:f>YEAR(B2022)</x:f>
        <x:v>2015</x:v>
      </x:c>
      <x:c r="F2022" s="29" t="n">
        <x:f>MONTH(B2022)</x:f>
        <x:v>2</x:v>
      </x:c>
      <x:c r="G2022" s="30" t="n">
        <x:v>-34.2</x:v>
      </x:c>
      <x:c r="H2022" s="30" t="n">
        <x:v>-71.83</x:v>
      </x:c>
      <x:c r="I2022" s="29" t="n">
        <x:v>44</x:v>
      </x:c>
      <x:c r="J2022" s="31" t="n">
        <x:v>4.8</x:v>
      </x:c>
      <x:c r="K2022" s="25" t="str">
        <x:f>IF(J2022&gt;=7,"Muy fuerte (&gt;=7)",IF(J2022&gt;=6,"Fuerte (6-6.9)",IF(J2022&gt;=5,"Moderado alto (5-5.9)",IF(J2022&gt;=4,"Moderado (4-4.9)","Menor a 4"))))</x:f>
        <x:v>Moderado (4-4.9)</x:v>
      </x:c>
      <x:c r="L2022" s="25" t="str">
        <x:f>IF(I2022&lt;70,"Superficial (&lt;70 km)",IF(I2022&lt;=300,"Intermedio (70-300 km)","Profundo (&gt;300 km)"))</x:f>
        <x:v>Superficial (&lt;70 km)</x:v>
      </x:c>
      <x:c r="M2022" s="25" t="str">
        <x:f>IF(J2022&gt;=5,"Sí","No")</x:f>
        <x:v>No</x:v>
      </x:c>
      <x:c r="N2022" s="25" t="str">
        <x:f>IF(J2022&gt;=6,"Sí","No")</x:f>
        <x:v>No</x:v>
      </x:c>
      <x:c r="O2022" s="25" t="str">
        <x:v>Pendiente: asignar con R/sf</x:v>
      </x:c>
    </x:row>
    <x:row r="2023">
      <x:c r="A2023" s="25" t="n">
        <x:v>2022</x:v>
      </x:c>
      <x:c r="B2023" s="26" t="n">
        <x:v>42295.78392361111</x:v>
      </x:c>
      <x:c r="C2023" s="27" t="n">
        <x:f>INT(B2023)</x:f>
        <x:v>42295</x:v>
      </x:c>
      <x:c r="D2023" s="28" t="n">
        <x:f>MOD(B2023,1)</x:f>
        <x:v>0.7839236111103673</x:v>
      </x:c>
      <x:c r="E2023" s="29" t="n">
        <x:f>YEAR(B2023)</x:f>
        <x:v>2015</x:v>
      </x:c>
      <x:c r="F2023" s="29" t="n">
        <x:f>MONTH(B2023)</x:f>
        <x:v>10</x:v>
      </x:c>
      <x:c r="G2023" s="30" t="n">
        <x:v>-19.46</x:v>
      </x:c>
      <x:c r="H2023" s="30" t="n">
        <x:v>-69.31</x:v>
      </x:c>
      <x:c r="I2023" s="29" t="n">
        <x:v>108</x:v>
      </x:c>
      <x:c r="J2023" s="31" t="n">
        <x:v>4.2</x:v>
      </x:c>
      <x:c r="K2023" s="25" t="str">
        <x:f>IF(J2023&gt;=7,"Muy fuerte (&gt;=7)",IF(J2023&gt;=6,"Fuerte (6-6.9)",IF(J2023&gt;=5,"Moderado alto (5-5.9)",IF(J2023&gt;=4,"Moderado (4-4.9)","Menor a 4"))))</x:f>
        <x:v>Moderado (4-4.9)</x:v>
      </x:c>
      <x:c r="L2023" s="25" t="str">
        <x:f>IF(I2023&lt;70,"Superficial (&lt;70 km)",IF(I2023&lt;=300,"Intermedio (70-300 km)","Profundo (&gt;300 km)"))</x:f>
        <x:v>Intermedio (70-300 km)</x:v>
      </x:c>
      <x:c r="M2023" s="25" t="str">
        <x:f>IF(J2023&gt;=5,"Sí","No")</x:f>
        <x:v>No</x:v>
      </x:c>
      <x:c r="N2023" s="25" t="str">
        <x:f>IF(J2023&gt;=6,"Sí","No")</x:f>
        <x:v>No</x:v>
      </x:c>
      <x:c r="O2023" s="25" t="str">
        <x:v>Pendiente: asignar con R/sf</x:v>
      </x:c>
    </x:row>
    <x:row r="2024">
      <x:c r="A2024" s="25" t="n">
        <x:v>2023</x:v>
      </x:c>
      <x:c r="B2024" s="26" t="n">
        <x:v>42315.443333333336</x:v>
      </x:c>
      <x:c r="C2024" s="27" t="n">
        <x:f>INT(B2024)</x:f>
        <x:v>42315</x:v>
      </x:c>
      <x:c r="D2024" s="28" t="n">
        <x:f>MOD(B2024,1)</x:f>
        <x:v>0.44333333333634073</x:v>
      </x:c>
      <x:c r="E2024" s="29" t="n">
        <x:f>YEAR(B2024)</x:f>
        <x:v>2015</x:v>
      </x:c>
      <x:c r="F2024" s="29" t="n">
        <x:f>MONTH(B2024)</x:f>
        <x:v>11</x:v>
      </x:c>
      <x:c r="G2024" s="30" t="n">
        <x:v>-30.78</x:v>
      </x:c>
      <x:c r="H2024" s="30" t="n">
        <x:v>-71.4</x:v>
      </x:c>
      <x:c r="I2024" s="29" t="n">
        <x:v>55</x:v>
      </x:c>
      <x:c r="J2024" s="31" t="n">
        <x:v>4.3</x:v>
      </x:c>
      <x:c r="K2024" s="25" t="str">
        <x:f>IF(J2024&gt;=7,"Muy fuerte (&gt;=7)",IF(J2024&gt;=6,"Fuerte (6-6.9)",IF(J2024&gt;=5,"Moderado alto (5-5.9)",IF(J2024&gt;=4,"Moderado (4-4.9)","Menor a 4"))))</x:f>
        <x:v>Moderado (4-4.9)</x:v>
      </x:c>
      <x:c r="L2024" s="25" t="str">
        <x:f>IF(I2024&lt;70,"Superficial (&lt;70 km)",IF(I2024&lt;=300,"Intermedio (70-300 km)","Profundo (&gt;300 km)"))</x:f>
        <x:v>Superficial (&lt;70 km)</x:v>
      </x:c>
      <x:c r="M2024" s="25" t="str">
        <x:f>IF(J2024&gt;=5,"Sí","No")</x:f>
        <x:v>No</x:v>
      </x:c>
      <x:c r="N2024" s="25" t="str">
        <x:f>IF(J2024&gt;=6,"Sí","No")</x:f>
        <x:v>No</x:v>
      </x:c>
      <x:c r="O2024" s="25" t="str">
        <x:v>Pendiente: asignar con R/sf</x:v>
      </x:c>
    </x:row>
    <x:row r="2025">
      <x:c r="A2025" s="25" t="n">
        <x:v>2024</x:v>
      </x:c>
      <x:c r="B2025" s="26" t="n">
        <x:v>42356.10736111111</x:v>
      </x:c>
      <x:c r="C2025" s="27" t="n">
        <x:f>INT(B2025)</x:f>
        <x:v>42356</x:v>
      </x:c>
      <x:c r="D2025" s="28" t="n">
        <x:f>MOD(B2025,1)</x:f>
        <x:v>0.10736111111327773</x:v>
      </x:c>
      <x:c r="E2025" s="29" t="n">
        <x:f>YEAR(B2025)</x:f>
        <x:v>2015</x:v>
      </x:c>
      <x:c r="F2025" s="29" t="n">
        <x:f>MONTH(B2025)</x:f>
        <x:v>12</x:v>
      </x:c>
      <x:c r="G2025" s="30" t="n">
        <x:v>-30.62</x:v>
      </x:c>
      <x:c r="H2025" s="30" t="n">
        <x:v>-71.67</x:v>
      </x:c>
      <x:c r="I2025" s="29" t="n">
        <x:v>39</x:v>
      </x:c>
      <x:c r="J2025" s="31" t="n">
        <x:v>4.2</x:v>
      </x:c>
      <x:c r="K2025" s="25" t="str">
        <x:f>IF(J2025&gt;=7,"Muy fuerte (&gt;=7)",IF(J2025&gt;=6,"Fuerte (6-6.9)",IF(J2025&gt;=5,"Moderado alto (5-5.9)",IF(J2025&gt;=4,"Moderado (4-4.9)","Menor a 4"))))</x:f>
        <x:v>Moderado (4-4.9)</x:v>
      </x:c>
      <x:c r="L2025" s="25" t="str">
        <x:f>IF(I2025&lt;70,"Superficial (&lt;70 km)",IF(I2025&lt;=300,"Intermedio (70-300 km)","Profundo (&gt;300 km)"))</x:f>
        <x:v>Superficial (&lt;70 km)</x:v>
      </x:c>
      <x:c r="M2025" s="25" t="str">
        <x:f>IF(J2025&gt;=5,"Sí","No")</x:f>
        <x:v>No</x:v>
      </x:c>
      <x:c r="N2025" s="25" t="str">
        <x:f>IF(J2025&gt;=6,"Sí","No")</x:f>
        <x:v>No</x:v>
      </x:c>
      <x:c r="O2025" s="25" t="str">
        <x:v>Pendiente: asignar con R/sf</x:v>
      </x:c>
    </x:row>
    <x:row r="2026">
      <x:c r="A2026" s="25" t="n">
        <x:v>2025</x:v>
      </x:c>
      <x:c r="B2026" s="26" t="n">
        <x:v>42226.4028587963</x:v>
      </x:c>
      <x:c r="C2026" s="27" t="n">
        <x:f>INT(B2026)</x:f>
        <x:v>42226</x:v>
      </x:c>
      <x:c r="D2026" s="28" t="n">
        <x:f>MOD(B2026,1)</x:f>
        <x:v>0.40285879629664123</x:v>
      </x:c>
      <x:c r="E2026" s="29" t="n">
        <x:f>YEAR(B2026)</x:f>
        <x:v>2015</x:v>
      </x:c>
      <x:c r="F2026" s="29" t="n">
        <x:f>MONTH(B2026)</x:f>
        <x:v>8</x:v>
      </x:c>
      <x:c r="G2026" s="30" t="n">
        <x:v>-29.48</x:v>
      </x:c>
      <x:c r="H2026" s="30" t="n">
        <x:v>-71.22</x:v>
      </x:c>
      <x:c r="I2026" s="29" t="n">
        <x:v>55</x:v>
      </x:c>
      <x:c r="J2026" s="31" t="n">
        <x:v>5.1</x:v>
      </x:c>
      <x:c r="K2026" s="25" t="str">
        <x:f>IF(J2026&gt;=7,"Muy fuerte (&gt;=7)",IF(J2026&gt;=6,"Fuerte (6-6.9)",IF(J2026&gt;=5,"Moderado alto (5-5.9)",IF(J2026&gt;=4,"Moderado (4-4.9)","Menor a 4"))))</x:f>
        <x:v>Moderado alto (5-5.9)</x:v>
      </x:c>
      <x:c r="L2026" s="25" t="str">
        <x:f>IF(I2026&lt;70,"Superficial (&lt;70 km)",IF(I2026&lt;=300,"Intermedio (70-300 km)","Profundo (&gt;300 km)"))</x:f>
        <x:v>Superficial (&lt;70 km)</x:v>
      </x:c>
      <x:c r="M2026" s="25" t="str">
        <x:f>IF(J2026&gt;=5,"Sí","No")</x:f>
        <x:v>Sí</x:v>
      </x:c>
      <x:c r="N2026" s="25" t="str">
        <x:f>IF(J2026&gt;=6,"Sí","No")</x:f>
        <x:v>No</x:v>
      </x:c>
      <x:c r="O2026" s="25" t="str">
        <x:v>Pendiente: asignar con R/sf</x:v>
      </x:c>
    </x:row>
    <x:row r="2027">
      <x:c r="A2027" s="25" t="n">
        <x:v>2026</x:v>
      </x:c>
      <x:c r="B2027" s="26" t="n">
        <x:v>42263.78900462963</x:v>
      </x:c>
      <x:c r="C2027" s="27" t="n">
        <x:f>INT(B2027)</x:f>
        <x:v>42263</x:v>
      </x:c>
      <x:c r="D2027" s="28" t="n">
        <x:f>MOD(B2027,1)</x:f>
        <x:v>0.7890046296306537</x:v>
      </x:c>
      <x:c r="E2027" s="29" t="n">
        <x:f>YEAR(B2027)</x:f>
        <x:v>2015</x:v>
      </x:c>
      <x:c r="F2027" s="29" t="n">
        <x:f>MONTH(B2027)</x:f>
        <x:v>9</x:v>
      </x:c>
      <x:c r="G2027" s="30" t="n">
        <x:v>-19.92</x:v>
      </x:c>
      <x:c r="H2027" s="30" t="n">
        <x:v>-70.9</x:v>
      </x:c>
      <x:c r="I2027" s="29" t="n">
        <x:v>40</x:v>
      </x:c>
      <x:c r="J2027" s="31" t="n">
        <x:v>4.5</x:v>
      </x:c>
      <x:c r="K2027" s="25" t="str">
        <x:f>IF(J2027&gt;=7,"Muy fuerte (&gt;=7)",IF(J2027&gt;=6,"Fuerte (6-6.9)",IF(J2027&gt;=5,"Moderado alto (5-5.9)",IF(J2027&gt;=4,"Moderado (4-4.9)","Menor a 4"))))</x:f>
        <x:v>Moderado (4-4.9)</x:v>
      </x:c>
      <x:c r="L2027" s="25" t="str">
        <x:f>IF(I2027&lt;70,"Superficial (&lt;70 km)",IF(I2027&lt;=300,"Intermedio (70-300 km)","Profundo (&gt;300 km)"))</x:f>
        <x:v>Superficial (&lt;70 km)</x:v>
      </x:c>
      <x:c r="M2027" s="25" t="str">
        <x:f>IF(J2027&gt;=5,"Sí","No")</x:f>
        <x:v>No</x:v>
      </x:c>
      <x:c r="N2027" s="25" t="str">
        <x:f>IF(J2027&gt;=6,"Sí","No")</x:f>
        <x:v>No</x:v>
      </x:c>
      <x:c r="O2027" s="25" t="str">
        <x:v>Pendiente: asignar con R/sf</x:v>
      </x:c>
    </x:row>
    <x:row r="2028">
      <x:c r="A2028" s="25" t="n">
        <x:v>2027</x:v>
      </x:c>
      <x:c r="B2028" s="26" t="n">
        <x:v>42315.294803240744</x:v>
      </x:c>
      <x:c r="C2028" s="27" t="n">
        <x:f>INT(B2028)</x:f>
        <x:v>42315</x:v>
      </x:c>
      <x:c r="D2028" s="28" t="n">
        <x:f>MOD(B2028,1)</x:f>
        <x:v>0.2948032407439314</x:v>
      </x:c>
      <x:c r="E2028" s="29" t="n">
        <x:f>YEAR(B2028)</x:f>
        <x:v>2015</x:v>
      </x:c>
      <x:c r="F2028" s="29" t="n">
        <x:f>MONTH(B2028)</x:f>
        <x:v>11</x:v>
      </x:c>
      <x:c r="G2028" s="30" t="n">
        <x:v>-29.47</x:v>
      </x:c>
      <x:c r="H2028" s="30" t="n">
        <x:v>-72.35</x:v>
      </x:c>
      <x:c r="I2028" s="29" t="n">
        <x:v>15</x:v>
      </x:c>
      <x:c r="J2028" s="31" t="n">
        <x:v>6</x:v>
      </x:c>
      <x:c r="K2028" s="25" t="str">
        <x:f>IF(J2028&gt;=7,"Muy fuerte (&gt;=7)",IF(J2028&gt;=6,"Fuerte (6-6.9)",IF(J2028&gt;=5,"Moderado alto (5-5.9)",IF(J2028&gt;=4,"Moderado (4-4.9)","Menor a 4"))))</x:f>
        <x:v>Fuerte (6-6.9)</x:v>
      </x:c>
      <x:c r="L2028" s="25" t="str">
        <x:f>IF(I2028&lt;70,"Superficial (&lt;70 km)",IF(I2028&lt;=300,"Intermedio (70-300 km)","Profundo (&gt;300 km)"))</x:f>
        <x:v>Superficial (&lt;70 km)</x:v>
      </x:c>
      <x:c r="M2028" s="25" t="str">
        <x:f>IF(J2028&gt;=5,"Sí","No")</x:f>
        <x:v>Sí</x:v>
      </x:c>
      <x:c r="N2028" s="25" t="str">
        <x:f>IF(J2028&gt;=6,"Sí","No")</x:f>
        <x:v>Sí</x:v>
      </x:c>
      <x:c r="O2028" s="25" t="str">
        <x:v>Pendiente: asignar con R/sf</x:v>
      </x:c>
    </x:row>
    <x:row r="2029">
      <x:c r="A2029" s="25" t="n">
        <x:v>2028</x:v>
      </x:c>
      <x:c r="B2029" s="26" t="n">
        <x:v>42265.80689814815</x:v>
      </x:c>
      <x:c r="C2029" s="27" t="n">
        <x:f>INT(B2029)</x:f>
        <x:v>42265</x:v>
      </x:c>
      <x:c r="D2029" s="28" t="n">
        <x:f>MOD(B2029,1)</x:f>
        <x:v>0.8068981481483206</x:v>
      </x:c>
      <x:c r="E2029" s="29" t="n">
        <x:f>YEAR(B2029)</x:f>
        <x:v>2015</x:v>
      </x:c>
      <x:c r="F2029" s="29" t="n">
        <x:f>MONTH(B2029)</x:f>
        <x:v>9</x:v>
      </x:c>
      <x:c r="G2029" s="30" t="n">
        <x:v>-30.85</x:v>
      </x:c>
      <x:c r="H2029" s="30" t="n">
        <x:v>-71.35</x:v>
      </x:c>
      <x:c r="I2029" s="29" t="n">
        <x:v>48</x:v>
      </x:c>
      <x:c r="J2029" s="31" t="n">
        <x:v>4</x:v>
      </x:c>
      <x:c r="K2029" s="25" t="str">
        <x:f>IF(J2029&gt;=7,"Muy fuerte (&gt;=7)",IF(J2029&gt;=6,"Fuerte (6-6.9)",IF(J2029&gt;=5,"Moderado alto (5-5.9)",IF(J2029&gt;=4,"Moderado (4-4.9)","Menor a 4"))))</x:f>
        <x:v>Moderado (4-4.9)</x:v>
      </x:c>
      <x:c r="L2029" s="25" t="str">
        <x:f>IF(I2029&lt;70,"Superficial (&lt;70 km)",IF(I2029&lt;=300,"Intermedio (70-300 km)","Profundo (&gt;300 km)"))</x:f>
        <x:v>Superficial (&lt;70 km)</x:v>
      </x:c>
      <x:c r="M2029" s="25" t="str">
        <x:f>IF(J2029&gt;=5,"Sí","No")</x:f>
        <x:v>No</x:v>
      </x:c>
      <x:c r="N2029" s="25" t="str">
        <x:f>IF(J2029&gt;=6,"Sí","No")</x:f>
        <x:v>No</x:v>
      </x:c>
      <x:c r="O2029" s="25" t="str">
        <x:v>Pendiente: asignar con R/sf</x:v>
      </x:c>
    </x:row>
    <x:row r="2030">
      <x:c r="A2030" s="25" t="n">
        <x:v>2029</x:v>
      </x:c>
      <x:c r="B2030" s="26" t="n">
        <x:v>42296.111805555556</x:v>
      </x:c>
      <x:c r="C2030" s="27" t="n">
        <x:f>INT(B2030)</x:f>
        <x:v>42296</x:v>
      </x:c>
      <x:c r="D2030" s="28" t="n">
        <x:f>MOD(B2030,1)</x:f>
        <x:v>0.11180555555620231</x:v>
      </x:c>
      <x:c r="E2030" s="29" t="n">
        <x:f>YEAR(B2030)</x:f>
        <x:v>2015</x:v>
      </x:c>
      <x:c r="F2030" s="29" t="n">
        <x:f>MONTH(B2030)</x:f>
        <x:v>10</x:v>
      </x:c>
      <x:c r="G2030" s="30" t="n">
        <x:v>-34.8</x:v>
      </x:c>
      <x:c r="H2030" s="30" t="n">
        <x:v>-71.67</x:v>
      </x:c>
      <x:c r="I2030" s="29" t="n">
        <x:v>52</x:v>
      </x:c>
      <x:c r="J2030" s="31" t="n">
        <x:v>4.4</x:v>
      </x:c>
      <x:c r="K2030" s="25" t="str">
        <x:f>IF(J2030&gt;=7,"Muy fuerte (&gt;=7)",IF(J2030&gt;=6,"Fuerte (6-6.9)",IF(J2030&gt;=5,"Moderado alto (5-5.9)",IF(J2030&gt;=4,"Moderado (4-4.9)","Menor a 4"))))</x:f>
        <x:v>Moderado (4-4.9)</x:v>
      </x:c>
      <x:c r="L2030" s="25" t="str">
        <x:f>IF(I2030&lt;70,"Superficial (&lt;70 km)",IF(I2030&lt;=300,"Intermedio (70-300 km)","Profundo (&gt;300 km)"))</x:f>
        <x:v>Superficial (&lt;70 km)</x:v>
      </x:c>
      <x:c r="M2030" s="25" t="str">
        <x:f>IF(J2030&gt;=5,"Sí","No")</x:f>
        <x:v>No</x:v>
      </x:c>
      <x:c r="N2030" s="25" t="str">
        <x:f>IF(J2030&gt;=6,"Sí","No")</x:f>
        <x:v>No</x:v>
      </x:c>
      <x:c r="O2030" s="25" t="str">
        <x:v>Pendiente: asignar con R/sf</x:v>
      </x:c>
    </x:row>
    <x:row r="2031">
      <x:c r="A2031" s="25" t="n">
        <x:v>2030</x:v>
      </x:c>
      <x:c r="B2031" s="26" t="n">
        <x:v>42293.28511574074</x:v>
      </x:c>
      <x:c r="C2031" s="27" t="n">
        <x:f>INT(B2031)</x:f>
        <x:v>42293</x:v>
      </x:c>
      <x:c r="D2031" s="28" t="n">
        <x:f>MOD(B2031,1)</x:f>
        <x:v>0.28511574074218515</x:v>
      </x:c>
      <x:c r="E2031" s="29" t="n">
        <x:f>YEAR(B2031)</x:f>
        <x:v>2015</x:v>
      </x:c>
      <x:c r="F2031" s="29" t="n">
        <x:f>MONTH(B2031)</x:f>
        <x:v>10</x:v>
      </x:c>
      <x:c r="G2031" s="30" t="n">
        <x:v>-30.62</x:v>
      </x:c>
      <x:c r="H2031" s="30" t="n">
        <x:v>-71.53</x:v>
      </x:c>
      <x:c r="I2031" s="29" t="n">
        <x:v>41</x:v>
      </x:c>
      <x:c r="J2031" s="31" t="n">
        <x:v>4.1</x:v>
      </x:c>
      <x:c r="K2031" s="25" t="str">
        <x:f>IF(J2031&gt;=7,"Muy fuerte (&gt;=7)",IF(J2031&gt;=6,"Fuerte (6-6.9)",IF(J2031&gt;=5,"Moderado alto (5-5.9)",IF(J2031&gt;=4,"Moderado (4-4.9)","Menor a 4"))))</x:f>
        <x:v>Moderado (4-4.9)</x:v>
      </x:c>
      <x:c r="L2031" s="25" t="str">
        <x:f>IF(I2031&lt;70,"Superficial (&lt;70 km)",IF(I2031&lt;=300,"Intermedio (70-300 km)","Profundo (&gt;300 km)"))</x:f>
        <x:v>Superficial (&lt;70 km)</x:v>
      </x:c>
      <x:c r="M2031" s="25" t="str">
        <x:f>IF(J2031&gt;=5,"Sí","No")</x:f>
        <x:v>No</x:v>
      </x:c>
      <x:c r="N2031" s="25" t="str">
        <x:f>IF(J2031&gt;=6,"Sí","No")</x:f>
        <x:v>No</x:v>
      </x:c>
      <x:c r="O2031" s="25" t="str">
        <x:v>Pendiente: asignar con R/sf</x:v>
      </x:c>
    </x:row>
    <x:row r="2032">
      <x:c r="A2032" s="25" t="n">
        <x:v>2031</x:v>
      </x:c>
      <x:c r="B2032" s="26" t="n">
        <x:v>42280.47293981481</x:v>
      </x:c>
      <x:c r="C2032" s="27" t="n">
        <x:f>INT(B2032)</x:f>
        <x:v>42280</x:v>
      </x:c>
      <x:c r="D2032" s="28" t="n">
        <x:f>MOD(B2032,1)</x:f>
        <x:v>0.4729398148119799</x:v>
      </x:c>
      <x:c r="E2032" s="29" t="n">
        <x:f>YEAR(B2032)</x:f>
        <x:v>2015</x:v>
      </x:c>
      <x:c r="F2032" s="29" t="n">
        <x:f>MONTH(B2032)</x:f>
        <x:v>10</x:v>
      </x:c>
      <x:c r="G2032" s="30" t="n">
        <x:v>-29.86</x:v>
      </x:c>
      <x:c r="H2032" s="30" t="n">
        <x:v>-71.64</x:v>
      </x:c>
      <x:c r="I2032" s="29" t="n">
        <x:v>41</x:v>
      </x:c>
      <x:c r="J2032" s="31" t="n">
        <x:v>5.3</x:v>
      </x:c>
      <x:c r="K2032" s="25" t="str">
        <x:f>IF(J2032&gt;=7,"Muy fuerte (&gt;=7)",IF(J2032&gt;=6,"Fuerte (6-6.9)",IF(J2032&gt;=5,"Moderado alto (5-5.9)",IF(J2032&gt;=4,"Moderado (4-4.9)","Menor a 4"))))</x:f>
        <x:v>Moderado alto (5-5.9)</x:v>
      </x:c>
      <x:c r="L2032" s="25" t="str">
        <x:f>IF(I2032&lt;70,"Superficial (&lt;70 km)",IF(I2032&lt;=300,"Intermedio (70-300 km)","Profundo (&gt;300 km)"))</x:f>
        <x:v>Superficial (&lt;70 km)</x:v>
      </x:c>
      <x:c r="M2032" s="25" t="str">
        <x:f>IF(J2032&gt;=5,"Sí","No")</x:f>
        <x:v>Sí</x:v>
      </x:c>
      <x:c r="N2032" s="25" t="str">
        <x:f>IF(J2032&gt;=6,"Sí","No")</x:f>
        <x:v>No</x:v>
      </x:c>
      <x:c r="O2032" s="25" t="str">
        <x:v>Pendiente: asignar con R/sf</x:v>
      </x:c>
    </x:row>
    <x:row r="2033">
      <x:c r="A2033" s="25" t="n">
        <x:v>2032</x:v>
      </x:c>
      <x:c r="B2033" s="26" t="n">
        <x:v>42051.85679398148</x:v>
      </x:c>
      <x:c r="C2033" s="27" t="n">
        <x:f>INT(B2033)</x:f>
        <x:v>42051</x:v>
      </x:c>
      <x:c r="D2033" s="28" t="n">
        <x:f>MOD(B2033,1)</x:f>
        <x:v>0.856793981482042</x:v>
      </x:c>
      <x:c r="E2033" s="29" t="n">
        <x:f>YEAR(B2033)</x:f>
        <x:v>2015</x:v>
      </x:c>
      <x:c r="F2033" s="29" t="n">
        <x:f>MONTH(B2033)</x:f>
        <x:v>2</x:v>
      </x:c>
      <x:c r="G2033" s="30" t="n">
        <x:v>-30.28</x:v>
      </x:c>
      <x:c r="H2033" s="30" t="n">
        <x:v>-71.53</x:v>
      </x:c>
      <x:c r="I2033" s="29" t="n">
        <x:v>36</x:v>
      </x:c>
      <x:c r="J2033" s="31" t="n">
        <x:v>4.8</x:v>
      </x:c>
      <x:c r="K2033" s="25" t="str">
        <x:f>IF(J2033&gt;=7,"Muy fuerte (&gt;=7)",IF(J2033&gt;=6,"Fuerte (6-6.9)",IF(J2033&gt;=5,"Moderado alto (5-5.9)",IF(J2033&gt;=4,"Moderado (4-4.9)","Menor a 4"))))</x:f>
        <x:v>Moderado (4-4.9)</x:v>
      </x:c>
      <x:c r="L2033" s="25" t="str">
        <x:f>IF(I2033&lt;70,"Superficial (&lt;70 km)",IF(I2033&lt;=300,"Intermedio (70-300 km)","Profundo (&gt;300 km)"))</x:f>
        <x:v>Superficial (&lt;70 km)</x:v>
      </x:c>
      <x:c r="M2033" s="25" t="str">
        <x:f>IF(J2033&gt;=5,"Sí","No")</x:f>
        <x:v>No</x:v>
      </x:c>
      <x:c r="N2033" s="25" t="str">
        <x:f>IF(J2033&gt;=6,"Sí","No")</x:f>
        <x:v>No</x:v>
      </x:c>
      <x:c r="O2033" s="25" t="str">
        <x:v>Pendiente: asignar con R/sf</x:v>
      </x:c>
    </x:row>
    <x:row r="2034">
      <x:c r="A2034" s="25" t="n">
        <x:v>2033</x:v>
      </x:c>
      <x:c r="B2034" s="26" t="n">
        <x:v>42240.21792824074</x:v>
      </x:c>
      <x:c r="C2034" s="27" t="n">
        <x:f>INT(B2034)</x:f>
        <x:v>42240</x:v>
      </x:c>
      <x:c r="D2034" s="28" t="n">
        <x:f>MOD(B2034,1)</x:f>
        <x:v>0.21792824073781958</x:v>
      </x:c>
      <x:c r="E2034" s="29" t="n">
        <x:f>YEAR(B2034)</x:f>
        <x:v>2015</x:v>
      </x:c>
      <x:c r="F2034" s="29" t="n">
        <x:f>MONTH(B2034)</x:f>
        <x:v>8</x:v>
      </x:c>
      <x:c r="G2034" s="30" t="n">
        <x:v>-29.88</x:v>
      </x:c>
      <x:c r="H2034" s="30" t="n">
        <x:v>-71.25</x:v>
      </x:c>
      <x:c r="I2034" s="29" t="n">
        <x:v>45</x:v>
      </x:c>
      <x:c r="J2034" s="31" t="n">
        <x:v>5.2</x:v>
      </x:c>
      <x:c r="K2034" s="25" t="str">
        <x:f>IF(J2034&gt;=7,"Muy fuerte (&gt;=7)",IF(J2034&gt;=6,"Fuerte (6-6.9)",IF(J2034&gt;=5,"Moderado alto (5-5.9)",IF(J2034&gt;=4,"Moderado (4-4.9)","Menor a 4"))))</x:f>
        <x:v>Moderado alto (5-5.9)</x:v>
      </x:c>
      <x:c r="L2034" s="25" t="str">
        <x:f>IF(I2034&lt;70,"Superficial (&lt;70 km)",IF(I2034&lt;=300,"Intermedio (70-300 km)","Profundo (&gt;300 km)"))</x:f>
        <x:v>Superficial (&lt;70 km)</x:v>
      </x:c>
      <x:c r="M2034" s="25" t="str">
        <x:f>IF(J2034&gt;=5,"Sí","No")</x:f>
        <x:v>Sí</x:v>
      </x:c>
      <x:c r="N2034" s="25" t="str">
        <x:f>IF(J2034&gt;=6,"Sí","No")</x:f>
        <x:v>No</x:v>
      </x:c>
      <x:c r="O2034" s="25" t="str">
        <x:v>Pendiente: asignar con R/sf</x:v>
      </x:c>
    </x:row>
    <x:row r="2035">
      <x:c r="A2035" s="25" t="n">
        <x:v>2034</x:v>
      </x:c>
      <x:c r="B2035" s="26" t="n">
        <x:v>42296.609618055554</x:v>
      </x:c>
      <x:c r="C2035" s="27" t="n">
        <x:f>INT(B2035)</x:f>
        <x:v>42296</x:v>
      </x:c>
      <x:c r="D2035" s="28" t="n">
        <x:f>MOD(B2035,1)</x:f>
        <x:v>0.609618055554165</x:v>
      </x:c>
      <x:c r="E2035" s="29" t="n">
        <x:f>YEAR(B2035)</x:f>
        <x:v>2015</x:v>
      </x:c>
      <x:c r="F2035" s="29" t="n">
        <x:f>MONTH(B2035)</x:f>
        <x:v>10</x:v>
      </x:c>
      <x:c r="G2035" s="30" t="n">
        <x:v>-33.47</x:v>
      </x:c>
      <x:c r="H2035" s="30" t="n">
        <x:v>-70.85</x:v>
      </x:c>
      <x:c r="I2035" s="29" t="n">
        <x:v>76</x:v>
      </x:c>
      <x:c r="J2035" s="31" t="n">
        <x:v>4.5</x:v>
      </x:c>
      <x:c r="K2035" s="25" t="str">
        <x:f>IF(J2035&gt;=7,"Muy fuerte (&gt;=7)",IF(J2035&gt;=6,"Fuerte (6-6.9)",IF(J2035&gt;=5,"Moderado alto (5-5.9)",IF(J2035&gt;=4,"Moderado (4-4.9)","Menor a 4"))))</x:f>
        <x:v>Moderado (4-4.9)</x:v>
      </x:c>
      <x:c r="L2035" s="25" t="str">
        <x:f>IF(I2035&lt;70,"Superficial (&lt;70 km)",IF(I2035&lt;=300,"Intermedio (70-300 km)","Profundo (&gt;300 km)"))</x:f>
        <x:v>Intermedio (70-300 km)</x:v>
      </x:c>
      <x:c r="M2035" s="25" t="str">
        <x:f>IF(J2035&gt;=5,"Sí","No")</x:f>
        <x:v>No</x:v>
      </x:c>
      <x:c r="N2035" s="25" t="str">
        <x:f>IF(J2035&gt;=6,"Sí","No")</x:f>
        <x:v>No</x:v>
      </x:c>
      <x:c r="O2035" s="25" t="str">
        <x:v>Pendiente: asignar con R/sf</x:v>
      </x:c>
    </x:row>
    <x:row r="2036">
      <x:c r="A2036" s="25" t="n">
        <x:v>2035</x:v>
      </x:c>
      <x:c r="B2036" s="26" t="n">
        <x:v>42301.61971064815</x:v>
      </x:c>
      <x:c r="C2036" s="27" t="n">
        <x:f>INT(B2036)</x:f>
        <x:v>42301</x:v>
      </x:c>
      <x:c r="D2036" s="28" t="n">
        <x:f>MOD(B2036,1)</x:f>
        <x:v>0.6197106481486117</x:v>
      </x:c>
      <x:c r="E2036" s="29" t="n">
        <x:f>YEAR(B2036)</x:f>
        <x:v>2015</x:v>
      </x:c>
      <x:c r="F2036" s="29" t="n">
        <x:f>MONTH(B2036)</x:f>
        <x:v>10</x:v>
      </x:c>
      <x:c r="G2036" s="30" t="n">
        <x:v>-30.04</x:v>
      </x:c>
      <x:c r="H2036" s="30" t="n">
        <x:v>-71.31</x:v>
      </x:c>
      <x:c r="I2036" s="29" t="n">
        <x:v>52</x:v>
      </x:c>
      <x:c r="J2036" s="31" t="n">
        <x:v>4</x:v>
      </x:c>
      <x:c r="K2036" s="25" t="str">
        <x:f>IF(J2036&gt;=7,"Muy fuerte (&gt;=7)",IF(J2036&gt;=6,"Fuerte (6-6.9)",IF(J2036&gt;=5,"Moderado alto (5-5.9)",IF(J2036&gt;=4,"Moderado (4-4.9)","Menor a 4"))))</x:f>
        <x:v>Moderado (4-4.9)</x:v>
      </x:c>
      <x:c r="L2036" s="25" t="str">
        <x:f>IF(I2036&lt;70,"Superficial (&lt;70 km)",IF(I2036&lt;=300,"Intermedio (70-300 km)","Profundo (&gt;300 km)"))</x:f>
        <x:v>Superficial (&lt;70 km)</x:v>
      </x:c>
      <x:c r="M2036" s="25" t="str">
        <x:f>IF(J2036&gt;=5,"Sí","No")</x:f>
        <x:v>No</x:v>
      </x:c>
      <x:c r="N2036" s="25" t="str">
        <x:f>IF(J2036&gt;=6,"Sí","No")</x:f>
        <x:v>No</x:v>
      </x:c>
      <x:c r="O2036" s="25" t="str">
        <x:v>Pendiente: asignar con R/sf</x:v>
      </x:c>
    </x:row>
    <x:row r="2037">
      <x:c r="A2037" s="25" t="n">
        <x:v>2036</x:v>
      </x:c>
      <x:c r="B2037" s="26" t="n">
        <x:v>42265.82971064815</x:v>
      </x:c>
      <x:c r="C2037" s="27" t="n">
        <x:f>INT(B2037)</x:f>
        <x:v>42265</x:v>
      </x:c>
      <x:c r="D2037" s="28" t="n">
        <x:f>MOD(B2037,1)</x:f>
        <x:v>0.8297106481477385</x:v>
      </x:c>
      <x:c r="E2037" s="29" t="n">
        <x:f>YEAR(B2037)</x:f>
        <x:v>2015</x:v>
      </x:c>
      <x:c r="F2037" s="29" t="n">
        <x:f>MONTH(B2037)</x:f>
        <x:v>9</x:v>
      </x:c>
      <x:c r="G2037" s="30" t="n">
        <x:v>-30.11</x:v>
      </x:c>
      <x:c r="H2037" s="30" t="n">
        <x:v>-71.55</x:v>
      </x:c>
      <x:c r="I2037" s="29" t="n">
        <x:v>16</x:v>
      </x:c>
      <x:c r="J2037" s="31" t="n">
        <x:v>4.7</x:v>
      </x:c>
      <x:c r="K2037" s="25" t="str">
        <x:f>IF(J2037&gt;=7,"Muy fuerte (&gt;=7)",IF(J2037&gt;=6,"Fuerte (6-6.9)",IF(J2037&gt;=5,"Moderado alto (5-5.9)",IF(J2037&gt;=4,"Moderado (4-4.9)","Menor a 4"))))</x:f>
        <x:v>Moderado (4-4.9)</x:v>
      </x:c>
      <x:c r="L2037" s="25" t="str">
        <x:f>IF(I2037&lt;70,"Superficial (&lt;70 km)",IF(I2037&lt;=300,"Intermedio (70-300 km)","Profundo (&gt;300 km)"))</x:f>
        <x:v>Superficial (&lt;70 km)</x:v>
      </x:c>
      <x:c r="M2037" s="25" t="str">
        <x:f>IF(J2037&gt;=5,"Sí","No")</x:f>
        <x:v>No</x:v>
      </x:c>
      <x:c r="N2037" s="25" t="str">
        <x:f>IF(J2037&gt;=6,"Sí","No")</x:f>
        <x:v>No</x:v>
      </x:c>
      <x:c r="O2037" s="25" t="str">
        <x:v>Pendiente: asignar con R/sf</x:v>
      </x:c>
    </x:row>
    <x:row r="2038">
      <x:c r="A2038" s="25" t="n">
        <x:v>2037</x:v>
      </x:c>
      <x:c r="B2038" s="26" t="n">
        <x:v>42281.70649305556</x:v>
      </x:c>
      <x:c r="C2038" s="27" t="n">
        <x:f>INT(B2038)</x:f>
        <x:v>42281</x:v>
      </x:c>
      <x:c r="D2038" s="28" t="n">
        <x:f>MOD(B2038,1)</x:f>
        <x:v>0.7064930555570754</x:v>
      </x:c>
      <x:c r="E2038" s="29" t="n">
        <x:f>YEAR(B2038)</x:f>
        <x:v>2015</x:v>
      </x:c>
      <x:c r="F2038" s="29" t="n">
        <x:f>MONTH(B2038)</x:f>
        <x:v>10</x:v>
      </x:c>
      <x:c r="G2038" s="30" t="n">
        <x:v>-30.54</x:v>
      </x:c>
      <x:c r="H2038" s="30" t="n">
        <x:v>-72.18</x:v>
      </x:c>
      <x:c r="I2038" s="29" t="n">
        <x:v>33</x:v>
      </x:c>
      <x:c r="J2038" s="31" t="n">
        <x:v>4.8</x:v>
      </x:c>
      <x:c r="K2038" s="25" t="str">
        <x:f>IF(J2038&gt;=7,"Muy fuerte (&gt;=7)",IF(J2038&gt;=6,"Fuerte (6-6.9)",IF(J2038&gt;=5,"Moderado alto (5-5.9)",IF(J2038&gt;=4,"Moderado (4-4.9)","Menor a 4"))))</x:f>
        <x:v>Moderado (4-4.9)</x:v>
      </x:c>
      <x:c r="L2038" s="25" t="str">
        <x:f>IF(I2038&lt;70,"Superficial (&lt;70 km)",IF(I2038&lt;=300,"Intermedio (70-300 km)","Profundo (&gt;300 km)"))</x:f>
        <x:v>Superficial (&lt;70 km)</x:v>
      </x:c>
      <x:c r="M2038" s="25" t="str">
        <x:f>IF(J2038&gt;=5,"Sí","No")</x:f>
        <x:v>No</x:v>
      </x:c>
      <x:c r="N2038" s="25" t="str">
        <x:f>IF(J2038&gt;=6,"Sí","No")</x:f>
        <x:v>No</x:v>
      </x:c>
      <x:c r="O2038" s="25" t="str">
        <x:v>Pendiente: asignar con R/sf</x:v>
      </x:c>
    </x:row>
    <x:row r="2039">
      <x:c r="A2039" s="25" t="n">
        <x:v>2038</x:v>
      </x:c>
      <x:c r="B2039" s="26" t="n">
        <x:v>42277.08336805556</x:v>
      </x:c>
      <x:c r="C2039" s="27" t="n">
        <x:f>INT(B2039)</x:f>
        <x:v>42277</x:v>
      </x:c>
      <x:c r="D2039" s="28" t="n">
        <x:f>MOD(B2039,1)</x:f>
        <x:v>0.08336805555882165</x:v>
      </x:c>
      <x:c r="E2039" s="29" t="n">
        <x:f>YEAR(B2039)</x:f>
        <x:v>2015</x:v>
      </x:c>
      <x:c r="F2039" s="29" t="n">
        <x:f>MONTH(B2039)</x:f>
        <x:v>9</x:v>
      </x:c>
      <x:c r="G2039" s="30" t="n">
        <x:v>-30.66</x:v>
      </x:c>
      <x:c r="H2039" s="30" t="n">
        <x:v>-71.72</x:v>
      </x:c>
      <x:c r="I2039" s="29" t="n">
        <x:v>37</x:v>
      </x:c>
      <x:c r="J2039" s="31" t="n">
        <x:v>4.9</x:v>
      </x:c>
      <x:c r="K2039" s="25" t="str">
        <x:f>IF(J2039&gt;=7,"Muy fuerte (&gt;=7)",IF(J2039&gt;=6,"Fuerte (6-6.9)",IF(J2039&gt;=5,"Moderado alto (5-5.9)",IF(J2039&gt;=4,"Moderado (4-4.9)","Menor a 4"))))</x:f>
        <x:v>Moderado (4-4.9)</x:v>
      </x:c>
      <x:c r="L2039" s="25" t="str">
        <x:f>IF(I2039&lt;70,"Superficial (&lt;70 km)",IF(I2039&lt;=300,"Intermedio (70-300 km)","Profundo (&gt;300 km)"))</x:f>
        <x:v>Superficial (&lt;70 km)</x:v>
      </x:c>
      <x:c r="M2039" s="25" t="str">
        <x:f>IF(J2039&gt;=5,"Sí","No")</x:f>
        <x:v>No</x:v>
      </x:c>
      <x:c r="N2039" s="25" t="str">
        <x:f>IF(J2039&gt;=6,"Sí","No")</x:f>
        <x:v>No</x:v>
      </x:c>
      <x:c r="O2039" s="25" t="str">
        <x:v>Pendiente: asignar con R/sf</x:v>
      </x:c>
    </x:row>
    <x:row r="2040">
      <x:c r="A2040" s="25" t="n">
        <x:v>2039</x:v>
      </x:c>
      <x:c r="B2040" s="26" t="n">
        <x:v>42342.36431712963</x:v>
      </x:c>
      <x:c r="C2040" s="27" t="n">
        <x:f>INT(B2040)</x:f>
        <x:v>42342</x:v>
      </x:c>
      <x:c r="D2040" s="28" t="n">
        <x:f>MOD(B2040,1)</x:f>
        <x:v>0.3643171296280343</x:v>
      </x:c>
      <x:c r="E2040" s="29" t="n">
        <x:f>YEAR(B2040)</x:f>
        <x:v>2015</x:v>
      </x:c>
      <x:c r="F2040" s="29" t="n">
        <x:f>MONTH(B2040)</x:f>
        <x:v>12</x:v>
      </x:c>
      <x:c r="G2040" s="30" t="n">
        <x:v>-30.8</x:v>
      </x:c>
      <x:c r="H2040" s="30" t="n">
        <x:v>-71.46</x:v>
      </x:c>
      <x:c r="I2040" s="29" t="n">
        <x:v>53</x:v>
      </x:c>
      <x:c r="J2040" s="31" t="n">
        <x:v>4.5</x:v>
      </x:c>
      <x:c r="K2040" s="25" t="str">
        <x:f>IF(J2040&gt;=7,"Muy fuerte (&gt;=7)",IF(J2040&gt;=6,"Fuerte (6-6.9)",IF(J2040&gt;=5,"Moderado alto (5-5.9)",IF(J2040&gt;=4,"Moderado (4-4.9)","Menor a 4"))))</x:f>
        <x:v>Moderado (4-4.9)</x:v>
      </x:c>
      <x:c r="L2040" s="25" t="str">
        <x:f>IF(I2040&lt;70,"Superficial (&lt;70 km)",IF(I2040&lt;=300,"Intermedio (70-300 km)","Profundo (&gt;300 km)"))</x:f>
        <x:v>Superficial (&lt;70 km)</x:v>
      </x:c>
      <x:c r="M2040" s="25" t="str">
        <x:f>IF(J2040&gt;=5,"Sí","No")</x:f>
        <x:v>No</x:v>
      </x:c>
      <x:c r="N2040" s="25" t="str">
        <x:f>IF(J2040&gt;=6,"Sí","No")</x:f>
        <x:v>No</x:v>
      </x:c>
      <x:c r="O2040" s="25" t="str">
        <x:v>Pendiente: asignar con R/sf</x:v>
      </x:c>
    </x:row>
    <x:row r="2041">
      <x:c r="A2041" s="25" t="n">
        <x:v>2040</x:v>
      </x:c>
      <x:c r="B2041" s="26" t="n">
        <x:v>42089.73967592593</x:v>
      </x:c>
      <x:c r="C2041" s="27" t="n">
        <x:f>INT(B2041)</x:f>
        <x:v>42089</x:v>
      </x:c>
      <x:c r="D2041" s="28" t="n">
        <x:f>MOD(B2041,1)</x:f>
        <x:v>0.739675925928168</x:v>
      </x:c>
      <x:c r="E2041" s="29" t="n">
        <x:f>YEAR(B2041)</x:f>
        <x:v>2015</x:v>
      </x:c>
      <x:c r="F2041" s="29" t="n">
        <x:f>MONTH(B2041)</x:f>
        <x:v>3</x:v>
      </x:c>
      <x:c r="G2041" s="30" t="n">
        <x:v>-31.06</x:v>
      </x:c>
      <x:c r="H2041" s="30" t="n">
        <x:v>-71.8</x:v>
      </x:c>
      <x:c r="I2041" s="29" t="n">
        <x:v>30</x:v>
      </x:c>
      <x:c r="J2041" s="31" t="n">
        <x:v>4.9</x:v>
      </x:c>
      <x:c r="K2041" s="25" t="str">
        <x:f>IF(J2041&gt;=7,"Muy fuerte (&gt;=7)",IF(J2041&gt;=6,"Fuerte (6-6.9)",IF(J2041&gt;=5,"Moderado alto (5-5.9)",IF(J2041&gt;=4,"Moderado (4-4.9)","Menor a 4"))))</x:f>
        <x:v>Moderado (4-4.9)</x:v>
      </x:c>
      <x:c r="L2041" s="25" t="str">
        <x:f>IF(I2041&lt;70,"Superficial (&lt;70 km)",IF(I2041&lt;=300,"Intermedio (70-300 km)","Profundo (&gt;300 km)"))</x:f>
        <x:v>Superficial (&lt;70 km)</x:v>
      </x:c>
      <x:c r="M2041" s="25" t="str">
        <x:f>IF(J2041&gt;=5,"Sí","No")</x:f>
        <x:v>No</x:v>
      </x:c>
      <x:c r="N2041" s="25" t="str">
        <x:f>IF(J2041&gt;=6,"Sí","No")</x:f>
        <x:v>No</x:v>
      </x:c>
      <x:c r="O2041" s="25" t="str">
        <x:v>Pendiente: asignar con R/sf</x:v>
      </x:c>
    </x:row>
    <x:row r="2042">
      <x:c r="A2042" s="25" t="n">
        <x:v>2041</x:v>
      </x:c>
      <x:c r="B2042" s="26" t="n">
        <x:v>42156.75864583333</x:v>
      </x:c>
      <x:c r="C2042" s="27" t="n">
        <x:f>INT(B2042)</x:f>
        <x:v>42156</x:v>
      </x:c>
      <x:c r="D2042" s="28" t="n">
        <x:f>MOD(B2042,1)</x:f>
        <x:v>0.7586458333316841</x:v>
      </x:c>
      <x:c r="E2042" s="29" t="n">
        <x:f>YEAR(B2042)</x:f>
        <x:v>2015</x:v>
      </x:c>
      <x:c r="F2042" s="29" t="n">
        <x:f>MONTH(B2042)</x:f>
        <x:v>6</x:v>
      </x:c>
      <x:c r="G2042" s="30" t="n">
        <x:v>-30.64</x:v>
      </x:c>
      <x:c r="H2042" s="30" t="n">
        <x:v>-70.31</x:v>
      </x:c>
      <x:c r="I2042" s="29" t="n">
        <x:v>10</x:v>
      </x:c>
      <x:c r="J2042" s="31" t="n">
        <x:v>4.3</x:v>
      </x:c>
      <x:c r="K2042" s="25" t="str">
        <x:f>IF(J2042&gt;=7,"Muy fuerte (&gt;=7)",IF(J2042&gt;=6,"Fuerte (6-6.9)",IF(J2042&gt;=5,"Moderado alto (5-5.9)",IF(J2042&gt;=4,"Moderado (4-4.9)","Menor a 4"))))</x:f>
        <x:v>Moderado (4-4.9)</x:v>
      </x:c>
      <x:c r="L2042" s="25" t="str">
        <x:f>IF(I2042&lt;70,"Superficial (&lt;70 km)",IF(I2042&lt;=300,"Intermedio (70-300 km)","Profundo (&gt;300 km)"))</x:f>
        <x:v>Superficial (&lt;70 km)</x:v>
      </x:c>
      <x:c r="M2042" s="25" t="str">
        <x:f>IF(J2042&gt;=5,"Sí","No")</x:f>
        <x:v>No</x:v>
      </x:c>
      <x:c r="N2042" s="25" t="str">
        <x:f>IF(J2042&gt;=6,"Sí","No")</x:f>
        <x:v>No</x:v>
      </x:c>
      <x:c r="O2042" s="25" t="str">
        <x:v>Pendiente: asignar con R/sf</x:v>
      </x:c>
    </x:row>
    <x:row r="2043">
      <x:c r="A2043" s="25" t="n">
        <x:v>2042</x:v>
      </x:c>
      <x:c r="B2043" s="26" t="n">
        <x:v>42299.84893518518</x:v>
      </x:c>
      <x:c r="C2043" s="27" t="n">
        <x:f>INT(B2043)</x:f>
        <x:v>42299</x:v>
      </x:c>
      <x:c r="D2043" s="28" t="n">
        <x:f>MOD(B2043,1)</x:f>
        <x:v>0.8489351851821993</x:v>
      </x:c>
      <x:c r="E2043" s="29" t="n">
        <x:f>YEAR(B2043)</x:f>
        <x:v>2015</x:v>
      </x:c>
      <x:c r="F2043" s="29" t="n">
        <x:f>MONTH(B2043)</x:f>
        <x:v>10</x:v>
      </x:c>
      <x:c r="G2043" s="30" t="n">
        <x:v>-30.39</x:v>
      </x:c>
      <x:c r="H2043" s="30" t="n">
        <x:v>-71.69</x:v>
      </x:c>
      <x:c r="I2043" s="29" t="n">
        <x:v>25</x:v>
      </x:c>
      <x:c r="J2043" s="31" t="n">
        <x:v>4.5</x:v>
      </x:c>
      <x:c r="K2043" s="25" t="str">
        <x:f>IF(J2043&gt;=7,"Muy fuerte (&gt;=7)",IF(J2043&gt;=6,"Fuerte (6-6.9)",IF(J2043&gt;=5,"Moderado alto (5-5.9)",IF(J2043&gt;=4,"Moderado (4-4.9)","Menor a 4"))))</x:f>
        <x:v>Moderado (4-4.9)</x:v>
      </x:c>
      <x:c r="L2043" s="25" t="str">
        <x:f>IF(I2043&lt;70,"Superficial (&lt;70 km)",IF(I2043&lt;=300,"Intermedio (70-300 km)","Profundo (&gt;300 km)"))</x:f>
        <x:v>Superficial (&lt;70 km)</x:v>
      </x:c>
      <x:c r="M2043" s="25" t="str">
        <x:f>IF(J2043&gt;=5,"Sí","No")</x:f>
        <x:v>No</x:v>
      </x:c>
      <x:c r="N2043" s="25" t="str">
        <x:f>IF(J2043&gt;=6,"Sí","No")</x:f>
        <x:v>No</x:v>
      </x:c>
      <x:c r="O2043" s="25" t="str">
        <x:v>Pendiente: asignar con R/sf</x:v>
      </x:c>
    </x:row>
    <x:row r="2044">
      <x:c r="A2044" s="25" t="n">
        <x:v>2043</x:v>
      </x:c>
      <x:c r="B2044" s="26" t="n">
        <x:v>42348.006527777776</x:v>
      </x:c>
      <x:c r="C2044" s="27" t="n">
        <x:f>INT(B2044)</x:f>
        <x:v>42348</x:v>
      </x:c>
      <x:c r="D2044" s="28" t="n">
        <x:f>MOD(B2044,1)</x:f>
        <x:v>0.006527777775772847</x:v>
      </x:c>
      <x:c r="E2044" s="29" t="n">
        <x:f>YEAR(B2044)</x:f>
        <x:v>2015</x:v>
      </x:c>
      <x:c r="F2044" s="29" t="n">
        <x:f>MONTH(B2044)</x:f>
        <x:v>12</x:v>
      </x:c>
      <x:c r="G2044" s="30" t="n">
        <x:v>-35.91</x:v>
      </x:c>
      <x:c r="H2044" s="30" t="n">
        <x:v>-73.56</x:v>
      </x:c>
      <x:c r="I2044" s="29" t="n">
        <x:v>14</x:v>
      </x:c>
      <x:c r="J2044" s="31" t="n">
        <x:v>5.3</x:v>
      </x:c>
      <x:c r="K2044" s="25" t="str">
        <x:f>IF(J2044&gt;=7,"Muy fuerte (&gt;=7)",IF(J2044&gt;=6,"Fuerte (6-6.9)",IF(J2044&gt;=5,"Moderado alto (5-5.9)",IF(J2044&gt;=4,"Moderado (4-4.9)","Menor a 4"))))</x:f>
        <x:v>Moderado alto (5-5.9)</x:v>
      </x:c>
      <x:c r="L2044" s="25" t="str">
        <x:f>IF(I2044&lt;70,"Superficial (&lt;70 km)",IF(I2044&lt;=300,"Intermedio (70-300 km)","Profundo (&gt;300 km)"))</x:f>
        <x:v>Superficial (&lt;70 km)</x:v>
      </x:c>
      <x:c r="M2044" s="25" t="str">
        <x:f>IF(J2044&gt;=5,"Sí","No")</x:f>
        <x:v>Sí</x:v>
      </x:c>
      <x:c r="N2044" s="25" t="str">
        <x:f>IF(J2044&gt;=6,"Sí","No")</x:f>
        <x:v>No</x:v>
      </x:c>
      <x:c r="O2044" s="25" t="str">
        <x:v>Pendiente: asignar con R/sf</x:v>
      </x:c>
    </x:row>
    <x:row r="2045">
      <x:c r="A2045" s="25" t="n">
        <x:v>2044</x:v>
      </x:c>
      <x:c r="B2045" s="26" t="n">
        <x:v>42285.365439814814</x:v>
      </x:c>
      <x:c r="C2045" s="27" t="n">
        <x:f>INT(B2045)</x:f>
        <x:v>42285</x:v>
      </x:c>
      <x:c r="D2045" s="28" t="n">
        <x:f>MOD(B2045,1)</x:f>
        <x:v>0.3654398148137261</x:v>
      </x:c>
      <x:c r="E2045" s="29" t="n">
        <x:f>YEAR(B2045)</x:f>
        <x:v>2015</x:v>
      </x:c>
      <x:c r="F2045" s="29" t="n">
        <x:f>MONTH(B2045)</x:f>
        <x:v>10</x:v>
      </x:c>
      <x:c r="G2045" s="30" t="n">
        <x:v>-30.71</x:v>
      </x:c>
      <x:c r="H2045" s="30" t="n">
        <x:v>-71.45</x:v>
      </x:c>
      <x:c r="I2045" s="29" t="n">
        <x:v>48</x:v>
      </x:c>
      <x:c r="J2045" s="31" t="n">
        <x:v>4.1</x:v>
      </x:c>
      <x:c r="K2045" s="25" t="str">
        <x:f>IF(J2045&gt;=7,"Muy fuerte (&gt;=7)",IF(J2045&gt;=6,"Fuerte (6-6.9)",IF(J2045&gt;=5,"Moderado alto (5-5.9)",IF(J2045&gt;=4,"Moderado (4-4.9)","Menor a 4"))))</x:f>
        <x:v>Moderado (4-4.9)</x:v>
      </x:c>
      <x:c r="L2045" s="25" t="str">
        <x:f>IF(I2045&lt;70,"Superficial (&lt;70 km)",IF(I2045&lt;=300,"Intermedio (70-300 km)","Profundo (&gt;300 km)"))</x:f>
        <x:v>Superficial (&lt;70 km)</x:v>
      </x:c>
      <x:c r="M2045" s="25" t="str">
        <x:f>IF(J2045&gt;=5,"Sí","No")</x:f>
        <x:v>No</x:v>
      </x:c>
      <x:c r="N2045" s="25" t="str">
        <x:f>IF(J2045&gt;=6,"Sí","No")</x:f>
        <x:v>No</x:v>
      </x:c>
      <x:c r="O2045" s="25" t="str">
        <x:v>Pendiente: asignar con R/sf</x:v>
      </x:c>
    </x:row>
    <x:row r="2046">
      <x:c r="A2046" s="25" t="n">
        <x:v>2045</x:v>
      </x:c>
      <x:c r="B2046" s="26" t="n">
        <x:v>42046.54256944444</x:v>
      </x:c>
      <x:c r="C2046" s="27" t="n">
        <x:f>INT(B2046)</x:f>
        <x:v>42046</x:v>
      </x:c>
      <x:c r="D2046" s="28" t="n">
        <x:f>MOD(B2046,1)</x:f>
        <x:v>0.5425694444420515</x:v>
      </x:c>
      <x:c r="E2046" s="29" t="n">
        <x:f>YEAR(B2046)</x:f>
        <x:v>2015</x:v>
      </x:c>
      <x:c r="F2046" s="29" t="n">
        <x:f>MONTH(B2046)</x:f>
        <x:v>2</x:v>
      </x:c>
      <x:c r="G2046" s="30" t="n">
        <x:v>-23.5</x:v>
      </x:c>
      <x:c r="H2046" s="30" t="n">
        <x:v>-67</x:v>
      </x:c>
      <x:c r="I2046" s="29" t="n">
        <x:v>194</x:v>
      </x:c>
      <x:c r="J2046" s="31" t="n">
        <x:v>5.8</x:v>
      </x:c>
      <x:c r="K2046" s="25" t="str">
        <x:f>IF(J2046&gt;=7,"Muy fuerte (&gt;=7)",IF(J2046&gt;=6,"Fuerte (6-6.9)",IF(J2046&gt;=5,"Moderado alto (5-5.9)",IF(J2046&gt;=4,"Moderado (4-4.9)","Menor a 4"))))</x:f>
        <x:v>Moderado alto (5-5.9)</x:v>
      </x:c>
      <x:c r="L2046" s="25" t="str">
        <x:f>IF(I2046&lt;70,"Superficial (&lt;70 km)",IF(I2046&lt;=300,"Intermedio (70-300 km)","Profundo (&gt;300 km)"))</x:f>
        <x:v>Intermedio (70-300 km)</x:v>
      </x:c>
      <x:c r="M2046" s="25" t="str">
        <x:f>IF(J2046&gt;=5,"Sí","No")</x:f>
        <x:v>Sí</x:v>
      </x:c>
      <x:c r="N2046" s="25" t="str">
        <x:f>IF(J2046&gt;=6,"Sí","No")</x:f>
        <x:v>No</x:v>
      </x:c>
      <x:c r="O2046" s="25" t="str">
        <x:v>Pendiente: asignar con R/sf</x:v>
      </x:c>
    </x:row>
    <x:row r="2047">
      <x:c r="A2047" s="25" t="n">
        <x:v>2046</x:v>
      </x:c>
      <x:c r="B2047" s="26" t="n">
        <x:v>42314.48945601852</x:v>
      </x:c>
      <x:c r="C2047" s="27" t="n">
        <x:f>INT(B2047)</x:f>
        <x:v>42314</x:v>
      </x:c>
      <x:c r="D2047" s="28" t="n">
        <x:f>MOD(B2047,1)</x:f>
        <x:v>0.4894560185202863</x:v>
      </x:c>
      <x:c r="E2047" s="29" t="n">
        <x:f>YEAR(B2047)</x:f>
        <x:v>2015</x:v>
      </x:c>
      <x:c r="F2047" s="29" t="n">
        <x:f>MONTH(B2047)</x:f>
        <x:v>11</x:v>
      </x:c>
      <x:c r="G2047" s="30" t="n">
        <x:v>-19.99</x:v>
      </x:c>
      <x:c r="H2047" s="30" t="n">
        <x:v>-68.95</x:v>
      </x:c>
      <x:c r="I2047" s="29" t="n">
        <x:v>106</x:v>
      </x:c>
      <x:c r="J2047" s="31" t="n">
        <x:v>4.6</x:v>
      </x:c>
      <x:c r="K2047" s="25" t="str">
        <x:f>IF(J2047&gt;=7,"Muy fuerte (&gt;=7)",IF(J2047&gt;=6,"Fuerte (6-6.9)",IF(J2047&gt;=5,"Moderado alto (5-5.9)",IF(J2047&gt;=4,"Moderado (4-4.9)","Menor a 4"))))</x:f>
        <x:v>Moderado (4-4.9)</x:v>
      </x:c>
      <x:c r="L2047" s="25" t="str">
        <x:f>IF(I2047&lt;70,"Superficial (&lt;70 km)",IF(I2047&lt;=300,"Intermedio (70-300 km)","Profundo (&gt;300 km)"))</x:f>
        <x:v>Intermedio (70-300 km)</x:v>
      </x:c>
      <x:c r="M2047" s="25" t="str">
        <x:f>IF(J2047&gt;=5,"Sí","No")</x:f>
        <x:v>No</x:v>
      </x:c>
      <x:c r="N2047" s="25" t="str">
        <x:f>IF(J2047&gt;=6,"Sí","No")</x:f>
        <x:v>No</x:v>
      </x:c>
      <x:c r="O2047" s="25" t="str">
        <x:v>Pendiente: asignar con R/sf</x:v>
      </x:c>
    </x:row>
    <x:row r="2048">
      <x:c r="A2048" s="25" t="n">
        <x:v>2047</x:v>
      </x:c>
      <x:c r="B2048" s="26" t="n">
        <x:v>42304.77255787037</x:v>
      </x:c>
      <x:c r="C2048" s="27" t="n">
        <x:f>INT(B2048)</x:f>
        <x:v>42304</x:v>
      </x:c>
      <x:c r="D2048" s="28" t="n">
        <x:f>MOD(B2048,1)</x:f>
        <x:v>0.7725578703684732</x:v>
      </x:c>
      <x:c r="E2048" s="29" t="n">
        <x:f>YEAR(B2048)</x:f>
        <x:v>2015</x:v>
      </x:c>
      <x:c r="F2048" s="29" t="n">
        <x:f>MONTH(B2048)</x:f>
        <x:v>10</x:v>
      </x:c>
      <x:c r="G2048" s="30" t="n">
        <x:v>-32.77</x:v>
      </x:c>
      <x:c r="H2048" s="30" t="n">
        <x:v>-71.75</x:v>
      </x:c>
      <x:c r="I2048" s="29" t="n">
        <x:v>38</x:v>
      </x:c>
      <x:c r="J2048" s="31" t="n">
        <x:v>4.1</x:v>
      </x:c>
      <x:c r="K2048" s="25" t="str">
        <x:f>IF(J2048&gt;=7,"Muy fuerte (&gt;=7)",IF(J2048&gt;=6,"Fuerte (6-6.9)",IF(J2048&gt;=5,"Moderado alto (5-5.9)",IF(J2048&gt;=4,"Moderado (4-4.9)","Menor a 4"))))</x:f>
        <x:v>Moderado (4-4.9)</x:v>
      </x:c>
      <x:c r="L2048" s="25" t="str">
        <x:f>IF(I2048&lt;70,"Superficial (&lt;70 km)",IF(I2048&lt;=300,"Intermedio (70-300 km)","Profundo (&gt;300 km)"))</x:f>
        <x:v>Superficial (&lt;70 km)</x:v>
      </x:c>
      <x:c r="M2048" s="25" t="str">
        <x:f>IF(J2048&gt;=5,"Sí","No")</x:f>
        <x:v>No</x:v>
      </x:c>
      <x:c r="N2048" s="25" t="str">
        <x:f>IF(J2048&gt;=6,"Sí","No")</x:f>
        <x:v>No</x:v>
      </x:c>
      <x:c r="O2048" s="25" t="str">
        <x:v>Pendiente: asignar con R/sf</x:v>
      </x:c>
    </x:row>
    <x:row r="2049">
      <x:c r="A2049" s="25" t="n">
        <x:v>2048</x:v>
      </x:c>
      <x:c r="B2049" s="26" t="n">
        <x:v>42264.33337962963</x:v>
      </x:c>
      <x:c r="C2049" s="27" t="n">
        <x:f>INT(B2049)</x:f>
        <x:v>42264</x:v>
      </x:c>
      <x:c r="D2049" s="28" t="n">
        <x:f>MOD(B2049,1)</x:f>
        <x:v>0.33337962962832535</x:v>
      </x:c>
      <x:c r="E2049" s="29" t="n">
        <x:f>YEAR(B2049)</x:f>
        <x:v>2015</x:v>
      </x:c>
      <x:c r="F2049" s="29" t="n">
        <x:f>MONTH(B2049)</x:f>
        <x:v>9</x:v>
      </x:c>
      <x:c r="G2049" s="30" t="n">
        <x:v>-30.68</x:v>
      </x:c>
      <x:c r="H2049" s="30" t="n">
        <x:v>-71.39</x:v>
      </x:c>
      <x:c r="I2049" s="29" t="n">
        <x:v>46</x:v>
      </x:c>
      <x:c r="J2049" s="31" t="n">
        <x:v>4.6</x:v>
      </x:c>
      <x:c r="K2049" s="25" t="str">
        <x:f>IF(J2049&gt;=7,"Muy fuerte (&gt;=7)",IF(J2049&gt;=6,"Fuerte (6-6.9)",IF(J2049&gt;=5,"Moderado alto (5-5.9)",IF(J2049&gt;=4,"Moderado (4-4.9)","Menor a 4"))))</x:f>
        <x:v>Moderado (4-4.9)</x:v>
      </x:c>
      <x:c r="L2049" s="25" t="str">
        <x:f>IF(I2049&lt;70,"Superficial (&lt;70 km)",IF(I2049&lt;=300,"Intermedio (70-300 km)","Profundo (&gt;300 km)"))</x:f>
        <x:v>Superficial (&lt;70 km)</x:v>
      </x:c>
      <x:c r="M2049" s="25" t="str">
        <x:f>IF(J2049&gt;=5,"Sí","No")</x:f>
        <x:v>No</x:v>
      </x:c>
      <x:c r="N2049" s="25" t="str">
        <x:f>IF(J2049&gt;=6,"Sí","No")</x:f>
        <x:v>No</x:v>
      </x:c>
      <x:c r="O2049" s="25" t="str">
        <x:v>Pendiente: asignar con R/sf</x:v>
      </x:c>
    </x:row>
    <x:row r="2050">
      <x:c r="A2050" s="25" t="n">
        <x:v>2049</x:v>
      </x:c>
      <x:c r="B2050" s="26" t="n">
        <x:v>42157.439409722225</x:v>
      </x:c>
      <x:c r="C2050" s="27" t="n">
        <x:f>INT(B2050)</x:f>
        <x:v>42157</x:v>
      </x:c>
      <x:c r="D2050" s="28" t="n">
        <x:f>MOD(B2050,1)</x:f>
        <x:v>0.43940972222480923</x:v>
      </x:c>
      <x:c r="E2050" s="29" t="n">
        <x:f>YEAR(B2050)</x:f>
        <x:v>2015</x:v>
      </x:c>
      <x:c r="F2050" s="29" t="n">
        <x:f>MONTH(B2050)</x:f>
        <x:v>6</x:v>
      </x:c>
      <x:c r="G2050" s="30" t="n">
        <x:v>-33.91</x:v>
      </x:c>
      <x:c r="H2050" s="30" t="n">
        <x:v>-72.51</x:v>
      </x:c>
      <x:c r="I2050" s="29" t="n">
        <x:v>36</x:v>
      </x:c>
      <x:c r="J2050" s="31" t="n">
        <x:v>5</x:v>
      </x:c>
      <x:c r="K2050" s="25" t="str">
        <x:f>IF(J2050&gt;=7,"Muy fuerte (&gt;=7)",IF(J2050&gt;=6,"Fuerte (6-6.9)",IF(J2050&gt;=5,"Moderado alto (5-5.9)",IF(J2050&gt;=4,"Moderado (4-4.9)","Menor a 4"))))</x:f>
        <x:v>Moderado alto (5-5.9)</x:v>
      </x:c>
      <x:c r="L2050" s="25" t="str">
        <x:f>IF(I2050&lt;70,"Superficial (&lt;70 km)",IF(I2050&lt;=300,"Intermedio (70-300 km)","Profundo (&gt;300 km)"))</x:f>
        <x:v>Superficial (&lt;70 km)</x:v>
      </x:c>
      <x:c r="M2050" s="25" t="str">
        <x:f>IF(J2050&gt;=5,"Sí","No")</x:f>
        <x:v>Sí</x:v>
      </x:c>
      <x:c r="N2050" s="25" t="str">
        <x:f>IF(J2050&gt;=6,"Sí","No")</x:f>
        <x:v>No</x:v>
      </x:c>
      <x:c r="O2050" s="25" t="str">
        <x:v>Pendiente: asignar con R/sf</x:v>
      </x:c>
    </x:row>
    <x:row r="2051">
      <x:c r="A2051" s="25" t="n">
        <x:v>2050</x:v>
      </x:c>
      <x:c r="B2051" s="26" t="n">
        <x:v>42366.608877314815</x:v>
      </x:c>
      <x:c r="C2051" s="27" t="n">
        <x:f>INT(B2051)</x:f>
        <x:v>42366</x:v>
      </x:c>
      <x:c r="D2051" s="28" t="n">
        <x:f>MOD(B2051,1)</x:f>
        <x:v>0.6088773148148903</x:v>
      </x:c>
      <x:c r="E2051" s="29" t="n">
        <x:f>YEAR(B2051)</x:f>
        <x:v>2015</x:v>
      </x:c>
      <x:c r="F2051" s="29" t="n">
        <x:f>MONTH(B2051)</x:f>
        <x:v>12</x:v>
      </x:c>
      <x:c r="G2051" s="30" t="n">
        <x:v>-29.33</x:v>
      </x:c>
      <x:c r="H2051" s="30" t="n">
        <x:v>-71.88</x:v>
      </x:c>
      <x:c r="I2051" s="29" t="n">
        <x:v>35</x:v>
      </x:c>
      <x:c r="J2051" s="31" t="n">
        <x:v>4.4</x:v>
      </x:c>
      <x:c r="K2051" s="25" t="str">
        <x:f>IF(J2051&gt;=7,"Muy fuerte (&gt;=7)",IF(J2051&gt;=6,"Fuerte (6-6.9)",IF(J2051&gt;=5,"Moderado alto (5-5.9)",IF(J2051&gt;=4,"Moderado (4-4.9)","Menor a 4"))))</x:f>
        <x:v>Moderado (4-4.9)</x:v>
      </x:c>
      <x:c r="L2051" s="25" t="str">
        <x:f>IF(I2051&lt;70,"Superficial (&lt;70 km)",IF(I2051&lt;=300,"Intermedio (70-300 km)","Profundo (&gt;300 km)"))</x:f>
        <x:v>Superficial (&lt;70 km)</x:v>
      </x:c>
      <x:c r="M2051" s="25" t="str">
        <x:f>IF(J2051&gt;=5,"Sí","No")</x:f>
        <x:v>No</x:v>
      </x:c>
      <x:c r="N2051" s="25" t="str">
        <x:f>IF(J2051&gt;=6,"Sí","No")</x:f>
        <x:v>No</x:v>
      </x:c>
      <x:c r="O2051" s="25" t="str">
        <x:v>Pendiente: asignar con R/sf</x:v>
      </x:c>
    </x:row>
    <x:row r="2052">
      <x:c r="A2052" s="25" t="n">
        <x:v>2051</x:v>
      </x:c>
      <x:c r="B2052" s="26" t="n">
        <x:v>42305.17508101852</x:v>
      </x:c>
      <x:c r="C2052" s="27" t="n">
        <x:f>INT(B2052)</x:f>
        <x:v>42305</x:v>
      </x:c>
      <x:c r="D2052" s="28" t="n">
        <x:f>MOD(B2052,1)</x:f>
        <x:v>0.17508101851854008</x:v>
      </x:c>
      <x:c r="E2052" s="29" t="n">
        <x:f>YEAR(B2052)</x:f>
        <x:v>2015</x:v>
      </x:c>
      <x:c r="F2052" s="29" t="n">
        <x:f>MONTH(B2052)</x:f>
        <x:v>10</x:v>
      </x:c>
      <x:c r="G2052" s="30" t="n">
        <x:v>-30.32</x:v>
      </x:c>
      <x:c r="H2052" s="30" t="n">
        <x:v>-71.51</x:v>
      </x:c>
      <x:c r="I2052" s="29" t="n">
        <x:v>40</x:v>
      </x:c>
      <x:c r="J2052" s="31" t="n">
        <x:v>4.7</x:v>
      </x:c>
      <x:c r="K2052" s="25" t="str">
        <x:f>IF(J2052&gt;=7,"Muy fuerte (&gt;=7)",IF(J2052&gt;=6,"Fuerte (6-6.9)",IF(J2052&gt;=5,"Moderado alto (5-5.9)",IF(J2052&gt;=4,"Moderado (4-4.9)","Menor a 4"))))</x:f>
        <x:v>Moderado (4-4.9)</x:v>
      </x:c>
      <x:c r="L2052" s="25" t="str">
        <x:f>IF(I2052&lt;70,"Superficial (&lt;70 km)",IF(I2052&lt;=300,"Intermedio (70-300 km)","Profundo (&gt;300 km)"))</x:f>
        <x:v>Superficial (&lt;70 km)</x:v>
      </x:c>
      <x:c r="M2052" s="25" t="str">
        <x:f>IF(J2052&gt;=5,"Sí","No")</x:f>
        <x:v>No</x:v>
      </x:c>
      <x:c r="N2052" s="25" t="str">
        <x:f>IF(J2052&gt;=6,"Sí","No")</x:f>
        <x:v>No</x:v>
      </x:c>
      <x:c r="O2052" s="25" t="str">
        <x:v>Pendiente: asignar con R/sf</x:v>
      </x:c>
    </x:row>
    <x:row r="2053">
      <x:c r="A2053" s="25" t="n">
        <x:v>2052</x:v>
      </x:c>
      <x:c r="B2053" s="26" t="n">
        <x:v>42355.28885416667</x:v>
      </x:c>
      <x:c r="C2053" s="27" t="n">
        <x:f>INT(B2053)</x:f>
        <x:v>42355</x:v>
      </x:c>
      <x:c r="D2053" s="28" t="n">
        <x:f>MOD(B2053,1)</x:f>
        <x:v>0.28885416666889796</x:v>
      </x:c>
      <x:c r="E2053" s="29" t="n">
        <x:f>YEAR(B2053)</x:f>
        <x:v>2015</x:v>
      </x:c>
      <x:c r="F2053" s="29" t="n">
        <x:f>MONTH(B2053)</x:f>
        <x:v>12</x:v>
      </x:c>
      <x:c r="G2053" s="30" t="n">
        <x:v>-30.38</x:v>
      </x:c>
      <x:c r="H2053" s="30" t="n">
        <x:v>-71.68</x:v>
      </x:c>
      <x:c r="I2053" s="29" t="n">
        <x:v>25</x:v>
      </x:c>
      <x:c r="J2053" s="31" t="n">
        <x:v>4.5</x:v>
      </x:c>
      <x:c r="K2053" s="25" t="str">
        <x:f>IF(J2053&gt;=7,"Muy fuerte (&gt;=7)",IF(J2053&gt;=6,"Fuerte (6-6.9)",IF(J2053&gt;=5,"Moderado alto (5-5.9)",IF(J2053&gt;=4,"Moderado (4-4.9)","Menor a 4"))))</x:f>
        <x:v>Moderado (4-4.9)</x:v>
      </x:c>
      <x:c r="L2053" s="25" t="str">
        <x:f>IF(I2053&lt;70,"Superficial (&lt;70 km)",IF(I2053&lt;=300,"Intermedio (70-300 km)","Profundo (&gt;300 km)"))</x:f>
        <x:v>Superficial (&lt;70 km)</x:v>
      </x:c>
      <x:c r="M2053" s="25" t="str">
        <x:f>IF(J2053&gt;=5,"Sí","No")</x:f>
        <x:v>No</x:v>
      </x:c>
      <x:c r="N2053" s="25" t="str">
        <x:f>IF(J2053&gt;=6,"Sí","No")</x:f>
        <x:v>No</x:v>
      </x:c>
      <x:c r="O2053" s="25" t="str">
        <x:v>Pendiente: asignar con R/sf</x:v>
      </x:c>
    </x:row>
    <x:row r="2054">
      <x:c r="A2054" s="25" t="n">
        <x:v>2053</x:v>
      </x:c>
      <x:c r="B2054" s="26" t="n">
        <x:v>42362.44604166667</x:v>
      </x:c>
      <x:c r="C2054" s="27" t="n">
        <x:f>INT(B2054)</x:f>
        <x:v>42362</x:v>
      </x:c>
      <x:c r="D2054" s="28" t="n">
        <x:f>MOD(B2054,1)</x:f>
        <x:v>0.4460416666697711</x:v>
      </x:c>
      <x:c r="E2054" s="29" t="n">
        <x:f>YEAR(B2054)</x:f>
        <x:v>2015</x:v>
      </x:c>
      <x:c r="F2054" s="29" t="n">
        <x:f>MONTH(B2054)</x:f>
        <x:v>12</x:v>
      </x:c>
      <x:c r="G2054" s="30" t="n">
        <x:v>-35.45</x:v>
      </x:c>
      <x:c r="H2054" s="30" t="n">
        <x:v>-72.99</x:v>
      </x:c>
      <x:c r="I2054" s="29" t="n">
        <x:v>36</x:v>
      </x:c>
      <x:c r="J2054" s="31" t="n">
        <x:v>4.7</x:v>
      </x:c>
      <x:c r="K2054" s="25" t="str">
        <x:f>IF(J2054&gt;=7,"Muy fuerte (&gt;=7)",IF(J2054&gt;=6,"Fuerte (6-6.9)",IF(J2054&gt;=5,"Moderado alto (5-5.9)",IF(J2054&gt;=4,"Moderado (4-4.9)","Menor a 4"))))</x:f>
        <x:v>Moderado (4-4.9)</x:v>
      </x:c>
      <x:c r="L2054" s="25" t="str">
        <x:f>IF(I2054&lt;70,"Superficial (&lt;70 km)",IF(I2054&lt;=300,"Intermedio (70-300 km)","Profundo (&gt;300 km)"))</x:f>
        <x:v>Superficial (&lt;70 km)</x:v>
      </x:c>
      <x:c r="M2054" s="25" t="str">
        <x:f>IF(J2054&gt;=5,"Sí","No")</x:f>
        <x:v>No</x:v>
      </x:c>
      <x:c r="N2054" s="25" t="str">
        <x:f>IF(J2054&gt;=6,"Sí","No")</x:f>
        <x:v>No</x:v>
      </x:c>
      <x:c r="O2054" s="25" t="str">
        <x:v>Pendiente: asignar con R/sf</x:v>
      </x:c>
    </x:row>
    <x:row r="2055">
      <x:c r="A2055" s="25" t="n">
        <x:v>2054</x:v>
      </x:c>
      <x:c r="B2055" s="26" t="n">
        <x:v>42027.059479166666</x:v>
      </x:c>
      <x:c r="C2055" s="27" t="n">
        <x:f>INT(B2055)</x:f>
        <x:v>42027</x:v>
      </x:c>
      <x:c r="D2055" s="28" t="n">
        <x:f>MOD(B2055,1)</x:f>
        <x:v>0.059479166666278616</x:v>
      </x:c>
      <x:c r="E2055" s="29" t="n">
        <x:f>YEAR(B2055)</x:f>
        <x:v>2015</x:v>
      </x:c>
      <x:c r="F2055" s="29" t="n">
        <x:f>MONTH(B2055)</x:f>
        <x:v>1</x:v>
      </x:c>
      <x:c r="G2055" s="30" t="n">
        <x:v>-29.84</x:v>
      </x:c>
      <x:c r="H2055" s="30" t="n">
        <x:v>-71.46</x:v>
      </x:c>
      <x:c r="I2055" s="29" t="n">
        <x:v>64</x:v>
      </x:c>
      <x:c r="J2055" s="31" t="n">
        <x:v>4.4</x:v>
      </x:c>
      <x:c r="K2055" s="25" t="str">
        <x:f>IF(J2055&gt;=7,"Muy fuerte (&gt;=7)",IF(J2055&gt;=6,"Fuerte (6-6.9)",IF(J2055&gt;=5,"Moderado alto (5-5.9)",IF(J2055&gt;=4,"Moderado (4-4.9)","Menor a 4"))))</x:f>
        <x:v>Moderado (4-4.9)</x:v>
      </x:c>
      <x:c r="L2055" s="25" t="str">
        <x:f>IF(I2055&lt;70,"Superficial (&lt;70 km)",IF(I2055&lt;=300,"Intermedio (70-300 km)","Profundo (&gt;300 km)"))</x:f>
        <x:v>Superficial (&lt;70 km)</x:v>
      </x:c>
      <x:c r="M2055" s="25" t="str">
        <x:f>IF(J2055&gt;=5,"Sí","No")</x:f>
        <x:v>No</x:v>
      </x:c>
      <x:c r="N2055" s="25" t="str">
        <x:f>IF(J2055&gt;=6,"Sí","No")</x:f>
        <x:v>No</x:v>
      </x:c>
      <x:c r="O2055" s="25" t="str">
        <x:v>Pendiente: asignar con R/sf</x:v>
      </x:c>
    </x:row>
    <x:row r="2056">
      <x:c r="A2056" s="25" t="n">
        <x:v>2055</x:v>
      </x:c>
      <x:c r="B2056" s="26" t="n">
        <x:v>42164.526979166665</x:v>
      </x:c>
      <x:c r="C2056" s="27" t="n">
        <x:f>INT(B2056)</x:f>
        <x:v>42164</x:v>
      </x:c>
      <x:c r="D2056" s="28" t="n">
        <x:f>MOD(B2056,1)</x:f>
        <x:v>0.5269791666651145</x:v>
      </x:c>
      <x:c r="E2056" s="29" t="n">
        <x:f>YEAR(B2056)</x:f>
        <x:v>2015</x:v>
      </x:c>
      <x:c r="F2056" s="29" t="n">
        <x:f>MONTH(B2056)</x:f>
        <x:v>6</x:v>
      </x:c>
      <x:c r="G2056" s="30" t="n">
        <x:v>-20.21</x:v>
      </x:c>
      <x:c r="H2056" s="30" t="n">
        <x:v>-70.94</x:v>
      </x:c>
      <x:c r="I2056" s="29" t="n">
        <x:v>31</x:v>
      </x:c>
      <x:c r="J2056" s="31" t="n">
        <x:v>4.5</x:v>
      </x:c>
      <x:c r="K2056" s="25" t="str">
        <x:f>IF(J2056&gt;=7,"Muy fuerte (&gt;=7)",IF(J2056&gt;=6,"Fuerte (6-6.9)",IF(J2056&gt;=5,"Moderado alto (5-5.9)",IF(J2056&gt;=4,"Moderado (4-4.9)","Menor a 4"))))</x:f>
        <x:v>Moderado (4-4.9)</x:v>
      </x:c>
      <x:c r="L2056" s="25" t="str">
        <x:f>IF(I2056&lt;70,"Superficial (&lt;70 km)",IF(I2056&lt;=300,"Intermedio (70-300 km)","Profundo (&gt;300 km)"))</x:f>
        <x:v>Superficial (&lt;70 km)</x:v>
      </x:c>
      <x:c r="M2056" s="25" t="str">
        <x:f>IF(J2056&gt;=5,"Sí","No")</x:f>
        <x:v>No</x:v>
      </x:c>
      <x:c r="N2056" s="25" t="str">
        <x:f>IF(J2056&gt;=6,"Sí","No")</x:f>
        <x:v>No</x:v>
      </x:c>
      <x:c r="O2056" s="25" t="str">
        <x:v>Pendiente: asignar con R/sf</x:v>
      </x:c>
    </x:row>
    <x:row r="2057">
      <x:c r="A2057" s="25" t="n">
        <x:v>2056</x:v>
      </x:c>
      <x:c r="B2057" s="26" t="n">
        <x:v>42350.158483796295</x:v>
      </x:c>
      <x:c r="C2057" s="27" t="n">
        <x:f>INT(B2057)</x:f>
        <x:v>42350</x:v>
      </x:c>
      <x:c r="D2057" s="28" t="n">
        <x:f>MOD(B2057,1)</x:f>
        <x:v>0.15848379629460396</x:v>
      </x:c>
      <x:c r="E2057" s="29" t="n">
        <x:f>YEAR(B2057)</x:f>
        <x:v>2015</x:v>
      </x:c>
      <x:c r="F2057" s="29" t="n">
        <x:f>MONTH(B2057)</x:f>
        <x:v>12</x:v>
      </x:c>
      <x:c r="G2057" s="30" t="n">
        <x:v>-25.54</x:v>
      </x:c>
      <x:c r="H2057" s="30" t="n">
        <x:v>-70.48</x:v>
      </x:c>
      <x:c r="I2057" s="29" t="n">
        <x:v>58</x:v>
      </x:c>
      <x:c r="J2057" s="31" t="n">
        <x:v>4.3</x:v>
      </x:c>
      <x:c r="K2057" s="25" t="str">
        <x:f>IF(J2057&gt;=7,"Muy fuerte (&gt;=7)",IF(J2057&gt;=6,"Fuerte (6-6.9)",IF(J2057&gt;=5,"Moderado alto (5-5.9)",IF(J2057&gt;=4,"Moderado (4-4.9)","Menor a 4"))))</x:f>
        <x:v>Moderado (4-4.9)</x:v>
      </x:c>
      <x:c r="L2057" s="25" t="str">
        <x:f>IF(I2057&lt;70,"Superficial (&lt;70 km)",IF(I2057&lt;=300,"Intermedio (70-300 km)","Profundo (&gt;300 km)"))</x:f>
        <x:v>Superficial (&lt;70 km)</x:v>
      </x:c>
      <x:c r="M2057" s="25" t="str">
        <x:f>IF(J2057&gt;=5,"Sí","No")</x:f>
        <x:v>No</x:v>
      </x:c>
      <x:c r="N2057" s="25" t="str">
        <x:f>IF(J2057&gt;=6,"Sí","No")</x:f>
        <x:v>No</x:v>
      </x:c>
      <x:c r="O2057" s="25" t="str">
        <x:v>Pendiente: asignar con R/sf</x:v>
      </x:c>
    </x:row>
    <x:row r="2058">
      <x:c r="A2058" s="25" t="n">
        <x:v>2057</x:v>
      </x:c>
      <x:c r="B2058" s="26" t="n">
        <x:v>42027.592002314814</x:v>
      </x:c>
      <x:c r="C2058" s="27" t="n">
        <x:f>INT(B2058)</x:f>
        <x:v>42027</x:v>
      </x:c>
      <x:c r="D2058" s="28" t="n">
        <x:f>MOD(B2058,1)</x:f>
        <x:v>0.5920023148137261</x:v>
      </x:c>
      <x:c r="E2058" s="29" t="n">
        <x:f>YEAR(B2058)</x:f>
        <x:v>2015</x:v>
      </x:c>
      <x:c r="F2058" s="29" t="n">
        <x:f>MONTH(B2058)</x:f>
        <x:v>1</x:v>
      </x:c>
      <x:c r="G2058" s="30" t="n">
        <x:v>-18.12</x:v>
      </x:c>
      <x:c r="H2058" s="30" t="n">
        <x:v>-69.47</x:v>
      </x:c>
      <x:c r="I2058" s="29" t="n">
        <x:v>120</x:v>
      </x:c>
      <x:c r="J2058" s="31" t="n">
        <x:v>5</x:v>
      </x:c>
      <x:c r="K2058" s="25" t="str">
        <x:f>IF(J2058&gt;=7,"Muy fuerte (&gt;=7)",IF(J2058&gt;=6,"Fuerte (6-6.9)",IF(J2058&gt;=5,"Moderado alto (5-5.9)",IF(J2058&gt;=4,"Moderado (4-4.9)","Menor a 4"))))</x:f>
        <x:v>Moderado alto (5-5.9)</x:v>
      </x:c>
      <x:c r="L2058" s="25" t="str">
        <x:f>IF(I2058&lt;70,"Superficial (&lt;70 km)",IF(I2058&lt;=300,"Intermedio (70-300 km)","Profundo (&gt;300 km)"))</x:f>
        <x:v>Intermedio (70-300 km)</x:v>
      </x:c>
      <x:c r="M2058" s="25" t="str">
        <x:f>IF(J2058&gt;=5,"Sí","No")</x:f>
        <x:v>Sí</x:v>
      </x:c>
      <x:c r="N2058" s="25" t="str">
        <x:f>IF(J2058&gt;=6,"Sí","No")</x:f>
        <x:v>No</x:v>
      </x:c>
      <x:c r="O2058" s="25" t="str">
        <x:v>Pendiente: asignar con R/sf</x:v>
      </x:c>
    </x:row>
    <x:row r="2059">
      <x:c r="A2059" s="25" t="n">
        <x:v>2058</x:v>
      </x:c>
      <x:c r="B2059" s="26" t="n">
        <x:v>42264.42561342593</x:v>
      </x:c>
      <x:c r="C2059" s="27" t="n">
        <x:f>INT(B2059)</x:f>
        <x:v>42264</x:v>
      </x:c>
      <x:c r="D2059" s="28" t="n">
        <x:f>MOD(B2059,1)</x:f>
        <x:v>0.4256134259267128</x:v>
      </x:c>
      <x:c r="E2059" s="29" t="n">
        <x:f>YEAR(B2059)</x:f>
        <x:v>2015</x:v>
      </x:c>
      <x:c r="F2059" s="29" t="n">
        <x:f>MONTH(B2059)</x:f>
        <x:v>9</x:v>
      </x:c>
      <x:c r="G2059" s="30" t="n">
        <x:v>-30.54</x:v>
      </x:c>
      <x:c r="H2059" s="30" t="n">
        <x:v>-71.63</x:v>
      </x:c>
      <x:c r="I2059" s="29" t="n">
        <x:v>30</x:v>
      </x:c>
      <x:c r="J2059" s="31" t="n">
        <x:v>5.3</x:v>
      </x:c>
      <x:c r="K2059" s="25" t="str">
        <x:f>IF(J2059&gt;=7,"Muy fuerte (&gt;=7)",IF(J2059&gt;=6,"Fuerte (6-6.9)",IF(J2059&gt;=5,"Moderado alto (5-5.9)",IF(J2059&gt;=4,"Moderado (4-4.9)","Menor a 4"))))</x:f>
        <x:v>Moderado alto (5-5.9)</x:v>
      </x:c>
      <x:c r="L2059" s="25" t="str">
        <x:f>IF(I2059&lt;70,"Superficial (&lt;70 km)",IF(I2059&lt;=300,"Intermedio (70-300 km)","Profundo (&gt;300 km)"))</x:f>
        <x:v>Superficial (&lt;70 km)</x:v>
      </x:c>
      <x:c r="M2059" s="25" t="str">
        <x:f>IF(J2059&gt;=5,"Sí","No")</x:f>
        <x:v>Sí</x:v>
      </x:c>
      <x:c r="N2059" s="25" t="str">
        <x:f>IF(J2059&gt;=6,"Sí","No")</x:f>
        <x:v>No</x:v>
      </x:c>
      <x:c r="O2059" s="25" t="str">
        <x:v>Pendiente: asignar con R/sf</x:v>
      </x:c>
    </x:row>
    <x:row r="2060">
      <x:c r="A2060" s="25" t="n">
        <x:v>2059</x:v>
      </x:c>
      <x:c r="B2060" s="26" t="n">
        <x:v>42278.69994212963</x:v>
      </x:c>
      <x:c r="C2060" s="27" t="n">
        <x:f>INT(B2060)</x:f>
        <x:v>42278</x:v>
      </x:c>
      <x:c r="D2060" s="28" t="n">
        <x:f>MOD(B2060,1)</x:f>
        <x:v>0.6999421296277433</x:v>
      </x:c>
      <x:c r="E2060" s="29" t="n">
        <x:f>YEAR(B2060)</x:f>
        <x:v>2015</x:v>
      </x:c>
      <x:c r="F2060" s="29" t="n">
        <x:f>MONTH(B2060)</x:f>
        <x:v>10</x:v>
      </x:c>
      <x:c r="G2060" s="30" t="n">
        <x:v>-32.86</x:v>
      </x:c>
      <x:c r="H2060" s="30" t="n">
        <x:v>-72.03</x:v>
      </x:c>
      <x:c r="I2060" s="29" t="n">
        <x:v>29</x:v>
      </x:c>
      <x:c r="J2060" s="31" t="n">
        <x:v>4.4</x:v>
      </x:c>
      <x:c r="K2060" s="25" t="str">
        <x:f>IF(J2060&gt;=7,"Muy fuerte (&gt;=7)",IF(J2060&gt;=6,"Fuerte (6-6.9)",IF(J2060&gt;=5,"Moderado alto (5-5.9)",IF(J2060&gt;=4,"Moderado (4-4.9)","Menor a 4"))))</x:f>
        <x:v>Moderado (4-4.9)</x:v>
      </x:c>
      <x:c r="L2060" s="25" t="str">
        <x:f>IF(I2060&lt;70,"Superficial (&lt;70 km)",IF(I2060&lt;=300,"Intermedio (70-300 km)","Profundo (&gt;300 km)"))</x:f>
        <x:v>Superficial (&lt;70 km)</x:v>
      </x:c>
      <x:c r="M2060" s="25" t="str">
        <x:f>IF(J2060&gt;=5,"Sí","No")</x:f>
        <x:v>No</x:v>
      </x:c>
      <x:c r="N2060" s="25" t="str">
        <x:f>IF(J2060&gt;=6,"Sí","No")</x:f>
        <x:v>No</x:v>
      </x:c>
      <x:c r="O2060" s="25" t="str">
        <x:v>Pendiente: asignar con R/sf</x:v>
      </x:c>
    </x:row>
    <x:row r="2061">
      <x:c r="A2061" s="25" t="n">
        <x:v>2060</x:v>
      </x:c>
      <x:c r="B2061" s="26" t="n">
        <x:v>42278.58017361111</x:v>
      </x:c>
      <x:c r="C2061" s="27" t="n">
        <x:f>INT(B2061)</x:f>
        <x:v>42278</x:v>
      </x:c>
      <x:c r="D2061" s="28" t="n">
        <x:f>MOD(B2061,1)</x:f>
        <x:v>0.5801736111097853</x:v>
      </x:c>
      <x:c r="E2061" s="29" t="n">
        <x:f>YEAR(B2061)</x:f>
        <x:v>2015</x:v>
      </x:c>
      <x:c r="F2061" s="29" t="n">
        <x:f>MONTH(B2061)</x:f>
        <x:v>10</x:v>
      </x:c>
      <x:c r="G2061" s="30" t="n">
        <x:v>-32.63</x:v>
      </x:c>
      <x:c r="H2061" s="30" t="n">
        <x:v>-71.57</x:v>
      </x:c>
      <x:c r="I2061" s="29" t="n">
        <x:v>22</x:v>
      </x:c>
      <x:c r="J2061" s="31" t="n">
        <x:v>4</x:v>
      </x:c>
      <x:c r="K2061" s="25" t="str">
        <x:f>IF(J2061&gt;=7,"Muy fuerte (&gt;=7)",IF(J2061&gt;=6,"Fuerte (6-6.9)",IF(J2061&gt;=5,"Moderado alto (5-5.9)",IF(J2061&gt;=4,"Moderado (4-4.9)","Menor a 4"))))</x:f>
        <x:v>Moderado (4-4.9)</x:v>
      </x:c>
      <x:c r="L2061" s="25" t="str">
        <x:f>IF(I2061&lt;70,"Superficial (&lt;70 km)",IF(I2061&lt;=300,"Intermedio (70-300 km)","Profundo (&gt;300 km)"))</x:f>
        <x:v>Superficial (&lt;70 km)</x:v>
      </x:c>
      <x:c r="M2061" s="25" t="str">
        <x:f>IF(J2061&gt;=5,"Sí","No")</x:f>
        <x:v>No</x:v>
      </x:c>
      <x:c r="N2061" s="25" t="str">
        <x:f>IF(J2061&gt;=6,"Sí","No")</x:f>
        <x:v>No</x:v>
      </x:c>
      <x:c r="O2061" s="25" t="str">
        <x:v>Pendiente: asignar con R/sf</x:v>
      </x:c>
    </x:row>
    <x:row r="2062">
      <x:c r="A2062" s="25" t="n">
        <x:v>2061</x:v>
      </x:c>
      <x:c r="B2062" s="26" t="n">
        <x:v>42305.38055555556</x:v>
      </x:c>
      <x:c r="C2062" s="27" t="n">
        <x:f>INT(B2062)</x:f>
        <x:v>42305</x:v>
      </x:c>
      <x:c r="D2062" s="28" t="n">
        <x:f>MOD(B2062,1)</x:f>
        <x:v>0.3805555555591127</x:v>
      </x:c>
      <x:c r="E2062" s="29" t="n">
        <x:f>YEAR(B2062)</x:f>
        <x:v>2015</x:v>
      </x:c>
      <x:c r="F2062" s="29" t="n">
        <x:f>MONTH(B2062)</x:f>
        <x:v>10</x:v>
      </x:c>
      <x:c r="G2062" s="30" t="n">
        <x:v>-23.15</x:v>
      </x:c>
      <x:c r="H2062" s="30" t="n">
        <x:v>-70.61</x:v>
      </x:c>
      <x:c r="I2062" s="29" t="n">
        <x:v>31</x:v>
      </x:c>
      <x:c r="J2062" s="31" t="n">
        <x:v>4.5</x:v>
      </x:c>
      <x:c r="K2062" s="25" t="str">
        <x:f>IF(J2062&gt;=7,"Muy fuerte (&gt;=7)",IF(J2062&gt;=6,"Fuerte (6-6.9)",IF(J2062&gt;=5,"Moderado alto (5-5.9)",IF(J2062&gt;=4,"Moderado (4-4.9)","Menor a 4"))))</x:f>
        <x:v>Moderado (4-4.9)</x:v>
      </x:c>
      <x:c r="L2062" s="25" t="str">
        <x:f>IF(I2062&lt;70,"Superficial (&lt;70 km)",IF(I2062&lt;=300,"Intermedio (70-300 km)","Profundo (&gt;300 km)"))</x:f>
        <x:v>Superficial (&lt;70 km)</x:v>
      </x:c>
      <x:c r="M2062" s="25" t="str">
        <x:f>IF(J2062&gt;=5,"Sí","No")</x:f>
        <x:v>No</x:v>
      </x:c>
      <x:c r="N2062" s="25" t="str">
        <x:f>IF(J2062&gt;=6,"Sí","No")</x:f>
        <x:v>No</x:v>
      </x:c>
      <x:c r="O2062" s="25" t="str">
        <x:v>Pendiente: asignar con R/sf</x:v>
      </x:c>
    </x:row>
    <x:row r="2063">
      <x:c r="A2063" s="25" t="n">
        <x:v>2062</x:v>
      </x:c>
      <x:c r="B2063" s="26" t="n">
        <x:v>42297.906539351854</x:v>
      </x:c>
      <x:c r="C2063" s="27" t="n">
        <x:f>INT(B2063)</x:f>
        <x:v>42297</x:v>
      </x:c>
      <x:c r="D2063" s="28" t="n">
        <x:f>MOD(B2063,1)</x:f>
        <x:v>0.9065393518540077</x:v>
      </x:c>
      <x:c r="E2063" s="29" t="n">
        <x:f>YEAR(B2063)</x:f>
        <x:v>2015</x:v>
      </x:c>
      <x:c r="F2063" s="29" t="n">
        <x:f>MONTH(B2063)</x:f>
        <x:v>10</x:v>
      </x:c>
      <x:c r="G2063" s="30" t="n">
        <x:v>-30.4</x:v>
      </x:c>
      <x:c r="H2063" s="30" t="n">
        <x:v>-71.6</x:v>
      </x:c>
      <x:c r="I2063" s="29" t="n">
        <x:v>17</x:v>
      </x:c>
      <x:c r="J2063" s="31" t="n">
        <x:v>4.5</x:v>
      </x:c>
      <x:c r="K2063" s="25" t="str">
        <x:f>IF(J2063&gt;=7,"Muy fuerte (&gt;=7)",IF(J2063&gt;=6,"Fuerte (6-6.9)",IF(J2063&gt;=5,"Moderado alto (5-5.9)",IF(J2063&gt;=4,"Moderado (4-4.9)","Menor a 4"))))</x:f>
        <x:v>Moderado (4-4.9)</x:v>
      </x:c>
      <x:c r="L2063" s="25" t="str">
        <x:f>IF(I2063&lt;70,"Superficial (&lt;70 km)",IF(I2063&lt;=300,"Intermedio (70-300 km)","Profundo (&gt;300 km)"))</x:f>
        <x:v>Superficial (&lt;70 km)</x:v>
      </x:c>
      <x:c r="M2063" s="25" t="str">
        <x:f>IF(J2063&gt;=5,"Sí","No")</x:f>
        <x:v>No</x:v>
      </x:c>
      <x:c r="N2063" s="25" t="str">
        <x:f>IF(J2063&gt;=6,"Sí","No")</x:f>
        <x:v>No</x:v>
      </x:c>
      <x:c r="O2063" s="25" t="str">
        <x:v>Pendiente: asignar con R/sf</x:v>
      </x:c>
    </x:row>
    <x:row r="2064">
      <x:c r="A2064" s="25" t="n">
        <x:v>2063</x:v>
      </x:c>
      <x:c r="B2064" s="26" t="n">
        <x:v>42145.252754629626</x:v>
      </x:c>
      <x:c r="C2064" s="27" t="n">
        <x:f>INT(B2064)</x:f>
        <x:v>42145</x:v>
      </x:c>
      <x:c r="D2064" s="28" t="n">
        <x:f>MOD(B2064,1)</x:f>
        <x:v>0.25275462962599704</x:v>
      </x:c>
      <x:c r="E2064" s="29" t="n">
        <x:f>YEAR(B2064)</x:f>
        <x:v>2015</x:v>
      </x:c>
      <x:c r="F2064" s="29" t="n">
        <x:f>MONTH(B2064)</x:f>
        <x:v>5</x:v>
      </x:c>
      <x:c r="G2064" s="30" t="n">
        <x:v>-32.07</x:v>
      </x:c>
      <x:c r="H2064" s="30" t="n">
        <x:v>-70.27</x:v>
      </x:c>
      <x:c r="I2064" s="29" t="n">
        <x:v>115</x:v>
      </x:c>
      <x:c r="J2064" s="31" t="n">
        <x:v>4.7</x:v>
      </x:c>
      <x:c r="K2064" s="25" t="str">
        <x:f>IF(J2064&gt;=7,"Muy fuerte (&gt;=7)",IF(J2064&gt;=6,"Fuerte (6-6.9)",IF(J2064&gt;=5,"Moderado alto (5-5.9)",IF(J2064&gt;=4,"Moderado (4-4.9)","Menor a 4"))))</x:f>
        <x:v>Moderado (4-4.9)</x:v>
      </x:c>
      <x:c r="L2064" s="25" t="str">
        <x:f>IF(I2064&lt;70,"Superficial (&lt;70 km)",IF(I2064&lt;=300,"Intermedio (70-300 km)","Profundo (&gt;300 km)"))</x:f>
        <x:v>Intermedio (70-300 km)</x:v>
      </x:c>
      <x:c r="M2064" s="25" t="str">
        <x:f>IF(J2064&gt;=5,"Sí","No")</x:f>
        <x:v>No</x:v>
      </x:c>
      <x:c r="N2064" s="25" t="str">
        <x:f>IF(J2064&gt;=6,"Sí","No")</x:f>
        <x:v>No</x:v>
      </x:c>
      <x:c r="O2064" s="25" t="str">
        <x:v>Pendiente: asignar con R/sf</x:v>
      </x:c>
    </x:row>
    <x:row r="2065">
      <x:c r="A2065" s="25" t="n">
        <x:v>2064</x:v>
      </x:c>
      <x:c r="B2065" s="26" t="n">
        <x:v>42138.63060185185</x:v>
      </x:c>
      <x:c r="C2065" s="27" t="n">
        <x:f>INT(B2065)</x:f>
        <x:v>42138</x:v>
      </x:c>
      <x:c r="D2065" s="28" t="n">
        <x:f>MOD(B2065,1)</x:f>
        <x:v>0.6306018518516794</x:v>
      </x:c>
      <x:c r="E2065" s="29" t="n">
        <x:f>YEAR(B2065)</x:f>
        <x:v>2015</x:v>
      </x:c>
      <x:c r="F2065" s="29" t="n">
        <x:f>MONTH(B2065)</x:f>
        <x:v>5</x:v>
      </x:c>
      <x:c r="G2065" s="30" t="n">
        <x:v>-28.79</x:v>
      </x:c>
      <x:c r="H2065" s="30" t="n">
        <x:v>-71.46</x:v>
      </x:c>
      <x:c r="I2065" s="29" t="n">
        <x:v>52</x:v>
      </x:c>
      <x:c r="J2065" s="31" t="n">
        <x:v>5.3</x:v>
      </x:c>
      <x:c r="K2065" s="25" t="str">
        <x:f>IF(J2065&gt;=7,"Muy fuerte (&gt;=7)",IF(J2065&gt;=6,"Fuerte (6-6.9)",IF(J2065&gt;=5,"Moderado alto (5-5.9)",IF(J2065&gt;=4,"Moderado (4-4.9)","Menor a 4"))))</x:f>
        <x:v>Moderado alto (5-5.9)</x:v>
      </x:c>
      <x:c r="L2065" s="25" t="str">
        <x:f>IF(I2065&lt;70,"Superficial (&lt;70 km)",IF(I2065&lt;=300,"Intermedio (70-300 km)","Profundo (&gt;300 km)"))</x:f>
        <x:v>Superficial (&lt;70 km)</x:v>
      </x:c>
      <x:c r="M2065" s="25" t="str">
        <x:f>IF(J2065&gt;=5,"Sí","No")</x:f>
        <x:v>Sí</x:v>
      </x:c>
      <x:c r="N2065" s="25" t="str">
        <x:f>IF(J2065&gt;=6,"Sí","No")</x:f>
        <x:v>No</x:v>
      </x:c>
      <x:c r="O2065" s="25" t="str">
        <x:v>Pendiente: asignar con R/sf</x:v>
      </x:c>
    </x:row>
    <x:row r="2066">
      <x:c r="A2066" s="25" t="n">
        <x:v>2065</x:v>
      </x:c>
      <x:c r="B2066" s="26" t="n">
        <x:v>42026.677511574075</x:v>
      </x:c>
      <x:c r="C2066" s="27" t="n">
        <x:f>INT(B2066)</x:f>
        <x:v>42026</x:v>
      </x:c>
      <x:c r="D2066" s="28" t="n">
        <x:f>MOD(B2066,1)</x:f>
        <x:v>0.6775115740747424</x:v>
      </x:c>
      <x:c r="E2066" s="29" t="n">
        <x:f>YEAR(B2066)</x:f>
        <x:v>2015</x:v>
      </x:c>
      <x:c r="F2066" s="29" t="n">
        <x:f>MONTH(B2066)</x:f>
        <x:v>1</x:v>
      </x:c>
      <x:c r="G2066" s="30" t="n">
        <x:v>-22.99</x:v>
      </x:c>
      <x:c r="H2066" s="30" t="n">
        <x:v>-70.22</x:v>
      </x:c>
      <x:c r="I2066" s="29" t="n">
        <x:v>48</x:v>
      </x:c>
      <x:c r="J2066" s="31" t="n">
        <x:v>4.5</x:v>
      </x:c>
      <x:c r="K2066" s="25" t="str">
        <x:f>IF(J2066&gt;=7,"Muy fuerte (&gt;=7)",IF(J2066&gt;=6,"Fuerte (6-6.9)",IF(J2066&gt;=5,"Moderado alto (5-5.9)",IF(J2066&gt;=4,"Moderado (4-4.9)","Menor a 4"))))</x:f>
        <x:v>Moderado (4-4.9)</x:v>
      </x:c>
      <x:c r="L2066" s="25" t="str">
        <x:f>IF(I2066&lt;70,"Superficial (&lt;70 km)",IF(I2066&lt;=300,"Intermedio (70-300 km)","Profundo (&gt;300 km)"))</x:f>
        <x:v>Superficial (&lt;70 km)</x:v>
      </x:c>
      <x:c r="M2066" s="25" t="str">
        <x:f>IF(J2066&gt;=5,"Sí","No")</x:f>
        <x:v>No</x:v>
      </x:c>
      <x:c r="N2066" s="25" t="str">
        <x:f>IF(J2066&gt;=6,"Sí","No")</x:f>
        <x:v>No</x:v>
      </x:c>
      <x:c r="O2066" s="25" t="str">
        <x:v>Pendiente: asignar con R/sf</x:v>
      </x:c>
    </x:row>
    <x:row r="2067">
      <x:c r="A2067" s="25" t="n">
        <x:v>2066</x:v>
      </x:c>
      <x:c r="B2067" s="26" t="n">
        <x:v>42075.410219907404</x:v>
      </x:c>
      <x:c r="C2067" s="27" t="n">
        <x:f>INT(B2067)</x:f>
        <x:v>42075</x:v>
      </x:c>
      <x:c r="D2067" s="28" t="n">
        <x:f>MOD(B2067,1)</x:f>
        <x:v>0.4102199074040982</x:v>
      </x:c>
      <x:c r="E2067" s="29" t="n">
        <x:f>YEAR(B2067)</x:f>
        <x:v>2015</x:v>
      </x:c>
      <x:c r="F2067" s="29" t="n">
        <x:f>MONTH(B2067)</x:f>
        <x:v>3</x:v>
      </x:c>
      <x:c r="G2067" s="30" t="n">
        <x:v>-36.17</x:v>
      </x:c>
      <x:c r="H2067" s="30" t="n">
        <x:v>-73.09</x:v>
      </x:c>
      <x:c r="I2067" s="29" t="n">
        <x:v>14</x:v>
      </x:c>
      <x:c r="J2067" s="31" t="n">
        <x:v>4.6</x:v>
      </x:c>
      <x:c r="K2067" s="25" t="str">
        <x:f>IF(J2067&gt;=7,"Muy fuerte (&gt;=7)",IF(J2067&gt;=6,"Fuerte (6-6.9)",IF(J2067&gt;=5,"Moderado alto (5-5.9)",IF(J2067&gt;=4,"Moderado (4-4.9)","Menor a 4"))))</x:f>
        <x:v>Moderado (4-4.9)</x:v>
      </x:c>
      <x:c r="L2067" s="25" t="str">
        <x:f>IF(I2067&lt;70,"Superficial (&lt;70 km)",IF(I2067&lt;=300,"Intermedio (70-300 km)","Profundo (&gt;300 km)"))</x:f>
        <x:v>Superficial (&lt;70 km)</x:v>
      </x:c>
      <x:c r="M2067" s="25" t="str">
        <x:f>IF(J2067&gt;=5,"Sí","No")</x:f>
        <x:v>No</x:v>
      </x:c>
      <x:c r="N2067" s="25" t="str">
        <x:f>IF(J2067&gt;=6,"Sí","No")</x:f>
        <x:v>No</x:v>
      </x:c>
      <x:c r="O2067" s="25" t="str">
        <x:v>Pendiente: asignar con R/sf</x:v>
      </x:c>
    </x:row>
    <x:row r="2068">
      <x:c r="A2068" s="25" t="n">
        <x:v>2067</x:v>
      </x:c>
      <x:c r="B2068" s="26" t="n">
        <x:v>42155.67256944445</x:v>
      </x:c>
      <x:c r="C2068" s="27" t="n">
        <x:f>INT(B2068)</x:f>
        <x:v>42155</x:v>
      </x:c>
      <x:c r="D2068" s="28" t="n">
        <x:f>MOD(B2068,1)</x:f>
        <x:v>0.6725694444467081</x:v>
      </x:c>
      <x:c r="E2068" s="29" t="n">
        <x:f>YEAR(B2068)</x:f>
        <x:v>2015</x:v>
      </x:c>
      <x:c r="F2068" s="29" t="n">
        <x:f>MONTH(B2068)</x:f>
        <x:v>5</x:v>
      </x:c>
      <x:c r="G2068" s="30" t="n">
        <x:v>-19.91</x:v>
      </x:c>
      <x:c r="H2068" s="30" t="n">
        <x:v>-70.91</x:v>
      </x:c>
      <x:c r="I2068" s="29" t="n">
        <x:v>32</x:v>
      </x:c>
      <x:c r="J2068" s="31" t="n">
        <x:v>4.9</x:v>
      </x:c>
      <x:c r="K2068" s="25" t="str">
        <x:f>IF(J2068&gt;=7,"Muy fuerte (&gt;=7)",IF(J2068&gt;=6,"Fuerte (6-6.9)",IF(J2068&gt;=5,"Moderado alto (5-5.9)",IF(J2068&gt;=4,"Moderado (4-4.9)","Menor a 4"))))</x:f>
        <x:v>Moderado (4-4.9)</x:v>
      </x:c>
      <x:c r="L2068" s="25" t="str">
        <x:f>IF(I2068&lt;70,"Superficial (&lt;70 km)",IF(I2068&lt;=300,"Intermedio (70-300 km)","Profundo (&gt;300 km)"))</x:f>
        <x:v>Superficial (&lt;70 km)</x:v>
      </x:c>
      <x:c r="M2068" s="25" t="str">
        <x:f>IF(J2068&gt;=5,"Sí","No")</x:f>
        <x:v>No</x:v>
      </x:c>
      <x:c r="N2068" s="25" t="str">
        <x:f>IF(J2068&gt;=6,"Sí","No")</x:f>
        <x:v>No</x:v>
      </x:c>
      <x:c r="O2068" s="25" t="str">
        <x:v>Pendiente: asignar con R/sf</x:v>
      </x:c>
    </x:row>
    <x:row r="2069">
      <x:c r="A2069" s="25" t="n">
        <x:v>2068</x:v>
      </x:c>
      <x:c r="B2069" s="26" t="n">
        <x:v>42264.70300925926</x:v>
      </x:c>
      <x:c r="C2069" s="27" t="n">
        <x:f>INT(B2069)</x:f>
        <x:v>42264</x:v>
      </x:c>
      <x:c r="D2069" s="28" t="n">
        <x:f>MOD(B2069,1)</x:f>
        <x:v>0.7030092592613073</x:v>
      </x:c>
      <x:c r="E2069" s="29" t="n">
        <x:f>YEAR(B2069)</x:f>
        <x:v>2015</x:v>
      </x:c>
      <x:c r="F2069" s="29" t="n">
        <x:f>MONTH(B2069)</x:f>
        <x:v>9</x:v>
      </x:c>
      <x:c r="G2069" s="30" t="n">
        <x:v>-29.93</x:v>
      </x:c>
      <x:c r="H2069" s="30" t="n">
        <x:v>-71.96</x:v>
      </x:c>
      <x:c r="I2069" s="29" t="n">
        <x:v>30</x:v>
      </x:c>
      <x:c r="J2069" s="31" t="n">
        <x:v>5.3</x:v>
      </x:c>
      <x:c r="K2069" s="25" t="str">
        <x:f>IF(J2069&gt;=7,"Muy fuerte (&gt;=7)",IF(J2069&gt;=6,"Fuerte (6-6.9)",IF(J2069&gt;=5,"Moderado alto (5-5.9)",IF(J2069&gt;=4,"Moderado (4-4.9)","Menor a 4"))))</x:f>
        <x:v>Moderado alto (5-5.9)</x:v>
      </x:c>
      <x:c r="L2069" s="25" t="str">
        <x:f>IF(I2069&lt;70,"Superficial (&lt;70 km)",IF(I2069&lt;=300,"Intermedio (70-300 km)","Profundo (&gt;300 km)"))</x:f>
        <x:v>Superficial (&lt;70 km)</x:v>
      </x:c>
      <x:c r="M2069" s="25" t="str">
        <x:f>IF(J2069&gt;=5,"Sí","No")</x:f>
        <x:v>Sí</x:v>
      </x:c>
      <x:c r="N2069" s="25" t="str">
        <x:f>IF(J2069&gt;=6,"Sí","No")</x:f>
        <x:v>No</x:v>
      </x:c>
      <x:c r="O2069" s="25" t="str">
        <x:v>Pendiente: asignar con R/sf</x:v>
      </x:c>
    </x:row>
    <x:row r="2070">
      <x:c r="A2070" s="25" t="n">
        <x:v>2069</x:v>
      </x:c>
      <x:c r="B2070" s="26" t="n">
        <x:v>42039.07298611111</x:v>
      </x:c>
      <x:c r="C2070" s="27" t="n">
        <x:f>INT(B2070)</x:f>
        <x:v>42039</x:v>
      </x:c>
      <x:c r="D2070" s="28" t="n">
        <x:f>MOD(B2070,1)</x:f>
        <x:v>0.07298611111036735</x:v>
      </x:c>
      <x:c r="E2070" s="29" t="n">
        <x:f>YEAR(B2070)</x:f>
        <x:v>2015</x:v>
      </x:c>
      <x:c r="F2070" s="29" t="n">
        <x:f>MONTH(B2070)</x:f>
        <x:v>2</x:v>
      </x:c>
      <x:c r="G2070" s="30" t="n">
        <x:v>-29.41</x:v>
      </x:c>
      <x:c r="H2070" s="30" t="n">
        <x:v>-70.63</x:v>
      </x:c>
      <x:c r="I2070" s="29" t="n">
        <x:v>83</x:v>
      </x:c>
      <x:c r="J2070" s="31" t="n">
        <x:v>4.1</x:v>
      </x:c>
      <x:c r="K2070" s="25" t="str">
        <x:f>IF(J2070&gt;=7,"Muy fuerte (&gt;=7)",IF(J2070&gt;=6,"Fuerte (6-6.9)",IF(J2070&gt;=5,"Moderado alto (5-5.9)",IF(J2070&gt;=4,"Moderado (4-4.9)","Menor a 4"))))</x:f>
        <x:v>Moderado (4-4.9)</x:v>
      </x:c>
      <x:c r="L2070" s="25" t="str">
        <x:f>IF(I2070&lt;70,"Superficial (&lt;70 km)",IF(I2070&lt;=300,"Intermedio (70-300 km)","Profundo (&gt;300 km)"))</x:f>
        <x:v>Intermedio (70-300 km)</x:v>
      </x:c>
      <x:c r="M2070" s="25" t="str">
        <x:f>IF(J2070&gt;=5,"Sí","No")</x:f>
        <x:v>No</x:v>
      </x:c>
      <x:c r="N2070" s="25" t="str">
        <x:f>IF(J2070&gt;=6,"Sí","No")</x:f>
        <x:v>No</x:v>
      </x:c>
      <x:c r="O2070" s="25" t="str">
        <x:v>Pendiente: asignar con R/sf</x:v>
      </x:c>
    </x:row>
    <x:row r="2071">
      <x:c r="A2071" s="25" t="n">
        <x:v>2070</x:v>
      </x:c>
      <x:c r="B2071" s="26" t="n">
        <x:v>42291.35806712963</x:v>
      </x:c>
      <x:c r="C2071" s="27" t="n">
        <x:f>INT(B2071)</x:f>
        <x:v>42291</x:v>
      </x:c>
      <x:c r="D2071" s="28" t="n">
        <x:f>MOD(B2071,1)</x:f>
        <x:v>0.3580671296294895</x:v>
      </x:c>
      <x:c r="E2071" s="29" t="n">
        <x:f>YEAR(B2071)</x:f>
        <x:v>2015</x:v>
      </x:c>
      <x:c r="F2071" s="29" t="n">
        <x:f>MONTH(B2071)</x:f>
        <x:v>10</x:v>
      </x:c>
      <x:c r="G2071" s="30" t="n">
        <x:v>-31.26</x:v>
      </x:c>
      <x:c r="H2071" s="30" t="n">
        <x:v>-71.46</x:v>
      </x:c>
      <x:c r="I2071" s="29" t="n">
        <x:v>50</x:v>
      </x:c>
      <x:c r="J2071" s="31" t="n">
        <x:v>4.2</x:v>
      </x:c>
      <x:c r="K2071" s="25" t="str">
        <x:f>IF(J2071&gt;=7,"Muy fuerte (&gt;=7)",IF(J2071&gt;=6,"Fuerte (6-6.9)",IF(J2071&gt;=5,"Moderado alto (5-5.9)",IF(J2071&gt;=4,"Moderado (4-4.9)","Menor a 4"))))</x:f>
        <x:v>Moderado (4-4.9)</x:v>
      </x:c>
      <x:c r="L2071" s="25" t="str">
        <x:f>IF(I2071&lt;70,"Superficial (&lt;70 km)",IF(I2071&lt;=300,"Intermedio (70-300 km)","Profundo (&gt;300 km)"))</x:f>
        <x:v>Superficial (&lt;70 km)</x:v>
      </x:c>
      <x:c r="M2071" s="25" t="str">
        <x:f>IF(J2071&gt;=5,"Sí","No")</x:f>
        <x:v>No</x:v>
      </x:c>
      <x:c r="N2071" s="25" t="str">
        <x:f>IF(J2071&gt;=6,"Sí","No")</x:f>
        <x:v>No</x:v>
      </x:c>
      <x:c r="O2071" s="25" t="str">
        <x:v>Pendiente: asignar con R/sf</x:v>
      </x:c>
    </x:row>
    <x:row r="2072">
      <x:c r="A2072" s="25" t="n">
        <x:v>2071</x:v>
      </x:c>
      <x:c r="B2072" s="26" t="n">
        <x:v>42045.56466435185</x:v>
      </x:c>
      <x:c r="C2072" s="27" t="n">
        <x:f>INT(B2072)</x:f>
        <x:v>42045</x:v>
      </x:c>
      <x:c r="D2072" s="28" t="n">
        <x:f>MOD(B2072,1)</x:f>
        <x:v>0.564664351848478</x:v>
      </x:c>
      <x:c r="E2072" s="29" t="n">
        <x:f>YEAR(B2072)</x:f>
        <x:v>2015</x:v>
      </x:c>
      <x:c r="F2072" s="29" t="n">
        <x:f>MONTH(B2072)</x:f>
        <x:v>2</x:v>
      </x:c>
      <x:c r="G2072" s="30" t="n">
        <x:v>-19.75</x:v>
      </x:c>
      <x:c r="H2072" s="30" t="n">
        <x:v>-69.29</x:v>
      </x:c>
      <x:c r="I2072" s="29" t="n">
        <x:v>98</x:v>
      </x:c>
      <x:c r="J2072" s="31" t="n">
        <x:v>4.1</x:v>
      </x:c>
      <x:c r="K2072" s="25" t="str">
        <x:f>IF(J2072&gt;=7,"Muy fuerte (&gt;=7)",IF(J2072&gt;=6,"Fuerte (6-6.9)",IF(J2072&gt;=5,"Moderado alto (5-5.9)",IF(J2072&gt;=4,"Moderado (4-4.9)","Menor a 4"))))</x:f>
        <x:v>Moderado (4-4.9)</x:v>
      </x:c>
      <x:c r="L2072" s="25" t="str">
        <x:f>IF(I2072&lt;70,"Superficial (&lt;70 km)",IF(I2072&lt;=300,"Intermedio (70-300 km)","Profundo (&gt;300 km)"))</x:f>
        <x:v>Intermedio (70-300 km)</x:v>
      </x:c>
      <x:c r="M2072" s="25" t="str">
        <x:f>IF(J2072&gt;=5,"Sí","No")</x:f>
        <x:v>No</x:v>
      </x:c>
      <x:c r="N2072" s="25" t="str">
        <x:f>IF(J2072&gt;=6,"Sí","No")</x:f>
        <x:v>No</x:v>
      </x:c>
      <x:c r="O2072" s="25" t="str">
        <x:v>Pendiente: asignar con R/sf</x:v>
      </x:c>
    </x:row>
    <x:row r="2073">
      <x:c r="A2073" s="25" t="n">
        <x:v>2072</x:v>
      </x:c>
      <x:c r="B2073" s="26" t="n">
        <x:v>42147.27952546296</x:v>
      </x:c>
      <x:c r="C2073" s="27" t="n">
        <x:f>INT(B2073)</x:f>
        <x:v>42147</x:v>
      </x:c>
      <x:c r="D2073" s="28" t="n">
        <x:f>MOD(B2073,1)</x:f>
        <x:v>0.27952546296000946</x:v>
      </x:c>
      <x:c r="E2073" s="29" t="n">
        <x:f>YEAR(B2073)</x:f>
        <x:v>2015</x:v>
      </x:c>
      <x:c r="F2073" s="29" t="n">
        <x:f>MONTH(B2073)</x:f>
        <x:v>5</x:v>
      </x:c>
      <x:c r="G2073" s="30" t="n">
        <x:v>-20.23</x:v>
      </x:c>
      <x:c r="H2073" s="30" t="n">
        <x:v>-70.86</x:v>
      </x:c>
      <x:c r="I2073" s="29" t="n">
        <x:v>32</x:v>
      </x:c>
      <x:c r="J2073" s="31" t="n">
        <x:v>4.4</x:v>
      </x:c>
      <x:c r="K2073" s="25" t="str">
        <x:f>IF(J2073&gt;=7,"Muy fuerte (&gt;=7)",IF(J2073&gt;=6,"Fuerte (6-6.9)",IF(J2073&gt;=5,"Moderado alto (5-5.9)",IF(J2073&gt;=4,"Moderado (4-4.9)","Menor a 4"))))</x:f>
        <x:v>Moderado (4-4.9)</x:v>
      </x:c>
      <x:c r="L2073" s="25" t="str">
        <x:f>IF(I2073&lt;70,"Superficial (&lt;70 km)",IF(I2073&lt;=300,"Intermedio (70-300 km)","Profundo (&gt;300 km)"))</x:f>
        <x:v>Superficial (&lt;70 km)</x:v>
      </x:c>
      <x:c r="M2073" s="25" t="str">
        <x:f>IF(J2073&gt;=5,"Sí","No")</x:f>
        <x:v>No</x:v>
      </x:c>
      <x:c r="N2073" s="25" t="str">
        <x:f>IF(J2073&gt;=6,"Sí","No")</x:f>
        <x:v>No</x:v>
      </x:c>
      <x:c r="O2073" s="25" t="str">
        <x:v>Pendiente: asignar con R/sf</x:v>
      </x:c>
    </x:row>
    <x:row r="2074">
      <x:c r="A2074" s="25" t="n">
        <x:v>2073</x:v>
      </x:c>
      <x:c r="B2074" s="26" t="n">
        <x:v>42077.66930555556</x:v>
      </x:c>
      <x:c r="C2074" s="27" t="n">
        <x:f>INT(B2074)</x:f>
        <x:v>42077</x:v>
      </x:c>
      <x:c r="D2074" s="28" t="n">
        <x:f>MOD(B2074,1)</x:f>
        <x:v>0.6693055555588217</x:v>
      </x:c>
      <x:c r="E2074" s="29" t="n">
        <x:f>YEAR(B2074)</x:f>
        <x:v>2015</x:v>
      </x:c>
      <x:c r="F2074" s="29" t="n">
        <x:f>MONTH(B2074)</x:f>
        <x:v>3</x:v>
      </x:c>
      <x:c r="G2074" s="30" t="n">
        <x:v>-27.86</x:v>
      </x:c>
      <x:c r="H2074" s="30" t="n">
        <x:v>-70.89</x:v>
      </x:c>
      <x:c r="I2074" s="29" t="n">
        <x:v>47</x:v>
      </x:c>
      <x:c r="J2074" s="31" t="n">
        <x:v>5</x:v>
      </x:c>
      <x:c r="K2074" s="25" t="str">
        <x:f>IF(J2074&gt;=7,"Muy fuerte (&gt;=7)",IF(J2074&gt;=6,"Fuerte (6-6.9)",IF(J2074&gt;=5,"Moderado alto (5-5.9)",IF(J2074&gt;=4,"Moderado (4-4.9)","Menor a 4"))))</x:f>
        <x:v>Moderado alto (5-5.9)</x:v>
      </x:c>
      <x:c r="L2074" s="25" t="str">
        <x:f>IF(I2074&lt;70,"Superficial (&lt;70 km)",IF(I2074&lt;=300,"Intermedio (70-300 km)","Profundo (&gt;300 km)"))</x:f>
        <x:v>Superficial (&lt;70 km)</x:v>
      </x:c>
      <x:c r="M2074" s="25" t="str">
        <x:f>IF(J2074&gt;=5,"Sí","No")</x:f>
        <x:v>Sí</x:v>
      </x:c>
      <x:c r="N2074" s="25" t="str">
        <x:f>IF(J2074&gt;=6,"Sí","No")</x:f>
        <x:v>No</x:v>
      </x:c>
      <x:c r="O2074" s="25" t="str">
        <x:v>Pendiente: asignar con R/sf</x:v>
      </x:c>
    </x:row>
    <x:row r="2075">
      <x:c r="A2075" s="25" t="n">
        <x:v>2074</x:v>
      </x:c>
      <x:c r="B2075" s="26" t="n">
        <x:v>42323.90834490741</x:v>
      </x:c>
      <x:c r="C2075" s="27" t="n">
        <x:f>INT(B2075)</x:f>
        <x:v>42323</x:v>
      </x:c>
      <x:c r="D2075" s="28" t="n">
        <x:f>MOD(B2075,1)</x:f>
        <x:v>0.9083449074096279</x:v>
      </x:c>
      <x:c r="E2075" s="29" t="n">
        <x:f>YEAR(B2075)</x:f>
        <x:v>2015</x:v>
      </x:c>
      <x:c r="F2075" s="29" t="n">
        <x:f>MONTH(B2075)</x:f>
        <x:v>11</x:v>
      </x:c>
      <x:c r="G2075" s="30" t="n">
        <x:v>-22.56</x:v>
      </x:c>
      <x:c r="H2075" s="30" t="n">
        <x:v>-68.91</x:v>
      </x:c>
      <x:c r="I2075" s="29" t="n">
        <x:v>102</x:v>
      </x:c>
      <x:c r="J2075" s="31" t="n">
        <x:v>4.1</x:v>
      </x:c>
      <x:c r="K2075" s="25" t="str">
        <x:f>IF(J2075&gt;=7,"Muy fuerte (&gt;=7)",IF(J2075&gt;=6,"Fuerte (6-6.9)",IF(J2075&gt;=5,"Moderado alto (5-5.9)",IF(J2075&gt;=4,"Moderado (4-4.9)","Menor a 4"))))</x:f>
        <x:v>Moderado (4-4.9)</x:v>
      </x:c>
      <x:c r="L2075" s="25" t="str">
        <x:f>IF(I2075&lt;70,"Superficial (&lt;70 km)",IF(I2075&lt;=300,"Intermedio (70-300 km)","Profundo (&gt;300 km)"))</x:f>
        <x:v>Intermedio (70-300 km)</x:v>
      </x:c>
      <x:c r="M2075" s="25" t="str">
        <x:f>IF(J2075&gt;=5,"Sí","No")</x:f>
        <x:v>No</x:v>
      </x:c>
      <x:c r="N2075" s="25" t="str">
        <x:f>IF(J2075&gt;=6,"Sí","No")</x:f>
        <x:v>No</x:v>
      </x:c>
      <x:c r="O2075" s="25" t="str">
        <x:v>Pendiente: asignar con R/sf</x:v>
      </x:c>
    </x:row>
    <x:row r="2076">
      <x:c r="A2076" s="25" t="n">
        <x:v>2075</x:v>
      </x:c>
      <x:c r="B2076" s="26" t="n">
        <x:v>42266.05758101852</x:v>
      </x:c>
      <x:c r="C2076" s="27" t="n">
        <x:f>INT(B2076)</x:f>
        <x:v>42266</x:v>
      </x:c>
      <x:c r="D2076" s="28" t="n">
        <x:f>MOD(B2076,1)</x:f>
        <x:v>0.05758101851824904</x:v>
      </x:c>
      <x:c r="E2076" s="29" t="n">
        <x:f>YEAR(B2076)</x:f>
        <x:v>2015</x:v>
      </x:c>
      <x:c r="F2076" s="29" t="n">
        <x:f>MONTH(B2076)</x:f>
        <x:v>9</x:v>
      </x:c>
      <x:c r="G2076" s="30" t="n">
        <x:v>-30.79</x:v>
      </x:c>
      <x:c r="H2076" s="30" t="n">
        <x:v>-71.44</x:v>
      </x:c>
      <x:c r="I2076" s="29" t="n">
        <x:v>44</x:v>
      </x:c>
      <x:c r="J2076" s="31" t="n">
        <x:v>4</x:v>
      </x:c>
      <x:c r="K2076" s="25" t="str">
        <x:f>IF(J2076&gt;=7,"Muy fuerte (&gt;=7)",IF(J2076&gt;=6,"Fuerte (6-6.9)",IF(J2076&gt;=5,"Moderado alto (5-5.9)",IF(J2076&gt;=4,"Moderado (4-4.9)","Menor a 4"))))</x:f>
        <x:v>Moderado (4-4.9)</x:v>
      </x:c>
      <x:c r="L2076" s="25" t="str">
        <x:f>IF(I2076&lt;70,"Superficial (&lt;70 km)",IF(I2076&lt;=300,"Intermedio (70-300 km)","Profundo (&gt;300 km)"))</x:f>
        <x:v>Superficial (&lt;70 km)</x:v>
      </x:c>
      <x:c r="M2076" s="25" t="str">
        <x:f>IF(J2076&gt;=5,"Sí","No")</x:f>
        <x:v>No</x:v>
      </x:c>
      <x:c r="N2076" s="25" t="str">
        <x:f>IF(J2076&gt;=6,"Sí","No")</x:f>
        <x:v>No</x:v>
      </x:c>
      <x:c r="O2076" s="25" t="str">
        <x:v>Pendiente: asignar con R/sf</x:v>
      </x:c>
    </x:row>
    <x:row r="2077">
      <x:c r="A2077" s="25" t="n">
        <x:v>2076</x:v>
      </x:c>
      <x:c r="B2077" s="26" t="n">
        <x:v>42355.95574074074</x:v>
      </x:c>
      <x:c r="C2077" s="27" t="n">
        <x:f>INT(B2077)</x:f>
        <x:v>42355</x:v>
      </x:c>
      <x:c r="D2077" s="28" t="n">
        <x:f>MOD(B2077,1)</x:f>
        <x:v>0.955740740741021</x:v>
      </x:c>
      <x:c r="E2077" s="29" t="n">
        <x:f>YEAR(B2077)</x:f>
        <x:v>2015</x:v>
      </x:c>
      <x:c r="F2077" s="29" t="n">
        <x:f>MONTH(B2077)</x:f>
        <x:v>12</x:v>
      </x:c>
      <x:c r="G2077" s="30" t="n">
        <x:v>-30.63</x:v>
      </x:c>
      <x:c r="H2077" s="30" t="n">
        <x:v>-71.66</x:v>
      </x:c>
      <x:c r="I2077" s="29" t="n">
        <x:v>41</x:v>
      </x:c>
      <x:c r="J2077" s="31" t="n">
        <x:v>4.3</x:v>
      </x:c>
      <x:c r="K2077" s="25" t="str">
        <x:f>IF(J2077&gt;=7,"Muy fuerte (&gt;=7)",IF(J2077&gt;=6,"Fuerte (6-6.9)",IF(J2077&gt;=5,"Moderado alto (5-5.9)",IF(J2077&gt;=4,"Moderado (4-4.9)","Menor a 4"))))</x:f>
        <x:v>Moderado (4-4.9)</x:v>
      </x:c>
      <x:c r="L2077" s="25" t="str">
        <x:f>IF(I2077&lt;70,"Superficial (&lt;70 km)",IF(I2077&lt;=300,"Intermedio (70-300 km)","Profundo (&gt;300 km)"))</x:f>
        <x:v>Superficial (&lt;70 km)</x:v>
      </x:c>
      <x:c r="M2077" s="25" t="str">
        <x:f>IF(J2077&gt;=5,"Sí","No")</x:f>
        <x:v>No</x:v>
      </x:c>
      <x:c r="N2077" s="25" t="str">
        <x:f>IF(J2077&gt;=6,"Sí","No")</x:f>
        <x:v>No</x:v>
      </x:c>
      <x:c r="O2077" s="25" t="str">
        <x:v>Pendiente: asignar con R/sf</x:v>
      </x:c>
    </x:row>
    <x:row r="2078">
      <x:c r="A2078" s="25" t="n">
        <x:v>2077</x:v>
      </x:c>
      <x:c r="B2078" s="26" t="n">
        <x:v>42233.49429398148</x:v>
      </x:c>
      <x:c r="C2078" s="27" t="n">
        <x:f>INT(B2078)</x:f>
        <x:v>42233</x:v>
      </x:c>
      <x:c r="D2078" s="28" t="n">
        <x:f>MOD(B2078,1)</x:f>
        <x:v>0.4942939814791316</x:v>
      </x:c>
      <x:c r="E2078" s="29" t="n">
        <x:f>YEAR(B2078)</x:f>
        <x:v>2015</x:v>
      </x:c>
      <x:c r="F2078" s="29" t="n">
        <x:f>MONTH(B2078)</x:f>
        <x:v>8</x:v>
      </x:c>
      <x:c r="G2078" s="30" t="n">
        <x:v>-19.41</x:v>
      </x:c>
      <x:c r="H2078" s="30" t="n">
        <x:v>-69.34</x:v>
      </x:c>
      <x:c r="I2078" s="29" t="n">
        <x:v>106</x:v>
      </x:c>
      <x:c r="J2078" s="31" t="n">
        <x:v>4.4</x:v>
      </x:c>
      <x:c r="K2078" s="25" t="str">
        <x:f>IF(J2078&gt;=7,"Muy fuerte (&gt;=7)",IF(J2078&gt;=6,"Fuerte (6-6.9)",IF(J2078&gt;=5,"Moderado alto (5-5.9)",IF(J2078&gt;=4,"Moderado (4-4.9)","Menor a 4"))))</x:f>
        <x:v>Moderado (4-4.9)</x:v>
      </x:c>
      <x:c r="L2078" s="25" t="str">
        <x:f>IF(I2078&lt;70,"Superficial (&lt;70 km)",IF(I2078&lt;=300,"Intermedio (70-300 km)","Profundo (&gt;300 km)"))</x:f>
        <x:v>Intermedio (70-300 km)</x:v>
      </x:c>
      <x:c r="M2078" s="25" t="str">
        <x:f>IF(J2078&gt;=5,"Sí","No")</x:f>
        <x:v>No</x:v>
      </x:c>
      <x:c r="N2078" s="25" t="str">
        <x:f>IF(J2078&gt;=6,"Sí","No")</x:f>
        <x:v>No</x:v>
      </x:c>
      <x:c r="O2078" s="25" t="str">
        <x:v>Pendiente: asignar con R/sf</x:v>
      </x:c>
    </x:row>
    <x:row r="2079">
      <x:c r="A2079" s="25" t="n">
        <x:v>2078</x:v>
      </x:c>
      <x:c r="B2079" s="26" t="n">
        <x:v>42271.764236111114</x:v>
      </x:c>
      <x:c r="C2079" s="27" t="n">
        <x:f>INT(B2079)</x:f>
        <x:v>42271</x:v>
      </x:c>
      <x:c r="D2079" s="28" t="n">
        <x:f>MOD(B2079,1)</x:f>
        <x:v>0.7642361111138598</x:v>
      </x:c>
      <x:c r="E2079" s="29" t="n">
        <x:f>YEAR(B2079)</x:f>
        <x:v>2015</x:v>
      </x:c>
      <x:c r="F2079" s="29" t="n">
        <x:f>MONTH(B2079)</x:f>
        <x:v>9</x:v>
      </x:c>
      <x:c r="G2079" s="30" t="n">
        <x:v>-30.88</x:v>
      </x:c>
      <x:c r="H2079" s="30" t="n">
        <x:v>-71.45</x:v>
      </x:c>
      <x:c r="I2079" s="29" t="n">
        <x:v>51</x:v>
      </x:c>
      <x:c r="J2079" s="31" t="n">
        <x:v>4</x:v>
      </x:c>
      <x:c r="K2079" s="25" t="str">
        <x:f>IF(J2079&gt;=7,"Muy fuerte (&gt;=7)",IF(J2079&gt;=6,"Fuerte (6-6.9)",IF(J2079&gt;=5,"Moderado alto (5-5.9)",IF(J2079&gt;=4,"Moderado (4-4.9)","Menor a 4"))))</x:f>
        <x:v>Moderado (4-4.9)</x:v>
      </x:c>
      <x:c r="L2079" s="25" t="str">
        <x:f>IF(I2079&lt;70,"Superficial (&lt;70 km)",IF(I2079&lt;=300,"Intermedio (70-300 km)","Profundo (&gt;300 km)"))</x:f>
        <x:v>Superficial (&lt;70 km)</x:v>
      </x:c>
      <x:c r="M2079" s="25" t="str">
        <x:f>IF(J2079&gt;=5,"Sí","No")</x:f>
        <x:v>No</x:v>
      </x:c>
      <x:c r="N2079" s="25" t="str">
        <x:f>IF(J2079&gt;=6,"Sí","No")</x:f>
        <x:v>No</x:v>
      </x:c>
      <x:c r="O2079" s="25" t="str">
        <x:v>Pendiente: asignar con R/sf</x:v>
      </x:c>
    </x:row>
    <x:row r="2080">
      <x:c r="A2080" s="25" t="n">
        <x:v>2079</x:v>
      </x:c>
      <x:c r="B2080" s="26" t="n">
        <x:v>42262.91914351852</x:v>
      </x:c>
      <x:c r="C2080" s="27" t="n">
        <x:f>INT(B2080)</x:f>
        <x:v>42262</x:v>
      </x:c>
      <x:c r="D2080" s="28" t="n">
        <x:f>MOD(B2080,1)</x:f>
        <x:v>0.9191435185202863</x:v>
      </x:c>
      <x:c r="E2080" s="29" t="n">
        <x:f>YEAR(B2080)</x:f>
        <x:v>2015</x:v>
      </x:c>
      <x:c r="F2080" s="29" t="n">
        <x:f>MONTH(B2080)</x:f>
        <x:v>9</x:v>
      </x:c>
      <x:c r="G2080" s="30" t="n">
        <x:v>-20</x:v>
      </x:c>
      <x:c r="H2080" s="30" t="n">
        <x:v>-70.96</x:v>
      </x:c>
      <x:c r="I2080" s="29" t="n">
        <x:v>36</x:v>
      </x:c>
      <x:c r="J2080" s="31" t="n">
        <x:v>4.9</x:v>
      </x:c>
      <x:c r="K2080" s="25" t="str">
        <x:f>IF(J2080&gt;=7,"Muy fuerte (&gt;=7)",IF(J2080&gt;=6,"Fuerte (6-6.9)",IF(J2080&gt;=5,"Moderado alto (5-5.9)",IF(J2080&gt;=4,"Moderado (4-4.9)","Menor a 4"))))</x:f>
        <x:v>Moderado (4-4.9)</x:v>
      </x:c>
      <x:c r="L2080" s="25" t="str">
        <x:f>IF(I2080&lt;70,"Superficial (&lt;70 km)",IF(I2080&lt;=300,"Intermedio (70-300 km)","Profundo (&gt;300 km)"))</x:f>
        <x:v>Superficial (&lt;70 km)</x:v>
      </x:c>
      <x:c r="M2080" s="25" t="str">
        <x:f>IF(J2080&gt;=5,"Sí","No")</x:f>
        <x:v>No</x:v>
      </x:c>
      <x:c r="N2080" s="25" t="str">
        <x:f>IF(J2080&gt;=6,"Sí","No")</x:f>
        <x:v>No</x:v>
      </x:c>
      <x:c r="O2080" s="25" t="str">
        <x:v>Pendiente: asignar con R/sf</x:v>
      </x:c>
    </x:row>
    <x:row r="2081">
      <x:c r="A2081" s="25" t="n">
        <x:v>2080</x:v>
      </x:c>
      <x:c r="B2081" s="26" t="n">
        <x:v>42226.71129629629</x:v>
      </x:c>
      <x:c r="C2081" s="27" t="n">
        <x:f>INT(B2081)</x:f>
        <x:v>42226</x:v>
      </x:c>
      <x:c r="D2081" s="28" t="n">
        <x:f>MOD(B2081,1)</x:f>
        <x:v>0.7112962962928577</x:v>
      </x:c>
      <x:c r="E2081" s="29" t="n">
        <x:f>YEAR(B2081)</x:f>
        <x:v>2015</x:v>
      </x:c>
      <x:c r="F2081" s="29" t="n">
        <x:f>MONTH(B2081)</x:f>
        <x:v>8</x:v>
      </x:c>
      <x:c r="G2081" s="30" t="n">
        <x:v>-19.56</x:v>
      </x:c>
      <x:c r="H2081" s="30" t="n">
        <x:v>-69.32</x:v>
      </x:c>
      <x:c r="I2081" s="29" t="n">
        <x:v>99</x:v>
      </x:c>
      <x:c r="J2081" s="31" t="n">
        <x:v>4.3</x:v>
      </x:c>
      <x:c r="K2081" s="25" t="str">
        <x:f>IF(J2081&gt;=7,"Muy fuerte (&gt;=7)",IF(J2081&gt;=6,"Fuerte (6-6.9)",IF(J2081&gt;=5,"Moderado alto (5-5.9)",IF(J2081&gt;=4,"Moderado (4-4.9)","Menor a 4"))))</x:f>
        <x:v>Moderado (4-4.9)</x:v>
      </x:c>
      <x:c r="L2081" s="25" t="str">
        <x:f>IF(I2081&lt;70,"Superficial (&lt;70 km)",IF(I2081&lt;=300,"Intermedio (70-300 km)","Profundo (&gt;300 km)"))</x:f>
        <x:v>Intermedio (70-300 km)</x:v>
      </x:c>
      <x:c r="M2081" s="25" t="str">
        <x:f>IF(J2081&gt;=5,"Sí","No")</x:f>
        <x:v>No</x:v>
      </x:c>
      <x:c r="N2081" s="25" t="str">
        <x:f>IF(J2081&gt;=6,"Sí","No")</x:f>
        <x:v>No</x:v>
      </x:c>
      <x:c r="O2081" s="25" t="str">
        <x:v>Pendiente: asignar con R/sf</x:v>
      </x:c>
    </x:row>
    <x:row r="2082">
      <x:c r="A2082" s="25" t="n">
        <x:v>2081</x:v>
      </x:c>
      <x:c r="B2082" s="26" t="n">
        <x:v>42305.822962962964</x:v>
      </x:c>
      <x:c r="C2082" s="27" t="n">
        <x:f>INT(B2082)</x:f>
        <x:v>42305</x:v>
      </x:c>
      <x:c r="D2082" s="28" t="n">
        <x:f>MOD(B2082,1)</x:f>
        <x:v>0.822962962964084</x:v>
      </x:c>
      <x:c r="E2082" s="29" t="n">
        <x:f>YEAR(B2082)</x:f>
        <x:v>2015</x:v>
      </x:c>
      <x:c r="F2082" s="29" t="n">
        <x:f>MONTH(B2082)</x:f>
        <x:v>10</x:v>
      </x:c>
      <x:c r="G2082" s="30" t="n">
        <x:v>-23.25</x:v>
      </x:c>
      <x:c r="H2082" s="30" t="n">
        <x:v>-69.29</x:v>
      </x:c>
      <x:c r="I2082" s="29" t="n">
        <x:v>75</x:v>
      </x:c>
      <x:c r="J2082" s="31" t="n">
        <x:v>4.7</x:v>
      </x:c>
      <x:c r="K2082" s="25" t="str">
        <x:f>IF(J2082&gt;=7,"Muy fuerte (&gt;=7)",IF(J2082&gt;=6,"Fuerte (6-6.9)",IF(J2082&gt;=5,"Moderado alto (5-5.9)",IF(J2082&gt;=4,"Moderado (4-4.9)","Menor a 4"))))</x:f>
        <x:v>Moderado (4-4.9)</x:v>
      </x:c>
      <x:c r="L2082" s="25" t="str">
        <x:f>IF(I2082&lt;70,"Superficial (&lt;70 km)",IF(I2082&lt;=300,"Intermedio (70-300 km)","Profundo (&gt;300 km)"))</x:f>
        <x:v>Intermedio (70-300 km)</x:v>
      </x:c>
      <x:c r="M2082" s="25" t="str">
        <x:f>IF(J2082&gt;=5,"Sí","No")</x:f>
        <x:v>No</x:v>
      </x:c>
      <x:c r="N2082" s="25" t="str">
        <x:f>IF(J2082&gt;=6,"Sí","No")</x:f>
        <x:v>No</x:v>
      </x:c>
      <x:c r="O2082" s="25" t="str">
        <x:v>Pendiente: asignar con R/sf</x:v>
      </x:c>
    </x:row>
    <x:row r="2083">
      <x:c r="A2083" s="25" t="n">
        <x:v>2082</x:v>
      </x:c>
      <x:c r="B2083" s="26" t="n">
        <x:v>42333.16957175926</x:v>
      </x:c>
      <x:c r="C2083" s="27" t="n">
        <x:f>INT(B2083)</x:f>
        <x:v>42333</x:v>
      </x:c>
      <x:c r="D2083" s="28" t="n">
        <x:f>MOD(B2083,1)</x:f>
        <x:v>0.16957175925927004</x:v>
      </x:c>
      <x:c r="E2083" s="29" t="n">
        <x:f>YEAR(B2083)</x:f>
        <x:v>2015</x:v>
      </x:c>
      <x:c r="F2083" s="29" t="n">
        <x:f>MONTH(B2083)</x:f>
        <x:v>11</x:v>
      </x:c>
      <x:c r="G2083" s="30" t="n">
        <x:v>-19.96</x:v>
      </x:c>
      <x:c r="H2083" s="30" t="n">
        <x:v>-69.19</x:v>
      </x:c>
      <x:c r="I2083" s="29" t="n">
        <x:v>105</x:v>
      </x:c>
      <x:c r="J2083" s="31" t="n">
        <x:v>4</x:v>
      </x:c>
      <x:c r="K2083" s="25" t="str">
        <x:f>IF(J2083&gt;=7,"Muy fuerte (&gt;=7)",IF(J2083&gt;=6,"Fuerte (6-6.9)",IF(J2083&gt;=5,"Moderado alto (5-5.9)",IF(J2083&gt;=4,"Moderado (4-4.9)","Menor a 4"))))</x:f>
        <x:v>Moderado (4-4.9)</x:v>
      </x:c>
      <x:c r="L2083" s="25" t="str">
        <x:f>IF(I2083&lt;70,"Superficial (&lt;70 km)",IF(I2083&lt;=300,"Intermedio (70-300 km)","Profundo (&gt;300 km)"))</x:f>
        <x:v>Intermedio (70-300 km)</x:v>
      </x:c>
      <x:c r="M2083" s="25" t="str">
        <x:f>IF(J2083&gt;=5,"Sí","No")</x:f>
        <x:v>No</x:v>
      </x:c>
      <x:c r="N2083" s="25" t="str">
        <x:f>IF(J2083&gt;=6,"Sí","No")</x:f>
        <x:v>No</x:v>
      </x:c>
      <x:c r="O2083" s="25" t="str">
        <x:v>Pendiente: asignar con R/sf</x:v>
      </x:c>
    </x:row>
    <x:row r="2084">
      <x:c r="A2084" s="25" t="n">
        <x:v>2083</x:v>
      </x:c>
      <x:c r="B2084" s="26" t="n">
        <x:v>42269.3594212963</x:v>
      </x:c>
      <x:c r="C2084" s="27" t="n">
        <x:f>INT(B2084)</x:f>
        <x:v>42269</x:v>
      </x:c>
      <x:c r="D2084" s="28" t="n">
        <x:f>MOD(B2084,1)</x:f>
        <x:v>0.35942129629984265</x:v>
      </x:c>
      <x:c r="E2084" s="29" t="n">
        <x:f>YEAR(B2084)</x:f>
        <x:v>2015</x:v>
      </x:c>
      <x:c r="F2084" s="29" t="n">
        <x:f>MONTH(B2084)</x:f>
        <x:v>9</x:v>
      </x:c>
      <x:c r="G2084" s="30" t="n">
        <x:v>-30.42</x:v>
      </x:c>
      <x:c r="H2084" s="30" t="n">
        <x:v>-71.6</x:v>
      </x:c>
      <x:c r="I2084" s="29" t="n">
        <x:v>24</x:v>
      </x:c>
      <x:c r="J2084" s="31" t="n">
        <x:v>4.6</x:v>
      </x:c>
      <x:c r="K2084" s="25" t="str">
        <x:f>IF(J2084&gt;=7,"Muy fuerte (&gt;=7)",IF(J2084&gt;=6,"Fuerte (6-6.9)",IF(J2084&gt;=5,"Moderado alto (5-5.9)",IF(J2084&gt;=4,"Moderado (4-4.9)","Menor a 4"))))</x:f>
        <x:v>Moderado (4-4.9)</x:v>
      </x:c>
      <x:c r="L2084" s="25" t="str">
        <x:f>IF(I2084&lt;70,"Superficial (&lt;70 km)",IF(I2084&lt;=300,"Intermedio (70-300 km)","Profundo (&gt;300 km)"))</x:f>
        <x:v>Superficial (&lt;70 km)</x:v>
      </x:c>
      <x:c r="M2084" s="25" t="str">
        <x:f>IF(J2084&gt;=5,"Sí","No")</x:f>
        <x:v>No</x:v>
      </x:c>
      <x:c r="N2084" s="25" t="str">
        <x:f>IF(J2084&gt;=6,"Sí","No")</x:f>
        <x:v>No</x:v>
      </x:c>
      <x:c r="O2084" s="25" t="str">
        <x:v>Pendiente: asignar con R/sf</x:v>
      </x:c>
    </x:row>
    <x:row r="2085">
      <x:c r="A2085" s="25" t="n">
        <x:v>2084</x:v>
      </x:c>
      <x:c r="B2085" s="26" t="n">
        <x:v>42276.57134259259</x:v>
      </x:c>
      <x:c r="C2085" s="27" t="n">
        <x:f>INT(B2085)</x:f>
        <x:v>42276</x:v>
      </x:c>
      <x:c r="D2085" s="28" t="n">
        <x:f>MOD(B2085,1)</x:f>
        <x:v>0.5713425925932825</x:v>
      </x:c>
      <x:c r="E2085" s="29" t="n">
        <x:f>YEAR(B2085)</x:f>
        <x:v>2015</x:v>
      </x:c>
      <x:c r="F2085" s="29" t="n">
        <x:f>MONTH(B2085)</x:f>
        <x:v>9</x:v>
      </x:c>
      <x:c r="G2085" s="30" t="n">
        <x:v>-33.03</x:v>
      </x:c>
      <x:c r="H2085" s="30" t="n">
        <x:v>-72.25</x:v>
      </x:c>
      <x:c r="I2085" s="29" t="n">
        <x:v>22</x:v>
      </x:c>
      <x:c r="J2085" s="31" t="n">
        <x:v>4.4</x:v>
      </x:c>
      <x:c r="K2085" s="25" t="str">
        <x:f>IF(J2085&gt;=7,"Muy fuerte (&gt;=7)",IF(J2085&gt;=6,"Fuerte (6-6.9)",IF(J2085&gt;=5,"Moderado alto (5-5.9)",IF(J2085&gt;=4,"Moderado (4-4.9)","Menor a 4"))))</x:f>
        <x:v>Moderado (4-4.9)</x:v>
      </x:c>
      <x:c r="L2085" s="25" t="str">
        <x:f>IF(I2085&lt;70,"Superficial (&lt;70 km)",IF(I2085&lt;=300,"Intermedio (70-300 km)","Profundo (&gt;300 km)"))</x:f>
        <x:v>Superficial (&lt;70 km)</x:v>
      </x:c>
      <x:c r="M2085" s="25" t="str">
        <x:f>IF(J2085&gt;=5,"Sí","No")</x:f>
        <x:v>No</x:v>
      </x:c>
      <x:c r="N2085" s="25" t="str">
        <x:f>IF(J2085&gt;=6,"Sí","No")</x:f>
        <x:v>No</x:v>
      </x:c>
      <x:c r="O2085" s="25" t="str">
        <x:v>Pendiente: asignar con R/sf</x:v>
      </x:c>
    </x:row>
    <x:row r="2086">
      <x:c r="A2086" s="25" t="n">
        <x:v>2085</x:v>
      </x:c>
      <x:c r="B2086" s="26" t="n">
        <x:v>42294.292719907404</x:v>
      </x:c>
      <x:c r="C2086" s="27" t="n">
        <x:f>INT(B2086)</x:f>
        <x:v>42294</x:v>
      </x:c>
      <x:c r="D2086" s="28" t="n">
        <x:f>MOD(B2086,1)</x:f>
        <x:v>0.29271990740380716</x:v>
      </x:c>
      <x:c r="E2086" s="29" t="n">
        <x:f>YEAR(B2086)</x:f>
        <x:v>2015</x:v>
      </x:c>
      <x:c r="F2086" s="29" t="n">
        <x:f>MONTH(B2086)</x:f>
        <x:v>10</x:v>
      </x:c>
      <x:c r="G2086" s="30" t="n">
        <x:v>-20.58</x:v>
      </x:c>
      <x:c r="H2086" s="30" t="n">
        <x:v>-70.63</x:v>
      </x:c>
      <x:c r="I2086" s="29" t="n">
        <x:v>17</x:v>
      </x:c>
      <x:c r="J2086" s="31" t="n">
        <x:v>4.5</x:v>
      </x:c>
      <x:c r="K2086" s="25" t="str">
        <x:f>IF(J2086&gt;=7,"Muy fuerte (&gt;=7)",IF(J2086&gt;=6,"Fuerte (6-6.9)",IF(J2086&gt;=5,"Moderado alto (5-5.9)",IF(J2086&gt;=4,"Moderado (4-4.9)","Menor a 4"))))</x:f>
        <x:v>Moderado (4-4.9)</x:v>
      </x:c>
      <x:c r="L2086" s="25" t="str">
        <x:f>IF(I2086&lt;70,"Superficial (&lt;70 km)",IF(I2086&lt;=300,"Intermedio (70-300 km)","Profundo (&gt;300 km)"))</x:f>
        <x:v>Superficial (&lt;70 km)</x:v>
      </x:c>
      <x:c r="M2086" s="25" t="str">
        <x:f>IF(J2086&gt;=5,"Sí","No")</x:f>
        <x:v>No</x:v>
      </x:c>
      <x:c r="N2086" s="25" t="str">
        <x:f>IF(J2086&gt;=6,"Sí","No")</x:f>
        <x:v>No</x:v>
      </x:c>
      <x:c r="O2086" s="25" t="str">
        <x:v>Pendiente: asignar con R/sf</x:v>
      </x:c>
    </x:row>
    <x:row r="2087">
      <x:c r="A2087" s="25" t="n">
        <x:v>2086</x:v>
      </x:c>
      <x:c r="B2087" s="26" t="n">
        <x:v>42336.255949074075</x:v>
      </x:c>
      <x:c r="C2087" s="27" t="n">
        <x:f>INT(B2087)</x:f>
        <x:v>42336</x:v>
      </x:c>
      <x:c r="D2087" s="28" t="n">
        <x:f>MOD(B2087,1)</x:f>
        <x:v>0.2559490740750334</x:v>
      </x:c>
      <x:c r="E2087" s="29" t="n">
        <x:f>YEAR(B2087)</x:f>
        <x:v>2015</x:v>
      </x:c>
      <x:c r="F2087" s="29" t="n">
        <x:f>MONTH(B2087)</x:f>
        <x:v>11</x:v>
      </x:c>
      <x:c r="G2087" s="30" t="n">
        <x:v>-30.66</x:v>
      </x:c>
      <x:c r="H2087" s="30" t="n">
        <x:v>-71.76</x:v>
      </x:c>
      <x:c r="I2087" s="29" t="n">
        <x:v>37</x:v>
      </x:c>
      <x:c r="J2087" s="31" t="n">
        <x:v>4.5</x:v>
      </x:c>
      <x:c r="K2087" s="25" t="str">
        <x:f>IF(J2087&gt;=7,"Muy fuerte (&gt;=7)",IF(J2087&gt;=6,"Fuerte (6-6.9)",IF(J2087&gt;=5,"Moderado alto (5-5.9)",IF(J2087&gt;=4,"Moderado (4-4.9)","Menor a 4"))))</x:f>
        <x:v>Moderado (4-4.9)</x:v>
      </x:c>
      <x:c r="L2087" s="25" t="str">
        <x:f>IF(I2087&lt;70,"Superficial (&lt;70 km)",IF(I2087&lt;=300,"Intermedio (70-300 km)","Profundo (&gt;300 km)"))</x:f>
        <x:v>Superficial (&lt;70 km)</x:v>
      </x:c>
      <x:c r="M2087" s="25" t="str">
        <x:f>IF(J2087&gt;=5,"Sí","No")</x:f>
        <x:v>No</x:v>
      </x:c>
      <x:c r="N2087" s="25" t="str">
        <x:f>IF(J2087&gt;=6,"Sí","No")</x:f>
        <x:v>No</x:v>
      </x:c>
      <x:c r="O2087" s="25" t="str">
        <x:v>Pendiente: asignar con R/sf</x:v>
      </x:c>
    </x:row>
    <x:row r="2088">
      <x:c r="A2088" s="25" t="n">
        <x:v>2087</x:v>
      </x:c>
      <x:c r="B2088" s="26" t="n">
        <x:v>42215.43952546296</x:v>
      </x:c>
      <x:c r="C2088" s="27" t="n">
        <x:f>INT(B2088)</x:f>
        <x:v>42215</x:v>
      </x:c>
      <x:c r="D2088" s="28" t="n">
        <x:f>MOD(B2088,1)</x:f>
        <x:v>0.4395254629635019</x:v>
      </x:c>
      <x:c r="E2088" s="29" t="n">
        <x:f>YEAR(B2088)</x:f>
        <x:v>2015</x:v>
      </x:c>
      <x:c r="F2088" s="29" t="n">
        <x:f>MONTH(B2088)</x:f>
        <x:v>7</x:v>
      </x:c>
      <x:c r="G2088" s="30" t="n">
        <x:v>-21.19</x:v>
      </x:c>
      <x:c r="H2088" s="30" t="n">
        <x:v>-68.73</x:v>
      </x:c>
      <x:c r="I2088" s="29" t="n">
        <x:v>112</x:v>
      </x:c>
      <x:c r="J2088" s="31" t="n">
        <x:v>5.1</x:v>
      </x:c>
      <x:c r="K2088" s="25" t="str">
        <x:f>IF(J2088&gt;=7,"Muy fuerte (&gt;=7)",IF(J2088&gt;=6,"Fuerte (6-6.9)",IF(J2088&gt;=5,"Moderado alto (5-5.9)",IF(J2088&gt;=4,"Moderado (4-4.9)","Menor a 4"))))</x:f>
        <x:v>Moderado alto (5-5.9)</x:v>
      </x:c>
      <x:c r="L2088" s="25" t="str">
        <x:f>IF(I2088&lt;70,"Superficial (&lt;70 km)",IF(I2088&lt;=300,"Intermedio (70-300 km)","Profundo (&gt;300 km)"))</x:f>
        <x:v>Intermedio (70-300 km)</x:v>
      </x:c>
      <x:c r="M2088" s="25" t="str">
        <x:f>IF(J2088&gt;=5,"Sí","No")</x:f>
        <x:v>Sí</x:v>
      </x:c>
      <x:c r="N2088" s="25" t="str">
        <x:f>IF(J2088&gt;=6,"Sí","No")</x:f>
        <x:v>No</x:v>
      </x:c>
      <x:c r="O2088" s="25" t="str">
        <x:v>Pendiente: asignar con R/sf</x:v>
      </x:c>
    </x:row>
    <x:row r="2089">
      <x:c r="A2089" s="25" t="n">
        <x:v>2088</x:v>
      </x:c>
      <x:c r="B2089" s="26" t="n">
        <x:v>42287.5531712963</x:v>
      </x:c>
      <x:c r="C2089" s="27" t="n">
        <x:f>INT(B2089)</x:f>
        <x:v>42287</x:v>
      </x:c>
      <x:c r="D2089" s="28" t="n">
        <x:f>MOD(B2089,1)</x:f>
        <x:v>0.5531712962983875</x:v>
      </x:c>
      <x:c r="E2089" s="29" t="n">
        <x:f>YEAR(B2089)</x:f>
        <x:v>2015</x:v>
      </x:c>
      <x:c r="F2089" s="29" t="n">
        <x:f>MONTH(B2089)</x:f>
        <x:v>10</x:v>
      </x:c>
      <x:c r="G2089" s="30" t="n">
        <x:v>-30.52</x:v>
      </x:c>
      <x:c r="H2089" s="30" t="n">
        <x:v>-71.56</x:v>
      </x:c>
      <x:c r="I2089" s="29" t="n">
        <x:v>25</x:v>
      </x:c>
      <x:c r="J2089" s="31" t="n">
        <x:v>4.2</x:v>
      </x:c>
      <x:c r="K2089" s="25" t="str">
        <x:f>IF(J2089&gt;=7,"Muy fuerte (&gt;=7)",IF(J2089&gt;=6,"Fuerte (6-6.9)",IF(J2089&gt;=5,"Moderado alto (5-5.9)",IF(J2089&gt;=4,"Moderado (4-4.9)","Menor a 4"))))</x:f>
        <x:v>Moderado (4-4.9)</x:v>
      </x:c>
      <x:c r="L2089" s="25" t="str">
        <x:f>IF(I2089&lt;70,"Superficial (&lt;70 km)",IF(I2089&lt;=300,"Intermedio (70-300 km)","Profundo (&gt;300 km)"))</x:f>
        <x:v>Superficial (&lt;70 km)</x:v>
      </x:c>
      <x:c r="M2089" s="25" t="str">
        <x:f>IF(J2089&gt;=5,"Sí","No")</x:f>
        <x:v>No</x:v>
      </x:c>
      <x:c r="N2089" s="25" t="str">
        <x:f>IF(J2089&gt;=6,"Sí","No")</x:f>
        <x:v>No</x:v>
      </x:c>
      <x:c r="O2089" s="25" t="str">
        <x:v>Pendiente: asignar con R/sf</x:v>
      </x:c>
    </x:row>
    <x:row r="2090">
      <x:c r="A2090" s="25" t="n">
        <x:v>2089</x:v>
      </x:c>
      <x:c r="B2090" s="26" t="n">
        <x:v>42279.67488425926</x:v>
      </x:c>
      <x:c r="C2090" s="27" t="n">
        <x:f>INT(B2090)</x:f>
        <x:v>42279</x:v>
      </x:c>
      <x:c r="D2090" s="28" t="n">
        <x:f>MOD(B2090,1)</x:f>
        <x:v>0.6748842592569417</x:v>
      </x:c>
      <x:c r="E2090" s="29" t="n">
        <x:f>YEAR(B2090)</x:f>
        <x:v>2015</x:v>
      </x:c>
      <x:c r="F2090" s="29" t="n">
        <x:f>MONTH(B2090)</x:f>
        <x:v>10</x:v>
      </x:c>
      <x:c r="G2090" s="30" t="n">
        <x:v>-30.78</x:v>
      </x:c>
      <x:c r="H2090" s="30" t="n">
        <x:v>-71.45</x:v>
      </x:c>
      <x:c r="I2090" s="29" t="n">
        <x:v>48</x:v>
      </x:c>
      <x:c r="J2090" s="31" t="n">
        <x:v>4.1</x:v>
      </x:c>
      <x:c r="K2090" s="25" t="str">
        <x:f>IF(J2090&gt;=7,"Muy fuerte (&gt;=7)",IF(J2090&gt;=6,"Fuerte (6-6.9)",IF(J2090&gt;=5,"Moderado alto (5-5.9)",IF(J2090&gt;=4,"Moderado (4-4.9)","Menor a 4"))))</x:f>
        <x:v>Moderado (4-4.9)</x:v>
      </x:c>
      <x:c r="L2090" s="25" t="str">
        <x:f>IF(I2090&lt;70,"Superficial (&lt;70 km)",IF(I2090&lt;=300,"Intermedio (70-300 km)","Profundo (&gt;300 km)"))</x:f>
        <x:v>Superficial (&lt;70 km)</x:v>
      </x:c>
      <x:c r="M2090" s="25" t="str">
        <x:f>IF(J2090&gt;=5,"Sí","No")</x:f>
        <x:v>No</x:v>
      </x:c>
      <x:c r="N2090" s="25" t="str">
        <x:f>IF(J2090&gt;=6,"Sí","No")</x:f>
        <x:v>No</x:v>
      </x:c>
      <x:c r="O2090" s="25" t="str">
        <x:v>Pendiente: asignar con R/sf</x:v>
      </x:c>
    </x:row>
    <x:row r="2091">
      <x:c r="A2091" s="25" t="n">
        <x:v>2090</x:v>
      </x:c>
      <x:c r="B2091" s="26" t="n">
        <x:v>42329.925416666665</x:v>
      </x:c>
      <x:c r="C2091" s="27" t="n">
        <x:f>INT(B2091)</x:f>
        <x:v>42329</x:v>
      </x:c>
      <x:c r="D2091" s="28" t="n">
        <x:f>MOD(B2091,1)</x:f>
        <x:v>0.9254166666651145</x:v>
      </x:c>
      <x:c r="E2091" s="29" t="n">
        <x:f>YEAR(B2091)</x:f>
        <x:v>2015</x:v>
      </x:c>
      <x:c r="F2091" s="29" t="n">
        <x:f>MONTH(B2091)</x:f>
        <x:v>11</x:v>
      </x:c>
      <x:c r="G2091" s="30" t="n">
        <x:v>-30.63</x:v>
      </x:c>
      <x:c r="H2091" s="30" t="n">
        <x:v>-71.66</x:v>
      </x:c>
      <x:c r="I2091" s="29" t="n">
        <x:v>36</x:v>
      </x:c>
      <x:c r="J2091" s="31" t="n">
        <x:v>4.5</x:v>
      </x:c>
      <x:c r="K2091" s="25" t="str">
        <x:f>IF(J2091&gt;=7,"Muy fuerte (&gt;=7)",IF(J2091&gt;=6,"Fuerte (6-6.9)",IF(J2091&gt;=5,"Moderado alto (5-5.9)",IF(J2091&gt;=4,"Moderado (4-4.9)","Menor a 4"))))</x:f>
        <x:v>Moderado (4-4.9)</x:v>
      </x:c>
      <x:c r="L2091" s="25" t="str">
        <x:f>IF(I2091&lt;70,"Superficial (&lt;70 km)",IF(I2091&lt;=300,"Intermedio (70-300 km)","Profundo (&gt;300 km)"))</x:f>
        <x:v>Superficial (&lt;70 km)</x:v>
      </x:c>
      <x:c r="M2091" s="25" t="str">
        <x:f>IF(J2091&gt;=5,"Sí","No")</x:f>
        <x:v>No</x:v>
      </x:c>
      <x:c r="N2091" s="25" t="str">
        <x:f>IF(J2091&gt;=6,"Sí","No")</x:f>
        <x:v>No</x:v>
      </x:c>
      <x:c r="O2091" s="25" t="str">
        <x:v>Pendiente: asignar con R/sf</x:v>
      </x:c>
    </x:row>
    <x:row r="2092">
      <x:c r="A2092" s="25" t="n">
        <x:v>2091</x:v>
      </x:c>
      <x:c r="B2092" s="26" t="n">
        <x:v>42192.56613425926</x:v>
      </x:c>
      <x:c r="C2092" s="27" t="n">
        <x:f>INT(B2092)</x:f>
        <x:v>42192</x:v>
      </x:c>
      <x:c r="D2092" s="28" t="n">
        <x:f>MOD(B2092,1)</x:f>
        <x:v>0.5661342592575238</x:v>
      </x:c>
      <x:c r="E2092" s="29" t="n">
        <x:f>YEAR(B2092)</x:f>
        <x:v>2015</x:v>
      </x:c>
      <x:c r="F2092" s="29" t="n">
        <x:f>MONTH(B2092)</x:f>
        <x:v>7</x:v>
      </x:c>
      <x:c r="G2092" s="30" t="n">
        <x:v>-33.44</x:v>
      </x:c>
      <x:c r="H2092" s="30" t="n">
        <x:v>-70.34</x:v>
      </x:c>
      <x:c r="I2092" s="29" t="n">
        <x:v>117</x:v>
      </x:c>
      <x:c r="J2092" s="31" t="n">
        <x:v>5.2</x:v>
      </x:c>
      <x:c r="K2092" s="25" t="str">
        <x:f>IF(J2092&gt;=7,"Muy fuerte (&gt;=7)",IF(J2092&gt;=6,"Fuerte (6-6.9)",IF(J2092&gt;=5,"Moderado alto (5-5.9)",IF(J2092&gt;=4,"Moderado (4-4.9)","Menor a 4"))))</x:f>
        <x:v>Moderado alto (5-5.9)</x:v>
      </x:c>
      <x:c r="L2092" s="25" t="str">
        <x:f>IF(I2092&lt;70,"Superficial (&lt;70 km)",IF(I2092&lt;=300,"Intermedio (70-300 km)","Profundo (&gt;300 km)"))</x:f>
        <x:v>Intermedio (70-300 km)</x:v>
      </x:c>
      <x:c r="M2092" s="25" t="str">
        <x:f>IF(J2092&gt;=5,"Sí","No")</x:f>
        <x:v>Sí</x:v>
      </x:c>
      <x:c r="N2092" s="25" t="str">
        <x:f>IF(J2092&gt;=6,"Sí","No")</x:f>
        <x:v>No</x:v>
      </x:c>
      <x:c r="O2092" s="25" t="str">
        <x:v>Pendiente: asignar con R/sf</x:v>
      </x:c>
    </x:row>
    <x:row r="2093">
      <x:c r="A2093" s="25" t="n">
        <x:v>2092</x:v>
      </x:c>
      <x:c r="B2093" s="26" t="n">
        <x:v>42096.320856481485</x:v>
      </x:c>
      <x:c r="C2093" s="27" t="n">
        <x:f>INT(B2093)</x:f>
        <x:v>42096</x:v>
      </x:c>
      <x:c r="D2093" s="28" t="n">
        <x:f>MOD(B2093,1)</x:f>
        <x:v>0.3208564814849524</x:v>
      </x:c>
      <x:c r="E2093" s="29" t="n">
        <x:f>YEAR(B2093)</x:f>
        <x:v>2015</x:v>
      </x:c>
      <x:c r="F2093" s="29" t="n">
        <x:f>MONTH(B2093)</x:f>
        <x:v>4</x:v>
      </x:c>
      <x:c r="G2093" s="30" t="n">
        <x:v>-28.65</x:v>
      </x:c>
      <x:c r="H2093" s="30" t="n">
        <x:v>-70.81</x:v>
      </x:c>
      <x:c r="I2093" s="29" t="n">
        <x:v>45</x:v>
      </x:c>
      <x:c r="J2093" s="31" t="n">
        <x:v>4.8</x:v>
      </x:c>
      <x:c r="K2093" s="25" t="str">
        <x:f>IF(J2093&gt;=7,"Muy fuerte (&gt;=7)",IF(J2093&gt;=6,"Fuerte (6-6.9)",IF(J2093&gt;=5,"Moderado alto (5-5.9)",IF(J2093&gt;=4,"Moderado (4-4.9)","Menor a 4"))))</x:f>
        <x:v>Moderado (4-4.9)</x:v>
      </x:c>
      <x:c r="L2093" s="25" t="str">
        <x:f>IF(I2093&lt;70,"Superficial (&lt;70 km)",IF(I2093&lt;=300,"Intermedio (70-300 km)","Profundo (&gt;300 km)"))</x:f>
        <x:v>Superficial (&lt;70 km)</x:v>
      </x:c>
      <x:c r="M2093" s="25" t="str">
        <x:f>IF(J2093&gt;=5,"Sí","No")</x:f>
        <x:v>No</x:v>
      </x:c>
      <x:c r="N2093" s="25" t="str">
        <x:f>IF(J2093&gt;=6,"Sí","No")</x:f>
        <x:v>No</x:v>
      </x:c>
      <x:c r="O2093" s="25" t="str">
        <x:v>Pendiente: asignar con R/sf</x:v>
      </x:c>
    </x:row>
    <x:row r="2094">
      <x:c r="A2094" s="25" t="n">
        <x:v>2093</x:v>
      </x:c>
      <x:c r="B2094" s="26" t="n">
        <x:v>42164.583287037036</x:v>
      </x:c>
      <x:c r="C2094" s="27" t="n">
        <x:f>INT(B2094)</x:f>
        <x:v>42164</x:v>
      </x:c>
      <x:c r="D2094" s="28" t="n">
        <x:f>MOD(B2094,1)</x:f>
        <x:v>0.583287037035916</x:v>
      </x:c>
      <x:c r="E2094" s="29" t="n">
        <x:f>YEAR(B2094)</x:f>
        <x:v>2015</x:v>
      </x:c>
      <x:c r="F2094" s="29" t="n">
        <x:f>MONTH(B2094)</x:f>
        <x:v>6</x:v>
      </x:c>
      <x:c r="G2094" s="30" t="n">
        <x:v>-20.22</x:v>
      </x:c>
      <x:c r="H2094" s="30" t="n">
        <x:v>-70.93</x:v>
      </x:c>
      <x:c r="I2094" s="29" t="n">
        <x:v>35</x:v>
      </x:c>
      <x:c r="J2094" s="31" t="n">
        <x:v>4.4</x:v>
      </x:c>
      <x:c r="K2094" s="25" t="str">
        <x:f>IF(J2094&gt;=7,"Muy fuerte (&gt;=7)",IF(J2094&gt;=6,"Fuerte (6-6.9)",IF(J2094&gt;=5,"Moderado alto (5-5.9)",IF(J2094&gt;=4,"Moderado (4-4.9)","Menor a 4"))))</x:f>
        <x:v>Moderado (4-4.9)</x:v>
      </x:c>
      <x:c r="L2094" s="25" t="str">
        <x:f>IF(I2094&lt;70,"Superficial (&lt;70 km)",IF(I2094&lt;=300,"Intermedio (70-300 km)","Profundo (&gt;300 km)"))</x:f>
        <x:v>Superficial (&lt;70 km)</x:v>
      </x:c>
      <x:c r="M2094" s="25" t="str">
        <x:f>IF(J2094&gt;=5,"Sí","No")</x:f>
        <x:v>No</x:v>
      </x:c>
      <x:c r="N2094" s="25" t="str">
        <x:f>IF(J2094&gt;=6,"Sí","No")</x:f>
        <x:v>No</x:v>
      </x:c>
      <x:c r="O2094" s="25" t="str">
        <x:v>Pendiente: asignar con R/sf</x:v>
      </x:c>
    </x:row>
    <x:row r="2095">
      <x:c r="A2095" s="25" t="n">
        <x:v>2094</x:v>
      </x:c>
      <x:c r="B2095" s="26" t="n">
        <x:v>42179.9294212963</x:v>
      </x:c>
      <x:c r="C2095" s="27" t="n">
        <x:f>INT(B2095)</x:f>
        <x:v>42179</x:v>
      </x:c>
      <x:c r="D2095" s="28" t="n">
        <x:f>MOD(B2095,1)</x:f>
        <x:v>0.9294212962995516</x:v>
      </x:c>
      <x:c r="E2095" s="29" t="n">
        <x:f>YEAR(B2095)</x:f>
        <x:v>2015</x:v>
      </x:c>
      <x:c r="F2095" s="29" t="n">
        <x:f>MONTH(B2095)</x:f>
        <x:v>6</x:v>
      </x:c>
      <x:c r="G2095" s="30" t="n">
        <x:v>-30.37</x:v>
      </x:c>
      <x:c r="H2095" s="30" t="n">
        <x:v>-71.28</x:v>
      </x:c>
      <x:c r="I2095" s="29" t="n">
        <x:v>50</x:v>
      </x:c>
      <x:c r="J2095" s="31" t="n">
        <x:v>4.5</x:v>
      </x:c>
      <x:c r="K2095" s="25" t="str">
        <x:f>IF(J2095&gt;=7,"Muy fuerte (&gt;=7)",IF(J2095&gt;=6,"Fuerte (6-6.9)",IF(J2095&gt;=5,"Moderado alto (5-5.9)",IF(J2095&gt;=4,"Moderado (4-4.9)","Menor a 4"))))</x:f>
        <x:v>Moderado (4-4.9)</x:v>
      </x:c>
      <x:c r="L2095" s="25" t="str">
        <x:f>IF(I2095&lt;70,"Superficial (&lt;70 km)",IF(I2095&lt;=300,"Intermedio (70-300 km)","Profundo (&gt;300 km)"))</x:f>
        <x:v>Superficial (&lt;70 km)</x:v>
      </x:c>
      <x:c r="M2095" s="25" t="str">
        <x:f>IF(J2095&gt;=5,"Sí","No")</x:f>
        <x:v>No</x:v>
      </x:c>
      <x:c r="N2095" s="25" t="str">
        <x:f>IF(J2095&gt;=6,"Sí","No")</x:f>
        <x:v>No</x:v>
      </x:c>
      <x:c r="O2095" s="25" t="str">
        <x:v>Pendiente: asignar con R/sf</x:v>
      </x:c>
    </x:row>
    <x:row r="2096">
      <x:c r="A2096" s="25" t="n">
        <x:v>2095</x:v>
      </x:c>
      <x:c r="B2096" s="26" t="n">
        <x:v>42019.22204861111</x:v>
      </x:c>
      <x:c r="C2096" s="27" t="n">
        <x:f>INT(B2096)</x:f>
        <x:v>42019</x:v>
      </x:c>
      <x:c r="D2096" s="28" t="n">
        <x:f>MOD(B2096,1)</x:f>
        <x:v>0.22204861111094942</x:v>
      </x:c>
      <x:c r="E2096" s="29" t="n">
        <x:f>YEAR(B2096)</x:f>
        <x:v>2015</x:v>
      </x:c>
      <x:c r="F2096" s="29" t="n">
        <x:f>MONTH(B2096)</x:f>
        <x:v>1</x:v>
      </x:c>
      <x:c r="G2096" s="30" t="n">
        <x:v>-33.68</x:v>
      </x:c>
      <x:c r="H2096" s="30" t="n">
        <x:v>-71.1</x:v>
      </x:c>
      <x:c r="I2096" s="29" t="n">
        <x:v>68</x:v>
      </x:c>
      <x:c r="J2096" s="31" t="n">
        <x:v>4.8</x:v>
      </x:c>
      <x:c r="K2096" s="25" t="str">
        <x:f>IF(J2096&gt;=7,"Muy fuerte (&gt;=7)",IF(J2096&gt;=6,"Fuerte (6-6.9)",IF(J2096&gt;=5,"Moderado alto (5-5.9)",IF(J2096&gt;=4,"Moderado (4-4.9)","Menor a 4"))))</x:f>
        <x:v>Moderado (4-4.9)</x:v>
      </x:c>
      <x:c r="L2096" s="25" t="str">
        <x:f>IF(I2096&lt;70,"Superficial (&lt;70 km)",IF(I2096&lt;=300,"Intermedio (70-300 km)","Profundo (&gt;300 km)"))</x:f>
        <x:v>Superficial (&lt;70 km)</x:v>
      </x:c>
      <x:c r="M2096" s="25" t="str">
        <x:f>IF(J2096&gt;=5,"Sí","No")</x:f>
        <x:v>No</x:v>
      </x:c>
      <x:c r="N2096" s="25" t="str">
        <x:f>IF(J2096&gt;=6,"Sí","No")</x:f>
        <x:v>No</x:v>
      </x:c>
      <x:c r="O2096" s="25" t="str">
        <x:v>Pendiente: asignar con R/sf</x:v>
      </x:c>
    </x:row>
    <x:row r="2097">
      <x:c r="A2097" s="25" t="n">
        <x:v>2096</x:v>
      </x:c>
      <x:c r="B2097" s="26" t="n">
        <x:v>42273.34695601852</x:v>
      </x:c>
      <x:c r="C2097" s="27" t="n">
        <x:f>INT(B2097)</x:f>
        <x:v>42273</x:v>
      </x:c>
      <x:c r="D2097" s="28" t="n">
        <x:f>MOD(B2097,1)</x:f>
        <x:v>0.3469560185185401</x:v>
      </x:c>
      <x:c r="E2097" s="29" t="n">
        <x:f>YEAR(B2097)</x:f>
        <x:v>2015</x:v>
      </x:c>
      <x:c r="F2097" s="29" t="n">
        <x:f>MONTH(B2097)</x:f>
        <x:v>9</x:v>
      </x:c>
      <x:c r="G2097" s="30" t="n">
        <x:v>-30.76</x:v>
      </x:c>
      <x:c r="H2097" s="30" t="n">
        <x:v>-71.39</x:v>
      </x:c>
      <x:c r="I2097" s="29" t="n">
        <x:v>50</x:v>
      </x:c>
      <x:c r="J2097" s="31" t="n">
        <x:v>4.1</x:v>
      </x:c>
      <x:c r="K2097" s="25" t="str">
        <x:f>IF(J2097&gt;=7,"Muy fuerte (&gt;=7)",IF(J2097&gt;=6,"Fuerte (6-6.9)",IF(J2097&gt;=5,"Moderado alto (5-5.9)",IF(J2097&gt;=4,"Moderado (4-4.9)","Menor a 4"))))</x:f>
        <x:v>Moderado (4-4.9)</x:v>
      </x:c>
      <x:c r="L2097" s="25" t="str">
        <x:f>IF(I2097&lt;70,"Superficial (&lt;70 km)",IF(I2097&lt;=300,"Intermedio (70-300 km)","Profundo (&gt;300 km)"))</x:f>
        <x:v>Superficial (&lt;70 km)</x:v>
      </x:c>
      <x:c r="M2097" s="25" t="str">
        <x:f>IF(J2097&gt;=5,"Sí","No")</x:f>
        <x:v>No</x:v>
      </x:c>
      <x:c r="N2097" s="25" t="str">
        <x:f>IF(J2097&gt;=6,"Sí","No")</x:f>
        <x:v>No</x:v>
      </x:c>
      <x:c r="O2097" s="25" t="str">
        <x:v>Pendiente: asignar con R/sf</x:v>
      </x:c>
    </x:row>
    <x:row r="2098">
      <x:c r="A2098" s="25" t="n">
        <x:v>2097</x:v>
      </x:c>
      <x:c r="B2098" s="26" t="n">
        <x:v>42102.43740740741</x:v>
      </x:c>
      <x:c r="C2098" s="27" t="n">
        <x:f>INT(B2098)</x:f>
        <x:v>42102</x:v>
      </x:c>
      <x:c r="D2098" s="28" t="n">
        <x:f>MOD(B2098,1)</x:f>
        <x:v>0.43740740740759065</x:v>
      </x:c>
      <x:c r="E2098" s="29" t="n">
        <x:f>YEAR(B2098)</x:f>
        <x:v>2015</x:v>
      </x:c>
      <x:c r="F2098" s="29" t="n">
        <x:f>MONTH(B2098)</x:f>
        <x:v>4</x:v>
      </x:c>
      <x:c r="G2098" s="30" t="n">
        <x:v>-19.25</x:v>
      </x:c>
      <x:c r="H2098" s="30" t="n">
        <x:v>-69.26</x:v>
      </x:c>
      <x:c r="I2098" s="29" t="n">
        <x:v>116</x:v>
      </x:c>
      <x:c r="J2098" s="31" t="n">
        <x:v>4.4</x:v>
      </x:c>
      <x:c r="K2098" s="25" t="str">
        <x:f>IF(J2098&gt;=7,"Muy fuerte (&gt;=7)",IF(J2098&gt;=6,"Fuerte (6-6.9)",IF(J2098&gt;=5,"Moderado alto (5-5.9)",IF(J2098&gt;=4,"Moderado (4-4.9)","Menor a 4"))))</x:f>
        <x:v>Moderado (4-4.9)</x:v>
      </x:c>
      <x:c r="L2098" s="25" t="str">
        <x:f>IF(I2098&lt;70,"Superficial (&lt;70 km)",IF(I2098&lt;=300,"Intermedio (70-300 km)","Profundo (&gt;300 km)"))</x:f>
        <x:v>Intermedio (70-300 km)</x:v>
      </x:c>
      <x:c r="M2098" s="25" t="str">
        <x:f>IF(J2098&gt;=5,"Sí","No")</x:f>
        <x:v>No</x:v>
      </x:c>
      <x:c r="N2098" s="25" t="str">
        <x:f>IF(J2098&gt;=6,"Sí","No")</x:f>
        <x:v>No</x:v>
      </x:c>
      <x:c r="O2098" s="25" t="str">
        <x:v>Pendiente: asignar con R/sf</x:v>
      </x:c>
    </x:row>
    <x:row r="2099">
      <x:c r="A2099" s="25" t="n">
        <x:v>2098</x:v>
      </x:c>
      <x:c r="B2099" s="26" t="n">
        <x:v>42005.88081018518</x:v>
      </x:c>
      <x:c r="C2099" s="27" t="n">
        <x:f>INT(B2099)</x:f>
        <x:v>42005</x:v>
      </x:c>
      <x:c r="D2099" s="28" t="n">
        <x:f>MOD(B2099,1)</x:f>
        <x:v>0.8808101851827814</x:v>
      </x:c>
      <x:c r="E2099" s="29" t="n">
        <x:f>YEAR(B2099)</x:f>
        <x:v>2015</x:v>
      </x:c>
      <x:c r="F2099" s="29" t="n">
        <x:f>MONTH(B2099)</x:f>
        <x:v>1</x:v>
      </x:c>
      <x:c r="G2099" s="30" t="n">
        <x:v>-31.07</x:v>
      </x:c>
      <x:c r="H2099" s="30" t="n">
        <x:v>-71.35</x:v>
      </x:c>
      <x:c r="I2099" s="29" t="n">
        <x:v>61</x:v>
      </x:c>
      <x:c r="J2099" s="31" t="n">
        <x:v>4.9</x:v>
      </x:c>
      <x:c r="K2099" s="25" t="str">
        <x:f>IF(J2099&gt;=7,"Muy fuerte (&gt;=7)",IF(J2099&gt;=6,"Fuerte (6-6.9)",IF(J2099&gt;=5,"Moderado alto (5-5.9)",IF(J2099&gt;=4,"Moderado (4-4.9)","Menor a 4"))))</x:f>
        <x:v>Moderado (4-4.9)</x:v>
      </x:c>
      <x:c r="L2099" s="25" t="str">
        <x:f>IF(I2099&lt;70,"Superficial (&lt;70 km)",IF(I2099&lt;=300,"Intermedio (70-300 km)","Profundo (&gt;300 km)"))</x:f>
        <x:v>Superficial (&lt;70 km)</x:v>
      </x:c>
      <x:c r="M2099" s="25" t="str">
        <x:f>IF(J2099&gt;=5,"Sí","No")</x:f>
        <x:v>No</x:v>
      </x:c>
      <x:c r="N2099" s="25" t="str">
        <x:f>IF(J2099&gt;=6,"Sí","No")</x:f>
        <x:v>No</x:v>
      </x:c>
      <x:c r="O2099" s="25" t="str">
        <x:v>Pendiente: asignar con R/sf</x:v>
      </x:c>
    </x:row>
    <x:row r="2100">
      <x:c r="A2100" s="25" t="n">
        <x:v>2099</x:v>
      </x:c>
      <x:c r="B2100" s="26" t="n">
        <x:v>42289.43609953704</x:v>
      </x:c>
      <x:c r="C2100" s="27" t="n">
        <x:f>INT(B2100)</x:f>
        <x:v>42289</x:v>
      </x:c>
      <x:c r="D2100" s="28" t="n">
        <x:f>MOD(B2100,1)</x:f>
        <x:v>0.43609953703708015</x:v>
      </x:c>
      <x:c r="E2100" s="29" t="n">
        <x:f>YEAR(B2100)</x:f>
        <x:v>2015</x:v>
      </x:c>
      <x:c r="F2100" s="29" t="n">
        <x:f>MONTH(B2100)</x:f>
        <x:v>10</x:v>
      </x:c>
      <x:c r="G2100" s="30" t="n">
        <x:v>-30.43</x:v>
      </x:c>
      <x:c r="H2100" s="30" t="n">
        <x:v>-71.68</x:v>
      </x:c>
      <x:c r="I2100" s="29" t="n">
        <x:v>31</x:v>
      </x:c>
      <x:c r="J2100" s="31" t="n">
        <x:v>4.2</x:v>
      </x:c>
      <x:c r="K2100" s="25" t="str">
        <x:f>IF(J2100&gt;=7,"Muy fuerte (&gt;=7)",IF(J2100&gt;=6,"Fuerte (6-6.9)",IF(J2100&gt;=5,"Moderado alto (5-5.9)",IF(J2100&gt;=4,"Moderado (4-4.9)","Menor a 4"))))</x:f>
        <x:v>Moderado (4-4.9)</x:v>
      </x:c>
      <x:c r="L2100" s="25" t="str">
        <x:f>IF(I2100&lt;70,"Superficial (&lt;70 km)",IF(I2100&lt;=300,"Intermedio (70-300 km)","Profundo (&gt;300 km)"))</x:f>
        <x:v>Superficial (&lt;70 km)</x:v>
      </x:c>
      <x:c r="M2100" s="25" t="str">
        <x:f>IF(J2100&gt;=5,"Sí","No")</x:f>
        <x:v>No</x:v>
      </x:c>
      <x:c r="N2100" s="25" t="str">
        <x:f>IF(J2100&gt;=6,"Sí","No")</x:f>
        <x:v>No</x:v>
      </x:c>
      <x:c r="O2100" s="25" t="str">
        <x:v>Pendiente: asignar con R/sf</x:v>
      </x:c>
    </x:row>
    <x:row r="2101">
      <x:c r="A2101" s="25" t="n">
        <x:v>2100</x:v>
      </x:c>
      <x:c r="B2101" s="26" t="n">
        <x:v>42307.128587962965</x:v>
      </x:c>
      <x:c r="C2101" s="27" t="n">
        <x:f>INT(B2101)</x:f>
        <x:v>42307</x:v>
      </x:c>
      <x:c r="D2101" s="28" t="n">
        <x:f>MOD(B2101,1)</x:f>
        <x:v>0.12858796296495711</x:v>
      </x:c>
      <x:c r="E2101" s="29" t="n">
        <x:f>YEAR(B2101)</x:f>
        <x:v>2015</x:v>
      </x:c>
      <x:c r="F2101" s="29" t="n">
        <x:f>MONTH(B2101)</x:f>
        <x:v>10</x:v>
      </x:c>
      <x:c r="G2101" s="30" t="n">
        <x:v>-19.3</x:v>
      </x:c>
      <x:c r="H2101" s="30" t="n">
        <x:v>-69.62</x:v>
      </x:c>
      <x:c r="I2101" s="29" t="n">
        <x:v>97</x:v>
      </x:c>
      <x:c r="J2101" s="31" t="n">
        <x:v>4</x:v>
      </x:c>
      <x:c r="K2101" s="25" t="str">
        <x:f>IF(J2101&gt;=7,"Muy fuerte (&gt;=7)",IF(J2101&gt;=6,"Fuerte (6-6.9)",IF(J2101&gt;=5,"Moderado alto (5-5.9)",IF(J2101&gt;=4,"Moderado (4-4.9)","Menor a 4"))))</x:f>
        <x:v>Moderado (4-4.9)</x:v>
      </x:c>
      <x:c r="L2101" s="25" t="str">
        <x:f>IF(I2101&lt;70,"Superficial (&lt;70 km)",IF(I2101&lt;=300,"Intermedio (70-300 km)","Profundo (&gt;300 km)"))</x:f>
        <x:v>Intermedio (70-300 km)</x:v>
      </x:c>
      <x:c r="M2101" s="25" t="str">
        <x:f>IF(J2101&gt;=5,"Sí","No")</x:f>
        <x:v>No</x:v>
      </x:c>
      <x:c r="N2101" s="25" t="str">
        <x:f>IF(J2101&gt;=6,"Sí","No")</x:f>
        <x:v>No</x:v>
      </x:c>
      <x:c r="O2101" s="25" t="str">
        <x:v>Pendiente: asignar con R/sf</x:v>
      </x:c>
    </x:row>
    <x:row r="2102">
      <x:c r="A2102" s="25" t="n">
        <x:v>2101</x:v>
      </x:c>
      <x:c r="B2102" s="26" t="n">
        <x:v>42349.92196759259</x:v>
      </x:c>
      <x:c r="C2102" s="27" t="n">
        <x:f>INT(B2102)</x:f>
        <x:v>42349</x:v>
      </x:c>
      <x:c r="D2102" s="28" t="n">
        <x:f>MOD(B2102,1)</x:f>
        <x:v>0.9219675925924093</x:v>
      </x:c>
      <x:c r="E2102" s="29" t="n">
        <x:f>YEAR(B2102)</x:f>
        <x:v>2015</x:v>
      </x:c>
      <x:c r="F2102" s="29" t="n">
        <x:f>MONTH(B2102)</x:f>
        <x:v>12</x:v>
      </x:c>
      <x:c r="G2102" s="30" t="n">
        <x:v>-19.75</x:v>
      </x:c>
      <x:c r="H2102" s="30" t="n">
        <x:v>-69.24</x:v>
      </x:c>
      <x:c r="I2102" s="29" t="n">
        <x:v>98</x:v>
      </x:c>
      <x:c r="J2102" s="31" t="n">
        <x:v>4.4</x:v>
      </x:c>
      <x:c r="K2102" s="25" t="str">
        <x:f>IF(J2102&gt;=7,"Muy fuerte (&gt;=7)",IF(J2102&gt;=6,"Fuerte (6-6.9)",IF(J2102&gt;=5,"Moderado alto (5-5.9)",IF(J2102&gt;=4,"Moderado (4-4.9)","Menor a 4"))))</x:f>
        <x:v>Moderado (4-4.9)</x:v>
      </x:c>
      <x:c r="L2102" s="25" t="str">
        <x:f>IF(I2102&lt;70,"Superficial (&lt;70 km)",IF(I2102&lt;=300,"Intermedio (70-300 km)","Profundo (&gt;300 km)"))</x:f>
        <x:v>Intermedio (70-300 km)</x:v>
      </x:c>
      <x:c r="M2102" s="25" t="str">
        <x:f>IF(J2102&gt;=5,"Sí","No")</x:f>
        <x:v>No</x:v>
      </x:c>
      <x:c r="N2102" s="25" t="str">
        <x:f>IF(J2102&gt;=6,"Sí","No")</x:f>
        <x:v>No</x:v>
      </x:c>
      <x:c r="O2102" s="25" t="str">
        <x:v>Pendiente: asignar con R/sf</x:v>
      </x:c>
    </x:row>
    <x:row r="2103">
      <x:c r="A2103" s="25" t="n">
        <x:v>2102</x:v>
      </x:c>
      <x:c r="B2103" s="26" t="n">
        <x:v>42339.5059375</x:v>
      </x:c>
      <x:c r="C2103" s="27" t="n">
        <x:f>INT(B2103)</x:f>
        <x:v>42339</x:v>
      </x:c>
      <x:c r="D2103" s="28" t="n">
        <x:f>MOD(B2103,1)</x:f>
        <x:v>0.5059374999982538</x:v>
      </x:c>
      <x:c r="E2103" s="29" t="n">
        <x:f>YEAR(B2103)</x:f>
        <x:v>2015</x:v>
      </x:c>
      <x:c r="F2103" s="29" t="n">
        <x:f>MONTH(B2103)</x:f>
        <x:v>12</x:v>
      </x:c>
      <x:c r="G2103" s="30" t="n">
        <x:v>-30.29</x:v>
      </x:c>
      <x:c r="H2103" s="30" t="n">
        <x:v>-71.51</x:v>
      </x:c>
      <x:c r="I2103" s="29" t="n">
        <x:v>51</x:v>
      </x:c>
      <x:c r="J2103" s="31" t="n">
        <x:v>5.1</x:v>
      </x:c>
      <x:c r="K2103" s="25" t="str">
        <x:f>IF(J2103&gt;=7,"Muy fuerte (&gt;=7)",IF(J2103&gt;=6,"Fuerte (6-6.9)",IF(J2103&gt;=5,"Moderado alto (5-5.9)",IF(J2103&gt;=4,"Moderado (4-4.9)","Menor a 4"))))</x:f>
        <x:v>Moderado alto (5-5.9)</x:v>
      </x:c>
      <x:c r="L2103" s="25" t="str">
        <x:f>IF(I2103&lt;70,"Superficial (&lt;70 km)",IF(I2103&lt;=300,"Intermedio (70-300 km)","Profundo (&gt;300 km)"))</x:f>
        <x:v>Superficial (&lt;70 km)</x:v>
      </x:c>
      <x:c r="M2103" s="25" t="str">
        <x:f>IF(J2103&gt;=5,"Sí","No")</x:f>
        <x:v>Sí</x:v>
      </x:c>
      <x:c r="N2103" s="25" t="str">
        <x:f>IF(J2103&gt;=6,"Sí","No")</x:f>
        <x:v>No</x:v>
      </x:c>
      <x:c r="O2103" s="25" t="str">
        <x:v>Pendiente: asignar con R/sf</x:v>
      </x:c>
    </x:row>
    <x:row r="2104">
      <x:c r="A2104" s="25" t="n">
        <x:v>2103</x:v>
      </x:c>
      <x:c r="B2104" s="26" t="n">
        <x:v>42341.35607638889</x:v>
      </x:c>
      <x:c r="C2104" s="27" t="n">
        <x:f>INT(B2104)</x:f>
        <x:v>42341</x:v>
      </x:c>
      <x:c r="D2104" s="28" t="n">
        <x:f>MOD(B2104,1)</x:f>
        <x:v>0.3560763888890506</x:v>
      </x:c>
      <x:c r="E2104" s="29" t="n">
        <x:f>YEAR(B2104)</x:f>
        <x:v>2015</x:v>
      </x:c>
      <x:c r="F2104" s="29" t="n">
        <x:f>MONTH(B2104)</x:f>
        <x:v>12</x:v>
      </x:c>
      <x:c r="G2104" s="30" t="n">
        <x:v>-29.84</x:v>
      </x:c>
      <x:c r="H2104" s="30" t="n">
        <x:v>-71.54</x:v>
      </x:c>
      <x:c r="I2104" s="29" t="n">
        <x:v>48</x:v>
      </x:c>
      <x:c r="J2104" s="31" t="n">
        <x:v>5.1</x:v>
      </x:c>
      <x:c r="K2104" s="25" t="str">
        <x:f>IF(J2104&gt;=7,"Muy fuerte (&gt;=7)",IF(J2104&gt;=6,"Fuerte (6-6.9)",IF(J2104&gt;=5,"Moderado alto (5-5.9)",IF(J2104&gt;=4,"Moderado (4-4.9)","Menor a 4"))))</x:f>
        <x:v>Moderado alto (5-5.9)</x:v>
      </x:c>
      <x:c r="L2104" s="25" t="str">
        <x:f>IF(I2104&lt;70,"Superficial (&lt;70 km)",IF(I2104&lt;=300,"Intermedio (70-300 km)","Profundo (&gt;300 km)"))</x:f>
        <x:v>Superficial (&lt;70 km)</x:v>
      </x:c>
      <x:c r="M2104" s="25" t="str">
        <x:f>IF(J2104&gt;=5,"Sí","No")</x:f>
        <x:v>Sí</x:v>
      </x:c>
      <x:c r="N2104" s="25" t="str">
        <x:f>IF(J2104&gt;=6,"Sí","No")</x:f>
        <x:v>No</x:v>
      </x:c>
      <x:c r="O2104" s="25" t="str">
        <x:v>Pendiente: asignar con R/sf</x:v>
      </x:c>
    </x:row>
    <x:row r="2105">
      <x:c r="A2105" s="25" t="n">
        <x:v>2104</x:v>
      </x:c>
      <x:c r="B2105" s="26" t="n">
        <x:v>42306.58954861111</x:v>
      </x:c>
      <x:c r="C2105" s="27" t="n">
        <x:f>INT(B2105)</x:f>
        <x:v>42306</x:v>
      </x:c>
      <x:c r="D2105" s="28" t="n">
        <x:f>MOD(B2105,1)</x:f>
        <x:v>0.5895486111112405</x:v>
      </x:c>
      <x:c r="E2105" s="29" t="n">
        <x:f>YEAR(B2105)</x:f>
        <x:v>2015</x:v>
      </x:c>
      <x:c r="F2105" s="29" t="n">
        <x:f>MONTH(B2105)</x:f>
        <x:v>10</x:v>
      </x:c>
      <x:c r="G2105" s="30" t="n">
        <x:v>-30.62</x:v>
      </x:c>
      <x:c r="H2105" s="30" t="n">
        <x:v>-71.64</x:v>
      </x:c>
      <x:c r="I2105" s="29" t="n">
        <x:v>43</x:v>
      </x:c>
      <x:c r="J2105" s="31" t="n">
        <x:v>4.3</x:v>
      </x:c>
      <x:c r="K2105" s="25" t="str">
        <x:f>IF(J2105&gt;=7,"Muy fuerte (&gt;=7)",IF(J2105&gt;=6,"Fuerte (6-6.9)",IF(J2105&gt;=5,"Moderado alto (5-5.9)",IF(J2105&gt;=4,"Moderado (4-4.9)","Menor a 4"))))</x:f>
        <x:v>Moderado (4-4.9)</x:v>
      </x:c>
      <x:c r="L2105" s="25" t="str">
        <x:f>IF(I2105&lt;70,"Superficial (&lt;70 km)",IF(I2105&lt;=300,"Intermedio (70-300 km)","Profundo (&gt;300 km)"))</x:f>
        <x:v>Superficial (&lt;70 km)</x:v>
      </x:c>
      <x:c r="M2105" s="25" t="str">
        <x:f>IF(J2105&gt;=5,"Sí","No")</x:f>
        <x:v>No</x:v>
      </x:c>
      <x:c r="N2105" s="25" t="str">
        <x:f>IF(J2105&gt;=6,"Sí","No")</x:f>
        <x:v>No</x:v>
      </x:c>
      <x:c r="O2105" s="25" t="str">
        <x:v>Pendiente: asignar con R/sf</x:v>
      </x:c>
    </x:row>
    <x:row r="2106">
      <x:c r="A2106" s="25" t="n">
        <x:v>2105</x:v>
      </x:c>
      <x:c r="B2106" s="26" t="n">
        <x:v>42187.22185185185</x:v>
      </x:c>
      <x:c r="C2106" s="27" t="n">
        <x:f>INT(B2106)</x:f>
        <x:v>42187</x:v>
      </x:c>
      <x:c r="D2106" s="28" t="n">
        <x:f>MOD(B2106,1)</x:f>
        <x:v>0.22185185184935108</x:v>
      </x:c>
      <x:c r="E2106" s="29" t="n">
        <x:f>YEAR(B2106)</x:f>
        <x:v>2015</x:v>
      </x:c>
      <x:c r="F2106" s="29" t="n">
        <x:f>MONTH(B2106)</x:f>
        <x:v>7</x:v>
      </x:c>
      <x:c r="G2106" s="30" t="n">
        <x:v>-22.69</x:v>
      </x:c>
      <x:c r="H2106" s="30" t="n">
        <x:v>-69.05</x:v>
      </x:c>
      <x:c r="I2106" s="29" t="n">
        <x:v>105</x:v>
      </x:c>
      <x:c r="J2106" s="31" t="n">
        <x:v>4</x:v>
      </x:c>
      <x:c r="K2106" s="25" t="str">
        <x:f>IF(J2106&gt;=7,"Muy fuerte (&gt;=7)",IF(J2106&gt;=6,"Fuerte (6-6.9)",IF(J2106&gt;=5,"Moderado alto (5-5.9)",IF(J2106&gt;=4,"Moderado (4-4.9)","Menor a 4"))))</x:f>
        <x:v>Moderado (4-4.9)</x:v>
      </x:c>
      <x:c r="L2106" s="25" t="str">
        <x:f>IF(I2106&lt;70,"Superficial (&lt;70 km)",IF(I2106&lt;=300,"Intermedio (70-300 km)","Profundo (&gt;300 km)"))</x:f>
        <x:v>Intermedio (70-300 km)</x:v>
      </x:c>
      <x:c r="M2106" s="25" t="str">
        <x:f>IF(J2106&gt;=5,"Sí","No")</x:f>
        <x:v>No</x:v>
      </x:c>
      <x:c r="N2106" s="25" t="str">
        <x:f>IF(J2106&gt;=6,"Sí","No")</x:f>
        <x:v>No</x:v>
      </x:c>
      <x:c r="O2106" s="25" t="str">
        <x:v>Pendiente: asignar con R/sf</x:v>
      </x:c>
    </x:row>
    <x:row r="2107">
      <x:c r="A2107" s="25" t="n">
        <x:v>2106</x:v>
      </x:c>
      <x:c r="B2107" s="26" t="n">
        <x:v>42095.66266203704</x:v>
      </x:c>
      <x:c r="C2107" s="27" t="n">
        <x:f>INT(B2107)</x:f>
        <x:v>42095</x:v>
      </x:c>
      <x:c r="D2107" s="28" t="n">
        <x:f>MOD(B2107,1)</x:f>
        <x:v>0.6626620370370802</x:v>
      </x:c>
      <x:c r="E2107" s="29" t="n">
        <x:f>YEAR(B2107)</x:f>
        <x:v>2015</x:v>
      </x:c>
      <x:c r="F2107" s="29" t="n">
        <x:f>MONTH(B2107)</x:f>
        <x:v>4</x:v>
      </x:c>
      <x:c r="G2107" s="30" t="n">
        <x:v>-33.74</x:v>
      </x:c>
      <x:c r="H2107" s="30" t="n">
        <x:v>-71.02</x:v>
      </x:c>
      <x:c r="I2107" s="29" t="n">
        <x:v>66</x:v>
      </x:c>
      <x:c r="J2107" s="31" t="n">
        <x:v>4</x:v>
      </x:c>
      <x:c r="K2107" s="25" t="str">
        <x:f>IF(J2107&gt;=7,"Muy fuerte (&gt;=7)",IF(J2107&gt;=6,"Fuerte (6-6.9)",IF(J2107&gt;=5,"Moderado alto (5-5.9)",IF(J2107&gt;=4,"Moderado (4-4.9)","Menor a 4"))))</x:f>
        <x:v>Moderado (4-4.9)</x:v>
      </x:c>
      <x:c r="L2107" s="25" t="str">
        <x:f>IF(I2107&lt;70,"Superficial (&lt;70 km)",IF(I2107&lt;=300,"Intermedio (70-300 km)","Profundo (&gt;300 km)"))</x:f>
        <x:v>Superficial (&lt;70 km)</x:v>
      </x:c>
      <x:c r="M2107" s="25" t="str">
        <x:f>IF(J2107&gt;=5,"Sí","No")</x:f>
        <x:v>No</x:v>
      </x:c>
      <x:c r="N2107" s="25" t="str">
        <x:f>IF(J2107&gt;=6,"Sí","No")</x:f>
        <x:v>No</x:v>
      </x:c>
      <x:c r="O2107" s="25" t="str">
        <x:v>Pendiente: asignar con R/sf</x:v>
      </x:c>
    </x:row>
    <x:row r="2108">
      <x:c r="A2108" s="25" t="n">
        <x:v>2107</x:v>
      </x:c>
      <x:c r="B2108" s="26" t="n">
        <x:v>42266.54791666667</x:v>
      </x:c>
      <x:c r="C2108" s="27" t="n">
        <x:f>INT(B2108)</x:f>
        <x:v>42266</x:v>
      </x:c>
      <x:c r="D2108" s="28" t="n">
        <x:f>MOD(B2108,1)</x:f>
        <x:v>0.5479166666700621</x:v>
      </x:c>
      <x:c r="E2108" s="29" t="n">
        <x:f>YEAR(B2108)</x:f>
        <x:v>2015</x:v>
      </x:c>
      <x:c r="F2108" s="29" t="n">
        <x:f>MONTH(B2108)</x:f>
        <x:v>9</x:v>
      </x:c>
      <x:c r="G2108" s="30" t="n">
        <x:v>-30.62</x:v>
      </x:c>
      <x:c r="H2108" s="30" t="n">
        <x:v>-71.91</x:v>
      </x:c>
      <x:c r="I2108" s="29" t="n">
        <x:v>29</x:v>
      </x:c>
      <x:c r="J2108" s="31" t="n">
        <x:v>5.7</x:v>
      </x:c>
      <x:c r="K2108" s="25" t="str">
        <x:f>IF(J2108&gt;=7,"Muy fuerte (&gt;=7)",IF(J2108&gt;=6,"Fuerte (6-6.9)",IF(J2108&gt;=5,"Moderado alto (5-5.9)",IF(J2108&gt;=4,"Moderado (4-4.9)","Menor a 4"))))</x:f>
        <x:v>Moderado alto (5-5.9)</x:v>
      </x:c>
      <x:c r="L2108" s="25" t="str">
        <x:f>IF(I2108&lt;70,"Superficial (&lt;70 km)",IF(I2108&lt;=300,"Intermedio (70-300 km)","Profundo (&gt;300 km)"))</x:f>
        <x:v>Superficial (&lt;70 km)</x:v>
      </x:c>
      <x:c r="M2108" s="25" t="str">
        <x:f>IF(J2108&gt;=5,"Sí","No")</x:f>
        <x:v>Sí</x:v>
      </x:c>
      <x:c r="N2108" s="25" t="str">
        <x:f>IF(J2108&gt;=6,"Sí","No")</x:f>
        <x:v>No</x:v>
      </x:c>
      <x:c r="O2108" s="25" t="str">
        <x:v>Pendiente: asignar con R/sf</x:v>
      </x:c>
    </x:row>
    <x:row r="2109">
      <x:c r="A2109" s="25" t="n">
        <x:v>2108</x:v>
      </x:c>
      <x:c r="B2109" s="26" t="n">
        <x:v>42329.67469907407</x:v>
      </x:c>
      <x:c r="C2109" s="27" t="n">
        <x:f>INT(B2109)</x:f>
        <x:v>42329</x:v>
      </x:c>
      <x:c r="D2109" s="28" t="n">
        <x:f>MOD(B2109,1)</x:f>
        <x:v>0.674699074072123</x:v>
      </x:c>
      <x:c r="E2109" s="29" t="n">
        <x:f>YEAR(B2109)</x:f>
        <x:v>2015</x:v>
      </x:c>
      <x:c r="F2109" s="29" t="n">
        <x:f>MONTH(B2109)</x:f>
        <x:v>11</x:v>
      </x:c>
      <x:c r="G2109" s="30" t="n">
        <x:v>-34.95</x:v>
      </x:c>
      <x:c r="H2109" s="30" t="n">
        <x:v>-71.63</x:v>
      </x:c>
      <x:c r="I2109" s="29" t="n">
        <x:v>47</x:v>
      </x:c>
      <x:c r="J2109" s="31" t="n">
        <x:v>4.2</x:v>
      </x:c>
      <x:c r="K2109" s="25" t="str">
        <x:f>IF(J2109&gt;=7,"Muy fuerte (&gt;=7)",IF(J2109&gt;=6,"Fuerte (6-6.9)",IF(J2109&gt;=5,"Moderado alto (5-5.9)",IF(J2109&gt;=4,"Moderado (4-4.9)","Menor a 4"))))</x:f>
        <x:v>Moderado (4-4.9)</x:v>
      </x:c>
      <x:c r="L2109" s="25" t="str">
        <x:f>IF(I2109&lt;70,"Superficial (&lt;70 km)",IF(I2109&lt;=300,"Intermedio (70-300 km)","Profundo (&gt;300 km)"))</x:f>
        <x:v>Superficial (&lt;70 km)</x:v>
      </x:c>
      <x:c r="M2109" s="25" t="str">
        <x:f>IF(J2109&gt;=5,"Sí","No")</x:f>
        <x:v>No</x:v>
      </x:c>
      <x:c r="N2109" s="25" t="str">
        <x:f>IF(J2109&gt;=6,"Sí","No")</x:f>
        <x:v>No</x:v>
      </x:c>
      <x:c r="O2109" s="25" t="str">
        <x:v>Pendiente: asignar con R/sf</x:v>
      </x:c>
    </x:row>
    <x:row r="2110">
      <x:c r="A2110" s="25" t="n">
        <x:v>2109</x:v>
      </x:c>
      <x:c r="B2110" s="26" t="n">
        <x:v>42273.127337962964</x:v>
      </x:c>
      <x:c r="C2110" s="27" t="n">
        <x:f>INT(B2110)</x:f>
        <x:v>42273</x:v>
      </x:c>
      <x:c r="D2110" s="28" t="n">
        <x:f>MOD(B2110,1)</x:f>
        <x:v>0.12733796296379296</x:v>
      </x:c>
      <x:c r="E2110" s="29" t="n">
        <x:f>YEAR(B2110)</x:f>
        <x:v>2015</x:v>
      </x:c>
      <x:c r="F2110" s="29" t="n">
        <x:f>MONTH(B2110)</x:f>
        <x:v>9</x:v>
      </x:c>
      <x:c r="G2110" s="30" t="n">
        <x:v>-30.77</x:v>
      </x:c>
      <x:c r="H2110" s="30" t="n">
        <x:v>-71.41</x:v>
      </x:c>
      <x:c r="I2110" s="29" t="n">
        <x:v>38</x:v>
      </x:c>
      <x:c r="J2110" s="31" t="n">
        <x:v>4.4</x:v>
      </x:c>
      <x:c r="K2110" s="25" t="str">
        <x:f>IF(J2110&gt;=7,"Muy fuerte (&gt;=7)",IF(J2110&gt;=6,"Fuerte (6-6.9)",IF(J2110&gt;=5,"Moderado alto (5-5.9)",IF(J2110&gt;=4,"Moderado (4-4.9)","Menor a 4"))))</x:f>
        <x:v>Moderado (4-4.9)</x:v>
      </x:c>
      <x:c r="L2110" s="25" t="str">
        <x:f>IF(I2110&lt;70,"Superficial (&lt;70 km)",IF(I2110&lt;=300,"Intermedio (70-300 km)","Profundo (&gt;300 km)"))</x:f>
        <x:v>Superficial (&lt;70 km)</x:v>
      </x:c>
      <x:c r="M2110" s="25" t="str">
        <x:f>IF(J2110&gt;=5,"Sí","No")</x:f>
        <x:v>No</x:v>
      </x:c>
      <x:c r="N2110" s="25" t="str">
        <x:f>IF(J2110&gt;=6,"Sí","No")</x:f>
        <x:v>No</x:v>
      </x:c>
      <x:c r="O2110" s="25" t="str">
        <x:v>Pendiente: asignar con R/sf</x:v>
      </x:c>
    </x:row>
    <x:row r="2111">
      <x:c r="A2111" s="25" t="n">
        <x:v>2110</x:v>
      </x:c>
      <x:c r="B2111" s="26" t="n">
        <x:v>42289.624548611115</x:v>
      </x:c>
      <x:c r="C2111" s="27" t="n">
        <x:f>INT(B2111)</x:f>
        <x:v>42289</x:v>
      </x:c>
      <x:c r="D2111" s="28" t="n">
        <x:f>MOD(B2111,1)</x:f>
        <x:v>0.6245486111147329</x:v>
      </x:c>
      <x:c r="E2111" s="29" t="n">
        <x:f>YEAR(B2111)</x:f>
        <x:v>2015</x:v>
      </x:c>
      <x:c r="F2111" s="29" t="n">
        <x:f>MONTH(B2111)</x:f>
        <x:v>10</x:v>
      </x:c>
      <x:c r="G2111" s="30" t="n">
        <x:v>-30.57</x:v>
      </x:c>
      <x:c r="H2111" s="30" t="n">
        <x:v>-71.71</x:v>
      </x:c>
      <x:c r="I2111" s="29" t="n">
        <x:v>36</x:v>
      </x:c>
      <x:c r="J2111" s="31" t="n">
        <x:v>4.7</x:v>
      </x:c>
      <x:c r="K2111" s="25" t="str">
        <x:f>IF(J2111&gt;=7,"Muy fuerte (&gt;=7)",IF(J2111&gt;=6,"Fuerte (6-6.9)",IF(J2111&gt;=5,"Moderado alto (5-5.9)",IF(J2111&gt;=4,"Moderado (4-4.9)","Menor a 4"))))</x:f>
        <x:v>Moderado (4-4.9)</x:v>
      </x:c>
      <x:c r="L2111" s="25" t="str">
        <x:f>IF(I2111&lt;70,"Superficial (&lt;70 km)",IF(I2111&lt;=300,"Intermedio (70-300 km)","Profundo (&gt;300 km)"))</x:f>
        <x:v>Superficial (&lt;70 km)</x:v>
      </x:c>
      <x:c r="M2111" s="25" t="str">
        <x:f>IF(J2111&gt;=5,"Sí","No")</x:f>
        <x:v>No</x:v>
      </x:c>
      <x:c r="N2111" s="25" t="str">
        <x:f>IF(J2111&gt;=6,"Sí","No")</x:f>
        <x:v>No</x:v>
      </x:c>
      <x:c r="O2111" s="25" t="str">
        <x:v>Pendiente: asignar con R/sf</x:v>
      </x:c>
    </x:row>
    <x:row r="2112">
      <x:c r="A2112" s="25" t="n">
        <x:v>2111</x:v>
      </x:c>
      <x:c r="B2112" s="26" t="n">
        <x:v>42024.73244212963</x:v>
      </x:c>
      <x:c r="C2112" s="27" t="n">
        <x:f>INT(B2112)</x:f>
        <x:v>42024</x:v>
      </x:c>
      <x:c r="D2112" s="28" t="n">
        <x:f>MOD(B2112,1)</x:f>
        <x:v>0.7324421296289074</x:v>
      </x:c>
      <x:c r="E2112" s="29" t="n">
        <x:f>YEAR(B2112)</x:f>
        <x:v>2015</x:v>
      </x:c>
      <x:c r="F2112" s="29" t="n">
        <x:f>MONTH(B2112)</x:f>
        <x:v>1</x:v>
      </x:c>
      <x:c r="G2112" s="30" t="n">
        <x:v>-23.41</x:v>
      </x:c>
      <x:c r="H2112" s="30" t="n">
        <x:v>-70.46</x:v>
      </x:c>
      <x:c r="I2112" s="29" t="n">
        <x:v>47</x:v>
      </x:c>
      <x:c r="J2112" s="31" t="n">
        <x:v>5.2</x:v>
      </x:c>
      <x:c r="K2112" s="25" t="str">
        <x:f>IF(J2112&gt;=7,"Muy fuerte (&gt;=7)",IF(J2112&gt;=6,"Fuerte (6-6.9)",IF(J2112&gt;=5,"Moderado alto (5-5.9)",IF(J2112&gt;=4,"Moderado (4-4.9)","Menor a 4"))))</x:f>
        <x:v>Moderado alto (5-5.9)</x:v>
      </x:c>
      <x:c r="L2112" s="25" t="str">
        <x:f>IF(I2112&lt;70,"Superficial (&lt;70 km)",IF(I2112&lt;=300,"Intermedio (70-300 km)","Profundo (&gt;300 km)"))</x:f>
        <x:v>Superficial (&lt;70 km)</x:v>
      </x:c>
      <x:c r="M2112" s="25" t="str">
        <x:f>IF(J2112&gt;=5,"Sí","No")</x:f>
        <x:v>Sí</x:v>
      </x:c>
      <x:c r="N2112" s="25" t="str">
        <x:f>IF(J2112&gt;=6,"Sí","No")</x:f>
        <x:v>No</x:v>
      </x:c>
      <x:c r="O2112" s="25" t="str">
        <x:v>Pendiente: asignar con R/sf</x:v>
      </x:c>
    </x:row>
    <x:row r="2113">
      <x:c r="A2113" s="25" t="n">
        <x:v>2112</x:v>
      </x:c>
      <x:c r="B2113" s="26" t="n">
        <x:v>42330.928402777776</x:v>
      </x:c>
      <x:c r="C2113" s="27" t="n">
        <x:f>INT(B2113)</x:f>
        <x:v>42330</x:v>
      </x:c>
      <x:c r="D2113" s="28" t="n">
        <x:f>MOD(B2113,1)</x:f>
        <x:v>0.9284027777757728</x:v>
      </x:c>
      <x:c r="E2113" s="29" t="n">
        <x:f>YEAR(B2113)</x:f>
        <x:v>2015</x:v>
      </x:c>
      <x:c r="F2113" s="29" t="n">
        <x:f>MONTH(B2113)</x:f>
        <x:v>11</x:v>
      </x:c>
      <x:c r="G2113" s="30" t="n">
        <x:v>-23.63</x:v>
      </x:c>
      <x:c r="H2113" s="30" t="n">
        <x:v>-69.05</x:v>
      </x:c>
      <x:c r="I2113" s="29" t="n">
        <x:v>97</x:v>
      </x:c>
      <x:c r="J2113" s="31" t="n">
        <x:v>5.1</x:v>
      </x:c>
      <x:c r="K2113" s="25" t="str">
        <x:f>IF(J2113&gt;=7,"Muy fuerte (&gt;=7)",IF(J2113&gt;=6,"Fuerte (6-6.9)",IF(J2113&gt;=5,"Moderado alto (5-5.9)",IF(J2113&gt;=4,"Moderado (4-4.9)","Menor a 4"))))</x:f>
        <x:v>Moderado alto (5-5.9)</x:v>
      </x:c>
      <x:c r="L2113" s="25" t="str">
        <x:f>IF(I2113&lt;70,"Superficial (&lt;70 km)",IF(I2113&lt;=300,"Intermedio (70-300 km)","Profundo (&gt;300 km)"))</x:f>
        <x:v>Intermedio (70-300 km)</x:v>
      </x:c>
      <x:c r="M2113" s="25" t="str">
        <x:f>IF(J2113&gt;=5,"Sí","No")</x:f>
        <x:v>Sí</x:v>
      </x:c>
      <x:c r="N2113" s="25" t="str">
        <x:f>IF(J2113&gt;=6,"Sí","No")</x:f>
        <x:v>No</x:v>
      </x:c>
      <x:c r="O2113" s="25" t="str">
        <x:v>Pendiente: asignar con R/sf</x:v>
      </x:c>
    </x:row>
    <x:row r="2114">
      <x:c r="A2114" s="25" t="n">
        <x:v>2113</x:v>
      </x:c>
      <x:c r="B2114" s="26" t="n">
        <x:v>42140.369375</x:v>
      </x:c>
      <x:c r="C2114" s="27" t="n">
        <x:f>INT(B2114)</x:f>
        <x:v>42140</x:v>
      </x:c>
      <x:c r="D2114" s="28" t="n">
        <x:f>MOD(B2114,1)</x:f>
        <x:v>0.36937500000203727</x:v>
      </x:c>
      <x:c r="E2114" s="29" t="n">
        <x:f>YEAR(B2114)</x:f>
        <x:v>2015</x:v>
      </x:c>
      <x:c r="F2114" s="29" t="n">
        <x:f>MONTH(B2114)</x:f>
        <x:v>5</x:v>
      </x:c>
      <x:c r="G2114" s="30" t="n">
        <x:v>-33.08</x:v>
      </x:c>
      <x:c r="H2114" s="30" t="n">
        <x:v>-71.93</x:v>
      </x:c>
      <x:c r="I2114" s="29" t="n">
        <x:v>33</x:v>
      </x:c>
      <x:c r="J2114" s="31" t="n">
        <x:v>4.6</x:v>
      </x:c>
      <x:c r="K2114" s="25" t="str">
        <x:f>IF(J2114&gt;=7,"Muy fuerte (&gt;=7)",IF(J2114&gt;=6,"Fuerte (6-6.9)",IF(J2114&gt;=5,"Moderado alto (5-5.9)",IF(J2114&gt;=4,"Moderado (4-4.9)","Menor a 4"))))</x:f>
        <x:v>Moderado (4-4.9)</x:v>
      </x:c>
      <x:c r="L2114" s="25" t="str">
        <x:f>IF(I2114&lt;70,"Superficial (&lt;70 km)",IF(I2114&lt;=300,"Intermedio (70-300 km)","Profundo (&gt;300 km)"))</x:f>
        <x:v>Superficial (&lt;70 km)</x:v>
      </x:c>
      <x:c r="M2114" s="25" t="str">
        <x:f>IF(J2114&gt;=5,"Sí","No")</x:f>
        <x:v>No</x:v>
      </x:c>
      <x:c r="N2114" s="25" t="str">
        <x:f>IF(J2114&gt;=6,"Sí","No")</x:f>
        <x:v>No</x:v>
      </x:c>
      <x:c r="O2114" s="25" t="str">
        <x:v>Pendiente: asignar con R/sf</x:v>
      </x:c>
    </x:row>
    <x:row r="2115">
      <x:c r="A2115" s="25" t="n">
        <x:v>2114</x:v>
      </x:c>
      <x:c r="B2115" s="26" t="n">
        <x:v>42177.38449074074</x:v>
      </x:c>
      <x:c r="C2115" s="27" t="n">
        <x:f>INT(B2115)</x:f>
        <x:v>42177</x:v>
      </x:c>
      <x:c r="D2115" s="28" t="n">
        <x:f>MOD(B2115,1)</x:f>
        <x:v>0.3844907407401479</x:v>
      </x:c>
      <x:c r="E2115" s="29" t="n">
        <x:f>YEAR(B2115)</x:f>
        <x:v>2015</x:v>
      </x:c>
      <x:c r="F2115" s="29" t="n">
        <x:f>MONTH(B2115)</x:f>
        <x:v>6</x:v>
      </x:c>
      <x:c r="G2115" s="30" t="n">
        <x:v>-33.78</x:v>
      </x:c>
      <x:c r="H2115" s="30" t="n">
        <x:v>-70.47</x:v>
      </x:c>
      <x:c r="I2115" s="29" t="n">
        <x:v>105</x:v>
      </x:c>
      <x:c r="J2115" s="31" t="n">
        <x:v>4.9</x:v>
      </x:c>
      <x:c r="K2115" s="25" t="str">
        <x:f>IF(J2115&gt;=7,"Muy fuerte (&gt;=7)",IF(J2115&gt;=6,"Fuerte (6-6.9)",IF(J2115&gt;=5,"Moderado alto (5-5.9)",IF(J2115&gt;=4,"Moderado (4-4.9)","Menor a 4"))))</x:f>
        <x:v>Moderado (4-4.9)</x:v>
      </x:c>
      <x:c r="L2115" s="25" t="str">
        <x:f>IF(I2115&lt;70,"Superficial (&lt;70 km)",IF(I2115&lt;=300,"Intermedio (70-300 km)","Profundo (&gt;300 km)"))</x:f>
        <x:v>Intermedio (70-300 km)</x:v>
      </x:c>
      <x:c r="M2115" s="25" t="str">
        <x:f>IF(J2115&gt;=5,"Sí","No")</x:f>
        <x:v>No</x:v>
      </x:c>
      <x:c r="N2115" s="25" t="str">
        <x:f>IF(J2115&gt;=6,"Sí","No")</x:f>
        <x:v>No</x:v>
      </x:c>
      <x:c r="O2115" s="25" t="str">
        <x:v>Pendiente: asignar con R/sf</x:v>
      </x:c>
    </x:row>
    <x:row r="2116">
      <x:c r="A2116" s="25" t="n">
        <x:v>2115</x:v>
      </x:c>
      <x:c r="B2116" s="26" t="n">
        <x:v>42319.07958333333</x:v>
      </x:c>
      <x:c r="C2116" s="27" t="n">
        <x:f>INT(B2116)</x:f>
        <x:v>42319</x:v>
      </x:c>
      <x:c r="D2116" s="28" t="n">
        <x:f>MOD(B2116,1)</x:f>
        <x:v>0.07958333333226619</x:v>
      </x:c>
      <x:c r="E2116" s="29" t="n">
        <x:f>YEAR(B2116)</x:f>
        <x:v>2015</x:v>
      </x:c>
      <x:c r="F2116" s="29" t="n">
        <x:f>MONTH(B2116)</x:f>
        <x:v>11</x:v>
      </x:c>
      <x:c r="G2116" s="30" t="n">
        <x:v>-29.46</x:v>
      </x:c>
      <x:c r="H2116" s="30" t="n">
        <x:v>-72.12</x:v>
      </x:c>
      <x:c r="I2116" s="29" t="n">
        <x:v>33</x:v>
      </x:c>
      <x:c r="J2116" s="31" t="n">
        <x:v>6.9</x:v>
      </x:c>
      <x:c r="K2116" s="25" t="str">
        <x:f>IF(J2116&gt;=7,"Muy fuerte (&gt;=7)",IF(J2116&gt;=6,"Fuerte (6-6.9)",IF(J2116&gt;=5,"Moderado alto (5-5.9)",IF(J2116&gt;=4,"Moderado (4-4.9)","Menor a 4"))))</x:f>
        <x:v>Fuerte (6-6.9)</x:v>
      </x:c>
      <x:c r="L2116" s="25" t="str">
        <x:f>IF(I2116&lt;70,"Superficial (&lt;70 km)",IF(I2116&lt;=300,"Intermedio (70-300 km)","Profundo (&gt;300 km)"))</x:f>
        <x:v>Superficial (&lt;70 km)</x:v>
      </x:c>
      <x:c r="M2116" s="25" t="str">
        <x:f>IF(J2116&gt;=5,"Sí","No")</x:f>
        <x:v>Sí</x:v>
      </x:c>
      <x:c r="N2116" s="25" t="str">
        <x:f>IF(J2116&gt;=6,"Sí","No")</x:f>
        <x:v>Sí</x:v>
      </x:c>
      <x:c r="O2116" s="25" t="str">
        <x:v>Pendiente: asignar con R/sf</x:v>
      </x:c>
    </x:row>
    <x:row r="2117">
      <x:c r="A2117" s="25" t="n">
        <x:v>2116</x:v>
      </x:c>
      <x:c r="B2117" s="26" t="n">
        <x:v>42289.07414351852</x:v>
      </x:c>
      <x:c r="C2117" s="27" t="n">
        <x:f>INT(B2117)</x:f>
        <x:v>42289</x:v>
      </x:c>
      <x:c r="D2117" s="28" t="n">
        <x:f>MOD(B2117,1)</x:f>
        <x:v>0.07414351851912215</x:v>
      </x:c>
      <x:c r="E2117" s="29" t="n">
        <x:f>YEAR(B2117)</x:f>
        <x:v>2015</x:v>
      </x:c>
      <x:c r="F2117" s="29" t="n">
        <x:f>MONTH(B2117)</x:f>
        <x:v>10</x:v>
      </x:c>
      <x:c r="G2117" s="30" t="n">
        <x:v>-30.7</x:v>
      </x:c>
      <x:c r="H2117" s="30" t="n">
        <x:v>-71.43</x:v>
      </x:c>
      <x:c r="I2117" s="29" t="n">
        <x:v>46</x:v>
      </x:c>
      <x:c r="J2117" s="31" t="n">
        <x:v>4.3</x:v>
      </x:c>
      <x:c r="K2117" s="25" t="str">
        <x:f>IF(J2117&gt;=7,"Muy fuerte (&gt;=7)",IF(J2117&gt;=6,"Fuerte (6-6.9)",IF(J2117&gt;=5,"Moderado alto (5-5.9)",IF(J2117&gt;=4,"Moderado (4-4.9)","Menor a 4"))))</x:f>
        <x:v>Moderado (4-4.9)</x:v>
      </x:c>
      <x:c r="L2117" s="25" t="str">
        <x:f>IF(I2117&lt;70,"Superficial (&lt;70 km)",IF(I2117&lt;=300,"Intermedio (70-300 km)","Profundo (&gt;300 km)"))</x:f>
        <x:v>Superficial (&lt;70 km)</x:v>
      </x:c>
      <x:c r="M2117" s="25" t="str">
        <x:f>IF(J2117&gt;=5,"Sí","No")</x:f>
        <x:v>No</x:v>
      </x:c>
      <x:c r="N2117" s="25" t="str">
        <x:f>IF(J2117&gt;=6,"Sí","No")</x:f>
        <x:v>No</x:v>
      </x:c>
      <x:c r="O2117" s="25" t="str">
        <x:v>Pendiente: asignar con R/sf</x:v>
      </x:c>
    </x:row>
    <x:row r="2118">
      <x:c r="A2118" s="25" t="n">
        <x:v>2117</x:v>
      </x:c>
      <x:c r="B2118" s="26" t="n">
        <x:v>42202.46622685185</x:v>
      </x:c>
      <x:c r="C2118" s="27" t="n">
        <x:f>INT(B2118)</x:f>
        <x:v>42202</x:v>
      </x:c>
      <x:c r="D2118" s="28" t="n">
        <x:f>MOD(B2118,1)</x:f>
        <x:v>0.46622685185138835</x:v>
      </x:c>
      <x:c r="E2118" s="29" t="n">
        <x:f>YEAR(B2118)</x:f>
        <x:v>2015</x:v>
      </x:c>
      <x:c r="F2118" s="29" t="n">
        <x:f>MONTH(B2118)</x:f>
        <x:v>7</x:v>
      </x:c>
      <x:c r="G2118" s="30" t="n">
        <x:v>-35.52</x:v>
      </x:c>
      <x:c r="H2118" s="30" t="n">
        <x:v>-73.35</x:v>
      </x:c>
      <x:c r="I2118" s="29" t="n">
        <x:v>37</x:v>
      </x:c>
      <x:c r="J2118" s="31" t="n">
        <x:v>5.3</x:v>
      </x:c>
      <x:c r="K2118" s="25" t="str">
        <x:f>IF(J2118&gt;=7,"Muy fuerte (&gt;=7)",IF(J2118&gt;=6,"Fuerte (6-6.9)",IF(J2118&gt;=5,"Moderado alto (5-5.9)",IF(J2118&gt;=4,"Moderado (4-4.9)","Menor a 4"))))</x:f>
        <x:v>Moderado alto (5-5.9)</x:v>
      </x:c>
      <x:c r="L2118" s="25" t="str">
        <x:f>IF(I2118&lt;70,"Superficial (&lt;70 km)",IF(I2118&lt;=300,"Intermedio (70-300 km)","Profundo (&gt;300 km)"))</x:f>
        <x:v>Superficial (&lt;70 km)</x:v>
      </x:c>
      <x:c r="M2118" s="25" t="str">
        <x:f>IF(J2118&gt;=5,"Sí","No")</x:f>
        <x:v>Sí</x:v>
      </x:c>
      <x:c r="N2118" s="25" t="str">
        <x:f>IF(J2118&gt;=6,"Sí","No")</x:f>
        <x:v>No</x:v>
      </x:c>
      <x:c r="O2118" s="25" t="str">
        <x:v>Pendiente: asignar con R/sf</x:v>
      </x:c>
    </x:row>
    <x:row r="2119">
      <x:c r="A2119" s="25" t="n">
        <x:v>2118</x:v>
      </x:c>
      <x:c r="B2119" s="26" t="n">
        <x:v>42335.90640046296</x:v>
      </x:c>
      <x:c r="C2119" s="27" t="n">
        <x:f>INT(B2119)</x:f>
        <x:v>42335</x:v>
      </x:c>
      <x:c r="D2119" s="28" t="n">
        <x:f>MOD(B2119,1)</x:f>
        <x:v>0.9064004629617557</x:v>
      </x:c>
      <x:c r="E2119" s="29" t="n">
        <x:f>YEAR(B2119)</x:f>
        <x:v>2015</x:v>
      </x:c>
      <x:c r="F2119" s="29" t="n">
        <x:f>MONTH(B2119)</x:f>
        <x:v>11</x:v>
      </x:c>
      <x:c r="G2119" s="30" t="n">
        <x:v>-24.74</x:v>
      </x:c>
      <x:c r="H2119" s="30" t="n">
        <x:v>-70.55</x:v>
      </x:c>
      <x:c r="I2119" s="29" t="n">
        <x:v>39</x:v>
      </x:c>
      <x:c r="J2119" s="31" t="n">
        <x:v>5</x:v>
      </x:c>
      <x:c r="K2119" s="25" t="str">
        <x:f>IF(J2119&gt;=7,"Muy fuerte (&gt;=7)",IF(J2119&gt;=6,"Fuerte (6-6.9)",IF(J2119&gt;=5,"Moderado alto (5-5.9)",IF(J2119&gt;=4,"Moderado (4-4.9)","Menor a 4"))))</x:f>
        <x:v>Moderado alto (5-5.9)</x:v>
      </x:c>
      <x:c r="L2119" s="25" t="str">
        <x:f>IF(I2119&lt;70,"Superficial (&lt;70 km)",IF(I2119&lt;=300,"Intermedio (70-300 km)","Profundo (&gt;300 km)"))</x:f>
        <x:v>Superficial (&lt;70 km)</x:v>
      </x:c>
      <x:c r="M2119" s="25" t="str">
        <x:f>IF(J2119&gt;=5,"Sí","No")</x:f>
        <x:v>Sí</x:v>
      </x:c>
      <x:c r="N2119" s="25" t="str">
        <x:f>IF(J2119&gt;=6,"Sí","No")</x:f>
        <x:v>No</x:v>
      </x:c>
      <x:c r="O2119" s="25" t="str">
        <x:v>Pendiente: asignar con R/sf</x:v>
      </x:c>
    </x:row>
    <x:row r="2120">
      <x:c r="A2120" s="25" t="n">
        <x:v>2119</x:v>
      </x:c>
      <x:c r="B2120" s="26" t="n">
        <x:v>42271.690347222226</x:v>
      </x:c>
      <x:c r="C2120" s="27" t="n">
        <x:f>INT(B2120)</x:f>
        <x:v>42271</x:v>
      </x:c>
      <x:c r="D2120" s="28" t="n">
        <x:f>MOD(B2120,1)</x:f>
        <x:v>0.6903472222256823</x:v>
      </x:c>
      <x:c r="E2120" s="29" t="n">
        <x:f>YEAR(B2120)</x:f>
        <x:v>2015</x:v>
      </x:c>
      <x:c r="F2120" s="29" t="n">
        <x:f>MONTH(B2120)</x:f>
        <x:v>9</x:v>
      </x:c>
      <x:c r="G2120" s="30" t="n">
        <x:v>-30.71</x:v>
      </x:c>
      <x:c r="H2120" s="30" t="n">
        <x:v>-71.43</x:v>
      </x:c>
      <x:c r="I2120" s="29" t="n">
        <x:v>48</x:v>
      </x:c>
      <x:c r="J2120" s="31" t="n">
        <x:v>4.4</x:v>
      </x:c>
      <x:c r="K2120" s="25" t="str">
        <x:f>IF(J2120&gt;=7,"Muy fuerte (&gt;=7)",IF(J2120&gt;=6,"Fuerte (6-6.9)",IF(J2120&gt;=5,"Moderado alto (5-5.9)",IF(J2120&gt;=4,"Moderado (4-4.9)","Menor a 4"))))</x:f>
        <x:v>Moderado (4-4.9)</x:v>
      </x:c>
      <x:c r="L2120" s="25" t="str">
        <x:f>IF(I2120&lt;70,"Superficial (&lt;70 km)",IF(I2120&lt;=300,"Intermedio (70-300 km)","Profundo (&gt;300 km)"))</x:f>
        <x:v>Superficial (&lt;70 km)</x:v>
      </x:c>
      <x:c r="M2120" s="25" t="str">
        <x:f>IF(J2120&gt;=5,"Sí","No")</x:f>
        <x:v>No</x:v>
      </x:c>
      <x:c r="N2120" s="25" t="str">
        <x:f>IF(J2120&gt;=6,"Sí","No")</x:f>
        <x:v>No</x:v>
      </x:c>
      <x:c r="O2120" s="25" t="str">
        <x:v>Pendiente: asignar con R/sf</x:v>
      </x:c>
    </x:row>
    <x:row r="2121">
      <x:c r="A2121" s="25" t="n">
        <x:v>2120</x:v>
      </x:c>
      <x:c r="B2121" s="26" t="n">
        <x:v>42065.703993055555</x:v>
      </x:c>
      <x:c r="C2121" s="27" t="n">
        <x:f>INT(B2121)</x:f>
        <x:v>42065</x:v>
      </x:c>
      <x:c r="D2121" s="28" t="n">
        <x:f>MOD(B2121,1)</x:f>
        <x:v>0.7039930555547471</x:v>
      </x:c>
      <x:c r="E2121" s="29" t="n">
        <x:f>YEAR(B2121)</x:f>
        <x:v>2015</x:v>
      </x:c>
      <x:c r="F2121" s="29" t="n">
        <x:f>MONTH(B2121)</x:f>
        <x:v>3</x:v>
      </x:c>
      <x:c r="G2121" s="30" t="n">
        <x:v>-27.91</x:v>
      </x:c>
      <x:c r="H2121" s="30" t="n">
        <x:v>-71.03</x:v>
      </x:c>
      <x:c r="I2121" s="29" t="n">
        <x:v>34</x:v>
      </x:c>
      <x:c r="J2121" s="31" t="n">
        <x:v>5.2</x:v>
      </x:c>
      <x:c r="K2121" s="25" t="str">
        <x:f>IF(J2121&gt;=7,"Muy fuerte (&gt;=7)",IF(J2121&gt;=6,"Fuerte (6-6.9)",IF(J2121&gt;=5,"Moderado alto (5-5.9)",IF(J2121&gt;=4,"Moderado (4-4.9)","Menor a 4"))))</x:f>
        <x:v>Moderado alto (5-5.9)</x:v>
      </x:c>
      <x:c r="L2121" s="25" t="str">
        <x:f>IF(I2121&lt;70,"Superficial (&lt;70 km)",IF(I2121&lt;=300,"Intermedio (70-300 km)","Profundo (&gt;300 km)"))</x:f>
        <x:v>Superficial (&lt;70 km)</x:v>
      </x:c>
      <x:c r="M2121" s="25" t="str">
        <x:f>IF(J2121&gt;=5,"Sí","No")</x:f>
        <x:v>Sí</x:v>
      </x:c>
      <x:c r="N2121" s="25" t="str">
        <x:f>IF(J2121&gt;=6,"Sí","No")</x:f>
        <x:v>No</x:v>
      </x:c>
      <x:c r="O2121" s="25" t="str">
        <x:v>Pendiente: asignar con R/sf</x:v>
      </x:c>
    </x:row>
    <x:row r="2122">
      <x:c r="A2122" s="25" t="n">
        <x:v>2121</x:v>
      </x:c>
      <x:c r="B2122" s="26" t="n">
        <x:v>42266.21302083333</x:v>
      </x:c>
      <x:c r="C2122" s="27" t="n">
        <x:f>INT(B2122)</x:f>
        <x:v>42266</x:v>
      </x:c>
      <x:c r="D2122" s="28" t="n">
        <x:f>MOD(B2122,1)</x:f>
        <x:v>0.21302083333284827</x:v>
      </x:c>
      <x:c r="E2122" s="29" t="n">
        <x:f>YEAR(B2122)</x:f>
        <x:v>2015</x:v>
      </x:c>
      <x:c r="F2122" s="29" t="n">
        <x:f>MONTH(B2122)</x:f>
        <x:v>9</x:v>
      </x:c>
      <x:c r="G2122" s="30" t="n">
        <x:v>-29.65</x:v>
      </x:c>
      <x:c r="H2122" s="30" t="n">
        <x:v>-72.28</x:v>
      </x:c>
      <x:c r="I2122" s="29" t="n">
        <x:v>30</x:v>
      </x:c>
      <x:c r="J2122" s="31" t="n">
        <x:v>6.3</x:v>
      </x:c>
      <x:c r="K2122" s="25" t="str">
        <x:f>IF(J2122&gt;=7,"Muy fuerte (&gt;=7)",IF(J2122&gt;=6,"Fuerte (6-6.9)",IF(J2122&gt;=5,"Moderado alto (5-5.9)",IF(J2122&gt;=4,"Moderado (4-4.9)","Menor a 4"))))</x:f>
        <x:v>Fuerte (6-6.9)</x:v>
      </x:c>
      <x:c r="L2122" s="25" t="str">
        <x:f>IF(I2122&lt;70,"Superficial (&lt;70 km)",IF(I2122&lt;=300,"Intermedio (70-300 km)","Profundo (&gt;300 km)"))</x:f>
        <x:v>Superficial (&lt;70 km)</x:v>
      </x:c>
      <x:c r="M2122" s="25" t="str">
        <x:f>IF(J2122&gt;=5,"Sí","No")</x:f>
        <x:v>Sí</x:v>
      </x:c>
      <x:c r="N2122" s="25" t="str">
        <x:f>IF(J2122&gt;=6,"Sí","No")</x:f>
        <x:v>Sí</x:v>
      </x:c>
      <x:c r="O2122" s="25" t="str">
        <x:v>Pendiente: asignar con R/sf</x:v>
      </x:c>
    </x:row>
    <x:row r="2123">
      <x:c r="A2123" s="25" t="n">
        <x:v>2122</x:v>
      </x:c>
      <x:c r="B2123" s="26" t="n">
        <x:v>42290.81459490741</x:v>
      </x:c>
      <x:c r="C2123" s="27" t="n">
        <x:f>INT(B2123)</x:f>
        <x:v>42290</x:v>
      </x:c>
      <x:c r="D2123" s="28" t="n">
        <x:f>MOD(B2123,1)</x:f>
        <x:v>0.8145949074096279</x:v>
      </x:c>
      <x:c r="E2123" s="29" t="n">
        <x:f>YEAR(B2123)</x:f>
        <x:v>2015</x:v>
      </x:c>
      <x:c r="F2123" s="29" t="n">
        <x:f>MONTH(B2123)</x:f>
        <x:v>10</x:v>
      </x:c>
      <x:c r="G2123" s="30" t="n">
        <x:v>-31.17</x:v>
      </x:c>
      <x:c r="H2123" s="30" t="n">
        <x:v>-71.44</x:v>
      </x:c>
      <x:c r="I2123" s="29" t="n">
        <x:v>48</x:v>
      </x:c>
      <x:c r="J2123" s="31" t="n">
        <x:v>4.3</x:v>
      </x:c>
      <x:c r="K2123" s="25" t="str">
        <x:f>IF(J2123&gt;=7,"Muy fuerte (&gt;=7)",IF(J2123&gt;=6,"Fuerte (6-6.9)",IF(J2123&gt;=5,"Moderado alto (5-5.9)",IF(J2123&gt;=4,"Moderado (4-4.9)","Menor a 4"))))</x:f>
        <x:v>Moderado (4-4.9)</x:v>
      </x:c>
      <x:c r="L2123" s="25" t="str">
        <x:f>IF(I2123&lt;70,"Superficial (&lt;70 km)",IF(I2123&lt;=300,"Intermedio (70-300 km)","Profundo (&gt;300 km)"))</x:f>
        <x:v>Superficial (&lt;70 km)</x:v>
      </x:c>
      <x:c r="M2123" s="25" t="str">
        <x:f>IF(J2123&gt;=5,"Sí","No")</x:f>
        <x:v>No</x:v>
      </x:c>
      <x:c r="N2123" s="25" t="str">
        <x:f>IF(J2123&gt;=6,"Sí","No")</x:f>
        <x:v>No</x:v>
      </x:c>
      <x:c r="O2123" s="25" t="str">
        <x:v>Pendiente: asignar con R/sf</x:v>
      </x:c>
    </x:row>
    <x:row r="2124">
      <x:c r="A2124" s="25" t="n">
        <x:v>2123</x:v>
      </x:c>
      <x:c r="B2124" s="26" t="n">
        <x:v>42146.819131944445</x:v>
      </x:c>
      <x:c r="C2124" s="27" t="n">
        <x:f>INT(B2124)</x:f>
        <x:v>42146</x:v>
      </x:c>
      <x:c r="D2124" s="28" t="n">
        <x:f>MOD(B2124,1)</x:f>
        <x:v>0.8191319444449618</x:v>
      </x:c>
      <x:c r="E2124" s="29" t="n">
        <x:f>YEAR(B2124)</x:f>
        <x:v>2015</x:v>
      </x:c>
      <x:c r="F2124" s="29" t="n">
        <x:f>MONTH(B2124)</x:f>
        <x:v>5</x:v>
      </x:c>
      <x:c r="G2124" s="30" t="n">
        <x:v>-20.2</x:v>
      </x:c>
      <x:c r="H2124" s="30" t="n">
        <x:v>-70.85</x:v>
      </x:c>
      <x:c r="I2124" s="29" t="n">
        <x:v>40</x:v>
      </x:c>
      <x:c r="J2124" s="31" t="n">
        <x:v>5.3</x:v>
      </x:c>
      <x:c r="K2124" s="25" t="str">
        <x:f>IF(J2124&gt;=7,"Muy fuerte (&gt;=7)",IF(J2124&gt;=6,"Fuerte (6-6.9)",IF(J2124&gt;=5,"Moderado alto (5-5.9)",IF(J2124&gt;=4,"Moderado (4-4.9)","Menor a 4"))))</x:f>
        <x:v>Moderado alto (5-5.9)</x:v>
      </x:c>
      <x:c r="L2124" s="25" t="str">
        <x:f>IF(I2124&lt;70,"Superficial (&lt;70 km)",IF(I2124&lt;=300,"Intermedio (70-300 km)","Profundo (&gt;300 km)"))</x:f>
        <x:v>Superficial (&lt;70 km)</x:v>
      </x:c>
      <x:c r="M2124" s="25" t="str">
        <x:f>IF(J2124&gt;=5,"Sí","No")</x:f>
        <x:v>Sí</x:v>
      </x:c>
      <x:c r="N2124" s="25" t="str">
        <x:f>IF(J2124&gt;=6,"Sí","No")</x:f>
        <x:v>No</x:v>
      </x:c>
      <x:c r="O2124" s="25" t="str">
        <x:v>Pendiente: asignar con R/sf</x:v>
      </x:c>
    </x:row>
    <x:row r="2125">
      <x:c r="A2125" s="25" t="n">
        <x:v>2124</x:v>
      </x:c>
      <x:c r="B2125" s="26" t="n">
        <x:v>42264.54037037037</x:v>
      </x:c>
      <x:c r="C2125" s="27" t="n">
        <x:f>INT(B2125)</x:f>
        <x:v>42264</x:v>
      </x:c>
      <x:c r="D2125" s="28" t="n">
        <x:f>MOD(B2125,1)</x:f>
        <x:v>0.5403703703705105</x:v>
      </x:c>
      <x:c r="E2125" s="29" t="n">
        <x:f>YEAR(B2125)</x:f>
        <x:v>2015</x:v>
      </x:c>
      <x:c r="F2125" s="29" t="n">
        <x:f>MONTH(B2125)</x:f>
        <x:v>9</x:v>
      </x:c>
      <x:c r="G2125" s="30" t="n">
        <x:v>-30.69</x:v>
      </x:c>
      <x:c r="H2125" s="30" t="n">
        <x:v>-71.56</x:v>
      </x:c>
      <x:c r="I2125" s="29" t="n">
        <x:v>32</x:v>
      </x:c>
      <x:c r="J2125" s="31" t="n">
        <x:v>4.9</x:v>
      </x:c>
      <x:c r="K2125" s="25" t="str">
        <x:f>IF(J2125&gt;=7,"Muy fuerte (&gt;=7)",IF(J2125&gt;=6,"Fuerte (6-6.9)",IF(J2125&gt;=5,"Moderado alto (5-5.9)",IF(J2125&gt;=4,"Moderado (4-4.9)","Menor a 4"))))</x:f>
        <x:v>Moderado (4-4.9)</x:v>
      </x:c>
      <x:c r="L2125" s="25" t="str">
        <x:f>IF(I2125&lt;70,"Superficial (&lt;70 km)",IF(I2125&lt;=300,"Intermedio (70-300 km)","Profundo (&gt;300 km)"))</x:f>
        <x:v>Superficial (&lt;70 km)</x:v>
      </x:c>
      <x:c r="M2125" s="25" t="str">
        <x:f>IF(J2125&gt;=5,"Sí","No")</x:f>
        <x:v>No</x:v>
      </x:c>
      <x:c r="N2125" s="25" t="str">
        <x:f>IF(J2125&gt;=6,"Sí","No")</x:f>
        <x:v>No</x:v>
      </x:c>
      <x:c r="O2125" s="25" t="str">
        <x:v>Pendiente: asignar con R/sf</x:v>
      </x:c>
    </x:row>
    <x:row r="2126">
      <x:c r="A2126" s="25" t="n">
        <x:v>2125</x:v>
      </x:c>
      <x:c r="B2126" s="26" t="n">
        <x:v>42088.81193287037</x:v>
      </x:c>
      <x:c r="C2126" s="27" t="n">
        <x:f>INT(B2126)</x:f>
        <x:v>42088</x:v>
      </x:c>
      <x:c r="D2126" s="28" t="n">
        <x:f>MOD(B2126,1)</x:f>
        <x:v>0.8119328703687643</x:v>
      </x:c>
      <x:c r="E2126" s="29" t="n">
        <x:f>YEAR(B2126)</x:f>
        <x:v>2015</x:v>
      </x:c>
      <x:c r="F2126" s="29" t="n">
        <x:f>MONTH(B2126)</x:f>
        <x:v>3</x:v>
      </x:c>
      <x:c r="G2126" s="30" t="n">
        <x:v>-29.49</x:v>
      </x:c>
      <x:c r="H2126" s="30" t="n">
        <x:v>-69.72</x:v>
      </x:c>
      <x:c r="I2126" s="29" t="n">
        <x:v>119</x:v>
      </x:c>
      <x:c r="J2126" s="31" t="n">
        <x:v>5</x:v>
      </x:c>
      <x:c r="K2126" s="25" t="str">
        <x:f>IF(J2126&gt;=7,"Muy fuerte (&gt;=7)",IF(J2126&gt;=6,"Fuerte (6-6.9)",IF(J2126&gt;=5,"Moderado alto (5-5.9)",IF(J2126&gt;=4,"Moderado (4-4.9)","Menor a 4"))))</x:f>
        <x:v>Moderado alto (5-5.9)</x:v>
      </x:c>
      <x:c r="L2126" s="25" t="str">
        <x:f>IF(I2126&lt;70,"Superficial (&lt;70 km)",IF(I2126&lt;=300,"Intermedio (70-300 km)","Profundo (&gt;300 km)"))</x:f>
        <x:v>Intermedio (70-300 km)</x:v>
      </x:c>
      <x:c r="M2126" s="25" t="str">
        <x:f>IF(J2126&gt;=5,"Sí","No")</x:f>
        <x:v>Sí</x:v>
      </x:c>
      <x:c r="N2126" s="25" t="str">
        <x:f>IF(J2126&gt;=6,"Sí","No")</x:f>
        <x:v>No</x:v>
      </x:c>
      <x:c r="O2126" s="25" t="str">
        <x:v>Pendiente: asignar con R/sf</x:v>
      </x:c>
    </x:row>
    <x:row r="2127">
      <x:c r="A2127" s="25" t="n">
        <x:v>2126</x:v>
      </x:c>
      <x:c r="B2127" s="26" t="n">
        <x:v>42324.414664351854</x:v>
      </x:c>
      <x:c r="C2127" s="27" t="n">
        <x:f>INT(B2127)</x:f>
        <x:v>42324</x:v>
      </x:c>
      <x:c r="D2127" s="28" t="n">
        <x:f>MOD(B2127,1)</x:f>
        <x:v>0.41466435185429873</x:v>
      </x:c>
      <x:c r="E2127" s="29" t="n">
        <x:f>YEAR(B2127)</x:f>
        <x:v>2015</x:v>
      </x:c>
      <x:c r="F2127" s="29" t="n">
        <x:f>MONTH(B2127)</x:f>
        <x:v>11</x:v>
      </x:c>
      <x:c r="G2127" s="30" t="n">
        <x:v>-30.59</x:v>
      </x:c>
      <x:c r="H2127" s="30" t="n">
        <x:v>-71.27</x:v>
      </x:c>
      <x:c r="I2127" s="29" t="n">
        <x:v>47</x:v>
      </x:c>
      <x:c r="J2127" s="31" t="n">
        <x:v>4</x:v>
      </x:c>
      <x:c r="K2127" s="25" t="str">
        <x:f>IF(J2127&gt;=7,"Muy fuerte (&gt;=7)",IF(J2127&gt;=6,"Fuerte (6-6.9)",IF(J2127&gt;=5,"Moderado alto (5-5.9)",IF(J2127&gt;=4,"Moderado (4-4.9)","Menor a 4"))))</x:f>
        <x:v>Moderado (4-4.9)</x:v>
      </x:c>
      <x:c r="L2127" s="25" t="str">
        <x:f>IF(I2127&lt;70,"Superficial (&lt;70 km)",IF(I2127&lt;=300,"Intermedio (70-300 km)","Profundo (&gt;300 km)"))</x:f>
        <x:v>Superficial (&lt;70 km)</x:v>
      </x:c>
      <x:c r="M2127" s="25" t="str">
        <x:f>IF(J2127&gt;=5,"Sí","No")</x:f>
        <x:v>No</x:v>
      </x:c>
      <x:c r="N2127" s="25" t="str">
        <x:f>IF(J2127&gt;=6,"Sí","No")</x:f>
        <x:v>No</x:v>
      </x:c>
      <x:c r="O2127" s="25" t="str">
        <x:v>Pendiente: asignar con R/sf</x:v>
      </x:c>
    </x:row>
    <x:row r="2128">
      <x:c r="A2128" s="25" t="n">
        <x:v>2127</x:v>
      </x:c>
      <x:c r="B2128" s="26" t="n">
        <x:v>42025.73168981481</x:v>
      </x:c>
      <x:c r="C2128" s="27" t="n">
        <x:f>INT(B2128)</x:f>
        <x:v>42025</x:v>
      </x:c>
      <x:c r="D2128" s="28" t="n">
        <x:f>MOD(B2128,1)</x:f>
        <x:v>0.731689814812853</x:v>
      </x:c>
      <x:c r="E2128" s="29" t="n">
        <x:f>YEAR(B2128)</x:f>
        <x:v>2015</x:v>
      </x:c>
      <x:c r="F2128" s="29" t="n">
        <x:f>MONTH(B2128)</x:f>
        <x:v>1</x:v>
      </x:c>
      <x:c r="G2128" s="30" t="n">
        <x:v>-29.8</x:v>
      </x:c>
      <x:c r="H2128" s="30" t="n">
        <x:v>-71.25</x:v>
      </x:c>
      <x:c r="I2128" s="29" t="n">
        <x:v>60</x:v>
      </x:c>
      <x:c r="J2128" s="31" t="n">
        <x:v>4.1</x:v>
      </x:c>
      <x:c r="K2128" s="25" t="str">
        <x:f>IF(J2128&gt;=7,"Muy fuerte (&gt;=7)",IF(J2128&gt;=6,"Fuerte (6-6.9)",IF(J2128&gt;=5,"Moderado alto (5-5.9)",IF(J2128&gt;=4,"Moderado (4-4.9)","Menor a 4"))))</x:f>
        <x:v>Moderado (4-4.9)</x:v>
      </x:c>
      <x:c r="L2128" s="25" t="str">
        <x:f>IF(I2128&lt;70,"Superficial (&lt;70 km)",IF(I2128&lt;=300,"Intermedio (70-300 km)","Profundo (&gt;300 km)"))</x:f>
        <x:v>Superficial (&lt;70 km)</x:v>
      </x:c>
      <x:c r="M2128" s="25" t="str">
        <x:f>IF(J2128&gt;=5,"Sí","No")</x:f>
        <x:v>No</x:v>
      </x:c>
      <x:c r="N2128" s="25" t="str">
        <x:f>IF(J2128&gt;=6,"Sí","No")</x:f>
        <x:v>No</x:v>
      </x:c>
      <x:c r="O2128" s="25" t="str">
        <x:v>Pendiente: asignar con R/sf</x:v>
      </x:c>
    </x:row>
    <x:row r="2129">
      <x:c r="A2129" s="25" t="n">
        <x:v>2128</x:v>
      </x:c>
      <x:c r="B2129" s="26" t="n">
        <x:v>42107.12511574074</x:v>
      </x:c>
      <x:c r="C2129" s="27" t="n">
        <x:f>INT(B2129)</x:f>
        <x:v>42107</x:v>
      </x:c>
      <x:c r="D2129" s="28" t="n">
        <x:f>MOD(B2129,1)</x:f>
        <x:v>0.1251157407386927</x:v>
      </x:c>
      <x:c r="E2129" s="29" t="n">
        <x:f>YEAR(B2129)</x:f>
        <x:v>2015</x:v>
      </x:c>
      <x:c r="F2129" s="29" t="n">
        <x:f>MONTH(B2129)</x:f>
        <x:v>4</x:v>
      </x:c>
      <x:c r="G2129" s="30" t="n">
        <x:v>-40.25</x:v>
      </x:c>
      <x:c r="H2129" s="30" t="n">
        <x:v>-73.68</x:v>
      </x:c>
      <x:c r="I2129" s="29" t="n">
        <x:v>42</x:v>
      </x:c>
      <x:c r="J2129" s="31" t="n">
        <x:v>4.7</x:v>
      </x:c>
      <x:c r="K2129" s="25" t="str">
        <x:f>IF(J2129&gt;=7,"Muy fuerte (&gt;=7)",IF(J2129&gt;=6,"Fuerte (6-6.9)",IF(J2129&gt;=5,"Moderado alto (5-5.9)",IF(J2129&gt;=4,"Moderado (4-4.9)","Menor a 4"))))</x:f>
        <x:v>Moderado (4-4.9)</x:v>
      </x:c>
      <x:c r="L2129" s="25" t="str">
        <x:f>IF(I2129&lt;70,"Superficial (&lt;70 km)",IF(I2129&lt;=300,"Intermedio (70-300 km)","Profundo (&gt;300 km)"))</x:f>
        <x:v>Superficial (&lt;70 km)</x:v>
      </x:c>
      <x:c r="M2129" s="25" t="str">
        <x:f>IF(J2129&gt;=5,"Sí","No")</x:f>
        <x:v>No</x:v>
      </x:c>
      <x:c r="N2129" s="25" t="str">
        <x:f>IF(J2129&gt;=6,"Sí","No")</x:f>
        <x:v>No</x:v>
      </x:c>
      <x:c r="O2129" s="25" t="str">
        <x:v>Pendiente: asignar con R/sf</x:v>
      </x:c>
    </x:row>
    <x:row r="2130">
      <x:c r="A2130" s="25" t="n">
        <x:v>2129</x:v>
      </x:c>
      <x:c r="B2130" s="26" t="n">
        <x:v>42280.35202546296</x:v>
      </x:c>
      <x:c r="C2130" s="27" t="n">
        <x:f>INT(B2130)</x:f>
        <x:v>42280</x:v>
      </x:c>
      <x:c r="D2130" s="28" t="n">
        <x:f>MOD(B2130,1)</x:f>
        <x:v>0.35202546296204673</x:v>
      </x:c>
      <x:c r="E2130" s="29" t="n">
        <x:f>YEAR(B2130)</x:f>
        <x:v>2015</x:v>
      </x:c>
      <x:c r="F2130" s="29" t="n">
        <x:f>MONTH(B2130)</x:f>
        <x:v>10</x:v>
      </x:c>
      <x:c r="G2130" s="30" t="n">
        <x:v>-30.34</x:v>
      </x:c>
      <x:c r="H2130" s="30" t="n">
        <x:v>-71.45</x:v>
      </x:c>
      <x:c r="I2130" s="29" t="n">
        <x:v>56</x:v>
      </x:c>
      <x:c r="J2130" s="31" t="n">
        <x:v>4.2</x:v>
      </x:c>
      <x:c r="K2130" s="25" t="str">
        <x:f>IF(J2130&gt;=7,"Muy fuerte (&gt;=7)",IF(J2130&gt;=6,"Fuerte (6-6.9)",IF(J2130&gt;=5,"Moderado alto (5-5.9)",IF(J2130&gt;=4,"Moderado (4-4.9)","Menor a 4"))))</x:f>
        <x:v>Moderado (4-4.9)</x:v>
      </x:c>
      <x:c r="L2130" s="25" t="str">
        <x:f>IF(I2130&lt;70,"Superficial (&lt;70 km)",IF(I2130&lt;=300,"Intermedio (70-300 km)","Profundo (&gt;300 km)"))</x:f>
        <x:v>Superficial (&lt;70 km)</x:v>
      </x:c>
      <x:c r="M2130" s="25" t="str">
        <x:f>IF(J2130&gt;=5,"Sí","No")</x:f>
        <x:v>No</x:v>
      </x:c>
      <x:c r="N2130" s="25" t="str">
        <x:f>IF(J2130&gt;=6,"Sí","No")</x:f>
        <x:v>No</x:v>
      </x:c>
      <x:c r="O2130" s="25" t="str">
        <x:v>Pendiente: asignar con R/sf</x:v>
      </x:c>
    </x:row>
    <x:row r="2131">
      <x:c r="A2131" s="25" t="n">
        <x:v>2130</x:v>
      </x:c>
      <x:c r="B2131" s="26" t="n">
        <x:v>42340.63459490741</x:v>
      </x:c>
      <x:c r="C2131" s="27" t="n">
        <x:f>INT(B2131)</x:f>
        <x:v>42340</x:v>
      </x:c>
      <x:c r="D2131" s="28" t="n">
        <x:f>MOD(B2131,1)</x:f>
        <x:v>0.6345949074093369</x:v>
      </x:c>
      <x:c r="E2131" s="29" t="n">
        <x:f>YEAR(B2131)</x:f>
        <x:v>2015</x:v>
      </x:c>
      <x:c r="F2131" s="29" t="n">
        <x:f>MONTH(B2131)</x:f>
        <x:v>12</x:v>
      </x:c>
      <x:c r="G2131" s="30" t="n">
        <x:v>-19.67</x:v>
      </x:c>
      <x:c r="H2131" s="30" t="n">
        <x:v>-69.27</x:v>
      </x:c>
      <x:c r="I2131" s="29" t="n">
        <x:v>101</x:v>
      </x:c>
      <x:c r="J2131" s="31" t="n">
        <x:v>4.4</x:v>
      </x:c>
      <x:c r="K2131" s="25" t="str">
        <x:f>IF(J2131&gt;=7,"Muy fuerte (&gt;=7)",IF(J2131&gt;=6,"Fuerte (6-6.9)",IF(J2131&gt;=5,"Moderado alto (5-5.9)",IF(J2131&gt;=4,"Moderado (4-4.9)","Menor a 4"))))</x:f>
        <x:v>Moderado (4-4.9)</x:v>
      </x:c>
      <x:c r="L2131" s="25" t="str">
        <x:f>IF(I2131&lt;70,"Superficial (&lt;70 km)",IF(I2131&lt;=300,"Intermedio (70-300 km)","Profundo (&gt;300 km)"))</x:f>
        <x:v>Intermedio (70-300 km)</x:v>
      </x:c>
      <x:c r="M2131" s="25" t="str">
        <x:f>IF(J2131&gt;=5,"Sí","No")</x:f>
        <x:v>No</x:v>
      </x:c>
      <x:c r="N2131" s="25" t="str">
        <x:f>IF(J2131&gt;=6,"Sí","No")</x:f>
        <x:v>No</x:v>
      </x:c>
      <x:c r="O2131" s="25" t="str">
        <x:v>Pendiente: asignar con R/sf</x:v>
      </x:c>
    </x:row>
    <x:row r="2132">
      <x:c r="A2132" s="25" t="n">
        <x:v>2131</x:v>
      </x:c>
      <x:c r="B2132" s="26" t="n">
        <x:v>42311.89603009259</x:v>
      </x:c>
      <x:c r="C2132" s="27" t="n">
        <x:f>INT(B2132)</x:f>
        <x:v>42311</x:v>
      </x:c>
      <x:c r="D2132" s="28" t="n">
        <x:f>MOD(B2132,1)</x:f>
        <x:v>0.896030092590081</x:v>
      </x:c>
      <x:c r="E2132" s="29" t="n">
        <x:f>YEAR(B2132)</x:f>
        <x:v>2015</x:v>
      </x:c>
      <x:c r="F2132" s="29" t="n">
        <x:f>MONTH(B2132)</x:f>
        <x:v>11</x:v>
      </x:c>
      <x:c r="G2132" s="30" t="n">
        <x:v>-30.8</x:v>
      </x:c>
      <x:c r="H2132" s="30" t="n">
        <x:v>-71.41</x:v>
      </x:c>
      <x:c r="I2132" s="29" t="n">
        <x:v>50</x:v>
      </x:c>
      <x:c r="J2132" s="31" t="n">
        <x:v>4</x:v>
      </x:c>
      <x:c r="K2132" s="25" t="str">
        <x:f>IF(J2132&gt;=7,"Muy fuerte (&gt;=7)",IF(J2132&gt;=6,"Fuerte (6-6.9)",IF(J2132&gt;=5,"Moderado alto (5-5.9)",IF(J2132&gt;=4,"Moderado (4-4.9)","Menor a 4"))))</x:f>
        <x:v>Moderado (4-4.9)</x:v>
      </x:c>
      <x:c r="L2132" s="25" t="str">
        <x:f>IF(I2132&lt;70,"Superficial (&lt;70 km)",IF(I2132&lt;=300,"Intermedio (70-300 km)","Profundo (&gt;300 km)"))</x:f>
        <x:v>Superficial (&lt;70 km)</x:v>
      </x:c>
      <x:c r="M2132" s="25" t="str">
        <x:f>IF(J2132&gt;=5,"Sí","No")</x:f>
        <x:v>No</x:v>
      </x:c>
      <x:c r="N2132" s="25" t="str">
        <x:f>IF(J2132&gt;=6,"Sí","No")</x:f>
        <x:v>No</x:v>
      </x:c>
      <x:c r="O2132" s="25" t="str">
        <x:v>Pendiente: asignar con R/sf</x:v>
      </x:c>
    </x:row>
    <x:row r="2133">
      <x:c r="A2133" s="25" t="n">
        <x:v>2132</x:v>
      </x:c>
      <x:c r="B2133" s="26" t="n">
        <x:v>42280.791400462964</x:v>
      </x:c>
      <x:c r="C2133" s="27" t="n">
        <x:f>INT(B2133)</x:f>
        <x:v>42280</x:v>
      </x:c>
      <x:c r="D2133" s="28" t="n">
        <x:f>MOD(B2133,1)</x:f>
        <x:v>0.791400462963793</x:v>
      </x:c>
      <x:c r="E2133" s="29" t="n">
        <x:f>YEAR(B2133)</x:f>
        <x:v>2015</x:v>
      </x:c>
      <x:c r="F2133" s="29" t="n">
        <x:f>MONTH(B2133)</x:f>
        <x:v>10</x:v>
      </x:c>
      <x:c r="G2133" s="30" t="n">
        <x:v>-30.78</x:v>
      </x:c>
      <x:c r="H2133" s="30" t="n">
        <x:v>-71.41</x:v>
      </x:c>
      <x:c r="I2133" s="29" t="n">
        <x:v>49</x:v>
      </x:c>
      <x:c r="J2133" s="31" t="n">
        <x:v>4.3</x:v>
      </x:c>
      <x:c r="K2133" s="25" t="str">
        <x:f>IF(J2133&gt;=7,"Muy fuerte (&gt;=7)",IF(J2133&gt;=6,"Fuerte (6-6.9)",IF(J2133&gt;=5,"Moderado alto (5-5.9)",IF(J2133&gt;=4,"Moderado (4-4.9)","Menor a 4"))))</x:f>
        <x:v>Moderado (4-4.9)</x:v>
      </x:c>
      <x:c r="L2133" s="25" t="str">
        <x:f>IF(I2133&lt;70,"Superficial (&lt;70 km)",IF(I2133&lt;=300,"Intermedio (70-300 km)","Profundo (&gt;300 km)"))</x:f>
        <x:v>Superficial (&lt;70 km)</x:v>
      </x:c>
      <x:c r="M2133" s="25" t="str">
        <x:f>IF(J2133&gt;=5,"Sí","No")</x:f>
        <x:v>No</x:v>
      </x:c>
      <x:c r="N2133" s="25" t="str">
        <x:f>IF(J2133&gt;=6,"Sí","No")</x:f>
        <x:v>No</x:v>
      </x:c>
      <x:c r="O2133" s="25" t="str">
        <x:v>Pendiente: asignar con R/sf</x:v>
      </x:c>
    </x:row>
    <x:row r="2134">
      <x:c r="A2134" s="25" t="n">
        <x:v>2133</x:v>
      </x:c>
      <x:c r="B2134" s="26" t="n">
        <x:v>42266.75921296296</x:v>
      </x:c>
      <x:c r="C2134" s="27" t="n">
        <x:f>INT(B2134)</x:f>
        <x:v>42266</x:v>
      </x:c>
      <x:c r="D2134" s="28" t="n">
        <x:f>MOD(B2134,1)</x:f>
        <x:v>0.7592129629629198</x:v>
      </x:c>
      <x:c r="E2134" s="29" t="n">
        <x:f>YEAR(B2134)</x:f>
        <x:v>2015</x:v>
      </x:c>
      <x:c r="F2134" s="29" t="n">
        <x:f>MONTH(B2134)</x:f>
        <x:v>9</x:v>
      </x:c>
      <x:c r="G2134" s="30" t="n">
        <x:v>-31.31</x:v>
      </x:c>
      <x:c r="H2134" s="30" t="n">
        <x:v>-71.71</x:v>
      </x:c>
      <x:c r="I2134" s="29" t="n">
        <x:v>42</x:v>
      </x:c>
      <x:c r="J2134" s="31" t="n">
        <x:v>4.8</x:v>
      </x:c>
      <x:c r="K2134" s="25" t="str">
        <x:f>IF(J2134&gt;=7,"Muy fuerte (&gt;=7)",IF(J2134&gt;=6,"Fuerte (6-6.9)",IF(J2134&gt;=5,"Moderado alto (5-5.9)",IF(J2134&gt;=4,"Moderado (4-4.9)","Menor a 4"))))</x:f>
        <x:v>Moderado (4-4.9)</x:v>
      </x:c>
      <x:c r="L2134" s="25" t="str">
        <x:f>IF(I2134&lt;70,"Superficial (&lt;70 km)",IF(I2134&lt;=300,"Intermedio (70-300 km)","Profundo (&gt;300 km)"))</x:f>
        <x:v>Superficial (&lt;70 km)</x:v>
      </x:c>
      <x:c r="M2134" s="25" t="str">
        <x:f>IF(J2134&gt;=5,"Sí","No")</x:f>
        <x:v>No</x:v>
      </x:c>
      <x:c r="N2134" s="25" t="str">
        <x:f>IF(J2134&gt;=6,"Sí","No")</x:f>
        <x:v>No</x:v>
      </x:c>
      <x:c r="O2134" s="25" t="str">
        <x:v>Pendiente: asignar con R/sf</x:v>
      </x:c>
    </x:row>
    <x:row r="2135">
      <x:c r="A2135" s="25" t="n">
        <x:v>2134</x:v>
      </x:c>
      <x:c r="B2135" s="26" t="n">
        <x:v>42172.306435185186</x:v>
      </x:c>
      <x:c r="C2135" s="27" t="n">
        <x:f>INT(B2135)</x:f>
        <x:v>42172</x:v>
      </x:c>
      <x:c r="D2135" s="28" t="n">
        <x:f>MOD(B2135,1)</x:f>
        <x:v>0.3064351851862739</x:v>
      </x:c>
      <x:c r="E2135" s="29" t="n">
        <x:f>YEAR(B2135)</x:f>
        <x:v>2015</x:v>
      </x:c>
      <x:c r="F2135" s="29" t="n">
        <x:f>MONTH(B2135)</x:f>
        <x:v>6</x:v>
      </x:c>
      <x:c r="G2135" s="30" t="n">
        <x:v>-20.25</x:v>
      </x:c>
      <x:c r="H2135" s="30" t="n">
        <x:v>-70.74</x:v>
      </x:c>
      <x:c r="I2135" s="29" t="n">
        <x:v>24</x:v>
      </x:c>
      <x:c r="J2135" s="31" t="n">
        <x:v>4.4</x:v>
      </x:c>
      <x:c r="K2135" s="25" t="str">
        <x:f>IF(J2135&gt;=7,"Muy fuerte (&gt;=7)",IF(J2135&gt;=6,"Fuerte (6-6.9)",IF(J2135&gt;=5,"Moderado alto (5-5.9)",IF(J2135&gt;=4,"Moderado (4-4.9)","Menor a 4"))))</x:f>
        <x:v>Moderado (4-4.9)</x:v>
      </x:c>
      <x:c r="L2135" s="25" t="str">
        <x:f>IF(I2135&lt;70,"Superficial (&lt;70 km)",IF(I2135&lt;=300,"Intermedio (70-300 km)","Profundo (&gt;300 km)"))</x:f>
        <x:v>Superficial (&lt;70 km)</x:v>
      </x:c>
      <x:c r="M2135" s="25" t="str">
        <x:f>IF(J2135&gt;=5,"Sí","No")</x:f>
        <x:v>No</x:v>
      </x:c>
      <x:c r="N2135" s="25" t="str">
        <x:f>IF(J2135&gt;=6,"Sí","No")</x:f>
        <x:v>No</x:v>
      </x:c>
      <x:c r="O2135" s="25" t="str">
        <x:v>Pendiente: asignar con R/sf</x:v>
      </x:c>
    </x:row>
    <x:row r="2136">
      <x:c r="A2136" s="25" t="n">
        <x:v>2135</x:v>
      </x:c>
      <x:c r="B2136" s="26" t="n">
        <x:v>42279.627974537034</x:v>
      </x:c>
      <x:c r="C2136" s="27" t="n">
        <x:f>INT(B2136)</x:f>
        <x:v>42279</x:v>
      </x:c>
      <x:c r="D2136" s="28" t="n">
        <x:f>MOD(B2136,1)</x:f>
        <x:v>0.6279745370338787</x:v>
      </x:c>
      <x:c r="E2136" s="29" t="n">
        <x:f>YEAR(B2136)</x:f>
        <x:v>2015</x:v>
      </x:c>
      <x:c r="F2136" s="29" t="n">
        <x:f>MONTH(B2136)</x:f>
        <x:v>10</x:v>
      </x:c>
      <x:c r="G2136" s="30" t="n">
        <x:v>-30.53</x:v>
      </x:c>
      <x:c r="H2136" s="30" t="n">
        <x:v>-71.36</x:v>
      </x:c>
      <x:c r="I2136" s="29" t="n">
        <x:v>49</x:v>
      </x:c>
      <x:c r="J2136" s="31" t="n">
        <x:v>4.5</x:v>
      </x:c>
      <x:c r="K2136" s="25" t="str">
        <x:f>IF(J2136&gt;=7,"Muy fuerte (&gt;=7)",IF(J2136&gt;=6,"Fuerte (6-6.9)",IF(J2136&gt;=5,"Moderado alto (5-5.9)",IF(J2136&gt;=4,"Moderado (4-4.9)","Menor a 4"))))</x:f>
        <x:v>Moderado (4-4.9)</x:v>
      </x:c>
      <x:c r="L2136" s="25" t="str">
        <x:f>IF(I2136&lt;70,"Superficial (&lt;70 km)",IF(I2136&lt;=300,"Intermedio (70-300 km)","Profundo (&gt;300 km)"))</x:f>
        <x:v>Superficial (&lt;70 km)</x:v>
      </x:c>
      <x:c r="M2136" s="25" t="str">
        <x:f>IF(J2136&gt;=5,"Sí","No")</x:f>
        <x:v>No</x:v>
      </x:c>
      <x:c r="N2136" s="25" t="str">
        <x:f>IF(J2136&gt;=6,"Sí","No")</x:f>
        <x:v>No</x:v>
      </x:c>
      <x:c r="O2136" s="25" t="str">
        <x:v>Pendiente: asignar con R/sf</x:v>
      </x:c>
    </x:row>
    <x:row r="2137">
      <x:c r="A2137" s="25" t="n">
        <x:v>2136</x:v>
      </x:c>
      <x:c r="B2137" s="26" t="n">
        <x:v>42080.98880787037</x:v>
      </x:c>
      <x:c r="C2137" s="27" t="n">
        <x:f>INT(B2137)</x:f>
        <x:v>42080</x:v>
      </x:c>
      <x:c r="D2137" s="28" t="n">
        <x:f>MOD(B2137,1)</x:f>
        <x:v>0.9888078703734209</x:v>
      </x:c>
      <x:c r="E2137" s="29" t="n">
        <x:f>YEAR(B2137)</x:f>
        <x:v>2015</x:v>
      </x:c>
      <x:c r="F2137" s="29" t="n">
        <x:f>MONTH(B2137)</x:f>
        <x:v>3</x:v>
      </x:c>
      <x:c r="G2137" s="30" t="n">
        <x:v>-29.67</x:v>
      </x:c>
      <x:c r="H2137" s="30" t="n">
        <x:v>-71.5</x:v>
      </x:c>
      <x:c r="I2137" s="29" t="n">
        <x:v>50</x:v>
      </x:c>
      <x:c r="J2137" s="31" t="n">
        <x:v>4.3</x:v>
      </x:c>
      <x:c r="K2137" s="25" t="str">
        <x:f>IF(J2137&gt;=7,"Muy fuerte (&gt;=7)",IF(J2137&gt;=6,"Fuerte (6-6.9)",IF(J2137&gt;=5,"Moderado alto (5-5.9)",IF(J2137&gt;=4,"Moderado (4-4.9)","Menor a 4"))))</x:f>
        <x:v>Moderado (4-4.9)</x:v>
      </x:c>
      <x:c r="L2137" s="25" t="str">
        <x:f>IF(I2137&lt;70,"Superficial (&lt;70 km)",IF(I2137&lt;=300,"Intermedio (70-300 km)","Profundo (&gt;300 km)"))</x:f>
        <x:v>Superficial (&lt;70 km)</x:v>
      </x:c>
      <x:c r="M2137" s="25" t="str">
        <x:f>IF(J2137&gt;=5,"Sí","No")</x:f>
        <x:v>No</x:v>
      </x:c>
      <x:c r="N2137" s="25" t="str">
        <x:f>IF(J2137&gt;=6,"Sí","No")</x:f>
        <x:v>No</x:v>
      </x:c>
      <x:c r="O2137" s="25" t="str">
        <x:v>Pendiente: asignar con R/sf</x:v>
      </x:c>
    </x:row>
    <x:row r="2138">
      <x:c r="A2138" s="25" t="n">
        <x:v>2137</x:v>
      </x:c>
      <x:c r="B2138" s="26" t="n">
        <x:v>42337.033217592594</x:v>
      </x:c>
      <x:c r="C2138" s="27" t="n">
        <x:f>INT(B2138)</x:f>
        <x:v>42337</x:v>
      </x:c>
      <x:c r="D2138" s="28" t="n">
        <x:f>MOD(B2138,1)</x:f>
        <x:v>0.033217592594155576</x:v>
      </x:c>
      <x:c r="E2138" s="29" t="n">
        <x:f>YEAR(B2138)</x:f>
        <x:v>2015</x:v>
      </x:c>
      <x:c r="F2138" s="29" t="n">
        <x:f>MONTH(B2138)</x:f>
        <x:v>11</x:v>
      </x:c>
      <x:c r="G2138" s="30" t="n">
        <x:v>-30.34</x:v>
      </x:c>
      <x:c r="H2138" s="30" t="n">
        <x:v>-71.54</x:v>
      </x:c>
      <x:c r="I2138" s="29" t="n">
        <x:v>17</x:v>
      </x:c>
      <x:c r="J2138" s="31" t="n">
        <x:v>4.2</x:v>
      </x:c>
      <x:c r="K2138" s="25" t="str">
        <x:f>IF(J2138&gt;=7,"Muy fuerte (&gt;=7)",IF(J2138&gt;=6,"Fuerte (6-6.9)",IF(J2138&gt;=5,"Moderado alto (5-5.9)",IF(J2138&gt;=4,"Moderado (4-4.9)","Menor a 4"))))</x:f>
        <x:v>Moderado (4-4.9)</x:v>
      </x:c>
      <x:c r="L2138" s="25" t="str">
        <x:f>IF(I2138&lt;70,"Superficial (&lt;70 km)",IF(I2138&lt;=300,"Intermedio (70-300 km)","Profundo (&gt;300 km)"))</x:f>
        <x:v>Superficial (&lt;70 km)</x:v>
      </x:c>
      <x:c r="M2138" s="25" t="str">
        <x:f>IF(J2138&gt;=5,"Sí","No")</x:f>
        <x:v>No</x:v>
      </x:c>
      <x:c r="N2138" s="25" t="str">
        <x:f>IF(J2138&gt;=6,"Sí","No")</x:f>
        <x:v>No</x:v>
      </x:c>
      <x:c r="O2138" s="25" t="str">
        <x:v>Pendiente: asignar con R/sf</x:v>
      </x:c>
    </x:row>
    <x:row r="2139">
      <x:c r="A2139" s="25" t="n">
        <x:v>2138</x:v>
      </x:c>
      <x:c r="B2139" s="26" t="n">
        <x:v>42292.92967592592</x:v>
      </x:c>
      <x:c r="C2139" s="27" t="n">
        <x:f>INT(B2139)</x:f>
        <x:v>42292</x:v>
      </x:c>
      <x:c r="D2139" s="28" t="n">
        <x:f>MOD(B2139,1)</x:f>
        <x:v>0.9296759259232203</x:v>
      </x:c>
      <x:c r="E2139" s="29" t="n">
        <x:f>YEAR(B2139)</x:f>
        <x:v>2015</x:v>
      </x:c>
      <x:c r="F2139" s="29" t="n">
        <x:f>MONTH(B2139)</x:f>
        <x:v>10</x:v>
      </x:c>
      <x:c r="G2139" s="30" t="n">
        <x:v>-30.67</x:v>
      </x:c>
      <x:c r="H2139" s="30" t="n">
        <x:v>-71.74</x:v>
      </x:c>
      <x:c r="I2139" s="29" t="n">
        <x:v>37</x:v>
      </x:c>
      <x:c r="J2139" s="31" t="n">
        <x:v>4.3</x:v>
      </x:c>
      <x:c r="K2139" s="25" t="str">
        <x:f>IF(J2139&gt;=7,"Muy fuerte (&gt;=7)",IF(J2139&gt;=6,"Fuerte (6-6.9)",IF(J2139&gt;=5,"Moderado alto (5-5.9)",IF(J2139&gt;=4,"Moderado (4-4.9)","Menor a 4"))))</x:f>
        <x:v>Moderado (4-4.9)</x:v>
      </x:c>
      <x:c r="L2139" s="25" t="str">
        <x:f>IF(I2139&lt;70,"Superficial (&lt;70 km)",IF(I2139&lt;=300,"Intermedio (70-300 km)","Profundo (&gt;300 km)"))</x:f>
        <x:v>Superficial (&lt;70 km)</x:v>
      </x:c>
      <x:c r="M2139" s="25" t="str">
        <x:f>IF(J2139&gt;=5,"Sí","No")</x:f>
        <x:v>No</x:v>
      </x:c>
      <x:c r="N2139" s="25" t="str">
        <x:f>IF(J2139&gt;=6,"Sí","No")</x:f>
        <x:v>No</x:v>
      </x:c>
      <x:c r="O2139" s="25" t="str">
        <x:v>Pendiente: asignar con R/sf</x:v>
      </x:c>
    </x:row>
    <x:row r="2140">
      <x:c r="A2140" s="25" t="n">
        <x:v>2139</x:v>
      </x:c>
      <x:c r="B2140" s="26" t="n">
        <x:v>42284.816157407404</x:v>
      </x:c>
      <x:c r="C2140" s="27" t="n">
        <x:f>INT(B2140)</x:f>
        <x:v>42284</x:v>
      </x:c>
      <x:c r="D2140" s="28" t="n">
        <x:f>MOD(B2140,1)</x:f>
        <x:v>0.8161574074038072</x:v>
      </x:c>
      <x:c r="E2140" s="29" t="n">
        <x:f>YEAR(B2140)</x:f>
        <x:v>2015</x:v>
      </x:c>
      <x:c r="F2140" s="29" t="n">
        <x:f>MONTH(B2140)</x:f>
        <x:v>10</x:v>
      </x:c>
      <x:c r="G2140" s="30" t="n">
        <x:v>-30.83</x:v>
      </x:c>
      <x:c r="H2140" s="30" t="n">
        <x:v>-71.42</x:v>
      </x:c>
      <x:c r="I2140" s="29" t="n">
        <x:v>52</x:v>
      </x:c>
      <x:c r="J2140" s="31" t="n">
        <x:v>4.2</x:v>
      </x:c>
      <x:c r="K2140" s="25" t="str">
        <x:f>IF(J2140&gt;=7,"Muy fuerte (&gt;=7)",IF(J2140&gt;=6,"Fuerte (6-6.9)",IF(J2140&gt;=5,"Moderado alto (5-5.9)",IF(J2140&gt;=4,"Moderado (4-4.9)","Menor a 4"))))</x:f>
        <x:v>Moderado (4-4.9)</x:v>
      </x:c>
      <x:c r="L2140" s="25" t="str">
        <x:f>IF(I2140&lt;70,"Superficial (&lt;70 km)",IF(I2140&lt;=300,"Intermedio (70-300 km)","Profundo (&gt;300 km)"))</x:f>
        <x:v>Superficial (&lt;70 km)</x:v>
      </x:c>
      <x:c r="M2140" s="25" t="str">
        <x:f>IF(J2140&gt;=5,"Sí","No")</x:f>
        <x:v>No</x:v>
      </x:c>
      <x:c r="N2140" s="25" t="str">
        <x:f>IF(J2140&gt;=6,"Sí","No")</x:f>
        <x:v>No</x:v>
      </x:c>
      <x:c r="O2140" s="25" t="str">
        <x:v>Pendiente: asignar con R/sf</x:v>
      </x:c>
    </x:row>
    <x:row r="2141">
      <x:c r="A2141" s="25" t="n">
        <x:v>2140</x:v>
      </x:c>
      <x:c r="B2141" s="26" t="n">
        <x:v>42353.18261574074</x:v>
      </x:c>
      <x:c r="C2141" s="27" t="n">
        <x:f>INT(B2141)</x:f>
        <x:v>42353</x:v>
      </x:c>
      <x:c r="D2141" s="28" t="n">
        <x:f>MOD(B2141,1)</x:f>
        <x:v>0.18261574074131204</x:v>
      </x:c>
      <x:c r="E2141" s="29" t="n">
        <x:f>YEAR(B2141)</x:f>
        <x:v>2015</x:v>
      </x:c>
      <x:c r="F2141" s="29" t="n">
        <x:f>MONTH(B2141)</x:f>
        <x:v>12</x:v>
      </x:c>
      <x:c r="G2141" s="30" t="n">
        <x:v>-30.7</x:v>
      </x:c>
      <x:c r="H2141" s="30" t="n">
        <x:v>-71.72</x:v>
      </x:c>
      <x:c r="I2141" s="29" t="n">
        <x:v>35</x:v>
      </x:c>
      <x:c r="J2141" s="31" t="n">
        <x:v>4.1</x:v>
      </x:c>
      <x:c r="K2141" s="25" t="str">
        <x:f>IF(J2141&gt;=7,"Muy fuerte (&gt;=7)",IF(J2141&gt;=6,"Fuerte (6-6.9)",IF(J2141&gt;=5,"Moderado alto (5-5.9)",IF(J2141&gt;=4,"Moderado (4-4.9)","Menor a 4"))))</x:f>
        <x:v>Moderado (4-4.9)</x:v>
      </x:c>
      <x:c r="L2141" s="25" t="str">
        <x:f>IF(I2141&lt;70,"Superficial (&lt;70 km)",IF(I2141&lt;=300,"Intermedio (70-300 km)","Profundo (&gt;300 km)"))</x:f>
        <x:v>Superficial (&lt;70 km)</x:v>
      </x:c>
      <x:c r="M2141" s="25" t="str">
        <x:f>IF(J2141&gt;=5,"Sí","No")</x:f>
        <x:v>No</x:v>
      </x:c>
      <x:c r="N2141" s="25" t="str">
        <x:f>IF(J2141&gt;=6,"Sí","No")</x:f>
        <x:v>No</x:v>
      </x:c>
      <x:c r="O2141" s="25" t="str">
        <x:v>Pendiente: asignar con R/sf</x:v>
      </x:c>
    </x:row>
    <x:row r="2142">
      <x:c r="A2142" s="25" t="n">
        <x:v>2141</x:v>
      </x:c>
      <x:c r="B2142" s="26" t="n">
        <x:v>42011.565983796296</x:v>
      </x:c>
      <x:c r="C2142" s="27" t="n">
        <x:f>INT(B2142)</x:f>
        <x:v>42011</x:v>
      </x:c>
      <x:c r="D2142" s="28" t="n">
        <x:f>MOD(B2142,1)</x:f>
        <x:v>0.5659837962957681</x:v>
      </x:c>
      <x:c r="E2142" s="29" t="n">
        <x:f>YEAR(B2142)</x:f>
        <x:v>2015</x:v>
      </x:c>
      <x:c r="F2142" s="29" t="n">
        <x:f>MONTH(B2142)</x:f>
        <x:v>1</x:v>
      </x:c>
      <x:c r="G2142" s="30" t="n">
        <x:v>-32.79</x:v>
      </x:c>
      <x:c r="H2142" s="30" t="n">
        <x:v>-71.69</x:v>
      </x:c>
      <x:c r="I2142" s="29" t="n">
        <x:v>20</x:v>
      </x:c>
      <x:c r="J2142" s="31" t="n">
        <x:v>4.2</x:v>
      </x:c>
      <x:c r="K2142" s="25" t="str">
        <x:f>IF(J2142&gt;=7,"Muy fuerte (&gt;=7)",IF(J2142&gt;=6,"Fuerte (6-6.9)",IF(J2142&gt;=5,"Moderado alto (5-5.9)",IF(J2142&gt;=4,"Moderado (4-4.9)","Menor a 4"))))</x:f>
        <x:v>Moderado (4-4.9)</x:v>
      </x:c>
      <x:c r="L2142" s="25" t="str">
        <x:f>IF(I2142&lt;70,"Superficial (&lt;70 km)",IF(I2142&lt;=300,"Intermedio (70-300 km)","Profundo (&gt;300 km)"))</x:f>
        <x:v>Superficial (&lt;70 km)</x:v>
      </x:c>
      <x:c r="M2142" s="25" t="str">
        <x:f>IF(J2142&gt;=5,"Sí","No")</x:f>
        <x:v>No</x:v>
      </x:c>
      <x:c r="N2142" s="25" t="str">
        <x:f>IF(J2142&gt;=6,"Sí","No")</x:f>
        <x:v>No</x:v>
      </x:c>
      <x:c r="O2142" s="25" t="str">
        <x:v>Pendiente: asignar con R/sf</x:v>
      </x:c>
    </x:row>
    <x:row r="2143">
      <x:c r="A2143" s="25" t="n">
        <x:v>2142</x:v>
      </x:c>
      <x:c r="B2143" s="26" t="n">
        <x:v>42315.38679398148</x:v>
      </x:c>
      <x:c r="C2143" s="27" t="n">
        <x:f>INT(B2143)</x:f>
        <x:v>42315</x:v>
      </x:c>
      <x:c r="D2143" s="28" t="n">
        <x:f>MOD(B2143,1)</x:f>
        <x:v>0.38679398148087785</x:v>
      </x:c>
      <x:c r="E2143" s="29" t="n">
        <x:f>YEAR(B2143)</x:f>
        <x:v>2015</x:v>
      </x:c>
      <x:c r="F2143" s="29" t="n">
        <x:f>MONTH(B2143)</x:f>
        <x:v>11</x:v>
      </x:c>
      <x:c r="G2143" s="30" t="n">
        <x:v>-30.82</x:v>
      </x:c>
      <x:c r="H2143" s="30" t="n">
        <x:v>-71.38</x:v>
      </x:c>
      <x:c r="I2143" s="29" t="n">
        <x:v>50</x:v>
      </x:c>
      <x:c r="J2143" s="31" t="n">
        <x:v>4.4</x:v>
      </x:c>
      <x:c r="K2143" s="25" t="str">
        <x:f>IF(J2143&gt;=7,"Muy fuerte (&gt;=7)",IF(J2143&gt;=6,"Fuerte (6-6.9)",IF(J2143&gt;=5,"Moderado alto (5-5.9)",IF(J2143&gt;=4,"Moderado (4-4.9)","Menor a 4"))))</x:f>
        <x:v>Moderado (4-4.9)</x:v>
      </x:c>
      <x:c r="L2143" s="25" t="str">
        <x:f>IF(I2143&lt;70,"Superficial (&lt;70 km)",IF(I2143&lt;=300,"Intermedio (70-300 km)","Profundo (&gt;300 km)"))</x:f>
        <x:v>Superficial (&lt;70 km)</x:v>
      </x:c>
      <x:c r="M2143" s="25" t="str">
        <x:f>IF(J2143&gt;=5,"Sí","No")</x:f>
        <x:v>No</x:v>
      </x:c>
      <x:c r="N2143" s="25" t="str">
        <x:f>IF(J2143&gt;=6,"Sí","No")</x:f>
        <x:v>No</x:v>
      </x:c>
      <x:c r="O2143" s="25" t="str">
        <x:v>Pendiente: asignar con R/sf</x:v>
      </x:c>
    </x:row>
    <x:row r="2144">
      <x:c r="A2144" s="25" t="n">
        <x:v>2143</x:v>
      </x:c>
      <x:c r="B2144" s="26" t="n">
        <x:v>42212.64121527778</x:v>
      </x:c>
      <x:c r="C2144" s="27" t="n">
        <x:f>INT(B2144)</x:f>
        <x:v>42212</x:v>
      </x:c>
      <x:c r="D2144" s="28" t="n">
        <x:f>MOD(B2144,1)</x:f>
        <x:v>0.6412152777775191</x:v>
      </x:c>
      <x:c r="E2144" s="29" t="n">
        <x:f>YEAR(B2144)</x:f>
        <x:v>2015</x:v>
      </x:c>
      <x:c r="F2144" s="29" t="n">
        <x:f>MONTH(B2144)</x:f>
        <x:v>7</x:v>
      </x:c>
      <x:c r="G2144" s="30" t="n">
        <x:v>-29.5</x:v>
      </x:c>
      <x:c r="H2144" s="30" t="n">
        <x:v>-70.77</x:v>
      </x:c>
      <x:c r="I2144" s="29" t="n">
        <x:v>86</x:v>
      </x:c>
      <x:c r="J2144" s="31" t="n">
        <x:v>4.7</x:v>
      </x:c>
      <x:c r="K2144" s="25" t="str">
        <x:f>IF(J2144&gt;=7,"Muy fuerte (&gt;=7)",IF(J2144&gt;=6,"Fuerte (6-6.9)",IF(J2144&gt;=5,"Moderado alto (5-5.9)",IF(J2144&gt;=4,"Moderado (4-4.9)","Menor a 4"))))</x:f>
        <x:v>Moderado (4-4.9)</x:v>
      </x:c>
      <x:c r="L2144" s="25" t="str">
        <x:f>IF(I2144&lt;70,"Superficial (&lt;70 km)",IF(I2144&lt;=300,"Intermedio (70-300 km)","Profundo (&gt;300 km)"))</x:f>
        <x:v>Intermedio (70-300 km)</x:v>
      </x:c>
      <x:c r="M2144" s="25" t="str">
        <x:f>IF(J2144&gt;=5,"Sí","No")</x:f>
        <x:v>No</x:v>
      </x:c>
      <x:c r="N2144" s="25" t="str">
        <x:f>IF(J2144&gt;=6,"Sí","No")</x:f>
        <x:v>No</x:v>
      </x:c>
      <x:c r="O2144" s="25" t="str">
        <x:v>Pendiente: asignar con R/sf</x:v>
      </x:c>
    </x:row>
    <x:row r="2145">
      <x:c r="A2145" s="25" t="n">
        <x:v>2144</x:v>
      </x:c>
      <x:c r="B2145" s="26" t="n">
        <x:v>42338.61486111111</x:v>
      </x:c>
      <x:c r="C2145" s="27" t="n">
        <x:f>INT(B2145)</x:f>
        <x:v>42338</x:v>
      </x:c>
      <x:c r="D2145" s="28" t="n">
        <x:f>MOD(B2145,1)</x:f>
        <x:v>0.6148611111129867</x:v>
      </x:c>
      <x:c r="E2145" s="29" t="n">
        <x:f>YEAR(B2145)</x:f>
        <x:v>2015</x:v>
      </x:c>
      <x:c r="F2145" s="29" t="n">
        <x:f>MONTH(B2145)</x:f>
        <x:v>11</x:v>
      </x:c>
      <x:c r="G2145" s="30" t="n">
        <x:v>-24.31</x:v>
      </x:c>
      <x:c r="H2145" s="30" t="n">
        <x:v>-67.46</x:v>
      </x:c>
      <x:c r="I2145" s="29" t="n">
        <x:v>208</x:v>
      </x:c>
      <x:c r="J2145" s="31" t="n">
        <x:v>5.5</x:v>
      </x:c>
      <x:c r="K2145" s="25" t="str">
        <x:f>IF(J2145&gt;=7,"Muy fuerte (&gt;=7)",IF(J2145&gt;=6,"Fuerte (6-6.9)",IF(J2145&gt;=5,"Moderado alto (5-5.9)",IF(J2145&gt;=4,"Moderado (4-4.9)","Menor a 4"))))</x:f>
        <x:v>Moderado alto (5-5.9)</x:v>
      </x:c>
      <x:c r="L2145" s="25" t="str">
        <x:f>IF(I2145&lt;70,"Superficial (&lt;70 km)",IF(I2145&lt;=300,"Intermedio (70-300 km)","Profundo (&gt;300 km)"))</x:f>
        <x:v>Intermedio (70-300 km)</x:v>
      </x:c>
      <x:c r="M2145" s="25" t="str">
        <x:f>IF(J2145&gt;=5,"Sí","No")</x:f>
        <x:v>Sí</x:v>
      </x:c>
      <x:c r="N2145" s="25" t="str">
        <x:f>IF(J2145&gt;=6,"Sí","No")</x:f>
        <x:v>No</x:v>
      </x:c>
      <x:c r="O2145" s="25" t="str">
        <x:v>Pendiente: asignar con R/sf</x:v>
      </x:c>
    </x:row>
    <x:row r="2146">
      <x:c r="A2146" s="25" t="n">
        <x:v>2145</x:v>
      </x:c>
      <x:c r="B2146" s="26" t="n">
        <x:v>42101.48065972222</x:v>
      </x:c>
      <x:c r="C2146" s="27" t="n">
        <x:f>INT(B2146)</x:f>
        <x:v>42101</x:v>
      </x:c>
      <x:c r="D2146" s="28" t="n">
        <x:f>MOD(B2146,1)</x:f>
        <x:v>0.48065972221957054</x:v>
      </x:c>
      <x:c r="E2146" s="29" t="n">
        <x:f>YEAR(B2146)</x:f>
        <x:v>2015</x:v>
      </x:c>
      <x:c r="F2146" s="29" t="n">
        <x:f>MONTH(B2146)</x:f>
        <x:v>4</x:v>
      </x:c>
      <x:c r="G2146" s="30" t="n">
        <x:v>-36.17</x:v>
      </x:c>
      <x:c r="H2146" s="30" t="n">
        <x:v>-72.16</x:v>
      </x:c>
      <x:c r="I2146" s="29" t="n">
        <x:v>63</x:v>
      </x:c>
      <x:c r="J2146" s="31" t="n">
        <x:v>4.6</x:v>
      </x:c>
      <x:c r="K2146" s="25" t="str">
        <x:f>IF(J2146&gt;=7,"Muy fuerte (&gt;=7)",IF(J2146&gt;=6,"Fuerte (6-6.9)",IF(J2146&gt;=5,"Moderado alto (5-5.9)",IF(J2146&gt;=4,"Moderado (4-4.9)","Menor a 4"))))</x:f>
        <x:v>Moderado (4-4.9)</x:v>
      </x:c>
      <x:c r="L2146" s="25" t="str">
        <x:f>IF(I2146&lt;70,"Superficial (&lt;70 km)",IF(I2146&lt;=300,"Intermedio (70-300 km)","Profundo (&gt;300 km)"))</x:f>
        <x:v>Superficial (&lt;70 km)</x:v>
      </x:c>
      <x:c r="M2146" s="25" t="str">
        <x:f>IF(J2146&gt;=5,"Sí","No")</x:f>
        <x:v>No</x:v>
      </x:c>
      <x:c r="N2146" s="25" t="str">
        <x:f>IF(J2146&gt;=6,"Sí","No")</x:f>
        <x:v>No</x:v>
      </x:c>
      <x:c r="O2146" s="25" t="str">
        <x:v>Pendiente: asignar con R/sf</x:v>
      </x:c>
    </x:row>
    <x:row r="2147">
      <x:c r="A2147" s="25" t="n">
        <x:v>2146</x:v>
      </x:c>
      <x:c r="B2147" s="26" t="n">
        <x:v>42264.669490740744</x:v>
      </x:c>
      <x:c r="C2147" s="27" t="n">
        <x:f>INT(B2147)</x:f>
        <x:v>42264</x:v>
      </x:c>
      <x:c r="D2147" s="28" t="n">
        <x:f>MOD(B2147,1)</x:f>
        <x:v>0.6694907407436403</x:v>
      </x:c>
      <x:c r="E2147" s="29" t="n">
        <x:f>YEAR(B2147)</x:f>
        <x:v>2015</x:v>
      </x:c>
      <x:c r="F2147" s="29" t="n">
        <x:f>MONTH(B2147)</x:f>
        <x:v>9</x:v>
      </x:c>
      <x:c r="G2147" s="30" t="n">
        <x:v>-31.55</x:v>
      </x:c>
      <x:c r="H2147" s="30" t="n">
        <x:v>-72.07</x:v>
      </x:c>
      <x:c r="I2147" s="29" t="n">
        <x:v>42</x:v>
      </x:c>
      <x:c r="J2147" s="31" t="n">
        <x:v>5.3</x:v>
      </x:c>
      <x:c r="K2147" s="25" t="str">
        <x:f>IF(J2147&gt;=7,"Muy fuerte (&gt;=7)",IF(J2147&gt;=6,"Fuerte (6-6.9)",IF(J2147&gt;=5,"Moderado alto (5-5.9)",IF(J2147&gt;=4,"Moderado (4-4.9)","Menor a 4"))))</x:f>
        <x:v>Moderado alto (5-5.9)</x:v>
      </x:c>
      <x:c r="L2147" s="25" t="str">
        <x:f>IF(I2147&lt;70,"Superficial (&lt;70 km)",IF(I2147&lt;=300,"Intermedio (70-300 km)","Profundo (&gt;300 km)"))</x:f>
        <x:v>Superficial (&lt;70 km)</x:v>
      </x:c>
      <x:c r="M2147" s="25" t="str">
        <x:f>IF(J2147&gt;=5,"Sí","No")</x:f>
        <x:v>Sí</x:v>
      </x:c>
      <x:c r="N2147" s="25" t="str">
        <x:f>IF(J2147&gt;=6,"Sí","No")</x:f>
        <x:v>No</x:v>
      </x:c>
      <x:c r="O2147" s="25" t="str">
        <x:v>Pendiente: asignar con R/sf</x:v>
      </x:c>
    </x:row>
    <x:row r="2148">
      <x:c r="A2148" s="25" t="n">
        <x:v>2147</x:v>
      </x:c>
      <x:c r="B2148" s="26" t="n">
        <x:v>42152.413356481484</x:v>
      </x:c>
      <x:c r="C2148" s="27" t="n">
        <x:f>INT(B2148)</x:f>
        <x:v>42152</x:v>
      </x:c>
      <x:c r="D2148" s="28" t="n">
        <x:f>MOD(B2148,1)</x:f>
        <x:v>0.41335648148378823</x:v>
      </x:c>
      <x:c r="E2148" s="29" t="n">
        <x:f>YEAR(B2148)</x:f>
        <x:v>2015</x:v>
      </x:c>
      <x:c r="F2148" s="29" t="n">
        <x:f>MONTH(B2148)</x:f>
        <x:v>5</x:v>
      </x:c>
      <x:c r="G2148" s="30" t="n">
        <x:v>-20.14</x:v>
      </x:c>
      <x:c r="H2148" s="30" t="n">
        <x:v>-70.1</x:v>
      </x:c>
      <x:c r="I2148" s="29" t="n">
        <x:v>44</x:v>
      </x:c>
      <x:c r="J2148" s="31" t="n">
        <x:v>4.1</x:v>
      </x:c>
      <x:c r="K2148" s="25" t="str">
        <x:f>IF(J2148&gt;=7,"Muy fuerte (&gt;=7)",IF(J2148&gt;=6,"Fuerte (6-6.9)",IF(J2148&gt;=5,"Moderado alto (5-5.9)",IF(J2148&gt;=4,"Moderado (4-4.9)","Menor a 4"))))</x:f>
        <x:v>Moderado (4-4.9)</x:v>
      </x:c>
      <x:c r="L2148" s="25" t="str">
        <x:f>IF(I2148&lt;70,"Superficial (&lt;70 km)",IF(I2148&lt;=300,"Intermedio (70-300 km)","Profundo (&gt;300 km)"))</x:f>
        <x:v>Superficial (&lt;70 km)</x:v>
      </x:c>
      <x:c r="M2148" s="25" t="str">
        <x:f>IF(J2148&gt;=5,"Sí","No")</x:f>
        <x:v>No</x:v>
      </x:c>
      <x:c r="N2148" s="25" t="str">
        <x:f>IF(J2148&gt;=6,"Sí","No")</x:f>
        <x:v>No</x:v>
      </x:c>
      <x:c r="O2148" s="25" t="str">
        <x:v>Pendiente: asignar con R/sf</x:v>
      </x:c>
    </x:row>
    <x:row r="2149">
      <x:c r="A2149" s="25" t="n">
        <x:v>2148</x:v>
      </x:c>
      <x:c r="B2149" s="26" t="n">
        <x:v>42269.56980324074</x:v>
      </x:c>
      <x:c r="C2149" s="27" t="n">
        <x:f>INT(B2149)</x:f>
        <x:v>42269</x:v>
      </x:c>
      <x:c r="D2149" s="28" t="n">
        <x:f>MOD(B2149,1)</x:f>
        <x:v>0.5698032407381106</x:v>
      </x:c>
      <x:c r="E2149" s="29" t="n">
        <x:f>YEAR(B2149)</x:f>
        <x:v>2015</x:v>
      </x:c>
      <x:c r="F2149" s="29" t="n">
        <x:f>MONTH(B2149)</x:f>
        <x:v>9</x:v>
      </x:c>
      <x:c r="G2149" s="30" t="n">
        <x:v>-33.32</x:v>
      </x:c>
      <x:c r="H2149" s="30" t="n">
        <x:v>-71.32</x:v>
      </x:c>
      <x:c r="I2149" s="29" t="n">
        <x:v>51</x:v>
      </x:c>
      <x:c r="J2149" s="31" t="n">
        <x:v>4.2</x:v>
      </x:c>
      <x:c r="K2149" s="25" t="str">
        <x:f>IF(J2149&gt;=7,"Muy fuerte (&gt;=7)",IF(J2149&gt;=6,"Fuerte (6-6.9)",IF(J2149&gt;=5,"Moderado alto (5-5.9)",IF(J2149&gt;=4,"Moderado (4-4.9)","Menor a 4"))))</x:f>
        <x:v>Moderado (4-4.9)</x:v>
      </x:c>
      <x:c r="L2149" s="25" t="str">
        <x:f>IF(I2149&lt;70,"Superficial (&lt;70 km)",IF(I2149&lt;=300,"Intermedio (70-300 km)","Profundo (&gt;300 km)"))</x:f>
        <x:v>Superficial (&lt;70 km)</x:v>
      </x:c>
      <x:c r="M2149" s="25" t="str">
        <x:f>IF(J2149&gt;=5,"Sí","No")</x:f>
        <x:v>No</x:v>
      </x:c>
      <x:c r="N2149" s="25" t="str">
        <x:f>IF(J2149&gt;=6,"Sí","No")</x:f>
        <x:v>No</x:v>
      </x:c>
      <x:c r="O2149" s="25" t="str">
        <x:v>Pendiente: asignar con R/sf</x:v>
      </x:c>
    </x:row>
    <x:row r="2150">
      <x:c r="A2150" s="25" t="n">
        <x:v>2149</x:v>
      </x:c>
      <x:c r="B2150" s="26" t="n">
        <x:v>42037.451261574075</x:v>
      </x:c>
      <x:c r="C2150" s="27" t="n">
        <x:f>INT(B2150)</x:f>
        <x:v>42037</x:v>
      </x:c>
      <x:c r="D2150" s="28" t="n">
        <x:f>MOD(B2150,1)</x:f>
        <x:v>0.4512615740750334</x:v>
      </x:c>
      <x:c r="E2150" s="29" t="n">
        <x:f>YEAR(B2150)</x:f>
        <x:v>2015</x:v>
      </x:c>
      <x:c r="F2150" s="29" t="n">
        <x:f>MONTH(B2150)</x:f>
        <x:v>2</x:v>
      </x:c>
      <x:c r="G2150" s="30" t="n">
        <x:v>-32</x:v>
      </x:c>
      <x:c r="H2150" s="30" t="n">
        <x:v>-67.53</x:v>
      </x:c>
      <x:c r="I2150" s="29" t="n">
        <x:v>148</x:v>
      </x:c>
      <x:c r="J2150" s="31" t="n">
        <x:v>6.4</x:v>
      </x:c>
      <x:c r="K2150" s="25" t="str">
        <x:f>IF(J2150&gt;=7,"Muy fuerte (&gt;=7)",IF(J2150&gt;=6,"Fuerte (6-6.9)",IF(J2150&gt;=5,"Moderado alto (5-5.9)",IF(J2150&gt;=4,"Moderado (4-4.9)","Menor a 4"))))</x:f>
        <x:v>Fuerte (6-6.9)</x:v>
      </x:c>
      <x:c r="L2150" s="25" t="str">
        <x:f>IF(I2150&lt;70,"Superficial (&lt;70 km)",IF(I2150&lt;=300,"Intermedio (70-300 km)","Profundo (&gt;300 km)"))</x:f>
        <x:v>Intermedio (70-300 km)</x:v>
      </x:c>
      <x:c r="M2150" s="25" t="str">
        <x:f>IF(J2150&gt;=5,"Sí","No")</x:f>
        <x:v>Sí</x:v>
      </x:c>
      <x:c r="N2150" s="25" t="str">
        <x:f>IF(J2150&gt;=6,"Sí","No")</x:f>
        <x:v>Sí</x:v>
      </x:c>
      <x:c r="O2150" s="25" t="str">
        <x:v>Pendiente: asignar con R/sf</x:v>
      </x:c>
    </x:row>
    <x:row r="2151">
      <x:c r="A2151" s="25" t="n">
        <x:v>2150</x:v>
      </x:c>
      <x:c r="B2151" s="26" t="n">
        <x:v>42262.889814814815</x:v>
      </x:c>
      <x:c r="C2151" s="27" t="n">
        <x:f>INT(B2151)</x:f>
        <x:v>42262</x:v>
      </x:c>
      <x:c r="D2151" s="28" t="n">
        <x:f>MOD(B2151,1)</x:f>
        <x:v>0.8898148148145992</x:v>
      </x:c>
      <x:c r="E2151" s="29" t="n">
        <x:f>YEAR(B2151)</x:f>
        <x:v>2015</x:v>
      </x:c>
      <x:c r="F2151" s="29" t="n">
        <x:f>MONTH(B2151)</x:f>
        <x:v>9</x:v>
      </x:c>
      <x:c r="G2151" s="30" t="n">
        <x:v>-19.97</x:v>
      </x:c>
      <x:c r="H2151" s="30" t="n">
        <x:v>-71.05</x:v>
      </x:c>
      <x:c r="I2151" s="29" t="n">
        <x:v>38</x:v>
      </x:c>
      <x:c r="J2151" s="31" t="n">
        <x:v>5.1</x:v>
      </x:c>
      <x:c r="K2151" s="25" t="str">
        <x:f>IF(J2151&gt;=7,"Muy fuerte (&gt;=7)",IF(J2151&gt;=6,"Fuerte (6-6.9)",IF(J2151&gt;=5,"Moderado alto (5-5.9)",IF(J2151&gt;=4,"Moderado (4-4.9)","Menor a 4"))))</x:f>
        <x:v>Moderado alto (5-5.9)</x:v>
      </x:c>
      <x:c r="L2151" s="25" t="str">
        <x:f>IF(I2151&lt;70,"Superficial (&lt;70 km)",IF(I2151&lt;=300,"Intermedio (70-300 km)","Profundo (&gt;300 km)"))</x:f>
        <x:v>Superficial (&lt;70 km)</x:v>
      </x:c>
      <x:c r="M2151" s="25" t="str">
        <x:f>IF(J2151&gt;=5,"Sí","No")</x:f>
        <x:v>Sí</x:v>
      </x:c>
      <x:c r="N2151" s="25" t="str">
        <x:f>IF(J2151&gt;=6,"Sí","No")</x:f>
        <x:v>No</x:v>
      </x:c>
      <x:c r="O2151" s="25" t="str">
        <x:v>Pendiente: asignar con R/sf</x:v>
      </x:c>
    </x:row>
    <x:row r="2152">
      <x:c r="A2152" s="25" t="n">
        <x:v>2151</x:v>
      </x:c>
      <x:c r="B2152" s="26" t="n">
        <x:v>42068.896203703705</x:v>
      </x:c>
      <x:c r="C2152" s="27" t="n">
        <x:f>INT(B2152)</x:f>
        <x:v>42068</x:v>
      </x:c>
      <x:c r="D2152" s="28" t="n">
        <x:f>MOD(B2152,1)</x:f>
        <x:v>0.896203703705396</x:v>
      </x:c>
      <x:c r="E2152" s="29" t="n">
        <x:f>YEAR(B2152)</x:f>
        <x:v>2015</x:v>
      </x:c>
      <x:c r="F2152" s="29" t="n">
        <x:f>MONTH(B2152)</x:f>
        <x:v>3</x:v>
      </x:c>
      <x:c r="G2152" s="30" t="n">
        <x:v>-29.32</x:v>
      </x:c>
      <x:c r="H2152" s="30" t="n">
        <x:v>-71.11</x:v>
      </x:c>
      <x:c r="I2152" s="29" t="n">
        <x:v>60</x:v>
      </x:c>
      <x:c r="J2152" s="31" t="n">
        <x:v>5.3</x:v>
      </x:c>
      <x:c r="K2152" s="25" t="str">
        <x:f>IF(J2152&gt;=7,"Muy fuerte (&gt;=7)",IF(J2152&gt;=6,"Fuerte (6-6.9)",IF(J2152&gt;=5,"Moderado alto (5-5.9)",IF(J2152&gt;=4,"Moderado (4-4.9)","Menor a 4"))))</x:f>
        <x:v>Moderado alto (5-5.9)</x:v>
      </x:c>
      <x:c r="L2152" s="25" t="str">
        <x:f>IF(I2152&lt;70,"Superficial (&lt;70 km)",IF(I2152&lt;=300,"Intermedio (70-300 km)","Profundo (&gt;300 km)"))</x:f>
        <x:v>Superficial (&lt;70 km)</x:v>
      </x:c>
      <x:c r="M2152" s="25" t="str">
        <x:f>IF(J2152&gt;=5,"Sí","No")</x:f>
        <x:v>Sí</x:v>
      </x:c>
      <x:c r="N2152" s="25" t="str">
        <x:f>IF(J2152&gt;=6,"Sí","No")</x:f>
        <x:v>No</x:v>
      </x:c>
      <x:c r="O2152" s="25" t="str">
        <x:v>Pendiente: asignar con R/sf</x:v>
      </x:c>
    </x:row>
    <x:row r="2153">
      <x:c r="A2153" s="25" t="n">
        <x:v>2152</x:v>
      </x:c>
      <x:c r="B2153" s="26" t="n">
        <x:v>42339.12782407407</x:v>
      </x:c>
      <x:c r="C2153" s="27" t="n">
        <x:f>INT(B2153)</x:f>
        <x:v>42339</x:v>
      </x:c>
      <x:c r="D2153" s="28" t="n">
        <x:f>MOD(B2153,1)</x:f>
        <x:v>0.12782407407212304</x:v>
      </x:c>
      <x:c r="E2153" s="29" t="n">
        <x:f>YEAR(B2153)</x:f>
        <x:v>2015</x:v>
      </x:c>
      <x:c r="F2153" s="29" t="n">
        <x:f>MONTH(B2153)</x:f>
        <x:v>12</x:v>
      </x:c>
      <x:c r="G2153" s="30" t="n">
        <x:v>-30.41</x:v>
      </x:c>
      <x:c r="H2153" s="30" t="n">
        <x:v>-71.63</x:v>
      </x:c>
      <x:c r="I2153" s="29" t="n">
        <x:v>18</x:v>
      </x:c>
      <x:c r="J2153" s="31" t="n">
        <x:v>4.6</x:v>
      </x:c>
      <x:c r="K2153" s="25" t="str">
        <x:f>IF(J2153&gt;=7,"Muy fuerte (&gt;=7)",IF(J2153&gt;=6,"Fuerte (6-6.9)",IF(J2153&gt;=5,"Moderado alto (5-5.9)",IF(J2153&gt;=4,"Moderado (4-4.9)","Menor a 4"))))</x:f>
        <x:v>Moderado (4-4.9)</x:v>
      </x:c>
      <x:c r="L2153" s="25" t="str">
        <x:f>IF(I2153&lt;70,"Superficial (&lt;70 km)",IF(I2153&lt;=300,"Intermedio (70-300 km)","Profundo (&gt;300 km)"))</x:f>
        <x:v>Superficial (&lt;70 km)</x:v>
      </x:c>
      <x:c r="M2153" s="25" t="str">
        <x:f>IF(J2153&gt;=5,"Sí","No")</x:f>
        <x:v>No</x:v>
      </x:c>
      <x:c r="N2153" s="25" t="str">
        <x:f>IF(J2153&gt;=6,"Sí","No")</x:f>
        <x:v>No</x:v>
      </x:c>
      <x:c r="O2153" s="25" t="str">
        <x:v>Pendiente: asignar con R/sf</x:v>
      </x:c>
    </x:row>
    <x:row r="2154">
      <x:c r="A2154" s="25" t="n">
        <x:v>2153</x:v>
      </x:c>
      <x:c r="B2154" s="26" t="n">
        <x:v>42267.00724537037</x:v>
      </x:c>
      <x:c r="C2154" s="27" t="n">
        <x:f>INT(B2154)</x:f>
        <x:v>42267</x:v>
      </x:c>
      <x:c r="D2154" s="28" t="n">
        <x:f>MOD(B2154,1)</x:f>
        <x:v>0.00724537036876427</x:v>
      </x:c>
      <x:c r="E2154" s="29" t="n">
        <x:f>YEAR(B2154)</x:f>
        <x:v>2015</x:v>
      </x:c>
      <x:c r="F2154" s="29" t="n">
        <x:f>MONTH(B2154)</x:f>
        <x:v>9</x:v>
      </x:c>
      <x:c r="G2154" s="30" t="n">
        <x:v>-30.84</x:v>
      </x:c>
      <x:c r="H2154" s="30" t="n">
        <x:v>-71.6</x:v>
      </x:c>
      <x:c r="I2154" s="29" t="n">
        <x:v>34</x:v>
      </x:c>
      <x:c r="J2154" s="31" t="n">
        <x:v>4.4</x:v>
      </x:c>
      <x:c r="K2154" s="25" t="str">
        <x:f>IF(J2154&gt;=7,"Muy fuerte (&gt;=7)",IF(J2154&gt;=6,"Fuerte (6-6.9)",IF(J2154&gt;=5,"Moderado alto (5-5.9)",IF(J2154&gt;=4,"Moderado (4-4.9)","Menor a 4"))))</x:f>
        <x:v>Moderado (4-4.9)</x:v>
      </x:c>
      <x:c r="L2154" s="25" t="str">
        <x:f>IF(I2154&lt;70,"Superficial (&lt;70 km)",IF(I2154&lt;=300,"Intermedio (70-300 km)","Profundo (&gt;300 km)"))</x:f>
        <x:v>Superficial (&lt;70 km)</x:v>
      </x:c>
      <x:c r="M2154" s="25" t="str">
        <x:f>IF(J2154&gt;=5,"Sí","No")</x:f>
        <x:v>No</x:v>
      </x:c>
      <x:c r="N2154" s="25" t="str">
        <x:f>IF(J2154&gt;=6,"Sí","No")</x:f>
        <x:v>No</x:v>
      </x:c>
      <x:c r="O2154" s="25" t="str">
        <x:v>Pendiente: asignar con R/sf</x:v>
      </x:c>
    </x:row>
    <x:row r="2155">
      <x:c r="A2155" s="25" t="n">
        <x:v>2154</x:v>
      </x:c>
      <x:c r="B2155" s="26" t="n">
        <x:v>42139.110439814816</x:v>
      </x:c>
      <x:c r="C2155" s="27" t="n">
        <x:f>INT(B2155)</x:f>
        <x:v>42139</x:v>
      </x:c>
      <x:c r="D2155" s="28" t="n">
        <x:f>MOD(B2155,1)</x:f>
        <x:v>0.11043981481634546</x:v>
      </x:c>
      <x:c r="E2155" s="29" t="n">
        <x:f>YEAR(B2155)</x:f>
        <x:v>2015</x:v>
      </x:c>
      <x:c r="F2155" s="29" t="n">
        <x:f>MONTH(B2155)</x:f>
        <x:v>5</x:v>
      </x:c>
      <x:c r="G2155" s="30" t="n">
        <x:v>-31.55</x:v>
      </x:c>
      <x:c r="H2155" s="30" t="n">
        <x:v>-71.6</x:v>
      </x:c>
      <x:c r="I2155" s="29" t="n">
        <x:v>47</x:v>
      </x:c>
      <x:c r="J2155" s="31" t="n">
        <x:v>4</x:v>
      </x:c>
      <x:c r="K2155" s="25" t="str">
        <x:f>IF(J2155&gt;=7,"Muy fuerte (&gt;=7)",IF(J2155&gt;=6,"Fuerte (6-6.9)",IF(J2155&gt;=5,"Moderado alto (5-5.9)",IF(J2155&gt;=4,"Moderado (4-4.9)","Menor a 4"))))</x:f>
        <x:v>Moderado (4-4.9)</x:v>
      </x:c>
      <x:c r="L2155" s="25" t="str">
        <x:f>IF(I2155&lt;70,"Superficial (&lt;70 km)",IF(I2155&lt;=300,"Intermedio (70-300 km)","Profundo (&gt;300 km)"))</x:f>
        <x:v>Superficial (&lt;70 km)</x:v>
      </x:c>
      <x:c r="M2155" s="25" t="str">
        <x:f>IF(J2155&gt;=5,"Sí","No")</x:f>
        <x:v>No</x:v>
      </x:c>
      <x:c r="N2155" s="25" t="str">
        <x:f>IF(J2155&gt;=6,"Sí","No")</x:f>
        <x:v>No</x:v>
      </x:c>
      <x:c r="O2155" s="25" t="str">
        <x:v>Pendiente: asignar con R/sf</x:v>
      </x:c>
    </x:row>
    <x:row r="2156">
      <x:c r="A2156" s="25" t="n">
        <x:v>2155</x:v>
      </x:c>
      <x:c r="B2156" s="26" t="n">
        <x:v>42309.0615625</x:v>
      </x:c>
      <x:c r="C2156" s="27" t="n">
        <x:f>INT(B2156)</x:f>
        <x:v>42309</x:v>
      </x:c>
      <x:c r="D2156" s="28" t="n">
        <x:f>MOD(B2156,1)</x:f>
        <x:v>0.061562499999126885</x:v>
      </x:c>
      <x:c r="E2156" s="29" t="n">
        <x:f>YEAR(B2156)</x:f>
        <x:v>2015</x:v>
      </x:c>
      <x:c r="F2156" s="29" t="n">
        <x:f>MONTH(B2156)</x:f>
        <x:v>11</x:v>
      </x:c>
      <x:c r="G2156" s="30" t="n">
        <x:v>-38.82</x:v>
      </x:c>
      <x:c r="H2156" s="30" t="n">
        <x:v>-73.42</x:v>
      </x:c>
      <x:c r="I2156" s="29" t="n">
        <x:v>50</x:v>
      </x:c>
      <x:c r="J2156" s="31" t="n">
        <x:v>5.1</x:v>
      </x:c>
      <x:c r="K2156" s="25" t="str">
        <x:f>IF(J2156&gt;=7,"Muy fuerte (&gt;=7)",IF(J2156&gt;=6,"Fuerte (6-6.9)",IF(J2156&gt;=5,"Moderado alto (5-5.9)",IF(J2156&gt;=4,"Moderado (4-4.9)","Menor a 4"))))</x:f>
        <x:v>Moderado alto (5-5.9)</x:v>
      </x:c>
      <x:c r="L2156" s="25" t="str">
        <x:f>IF(I2156&lt;70,"Superficial (&lt;70 km)",IF(I2156&lt;=300,"Intermedio (70-300 km)","Profundo (&gt;300 km)"))</x:f>
        <x:v>Superficial (&lt;70 km)</x:v>
      </x:c>
      <x:c r="M2156" s="25" t="str">
        <x:f>IF(J2156&gt;=5,"Sí","No")</x:f>
        <x:v>Sí</x:v>
      </x:c>
      <x:c r="N2156" s="25" t="str">
        <x:f>IF(J2156&gt;=6,"Sí","No")</x:f>
        <x:v>No</x:v>
      </x:c>
      <x:c r="O2156" s="25" t="str">
        <x:v>Pendiente: asignar con R/sf</x:v>
      </x:c>
    </x:row>
    <x:row r="2157">
      <x:c r="A2157" s="25" t="n">
        <x:v>2156</x:v>
      </x:c>
      <x:c r="B2157" s="26" t="n">
        <x:v>42017.60724537037</x:v>
      </x:c>
      <x:c r="C2157" s="27" t="n">
        <x:f>INT(B2157)</x:f>
        <x:v>42017</x:v>
      </x:c>
      <x:c r="D2157" s="28" t="n">
        <x:f>MOD(B2157,1)</x:f>
        <x:v>0.6072453703673091</x:v>
      </x:c>
      <x:c r="E2157" s="29" t="n">
        <x:f>YEAR(B2157)</x:f>
        <x:v>2015</x:v>
      </x:c>
      <x:c r="F2157" s="29" t="n">
        <x:f>MONTH(B2157)</x:f>
        <x:v>1</x:v>
      </x:c>
      <x:c r="G2157" s="30" t="n">
        <x:v>-33.59</x:v>
      </x:c>
      <x:c r="H2157" s="30" t="n">
        <x:v>-70.33</x:v>
      </x:c>
      <x:c r="I2157" s="29" t="n">
        <x:v>113</x:v>
      </x:c>
      <x:c r="J2157" s="31" t="n">
        <x:v>4.3</x:v>
      </x:c>
      <x:c r="K2157" s="25" t="str">
        <x:f>IF(J2157&gt;=7,"Muy fuerte (&gt;=7)",IF(J2157&gt;=6,"Fuerte (6-6.9)",IF(J2157&gt;=5,"Moderado alto (5-5.9)",IF(J2157&gt;=4,"Moderado (4-4.9)","Menor a 4"))))</x:f>
        <x:v>Moderado (4-4.9)</x:v>
      </x:c>
      <x:c r="L2157" s="25" t="str">
        <x:f>IF(I2157&lt;70,"Superficial (&lt;70 km)",IF(I2157&lt;=300,"Intermedio (70-300 km)","Profundo (&gt;300 km)"))</x:f>
        <x:v>Intermedio (70-300 km)</x:v>
      </x:c>
      <x:c r="M2157" s="25" t="str">
        <x:f>IF(J2157&gt;=5,"Sí","No")</x:f>
        <x:v>No</x:v>
      </x:c>
      <x:c r="N2157" s="25" t="str">
        <x:f>IF(J2157&gt;=6,"Sí","No")</x:f>
        <x:v>No</x:v>
      </x:c>
      <x:c r="O2157" s="25" t="str">
        <x:v>Pendiente: asignar con R/sf</x:v>
      </x:c>
    </x:row>
    <x:row r="2158">
      <x:c r="A2158" s="25" t="n">
        <x:v>2157</x:v>
      </x:c>
      <x:c r="B2158" s="26" t="n">
        <x:v>42313.710173611114</x:v>
      </x:c>
      <x:c r="C2158" s="27" t="n">
        <x:f>INT(B2158)</x:f>
        <x:v>42313</x:v>
      </x:c>
      <x:c r="D2158" s="28" t="n">
        <x:f>MOD(B2158,1)</x:f>
        <x:v>0.7101736111144419</x:v>
      </x:c>
      <x:c r="E2158" s="29" t="n">
        <x:f>YEAR(B2158)</x:f>
        <x:v>2015</x:v>
      </x:c>
      <x:c r="F2158" s="29" t="n">
        <x:f>MONTH(B2158)</x:f>
        <x:v>11</x:v>
      </x:c>
      <x:c r="G2158" s="30" t="n">
        <x:v>-30.71</x:v>
      </x:c>
      <x:c r="H2158" s="30" t="n">
        <x:v>-71.76</x:v>
      </x:c>
      <x:c r="I2158" s="29" t="n">
        <x:v>33</x:v>
      </x:c>
      <x:c r="J2158" s="31" t="n">
        <x:v>4.8</x:v>
      </x:c>
      <x:c r="K2158" s="25" t="str">
        <x:f>IF(J2158&gt;=7,"Muy fuerte (&gt;=7)",IF(J2158&gt;=6,"Fuerte (6-6.9)",IF(J2158&gt;=5,"Moderado alto (5-5.9)",IF(J2158&gt;=4,"Moderado (4-4.9)","Menor a 4"))))</x:f>
        <x:v>Moderado (4-4.9)</x:v>
      </x:c>
      <x:c r="L2158" s="25" t="str">
        <x:f>IF(I2158&lt;70,"Superficial (&lt;70 km)",IF(I2158&lt;=300,"Intermedio (70-300 km)","Profundo (&gt;300 km)"))</x:f>
        <x:v>Superficial (&lt;70 km)</x:v>
      </x:c>
      <x:c r="M2158" s="25" t="str">
        <x:f>IF(J2158&gt;=5,"Sí","No")</x:f>
        <x:v>No</x:v>
      </x:c>
      <x:c r="N2158" s="25" t="str">
        <x:f>IF(J2158&gt;=6,"Sí","No")</x:f>
        <x:v>No</x:v>
      </x:c>
      <x:c r="O2158" s="25" t="str">
        <x:v>Pendiente: asignar con R/sf</x:v>
      </x:c>
    </x:row>
    <x:row r="2159">
      <x:c r="A2159" s="25" t="n">
        <x:v>2158</x:v>
      </x:c>
      <x:c r="B2159" s="26" t="n">
        <x:v>42220.01212962963</x:v>
      </x:c>
      <x:c r="C2159" s="27" t="n">
        <x:f>INT(B2159)</x:f>
        <x:v>42220</x:v>
      </x:c>
      <x:c r="D2159" s="28" t="n">
        <x:f>MOD(B2159,1)</x:f>
        <x:v>0.012129629627452232</x:v>
      </x:c>
      <x:c r="E2159" s="29" t="n">
        <x:f>YEAR(B2159)</x:f>
        <x:v>2015</x:v>
      </x:c>
      <x:c r="F2159" s="29" t="n">
        <x:f>MONTH(B2159)</x:f>
        <x:v>8</x:v>
      </x:c>
      <x:c r="G2159" s="30" t="n">
        <x:v>-35.13</x:v>
      </x:c>
      <x:c r="H2159" s="30" t="n">
        <x:v>-70.79</x:v>
      </x:c>
      <x:c r="I2159" s="29" t="n">
        <x:v>113</x:v>
      </x:c>
      <x:c r="J2159" s="31" t="n">
        <x:v>4.6</x:v>
      </x:c>
      <x:c r="K2159" s="25" t="str">
        <x:f>IF(J2159&gt;=7,"Muy fuerte (&gt;=7)",IF(J2159&gt;=6,"Fuerte (6-6.9)",IF(J2159&gt;=5,"Moderado alto (5-5.9)",IF(J2159&gt;=4,"Moderado (4-4.9)","Menor a 4"))))</x:f>
        <x:v>Moderado (4-4.9)</x:v>
      </x:c>
      <x:c r="L2159" s="25" t="str">
        <x:f>IF(I2159&lt;70,"Superficial (&lt;70 km)",IF(I2159&lt;=300,"Intermedio (70-300 km)","Profundo (&gt;300 km)"))</x:f>
        <x:v>Intermedio (70-300 km)</x:v>
      </x:c>
      <x:c r="M2159" s="25" t="str">
        <x:f>IF(J2159&gt;=5,"Sí","No")</x:f>
        <x:v>No</x:v>
      </x:c>
      <x:c r="N2159" s="25" t="str">
        <x:f>IF(J2159&gt;=6,"Sí","No")</x:f>
        <x:v>No</x:v>
      </x:c>
      <x:c r="O2159" s="25" t="str">
        <x:v>Pendiente: asignar con R/sf</x:v>
      </x:c>
    </x:row>
    <x:row r="2160">
      <x:c r="A2160" s="25" t="n">
        <x:v>2159</x:v>
      </x:c>
      <x:c r="B2160" s="26" t="n">
        <x:v>42315.49408564815</x:v>
      </x:c>
      <x:c r="C2160" s="27" t="n">
        <x:f>INT(B2160)</x:f>
        <x:v>42315</x:v>
      </x:c>
      <x:c r="D2160" s="28" t="n">
        <x:f>MOD(B2160,1)</x:f>
        <x:v>0.4940856481480296</x:v>
      </x:c>
      <x:c r="E2160" s="29" t="n">
        <x:f>YEAR(B2160)</x:f>
        <x:v>2015</x:v>
      </x:c>
      <x:c r="F2160" s="29" t="n">
        <x:f>MONTH(B2160)</x:f>
        <x:v>11</x:v>
      </x:c>
      <x:c r="G2160" s="30" t="n">
        <x:v>-30.7</x:v>
      </x:c>
      <x:c r="H2160" s="30" t="n">
        <x:v>-71.63</x:v>
      </x:c>
      <x:c r="I2160" s="29" t="n">
        <x:v>28</x:v>
      </x:c>
      <x:c r="J2160" s="31" t="n">
        <x:v>4.3</x:v>
      </x:c>
      <x:c r="K2160" s="25" t="str">
        <x:f>IF(J2160&gt;=7,"Muy fuerte (&gt;=7)",IF(J2160&gt;=6,"Fuerte (6-6.9)",IF(J2160&gt;=5,"Moderado alto (5-5.9)",IF(J2160&gt;=4,"Moderado (4-4.9)","Menor a 4"))))</x:f>
        <x:v>Moderado (4-4.9)</x:v>
      </x:c>
      <x:c r="L2160" s="25" t="str">
        <x:f>IF(I2160&lt;70,"Superficial (&lt;70 km)",IF(I2160&lt;=300,"Intermedio (70-300 km)","Profundo (&gt;300 km)"))</x:f>
        <x:v>Superficial (&lt;70 km)</x:v>
      </x:c>
      <x:c r="M2160" s="25" t="str">
        <x:f>IF(J2160&gt;=5,"Sí","No")</x:f>
        <x:v>No</x:v>
      </x:c>
      <x:c r="N2160" s="25" t="str">
        <x:f>IF(J2160&gt;=6,"Sí","No")</x:f>
        <x:v>No</x:v>
      </x:c>
      <x:c r="O2160" s="25" t="str">
        <x:v>Pendiente: asignar con R/sf</x:v>
      </x:c>
    </x:row>
    <x:row r="2161">
      <x:c r="A2161" s="25" t="n">
        <x:v>2160</x:v>
      </x:c>
      <x:c r="B2161" s="26" t="n">
        <x:v>42264.86150462963</x:v>
      </x:c>
      <x:c r="C2161" s="27" t="n">
        <x:f>INT(B2161)</x:f>
        <x:v>42264</x:v>
      </x:c>
      <x:c r="D2161" s="28" t="n">
        <x:f>MOD(B2161,1)</x:f>
        <x:v>0.8615046296326909</x:v>
      </x:c>
      <x:c r="E2161" s="29" t="n">
        <x:f>YEAR(B2161)</x:f>
        <x:v>2015</x:v>
      </x:c>
      <x:c r="F2161" s="29" t="n">
        <x:f>MONTH(B2161)</x:f>
        <x:v>9</x:v>
      </x:c>
      <x:c r="G2161" s="30" t="n">
        <x:v>-30.04</x:v>
      </x:c>
      <x:c r="H2161" s="30" t="n">
        <x:v>-71.67</x:v>
      </x:c>
      <x:c r="I2161" s="29" t="n">
        <x:v>33</x:v>
      </x:c>
      <x:c r="J2161" s="31" t="n">
        <x:v>5.5</x:v>
      </x:c>
      <x:c r="K2161" s="25" t="str">
        <x:f>IF(J2161&gt;=7,"Muy fuerte (&gt;=7)",IF(J2161&gt;=6,"Fuerte (6-6.9)",IF(J2161&gt;=5,"Moderado alto (5-5.9)",IF(J2161&gt;=4,"Moderado (4-4.9)","Menor a 4"))))</x:f>
        <x:v>Moderado alto (5-5.9)</x:v>
      </x:c>
      <x:c r="L2161" s="25" t="str">
        <x:f>IF(I2161&lt;70,"Superficial (&lt;70 km)",IF(I2161&lt;=300,"Intermedio (70-300 km)","Profundo (&gt;300 km)"))</x:f>
        <x:v>Superficial (&lt;70 km)</x:v>
      </x:c>
      <x:c r="M2161" s="25" t="str">
        <x:f>IF(J2161&gt;=5,"Sí","No")</x:f>
        <x:v>Sí</x:v>
      </x:c>
      <x:c r="N2161" s="25" t="str">
        <x:f>IF(J2161&gt;=6,"Sí","No")</x:f>
        <x:v>No</x:v>
      </x:c>
      <x:c r="O2161" s="25" t="str">
        <x:v>Pendiente: asignar con R/sf</x:v>
      </x:c>
    </x:row>
    <x:row r="2162">
      <x:c r="A2162" s="25" t="n">
        <x:v>2161</x:v>
      </x:c>
      <x:c r="B2162" s="26" t="n">
        <x:v>42267.721134259256</x:v>
      </x:c>
      <x:c r="C2162" s="27" t="n">
        <x:f>INT(B2162)</x:f>
        <x:v>42267</x:v>
      </x:c>
      <x:c r="D2162" s="28" t="n">
        <x:f>MOD(B2162,1)</x:f>
        <x:v>0.7211342592563597</x:v>
      </x:c>
      <x:c r="E2162" s="29" t="n">
        <x:f>YEAR(B2162)</x:f>
        <x:v>2015</x:v>
      </x:c>
      <x:c r="F2162" s="29" t="n">
        <x:f>MONTH(B2162)</x:f>
        <x:v>9</x:v>
      </x:c>
      <x:c r="G2162" s="30" t="n">
        <x:v>-30.66</x:v>
      </x:c>
      <x:c r="H2162" s="30" t="n">
        <x:v>-71.74</x:v>
      </x:c>
      <x:c r="I2162" s="29" t="n">
        <x:v>37</x:v>
      </x:c>
      <x:c r="J2162" s="31" t="n">
        <x:v>4.8</x:v>
      </x:c>
      <x:c r="K2162" s="25" t="str">
        <x:f>IF(J2162&gt;=7,"Muy fuerte (&gt;=7)",IF(J2162&gt;=6,"Fuerte (6-6.9)",IF(J2162&gt;=5,"Moderado alto (5-5.9)",IF(J2162&gt;=4,"Moderado (4-4.9)","Menor a 4"))))</x:f>
        <x:v>Moderado (4-4.9)</x:v>
      </x:c>
      <x:c r="L2162" s="25" t="str">
        <x:f>IF(I2162&lt;70,"Superficial (&lt;70 km)",IF(I2162&lt;=300,"Intermedio (70-300 km)","Profundo (&gt;300 km)"))</x:f>
        <x:v>Superficial (&lt;70 km)</x:v>
      </x:c>
      <x:c r="M2162" s="25" t="str">
        <x:f>IF(J2162&gt;=5,"Sí","No")</x:f>
        <x:v>No</x:v>
      </x:c>
      <x:c r="N2162" s="25" t="str">
        <x:f>IF(J2162&gt;=6,"Sí","No")</x:f>
        <x:v>No</x:v>
      </x:c>
      <x:c r="O2162" s="25" t="str">
        <x:v>Pendiente: asignar con R/sf</x:v>
      </x:c>
    </x:row>
    <x:row r="2163">
      <x:c r="A2163" s="25" t="n">
        <x:v>2162</x:v>
      </x:c>
      <x:c r="B2163" s="26" t="n">
        <x:v>42292.860439814816</x:v>
      </x:c>
      <x:c r="C2163" s="27" t="n">
        <x:f>INT(B2163)</x:f>
        <x:v>42292</x:v>
      </x:c>
      <x:c r="D2163" s="28" t="n">
        <x:f>MOD(B2163,1)</x:f>
        <x:v>0.8604398148163455</x:v>
      </x:c>
      <x:c r="E2163" s="29" t="n">
        <x:f>YEAR(B2163)</x:f>
        <x:v>2015</x:v>
      </x:c>
      <x:c r="F2163" s="29" t="n">
        <x:f>MONTH(B2163)</x:f>
        <x:v>10</x:v>
      </x:c>
      <x:c r="G2163" s="30" t="n">
        <x:v>-30.57</x:v>
      </x:c>
      <x:c r="H2163" s="30" t="n">
        <x:v>-71.63</x:v>
      </x:c>
      <x:c r="I2163" s="29" t="n">
        <x:v>33</x:v>
      </x:c>
      <x:c r="J2163" s="31" t="n">
        <x:v>4.5</x:v>
      </x:c>
      <x:c r="K2163" s="25" t="str">
        <x:f>IF(J2163&gt;=7,"Muy fuerte (&gt;=7)",IF(J2163&gt;=6,"Fuerte (6-6.9)",IF(J2163&gt;=5,"Moderado alto (5-5.9)",IF(J2163&gt;=4,"Moderado (4-4.9)","Menor a 4"))))</x:f>
        <x:v>Moderado (4-4.9)</x:v>
      </x:c>
      <x:c r="L2163" s="25" t="str">
        <x:f>IF(I2163&lt;70,"Superficial (&lt;70 km)",IF(I2163&lt;=300,"Intermedio (70-300 km)","Profundo (&gt;300 km)"))</x:f>
        <x:v>Superficial (&lt;70 km)</x:v>
      </x:c>
      <x:c r="M2163" s="25" t="str">
        <x:f>IF(J2163&gt;=5,"Sí","No")</x:f>
        <x:v>No</x:v>
      </x:c>
      <x:c r="N2163" s="25" t="str">
        <x:f>IF(J2163&gt;=6,"Sí","No")</x:f>
        <x:v>No</x:v>
      </x:c>
      <x:c r="O2163" s="25" t="str">
        <x:v>Pendiente: asignar con R/sf</x:v>
      </x:c>
    </x:row>
    <x:row r="2164">
      <x:c r="A2164" s="25" t="n">
        <x:v>2163</x:v>
      </x:c>
      <x:c r="B2164" s="26" t="n">
        <x:v>42039.54797453704</x:v>
      </x:c>
      <x:c r="C2164" s="27" t="n">
        <x:f>INT(B2164)</x:f>
        <x:v>42039</x:v>
      </x:c>
      <x:c r="D2164" s="28" t="n">
        <x:f>MOD(B2164,1)</x:f>
        <x:v>0.5479745370394085</x:v>
      </x:c>
      <x:c r="E2164" s="29" t="n">
        <x:f>YEAR(B2164)</x:f>
        <x:v>2015</x:v>
      </x:c>
      <x:c r="F2164" s="29" t="n">
        <x:f>MONTH(B2164)</x:f>
        <x:v>2</x:v>
      </x:c>
      <x:c r="G2164" s="30" t="n">
        <x:v>-29.38</x:v>
      </x:c>
      <x:c r="H2164" s="30" t="n">
        <x:v>-71.01</x:v>
      </x:c>
      <x:c r="I2164" s="29" t="n">
        <x:v>79</x:v>
      </x:c>
      <x:c r="J2164" s="31" t="n">
        <x:v>4.3</x:v>
      </x:c>
      <x:c r="K2164" s="25" t="str">
        <x:f>IF(J2164&gt;=7,"Muy fuerte (&gt;=7)",IF(J2164&gt;=6,"Fuerte (6-6.9)",IF(J2164&gt;=5,"Moderado alto (5-5.9)",IF(J2164&gt;=4,"Moderado (4-4.9)","Menor a 4"))))</x:f>
        <x:v>Moderado (4-4.9)</x:v>
      </x:c>
      <x:c r="L2164" s="25" t="str">
        <x:f>IF(I2164&lt;70,"Superficial (&lt;70 km)",IF(I2164&lt;=300,"Intermedio (70-300 km)","Profundo (&gt;300 km)"))</x:f>
        <x:v>Intermedio (70-300 km)</x:v>
      </x:c>
      <x:c r="M2164" s="25" t="str">
        <x:f>IF(J2164&gt;=5,"Sí","No")</x:f>
        <x:v>No</x:v>
      </x:c>
      <x:c r="N2164" s="25" t="str">
        <x:f>IF(J2164&gt;=6,"Sí","No")</x:f>
        <x:v>No</x:v>
      </x:c>
      <x:c r="O2164" s="25" t="str">
        <x:v>Pendiente: asignar con R/sf</x:v>
      </x:c>
    </x:row>
    <x:row r="2165">
      <x:c r="A2165" s="25" t="n">
        <x:v>2164</x:v>
      </x:c>
      <x:c r="B2165" s="26" t="n">
        <x:v>42330.64163194445</x:v>
      </x:c>
      <x:c r="C2165" s="27" t="n">
        <x:f>INT(B2165)</x:f>
        <x:v>42330</x:v>
      </x:c>
      <x:c r="D2165" s="28" t="n">
        <x:f>MOD(B2165,1)</x:f>
        <x:v>0.6416319444469991</x:v>
      </x:c>
      <x:c r="E2165" s="29" t="n">
        <x:f>YEAR(B2165)</x:f>
        <x:v>2015</x:v>
      </x:c>
      <x:c r="F2165" s="29" t="n">
        <x:f>MONTH(B2165)</x:f>
        <x:v>11</x:v>
      </x:c>
      <x:c r="G2165" s="30" t="n">
        <x:v>-30.26</x:v>
      </x:c>
      <x:c r="H2165" s="30" t="n">
        <x:v>-71.58</x:v>
      </x:c>
      <x:c r="I2165" s="29" t="n">
        <x:v>40</x:v>
      </x:c>
      <x:c r="J2165" s="31" t="n">
        <x:v>4.3</x:v>
      </x:c>
      <x:c r="K2165" s="25" t="str">
        <x:f>IF(J2165&gt;=7,"Muy fuerte (&gt;=7)",IF(J2165&gt;=6,"Fuerte (6-6.9)",IF(J2165&gt;=5,"Moderado alto (5-5.9)",IF(J2165&gt;=4,"Moderado (4-4.9)","Menor a 4"))))</x:f>
        <x:v>Moderado (4-4.9)</x:v>
      </x:c>
      <x:c r="L2165" s="25" t="str">
        <x:f>IF(I2165&lt;70,"Superficial (&lt;70 km)",IF(I2165&lt;=300,"Intermedio (70-300 km)","Profundo (&gt;300 km)"))</x:f>
        <x:v>Superficial (&lt;70 km)</x:v>
      </x:c>
      <x:c r="M2165" s="25" t="str">
        <x:f>IF(J2165&gt;=5,"Sí","No")</x:f>
        <x:v>No</x:v>
      </x:c>
      <x:c r="N2165" s="25" t="str">
        <x:f>IF(J2165&gt;=6,"Sí","No")</x:f>
        <x:v>No</x:v>
      </x:c>
      <x:c r="O2165" s="25" t="str">
        <x:v>Pendiente: asignar con R/sf</x:v>
      </x:c>
    </x:row>
    <x:row r="2166">
      <x:c r="A2166" s="25" t="n">
        <x:v>2165</x:v>
      </x:c>
      <x:c r="B2166" s="26" t="n">
        <x:v>42277.76478009259</x:v>
      </x:c>
      <x:c r="C2166" s="27" t="n">
        <x:f>INT(B2166)</x:f>
        <x:v>42277</x:v>
      </x:c>
      <x:c r="D2166" s="28" t="n">
        <x:f>MOD(B2166,1)</x:f>
        <x:v>0.7647800925915362</x:v>
      </x:c>
      <x:c r="E2166" s="29" t="n">
        <x:f>YEAR(B2166)</x:f>
        <x:v>2015</x:v>
      </x:c>
      <x:c r="F2166" s="29" t="n">
        <x:f>MONTH(B2166)</x:f>
        <x:v>9</x:v>
      </x:c>
      <x:c r="G2166" s="30" t="n">
        <x:v>-30.64</x:v>
      </x:c>
      <x:c r="H2166" s="30" t="n">
        <x:v>-71.72</x:v>
      </x:c>
      <x:c r="I2166" s="29" t="n">
        <x:v>36</x:v>
      </x:c>
      <x:c r="J2166" s="31" t="n">
        <x:v>4.7</x:v>
      </x:c>
      <x:c r="K2166" s="25" t="str">
        <x:f>IF(J2166&gt;=7,"Muy fuerte (&gt;=7)",IF(J2166&gt;=6,"Fuerte (6-6.9)",IF(J2166&gt;=5,"Moderado alto (5-5.9)",IF(J2166&gt;=4,"Moderado (4-4.9)","Menor a 4"))))</x:f>
        <x:v>Moderado (4-4.9)</x:v>
      </x:c>
      <x:c r="L2166" s="25" t="str">
        <x:f>IF(I2166&lt;70,"Superficial (&lt;70 km)",IF(I2166&lt;=300,"Intermedio (70-300 km)","Profundo (&gt;300 km)"))</x:f>
        <x:v>Superficial (&lt;70 km)</x:v>
      </x:c>
      <x:c r="M2166" s="25" t="str">
        <x:f>IF(J2166&gt;=5,"Sí","No")</x:f>
        <x:v>No</x:v>
      </x:c>
      <x:c r="N2166" s="25" t="str">
        <x:f>IF(J2166&gt;=6,"Sí","No")</x:f>
        <x:v>No</x:v>
      </x:c>
      <x:c r="O2166" s="25" t="str">
        <x:v>Pendiente: asignar con R/sf</x:v>
      </x:c>
    </x:row>
    <x:row r="2167">
      <x:c r="A2167" s="25" t="n">
        <x:v>2166</x:v>
      </x:c>
      <x:c r="B2167" s="26" t="n">
        <x:v>42264.54508101852</x:v>
      </x:c>
      <x:c r="C2167" s="27" t="n">
        <x:f>INT(B2167)</x:f>
        <x:v>42264</x:v>
      </x:c>
      <x:c r="D2167" s="28" t="n">
        <x:f>MOD(B2167,1)</x:f>
        <x:v>0.5450810185211594</x:v>
      </x:c>
      <x:c r="E2167" s="29" t="n">
        <x:f>YEAR(B2167)</x:f>
        <x:v>2015</x:v>
      </x:c>
      <x:c r="F2167" s="29" t="n">
        <x:f>MONTH(B2167)</x:f>
        <x:v>9</x:v>
      </x:c>
      <x:c r="G2167" s="30" t="n">
        <x:v>-30.29</x:v>
      </x:c>
      <x:c r="H2167" s="30" t="n">
        <x:v>-71.7</x:v>
      </x:c>
      <x:c r="I2167" s="29" t="n">
        <x:v>16</x:v>
      </x:c>
      <x:c r="J2167" s="31" t="n">
        <x:v>4.2</x:v>
      </x:c>
      <x:c r="K2167" s="25" t="str">
        <x:f>IF(J2167&gt;=7,"Muy fuerte (&gt;=7)",IF(J2167&gt;=6,"Fuerte (6-6.9)",IF(J2167&gt;=5,"Moderado alto (5-5.9)",IF(J2167&gt;=4,"Moderado (4-4.9)","Menor a 4"))))</x:f>
        <x:v>Moderado (4-4.9)</x:v>
      </x:c>
      <x:c r="L2167" s="25" t="str">
        <x:f>IF(I2167&lt;70,"Superficial (&lt;70 km)",IF(I2167&lt;=300,"Intermedio (70-300 km)","Profundo (&gt;300 km)"))</x:f>
        <x:v>Superficial (&lt;70 km)</x:v>
      </x:c>
      <x:c r="M2167" s="25" t="str">
        <x:f>IF(J2167&gt;=5,"Sí","No")</x:f>
        <x:v>No</x:v>
      </x:c>
      <x:c r="N2167" s="25" t="str">
        <x:f>IF(J2167&gt;=6,"Sí","No")</x:f>
        <x:v>No</x:v>
      </x:c>
      <x:c r="O2167" s="25" t="str">
        <x:v>Pendiente: asignar con R/sf</x:v>
      </x:c>
    </x:row>
    <x:row r="2168">
      <x:c r="A2168" s="25" t="n">
        <x:v>2167</x:v>
      </x:c>
      <x:c r="B2168" s="26" t="n">
        <x:v>42039.56799768518</x:v>
      </x:c>
      <x:c r="C2168" s="27" t="n">
        <x:f>INT(B2168)</x:f>
        <x:v>42039</x:v>
      </x:c>
      <x:c r="D2168" s="28" t="n">
        <x:f>MOD(B2168,1)</x:f>
        <x:v>0.5679976851824904</x:v>
      </x:c>
      <x:c r="E2168" s="29" t="n">
        <x:f>YEAR(B2168)</x:f>
        <x:v>2015</x:v>
      </x:c>
      <x:c r="F2168" s="29" t="n">
        <x:f>MONTH(B2168)</x:f>
        <x:v>2</x:v>
      </x:c>
      <x:c r="G2168" s="30" t="n">
        <x:v>-21.21</x:v>
      </x:c>
      <x:c r="H2168" s="30" t="n">
        <x:v>-69.4</x:v>
      </x:c>
      <x:c r="I2168" s="29" t="n">
        <x:v>75</x:v>
      </x:c>
      <x:c r="J2168" s="31" t="n">
        <x:v>4.2</x:v>
      </x:c>
      <x:c r="K2168" s="25" t="str">
        <x:f>IF(J2168&gt;=7,"Muy fuerte (&gt;=7)",IF(J2168&gt;=6,"Fuerte (6-6.9)",IF(J2168&gt;=5,"Moderado alto (5-5.9)",IF(J2168&gt;=4,"Moderado (4-4.9)","Menor a 4"))))</x:f>
        <x:v>Moderado (4-4.9)</x:v>
      </x:c>
      <x:c r="L2168" s="25" t="str">
        <x:f>IF(I2168&lt;70,"Superficial (&lt;70 km)",IF(I2168&lt;=300,"Intermedio (70-300 km)","Profundo (&gt;300 km)"))</x:f>
        <x:v>Intermedio (70-300 km)</x:v>
      </x:c>
      <x:c r="M2168" s="25" t="str">
        <x:f>IF(J2168&gt;=5,"Sí","No")</x:f>
        <x:v>No</x:v>
      </x:c>
      <x:c r="N2168" s="25" t="str">
        <x:f>IF(J2168&gt;=6,"Sí","No")</x:f>
        <x:v>No</x:v>
      </x:c>
      <x:c r="O2168" s="25" t="str">
        <x:v>Pendiente: asignar con R/sf</x:v>
      </x:c>
    </x:row>
    <x:row r="2169">
      <x:c r="A2169" s="25" t="n">
        <x:v>2168</x:v>
      </x:c>
      <x:c r="B2169" s="26" t="n">
        <x:v>42306.43635416667</x:v>
      </x:c>
      <x:c r="C2169" s="27" t="n">
        <x:f>INT(B2169)</x:f>
        <x:v>42306</x:v>
      </x:c>
      <x:c r="D2169" s="28" t="n">
        <x:f>MOD(B2169,1)</x:f>
        <x:v>0.43635416666802485</x:v>
      </x:c>
      <x:c r="E2169" s="29" t="n">
        <x:f>YEAR(B2169)</x:f>
        <x:v>2015</x:v>
      </x:c>
      <x:c r="F2169" s="29" t="n">
        <x:f>MONTH(B2169)</x:f>
        <x:v>10</x:v>
      </x:c>
      <x:c r="G2169" s="30" t="n">
        <x:v>-28.78</x:v>
      </x:c>
      <x:c r="H2169" s="30" t="n">
        <x:v>-70.19</x:v>
      </x:c>
      <x:c r="I2169" s="29" t="n">
        <x:v>91</x:v>
      </x:c>
      <x:c r="J2169" s="31" t="n">
        <x:v>4</x:v>
      </x:c>
      <x:c r="K2169" s="25" t="str">
        <x:f>IF(J2169&gt;=7,"Muy fuerte (&gt;=7)",IF(J2169&gt;=6,"Fuerte (6-6.9)",IF(J2169&gt;=5,"Moderado alto (5-5.9)",IF(J2169&gt;=4,"Moderado (4-4.9)","Menor a 4"))))</x:f>
        <x:v>Moderado (4-4.9)</x:v>
      </x:c>
      <x:c r="L2169" s="25" t="str">
        <x:f>IF(I2169&lt;70,"Superficial (&lt;70 km)",IF(I2169&lt;=300,"Intermedio (70-300 km)","Profundo (&gt;300 km)"))</x:f>
        <x:v>Intermedio (70-300 km)</x:v>
      </x:c>
      <x:c r="M2169" s="25" t="str">
        <x:f>IF(J2169&gt;=5,"Sí","No")</x:f>
        <x:v>No</x:v>
      </x:c>
      <x:c r="N2169" s="25" t="str">
        <x:f>IF(J2169&gt;=6,"Sí","No")</x:f>
        <x:v>No</x:v>
      </x:c>
      <x:c r="O2169" s="25" t="str">
        <x:v>Pendiente: asignar con R/sf</x:v>
      </x:c>
    </x:row>
    <x:row r="2170">
      <x:c r="A2170" s="25" t="n">
        <x:v>2169</x:v>
      </x:c>
      <x:c r="B2170" s="26" t="n">
        <x:v>42147.53784722222</x:v>
      </x:c>
      <x:c r="C2170" s="27" t="n">
        <x:f>INT(B2170)</x:f>
        <x:v>42147</x:v>
      </x:c>
      <x:c r="D2170" s="28" t="n">
        <x:f>MOD(B2170,1)</x:f>
        <x:v>0.5378472222218988</x:v>
      </x:c>
      <x:c r="E2170" s="29" t="n">
        <x:f>YEAR(B2170)</x:f>
        <x:v>2015</x:v>
      </x:c>
      <x:c r="F2170" s="29" t="n">
        <x:f>MONTH(B2170)</x:f>
        <x:v>5</x:v>
      </x:c>
      <x:c r="G2170" s="30" t="n">
        <x:v>-18.52</x:v>
      </x:c>
      <x:c r="H2170" s="30" t="n">
        <x:v>-69.33</x:v>
      </x:c>
      <x:c r="I2170" s="29" t="n">
        <x:v>123</x:v>
      </x:c>
      <x:c r="J2170" s="31" t="n">
        <x:v>4.7</x:v>
      </x:c>
      <x:c r="K2170" s="25" t="str">
        <x:f>IF(J2170&gt;=7,"Muy fuerte (&gt;=7)",IF(J2170&gt;=6,"Fuerte (6-6.9)",IF(J2170&gt;=5,"Moderado alto (5-5.9)",IF(J2170&gt;=4,"Moderado (4-4.9)","Menor a 4"))))</x:f>
        <x:v>Moderado (4-4.9)</x:v>
      </x:c>
      <x:c r="L2170" s="25" t="str">
        <x:f>IF(I2170&lt;70,"Superficial (&lt;70 km)",IF(I2170&lt;=300,"Intermedio (70-300 km)","Profundo (&gt;300 km)"))</x:f>
        <x:v>Intermedio (70-300 km)</x:v>
      </x:c>
      <x:c r="M2170" s="25" t="str">
        <x:f>IF(J2170&gt;=5,"Sí","No")</x:f>
        <x:v>No</x:v>
      </x:c>
      <x:c r="N2170" s="25" t="str">
        <x:f>IF(J2170&gt;=6,"Sí","No")</x:f>
        <x:v>No</x:v>
      </x:c>
      <x:c r="O2170" s="25" t="str">
        <x:v>Pendiente: asignar con R/sf</x:v>
      </x:c>
    </x:row>
    <x:row r="2171">
      <x:c r="A2171" s="25" t="n">
        <x:v>2170</x:v>
      </x:c>
      <x:c r="B2171" s="26" t="n">
        <x:v>42198.88664351852</x:v>
      </x:c>
      <x:c r="C2171" s="27" t="n">
        <x:f>INT(B2171)</x:f>
        <x:v>42198</x:v>
      </x:c>
      <x:c r="D2171" s="28" t="n">
        <x:f>MOD(B2171,1)</x:f>
        <x:v>0.8866435185191222</x:v>
      </x:c>
      <x:c r="E2171" s="29" t="n">
        <x:f>YEAR(B2171)</x:f>
        <x:v>2015</x:v>
      </x:c>
      <x:c r="F2171" s="29" t="n">
        <x:f>MONTH(B2171)</x:f>
        <x:v>7</x:v>
      </x:c>
      <x:c r="G2171" s="30" t="n">
        <x:v>-33.05</x:v>
      </x:c>
      <x:c r="H2171" s="30" t="n">
        <x:v>-70.31</x:v>
      </x:c>
      <x:c r="I2171" s="29" t="n">
        <x:v>112</x:v>
      </x:c>
      <x:c r="J2171" s="31" t="n">
        <x:v>5.1</x:v>
      </x:c>
      <x:c r="K2171" s="25" t="str">
        <x:f>IF(J2171&gt;=7,"Muy fuerte (&gt;=7)",IF(J2171&gt;=6,"Fuerte (6-6.9)",IF(J2171&gt;=5,"Moderado alto (5-5.9)",IF(J2171&gt;=4,"Moderado (4-4.9)","Menor a 4"))))</x:f>
        <x:v>Moderado alto (5-5.9)</x:v>
      </x:c>
      <x:c r="L2171" s="25" t="str">
        <x:f>IF(I2171&lt;70,"Superficial (&lt;70 km)",IF(I2171&lt;=300,"Intermedio (70-300 km)","Profundo (&gt;300 km)"))</x:f>
        <x:v>Intermedio (70-300 km)</x:v>
      </x:c>
      <x:c r="M2171" s="25" t="str">
        <x:f>IF(J2171&gt;=5,"Sí","No")</x:f>
        <x:v>Sí</x:v>
      </x:c>
      <x:c r="N2171" s="25" t="str">
        <x:f>IF(J2171&gt;=6,"Sí","No")</x:f>
        <x:v>No</x:v>
      </x:c>
      <x:c r="O2171" s="25" t="str">
        <x:v>Pendiente: asignar con R/sf</x:v>
      </x:c>
    </x:row>
    <x:row r="2172">
      <x:c r="A2172" s="25" t="n">
        <x:v>2171</x:v>
      </x:c>
      <x:c r="B2172" s="26" t="n">
        <x:v>42354.024988425925</x:v>
      </x:c>
      <x:c r="C2172" s="27" t="n">
        <x:f>INT(B2172)</x:f>
        <x:v>42354</x:v>
      </x:c>
      <x:c r="D2172" s="28" t="n">
        <x:f>MOD(B2172,1)</x:f>
        <x:v>0.02498842592467554</x:v>
      </x:c>
      <x:c r="E2172" s="29" t="n">
        <x:f>YEAR(B2172)</x:f>
        <x:v>2015</x:v>
      </x:c>
      <x:c r="F2172" s="29" t="n">
        <x:f>MONTH(B2172)</x:f>
        <x:v>12</x:v>
      </x:c>
      <x:c r="G2172" s="30" t="n">
        <x:v>-27.28</x:v>
      </x:c>
      <x:c r="H2172" s="30" t="n">
        <x:v>-70</x:v>
      </x:c>
      <x:c r="I2172" s="29" t="n">
        <x:v>104</x:v>
      </x:c>
      <x:c r="J2172" s="31" t="n">
        <x:v>4.1</x:v>
      </x:c>
      <x:c r="K2172" s="25" t="str">
        <x:f>IF(J2172&gt;=7,"Muy fuerte (&gt;=7)",IF(J2172&gt;=6,"Fuerte (6-6.9)",IF(J2172&gt;=5,"Moderado alto (5-5.9)",IF(J2172&gt;=4,"Moderado (4-4.9)","Menor a 4"))))</x:f>
        <x:v>Moderado (4-4.9)</x:v>
      </x:c>
      <x:c r="L2172" s="25" t="str">
        <x:f>IF(I2172&lt;70,"Superficial (&lt;70 km)",IF(I2172&lt;=300,"Intermedio (70-300 km)","Profundo (&gt;300 km)"))</x:f>
        <x:v>Intermedio (70-300 km)</x:v>
      </x:c>
      <x:c r="M2172" s="25" t="str">
        <x:f>IF(J2172&gt;=5,"Sí","No")</x:f>
        <x:v>No</x:v>
      </x:c>
      <x:c r="N2172" s="25" t="str">
        <x:f>IF(J2172&gt;=6,"Sí","No")</x:f>
        <x:v>No</x:v>
      </x:c>
      <x:c r="O2172" s="25" t="str">
        <x:v>Pendiente: asignar con R/sf</x:v>
      </x:c>
    </x:row>
    <x:row r="2173">
      <x:c r="A2173" s="25" t="n">
        <x:v>2172</x:v>
      </x:c>
      <x:c r="B2173" s="26" t="n">
        <x:v>42264.70484953704</x:v>
      </x:c>
      <x:c r="C2173" s="27" t="n">
        <x:f>INT(B2173)</x:f>
        <x:v>42264</x:v>
      </x:c>
      <x:c r="D2173" s="28" t="n">
        <x:f>MOD(B2173,1)</x:f>
        <x:v>0.7048495370399905</x:v>
      </x:c>
      <x:c r="E2173" s="29" t="n">
        <x:f>YEAR(B2173)</x:f>
        <x:v>2015</x:v>
      </x:c>
      <x:c r="F2173" s="29" t="n">
        <x:f>MONTH(B2173)</x:f>
        <x:v>9</x:v>
      </x:c>
      <x:c r="G2173" s="30" t="n">
        <x:v>-30.76</x:v>
      </x:c>
      <x:c r="H2173" s="30" t="n">
        <x:v>-71.46</x:v>
      </x:c>
      <x:c r="I2173" s="29" t="n">
        <x:v>43</x:v>
      </x:c>
      <x:c r="J2173" s="31" t="n">
        <x:v>4.3</x:v>
      </x:c>
      <x:c r="K2173" s="25" t="str">
        <x:f>IF(J2173&gt;=7,"Muy fuerte (&gt;=7)",IF(J2173&gt;=6,"Fuerte (6-6.9)",IF(J2173&gt;=5,"Moderado alto (5-5.9)",IF(J2173&gt;=4,"Moderado (4-4.9)","Menor a 4"))))</x:f>
        <x:v>Moderado (4-4.9)</x:v>
      </x:c>
      <x:c r="L2173" s="25" t="str">
        <x:f>IF(I2173&lt;70,"Superficial (&lt;70 km)",IF(I2173&lt;=300,"Intermedio (70-300 km)","Profundo (&gt;300 km)"))</x:f>
        <x:v>Superficial (&lt;70 km)</x:v>
      </x:c>
      <x:c r="M2173" s="25" t="str">
        <x:f>IF(J2173&gt;=5,"Sí","No")</x:f>
        <x:v>No</x:v>
      </x:c>
      <x:c r="N2173" s="25" t="str">
        <x:f>IF(J2173&gt;=6,"Sí","No")</x:f>
        <x:v>No</x:v>
      </x:c>
      <x:c r="O2173" s="25" t="str">
        <x:v>Pendiente: asignar con R/sf</x:v>
      </x:c>
    </x:row>
    <x:row r="2174">
      <x:c r="A2174" s="25" t="n">
        <x:v>2173</x:v>
      </x:c>
      <x:c r="B2174" s="26" t="n">
        <x:v>42165.03891203704</x:v>
      </x:c>
      <x:c r="C2174" s="27" t="n">
        <x:f>INT(B2174)</x:f>
        <x:v>42165</x:v>
      </x:c>
      <x:c r="D2174" s="28" t="n">
        <x:f>MOD(B2174,1)</x:f>
        <x:v>0.03891203703824431</x:v>
      </x:c>
      <x:c r="E2174" s="29" t="n">
        <x:f>YEAR(B2174)</x:f>
        <x:v>2015</x:v>
      </x:c>
      <x:c r="F2174" s="29" t="n">
        <x:f>MONTH(B2174)</x:f>
        <x:v>6</x:v>
      </x:c>
      <x:c r="G2174" s="30" t="n">
        <x:v>-20.14</x:v>
      </x:c>
      <x:c r="H2174" s="30" t="n">
        <x:v>-69.23</x:v>
      </x:c>
      <x:c r="I2174" s="29" t="n">
        <x:v>98</x:v>
      </x:c>
      <x:c r="J2174" s="31" t="n">
        <x:v>4.2</x:v>
      </x:c>
      <x:c r="K2174" s="25" t="str">
        <x:f>IF(J2174&gt;=7,"Muy fuerte (&gt;=7)",IF(J2174&gt;=6,"Fuerte (6-6.9)",IF(J2174&gt;=5,"Moderado alto (5-5.9)",IF(J2174&gt;=4,"Moderado (4-4.9)","Menor a 4"))))</x:f>
        <x:v>Moderado (4-4.9)</x:v>
      </x:c>
      <x:c r="L2174" s="25" t="str">
        <x:f>IF(I2174&lt;70,"Superficial (&lt;70 km)",IF(I2174&lt;=300,"Intermedio (70-300 km)","Profundo (&gt;300 km)"))</x:f>
        <x:v>Intermedio (70-300 km)</x:v>
      </x:c>
      <x:c r="M2174" s="25" t="str">
        <x:f>IF(J2174&gt;=5,"Sí","No")</x:f>
        <x:v>No</x:v>
      </x:c>
      <x:c r="N2174" s="25" t="str">
        <x:f>IF(J2174&gt;=6,"Sí","No")</x:f>
        <x:v>No</x:v>
      </x:c>
      <x:c r="O2174" s="25" t="str">
        <x:v>Pendiente: asignar con R/sf</x:v>
      </x:c>
    </x:row>
    <x:row r="2175">
      <x:c r="A2175" s="25" t="n">
        <x:v>2174</x:v>
      </x:c>
      <x:c r="B2175" s="26" t="n">
        <x:v>42284.12648148148</x:v>
      </x:c>
      <x:c r="C2175" s="27" t="n">
        <x:f>INT(B2175)</x:f>
        <x:v>42284</x:v>
      </x:c>
      <x:c r="D2175" s="28" t="n">
        <x:f>MOD(B2175,1)</x:f>
        <x:v>0.12648148147854954</x:v>
      </x:c>
      <x:c r="E2175" s="29" t="n">
        <x:f>YEAR(B2175)</x:f>
        <x:v>2015</x:v>
      </x:c>
      <x:c r="F2175" s="29" t="n">
        <x:f>MONTH(B2175)</x:f>
        <x:v>10</x:v>
      </x:c>
      <x:c r="G2175" s="30" t="n">
        <x:v>-30.78</x:v>
      </x:c>
      <x:c r="H2175" s="30" t="n">
        <x:v>-71.39</x:v>
      </x:c>
      <x:c r="I2175" s="29" t="n">
        <x:v>48</x:v>
      </x:c>
      <x:c r="J2175" s="31" t="n">
        <x:v>4.4</x:v>
      </x:c>
      <x:c r="K2175" s="25" t="str">
        <x:f>IF(J2175&gt;=7,"Muy fuerte (&gt;=7)",IF(J2175&gt;=6,"Fuerte (6-6.9)",IF(J2175&gt;=5,"Moderado alto (5-5.9)",IF(J2175&gt;=4,"Moderado (4-4.9)","Menor a 4"))))</x:f>
        <x:v>Moderado (4-4.9)</x:v>
      </x:c>
      <x:c r="L2175" s="25" t="str">
        <x:f>IF(I2175&lt;70,"Superficial (&lt;70 km)",IF(I2175&lt;=300,"Intermedio (70-300 km)","Profundo (&gt;300 km)"))</x:f>
        <x:v>Superficial (&lt;70 km)</x:v>
      </x:c>
      <x:c r="M2175" s="25" t="str">
        <x:f>IF(J2175&gt;=5,"Sí","No")</x:f>
        <x:v>No</x:v>
      </x:c>
      <x:c r="N2175" s="25" t="str">
        <x:f>IF(J2175&gt;=6,"Sí","No")</x:f>
        <x:v>No</x:v>
      </x:c>
      <x:c r="O2175" s="25" t="str">
        <x:v>Pendiente: asignar con R/sf</x:v>
      </x:c>
    </x:row>
    <x:row r="2176">
      <x:c r="A2176" s="25" t="n">
        <x:v>2175</x:v>
      </x:c>
      <x:c r="B2176" s="26" t="n">
        <x:v>42087.729895833334</x:v>
      </x:c>
      <x:c r="C2176" s="27" t="n">
        <x:f>INT(B2176)</x:f>
        <x:v>42087</x:v>
      </x:c>
      <x:c r="D2176" s="28" t="n">
        <x:f>MOD(B2176,1)</x:f>
        <x:v>0.7298958333340124</x:v>
      </x:c>
      <x:c r="E2176" s="29" t="n">
        <x:f>YEAR(B2176)</x:f>
        <x:v>2015</x:v>
      </x:c>
      <x:c r="F2176" s="29" t="n">
        <x:f>MONTH(B2176)</x:f>
        <x:v>3</x:v>
      </x:c>
      <x:c r="G2176" s="30" t="n">
        <x:v>-32.23</x:v>
      </x:c>
      <x:c r="H2176" s="30" t="n">
        <x:v>-71.73</x:v>
      </x:c>
      <x:c r="I2176" s="29" t="n">
        <x:v>35</x:v>
      </x:c>
      <x:c r="J2176" s="31" t="n">
        <x:v>4.2</x:v>
      </x:c>
      <x:c r="K2176" s="25" t="str">
        <x:f>IF(J2176&gt;=7,"Muy fuerte (&gt;=7)",IF(J2176&gt;=6,"Fuerte (6-6.9)",IF(J2176&gt;=5,"Moderado alto (5-5.9)",IF(J2176&gt;=4,"Moderado (4-4.9)","Menor a 4"))))</x:f>
        <x:v>Moderado (4-4.9)</x:v>
      </x:c>
      <x:c r="L2176" s="25" t="str">
        <x:f>IF(I2176&lt;70,"Superficial (&lt;70 km)",IF(I2176&lt;=300,"Intermedio (70-300 km)","Profundo (&gt;300 km)"))</x:f>
        <x:v>Superficial (&lt;70 km)</x:v>
      </x:c>
      <x:c r="M2176" s="25" t="str">
        <x:f>IF(J2176&gt;=5,"Sí","No")</x:f>
        <x:v>No</x:v>
      </x:c>
      <x:c r="N2176" s="25" t="str">
        <x:f>IF(J2176&gt;=6,"Sí","No")</x:f>
        <x:v>No</x:v>
      </x:c>
      <x:c r="O2176" s="25" t="str">
        <x:v>Pendiente: asignar con R/sf</x:v>
      </x:c>
    </x:row>
    <x:row r="2177">
      <x:c r="A2177" s="25" t="n">
        <x:v>2176</x:v>
      </x:c>
      <x:c r="B2177" s="26" t="n">
        <x:v>42279.93263888889</x:v>
      </x:c>
      <x:c r="C2177" s="27" t="n">
        <x:f>INT(B2177)</x:f>
        <x:v>42279</x:v>
      </x:c>
      <x:c r="D2177" s="28" t="n">
        <x:f>MOD(B2177,1)</x:f>
        <x:v>0.9326388888875954</x:v>
      </x:c>
      <x:c r="E2177" s="29" t="n">
        <x:f>YEAR(B2177)</x:f>
        <x:v>2015</x:v>
      </x:c>
      <x:c r="F2177" s="29" t="n">
        <x:f>MONTH(B2177)</x:f>
        <x:v>10</x:v>
      </x:c>
      <x:c r="G2177" s="30" t="n">
        <x:v>-30.74</x:v>
      </x:c>
      <x:c r="H2177" s="30" t="n">
        <x:v>-71.35</x:v>
      </x:c>
      <x:c r="I2177" s="29" t="n">
        <x:v>53</x:v>
      </x:c>
      <x:c r="J2177" s="31" t="n">
        <x:v>4</x:v>
      </x:c>
      <x:c r="K2177" s="25" t="str">
        <x:f>IF(J2177&gt;=7,"Muy fuerte (&gt;=7)",IF(J2177&gt;=6,"Fuerte (6-6.9)",IF(J2177&gt;=5,"Moderado alto (5-5.9)",IF(J2177&gt;=4,"Moderado (4-4.9)","Menor a 4"))))</x:f>
        <x:v>Moderado (4-4.9)</x:v>
      </x:c>
      <x:c r="L2177" s="25" t="str">
        <x:f>IF(I2177&lt;70,"Superficial (&lt;70 km)",IF(I2177&lt;=300,"Intermedio (70-300 km)","Profundo (&gt;300 km)"))</x:f>
        <x:v>Superficial (&lt;70 km)</x:v>
      </x:c>
      <x:c r="M2177" s="25" t="str">
        <x:f>IF(J2177&gt;=5,"Sí","No")</x:f>
        <x:v>No</x:v>
      </x:c>
      <x:c r="N2177" s="25" t="str">
        <x:f>IF(J2177&gt;=6,"Sí","No")</x:f>
        <x:v>No</x:v>
      </x:c>
      <x:c r="O2177" s="25" t="str">
        <x:v>Pendiente: asignar con R/sf</x:v>
      </x:c>
    </x:row>
    <x:row r="2178">
      <x:c r="A2178" s="25" t="n">
        <x:v>2177</x:v>
      </x:c>
      <x:c r="B2178" s="26" t="n">
        <x:v>42052.326898148145</x:v>
      </x:c>
      <x:c r="C2178" s="27" t="n">
        <x:f>INT(B2178)</x:f>
        <x:v>42052</x:v>
      </x:c>
      <x:c r="D2178" s="28" t="n">
        <x:f>MOD(B2178,1)</x:f>
        <x:v>0.3268981481451192</x:v>
      </x:c>
      <x:c r="E2178" s="29" t="n">
        <x:f>YEAR(B2178)</x:f>
        <x:v>2015</x:v>
      </x:c>
      <x:c r="F2178" s="29" t="n">
        <x:f>MONTH(B2178)</x:f>
        <x:v>2</x:v>
      </x:c>
      <x:c r="G2178" s="30" t="n">
        <x:v>-30.96</x:v>
      </x:c>
      <x:c r="H2178" s="30" t="n">
        <x:v>-71.3</x:v>
      </x:c>
      <x:c r="I2178" s="29" t="n">
        <x:v>59</x:v>
      </x:c>
      <x:c r="J2178" s="31" t="n">
        <x:v>4.6</x:v>
      </x:c>
      <x:c r="K2178" s="25" t="str">
        <x:f>IF(J2178&gt;=7,"Muy fuerte (&gt;=7)",IF(J2178&gt;=6,"Fuerte (6-6.9)",IF(J2178&gt;=5,"Moderado alto (5-5.9)",IF(J2178&gt;=4,"Moderado (4-4.9)","Menor a 4"))))</x:f>
        <x:v>Moderado (4-4.9)</x:v>
      </x:c>
      <x:c r="L2178" s="25" t="str">
        <x:f>IF(I2178&lt;70,"Superficial (&lt;70 km)",IF(I2178&lt;=300,"Intermedio (70-300 km)","Profundo (&gt;300 km)"))</x:f>
        <x:v>Superficial (&lt;70 km)</x:v>
      </x:c>
      <x:c r="M2178" s="25" t="str">
        <x:f>IF(J2178&gt;=5,"Sí","No")</x:f>
        <x:v>No</x:v>
      </x:c>
      <x:c r="N2178" s="25" t="str">
        <x:f>IF(J2178&gt;=6,"Sí","No")</x:f>
        <x:v>No</x:v>
      </x:c>
      <x:c r="O2178" s="25" t="str">
        <x:v>Pendiente: asignar con R/sf</x:v>
      </x:c>
    </x:row>
    <x:row r="2179">
      <x:c r="A2179" s="25" t="n">
        <x:v>2178</x:v>
      </x:c>
      <x:c r="B2179" s="26" t="n">
        <x:v>42153.1862962963</x:v>
      </x:c>
      <x:c r="C2179" s="27" t="n">
        <x:f>INT(B2179)</x:f>
        <x:v>42153</x:v>
      </x:c>
      <x:c r="D2179" s="28" t="n">
        <x:f>MOD(B2179,1)</x:f>
        <x:v>0.1862962962986785</x:v>
      </x:c>
      <x:c r="E2179" s="29" t="n">
        <x:f>YEAR(B2179)</x:f>
        <x:v>2015</x:v>
      </x:c>
      <x:c r="F2179" s="29" t="n">
        <x:f>MONTH(B2179)</x:f>
        <x:v>5</x:v>
      </x:c>
      <x:c r="G2179" s="30" t="n">
        <x:v>-28.22</x:v>
      </x:c>
      <x:c r="H2179" s="30" t="n">
        <x:v>-70.64</x:v>
      </x:c>
      <x:c r="I2179" s="29" t="n">
        <x:v>43</x:v>
      </x:c>
      <x:c r="J2179" s="31" t="n">
        <x:v>5.5</x:v>
      </x:c>
      <x:c r="K2179" s="25" t="str">
        <x:f>IF(J2179&gt;=7,"Muy fuerte (&gt;=7)",IF(J2179&gt;=6,"Fuerte (6-6.9)",IF(J2179&gt;=5,"Moderado alto (5-5.9)",IF(J2179&gt;=4,"Moderado (4-4.9)","Menor a 4"))))</x:f>
        <x:v>Moderado alto (5-5.9)</x:v>
      </x:c>
      <x:c r="L2179" s="25" t="str">
        <x:f>IF(I2179&lt;70,"Superficial (&lt;70 km)",IF(I2179&lt;=300,"Intermedio (70-300 km)","Profundo (&gt;300 km)"))</x:f>
        <x:v>Superficial (&lt;70 km)</x:v>
      </x:c>
      <x:c r="M2179" s="25" t="str">
        <x:f>IF(J2179&gt;=5,"Sí","No")</x:f>
        <x:v>Sí</x:v>
      </x:c>
      <x:c r="N2179" s="25" t="str">
        <x:f>IF(J2179&gt;=6,"Sí","No")</x:f>
        <x:v>No</x:v>
      </x:c>
      <x:c r="O2179" s="25" t="str">
        <x:v>Pendiente: asignar con R/sf</x:v>
      </x:c>
    </x:row>
    <x:row r="2180">
      <x:c r="A2180" s="25" t="n">
        <x:v>2179</x:v>
      </x:c>
      <x:c r="B2180" s="26" t="n">
        <x:v>42145.89797453704</x:v>
      </x:c>
      <x:c r="C2180" s="27" t="n">
        <x:f>INT(B2180)</x:f>
        <x:v>42145</x:v>
      </x:c>
      <x:c r="D2180" s="28" t="n">
        <x:f>MOD(B2180,1)</x:f>
        <x:v>0.8979745370379533</x:v>
      </x:c>
      <x:c r="E2180" s="29" t="n">
        <x:f>YEAR(B2180)</x:f>
        <x:v>2015</x:v>
      </x:c>
      <x:c r="F2180" s="29" t="n">
        <x:f>MONTH(B2180)</x:f>
        <x:v>5</x:v>
      </x:c>
      <x:c r="G2180" s="30" t="n">
        <x:v>-19.91</x:v>
      </x:c>
      <x:c r="H2180" s="30" t="n">
        <x:v>-69.96</x:v>
      </x:c>
      <x:c r="I2180" s="29" t="n">
        <x:v>64</x:v>
      </x:c>
      <x:c r="J2180" s="31" t="n">
        <x:v>4.1</x:v>
      </x:c>
      <x:c r="K2180" s="25" t="str">
        <x:f>IF(J2180&gt;=7,"Muy fuerte (&gt;=7)",IF(J2180&gt;=6,"Fuerte (6-6.9)",IF(J2180&gt;=5,"Moderado alto (5-5.9)",IF(J2180&gt;=4,"Moderado (4-4.9)","Menor a 4"))))</x:f>
        <x:v>Moderado (4-4.9)</x:v>
      </x:c>
      <x:c r="L2180" s="25" t="str">
        <x:f>IF(I2180&lt;70,"Superficial (&lt;70 km)",IF(I2180&lt;=300,"Intermedio (70-300 km)","Profundo (&gt;300 km)"))</x:f>
        <x:v>Superficial (&lt;70 km)</x:v>
      </x:c>
      <x:c r="M2180" s="25" t="str">
        <x:f>IF(J2180&gt;=5,"Sí","No")</x:f>
        <x:v>No</x:v>
      </x:c>
      <x:c r="N2180" s="25" t="str">
        <x:f>IF(J2180&gt;=6,"Sí","No")</x:f>
        <x:v>No</x:v>
      </x:c>
      <x:c r="O2180" s="25" t="str">
        <x:v>Pendiente: asignar con R/sf</x:v>
      </x:c>
    </x:row>
    <x:row r="2181">
      <x:c r="A2181" s="25" t="n">
        <x:v>2180</x:v>
      </x:c>
      <x:c r="B2181" s="26" t="n">
        <x:v>42148.05699074074</x:v>
      </x:c>
      <x:c r="C2181" s="27" t="n">
        <x:f>INT(B2181)</x:f>
        <x:v>42148</x:v>
      </x:c>
      <x:c r="D2181" s="28" t="n">
        <x:f>MOD(B2181,1)</x:f>
        <x:v>0.05699074074072996</x:v>
      </x:c>
      <x:c r="E2181" s="29" t="n">
        <x:f>YEAR(B2181)</x:f>
        <x:v>2015</x:v>
      </x:c>
      <x:c r="F2181" s="29" t="n">
        <x:f>MONTH(B2181)</x:f>
        <x:v>5</x:v>
      </x:c>
      <x:c r="G2181" s="30" t="n">
        <x:v>-20.21</x:v>
      </x:c>
      <x:c r="H2181" s="30" t="n">
        <x:v>-68.87</x:v>
      </x:c>
      <x:c r="I2181" s="29" t="n">
        <x:v>129</x:v>
      </x:c>
      <x:c r="J2181" s="31" t="n">
        <x:v>4.4</x:v>
      </x:c>
      <x:c r="K2181" s="25" t="str">
        <x:f>IF(J2181&gt;=7,"Muy fuerte (&gt;=7)",IF(J2181&gt;=6,"Fuerte (6-6.9)",IF(J2181&gt;=5,"Moderado alto (5-5.9)",IF(J2181&gt;=4,"Moderado (4-4.9)","Menor a 4"))))</x:f>
        <x:v>Moderado (4-4.9)</x:v>
      </x:c>
      <x:c r="L2181" s="25" t="str">
        <x:f>IF(I2181&lt;70,"Superficial (&lt;70 km)",IF(I2181&lt;=300,"Intermedio (70-300 km)","Profundo (&gt;300 km)"))</x:f>
        <x:v>Intermedio (70-300 km)</x:v>
      </x:c>
      <x:c r="M2181" s="25" t="str">
        <x:f>IF(J2181&gt;=5,"Sí","No")</x:f>
        <x:v>No</x:v>
      </x:c>
      <x:c r="N2181" s="25" t="str">
        <x:f>IF(J2181&gt;=6,"Sí","No")</x:f>
        <x:v>No</x:v>
      </x:c>
      <x:c r="O2181" s="25" t="str">
        <x:v>Pendiente: asignar con R/sf</x:v>
      </x:c>
    </x:row>
    <x:row r="2182">
      <x:c r="A2182" s="25" t="n">
        <x:v>2181</x:v>
      </x:c>
      <x:c r="B2182" s="26" t="n">
        <x:v>42033.00568287037</x:v>
      </x:c>
      <x:c r="C2182" s="27" t="n">
        <x:f>INT(B2182)</x:f>
        <x:v>42033</x:v>
      </x:c>
      <x:c r="D2182" s="28" t="n">
        <x:f>MOD(B2182,1)</x:f>
        <x:v>0.005682870367309079</x:v>
      </x:c>
      <x:c r="E2182" s="29" t="n">
        <x:f>YEAR(B2182)</x:f>
        <x:v>2015</x:v>
      </x:c>
      <x:c r="F2182" s="29" t="n">
        <x:f>MONTH(B2182)</x:f>
        <x:v>1</x:v>
      </x:c>
      <x:c r="G2182" s="30" t="n">
        <x:v>-31.57</x:v>
      </x:c>
      <x:c r="H2182" s="30" t="n">
        <x:v>-70.55</x:v>
      </x:c>
      <x:c r="I2182" s="29" t="n">
        <x:v>116</x:v>
      </x:c>
      <x:c r="J2182" s="31" t="n">
        <x:v>4.9</x:v>
      </x:c>
      <x:c r="K2182" s="25" t="str">
        <x:f>IF(J2182&gt;=7,"Muy fuerte (&gt;=7)",IF(J2182&gt;=6,"Fuerte (6-6.9)",IF(J2182&gt;=5,"Moderado alto (5-5.9)",IF(J2182&gt;=4,"Moderado (4-4.9)","Menor a 4"))))</x:f>
        <x:v>Moderado (4-4.9)</x:v>
      </x:c>
      <x:c r="L2182" s="25" t="str">
        <x:f>IF(I2182&lt;70,"Superficial (&lt;70 km)",IF(I2182&lt;=300,"Intermedio (70-300 km)","Profundo (&gt;300 km)"))</x:f>
        <x:v>Intermedio (70-300 km)</x:v>
      </x:c>
      <x:c r="M2182" s="25" t="str">
        <x:f>IF(J2182&gt;=5,"Sí","No")</x:f>
        <x:v>No</x:v>
      </x:c>
      <x:c r="N2182" s="25" t="str">
        <x:f>IF(J2182&gt;=6,"Sí","No")</x:f>
        <x:v>No</x:v>
      </x:c>
      <x:c r="O2182" s="25" t="str">
        <x:v>Pendiente: asignar con R/sf</x:v>
      </x:c>
    </x:row>
    <x:row r="2183">
      <x:c r="A2183" s="25" t="n">
        <x:v>2182</x:v>
      </x:c>
      <x:c r="B2183" s="26" t="n">
        <x:v>42077.057800925926</x:v>
      </x:c>
      <x:c r="C2183" s="27" t="n">
        <x:f>INT(B2183)</x:f>
        <x:v>42077</x:v>
      </x:c>
      <x:c r="D2183" s="28" t="n">
        <x:f>MOD(B2183,1)</x:f>
        <x:v>0.05780092592613073</x:v>
      </x:c>
      <x:c r="E2183" s="29" t="n">
        <x:f>YEAR(B2183)</x:f>
        <x:v>2015</x:v>
      </x:c>
      <x:c r="F2183" s="29" t="n">
        <x:f>MONTH(B2183)</x:f>
        <x:v>3</x:v>
      </x:c>
      <x:c r="G2183" s="30" t="n">
        <x:v>-20.45</x:v>
      </x:c>
      <x:c r="H2183" s="30" t="n">
        <x:v>-70.15</x:v>
      </x:c>
      <x:c r="I2183" s="29" t="n">
        <x:v>18</x:v>
      </x:c>
      <x:c r="J2183" s="31" t="n">
        <x:v>4.1</x:v>
      </x:c>
      <x:c r="K2183" s="25" t="str">
        <x:f>IF(J2183&gt;=7,"Muy fuerte (&gt;=7)",IF(J2183&gt;=6,"Fuerte (6-6.9)",IF(J2183&gt;=5,"Moderado alto (5-5.9)",IF(J2183&gt;=4,"Moderado (4-4.9)","Menor a 4"))))</x:f>
        <x:v>Moderado (4-4.9)</x:v>
      </x:c>
      <x:c r="L2183" s="25" t="str">
        <x:f>IF(I2183&lt;70,"Superficial (&lt;70 km)",IF(I2183&lt;=300,"Intermedio (70-300 km)","Profundo (&gt;300 km)"))</x:f>
        <x:v>Superficial (&lt;70 km)</x:v>
      </x:c>
      <x:c r="M2183" s="25" t="str">
        <x:f>IF(J2183&gt;=5,"Sí","No")</x:f>
        <x:v>No</x:v>
      </x:c>
      <x:c r="N2183" s="25" t="str">
        <x:f>IF(J2183&gt;=6,"Sí","No")</x:f>
        <x:v>No</x:v>
      </x:c>
      <x:c r="O2183" s="25" t="str">
        <x:v>Pendiente: asignar con R/sf</x:v>
      </x:c>
    </x:row>
    <x:row r="2184">
      <x:c r="A2184" s="25" t="n">
        <x:v>2183</x:v>
      </x:c>
      <x:c r="B2184" s="26" t="n">
        <x:v>42283.25523148148</x:v>
      </x:c>
      <x:c r="C2184" s="27" t="n">
        <x:f>INT(B2184)</x:f>
        <x:v>42283</x:v>
      </x:c>
      <x:c r="D2184" s="28" t="n">
        <x:f>MOD(B2184,1)</x:f>
        <x:v>0.255231481482042</x:v>
      </x:c>
      <x:c r="E2184" s="29" t="n">
        <x:f>YEAR(B2184)</x:f>
        <x:v>2015</x:v>
      </x:c>
      <x:c r="F2184" s="29" t="n">
        <x:f>MONTH(B2184)</x:f>
        <x:v>10</x:v>
      </x:c>
      <x:c r="G2184" s="30" t="n">
        <x:v>-25.21</x:v>
      </x:c>
      <x:c r="H2184" s="30" t="n">
        <x:v>-70.19</x:v>
      </x:c>
      <x:c r="I2184" s="29" t="n">
        <x:v>43</x:v>
      </x:c>
      <x:c r="J2184" s="31" t="n">
        <x:v>4.4</x:v>
      </x:c>
      <x:c r="K2184" s="25" t="str">
        <x:f>IF(J2184&gt;=7,"Muy fuerte (&gt;=7)",IF(J2184&gt;=6,"Fuerte (6-6.9)",IF(J2184&gt;=5,"Moderado alto (5-5.9)",IF(J2184&gt;=4,"Moderado (4-4.9)","Menor a 4"))))</x:f>
        <x:v>Moderado (4-4.9)</x:v>
      </x:c>
      <x:c r="L2184" s="25" t="str">
        <x:f>IF(I2184&lt;70,"Superficial (&lt;70 km)",IF(I2184&lt;=300,"Intermedio (70-300 km)","Profundo (&gt;300 km)"))</x:f>
        <x:v>Superficial (&lt;70 km)</x:v>
      </x:c>
      <x:c r="M2184" s="25" t="str">
        <x:f>IF(J2184&gt;=5,"Sí","No")</x:f>
        <x:v>No</x:v>
      </x:c>
      <x:c r="N2184" s="25" t="str">
        <x:f>IF(J2184&gt;=6,"Sí","No")</x:f>
        <x:v>No</x:v>
      </x:c>
      <x:c r="O2184" s="25" t="str">
        <x:v>Pendiente: asignar con R/sf</x:v>
      </x:c>
    </x:row>
    <x:row r="2185">
      <x:c r="A2185" s="25" t="n">
        <x:v>2184</x:v>
      </x:c>
      <x:c r="B2185" s="26" t="n">
        <x:v>42350.63122685185</x:v>
      </x:c>
      <x:c r="C2185" s="27" t="n">
        <x:f>INT(B2185)</x:f>
        <x:v>42350</x:v>
      </x:c>
      <x:c r="D2185" s="28" t="n">
        <x:f>MOD(B2185,1)</x:f>
        <x:v>0.6312268518522615</x:v>
      </x:c>
      <x:c r="E2185" s="29" t="n">
        <x:f>YEAR(B2185)</x:f>
        <x:v>2015</x:v>
      </x:c>
      <x:c r="F2185" s="29" t="n">
        <x:f>MONTH(B2185)</x:f>
        <x:v>12</x:v>
      </x:c>
      <x:c r="G2185" s="30" t="n">
        <x:v>-35.08</x:v>
      </x:c>
      <x:c r="H2185" s="30" t="n">
        <x:v>-71.92</x:v>
      </x:c>
      <x:c r="I2185" s="29" t="n">
        <x:v>51</x:v>
      </x:c>
      <x:c r="J2185" s="31" t="n">
        <x:v>4.9</x:v>
      </x:c>
      <x:c r="K2185" s="25" t="str">
        <x:f>IF(J2185&gt;=7,"Muy fuerte (&gt;=7)",IF(J2185&gt;=6,"Fuerte (6-6.9)",IF(J2185&gt;=5,"Moderado alto (5-5.9)",IF(J2185&gt;=4,"Moderado (4-4.9)","Menor a 4"))))</x:f>
        <x:v>Moderado (4-4.9)</x:v>
      </x:c>
      <x:c r="L2185" s="25" t="str">
        <x:f>IF(I2185&lt;70,"Superficial (&lt;70 km)",IF(I2185&lt;=300,"Intermedio (70-300 km)","Profundo (&gt;300 km)"))</x:f>
        <x:v>Superficial (&lt;70 km)</x:v>
      </x:c>
      <x:c r="M2185" s="25" t="str">
        <x:f>IF(J2185&gt;=5,"Sí","No")</x:f>
        <x:v>No</x:v>
      </x:c>
      <x:c r="N2185" s="25" t="str">
        <x:f>IF(J2185&gt;=6,"Sí","No")</x:f>
        <x:v>No</x:v>
      </x:c>
      <x:c r="O2185" s="25" t="str">
        <x:v>Pendiente: asignar con R/sf</x:v>
      </x:c>
    </x:row>
    <x:row r="2186">
      <x:c r="A2186" s="25" t="n">
        <x:v>2185</x:v>
      </x:c>
      <x:c r="B2186" s="26" t="n">
        <x:v>42053.03292824074</x:v>
      </x:c>
      <x:c r="C2186" s="27" t="n">
        <x:f>INT(B2186)</x:f>
        <x:v>42053</x:v>
      </x:c>
      <x:c r="D2186" s="28" t="n">
        <x:f>MOD(B2186,1)</x:f>
        <x:v>0.032928240740147885</x:v>
      </x:c>
      <x:c r="E2186" s="29" t="n">
        <x:f>YEAR(B2186)</x:f>
        <x:v>2015</x:v>
      </x:c>
      <x:c r="F2186" s="29" t="n">
        <x:f>MONTH(B2186)</x:f>
        <x:v>2</x:v>
      </x:c>
      <x:c r="G2186" s="30" t="n">
        <x:v>-35.08</x:v>
      </x:c>
      <x:c r="H2186" s="30" t="n">
        <x:v>-71.14</x:v>
      </x:c>
      <x:c r="I2186" s="29" t="n">
        <x:v>107</x:v>
      </x:c>
      <x:c r="J2186" s="31" t="n">
        <x:v>4.7</x:v>
      </x:c>
      <x:c r="K2186" s="25" t="str">
        <x:f>IF(J2186&gt;=7,"Muy fuerte (&gt;=7)",IF(J2186&gt;=6,"Fuerte (6-6.9)",IF(J2186&gt;=5,"Moderado alto (5-5.9)",IF(J2186&gt;=4,"Moderado (4-4.9)","Menor a 4"))))</x:f>
        <x:v>Moderado (4-4.9)</x:v>
      </x:c>
      <x:c r="L2186" s="25" t="str">
        <x:f>IF(I2186&lt;70,"Superficial (&lt;70 km)",IF(I2186&lt;=300,"Intermedio (70-300 km)","Profundo (&gt;300 km)"))</x:f>
        <x:v>Intermedio (70-300 km)</x:v>
      </x:c>
      <x:c r="M2186" s="25" t="str">
        <x:f>IF(J2186&gt;=5,"Sí","No")</x:f>
        <x:v>No</x:v>
      </x:c>
      <x:c r="N2186" s="25" t="str">
        <x:f>IF(J2186&gt;=6,"Sí","No")</x:f>
        <x:v>No</x:v>
      </x:c>
      <x:c r="O2186" s="25" t="str">
        <x:v>Pendiente: asignar con R/sf</x:v>
      </x:c>
    </x:row>
    <x:row r="2187">
      <x:c r="A2187" s="25" t="n">
        <x:v>2186</x:v>
      </x:c>
      <x:c r="B2187" s="26" t="n">
        <x:v>42241.26157407407</x:v>
      </x:c>
      <x:c r="C2187" s="27" t="n">
        <x:f>INT(B2187)</x:f>
        <x:v>42241</x:v>
      </x:c>
      <x:c r="D2187" s="28" t="n">
        <x:f>MOD(B2187,1)</x:f>
        <x:v>0.26157407407299615</x:v>
      </x:c>
      <x:c r="E2187" s="29" t="n">
        <x:f>YEAR(B2187)</x:f>
        <x:v>2015</x:v>
      </x:c>
      <x:c r="F2187" s="29" t="n">
        <x:f>MONTH(B2187)</x:f>
        <x:v>8</x:v>
      </x:c>
      <x:c r="G2187" s="30" t="n">
        <x:v>-29.8</x:v>
      </x:c>
      <x:c r="H2187" s="30" t="n">
        <x:v>-71.2</x:v>
      </x:c>
      <x:c r="I2187" s="29" t="n">
        <x:v>63</x:v>
      </x:c>
      <x:c r="J2187" s="31" t="n">
        <x:v>4.5</x:v>
      </x:c>
      <x:c r="K2187" s="25" t="str">
        <x:f>IF(J2187&gt;=7,"Muy fuerte (&gt;=7)",IF(J2187&gt;=6,"Fuerte (6-6.9)",IF(J2187&gt;=5,"Moderado alto (5-5.9)",IF(J2187&gt;=4,"Moderado (4-4.9)","Menor a 4"))))</x:f>
        <x:v>Moderado (4-4.9)</x:v>
      </x:c>
      <x:c r="L2187" s="25" t="str">
        <x:f>IF(I2187&lt;70,"Superficial (&lt;70 km)",IF(I2187&lt;=300,"Intermedio (70-300 km)","Profundo (&gt;300 km)"))</x:f>
        <x:v>Superficial (&lt;70 km)</x:v>
      </x:c>
      <x:c r="M2187" s="25" t="str">
        <x:f>IF(J2187&gt;=5,"Sí","No")</x:f>
        <x:v>No</x:v>
      </x:c>
      <x:c r="N2187" s="25" t="str">
        <x:f>IF(J2187&gt;=6,"Sí","No")</x:f>
        <x:v>No</x:v>
      </x:c>
      <x:c r="O2187" s="25" t="str">
        <x:v>Pendiente: asignar con R/sf</x:v>
      </x:c>
    </x:row>
    <x:row r="2188">
      <x:c r="A2188" s="25" t="n">
        <x:v>2187</x:v>
      </x:c>
      <x:c r="B2188" s="26" t="n">
        <x:v>42324.20527777778</x:v>
      </x:c>
      <x:c r="C2188" s="27" t="n">
        <x:f>INT(B2188)</x:f>
        <x:v>42324</x:v>
      </x:c>
      <x:c r="D2188" s="28" t="n">
        <x:f>MOD(B2188,1)</x:f>
        <x:v>0.20527777777897427</x:v>
      </x:c>
      <x:c r="E2188" s="29" t="n">
        <x:f>YEAR(B2188)</x:f>
        <x:v>2015</x:v>
      </x:c>
      <x:c r="F2188" s="29" t="n">
        <x:f>MONTH(B2188)</x:f>
        <x:v>11</x:v>
      </x:c>
      <x:c r="G2188" s="30" t="n">
        <x:v>-18.79</x:v>
      </x:c>
      <x:c r="H2188" s="30" t="n">
        <x:v>-69.94</x:v>
      </x:c>
      <x:c r="I2188" s="29" t="n">
        <x:v>85</x:v>
      </x:c>
      <x:c r="J2188" s="31" t="n">
        <x:v>4.5</x:v>
      </x:c>
      <x:c r="K2188" s="25" t="str">
        <x:f>IF(J2188&gt;=7,"Muy fuerte (&gt;=7)",IF(J2188&gt;=6,"Fuerte (6-6.9)",IF(J2188&gt;=5,"Moderado alto (5-5.9)",IF(J2188&gt;=4,"Moderado (4-4.9)","Menor a 4"))))</x:f>
        <x:v>Moderado (4-4.9)</x:v>
      </x:c>
      <x:c r="L2188" s="25" t="str">
        <x:f>IF(I2188&lt;70,"Superficial (&lt;70 km)",IF(I2188&lt;=300,"Intermedio (70-300 km)","Profundo (&gt;300 km)"))</x:f>
        <x:v>Intermedio (70-300 km)</x:v>
      </x:c>
      <x:c r="M2188" s="25" t="str">
        <x:f>IF(J2188&gt;=5,"Sí","No")</x:f>
        <x:v>No</x:v>
      </x:c>
      <x:c r="N2188" s="25" t="str">
        <x:f>IF(J2188&gt;=6,"Sí","No")</x:f>
        <x:v>No</x:v>
      </x:c>
      <x:c r="O2188" s="25" t="str">
        <x:v>Pendiente: asignar con R/sf</x:v>
      </x:c>
    </x:row>
    <x:row r="2189">
      <x:c r="A2189" s="25" t="n">
        <x:v>2188</x:v>
      </x:c>
      <x:c r="B2189" s="26" t="n">
        <x:v>42264.51700231482</x:v>
      </x:c>
      <x:c r="C2189" s="27" t="n">
        <x:f>INT(B2189)</x:f>
        <x:v>42264</x:v>
      </x:c>
      <x:c r="D2189" s="28" t="n">
        <x:f>MOD(B2189,1)</x:f>
        <x:v>0.5170023148166365</x:v>
      </x:c>
      <x:c r="E2189" s="29" t="n">
        <x:f>YEAR(B2189)</x:f>
        <x:v>2015</x:v>
      </x:c>
      <x:c r="F2189" s="29" t="n">
        <x:f>MONTH(B2189)</x:f>
        <x:v>9</x:v>
      </x:c>
      <x:c r="G2189" s="30" t="n">
        <x:v>-31.38</x:v>
      </x:c>
      <x:c r="H2189" s="30" t="n">
        <x:v>-71.74</x:v>
      </x:c>
      <x:c r="I2189" s="29" t="n">
        <x:v>26</x:v>
      </x:c>
      <x:c r="J2189" s="31" t="n">
        <x:v>5</x:v>
      </x:c>
      <x:c r="K2189" s="25" t="str">
        <x:f>IF(J2189&gt;=7,"Muy fuerte (&gt;=7)",IF(J2189&gt;=6,"Fuerte (6-6.9)",IF(J2189&gt;=5,"Moderado alto (5-5.9)",IF(J2189&gt;=4,"Moderado (4-4.9)","Menor a 4"))))</x:f>
        <x:v>Moderado alto (5-5.9)</x:v>
      </x:c>
      <x:c r="L2189" s="25" t="str">
        <x:f>IF(I2189&lt;70,"Superficial (&lt;70 km)",IF(I2189&lt;=300,"Intermedio (70-300 km)","Profundo (&gt;300 km)"))</x:f>
        <x:v>Superficial (&lt;70 km)</x:v>
      </x:c>
      <x:c r="M2189" s="25" t="str">
        <x:f>IF(J2189&gt;=5,"Sí","No")</x:f>
        <x:v>Sí</x:v>
      </x:c>
      <x:c r="N2189" s="25" t="str">
        <x:f>IF(J2189&gt;=6,"Sí","No")</x:f>
        <x:v>No</x:v>
      </x:c>
      <x:c r="O2189" s="25" t="str">
        <x:v>Pendiente: asignar con R/sf</x:v>
      </x:c>
    </x:row>
    <x:row r="2190">
      <x:c r="A2190" s="25" t="n">
        <x:v>2189</x:v>
      </x:c>
      <x:c r="B2190" s="26" t="n">
        <x:v>42351.505891203706</x:v>
      </x:c>
      <x:c r="C2190" s="27" t="n">
        <x:f>INT(B2190)</x:f>
        <x:v>42351</x:v>
      </x:c>
      <x:c r="D2190" s="28" t="n">
        <x:f>MOD(B2190,1)</x:f>
        <x:v>0.5058912037056871</x:v>
      </x:c>
      <x:c r="E2190" s="29" t="n">
        <x:f>YEAR(B2190)</x:f>
        <x:v>2015</x:v>
      </x:c>
      <x:c r="F2190" s="29" t="n">
        <x:f>MONTH(B2190)</x:f>
        <x:v>12</x:v>
      </x:c>
      <x:c r="G2190" s="30" t="n">
        <x:v>-30.63</x:v>
      </x:c>
      <x:c r="H2190" s="30" t="n">
        <x:v>-71.61</x:v>
      </x:c>
      <x:c r="I2190" s="29" t="n">
        <x:v>32</x:v>
      </x:c>
      <x:c r="J2190" s="31" t="n">
        <x:v>4.1</x:v>
      </x:c>
      <x:c r="K2190" s="25" t="str">
        <x:f>IF(J2190&gt;=7,"Muy fuerte (&gt;=7)",IF(J2190&gt;=6,"Fuerte (6-6.9)",IF(J2190&gt;=5,"Moderado alto (5-5.9)",IF(J2190&gt;=4,"Moderado (4-4.9)","Menor a 4"))))</x:f>
        <x:v>Moderado (4-4.9)</x:v>
      </x:c>
      <x:c r="L2190" s="25" t="str">
        <x:f>IF(I2190&lt;70,"Superficial (&lt;70 km)",IF(I2190&lt;=300,"Intermedio (70-300 km)","Profundo (&gt;300 km)"))</x:f>
        <x:v>Superficial (&lt;70 km)</x:v>
      </x:c>
      <x:c r="M2190" s="25" t="str">
        <x:f>IF(J2190&gt;=5,"Sí","No")</x:f>
        <x:v>No</x:v>
      </x:c>
      <x:c r="N2190" s="25" t="str">
        <x:f>IF(J2190&gt;=6,"Sí","No")</x:f>
        <x:v>No</x:v>
      </x:c>
      <x:c r="O2190" s="25" t="str">
        <x:v>Pendiente: asignar con R/sf</x:v>
      </x:c>
    </x:row>
    <x:row r="2191">
      <x:c r="A2191" s="25" t="n">
        <x:v>2190</x:v>
      </x:c>
      <x:c r="B2191" s="26" t="n">
        <x:v>42365.523935185185</x:v>
      </x:c>
      <x:c r="C2191" s="27" t="n">
        <x:f>INT(B2191)</x:f>
        <x:v>42365</x:v>
      </x:c>
      <x:c r="D2191" s="28" t="n">
        <x:f>MOD(B2191,1)</x:f>
        <x:v>0.5239351851851097</x:v>
      </x:c>
      <x:c r="E2191" s="29" t="n">
        <x:f>YEAR(B2191)</x:f>
        <x:v>2015</x:v>
      </x:c>
      <x:c r="F2191" s="29" t="n">
        <x:f>MONTH(B2191)</x:f>
        <x:v>12</x:v>
      </x:c>
      <x:c r="G2191" s="30" t="n">
        <x:v>-20.69</x:v>
      </x:c>
      <x:c r="H2191" s="30" t="n">
        <x:v>-68.8</x:v>
      </x:c>
      <x:c r="I2191" s="29" t="n">
        <x:v>105</x:v>
      </x:c>
      <x:c r="J2191" s="31" t="n">
        <x:v>4.5</x:v>
      </x:c>
      <x:c r="K2191" s="25" t="str">
        <x:f>IF(J2191&gt;=7,"Muy fuerte (&gt;=7)",IF(J2191&gt;=6,"Fuerte (6-6.9)",IF(J2191&gt;=5,"Moderado alto (5-5.9)",IF(J2191&gt;=4,"Moderado (4-4.9)","Menor a 4"))))</x:f>
        <x:v>Moderado (4-4.9)</x:v>
      </x:c>
      <x:c r="L2191" s="25" t="str">
        <x:f>IF(I2191&lt;70,"Superficial (&lt;70 km)",IF(I2191&lt;=300,"Intermedio (70-300 km)","Profundo (&gt;300 km)"))</x:f>
        <x:v>Intermedio (70-300 km)</x:v>
      </x:c>
      <x:c r="M2191" s="25" t="str">
        <x:f>IF(J2191&gt;=5,"Sí","No")</x:f>
        <x:v>No</x:v>
      </x:c>
      <x:c r="N2191" s="25" t="str">
        <x:f>IF(J2191&gt;=6,"Sí","No")</x:f>
        <x:v>No</x:v>
      </x:c>
      <x:c r="O2191" s="25" t="str">
        <x:v>Pendiente: asignar con R/sf</x:v>
      </x:c>
    </x:row>
    <x:row r="2192">
      <x:c r="A2192" s="25" t="n">
        <x:v>2191</x:v>
      </x:c>
      <x:c r="B2192" s="26" t="n">
        <x:v>42292.80789351852</x:v>
      </x:c>
      <x:c r="C2192" s="27" t="n">
        <x:f>INT(B2192)</x:f>
        <x:v>42292</x:v>
      </x:c>
      <x:c r="D2192" s="28" t="n">
        <x:f>MOD(B2192,1)</x:f>
        <x:v>0.8078935185185401</x:v>
      </x:c>
      <x:c r="E2192" s="29" t="n">
        <x:f>YEAR(B2192)</x:f>
        <x:v>2015</x:v>
      </x:c>
      <x:c r="F2192" s="29" t="n">
        <x:f>MONTH(B2192)</x:f>
        <x:v>10</x:v>
      </x:c>
      <x:c r="G2192" s="30" t="n">
        <x:v>-30.57</x:v>
      </x:c>
      <x:c r="H2192" s="30" t="n">
        <x:v>-71.61</x:v>
      </x:c>
      <x:c r="I2192" s="29" t="n">
        <x:v>36</x:v>
      </x:c>
      <x:c r="J2192" s="31" t="n">
        <x:v>5.1</x:v>
      </x:c>
      <x:c r="K2192" s="25" t="str">
        <x:f>IF(J2192&gt;=7,"Muy fuerte (&gt;=7)",IF(J2192&gt;=6,"Fuerte (6-6.9)",IF(J2192&gt;=5,"Moderado alto (5-5.9)",IF(J2192&gt;=4,"Moderado (4-4.9)","Menor a 4"))))</x:f>
        <x:v>Moderado alto (5-5.9)</x:v>
      </x:c>
      <x:c r="L2192" s="25" t="str">
        <x:f>IF(I2192&lt;70,"Superficial (&lt;70 km)",IF(I2192&lt;=300,"Intermedio (70-300 km)","Profundo (&gt;300 km)"))</x:f>
        <x:v>Superficial (&lt;70 km)</x:v>
      </x:c>
      <x:c r="M2192" s="25" t="str">
        <x:f>IF(J2192&gt;=5,"Sí","No")</x:f>
        <x:v>Sí</x:v>
      </x:c>
      <x:c r="N2192" s="25" t="str">
        <x:f>IF(J2192&gt;=6,"Sí","No")</x:f>
        <x:v>No</x:v>
      </x:c>
      <x:c r="O2192" s="25" t="str">
        <x:v>Pendiente: asignar con R/sf</x:v>
      </x:c>
    </x:row>
    <x:row r="2193">
      <x:c r="A2193" s="25" t="n">
        <x:v>2192</x:v>
      </x:c>
      <x:c r="B2193" s="26" t="n">
        <x:v>42239.84736111111</x:v>
      </x:c>
      <x:c r="C2193" s="27" t="n">
        <x:f>INT(B2193)</x:f>
        <x:v>42239</x:v>
      </x:c>
      <x:c r="D2193" s="28" t="n">
        <x:f>MOD(B2193,1)</x:f>
        <x:v>0.8473611111112405</x:v>
      </x:c>
      <x:c r="E2193" s="29" t="n">
        <x:f>YEAR(B2193)</x:f>
        <x:v>2015</x:v>
      </x:c>
      <x:c r="F2193" s="29" t="n">
        <x:f>MONTH(B2193)</x:f>
        <x:v>8</x:v>
      </x:c>
      <x:c r="G2193" s="30" t="n">
        <x:v>-20.36</x:v>
      </x:c>
      <x:c r="H2193" s="30" t="n">
        <x:v>-70.28</x:v>
      </x:c>
      <x:c r="I2193" s="29" t="n">
        <x:v>46</x:v>
      </x:c>
      <x:c r="J2193" s="31" t="n">
        <x:v>4.2</x:v>
      </x:c>
      <x:c r="K2193" s="25" t="str">
        <x:f>IF(J2193&gt;=7,"Muy fuerte (&gt;=7)",IF(J2193&gt;=6,"Fuerte (6-6.9)",IF(J2193&gt;=5,"Moderado alto (5-5.9)",IF(J2193&gt;=4,"Moderado (4-4.9)","Menor a 4"))))</x:f>
        <x:v>Moderado (4-4.9)</x:v>
      </x:c>
      <x:c r="L2193" s="25" t="str">
        <x:f>IF(I2193&lt;70,"Superficial (&lt;70 km)",IF(I2193&lt;=300,"Intermedio (70-300 km)","Profundo (&gt;300 km)"))</x:f>
        <x:v>Superficial (&lt;70 km)</x:v>
      </x:c>
      <x:c r="M2193" s="25" t="str">
        <x:f>IF(J2193&gt;=5,"Sí","No")</x:f>
        <x:v>No</x:v>
      </x:c>
      <x:c r="N2193" s="25" t="str">
        <x:f>IF(J2193&gt;=6,"Sí","No")</x:f>
        <x:v>No</x:v>
      </x:c>
      <x:c r="O2193" s="25" t="str">
        <x:v>Pendiente: asignar con R/sf</x:v>
      </x:c>
    </x:row>
    <x:row r="2194">
      <x:c r="A2194" s="25" t="n">
        <x:v>2193</x:v>
      </x:c>
      <x:c r="B2194" s="26" t="n">
        <x:v>42280.57512731481</x:v>
      </x:c>
      <x:c r="C2194" s="27" t="n">
        <x:f>INT(B2194)</x:f>
        <x:v>42280</x:v>
      </x:c>
      <x:c r="D2194" s="28" t="n">
        <x:f>MOD(B2194,1)</x:f>
        <x:v>0.575127314812562</x:v>
      </x:c>
      <x:c r="E2194" s="29" t="n">
        <x:f>YEAR(B2194)</x:f>
        <x:v>2015</x:v>
      </x:c>
      <x:c r="F2194" s="29" t="n">
        <x:f>MONTH(B2194)</x:f>
        <x:v>10</x:v>
      </x:c>
      <x:c r="G2194" s="30" t="n">
        <x:v>-29.99</x:v>
      </x:c>
      <x:c r="H2194" s="30" t="n">
        <x:v>-71.53</x:v>
      </x:c>
      <x:c r="I2194" s="29" t="n">
        <x:v>26</x:v>
      </x:c>
      <x:c r="J2194" s="31" t="n">
        <x:v>4.7</x:v>
      </x:c>
      <x:c r="K2194" s="25" t="str">
        <x:f>IF(J2194&gt;=7,"Muy fuerte (&gt;=7)",IF(J2194&gt;=6,"Fuerte (6-6.9)",IF(J2194&gt;=5,"Moderado alto (5-5.9)",IF(J2194&gt;=4,"Moderado (4-4.9)","Menor a 4"))))</x:f>
        <x:v>Moderado (4-4.9)</x:v>
      </x:c>
      <x:c r="L2194" s="25" t="str">
        <x:f>IF(I2194&lt;70,"Superficial (&lt;70 km)",IF(I2194&lt;=300,"Intermedio (70-300 km)","Profundo (&gt;300 km)"))</x:f>
        <x:v>Superficial (&lt;70 km)</x:v>
      </x:c>
      <x:c r="M2194" s="25" t="str">
        <x:f>IF(J2194&gt;=5,"Sí","No")</x:f>
        <x:v>No</x:v>
      </x:c>
      <x:c r="N2194" s="25" t="str">
        <x:f>IF(J2194&gt;=6,"Sí","No")</x:f>
        <x:v>No</x:v>
      </x:c>
      <x:c r="O2194" s="25" t="str">
        <x:v>Pendiente: asignar con R/sf</x:v>
      </x:c>
    </x:row>
    <x:row r="2195">
      <x:c r="A2195" s="25" t="n">
        <x:v>2194</x:v>
      </x:c>
      <x:c r="B2195" s="26" t="n">
        <x:v>42213.53658564815</x:v>
      </x:c>
      <x:c r="C2195" s="27" t="n">
        <x:f>INT(B2195)</x:f>
        <x:v>42213</x:v>
      </x:c>
      <x:c r="D2195" s="28" t="n">
        <x:f>MOD(B2195,1)</x:f>
        <x:v>0.536585648151231</x:v>
      </x:c>
      <x:c r="E2195" s="29" t="n">
        <x:f>YEAR(B2195)</x:f>
        <x:v>2015</x:v>
      </x:c>
      <x:c r="F2195" s="29" t="n">
        <x:f>MONTH(B2195)</x:f>
        <x:v>7</x:v>
      </x:c>
      <x:c r="G2195" s="30" t="n">
        <x:v>-22.85</x:v>
      </x:c>
      <x:c r="H2195" s="30" t="n">
        <x:v>-69.34</x:v>
      </x:c>
      <x:c r="I2195" s="29" t="n">
        <x:v>83</x:v>
      </x:c>
      <x:c r="J2195" s="31" t="n">
        <x:v>4.2</x:v>
      </x:c>
      <x:c r="K2195" s="25" t="str">
        <x:f>IF(J2195&gt;=7,"Muy fuerte (&gt;=7)",IF(J2195&gt;=6,"Fuerte (6-6.9)",IF(J2195&gt;=5,"Moderado alto (5-5.9)",IF(J2195&gt;=4,"Moderado (4-4.9)","Menor a 4"))))</x:f>
        <x:v>Moderado (4-4.9)</x:v>
      </x:c>
      <x:c r="L2195" s="25" t="str">
        <x:f>IF(I2195&lt;70,"Superficial (&lt;70 km)",IF(I2195&lt;=300,"Intermedio (70-300 km)","Profundo (&gt;300 km)"))</x:f>
        <x:v>Intermedio (70-300 km)</x:v>
      </x:c>
      <x:c r="M2195" s="25" t="str">
        <x:f>IF(J2195&gt;=5,"Sí","No")</x:f>
        <x:v>No</x:v>
      </x:c>
      <x:c r="N2195" s="25" t="str">
        <x:f>IF(J2195&gt;=6,"Sí","No")</x:f>
        <x:v>No</x:v>
      </x:c>
      <x:c r="O2195" s="25" t="str">
        <x:v>Pendiente: asignar con R/sf</x:v>
      </x:c>
    </x:row>
    <x:row r="2196">
      <x:c r="A2196" s="25" t="n">
        <x:v>2195</x:v>
      </x:c>
      <x:c r="B2196" s="26" t="n">
        <x:v>42311.071875</x:v>
      </x:c>
      <x:c r="C2196" s="27" t="n">
        <x:f>INT(B2196)</x:f>
        <x:v>42311</x:v>
      </x:c>
      <x:c r="D2196" s="28" t="n">
        <x:f>MOD(B2196,1)</x:f>
        <x:v>0.07187500000145519</x:v>
      </x:c>
      <x:c r="E2196" s="29" t="n">
        <x:f>YEAR(B2196)</x:f>
        <x:v>2015</x:v>
      </x:c>
      <x:c r="F2196" s="29" t="n">
        <x:f>MONTH(B2196)</x:f>
        <x:v>11</x:v>
      </x:c>
      <x:c r="G2196" s="30" t="n">
        <x:v>-30.64</x:v>
      </x:c>
      <x:c r="H2196" s="30" t="n">
        <x:v>-71.72</x:v>
      </x:c>
      <x:c r="I2196" s="29" t="n">
        <x:v>36</x:v>
      </x:c>
      <x:c r="J2196" s="31" t="n">
        <x:v>4.9</x:v>
      </x:c>
      <x:c r="K2196" s="25" t="str">
        <x:f>IF(J2196&gt;=7,"Muy fuerte (&gt;=7)",IF(J2196&gt;=6,"Fuerte (6-6.9)",IF(J2196&gt;=5,"Moderado alto (5-5.9)",IF(J2196&gt;=4,"Moderado (4-4.9)","Menor a 4"))))</x:f>
        <x:v>Moderado (4-4.9)</x:v>
      </x:c>
      <x:c r="L2196" s="25" t="str">
        <x:f>IF(I2196&lt;70,"Superficial (&lt;70 km)",IF(I2196&lt;=300,"Intermedio (70-300 km)","Profundo (&gt;300 km)"))</x:f>
        <x:v>Superficial (&lt;70 km)</x:v>
      </x:c>
      <x:c r="M2196" s="25" t="str">
        <x:f>IF(J2196&gt;=5,"Sí","No")</x:f>
        <x:v>No</x:v>
      </x:c>
      <x:c r="N2196" s="25" t="str">
        <x:f>IF(J2196&gt;=6,"Sí","No")</x:f>
        <x:v>No</x:v>
      </x:c>
      <x:c r="O2196" s="25" t="str">
        <x:v>Pendiente: asignar con R/sf</x:v>
      </x:c>
    </x:row>
    <x:row r="2197">
      <x:c r="A2197" s="25" t="n">
        <x:v>2196</x:v>
      </x:c>
      <x:c r="B2197" s="26" t="n">
        <x:v>42159.8262962963</x:v>
      </x:c>
      <x:c r="C2197" s="27" t="n">
        <x:f>INT(B2197)</x:f>
        <x:v>42159</x:v>
      </x:c>
      <x:c r="D2197" s="28" t="n">
        <x:f>MOD(B2197,1)</x:f>
        <x:v>0.8262962962980964</x:v>
      </x:c>
      <x:c r="E2197" s="29" t="n">
        <x:f>YEAR(B2197)</x:f>
        <x:v>2015</x:v>
      </x:c>
      <x:c r="F2197" s="29" t="n">
        <x:f>MONTH(B2197)</x:f>
        <x:v>6</x:v>
      </x:c>
      <x:c r="G2197" s="30" t="n">
        <x:v>-23.14</x:v>
      </x:c>
      <x:c r="H2197" s="30" t="n">
        <x:v>-69.65</x:v>
      </x:c>
      <x:c r="I2197" s="29" t="n">
        <x:v>61</x:v>
      </x:c>
      <x:c r="J2197" s="31" t="n">
        <x:v>4.3</x:v>
      </x:c>
      <x:c r="K2197" s="25" t="str">
        <x:f>IF(J2197&gt;=7,"Muy fuerte (&gt;=7)",IF(J2197&gt;=6,"Fuerte (6-6.9)",IF(J2197&gt;=5,"Moderado alto (5-5.9)",IF(J2197&gt;=4,"Moderado (4-4.9)","Menor a 4"))))</x:f>
        <x:v>Moderado (4-4.9)</x:v>
      </x:c>
      <x:c r="L2197" s="25" t="str">
        <x:f>IF(I2197&lt;70,"Superficial (&lt;70 km)",IF(I2197&lt;=300,"Intermedio (70-300 km)","Profundo (&gt;300 km)"))</x:f>
        <x:v>Superficial (&lt;70 km)</x:v>
      </x:c>
      <x:c r="M2197" s="25" t="str">
        <x:f>IF(J2197&gt;=5,"Sí","No")</x:f>
        <x:v>No</x:v>
      </x:c>
      <x:c r="N2197" s="25" t="str">
        <x:f>IF(J2197&gt;=6,"Sí","No")</x:f>
        <x:v>No</x:v>
      </x:c>
      <x:c r="O2197" s="25" t="str">
        <x:v>Pendiente: asignar con R/sf</x:v>
      </x:c>
    </x:row>
    <x:row r="2198">
      <x:c r="A2198" s="25" t="n">
        <x:v>2197</x:v>
      </x:c>
      <x:c r="B2198" s="26" t="n">
        <x:v>42017.633472222224</x:v>
      </x:c>
      <x:c r="C2198" s="27" t="n">
        <x:f>INT(B2198)</x:f>
        <x:v>42017</x:v>
      </x:c>
      <x:c r="D2198" s="28" t="n">
        <x:f>MOD(B2198,1)</x:f>
        <x:v>0.6334722222236451</x:v>
      </x:c>
      <x:c r="E2198" s="29" t="n">
        <x:f>YEAR(B2198)</x:f>
        <x:v>2015</x:v>
      </x:c>
      <x:c r="F2198" s="29" t="n">
        <x:f>MONTH(B2198)</x:f>
        <x:v>1</x:v>
      </x:c>
      <x:c r="G2198" s="30" t="n">
        <x:v>-33.33</x:v>
      </x:c>
      <x:c r="H2198" s="30" t="n">
        <x:v>-70.64</x:v>
      </x:c>
      <x:c r="I2198" s="29" t="n">
        <x:v>90</x:v>
      </x:c>
      <x:c r="J2198" s="31" t="n">
        <x:v>4.2</x:v>
      </x:c>
      <x:c r="K2198" s="25" t="str">
        <x:f>IF(J2198&gt;=7,"Muy fuerte (&gt;=7)",IF(J2198&gt;=6,"Fuerte (6-6.9)",IF(J2198&gt;=5,"Moderado alto (5-5.9)",IF(J2198&gt;=4,"Moderado (4-4.9)","Menor a 4"))))</x:f>
        <x:v>Moderado (4-4.9)</x:v>
      </x:c>
      <x:c r="L2198" s="25" t="str">
        <x:f>IF(I2198&lt;70,"Superficial (&lt;70 km)",IF(I2198&lt;=300,"Intermedio (70-300 km)","Profundo (&gt;300 km)"))</x:f>
        <x:v>Intermedio (70-300 km)</x:v>
      </x:c>
      <x:c r="M2198" s="25" t="str">
        <x:f>IF(J2198&gt;=5,"Sí","No")</x:f>
        <x:v>No</x:v>
      </x:c>
      <x:c r="N2198" s="25" t="str">
        <x:f>IF(J2198&gt;=6,"Sí","No")</x:f>
        <x:v>No</x:v>
      </x:c>
      <x:c r="O2198" s="25" t="str">
        <x:v>Pendiente: asignar con R/sf</x:v>
      </x:c>
    </x:row>
    <x:row r="2199">
      <x:c r="A2199" s="25" t="n">
        <x:v>2198</x:v>
      </x:c>
      <x:c r="B2199" s="26" t="n">
        <x:v>42297.997083333335</x:v>
      </x:c>
      <x:c r="C2199" s="27" t="n">
        <x:f>INT(B2199)</x:f>
        <x:v>42297</x:v>
      </x:c>
      <x:c r="D2199" s="28" t="n">
        <x:f>MOD(B2199,1)</x:f>
        <x:v>0.9970833333354676</x:v>
      </x:c>
      <x:c r="E2199" s="29" t="n">
        <x:f>YEAR(B2199)</x:f>
        <x:v>2015</x:v>
      </x:c>
      <x:c r="F2199" s="29" t="n">
        <x:f>MONTH(B2199)</x:f>
        <x:v>10</x:v>
      </x:c>
      <x:c r="G2199" s="30" t="n">
        <x:v>-30.82</x:v>
      </x:c>
      <x:c r="H2199" s="30" t="n">
        <x:v>-71.4</x:v>
      </x:c>
      <x:c r="I2199" s="29" t="n">
        <x:v>50</x:v>
      </x:c>
      <x:c r="J2199" s="31" t="n">
        <x:v>4.3</x:v>
      </x:c>
      <x:c r="K2199" s="25" t="str">
        <x:f>IF(J2199&gt;=7,"Muy fuerte (&gt;=7)",IF(J2199&gt;=6,"Fuerte (6-6.9)",IF(J2199&gt;=5,"Moderado alto (5-5.9)",IF(J2199&gt;=4,"Moderado (4-4.9)","Menor a 4"))))</x:f>
        <x:v>Moderado (4-4.9)</x:v>
      </x:c>
      <x:c r="L2199" s="25" t="str">
        <x:f>IF(I2199&lt;70,"Superficial (&lt;70 km)",IF(I2199&lt;=300,"Intermedio (70-300 km)","Profundo (&gt;300 km)"))</x:f>
        <x:v>Superficial (&lt;70 km)</x:v>
      </x:c>
      <x:c r="M2199" s="25" t="str">
        <x:f>IF(J2199&gt;=5,"Sí","No")</x:f>
        <x:v>No</x:v>
      </x:c>
      <x:c r="N2199" s="25" t="str">
        <x:f>IF(J2199&gt;=6,"Sí","No")</x:f>
        <x:v>No</x:v>
      </x:c>
      <x:c r="O2199" s="25" t="str">
        <x:v>Pendiente: asignar con R/sf</x:v>
      </x:c>
    </x:row>
    <x:row r="2200">
      <x:c r="A2200" s="25" t="n">
        <x:v>2199</x:v>
      </x:c>
      <x:c r="B2200" s="26" t="n">
        <x:v>42280.82175925926</x:v>
      </x:c>
      <x:c r="C2200" s="27" t="n">
        <x:f>INT(B2200)</x:f>
        <x:v>42280</x:v>
      </x:c>
      <x:c r="D2200" s="28" t="n">
        <x:f>MOD(B2200,1)</x:f>
        <x:v>0.8217592592627625</x:v>
      </x:c>
      <x:c r="E2200" s="29" t="n">
        <x:f>YEAR(B2200)</x:f>
        <x:v>2015</x:v>
      </x:c>
      <x:c r="F2200" s="29" t="n">
        <x:f>MONTH(B2200)</x:f>
        <x:v>10</x:v>
      </x:c>
      <x:c r="G2200" s="30" t="n">
        <x:v>-29.45</x:v>
      </x:c>
      <x:c r="H2200" s="30" t="n">
        <x:v>-71.13</x:v>
      </x:c>
      <x:c r="I2200" s="29" t="n">
        <x:v>55</x:v>
      </x:c>
      <x:c r="J2200" s="31" t="n">
        <x:v>4.3</x:v>
      </x:c>
      <x:c r="K2200" s="25" t="str">
        <x:f>IF(J2200&gt;=7,"Muy fuerte (&gt;=7)",IF(J2200&gt;=6,"Fuerte (6-6.9)",IF(J2200&gt;=5,"Moderado alto (5-5.9)",IF(J2200&gt;=4,"Moderado (4-4.9)","Menor a 4"))))</x:f>
        <x:v>Moderado (4-4.9)</x:v>
      </x:c>
      <x:c r="L2200" s="25" t="str">
        <x:f>IF(I2200&lt;70,"Superficial (&lt;70 km)",IF(I2200&lt;=300,"Intermedio (70-300 km)","Profundo (&gt;300 km)"))</x:f>
        <x:v>Superficial (&lt;70 km)</x:v>
      </x:c>
      <x:c r="M2200" s="25" t="str">
        <x:f>IF(J2200&gt;=5,"Sí","No")</x:f>
        <x:v>No</x:v>
      </x:c>
      <x:c r="N2200" s="25" t="str">
        <x:f>IF(J2200&gt;=6,"Sí","No")</x:f>
        <x:v>No</x:v>
      </x:c>
      <x:c r="O2200" s="25" t="str">
        <x:v>Pendiente: asignar con R/sf</x:v>
      </x:c>
    </x:row>
    <x:row r="2201">
      <x:c r="A2201" s="25" t="n">
        <x:v>2200</x:v>
      </x:c>
      <x:c r="B2201" s="26" t="n">
        <x:v>42201.450057870374</x:v>
      </x:c>
      <x:c r="C2201" s="27" t="n">
        <x:f>INT(B2201)</x:f>
        <x:v>42201</x:v>
      </x:c>
      <x:c r="D2201" s="28" t="n">
        <x:f>MOD(B2201,1)</x:f>
        <x:v>0.4500578703737119</x:v>
      </x:c>
      <x:c r="E2201" s="29" t="n">
        <x:f>YEAR(B2201)</x:f>
        <x:v>2015</x:v>
      </x:c>
      <x:c r="F2201" s="29" t="n">
        <x:f>MONTH(B2201)</x:f>
        <x:v>7</x:v>
      </x:c>
      <x:c r="G2201" s="30" t="n">
        <x:v>-29.53</x:v>
      </x:c>
      <x:c r="H2201" s="30" t="n">
        <x:v>-71.75</x:v>
      </x:c>
      <x:c r="I2201" s="29" t="n">
        <x:v>31</x:v>
      </x:c>
      <x:c r="J2201" s="31" t="n">
        <x:v>5.3</x:v>
      </x:c>
      <x:c r="K2201" s="25" t="str">
        <x:f>IF(J2201&gt;=7,"Muy fuerte (&gt;=7)",IF(J2201&gt;=6,"Fuerte (6-6.9)",IF(J2201&gt;=5,"Moderado alto (5-5.9)",IF(J2201&gt;=4,"Moderado (4-4.9)","Menor a 4"))))</x:f>
        <x:v>Moderado alto (5-5.9)</x:v>
      </x:c>
      <x:c r="L2201" s="25" t="str">
        <x:f>IF(I2201&lt;70,"Superficial (&lt;70 km)",IF(I2201&lt;=300,"Intermedio (70-300 km)","Profundo (&gt;300 km)"))</x:f>
        <x:v>Superficial (&lt;70 km)</x:v>
      </x:c>
      <x:c r="M2201" s="25" t="str">
        <x:f>IF(J2201&gt;=5,"Sí","No")</x:f>
        <x:v>Sí</x:v>
      </x:c>
      <x:c r="N2201" s="25" t="str">
        <x:f>IF(J2201&gt;=6,"Sí","No")</x:f>
        <x:v>No</x:v>
      </x:c>
      <x:c r="O2201" s="25" t="str">
        <x:v>Pendiente: asignar con R/sf</x:v>
      </x:c>
    </x:row>
    <x:row r="2202">
      <x:c r="A2202" s="25" t="n">
        <x:v>2201</x:v>
      </x:c>
      <x:c r="B2202" s="26" t="n">
        <x:v>42319.09978009259</x:v>
      </x:c>
      <x:c r="C2202" s="27" t="n">
        <x:f>INT(B2202)</x:f>
        <x:v>42319</x:v>
      </x:c>
      <x:c r="D2202" s="28" t="n">
        <x:f>MOD(B2202,1)</x:f>
        <x:v>0.09978009259066312</x:v>
      </x:c>
      <x:c r="E2202" s="29" t="n">
        <x:f>YEAR(B2202)</x:f>
        <x:v>2015</x:v>
      </x:c>
      <x:c r="F2202" s="29" t="n">
        <x:f>MONTH(B2202)</x:f>
        <x:v>11</x:v>
      </x:c>
      <x:c r="G2202" s="30" t="n">
        <x:v>-29.46</x:v>
      </x:c>
      <x:c r="H2202" s="30" t="n">
        <x:v>-71.76</x:v>
      </x:c>
      <x:c r="I2202" s="29" t="n">
        <x:v>15</x:v>
      </x:c>
      <x:c r="J2202" s="31" t="n">
        <x:v>5.1</x:v>
      </x:c>
      <x:c r="K2202" s="25" t="str">
        <x:f>IF(J2202&gt;=7,"Muy fuerte (&gt;=7)",IF(J2202&gt;=6,"Fuerte (6-6.9)",IF(J2202&gt;=5,"Moderado alto (5-5.9)",IF(J2202&gt;=4,"Moderado (4-4.9)","Menor a 4"))))</x:f>
        <x:v>Moderado alto (5-5.9)</x:v>
      </x:c>
      <x:c r="L2202" s="25" t="str">
        <x:f>IF(I2202&lt;70,"Superficial (&lt;70 km)",IF(I2202&lt;=300,"Intermedio (70-300 km)","Profundo (&gt;300 km)"))</x:f>
        <x:v>Superficial (&lt;70 km)</x:v>
      </x:c>
      <x:c r="M2202" s="25" t="str">
        <x:f>IF(J2202&gt;=5,"Sí","No")</x:f>
        <x:v>Sí</x:v>
      </x:c>
      <x:c r="N2202" s="25" t="str">
        <x:f>IF(J2202&gt;=6,"Sí","No")</x:f>
        <x:v>No</x:v>
      </x:c>
      <x:c r="O2202" s="25" t="str">
        <x:v>Pendiente: asignar con R/sf</x:v>
      </x:c>
    </x:row>
    <x:row r="2203">
      <x:c r="A2203" s="25" t="n">
        <x:v>2202</x:v>
      </x:c>
      <x:c r="B2203" s="26" t="n">
        <x:v>42288.70483796296</x:v>
      </x:c>
      <x:c r="C2203" s="27" t="n">
        <x:f>INT(B2203)</x:f>
        <x:v>42288</x:v>
      </x:c>
      <x:c r="D2203" s="28" t="n">
        <x:f>MOD(B2203,1)</x:f>
        <x:v>0.7048379629632109</x:v>
      </x:c>
      <x:c r="E2203" s="29" t="n">
        <x:f>YEAR(B2203)</x:f>
        <x:v>2015</x:v>
      </x:c>
      <x:c r="F2203" s="29" t="n">
        <x:f>MONTH(B2203)</x:f>
        <x:v>10</x:v>
      </x:c>
      <x:c r="G2203" s="30" t="n">
        <x:v>-30.7</x:v>
      </x:c>
      <x:c r="H2203" s="30" t="n">
        <x:v>-71.71</x:v>
      </x:c>
      <x:c r="I2203" s="29" t="n">
        <x:v>40</x:v>
      </x:c>
      <x:c r="J2203" s="31" t="n">
        <x:v>4.8</x:v>
      </x:c>
      <x:c r="K2203" s="25" t="str">
        <x:f>IF(J2203&gt;=7,"Muy fuerte (&gt;=7)",IF(J2203&gt;=6,"Fuerte (6-6.9)",IF(J2203&gt;=5,"Moderado alto (5-5.9)",IF(J2203&gt;=4,"Moderado (4-4.9)","Menor a 4"))))</x:f>
        <x:v>Moderado (4-4.9)</x:v>
      </x:c>
      <x:c r="L2203" s="25" t="str">
        <x:f>IF(I2203&lt;70,"Superficial (&lt;70 km)",IF(I2203&lt;=300,"Intermedio (70-300 km)","Profundo (&gt;300 km)"))</x:f>
        <x:v>Superficial (&lt;70 km)</x:v>
      </x:c>
      <x:c r="M2203" s="25" t="str">
        <x:f>IF(J2203&gt;=5,"Sí","No")</x:f>
        <x:v>No</x:v>
      </x:c>
      <x:c r="N2203" s="25" t="str">
        <x:f>IF(J2203&gt;=6,"Sí","No")</x:f>
        <x:v>No</x:v>
      </x:c>
      <x:c r="O2203" s="25" t="str">
        <x:v>Pendiente: asignar con R/sf</x:v>
      </x:c>
    </x:row>
    <x:row r="2204">
      <x:c r="A2204" s="25" t="n">
        <x:v>2203</x:v>
      </x:c>
      <x:c r="B2204" s="26" t="n">
        <x:v>42268.003854166665</x:v>
      </x:c>
      <x:c r="C2204" s="27" t="n">
        <x:f>INT(B2204)</x:f>
        <x:v>42268</x:v>
      </x:c>
      <x:c r="D2204" s="28" t="n">
        <x:f>MOD(B2204,1)</x:f>
        <x:v>0.0038541666654055007</x:v>
      </x:c>
      <x:c r="E2204" s="29" t="n">
        <x:f>YEAR(B2204)</x:f>
        <x:v>2015</x:v>
      </x:c>
      <x:c r="F2204" s="29" t="n">
        <x:f>MONTH(B2204)</x:f>
        <x:v>9</x:v>
      </x:c>
      <x:c r="G2204" s="30" t="n">
        <x:v>-30.76</x:v>
      </x:c>
      <x:c r="H2204" s="30" t="n">
        <x:v>-71.46</x:v>
      </x:c>
      <x:c r="I2204" s="29" t="n">
        <x:v>40</x:v>
      </x:c>
      <x:c r="J2204" s="31" t="n">
        <x:v>4.4</x:v>
      </x:c>
      <x:c r="K2204" s="25" t="str">
        <x:f>IF(J2204&gt;=7,"Muy fuerte (&gt;=7)",IF(J2204&gt;=6,"Fuerte (6-6.9)",IF(J2204&gt;=5,"Moderado alto (5-5.9)",IF(J2204&gt;=4,"Moderado (4-4.9)","Menor a 4"))))</x:f>
        <x:v>Moderado (4-4.9)</x:v>
      </x:c>
      <x:c r="L2204" s="25" t="str">
        <x:f>IF(I2204&lt;70,"Superficial (&lt;70 km)",IF(I2204&lt;=300,"Intermedio (70-300 km)","Profundo (&gt;300 km)"))</x:f>
        <x:v>Superficial (&lt;70 km)</x:v>
      </x:c>
      <x:c r="M2204" s="25" t="str">
        <x:f>IF(J2204&gt;=5,"Sí","No")</x:f>
        <x:v>No</x:v>
      </x:c>
      <x:c r="N2204" s="25" t="str">
        <x:f>IF(J2204&gt;=6,"Sí","No")</x:f>
        <x:v>No</x:v>
      </x:c>
      <x:c r="O2204" s="25" t="str">
        <x:v>Pendiente: asignar con R/sf</x:v>
      </x:c>
    </x:row>
    <x:row r="2205">
      <x:c r="A2205" s="25" t="n">
        <x:v>2204</x:v>
      </x:c>
      <x:c r="B2205" s="26" t="n">
        <x:v>42264.74895833333</x:v>
      </x:c>
      <x:c r="C2205" s="27" t="n">
        <x:f>INT(B2205)</x:f>
        <x:v>42264</x:v>
      </x:c>
      <x:c r="D2205" s="28" t="n">
        <x:f>MOD(B2205,1)</x:f>
        <x:v>0.7489583333299379</x:v>
      </x:c>
      <x:c r="E2205" s="29" t="n">
        <x:f>YEAR(B2205)</x:f>
        <x:v>2015</x:v>
      </x:c>
      <x:c r="F2205" s="29" t="n">
        <x:f>MONTH(B2205)</x:f>
        <x:v>9</x:v>
      </x:c>
      <x:c r="G2205" s="30" t="n">
        <x:v>-30.83</x:v>
      </x:c>
      <x:c r="H2205" s="30" t="n">
        <x:v>-71.38</x:v>
      </x:c>
      <x:c r="I2205" s="29" t="n">
        <x:v>44</x:v>
      </x:c>
      <x:c r="J2205" s="31" t="n">
        <x:v>4.3</x:v>
      </x:c>
      <x:c r="K2205" s="25" t="str">
        <x:f>IF(J2205&gt;=7,"Muy fuerte (&gt;=7)",IF(J2205&gt;=6,"Fuerte (6-6.9)",IF(J2205&gt;=5,"Moderado alto (5-5.9)",IF(J2205&gt;=4,"Moderado (4-4.9)","Menor a 4"))))</x:f>
        <x:v>Moderado (4-4.9)</x:v>
      </x:c>
      <x:c r="L2205" s="25" t="str">
        <x:f>IF(I2205&lt;70,"Superficial (&lt;70 km)",IF(I2205&lt;=300,"Intermedio (70-300 km)","Profundo (&gt;300 km)"))</x:f>
        <x:v>Superficial (&lt;70 km)</x:v>
      </x:c>
      <x:c r="M2205" s="25" t="str">
        <x:f>IF(J2205&gt;=5,"Sí","No")</x:f>
        <x:v>No</x:v>
      </x:c>
      <x:c r="N2205" s="25" t="str">
        <x:f>IF(J2205&gt;=6,"Sí","No")</x:f>
        <x:v>No</x:v>
      </x:c>
      <x:c r="O2205" s="25" t="str">
        <x:v>Pendiente: asignar con R/sf</x:v>
      </x:c>
    </x:row>
    <x:row r="2206">
      <x:c r="A2206" s="25" t="n">
        <x:v>2205</x:v>
      </x:c>
      <x:c r="B2206" s="26" t="n">
        <x:v>42330.24836805555</x:v>
      </x:c>
      <x:c r="C2206" s="27" t="n">
        <x:f>INT(B2206)</x:f>
        <x:v>42330</x:v>
      </x:c>
      <x:c r="D2206" s="28" t="n">
        <x:f>MOD(B2206,1)</x:f>
        <x:v>0.2483680555524188</x:v>
      </x:c>
      <x:c r="E2206" s="29" t="n">
        <x:f>YEAR(B2206)</x:f>
        <x:v>2015</x:v>
      </x:c>
      <x:c r="F2206" s="29" t="n">
        <x:f>MONTH(B2206)</x:f>
        <x:v>11</x:v>
      </x:c>
      <x:c r="G2206" s="30" t="n">
        <x:v>-30.41</x:v>
      </x:c>
      <x:c r="H2206" s="30" t="n">
        <x:v>-71.71</x:v>
      </x:c>
      <x:c r="I2206" s="29" t="n">
        <x:v>38</x:v>
      </x:c>
      <x:c r="J2206" s="31" t="n">
        <x:v>4.8</x:v>
      </x:c>
      <x:c r="K2206" s="25" t="str">
        <x:f>IF(J2206&gt;=7,"Muy fuerte (&gt;=7)",IF(J2206&gt;=6,"Fuerte (6-6.9)",IF(J2206&gt;=5,"Moderado alto (5-5.9)",IF(J2206&gt;=4,"Moderado (4-4.9)","Menor a 4"))))</x:f>
        <x:v>Moderado (4-4.9)</x:v>
      </x:c>
      <x:c r="L2206" s="25" t="str">
        <x:f>IF(I2206&lt;70,"Superficial (&lt;70 km)",IF(I2206&lt;=300,"Intermedio (70-300 km)","Profundo (&gt;300 km)"))</x:f>
        <x:v>Superficial (&lt;70 km)</x:v>
      </x:c>
      <x:c r="M2206" s="25" t="str">
        <x:f>IF(J2206&gt;=5,"Sí","No")</x:f>
        <x:v>No</x:v>
      </x:c>
      <x:c r="N2206" s="25" t="str">
        <x:f>IF(J2206&gt;=6,"Sí","No")</x:f>
        <x:v>No</x:v>
      </x:c>
      <x:c r="O2206" s="25" t="str">
        <x:v>Pendiente: asignar con R/sf</x:v>
      </x:c>
    </x:row>
    <x:row r="2207">
      <x:c r="A2207" s="25" t="n">
        <x:v>2206</x:v>
      </x:c>
      <x:c r="B2207" s="26" t="n">
        <x:v>42314.36399305556</x:v>
      </x:c>
      <x:c r="C2207" s="27" t="n">
        <x:f>INT(B2207)</x:f>
        <x:v>42314</x:v>
      </x:c>
      <x:c r="D2207" s="28" t="n">
        <x:f>MOD(B2207,1)</x:f>
        <x:v>0.3639930555582396</x:v>
      </x:c>
      <x:c r="E2207" s="29" t="n">
        <x:f>YEAR(B2207)</x:f>
        <x:v>2015</x:v>
      </x:c>
      <x:c r="F2207" s="29" t="n">
        <x:f>MONTH(B2207)</x:f>
        <x:v>11</x:v>
      </x:c>
      <x:c r="G2207" s="30" t="n">
        <x:v>-30.16</x:v>
      </x:c>
      <x:c r="H2207" s="30" t="n">
        <x:v>-72.13</x:v>
      </x:c>
      <x:c r="I2207" s="29" t="n">
        <x:v>42</x:v>
      </x:c>
      <x:c r="J2207" s="31" t="n">
        <x:v>5.1</x:v>
      </x:c>
      <x:c r="K2207" s="25" t="str">
        <x:f>IF(J2207&gt;=7,"Muy fuerte (&gt;=7)",IF(J2207&gt;=6,"Fuerte (6-6.9)",IF(J2207&gt;=5,"Moderado alto (5-5.9)",IF(J2207&gt;=4,"Moderado (4-4.9)","Menor a 4"))))</x:f>
        <x:v>Moderado alto (5-5.9)</x:v>
      </x:c>
      <x:c r="L2207" s="25" t="str">
        <x:f>IF(I2207&lt;70,"Superficial (&lt;70 km)",IF(I2207&lt;=300,"Intermedio (70-300 km)","Profundo (&gt;300 km)"))</x:f>
        <x:v>Superficial (&lt;70 km)</x:v>
      </x:c>
      <x:c r="M2207" s="25" t="str">
        <x:f>IF(J2207&gt;=5,"Sí","No")</x:f>
        <x:v>Sí</x:v>
      </x:c>
      <x:c r="N2207" s="25" t="str">
        <x:f>IF(J2207&gt;=6,"Sí","No")</x:f>
        <x:v>No</x:v>
      </x:c>
      <x:c r="O2207" s="25" t="str">
        <x:v>Pendiente: asignar con R/sf</x:v>
      </x:c>
    </x:row>
    <x:row r="2208">
      <x:c r="A2208" s="25" t="n">
        <x:v>2207</x:v>
      </x:c>
      <x:c r="B2208" s="26" t="n">
        <x:v>42302.55121527778</x:v>
      </x:c>
      <x:c r="C2208" s="27" t="n">
        <x:f>INT(B2208)</x:f>
        <x:v>42302</x:v>
      </x:c>
      <x:c r="D2208" s="28" t="n">
        <x:f>MOD(B2208,1)</x:f>
        <x:v>0.5512152777810115</x:v>
      </x:c>
      <x:c r="E2208" s="29" t="n">
        <x:f>YEAR(B2208)</x:f>
        <x:v>2015</x:v>
      </x:c>
      <x:c r="F2208" s="29" t="n">
        <x:f>MONTH(B2208)</x:f>
        <x:v>10</x:v>
      </x:c>
      <x:c r="G2208" s="30" t="n">
        <x:v>-29.72</x:v>
      </x:c>
      <x:c r="H2208" s="30" t="n">
        <x:v>-71.2</x:v>
      </x:c>
      <x:c r="I2208" s="29" t="n">
        <x:v>44</x:v>
      </x:c>
      <x:c r="J2208" s="31" t="n">
        <x:v>4.7</x:v>
      </x:c>
      <x:c r="K2208" s="25" t="str">
        <x:f>IF(J2208&gt;=7,"Muy fuerte (&gt;=7)",IF(J2208&gt;=6,"Fuerte (6-6.9)",IF(J2208&gt;=5,"Moderado alto (5-5.9)",IF(J2208&gt;=4,"Moderado (4-4.9)","Menor a 4"))))</x:f>
        <x:v>Moderado (4-4.9)</x:v>
      </x:c>
      <x:c r="L2208" s="25" t="str">
        <x:f>IF(I2208&lt;70,"Superficial (&lt;70 km)",IF(I2208&lt;=300,"Intermedio (70-300 km)","Profundo (&gt;300 km)"))</x:f>
        <x:v>Superficial (&lt;70 km)</x:v>
      </x:c>
      <x:c r="M2208" s="25" t="str">
        <x:f>IF(J2208&gt;=5,"Sí","No")</x:f>
        <x:v>No</x:v>
      </x:c>
      <x:c r="N2208" s="25" t="str">
        <x:f>IF(J2208&gt;=6,"Sí","No")</x:f>
        <x:v>No</x:v>
      </x:c>
      <x:c r="O2208" s="25" t="str">
        <x:v>Pendiente: asignar con R/sf</x:v>
      </x:c>
    </x:row>
    <x:row r="2209">
      <x:c r="A2209" s="25" t="n">
        <x:v>2208</x:v>
      </x:c>
      <x:c r="B2209" s="26" t="n">
        <x:v>42266.54244212963</x:v>
      </x:c>
      <x:c r="C2209" s="27" t="n">
        <x:f>INT(B2209)</x:f>
        <x:v>42266</x:v>
      </x:c>
      <x:c r="D2209" s="28" t="n">
        <x:f>MOD(B2209,1)</x:f>
        <x:v>0.5424421296265791</x:v>
      </x:c>
      <x:c r="E2209" s="29" t="n">
        <x:f>YEAR(B2209)</x:f>
        <x:v>2015</x:v>
      </x:c>
      <x:c r="F2209" s="29" t="n">
        <x:f>MONTH(B2209)</x:f>
        <x:v>9</x:v>
      </x:c>
      <x:c r="G2209" s="30" t="n">
        <x:v>-32.44</x:v>
      </x:c>
      <x:c r="H2209" s="30" t="n">
        <x:v>-71.83</x:v>
      </x:c>
      <x:c r="I2209" s="29" t="n">
        <x:v>32</x:v>
      </x:c>
      <x:c r="J2209" s="31" t="n">
        <x:v>4.7</x:v>
      </x:c>
      <x:c r="K2209" s="25" t="str">
        <x:f>IF(J2209&gt;=7,"Muy fuerte (&gt;=7)",IF(J2209&gt;=6,"Fuerte (6-6.9)",IF(J2209&gt;=5,"Moderado alto (5-5.9)",IF(J2209&gt;=4,"Moderado (4-4.9)","Menor a 4"))))</x:f>
        <x:v>Moderado (4-4.9)</x:v>
      </x:c>
      <x:c r="L2209" s="25" t="str">
        <x:f>IF(I2209&lt;70,"Superficial (&lt;70 km)",IF(I2209&lt;=300,"Intermedio (70-300 km)","Profundo (&gt;300 km)"))</x:f>
        <x:v>Superficial (&lt;70 km)</x:v>
      </x:c>
      <x:c r="M2209" s="25" t="str">
        <x:f>IF(J2209&gt;=5,"Sí","No")</x:f>
        <x:v>No</x:v>
      </x:c>
      <x:c r="N2209" s="25" t="str">
        <x:f>IF(J2209&gt;=6,"Sí","No")</x:f>
        <x:v>No</x:v>
      </x:c>
      <x:c r="O2209" s="25" t="str">
        <x:v>Pendiente: asignar con R/sf</x:v>
      </x:c>
    </x:row>
    <x:row r="2210">
      <x:c r="A2210" s="25" t="n">
        <x:v>2209</x:v>
      </x:c>
      <x:c r="B2210" s="26" t="n">
        <x:v>42095.34543981482</x:v>
      </x:c>
      <x:c r="C2210" s="27" t="n">
        <x:f>INT(B2210)</x:f>
        <x:v>42095</x:v>
      </x:c>
      <x:c r="D2210" s="28" t="n">
        <x:f>MOD(B2210,1)</x:f>
        <x:v>0.34543981481692754</x:v>
      </x:c>
      <x:c r="E2210" s="29" t="n">
        <x:f>YEAR(B2210)</x:f>
        <x:v>2015</x:v>
      </x:c>
      <x:c r="F2210" s="29" t="n">
        <x:f>MONTH(B2210)</x:f>
        <x:v>4</x:v>
      </x:c>
      <x:c r="G2210" s="30" t="n">
        <x:v>-29.35</x:v>
      </x:c>
      <x:c r="H2210" s="30" t="n">
        <x:v>-71.66</x:v>
      </x:c>
      <x:c r="I2210" s="29" t="n">
        <x:v>40</x:v>
      </x:c>
      <x:c r="J2210" s="31" t="n">
        <x:v>5.5</x:v>
      </x:c>
      <x:c r="K2210" s="25" t="str">
        <x:f>IF(J2210&gt;=7,"Muy fuerte (&gt;=7)",IF(J2210&gt;=6,"Fuerte (6-6.9)",IF(J2210&gt;=5,"Moderado alto (5-5.9)",IF(J2210&gt;=4,"Moderado (4-4.9)","Menor a 4"))))</x:f>
        <x:v>Moderado alto (5-5.9)</x:v>
      </x:c>
      <x:c r="L2210" s="25" t="str">
        <x:f>IF(I2210&lt;70,"Superficial (&lt;70 km)",IF(I2210&lt;=300,"Intermedio (70-300 km)","Profundo (&gt;300 km)"))</x:f>
        <x:v>Superficial (&lt;70 km)</x:v>
      </x:c>
      <x:c r="M2210" s="25" t="str">
        <x:f>IF(J2210&gt;=5,"Sí","No")</x:f>
        <x:v>Sí</x:v>
      </x:c>
      <x:c r="N2210" s="25" t="str">
        <x:f>IF(J2210&gt;=6,"Sí","No")</x:f>
        <x:v>No</x:v>
      </x:c>
      <x:c r="O2210" s="25" t="str">
        <x:v>Pendiente: asignar con R/sf</x:v>
      </x:c>
    </x:row>
    <x:row r="2211">
      <x:c r="A2211" s="25" t="n">
        <x:v>2210</x:v>
      </x:c>
      <x:c r="B2211" s="26" t="n">
        <x:v>42322.540497685186</x:v>
      </x:c>
      <x:c r="C2211" s="27" t="n">
        <x:f>INT(B2211)</x:f>
        <x:v>42322</x:v>
      </x:c>
      <x:c r="D2211" s="28" t="n">
        <x:f>MOD(B2211,1)</x:f>
        <x:v>0.5404976851859828</x:v>
      </x:c>
      <x:c r="E2211" s="29" t="n">
        <x:f>YEAR(B2211)</x:f>
        <x:v>2015</x:v>
      </x:c>
      <x:c r="F2211" s="29" t="n">
        <x:f>MONTH(B2211)</x:f>
        <x:v>11</x:v>
      </x:c>
      <x:c r="G2211" s="30" t="n">
        <x:v>-30.74</x:v>
      </x:c>
      <x:c r="H2211" s="30" t="n">
        <x:v>-71.41</x:v>
      </x:c>
      <x:c r="I2211" s="29" t="n">
        <x:v>44</x:v>
      </x:c>
      <x:c r="J2211" s="31" t="n">
        <x:v>4.3</x:v>
      </x:c>
      <x:c r="K2211" s="25" t="str">
        <x:f>IF(J2211&gt;=7,"Muy fuerte (&gt;=7)",IF(J2211&gt;=6,"Fuerte (6-6.9)",IF(J2211&gt;=5,"Moderado alto (5-5.9)",IF(J2211&gt;=4,"Moderado (4-4.9)","Menor a 4"))))</x:f>
        <x:v>Moderado (4-4.9)</x:v>
      </x:c>
      <x:c r="L2211" s="25" t="str">
        <x:f>IF(I2211&lt;70,"Superficial (&lt;70 km)",IF(I2211&lt;=300,"Intermedio (70-300 km)","Profundo (&gt;300 km)"))</x:f>
        <x:v>Superficial (&lt;70 km)</x:v>
      </x:c>
      <x:c r="M2211" s="25" t="str">
        <x:f>IF(J2211&gt;=5,"Sí","No")</x:f>
        <x:v>No</x:v>
      </x:c>
      <x:c r="N2211" s="25" t="str">
        <x:f>IF(J2211&gt;=6,"Sí","No")</x:f>
        <x:v>No</x:v>
      </x:c>
      <x:c r="O2211" s="25" t="str">
        <x:v>Pendiente: asignar con R/sf</x:v>
      </x:c>
    </x:row>
    <x:row r="2212">
      <x:c r="A2212" s="25" t="n">
        <x:v>2211</x:v>
      </x:c>
      <x:c r="B2212" s="26" t="n">
        <x:v>42329.008726851855</x:v>
      </x:c>
      <x:c r="C2212" s="27" t="n">
        <x:f>INT(B2212)</x:f>
        <x:v>42329</x:v>
      </x:c>
      <x:c r="D2212" s="28" t="n">
        <x:f>MOD(B2212,1)</x:f>
        <x:v>0.008726851854589768</x:v>
      </x:c>
      <x:c r="E2212" s="29" t="n">
        <x:f>YEAR(B2212)</x:f>
        <x:v>2015</x:v>
      </x:c>
      <x:c r="F2212" s="29" t="n">
        <x:f>MONTH(B2212)</x:f>
        <x:v>11</x:v>
      </x:c>
      <x:c r="G2212" s="30" t="n">
        <x:v>-32.97</x:v>
      </x:c>
      <x:c r="H2212" s="30" t="n">
        <x:v>-70.29</x:v>
      </x:c>
      <x:c r="I2212" s="29" t="n">
        <x:v>106</x:v>
      </x:c>
      <x:c r="J2212" s="31" t="n">
        <x:v>4.5</x:v>
      </x:c>
      <x:c r="K2212" s="25" t="str">
        <x:f>IF(J2212&gt;=7,"Muy fuerte (&gt;=7)",IF(J2212&gt;=6,"Fuerte (6-6.9)",IF(J2212&gt;=5,"Moderado alto (5-5.9)",IF(J2212&gt;=4,"Moderado (4-4.9)","Menor a 4"))))</x:f>
        <x:v>Moderado (4-4.9)</x:v>
      </x:c>
      <x:c r="L2212" s="25" t="str">
        <x:f>IF(I2212&lt;70,"Superficial (&lt;70 km)",IF(I2212&lt;=300,"Intermedio (70-300 km)","Profundo (&gt;300 km)"))</x:f>
        <x:v>Intermedio (70-300 km)</x:v>
      </x:c>
      <x:c r="M2212" s="25" t="str">
        <x:f>IF(J2212&gt;=5,"Sí","No")</x:f>
        <x:v>No</x:v>
      </x:c>
      <x:c r="N2212" s="25" t="str">
        <x:f>IF(J2212&gt;=6,"Sí","No")</x:f>
        <x:v>No</x:v>
      </x:c>
      <x:c r="O2212" s="25" t="str">
        <x:v>Pendiente: asignar con R/sf</x:v>
      </x:c>
    </x:row>
    <x:row r="2213">
      <x:c r="A2213" s="25" t="n">
        <x:v>2212</x:v>
      </x:c>
      <x:c r="B2213" s="26" t="n">
        <x:v>42264.730787037035</x:v>
      </x:c>
      <x:c r="C2213" s="27" t="n">
        <x:f>INT(B2213)</x:f>
        <x:v>42264</x:v>
      </x:c>
      <x:c r="D2213" s="28" t="n">
        <x:f>MOD(B2213,1)</x:f>
        <x:v>0.7307870370350429</x:v>
      </x:c>
      <x:c r="E2213" s="29" t="n">
        <x:f>YEAR(B2213)</x:f>
        <x:v>2015</x:v>
      </x:c>
      <x:c r="F2213" s="29" t="n">
        <x:f>MONTH(B2213)</x:f>
        <x:v>9</x:v>
      </x:c>
      <x:c r="G2213" s="30" t="n">
        <x:v>-30.68</x:v>
      </x:c>
      <x:c r="H2213" s="30" t="n">
        <x:v>-71.61</x:v>
      </x:c>
      <x:c r="I2213" s="29" t="n">
        <x:v>33</x:v>
      </x:c>
      <x:c r="J2213" s="31" t="n">
        <x:v>4.8</x:v>
      </x:c>
      <x:c r="K2213" s="25" t="str">
        <x:f>IF(J2213&gt;=7,"Muy fuerte (&gt;=7)",IF(J2213&gt;=6,"Fuerte (6-6.9)",IF(J2213&gt;=5,"Moderado alto (5-5.9)",IF(J2213&gt;=4,"Moderado (4-4.9)","Menor a 4"))))</x:f>
        <x:v>Moderado (4-4.9)</x:v>
      </x:c>
      <x:c r="L2213" s="25" t="str">
        <x:f>IF(I2213&lt;70,"Superficial (&lt;70 km)",IF(I2213&lt;=300,"Intermedio (70-300 km)","Profundo (&gt;300 km)"))</x:f>
        <x:v>Superficial (&lt;70 km)</x:v>
      </x:c>
      <x:c r="M2213" s="25" t="str">
        <x:f>IF(J2213&gt;=5,"Sí","No")</x:f>
        <x:v>No</x:v>
      </x:c>
      <x:c r="N2213" s="25" t="str">
        <x:f>IF(J2213&gt;=6,"Sí","No")</x:f>
        <x:v>No</x:v>
      </x:c>
      <x:c r="O2213" s="25" t="str">
        <x:v>Pendiente: asignar con R/sf</x:v>
      </x:c>
    </x:row>
    <x:row r="2214">
      <x:c r="A2214" s="25" t="n">
        <x:v>2213</x:v>
      </x:c>
      <x:c r="B2214" s="26" t="n">
        <x:v>42273.14208333333</x:v>
      </x:c>
      <x:c r="C2214" s="27" t="n">
        <x:f>INT(B2214)</x:f>
        <x:v>42273</x:v>
      </x:c>
      <x:c r="D2214" s="28" t="n">
        <x:f>MOD(B2214,1)</x:f>
        <x:v>0.1420833333322662</x:v>
      </x:c>
      <x:c r="E2214" s="29" t="n">
        <x:f>YEAR(B2214)</x:f>
        <x:v>2015</x:v>
      </x:c>
      <x:c r="F2214" s="29" t="n">
        <x:f>MONTH(B2214)</x:f>
        <x:v>9</x:v>
      </x:c>
      <x:c r="G2214" s="30" t="n">
        <x:v>-30.79</x:v>
      </x:c>
      <x:c r="H2214" s="30" t="n">
        <x:v>-71.39</x:v>
      </x:c>
      <x:c r="I2214" s="29" t="n">
        <x:v>40</x:v>
      </x:c>
      <x:c r="J2214" s="31" t="n">
        <x:v>4.1</x:v>
      </x:c>
      <x:c r="K2214" s="25" t="str">
        <x:f>IF(J2214&gt;=7,"Muy fuerte (&gt;=7)",IF(J2214&gt;=6,"Fuerte (6-6.9)",IF(J2214&gt;=5,"Moderado alto (5-5.9)",IF(J2214&gt;=4,"Moderado (4-4.9)","Menor a 4"))))</x:f>
        <x:v>Moderado (4-4.9)</x:v>
      </x:c>
      <x:c r="L2214" s="25" t="str">
        <x:f>IF(I2214&lt;70,"Superficial (&lt;70 km)",IF(I2214&lt;=300,"Intermedio (70-300 km)","Profundo (&gt;300 km)"))</x:f>
        <x:v>Superficial (&lt;70 km)</x:v>
      </x:c>
      <x:c r="M2214" s="25" t="str">
        <x:f>IF(J2214&gt;=5,"Sí","No")</x:f>
        <x:v>No</x:v>
      </x:c>
      <x:c r="N2214" s="25" t="str">
        <x:f>IF(J2214&gt;=6,"Sí","No")</x:f>
        <x:v>No</x:v>
      </x:c>
      <x:c r="O2214" s="25" t="str">
        <x:v>Pendiente: asignar con R/sf</x:v>
      </x:c>
    </x:row>
    <x:row r="2215">
      <x:c r="A2215" s="25" t="n">
        <x:v>2214</x:v>
      </x:c>
      <x:c r="B2215" s="26" t="n">
        <x:v>42353.20211805555</x:v>
      </x:c>
      <x:c r="C2215" s="27" t="n">
        <x:f>INT(B2215)</x:f>
        <x:v>42353</x:v>
      </x:c>
      <x:c r="D2215" s="28" t="n">
        <x:f>MOD(B2215,1)</x:f>
        <x:v>0.20211805555300089</x:v>
      </x:c>
      <x:c r="E2215" s="29" t="n">
        <x:f>YEAR(B2215)</x:f>
        <x:v>2015</x:v>
      </x:c>
      <x:c r="F2215" s="29" t="n">
        <x:f>MONTH(B2215)</x:f>
        <x:v>12</x:v>
      </x:c>
      <x:c r="G2215" s="30" t="n">
        <x:v>-29.35</x:v>
      </x:c>
      <x:c r="H2215" s="30" t="n">
        <x:v>-71.99</x:v>
      </x:c>
      <x:c r="I2215" s="29" t="n">
        <x:v>23</x:v>
      </x:c>
      <x:c r="J2215" s="31" t="n">
        <x:v>4.7</x:v>
      </x:c>
      <x:c r="K2215" s="25" t="str">
        <x:f>IF(J2215&gt;=7,"Muy fuerte (&gt;=7)",IF(J2215&gt;=6,"Fuerte (6-6.9)",IF(J2215&gt;=5,"Moderado alto (5-5.9)",IF(J2215&gt;=4,"Moderado (4-4.9)","Menor a 4"))))</x:f>
        <x:v>Moderado (4-4.9)</x:v>
      </x:c>
      <x:c r="L2215" s="25" t="str">
        <x:f>IF(I2215&lt;70,"Superficial (&lt;70 km)",IF(I2215&lt;=300,"Intermedio (70-300 km)","Profundo (&gt;300 km)"))</x:f>
        <x:v>Superficial (&lt;70 km)</x:v>
      </x:c>
      <x:c r="M2215" s="25" t="str">
        <x:f>IF(J2215&gt;=5,"Sí","No")</x:f>
        <x:v>No</x:v>
      </x:c>
      <x:c r="N2215" s="25" t="str">
        <x:f>IF(J2215&gt;=6,"Sí","No")</x:f>
        <x:v>No</x:v>
      </x:c>
      <x:c r="O2215" s="25" t="str">
        <x:v>Pendiente: asignar con R/sf</x:v>
      </x:c>
    </x:row>
    <x:row r="2216">
      <x:c r="A2216" s="25" t="n">
        <x:v>2215</x:v>
      </x:c>
      <x:c r="B2216" s="26" t="n">
        <x:v>42278.58393518518</x:v>
      </x:c>
      <x:c r="C2216" s="27" t="n">
        <x:f>INT(B2216)</x:f>
        <x:v>42278</x:v>
      </x:c>
      <x:c r="D2216" s="28" t="n">
        <x:f>MOD(B2216,1)</x:f>
        <x:v>0.5839351851827814</x:v>
      </x:c>
      <x:c r="E2216" s="29" t="n">
        <x:f>YEAR(B2216)</x:f>
        <x:v>2015</x:v>
      </x:c>
      <x:c r="F2216" s="29" t="n">
        <x:f>MONTH(B2216)</x:f>
        <x:v>10</x:v>
      </x:c>
      <x:c r="G2216" s="30" t="n">
        <x:v>-29.74</x:v>
      </x:c>
      <x:c r="H2216" s="30" t="n">
        <x:v>-71.31</x:v>
      </x:c>
      <x:c r="I2216" s="29" t="n">
        <x:v>52</x:v>
      </x:c>
      <x:c r="J2216" s="31" t="n">
        <x:v>4.3</x:v>
      </x:c>
      <x:c r="K2216" s="25" t="str">
        <x:f>IF(J2216&gt;=7,"Muy fuerte (&gt;=7)",IF(J2216&gt;=6,"Fuerte (6-6.9)",IF(J2216&gt;=5,"Moderado alto (5-5.9)",IF(J2216&gt;=4,"Moderado (4-4.9)","Menor a 4"))))</x:f>
        <x:v>Moderado (4-4.9)</x:v>
      </x:c>
      <x:c r="L2216" s="25" t="str">
        <x:f>IF(I2216&lt;70,"Superficial (&lt;70 km)",IF(I2216&lt;=300,"Intermedio (70-300 km)","Profundo (&gt;300 km)"))</x:f>
        <x:v>Superficial (&lt;70 km)</x:v>
      </x:c>
      <x:c r="M2216" s="25" t="str">
        <x:f>IF(J2216&gt;=5,"Sí","No")</x:f>
        <x:v>No</x:v>
      </x:c>
      <x:c r="N2216" s="25" t="str">
        <x:f>IF(J2216&gt;=6,"Sí","No")</x:f>
        <x:v>No</x:v>
      </x:c>
      <x:c r="O2216" s="25" t="str">
        <x:v>Pendiente: asignar con R/sf</x:v>
      </x:c>
    </x:row>
    <x:row r="2217">
      <x:c r="A2217" s="25" t="n">
        <x:v>2216</x:v>
      </x:c>
      <x:c r="B2217" s="26" t="n">
        <x:v>42280.18503472222</x:v>
      </x:c>
      <x:c r="C2217" s="27" t="n">
        <x:f>INT(B2217)</x:f>
        <x:v>42280</x:v>
      </x:c>
      <x:c r="D2217" s="28" t="n">
        <x:f>MOD(B2217,1)</x:f>
        <x:v>0.1850347222207347</x:v>
      </x:c>
      <x:c r="E2217" s="29" t="n">
        <x:f>YEAR(B2217)</x:f>
        <x:v>2015</x:v>
      </x:c>
      <x:c r="F2217" s="29" t="n">
        <x:f>MONTH(B2217)</x:f>
        <x:v>10</x:v>
      </x:c>
      <x:c r="G2217" s="30" t="n">
        <x:v>-32.83</x:v>
      </x:c>
      <x:c r="H2217" s="30" t="n">
        <x:v>-72.03</x:v>
      </x:c>
      <x:c r="I2217" s="29" t="n">
        <x:v>25</x:v>
      </x:c>
      <x:c r="J2217" s="31" t="n">
        <x:v>4.1</x:v>
      </x:c>
      <x:c r="K2217" s="25" t="str">
        <x:f>IF(J2217&gt;=7,"Muy fuerte (&gt;=7)",IF(J2217&gt;=6,"Fuerte (6-6.9)",IF(J2217&gt;=5,"Moderado alto (5-5.9)",IF(J2217&gt;=4,"Moderado (4-4.9)","Menor a 4"))))</x:f>
        <x:v>Moderado (4-4.9)</x:v>
      </x:c>
      <x:c r="L2217" s="25" t="str">
        <x:f>IF(I2217&lt;70,"Superficial (&lt;70 km)",IF(I2217&lt;=300,"Intermedio (70-300 km)","Profundo (&gt;300 km)"))</x:f>
        <x:v>Superficial (&lt;70 km)</x:v>
      </x:c>
      <x:c r="M2217" s="25" t="str">
        <x:f>IF(J2217&gt;=5,"Sí","No")</x:f>
        <x:v>No</x:v>
      </x:c>
      <x:c r="N2217" s="25" t="str">
        <x:f>IF(J2217&gt;=6,"Sí","No")</x:f>
        <x:v>No</x:v>
      </x:c>
      <x:c r="O2217" s="25" t="str">
        <x:v>Pendiente: asignar con R/sf</x:v>
      </x:c>
    </x:row>
    <x:row r="2218">
      <x:c r="A2218" s="25" t="n">
        <x:v>2217</x:v>
      </x:c>
      <x:c r="B2218" s="26" t="n">
        <x:v>42190.61136574074</x:v>
      </x:c>
      <x:c r="C2218" s="27" t="n">
        <x:f>INT(B2218)</x:f>
        <x:v>42190</x:v>
      </x:c>
      <x:c r="D2218" s="28" t="n">
        <x:f>MOD(B2218,1)</x:f>
        <x:v>0.6113657407404389</x:v>
      </x:c>
      <x:c r="E2218" s="29" t="n">
        <x:f>YEAR(B2218)</x:f>
        <x:v>2015</x:v>
      </x:c>
      <x:c r="F2218" s="29" t="n">
        <x:f>MONTH(B2218)</x:f>
        <x:v>7</x:v>
      </x:c>
      <x:c r="G2218" s="30" t="n">
        <x:v>-19.47</x:v>
      </x:c>
      <x:c r="H2218" s="30" t="n">
        <x:v>-69.56</x:v>
      </x:c>
      <x:c r="I2218" s="29" t="n">
        <x:v>110</x:v>
      </x:c>
      <x:c r="J2218" s="31" t="n">
        <x:v>4.6</x:v>
      </x:c>
      <x:c r="K2218" s="25" t="str">
        <x:f>IF(J2218&gt;=7,"Muy fuerte (&gt;=7)",IF(J2218&gt;=6,"Fuerte (6-6.9)",IF(J2218&gt;=5,"Moderado alto (5-5.9)",IF(J2218&gt;=4,"Moderado (4-4.9)","Menor a 4"))))</x:f>
        <x:v>Moderado (4-4.9)</x:v>
      </x:c>
      <x:c r="L2218" s="25" t="str">
        <x:f>IF(I2218&lt;70,"Superficial (&lt;70 km)",IF(I2218&lt;=300,"Intermedio (70-300 km)","Profundo (&gt;300 km)"))</x:f>
        <x:v>Intermedio (70-300 km)</x:v>
      </x:c>
      <x:c r="M2218" s="25" t="str">
        <x:f>IF(J2218&gt;=5,"Sí","No")</x:f>
        <x:v>No</x:v>
      </x:c>
      <x:c r="N2218" s="25" t="str">
        <x:f>IF(J2218&gt;=6,"Sí","No")</x:f>
        <x:v>No</x:v>
      </x:c>
      <x:c r="O2218" s="25" t="str">
        <x:v>Pendiente: asignar con R/sf</x:v>
      </x:c>
    </x:row>
    <x:row r="2219">
      <x:c r="A2219" s="25" t="n">
        <x:v>2218</x:v>
      </x:c>
      <x:c r="B2219" s="26" t="n">
        <x:v>42264.98189814815</x:v>
      </x:c>
      <x:c r="C2219" s="27" t="n">
        <x:f>INT(B2219)</x:f>
        <x:v>42264</x:v>
      </x:c>
      <x:c r="D2219" s="28" t="n">
        <x:f>MOD(B2219,1)</x:f>
        <x:v>0.981898148151231</x:v>
      </x:c>
      <x:c r="E2219" s="29" t="n">
        <x:f>YEAR(B2219)</x:f>
        <x:v>2015</x:v>
      </x:c>
      <x:c r="F2219" s="29" t="n">
        <x:f>MONTH(B2219)</x:f>
        <x:v>9</x:v>
      </x:c>
      <x:c r="G2219" s="30" t="n">
        <x:v>-31.03</x:v>
      </x:c>
      <x:c r="H2219" s="30" t="n">
        <x:v>-71.38</x:v>
      </x:c>
      <x:c r="I2219" s="29" t="n">
        <x:v>45</x:v>
      </x:c>
      <x:c r="J2219" s="31" t="n">
        <x:v>4</x:v>
      </x:c>
      <x:c r="K2219" s="25" t="str">
        <x:f>IF(J2219&gt;=7,"Muy fuerte (&gt;=7)",IF(J2219&gt;=6,"Fuerte (6-6.9)",IF(J2219&gt;=5,"Moderado alto (5-5.9)",IF(J2219&gt;=4,"Moderado (4-4.9)","Menor a 4"))))</x:f>
        <x:v>Moderado (4-4.9)</x:v>
      </x:c>
      <x:c r="L2219" s="25" t="str">
        <x:f>IF(I2219&lt;70,"Superficial (&lt;70 km)",IF(I2219&lt;=300,"Intermedio (70-300 km)","Profundo (&gt;300 km)"))</x:f>
        <x:v>Superficial (&lt;70 km)</x:v>
      </x:c>
      <x:c r="M2219" s="25" t="str">
        <x:f>IF(J2219&gt;=5,"Sí","No")</x:f>
        <x:v>No</x:v>
      </x:c>
      <x:c r="N2219" s="25" t="str">
        <x:f>IF(J2219&gt;=6,"Sí","No")</x:f>
        <x:v>No</x:v>
      </x:c>
      <x:c r="O2219" s="25" t="str">
        <x:v>Pendiente: asignar con R/sf</x:v>
      </x:c>
    </x:row>
    <x:row r="2220">
      <x:c r="A2220" s="25" t="n">
        <x:v>2219</x:v>
      </x:c>
      <x:c r="B2220" s="26" t="n">
        <x:v>42052.608252314814</x:v>
      </x:c>
      <x:c r="C2220" s="27" t="n">
        <x:f>INT(B2220)</x:f>
        <x:v>42052</x:v>
      </x:c>
      <x:c r="D2220" s="28" t="n">
        <x:f>MOD(B2220,1)</x:f>
        <x:v>0.6082523148143082</x:v>
      </x:c>
      <x:c r="E2220" s="29" t="n">
        <x:f>YEAR(B2220)</x:f>
        <x:v>2015</x:v>
      </x:c>
      <x:c r="F2220" s="29" t="n">
        <x:f>MONTH(B2220)</x:f>
        <x:v>2</x:v>
      </x:c>
      <x:c r="G2220" s="30" t="n">
        <x:v>-32.38</x:v>
      </x:c>
      <x:c r="H2220" s="30" t="n">
        <x:v>-70.99</x:v>
      </x:c>
      <x:c r="I2220" s="29" t="n">
        <x:v>78</x:v>
      </x:c>
      <x:c r="J2220" s="31" t="n">
        <x:v>5.8</x:v>
      </x:c>
      <x:c r="K2220" s="25" t="str">
        <x:f>IF(J2220&gt;=7,"Muy fuerte (&gt;=7)",IF(J2220&gt;=6,"Fuerte (6-6.9)",IF(J2220&gt;=5,"Moderado alto (5-5.9)",IF(J2220&gt;=4,"Moderado (4-4.9)","Menor a 4"))))</x:f>
        <x:v>Moderado alto (5-5.9)</x:v>
      </x:c>
      <x:c r="L2220" s="25" t="str">
        <x:f>IF(I2220&lt;70,"Superficial (&lt;70 km)",IF(I2220&lt;=300,"Intermedio (70-300 km)","Profundo (&gt;300 km)"))</x:f>
        <x:v>Intermedio (70-300 km)</x:v>
      </x:c>
      <x:c r="M2220" s="25" t="str">
        <x:f>IF(J2220&gt;=5,"Sí","No")</x:f>
        <x:v>Sí</x:v>
      </x:c>
      <x:c r="N2220" s="25" t="str">
        <x:f>IF(J2220&gt;=6,"Sí","No")</x:f>
        <x:v>No</x:v>
      </x:c>
      <x:c r="O2220" s="25" t="str">
        <x:v>Pendiente: asignar con R/sf</x:v>
      </x:c>
    </x:row>
    <x:row r="2221">
      <x:c r="A2221" s="25" t="n">
        <x:v>2220</x:v>
      </x:c>
      <x:c r="B2221" s="26" t="n">
        <x:v>42289.69909722222</x:v>
      </x:c>
      <x:c r="C2221" s="27" t="n">
        <x:f>INT(B2221)</x:f>
        <x:v>42289</x:v>
      </x:c>
      <x:c r="D2221" s="28" t="n">
        <x:f>MOD(B2221,1)</x:f>
        <x:v>0.6990972222192795</x:v>
      </x:c>
      <x:c r="E2221" s="29" t="n">
        <x:f>YEAR(B2221)</x:f>
        <x:v>2015</x:v>
      </x:c>
      <x:c r="F2221" s="29" t="n">
        <x:f>MONTH(B2221)</x:f>
        <x:v>10</x:v>
      </x:c>
      <x:c r="G2221" s="30" t="n">
        <x:v>-30.67</x:v>
      </x:c>
      <x:c r="H2221" s="30" t="n">
        <x:v>-71.71</x:v>
      </x:c>
      <x:c r="I2221" s="29" t="n">
        <x:v>35</x:v>
      </x:c>
      <x:c r="J2221" s="31" t="n">
        <x:v>5</x:v>
      </x:c>
      <x:c r="K2221" s="25" t="str">
        <x:f>IF(J2221&gt;=7,"Muy fuerte (&gt;=7)",IF(J2221&gt;=6,"Fuerte (6-6.9)",IF(J2221&gt;=5,"Moderado alto (5-5.9)",IF(J2221&gt;=4,"Moderado (4-4.9)","Menor a 4"))))</x:f>
        <x:v>Moderado alto (5-5.9)</x:v>
      </x:c>
      <x:c r="L2221" s="25" t="str">
        <x:f>IF(I2221&lt;70,"Superficial (&lt;70 km)",IF(I2221&lt;=300,"Intermedio (70-300 km)","Profundo (&gt;300 km)"))</x:f>
        <x:v>Superficial (&lt;70 km)</x:v>
      </x:c>
      <x:c r="M2221" s="25" t="str">
        <x:f>IF(J2221&gt;=5,"Sí","No")</x:f>
        <x:v>Sí</x:v>
      </x:c>
      <x:c r="N2221" s="25" t="str">
        <x:f>IF(J2221&gt;=6,"Sí","No")</x:f>
        <x:v>No</x:v>
      </x:c>
      <x:c r="O2221" s="25" t="str">
        <x:v>Pendiente: asignar con R/sf</x:v>
      </x:c>
    </x:row>
    <x:row r="2222">
      <x:c r="A2222" s="25" t="n">
        <x:v>2221</x:v>
      </x:c>
      <x:c r="B2222" s="26" t="n">
        <x:v>42330.53402777778</x:v>
      </x:c>
      <x:c r="C2222" s="27" t="n">
        <x:f>INT(B2222)</x:f>
        <x:v>42330</x:v>
      </x:c>
      <x:c r="D2222" s="28" t="n">
        <x:f>MOD(B2222,1)</x:f>
        <x:v>0.5340277777795563</x:v>
      </x:c>
      <x:c r="E2222" s="29" t="n">
        <x:f>YEAR(B2222)</x:f>
        <x:v>2015</x:v>
      </x:c>
      <x:c r="F2222" s="29" t="n">
        <x:f>MONTH(B2222)</x:f>
        <x:v>11</x:v>
      </x:c>
      <x:c r="G2222" s="30" t="n">
        <x:v>-30.68</x:v>
      </x:c>
      <x:c r="H2222" s="30" t="n">
        <x:v>-71.65</x:v>
      </x:c>
      <x:c r="I2222" s="29" t="n">
        <x:v>67</x:v>
      </x:c>
      <x:c r="J2222" s="31" t="n">
        <x:v>4.4</x:v>
      </x:c>
      <x:c r="K2222" s="25" t="str">
        <x:f>IF(J2222&gt;=7,"Muy fuerte (&gt;=7)",IF(J2222&gt;=6,"Fuerte (6-6.9)",IF(J2222&gt;=5,"Moderado alto (5-5.9)",IF(J2222&gt;=4,"Moderado (4-4.9)","Menor a 4"))))</x:f>
        <x:v>Moderado (4-4.9)</x:v>
      </x:c>
      <x:c r="L2222" s="25" t="str">
        <x:f>IF(I2222&lt;70,"Superficial (&lt;70 km)",IF(I2222&lt;=300,"Intermedio (70-300 km)","Profundo (&gt;300 km)"))</x:f>
        <x:v>Superficial (&lt;70 km)</x:v>
      </x:c>
      <x:c r="M2222" s="25" t="str">
        <x:f>IF(J2222&gt;=5,"Sí","No")</x:f>
        <x:v>No</x:v>
      </x:c>
      <x:c r="N2222" s="25" t="str">
        <x:f>IF(J2222&gt;=6,"Sí","No")</x:f>
        <x:v>No</x:v>
      </x:c>
      <x:c r="O2222" s="25" t="str">
        <x:v>Pendiente: asignar con R/sf</x:v>
      </x:c>
    </x:row>
    <x:row r="2223">
      <x:c r="A2223" s="25" t="n">
        <x:v>2222</x:v>
      </x:c>
      <x:c r="B2223" s="26" t="n">
        <x:v>42265.23167824074</x:v>
      </x:c>
      <x:c r="C2223" s="27" t="n">
        <x:f>INT(B2223)</x:f>
        <x:v>42265</x:v>
      </x:c>
      <x:c r="D2223" s="28" t="n">
        <x:f>MOD(B2223,1)</x:f>
        <x:v>0.2316782407433493</x:v>
      </x:c>
      <x:c r="E2223" s="29" t="n">
        <x:f>YEAR(B2223)</x:f>
        <x:v>2015</x:v>
      </x:c>
      <x:c r="F2223" s="29" t="n">
        <x:f>MONTH(B2223)</x:f>
        <x:v>9</x:v>
      </x:c>
      <x:c r="G2223" s="30" t="n">
        <x:v>-31.15</x:v>
      </x:c>
      <x:c r="H2223" s="30" t="n">
        <x:v>-71.37</x:v>
      </x:c>
      <x:c r="I2223" s="29" t="n">
        <x:v>45</x:v>
      </x:c>
      <x:c r="J2223" s="31" t="n">
        <x:v>4.6</x:v>
      </x:c>
      <x:c r="K2223" s="25" t="str">
        <x:f>IF(J2223&gt;=7,"Muy fuerte (&gt;=7)",IF(J2223&gt;=6,"Fuerte (6-6.9)",IF(J2223&gt;=5,"Moderado alto (5-5.9)",IF(J2223&gt;=4,"Moderado (4-4.9)","Menor a 4"))))</x:f>
        <x:v>Moderado (4-4.9)</x:v>
      </x:c>
      <x:c r="L2223" s="25" t="str">
        <x:f>IF(I2223&lt;70,"Superficial (&lt;70 km)",IF(I2223&lt;=300,"Intermedio (70-300 km)","Profundo (&gt;300 km)"))</x:f>
        <x:v>Superficial (&lt;70 km)</x:v>
      </x:c>
      <x:c r="M2223" s="25" t="str">
        <x:f>IF(J2223&gt;=5,"Sí","No")</x:f>
        <x:v>No</x:v>
      </x:c>
      <x:c r="N2223" s="25" t="str">
        <x:f>IF(J2223&gt;=6,"Sí","No")</x:f>
        <x:v>No</x:v>
      </x:c>
      <x:c r="O2223" s="25" t="str">
        <x:v>Pendiente: asignar con R/sf</x:v>
      </x:c>
    </x:row>
    <x:row r="2224">
      <x:c r="A2224" s="25" t="n">
        <x:v>2223</x:v>
      </x:c>
      <x:c r="B2224" s="26" t="n">
        <x:v>42057.236354166664</x:v>
      </x:c>
      <x:c r="C2224" s="27" t="n">
        <x:f>INT(B2224)</x:f>
        <x:v>42057</x:v>
      </x:c>
      <x:c r="D2224" s="28" t="n">
        <x:f>MOD(B2224,1)</x:f>
        <x:v>0.23635416666365927</x:v>
      </x:c>
      <x:c r="E2224" s="29" t="n">
        <x:f>YEAR(B2224)</x:f>
        <x:v>2015</x:v>
      </x:c>
      <x:c r="F2224" s="29" t="n">
        <x:f>MONTH(B2224)</x:f>
        <x:v>2</x:v>
      </x:c>
      <x:c r="G2224" s="30" t="n">
        <x:v>-20.04</x:v>
      </x:c>
      <x:c r="H2224" s="30" t="n">
        <x:v>-70.94</x:v>
      </x:c>
      <x:c r="I2224" s="29" t="n">
        <x:v>43</x:v>
      </x:c>
      <x:c r="J2224" s="31" t="n">
        <x:v>4.5</x:v>
      </x:c>
      <x:c r="K2224" s="25" t="str">
        <x:f>IF(J2224&gt;=7,"Muy fuerte (&gt;=7)",IF(J2224&gt;=6,"Fuerte (6-6.9)",IF(J2224&gt;=5,"Moderado alto (5-5.9)",IF(J2224&gt;=4,"Moderado (4-4.9)","Menor a 4"))))</x:f>
        <x:v>Moderado (4-4.9)</x:v>
      </x:c>
      <x:c r="L2224" s="25" t="str">
        <x:f>IF(I2224&lt;70,"Superficial (&lt;70 km)",IF(I2224&lt;=300,"Intermedio (70-300 km)","Profundo (&gt;300 km)"))</x:f>
        <x:v>Superficial (&lt;70 km)</x:v>
      </x:c>
      <x:c r="M2224" s="25" t="str">
        <x:f>IF(J2224&gt;=5,"Sí","No")</x:f>
        <x:v>No</x:v>
      </x:c>
      <x:c r="N2224" s="25" t="str">
        <x:f>IF(J2224&gt;=6,"Sí","No")</x:f>
        <x:v>No</x:v>
      </x:c>
      <x:c r="O2224" s="25" t="str">
        <x:v>Pendiente: asignar con R/sf</x:v>
      </x:c>
    </x:row>
    <x:row r="2225">
      <x:c r="A2225" s="25" t="n">
        <x:v>2224</x:v>
      </x:c>
      <x:c r="B2225" s="26" t="n">
        <x:v>42268.70008101852</x:v>
      </x:c>
      <x:c r="C2225" s="27" t="n">
        <x:f>INT(B2225)</x:f>
        <x:v>42268</x:v>
      </x:c>
      <x:c r="D2225" s="28" t="n">
        <x:f>MOD(B2225,1)</x:f>
        <x:v>0.7000810185199953</x:v>
      </x:c>
      <x:c r="E2225" s="29" t="n">
        <x:f>YEAR(B2225)</x:f>
        <x:v>2015</x:v>
      </x:c>
      <x:c r="F2225" s="29" t="n">
        <x:f>MONTH(B2225)</x:f>
        <x:v>9</x:v>
      </x:c>
      <x:c r="G2225" s="30" t="n">
        <x:v>-30.83</x:v>
      </x:c>
      <x:c r="H2225" s="30" t="n">
        <x:v>-71.46</x:v>
      </x:c>
      <x:c r="I2225" s="29" t="n">
        <x:v>49</x:v>
      </x:c>
      <x:c r="J2225" s="31" t="n">
        <x:v>4.3</x:v>
      </x:c>
      <x:c r="K2225" s="25" t="str">
        <x:f>IF(J2225&gt;=7,"Muy fuerte (&gt;=7)",IF(J2225&gt;=6,"Fuerte (6-6.9)",IF(J2225&gt;=5,"Moderado alto (5-5.9)",IF(J2225&gt;=4,"Moderado (4-4.9)","Menor a 4"))))</x:f>
        <x:v>Moderado (4-4.9)</x:v>
      </x:c>
      <x:c r="L2225" s="25" t="str">
        <x:f>IF(I2225&lt;70,"Superficial (&lt;70 km)",IF(I2225&lt;=300,"Intermedio (70-300 km)","Profundo (&gt;300 km)"))</x:f>
        <x:v>Superficial (&lt;70 km)</x:v>
      </x:c>
      <x:c r="M2225" s="25" t="str">
        <x:f>IF(J2225&gt;=5,"Sí","No")</x:f>
        <x:v>No</x:v>
      </x:c>
      <x:c r="N2225" s="25" t="str">
        <x:f>IF(J2225&gt;=6,"Sí","No")</x:f>
        <x:v>No</x:v>
      </x:c>
      <x:c r="O2225" s="25" t="str">
        <x:v>Pendiente: asignar con R/sf</x:v>
      </x:c>
    </x:row>
    <x:row r="2226">
      <x:c r="A2226" s="25" t="n">
        <x:v>2225</x:v>
      </x:c>
      <x:c r="B2226" s="26" t="n">
        <x:v>42269.37113425926</x:v>
      </x:c>
      <x:c r="C2226" s="27" t="n">
        <x:f>INT(B2226)</x:f>
        <x:v>42269</x:v>
      </x:c>
      <x:c r="D2226" s="28" t="n">
        <x:f>MOD(B2226,1)</x:f>
        <x:v>0.37113425925781485</x:v>
      </x:c>
      <x:c r="E2226" s="29" t="n">
        <x:f>YEAR(B2226)</x:f>
        <x:v>2015</x:v>
      </x:c>
      <x:c r="F2226" s="29" t="n">
        <x:f>MONTH(B2226)</x:f>
        <x:v>9</x:v>
      </x:c>
      <x:c r="G2226" s="30" t="n">
        <x:v>-31.57</x:v>
      </x:c>
      <x:c r="H2226" s="30" t="n">
        <x:v>-71.91</x:v>
      </x:c>
      <x:c r="I2226" s="29" t="n">
        <x:v>30</x:v>
      </x:c>
      <x:c r="J2226" s="31" t="n">
        <x:v>4.4</x:v>
      </x:c>
      <x:c r="K2226" s="25" t="str">
        <x:f>IF(J2226&gt;=7,"Muy fuerte (&gt;=7)",IF(J2226&gt;=6,"Fuerte (6-6.9)",IF(J2226&gt;=5,"Moderado alto (5-5.9)",IF(J2226&gt;=4,"Moderado (4-4.9)","Menor a 4"))))</x:f>
        <x:v>Moderado (4-4.9)</x:v>
      </x:c>
      <x:c r="L2226" s="25" t="str">
        <x:f>IF(I2226&lt;70,"Superficial (&lt;70 km)",IF(I2226&lt;=300,"Intermedio (70-300 km)","Profundo (&gt;300 km)"))</x:f>
        <x:v>Superficial (&lt;70 km)</x:v>
      </x:c>
      <x:c r="M2226" s="25" t="str">
        <x:f>IF(J2226&gt;=5,"Sí","No")</x:f>
        <x:v>No</x:v>
      </x:c>
      <x:c r="N2226" s="25" t="str">
        <x:f>IF(J2226&gt;=6,"Sí","No")</x:f>
        <x:v>No</x:v>
      </x:c>
      <x:c r="O2226" s="25" t="str">
        <x:v>Pendiente: asignar con R/sf</x:v>
      </x:c>
    </x:row>
    <x:row r="2227">
      <x:c r="A2227" s="25" t="n">
        <x:v>2226</x:v>
      </x:c>
      <x:c r="B2227" s="26" t="n">
        <x:v>42279.682488425926</x:v>
      </x:c>
      <x:c r="C2227" s="27" t="n">
        <x:f>INT(B2227)</x:f>
        <x:v>42279</x:v>
      </x:c>
      <x:c r="D2227" s="28" t="n">
        <x:f>MOD(B2227,1)</x:f>
        <x:v>0.6824884259258397</x:v>
      </x:c>
      <x:c r="E2227" s="29" t="n">
        <x:f>YEAR(B2227)</x:f>
        <x:v>2015</x:v>
      </x:c>
      <x:c r="F2227" s="29" t="n">
        <x:f>MONTH(B2227)</x:f>
        <x:v>10</x:v>
      </x:c>
      <x:c r="G2227" s="30" t="n">
        <x:v>-30.58</x:v>
      </x:c>
      <x:c r="H2227" s="30" t="n">
        <x:v>-71.6</x:v>
      </x:c>
      <x:c r="I2227" s="29" t="n">
        <x:v>32</x:v>
      </x:c>
      <x:c r="J2227" s="31" t="n">
        <x:v>4.9</x:v>
      </x:c>
      <x:c r="K2227" s="25" t="str">
        <x:f>IF(J2227&gt;=7,"Muy fuerte (&gt;=7)",IF(J2227&gt;=6,"Fuerte (6-6.9)",IF(J2227&gt;=5,"Moderado alto (5-5.9)",IF(J2227&gt;=4,"Moderado (4-4.9)","Menor a 4"))))</x:f>
        <x:v>Moderado (4-4.9)</x:v>
      </x:c>
      <x:c r="L2227" s="25" t="str">
        <x:f>IF(I2227&lt;70,"Superficial (&lt;70 km)",IF(I2227&lt;=300,"Intermedio (70-300 km)","Profundo (&gt;300 km)"))</x:f>
        <x:v>Superficial (&lt;70 km)</x:v>
      </x:c>
      <x:c r="M2227" s="25" t="str">
        <x:f>IF(J2227&gt;=5,"Sí","No")</x:f>
        <x:v>No</x:v>
      </x:c>
      <x:c r="N2227" s="25" t="str">
        <x:f>IF(J2227&gt;=6,"Sí","No")</x:f>
        <x:v>No</x:v>
      </x:c>
      <x:c r="O2227" s="25" t="str">
        <x:v>Pendiente: asignar con R/sf</x:v>
      </x:c>
    </x:row>
    <x:row r="2228">
      <x:c r="A2228" s="25" t="n">
        <x:v>2227</x:v>
      </x:c>
      <x:c r="B2228" s="26" t="n">
        <x:v>42063.15662037037</x:v>
      </x:c>
      <x:c r="C2228" s="27" t="n">
        <x:f>INT(B2228)</x:f>
        <x:v>42063</x:v>
      </x:c>
      <x:c r="D2228" s="28" t="n">
        <x:f>MOD(B2228,1)</x:f>
        <x:v>0.15662037036963739</x:v>
      </x:c>
      <x:c r="E2228" s="29" t="n">
        <x:f>YEAR(B2228)</x:f>
        <x:v>2015</x:v>
      </x:c>
      <x:c r="F2228" s="29" t="n">
        <x:f>MONTH(B2228)</x:f>
        <x:v>2</x:v>
      </x:c>
      <x:c r="G2228" s="30" t="n">
        <x:v>-36.88</x:v>
      </x:c>
      <x:c r="H2228" s="30" t="n">
        <x:v>-72.99</x:v>
      </x:c>
      <x:c r="I2228" s="29" t="n">
        <x:v>35</x:v>
      </x:c>
      <x:c r="J2228" s="31" t="n">
        <x:v>5.1</x:v>
      </x:c>
      <x:c r="K2228" s="25" t="str">
        <x:f>IF(J2228&gt;=7,"Muy fuerte (&gt;=7)",IF(J2228&gt;=6,"Fuerte (6-6.9)",IF(J2228&gt;=5,"Moderado alto (5-5.9)",IF(J2228&gt;=4,"Moderado (4-4.9)","Menor a 4"))))</x:f>
        <x:v>Moderado alto (5-5.9)</x:v>
      </x:c>
      <x:c r="L2228" s="25" t="str">
        <x:f>IF(I2228&lt;70,"Superficial (&lt;70 km)",IF(I2228&lt;=300,"Intermedio (70-300 km)","Profundo (&gt;300 km)"))</x:f>
        <x:v>Superficial (&lt;70 km)</x:v>
      </x:c>
      <x:c r="M2228" s="25" t="str">
        <x:f>IF(J2228&gt;=5,"Sí","No")</x:f>
        <x:v>Sí</x:v>
      </x:c>
      <x:c r="N2228" s="25" t="str">
        <x:f>IF(J2228&gt;=6,"Sí","No")</x:f>
        <x:v>No</x:v>
      </x:c>
      <x:c r="O2228" s="25" t="str">
        <x:v>Pendiente: asignar con R/sf</x:v>
      </x:c>
    </x:row>
    <x:row r="2229">
      <x:c r="A2229" s="25" t="n">
        <x:v>2228</x:v>
      </x:c>
      <x:c r="B2229" s="26" t="n">
        <x:v>42339.60372685185</x:v>
      </x:c>
      <x:c r="C2229" s="27" t="n">
        <x:f>INT(B2229)</x:f>
        <x:v>42339</x:v>
      </x:c>
      <x:c r="D2229" s="28" t="n">
        <x:f>MOD(B2229,1)</x:f>
        <x:v>0.603726851848478</x:v>
      </x:c>
      <x:c r="E2229" s="29" t="n">
        <x:f>YEAR(B2229)</x:f>
        <x:v>2015</x:v>
      </x:c>
      <x:c r="F2229" s="29" t="n">
        <x:f>MONTH(B2229)</x:f>
        <x:v>12</x:v>
      </x:c>
      <x:c r="G2229" s="30" t="n">
        <x:v>-30.65</x:v>
      </x:c>
      <x:c r="H2229" s="30" t="n">
        <x:v>-71.54</x:v>
      </x:c>
      <x:c r="I2229" s="29" t="n">
        <x:v>44</x:v>
      </x:c>
      <x:c r="J2229" s="31" t="n">
        <x:v>4</x:v>
      </x:c>
      <x:c r="K2229" s="25" t="str">
        <x:f>IF(J2229&gt;=7,"Muy fuerte (&gt;=7)",IF(J2229&gt;=6,"Fuerte (6-6.9)",IF(J2229&gt;=5,"Moderado alto (5-5.9)",IF(J2229&gt;=4,"Moderado (4-4.9)","Menor a 4"))))</x:f>
        <x:v>Moderado (4-4.9)</x:v>
      </x:c>
      <x:c r="L2229" s="25" t="str">
        <x:f>IF(I2229&lt;70,"Superficial (&lt;70 km)",IF(I2229&lt;=300,"Intermedio (70-300 km)","Profundo (&gt;300 km)"))</x:f>
        <x:v>Superficial (&lt;70 km)</x:v>
      </x:c>
      <x:c r="M2229" s="25" t="str">
        <x:f>IF(J2229&gt;=5,"Sí","No")</x:f>
        <x:v>No</x:v>
      </x:c>
      <x:c r="N2229" s="25" t="str">
        <x:f>IF(J2229&gt;=6,"Sí","No")</x:f>
        <x:v>No</x:v>
      </x:c>
      <x:c r="O2229" s="25" t="str">
        <x:v>Pendiente: asignar con R/sf</x:v>
      </x:c>
    </x:row>
    <x:row r="2230">
      <x:c r="A2230" s="25" t="n">
        <x:v>2229</x:v>
      </x:c>
      <x:c r="B2230" s="26" t="n">
        <x:v>42300.07842592592</x:v>
      </x:c>
      <x:c r="C2230" s="27" t="n">
        <x:f>INT(B2230)</x:f>
        <x:v>42300</x:v>
      </x:c>
      <x:c r="D2230" s="28" t="n">
        <x:f>MOD(B2230,1)</x:f>
        <x:v>0.07842592592351139</x:v>
      </x:c>
      <x:c r="E2230" s="29" t="n">
        <x:f>YEAR(B2230)</x:f>
        <x:v>2015</x:v>
      </x:c>
      <x:c r="F2230" s="29" t="n">
        <x:f>MONTH(B2230)</x:f>
        <x:v>10</x:v>
      </x:c>
      <x:c r="G2230" s="30" t="n">
        <x:v>-32.51</x:v>
      </x:c>
      <x:c r="H2230" s="30" t="n">
        <x:v>-71.72</x:v>
      </x:c>
      <x:c r="I2230" s="29" t="n">
        <x:v>33</x:v>
      </x:c>
      <x:c r="J2230" s="31" t="n">
        <x:v>4.2</x:v>
      </x:c>
      <x:c r="K2230" s="25" t="str">
        <x:f>IF(J2230&gt;=7,"Muy fuerte (&gt;=7)",IF(J2230&gt;=6,"Fuerte (6-6.9)",IF(J2230&gt;=5,"Moderado alto (5-5.9)",IF(J2230&gt;=4,"Moderado (4-4.9)","Menor a 4"))))</x:f>
        <x:v>Moderado (4-4.9)</x:v>
      </x:c>
      <x:c r="L2230" s="25" t="str">
        <x:f>IF(I2230&lt;70,"Superficial (&lt;70 km)",IF(I2230&lt;=300,"Intermedio (70-300 km)","Profundo (&gt;300 km)"))</x:f>
        <x:v>Superficial (&lt;70 km)</x:v>
      </x:c>
      <x:c r="M2230" s="25" t="str">
        <x:f>IF(J2230&gt;=5,"Sí","No")</x:f>
        <x:v>No</x:v>
      </x:c>
      <x:c r="N2230" s="25" t="str">
        <x:f>IF(J2230&gt;=6,"Sí","No")</x:f>
        <x:v>No</x:v>
      </x:c>
      <x:c r="O2230" s="25" t="str">
        <x:v>Pendiente: asignar con R/sf</x:v>
      </x:c>
    </x:row>
    <x:row r="2231">
      <x:c r="A2231" s="25" t="n">
        <x:v>2230</x:v>
      </x:c>
      <x:c r="B2231" s="26" t="n">
        <x:v>42266.268900462965</x:v>
      </x:c>
      <x:c r="C2231" s="27" t="n">
        <x:f>INT(B2231)</x:f>
        <x:v>42266</x:v>
      </x:c>
      <x:c r="D2231" s="28" t="n">
        <x:f>MOD(B2231,1)</x:f>
        <x:v>0.2689004629646661</x:v>
      </x:c>
      <x:c r="E2231" s="29" t="n">
        <x:f>YEAR(B2231)</x:f>
        <x:v>2015</x:v>
      </x:c>
      <x:c r="F2231" s="29" t="n">
        <x:f>MONTH(B2231)</x:f>
        <x:v>9</x:v>
      </x:c>
      <x:c r="G2231" s="30" t="n">
        <x:v>-28.85</x:v>
      </x:c>
      <x:c r="H2231" s="30" t="n">
        <x:v>-71.31</x:v>
      </x:c>
      <x:c r="I2231" s="29" t="n">
        <x:v>45</x:v>
      </x:c>
      <x:c r="J2231" s="31" t="n">
        <x:v>4.9</x:v>
      </x:c>
      <x:c r="K2231" s="25" t="str">
        <x:f>IF(J2231&gt;=7,"Muy fuerte (&gt;=7)",IF(J2231&gt;=6,"Fuerte (6-6.9)",IF(J2231&gt;=5,"Moderado alto (5-5.9)",IF(J2231&gt;=4,"Moderado (4-4.9)","Menor a 4"))))</x:f>
        <x:v>Moderado (4-4.9)</x:v>
      </x:c>
      <x:c r="L2231" s="25" t="str">
        <x:f>IF(I2231&lt;70,"Superficial (&lt;70 km)",IF(I2231&lt;=300,"Intermedio (70-300 km)","Profundo (&gt;300 km)"))</x:f>
        <x:v>Superficial (&lt;70 km)</x:v>
      </x:c>
      <x:c r="M2231" s="25" t="str">
        <x:f>IF(J2231&gt;=5,"Sí","No")</x:f>
        <x:v>No</x:v>
      </x:c>
      <x:c r="N2231" s="25" t="str">
        <x:f>IF(J2231&gt;=6,"Sí","No")</x:f>
        <x:v>No</x:v>
      </x:c>
      <x:c r="O2231" s="25" t="str">
        <x:v>Pendiente: asignar con R/sf</x:v>
      </x:c>
    </x:row>
    <x:row r="2232">
      <x:c r="A2232" s="25" t="n">
        <x:v>2231</x:v>
      </x:c>
      <x:c r="B2232" s="26" t="n">
        <x:v>42058.60849537037</x:v>
      </x:c>
      <x:c r="C2232" s="27" t="n">
        <x:f>INT(B2232)</x:f>
        <x:v>42058</x:v>
      </x:c>
      <x:c r="D2232" s="28" t="n">
        <x:f>MOD(B2232,1)</x:f>
        <x:v>0.6084953703684732</x:v>
      </x:c>
      <x:c r="E2232" s="29" t="n">
        <x:f>YEAR(B2232)</x:f>
        <x:v>2015</x:v>
      </x:c>
      <x:c r="F2232" s="29" t="n">
        <x:f>MONTH(B2232)</x:f>
        <x:v>2</x:v>
      </x:c>
      <x:c r="G2232" s="30" t="n">
        <x:v>-29.16</x:v>
      </x:c>
      <x:c r="H2232" s="30" t="n">
        <x:v>-70.68</x:v>
      </x:c>
      <x:c r="I2232" s="29" t="n">
        <x:v>85</x:v>
      </x:c>
      <x:c r="J2232" s="31" t="n">
        <x:v>4.2</x:v>
      </x:c>
      <x:c r="K2232" s="25" t="str">
        <x:f>IF(J2232&gt;=7,"Muy fuerte (&gt;=7)",IF(J2232&gt;=6,"Fuerte (6-6.9)",IF(J2232&gt;=5,"Moderado alto (5-5.9)",IF(J2232&gt;=4,"Moderado (4-4.9)","Menor a 4"))))</x:f>
        <x:v>Moderado (4-4.9)</x:v>
      </x:c>
      <x:c r="L2232" s="25" t="str">
        <x:f>IF(I2232&lt;70,"Superficial (&lt;70 km)",IF(I2232&lt;=300,"Intermedio (70-300 km)","Profundo (&gt;300 km)"))</x:f>
        <x:v>Intermedio (70-300 km)</x:v>
      </x:c>
      <x:c r="M2232" s="25" t="str">
        <x:f>IF(J2232&gt;=5,"Sí","No")</x:f>
        <x:v>No</x:v>
      </x:c>
      <x:c r="N2232" s="25" t="str">
        <x:f>IF(J2232&gt;=6,"Sí","No")</x:f>
        <x:v>No</x:v>
      </x:c>
      <x:c r="O2232" s="25" t="str">
        <x:v>Pendiente: asignar con R/sf</x:v>
      </x:c>
    </x:row>
    <x:row r="2233">
      <x:c r="A2233" s="25" t="n">
        <x:v>2232</x:v>
      </x:c>
      <x:c r="B2233" s="26" t="n">
        <x:v>42046.71340277778</x:v>
      </x:c>
      <x:c r="C2233" s="27" t="n">
        <x:f>INT(B2233)</x:f>
        <x:v>42046</x:v>
      </x:c>
      <x:c r="D2233" s="28" t="n">
        <x:f>MOD(B2233,1)</x:f>
        <x:v>0.7134027777792653</x:v>
      </x:c>
      <x:c r="E2233" s="29" t="n">
        <x:f>YEAR(B2233)</x:f>
        <x:v>2015</x:v>
      </x:c>
      <x:c r="F2233" s="29" t="n">
        <x:f>MONTH(B2233)</x:f>
        <x:v>2</x:v>
      </x:c>
      <x:c r="G2233" s="30" t="n">
        <x:v>-30.21</x:v>
      </x:c>
      <x:c r="H2233" s="30" t="n">
        <x:v>-71.32</x:v>
      </x:c>
      <x:c r="I2233" s="29" t="n">
        <x:v>68</x:v>
      </x:c>
      <x:c r="J2233" s="31" t="n">
        <x:v>5</x:v>
      </x:c>
      <x:c r="K2233" s="25" t="str">
        <x:f>IF(J2233&gt;=7,"Muy fuerte (&gt;=7)",IF(J2233&gt;=6,"Fuerte (6-6.9)",IF(J2233&gt;=5,"Moderado alto (5-5.9)",IF(J2233&gt;=4,"Moderado (4-4.9)","Menor a 4"))))</x:f>
        <x:v>Moderado alto (5-5.9)</x:v>
      </x:c>
      <x:c r="L2233" s="25" t="str">
        <x:f>IF(I2233&lt;70,"Superficial (&lt;70 km)",IF(I2233&lt;=300,"Intermedio (70-300 km)","Profundo (&gt;300 km)"))</x:f>
        <x:v>Superficial (&lt;70 km)</x:v>
      </x:c>
      <x:c r="M2233" s="25" t="str">
        <x:f>IF(J2233&gt;=5,"Sí","No")</x:f>
        <x:v>Sí</x:v>
      </x:c>
      <x:c r="N2233" s="25" t="str">
        <x:f>IF(J2233&gt;=6,"Sí","No")</x:f>
        <x:v>No</x:v>
      </x:c>
      <x:c r="O2233" s="25" t="str">
        <x:v>Pendiente: asignar con R/sf</x:v>
      </x:c>
    </x:row>
    <x:row r="2234">
      <x:c r="A2234" s="25" t="n">
        <x:v>2233</x:v>
      </x:c>
      <x:c r="B2234" s="26" t="n">
        <x:v>42275.69737268519</x:v>
      </x:c>
      <x:c r="C2234" s="27" t="n">
        <x:f>INT(B2234)</x:f>
        <x:v>42275</x:v>
      </x:c>
      <x:c r="D2234" s="28" t="n">
        <x:f>MOD(B2234,1)</x:f>
        <x:v>0.6973726851865649</x:v>
      </x:c>
      <x:c r="E2234" s="29" t="n">
        <x:f>YEAR(B2234)</x:f>
        <x:v>2015</x:v>
      </x:c>
      <x:c r="F2234" s="29" t="n">
        <x:f>MONTH(B2234)</x:f>
        <x:v>9</x:v>
      </x:c>
      <x:c r="G2234" s="30" t="n">
        <x:v>-30.98</x:v>
      </x:c>
      <x:c r="H2234" s="30" t="n">
        <x:v>-71.32</x:v>
      </x:c>
      <x:c r="I2234" s="29" t="n">
        <x:v>48</x:v>
      </x:c>
      <x:c r="J2234" s="31" t="n">
        <x:v>4.1</x:v>
      </x:c>
      <x:c r="K2234" s="25" t="str">
        <x:f>IF(J2234&gt;=7,"Muy fuerte (&gt;=7)",IF(J2234&gt;=6,"Fuerte (6-6.9)",IF(J2234&gt;=5,"Moderado alto (5-5.9)",IF(J2234&gt;=4,"Moderado (4-4.9)","Menor a 4"))))</x:f>
        <x:v>Moderado (4-4.9)</x:v>
      </x:c>
      <x:c r="L2234" s="25" t="str">
        <x:f>IF(I2234&lt;70,"Superficial (&lt;70 km)",IF(I2234&lt;=300,"Intermedio (70-300 km)","Profundo (&gt;300 km)"))</x:f>
        <x:v>Superficial (&lt;70 km)</x:v>
      </x:c>
      <x:c r="M2234" s="25" t="str">
        <x:f>IF(J2234&gt;=5,"Sí","No")</x:f>
        <x:v>No</x:v>
      </x:c>
      <x:c r="N2234" s="25" t="str">
        <x:f>IF(J2234&gt;=6,"Sí","No")</x:f>
        <x:v>No</x:v>
      </x:c>
      <x:c r="O2234" s="25" t="str">
        <x:v>Pendiente: asignar con R/sf</x:v>
      </x:c>
    </x:row>
    <x:row r="2235">
      <x:c r="A2235" s="25" t="n">
        <x:v>2234</x:v>
      </x:c>
      <x:c r="B2235" s="26" t="n">
        <x:v>42299.00202546296</x:v>
      </x:c>
      <x:c r="C2235" s="27" t="n">
        <x:f>INT(B2235)</x:f>
        <x:v>42299</x:v>
      </x:c>
      <x:c r="D2235" s="28" t="n">
        <x:f>MOD(B2235,1)</x:f>
        <x:v>0.002025462963501923</x:v>
      </x:c>
      <x:c r="E2235" s="29" t="n">
        <x:f>YEAR(B2235)</x:f>
        <x:v>2015</x:v>
      </x:c>
      <x:c r="F2235" s="29" t="n">
        <x:f>MONTH(B2235)</x:f>
        <x:v>10</x:v>
      </x:c>
      <x:c r="G2235" s="30" t="n">
        <x:v>-30.32</x:v>
      </x:c>
      <x:c r="H2235" s="30" t="n">
        <x:v>-71.66</x:v>
      </x:c>
      <x:c r="I2235" s="29" t="n">
        <x:v>35</x:v>
      </x:c>
      <x:c r="J2235" s="31" t="n">
        <x:v>4.5</x:v>
      </x:c>
      <x:c r="K2235" s="25" t="str">
        <x:f>IF(J2235&gt;=7,"Muy fuerte (&gt;=7)",IF(J2235&gt;=6,"Fuerte (6-6.9)",IF(J2235&gt;=5,"Moderado alto (5-5.9)",IF(J2235&gt;=4,"Moderado (4-4.9)","Menor a 4"))))</x:f>
        <x:v>Moderado (4-4.9)</x:v>
      </x:c>
      <x:c r="L2235" s="25" t="str">
        <x:f>IF(I2235&lt;70,"Superficial (&lt;70 km)",IF(I2235&lt;=300,"Intermedio (70-300 km)","Profundo (&gt;300 km)"))</x:f>
        <x:v>Superficial (&lt;70 km)</x:v>
      </x:c>
      <x:c r="M2235" s="25" t="str">
        <x:f>IF(J2235&gt;=5,"Sí","No")</x:f>
        <x:v>No</x:v>
      </x:c>
      <x:c r="N2235" s="25" t="str">
        <x:f>IF(J2235&gt;=6,"Sí","No")</x:f>
        <x:v>No</x:v>
      </x:c>
      <x:c r="O2235" s="25" t="str">
        <x:v>Pendiente: asignar con R/sf</x:v>
      </x:c>
    </x:row>
    <x:row r="2236">
      <x:c r="A2236" s="25" t="n">
        <x:v>2235</x:v>
      </x:c>
      <x:c r="B2236" s="26" t="n">
        <x:v>42249.015706018516</x:v>
      </x:c>
      <x:c r="C2236" s="27" t="n">
        <x:f>INT(B2236)</x:f>
        <x:v>42249</x:v>
      </x:c>
      <x:c r="D2236" s="28" t="n">
        <x:f>MOD(B2236,1)</x:f>
        <x:v>0.015706018515629694</x:v>
      </x:c>
      <x:c r="E2236" s="29" t="n">
        <x:f>YEAR(B2236)</x:f>
        <x:v>2015</x:v>
      </x:c>
      <x:c r="F2236" s="29" t="n">
        <x:f>MONTH(B2236)</x:f>
        <x:v>9</x:v>
      </x:c>
      <x:c r="G2236" s="30" t="n">
        <x:v>-33.72</x:v>
      </x:c>
      <x:c r="H2236" s="30" t="n">
        <x:v>-72.3</x:v>
      </x:c>
      <x:c r="I2236" s="29" t="n">
        <x:v>39</x:v>
      </x:c>
      <x:c r="J2236" s="31" t="n">
        <x:v>4.5</x:v>
      </x:c>
      <x:c r="K2236" s="25" t="str">
        <x:f>IF(J2236&gt;=7,"Muy fuerte (&gt;=7)",IF(J2236&gt;=6,"Fuerte (6-6.9)",IF(J2236&gt;=5,"Moderado alto (5-5.9)",IF(J2236&gt;=4,"Moderado (4-4.9)","Menor a 4"))))</x:f>
        <x:v>Moderado (4-4.9)</x:v>
      </x:c>
      <x:c r="L2236" s="25" t="str">
        <x:f>IF(I2236&lt;70,"Superficial (&lt;70 km)",IF(I2236&lt;=300,"Intermedio (70-300 km)","Profundo (&gt;300 km)"))</x:f>
        <x:v>Superficial (&lt;70 km)</x:v>
      </x:c>
      <x:c r="M2236" s="25" t="str">
        <x:f>IF(J2236&gt;=5,"Sí","No")</x:f>
        <x:v>No</x:v>
      </x:c>
      <x:c r="N2236" s="25" t="str">
        <x:f>IF(J2236&gt;=6,"Sí","No")</x:f>
        <x:v>No</x:v>
      </x:c>
      <x:c r="O2236" s="25" t="str">
        <x:v>Pendiente: asignar con R/sf</x:v>
      </x:c>
    </x:row>
    <x:row r="2237">
      <x:c r="A2237" s="25" t="n">
        <x:v>2236</x:v>
      </x:c>
      <x:c r="B2237" s="26" t="n">
        <x:v>42293.53413194444</x:v>
      </x:c>
      <x:c r="C2237" s="27" t="n">
        <x:f>INT(B2237)</x:f>
        <x:v>42293</x:v>
      </x:c>
      <x:c r="D2237" s="28" t="n">
        <x:f>MOD(B2237,1)</x:f>
        <x:v>0.5341319444414694</x:v>
      </x:c>
      <x:c r="E2237" s="29" t="n">
        <x:f>YEAR(B2237)</x:f>
        <x:v>2015</x:v>
      </x:c>
      <x:c r="F2237" s="29" t="n">
        <x:f>MONTH(B2237)</x:f>
        <x:v>10</x:v>
      </x:c>
      <x:c r="G2237" s="30" t="n">
        <x:v>-31.46</x:v>
      </x:c>
      <x:c r="H2237" s="30" t="n">
        <x:v>-71.72</x:v>
      </x:c>
      <x:c r="I2237" s="29" t="n">
        <x:v>37</x:v>
      </x:c>
      <x:c r="J2237" s="31" t="n">
        <x:v>4.3</x:v>
      </x:c>
      <x:c r="K2237" s="25" t="str">
        <x:f>IF(J2237&gt;=7,"Muy fuerte (&gt;=7)",IF(J2237&gt;=6,"Fuerte (6-6.9)",IF(J2237&gt;=5,"Moderado alto (5-5.9)",IF(J2237&gt;=4,"Moderado (4-4.9)","Menor a 4"))))</x:f>
        <x:v>Moderado (4-4.9)</x:v>
      </x:c>
      <x:c r="L2237" s="25" t="str">
        <x:f>IF(I2237&lt;70,"Superficial (&lt;70 km)",IF(I2237&lt;=300,"Intermedio (70-300 km)","Profundo (&gt;300 km)"))</x:f>
        <x:v>Superficial (&lt;70 km)</x:v>
      </x:c>
      <x:c r="M2237" s="25" t="str">
        <x:f>IF(J2237&gt;=5,"Sí","No")</x:f>
        <x:v>No</x:v>
      </x:c>
      <x:c r="N2237" s="25" t="str">
        <x:f>IF(J2237&gt;=6,"Sí","No")</x:f>
        <x:v>No</x:v>
      </x:c>
      <x:c r="O2237" s="25" t="str">
        <x:v>Pendiente: asignar con R/sf</x:v>
      </x:c>
    </x:row>
    <x:row r="2238">
      <x:c r="A2238" s="25" t="n">
        <x:v>2237</x:v>
      </x:c>
      <x:c r="B2238" s="26" t="n">
        <x:v>42326.25922453704</x:v>
      </x:c>
      <x:c r="C2238" s="27" t="n">
        <x:f>INT(B2238)</x:f>
        <x:v>42326</x:v>
      </x:c>
      <x:c r="D2238" s="28" t="n">
        <x:f>MOD(B2238,1)</x:f>
        <x:v>0.2592245370396995</x:v>
      </x:c>
      <x:c r="E2238" s="29" t="n">
        <x:f>YEAR(B2238)</x:f>
        <x:v>2015</x:v>
      </x:c>
      <x:c r="F2238" s="29" t="n">
        <x:f>MONTH(B2238)</x:f>
        <x:v>11</x:v>
      </x:c>
      <x:c r="G2238" s="30" t="n">
        <x:v>-19.34</x:v>
      </x:c>
      <x:c r="H2238" s="30" t="n">
        <x:v>-69.39</x:v>
      </x:c>
      <x:c r="I2238" s="29" t="n">
        <x:v>108</x:v>
      </x:c>
      <x:c r="J2238" s="31" t="n">
        <x:v>4.6</x:v>
      </x:c>
      <x:c r="K2238" s="25" t="str">
        <x:f>IF(J2238&gt;=7,"Muy fuerte (&gt;=7)",IF(J2238&gt;=6,"Fuerte (6-6.9)",IF(J2238&gt;=5,"Moderado alto (5-5.9)",IF(J2238&gt;=4,"Moderado (4-4.9)","Menor a 4"))))</x:f>
        <x:v>Moderado (4-4.9)</x:v>
      </x:c>
      <x:c r="L2238" s="25" t="str">
        <x:f>IF(I2238&lt;70,"Superficial (&lt;70 km)",IF(I2238&lt;=300,"Intermedio (70-300 km)","Profundo (&gt;300 km)"))</x:f>
        <x:v>Intermedio (70-300 km)</x:v>
      </x:c>
      <x:c r="M2238" s="25" t="str">
        <x:f>IF(J2238&gt;=5,"Sí","No")</x:f>
        <x:v>No</x:v>
      </x:c>
      <x:c r="N2238" s="25" t="str">
        <x:f>IF(J2238&gt;=6,"Sí","No")</x:f>
        <x:v>No</x:v>
      </x:c>
      <x:c r="O2238" s="25" t="str">
        <x:v>Pendiente: asignar con R/sf</x:v>
      </x:c>
    </x:row>
    <x:row r="2239">
      <x:c r="A2239" s="25" t="n">
        <x:v>2238</x:v>
      </x:c>
      <x:c r="B2239" s="26" t="n">
        <x:v>42297.16767361111</x:v>
      </x:c>
      <x:c r="C2239" s="27" t="n">
        <x:f>INT(B2239)</x:f>
        <x:v>42297</x:v>
      </x:c>
      <x:c r="D2239" s="28" t="n">
        <x:f>MOD(B2239,1)</x:f>
        <x:v>0.16767361111124046</x:v>
      </x:c>
      <x:c r="E2239" s="29" t="n">
        <x:f>YEAR(B2239)</x:f>
        <x:v>2015</x:v>
      </x:c>
      <x:c r="F2239" s="29" t="n">
        <x:f>MONTH(B2239)</x:f>
        <x:v>10</x:v>
      </x:c>
      <x:c r="G2239" s="30" t="n">
        <x:v>-29.98</x:v>
      </x:c>
      <x:c r="H2239" s="30" t="n">
        <x:v>-71.02</x:v>
      </x:c>
      <x:c r="I2239" s="29" t="n">
        <x:v>85</x:v>
      </x:c>
      <x:c r="J2239" s="31" t="n">
        <x:v>4</x:v>
      </x:c>
      <x:c r="K2239" s="25" t="str">
        <x:f>IF(J2239&gt;=7,"Muy fuerte (&gt;=7)",IF(J2239&gt;=6,"Fuerte (6-6.9)",IF(J2239&gt;=5,"Moderado alto (5-5.9)",IF(J2239&gt;=4,"Moderado (4-4.9)","Menor a 4"))))</x:f>
        <x:v>Moderado (4-4.9)</x:v>
      </x:c>
      <x:c r="L2239" s="25" t="str">
        <x:f>IF(I2239&lt;70,"Superficial (&lt;70 km)",IF(I2239&lt;=300,"Intermedio (70-300 km)","Profundo (&gt;300 km)"))</x:f>
        <x:v>Intermedio (70-300 km)</x:v>
      </x:c>
      <x:c r="M2239" s="25" t="str">
        <x:f>IF(J2239&gt;=5,"Sí","No")</x:f>
        <x:v>No</x:v>
      </x:c>
      <x:c r="N2239" s="25" t="str">
        <x:f>IF(J2239&gt;=6,"Sí","No")</x:f>
        <x:v>No</x:v>
      </x:c>
      <x:c r="O2239" s="25" t="str">
        <x:v>Pendiente: asignar con R/sf</x:v>
      </x:c>
    </x:row>
    <x:row r="2240">
      <x:c r="A2240" s="25" t="n">
        <x:v>2239</x:v>
      </x:c>
      <x:c r="B2240" s="26" t="n">
        <x:v>42022.166655092595</x:v>
      </x:c>
      <x:c r="C2240" s="27" t="n">
        <x:f>INT(B2240)</x:f>
        <x:v>42022</x:v>
      </x:c>
      <x:c r="D2240" s="28" t="n">
        <x:f>MOD(B2240,1)</x:f>
        <x:v>0.16665509259473765</x:v>
      </x:c>
      <x:c r="E2240" s="29" t="n">
        <x:f>YEAR(B2240)</x:f>
        <x:v>2015</x:v>
      </x:c>
      <x:c r="F2240" s="29" t="n">
        <x:f>MONTH(B2240)</x:f>
        <x:v>1</x:v>
      </x:c>
      <x:c r="G2240" s="30" t="n">
        <x:v>-32.7</x:v>
      </x:c>
      <x:c r="H2240" s="30" t="n">
        <x:v>-71.7</x:v>
      </x:c>
      <x:c r="I2240" s="29" t="n">
        <x:v>26</x:v>
      </x:c>
      <x:c r="J2240" s="31" t="n">
        <x:v>4.9</x:v>
      </x:c>
      <x:c r="K2240" s="25" t="str">
        <x:f>IF(J2240&gt;=7,"Muy fuerte (&gt;=7)",IF(J2240&gt;=6,"Fuerte (6-6.9)",IF(J2240&gt;=5,"Moderado alto (5-5.9)",IF(J2240&gt;=4,"Moderado (4-4.9)","Menor a 4"))))</x:f>
        <x:v>Moderado (4-4.9)</x:v>
      </x:c>
      <x:c r="L2240" s="25" t="str">
        <x:f>IF(I2240&lt;70,"Superficial (&lt;70 km)",IF(I2240&lt;=300,"Intermedio (70-300 km)","Profundo (&gt;300 km)"))</x:f>
        <x:v>Superficial (&lt;70 km)</x:v>
      </x:c>
      <x:c r="M2240" s="25" t="str">
        <x:f>IF(J2240&gt;=5,"Sí","No")</x:f>
        <x:v>No</x:v>
      </x:c>
      <x:c r="N2240" s="25" t="str">
        <x:f>IF(J2240&gt;=6,"Sí","No")</x:f>
        <x:v>No</x:v>
      </x:c>
      <x:c r="O2240" s="25" t="str">
        <x:v>Pendiente: asignar con R/sf</x:v>
      </x:c>
    </x:row>
    <x:row r="2241">
      <x:c r="A2241" s="25" t="n">
        <x:v>2240</x:v>
      </x:c>
      <x:c r="B2241" s="26" t="n">
        <x:v>42348.32642361111</x:v>
      </x:c>
      <x:c r="C2241" s="27" t="n">
        <x:f>INT(B2241)</x:f>
        <x:v>42348</x:v>
      </x:c>
      <x:c r="D2241" s="28" t="n">
        <x:f>MOD(B2241,1)</x:f>
        <x:v>0.32642361111356877</x:v>
      </x:c>
      <x:c r="E2241" s="29" t="n">
        <x:f>YEAR(B2241)</x:f>
        <x:v>2015</x:v>
      </x:c>
      <x:c r="F2241" s="29" t="n">
        <x:f>MONTH(B2241)</x:f>
        <x:v>12</x:v>
      </x:c>
      <x:c r="G2241" s="30" t="n">
        <x:v>-20.66</x:v>
      </x:c>
      <x:c r="H2241" s="30" t="n">
        <x:v>-69.19</x:v>
      </x:c>
      <x:c r="I2241" s="29" t="n">
        <x:v>105</x:v>
      </x:c>
      <x:c r="J2241" s="31" t="n">
        <x:v>4.2</x:v>
      </x:c>
      <x:c r="K2241" s="25" t="str">
        <x:f>IF(J2241&gt;=7,"Muy fuerte (&gt;=7)",IF(J2241&gt;=6,"Fuerte (6-6.9)",IF(J2241&gt;=5,"Moderado alto (5-5.9)",IF(J2241&gt;=4,"Moderado (4-4.9)","Menor a 4"))))</x:f>
        <x:v>Moderado (4-4.9)</x:v>
      </x:c>
      <x:c r="L2241" s="25" t="str">
        <x:f>IF(I2241&lt;70,"Superficial (&lt;70 km)",IF(I2241&lt;=300,"Intermedio (70-300 km)","Profundo (&gt;300 km)"))</x:f>
        <x:v>Intermedio (70-300 km)</x:v>
      </x:c>
      <x:c r="M2241" s="25" t="str">
        <x:f>IF(J2241&gt;=5,"Sí","No")</x:f>
        <x:v>No</x:v>
      </x:c>
      <x:c r="N2241" s="25" t="str">
        <x:f>IF(J2241&gt;=6,"Sí","No")</x:f>
        <x:v>No</x:v>
      </x:c>
      <x:c r="O2241" s="25" t="str">
        <x:v>Pendiente: asignar con R/sf</x:v>
      </x:c>
    </x:row>
    <x:row r="2242">
      <x:c r="A2242" s="25" t="n">
        <x:v>2241</x:v>
      </x:c>
      <x:c r="B2242" s="26" t="n">
        <x:v>42277.95815972222</x:v>
      </x:c>
      <x:c r="C2242" s="27" t="n">
        <x:f>INT(B2242)</x:f>
        <x:v>42277</x:v>
      </x:c>
      <x:c r="D2242" s="28" t="n">
        <x:f>MOD(B2242,1)</x:f>
        <x:v>0.9581597222204437</x:v>
      </x:c>
      <x:c r="E2242" s="29" t="n">
        <x:f>YEAR(B2242)</x:f>
        <x:v>2015</x:v>
      </x:c>
      <x:c r="F2242" s="29" t="n">
        <x:f>MONTH(B2242)</x:f>
        <x:v>9</x:v>
      </x:c>
      <x:c r="G2242" s="30" t="n">
        <x:v>-30.75</x:v>
      </x:c>
      <x:c r="H2242" s="30" t="n">
        <x:v>-71.41</x:v>
      </x:c>
      <x:c r="I2242" s="29" t="n">
        <x:v>48</x:v>
      </x:c>
      <x:c r="J2242" s="31" t="n">
        <x:v>4.6</x:v>
      </x:c>
      <x:c r="K2242" s="25" t="str">
        <x:f>IF(J2242&gt;=7,"Muy fuerte (&gt;=7)",IF(J2242&gt;=6,"Fuerte (6-6.9)",IF(J2242&gt;=5,"Moderado alto (5-5.9)",IF(J2242&gt;=4,"Moderado (4-4.9)","Menor a 4"))))</x:f>
        <x:v>Moderado (4-4.9)</x:v>
      </x:c>
      <x:c r="L2242" s="25" t="str">
        <x:f>IF(I2242&lt;70,"Superficial (&lt;70 km)",IF(I2242&lt;=300,"Intermedio (70-300 km)","Profundo (&gt;300 km)"))</x:f>
        <x:v>Superficial (&lt;70 km)</x:v>
      </x:c>
      <x:c r="M2242" s="25" t="str">
        <x:f>IF(J2242&gt;=5,"Sí","No")</x:f>
        <x:v>No</x:v>
      </x:c>
      <x:c r="N2242" s="25" t="str">
        <x:f>IF(J2242&gt;=6,"Sí","No")</x:f>
        <x:v>No</x:v>
      </x:c>
      <x:c r="O2242" s="25" t="str">
        <x:v>Pendiente: asignar con R/sf</x:v>
      </x:c>
    </x:row>
    <x:row r="2243">
      <x:c r="A2243" s="25" t="n">
        <x:v>2242</x:v>
      </x:c>
      <x:c r="B2243" s="26" t="n">
        <x:v>42266.19736111111</x:v>
      </x:c>
      <x:c r="C2243" s="27" t="n">
        <x:f>INT(B2243)</x:f>
        <x:v>42266</x:v>
      </x:c>
      <x:c r="D2243" s="28" t="n">
        <x:f>MOD(B2243,1)</x:f>
        <x:v>0.19736111110978527</x:v>
      </x:c>
      <x:c r="E2243" s="29" t="n">
        <x:f>YEAR(B2243)</x:f>
        <x:v>2015</x:v>
      </x:c>
      <x:c r="F2243" s="29" t="n">
        <x:f>MONTH(B2243)</x:f>
        <x:v>9</x:v>
      </x:c>
      <x:c r="G2243" s="30" t="n">
        <x:v>-30.82</x:v>
      </x:c>
      <x:c r="H2243" s="30" t="n">
        <x:v>-71.39</x:v>
      </x:c>
      <x:c r="I2243" s="29" t="n">
        <x:v>51</x:v>
      </x:c>
      <x:c r="J2243" s="31" t="n">
        <x:v>4.6</x:v>
      </x:c>
      <x:c r="K2243" s="25" t="str">
        <x:f>IF(J2243&gt;=7,"Muy fuerte (&gt;=7)",IF(J2243&gt;=6,"Fuerte (6-6.9)",IF(J2243&gt;=5,"Moderado alto (5-5.9)",IF(J2243&gt;=4,"Moderado (4-4.9)","Menor a 4"))))</x:f>
        <x:v>Moderado (4-4.9)</x:v>
      </x:c>
      <x:c r="L2243" s="25" t="str">
        <x:f>IF(I2243&lt;70,"Superficial (&lt;70 km)",IF(I2243&lt;=300,"Intermedio (70-300 km)","Profundo (&gt;300 km)"))</x:f>
        <x:v>Superficial (&lt;70 km)</x:v>
      </x:c>
      <x:c r="M2243" s="25" t="str">
        <x:f>IF(J2243&gt;=5,"Sí","No")</x:f>
        <x:v>No</x:v>
      </x:c>
      <x:c r="N2243" s="25" t="str">
        <x:f>IF(J2243&gt;=6,"Sí","No")</x:f>
        <x:v>No</x:v>
      </x:c>
      <x:c r="O2243" s="25" t="str">
        <x:v>Pendiente: asignar con R/sf</x:v>
      </x:c>
    </x:row>
    <x:row r="2244">
      <x:c r="A2244" s="25" t="n">
        <x:v>2243</x:v>
      </x:c>
      <x:c r="B2244" s="26" t="n">
        <x:v>42327.20995370371</x:v>
      </x:c>
      <x:c r="C2244" s="27" t="n">
        <x:f>INT(B2244)</x:f>
        <x:v>42327</x:v>
      </x:c>
      <x:c r="D2244" s="28" t="n">
        <x:f>MOD(B2244,1)</x:f>
        <x:v>0.2099537037065602</x:v>
      </x:c>
      <x:c r="E2244" s="29" t="n">
        <x:f>YEAR(B2244)</x:f>
        <x:v>2015</x:v>
      </x:c>
      <x:c r="F2244" s="29" t="n">
        <x:f>MONTH(B2244)</x:f>
        <x:v>11</x:v>
      </x:c>
      <x:c r="G2244" s="30" t="n">
        <x:v>-30.25</x:v>
      </x:c>
      <x:c r="H2244" s="30" t="n">
        <x:v>-71.78</x:v>
      </x:c>
      <x:c r="I2244" s="29" t="n">
        <x:v>5</x:v>
      </x:c>
      <x:c r="J2244" s="31" t="n">
        <x:v>4.2</x:v>
      </x:c>
      <x:c r="K2244" s="25" t="str">
        <x:f>IF(J2244&gt;=7,"Muy fuerte (&gt;=7)",IF(J2244&gt;=6,"Fuerte (6-6.9)",IF(J2244&gt;=5,"Moderado alto (5-5.9)",IF(J2244&gt;=4,"Moderado (4-4.9)","Menor a 4"))))</x:f>
        <x:v>Moderado (4-4.9)</x:v>
      </x:c>
      <x:c r="L2244" s="25" t="str">
        <x:f>IF(I2244&lt;70,"Superficial (&lt;70 km)",IF(I2244&lt;=300,"Intermedio (70-300 km)","Profundo (&gt;300 km)"))</x:f>
        <x:v>Superficial (&lt;70 km)</x:v>
      </x:c>
      <x:c r="M2244" s="25" t="str">
        <x:f>IF(J2244&gt;=5,"Sí","No")</x:f>
        <x:v>No</x:v>
      </x:c>
      <x:c r="N2244" s="25" t="str">
        <x:f>IF(J2244&gt;=6,"Sí","No")</x:f>
        <x:v>No</x:v>
      </x:c>
      <x:c r="O2244" s="25" t="str">
        <x:v>Pendiente: asignar con R/sf</x:v>
      </x:c>
    </x:row>
    <x:row r="2245">
      <x:c r="A2245" s="25" t="n">
        <x:v>2244</x:v>
      </x:c>
      <x:c r="B2245" s="26" t="n">
        <x:v>42261.25342592593</x:v>
      </x:c>
      <x:c r="C2245" s="27" t="n">
        <x:f>INT(B2245)</x:f>
        <x:v>42261</x:v>
      </x:c>
      <x:c r="D2245" s="28" t="n">
        <x:f>MOD(B2245,1)</x:f>
        <x:v>0.25342592592642177</x:v>
      </x:c>
      <x:c r="E2245" s="29" t="n">
        <x:f>YEAR(B2245)</x:f>
        <x:v>2015</x:v>
      </x:c>
      <x:c r="F2245" s="29" t="n">
        <x:f>MONTH(B2245)</x:f>
        <x:v>9</x:v>
      </x:c>
      <x:c r="G2245" s="30" t="n">
        <x:v>-25.04</x:v>
      </x:c>
      <x:c r="H2245" s="30" t="n">
        <x:v>-70.48</x:v>
      </x:c>
      <x:c r="I2245" s="29" t="n">
        <x:v>56</x:v>
      </x:c>
      <x:c r="J2245" s="31" t="n">
        <x:v>4.6</x:v>
      </x:c>
      <x:c r="K2245" s="25" t="str">
        <x:f>IF(J2245&gt;=7,"Muy fuerte (&gt;=7)",IF(J2245&gt;=6,"Fuerte (6-6.9)",IF(J2245&gt;=5,"Moderado alto (5-5.9)",IF(J2245&gt;=4,"Moderado (4-4.9)","Menor a 4"))))</x:f>
        <x:v>Moderado (4-4.9)</x:v>
      </x:c>
      <x:c r="L2245" s="25" t="str">
        <x:f>IF(I2245&lt;70,"Superficial (&lt;70 km)",IF(I2245&lt;=300,"Intermedio (70-300 km)","Profundo (&gt;300 km)"))</x:f>
        <x:v>Superficial (&lt;70 km)</x:v>
      </x:c>
      <x:c r="M2245" s="25" t="str">
        <x:f>IF(J2245&gt;=5,"Sí","No")</x:f>
        <x:v>No</x:v>
      </x:c>
      <x:c r="N2245" s="25" t="str">
        <x:f>IF(J2245&gt;=6,"Sí","No")</x:f>
        <x:v>No</x:v>
      </x:c>
      <x:c r="O2245" s="25" t="str">
        <x:v>Pendiente: asignar con R/sf</x:v>
      </x:c>
    </x:row>
    <x:row r="2246">
      <x:c r="A2246" s="25" t="n">
        <x:v>2245</x:v>
      </x:c>
      <x:c r="B2246" s="26" t="n">
        <x:v>42266.79796296296</x:v>
      </x:c>
      <x:c r="C2246" s="27" t="n">
        <x:f>INT(B2246)</x:f>
        <x:v>42266</x:v>
      </x:c>
      <x:c r="D2246" s="28" t="n">
        <x:f>MOD(B2246,1)</x:f>
        <x:v>0.7979629629626288</x:v>
      </x:c>
      <x:c r="E2246" s="29" t="n">
        <x:f>YEAR(B2246)</x:f>
        <x:v>2015</x:v>
      </x:c>
      <x:c r="F2246" s="29" t="n">
        <x:f>MONTH(B2246)</x:f>
        <x:v>9</x:v>
      </x:c>
      <x:c r="G2246" s="30" t="n">
        <x:v>-32.36</x:v>
      </x:c>
      <x:c r="H2246" s="30" t="n">
        <x:v>-71.78</x:v>
      </x:c>
      <x:c r="I2246" s="29" t="n">
        <x:v>37</x:v>
      </x:c>
      <x:c r="J2246" s="31" t="n">
        <x:v>4.6</x:v>
      </x:c>
      <x:c r="K2246" s="25" t="str">
        <x:f>IF(J2246&gt;=7,"Muy fuerte (&gt;=7)",IF(J2246&gt;=6,"Fuerte (6-6.9)",IF(J2246&gt;=5,"Moderado alto (5-5.9)",IF(J2246&gt;=4,"Moderado (4-4.9)","Menor a 4"))))</x:f>
        <x:v>Moderado (4-4.9)</x:v>
      </x:c>
      <x:c r="L2246" s="25" t="str">
        <x:f>IF(I2246&lt;70,"Superficial (&lt;70 km)",IF(I2246&lt;=300,"Intermedio (70-300 km)","Profundo (&gt;300 km)"))</x:f>
        <x:v>Superficial (&lt;70 km)</x:v>
      </x:c>
      <x:c r="M2246" s="25" t="str">
        <x:f>IF(J2246&gt;=5,"Sí","No")</x:f>
        <x:v>No</x:v>
      </x:c>
      <x:c r="N2246" s="25" t="str">
        <x:f>IF(J2246&gt;=6,"Sí","No")</x:f>
        <x:v>No</x:v>
      </x:c>
      <x:c r="O2246" s="25" t="str">
        <x:v>Pendiente: asignar con R/sf</x:v>
      </x:c>
    </x:row>
    <x:row r="2247">
      <x:c r="A2247" s="25" t="n">
        <x:v>2246</x:v>
      </x:c>
      <x:c r="B2247" s="26" t="n">
        <x:v>42015.46984953704</x:v>
      </x:c>
      <x:c r="C2247" s="27" t="n">
        <x:f>INT(B2247)</x:f>
        <x:v>42015</x:v>
      </x:c>
      <x:c r="D2247" s="28" t="n">
        <x:f>MOD(B2247,1)</x:f>
        <x:v>0.46984953703940846</x:v>
      </x:c>
      <x:c r="E2247" s="29" t="n">
        <x:f>YEAR(B2247)</x:f>
        <x:v>2015</x:v>
      </x:c>
      <x:c r="F2247" s="29" t="n">
        <x:f>MONTH(B2247)</x:f>
        <x:v>1</x:v>
      </x:c>
      <x:c r="G2247" s="30" t="n">
        <x:v>-31.45</x:v>
      </x:c>
      <x:c r="H2247" s="30" t="n">
        <x:v>-71.62</x:v>
      </x:c>
      <x:c r="I2247" s="29" t="n">
        <x:v>46</x:v>
      </x:c>
      <x:c r="J2247" s="31" t="n">
        <x:v>4</x:v>
      </x:c>
      <x:c r="K2247" s="25" t="str">
        <x:f>IF(J2247&gt;=7,"Muy fuerte (&gt;=7)",IF(J2247&gt;=6,"Fuerte (6-6.9)",IF(J2247&gt;=5,"Moderado alto (5-5.9)",IF(J2247&gt;=4,"Moderado (4-4.9)","Menor a 4"))))</x:f>
        <x:v>Moderado (4-4.9)</x:v>
      </x:c>
      <x:c r="L2247" s="25" t="str">
        <x:f>IF(I2247&lt;70,"Superficial (&lt;70 km)",IF(I2247&lt;=300,"Intermedio (70-300 km)","Profundo (&gt;300 km)"))</x:f>
        <x:v>Superficial (&lt;70 km)</x:v>
      </x:c>
      <x:c r="M2247" s="25" t="str">
        <x:f>IF(J2247&gt;=5,"Sí","No")</x:f>
        <x:v>No</x:v>
      </x:c>
      <x:c r="N2247" s="25" t="str">
        <x:f>IF(J2247&gt;=6,"Sí","No")</x:f>
        <x:v>No</x:v>
      </x:c>
      <x:c r="O2247" s="25" t="str">
        <x:v>Pendiente: asignar con R/sf</x:v>
      </x:c>
    </x:row>
    <x:row r="2248">
      <x:c r="A2248" s="25" t="n">
        <x:v>2247</x:v>
      </x:c>
      <x:c r="B2248" s="26" t="n">
        <x:v>42319.11546296296</x:v>
      </x:c>
      <x:c r="C2248" s="27" t="n">
        <x:f>INT(B2248)</x:f>
        <x:v>42319</x:v>
      </x:c>
      <x:c r="D2248" s="28" t="n">
        <x:f>MOD(B2248,1)</x:f>
        <x:v>0.11546296296000946</x:v>
      </x:c>
      <x:c r="E2248" s="29" t="n">
        <x:f>YEAR(B2248)</x:f>
        <x:v>2015</x:v>
      </x:c>
      <x:c r="F2248" s="29" t="n">
        <x:f>MONTH(B2248)</x:f>
        <x:v>11</x:v>
      </x:c>
      <x:c r="G2248" s="30" t="n">
        <x:v>-29.55</x:v>
      </x:c>
      <x:c r="H2248" s="30" t="n">
        <x:v>-72.26</x:v>
      </x:c>
      <x:c r="I2248" s="29" t="n">
        <x:v>12</x:v>
      </x:c>
      <x:c r="J2248" s="31" t="n">
        <x:v>6.9</x:v>
      </x:c>
      <x:c r="K2248" s="25" t="str">
        <x:f>IF(J2248&gt;=7,"Muy fuerte (&gt;=7)",IF(J2248&gt;=6,"Fuerte (6-6.9)",IF(J2248&gt;=5,"Moderado alto (5-5.9)",IF(J2248&gt;=4,"Moderado (4-4.9)","Menor a 4"))))</x:f>
        <x:v>Fuerte (6-6.9)</x:v>
      </x:c>
      <x:c r="L2248" s="25" t="str">
        <x:f>IF(I2248&lt;70,"Superficial (&lt;70 km)",IF(I2248&lt;=300,"Intermedio (70-300 km)","Profundo (&gt;300 km)"))</x:f>
        <x:v>Superficial (&lt;70 km)</x:v>
      </x:c>
      <x:c r="M2248" s="25" t="str">
        <x:f>IF(J2248&gt;=5,"Sí","No")</x:f>
        <x:v>Sí</x:v>
      </x:c>
      <x:c r="N2248" s="25" t="str">
        <x:f>IF(J2248&gt;=6,"Sí","No")</x:f>
        <x:v>Sí</x:v>
      </x:c>
      <x:c r="O2248" s="25" t="str">
        <x:v>Pendiente: asignar con R/sf</x:v>
      </x:c>
    </x:row>
    <x:row r="2249">
      <x:c r="A2249" s="25" t="n">
        <x:v>2248</x:v>
      </x:c>
      <x:c r="B2249" s="26" t="n">
        <x:v>42147.54844907407</x:v>
      </x:c>
      <x:c r="C2249" s="27" t="n">
        <x:f>INT(B2249)</x:f>
        <x:v>42147</x:v>
      </x:c>
      <x:c r="D2249" s="28" t="n">
        <x:f>MOD(B2249,1)</x:f>
        <x:v>0.5484490740709589</x:v>
      </x:c>
      <x:c r="E2249" s="29" t="n">
        <x:f>YEAR(B2249)</x:f>
        <x:v>2015</x:v>
      </x:c>
      <x:c r="F2249" s="29" t="n">
        <x:f>MONTH(B2249)</x:f>
        <x:v>5</x:v>
      </x:c>
      <x:c r="G2249" s="30" t="n">
        <x:v>-20.19</x:v>
      </x:c>
      <x:c r="H2249" s="30" t="n">
        <x:v>-70.81</x:v>
      </x:c>
      <x:c r="I2249" s="29" t="n">
        <x:v>27</x:v>
      </x:c>
      <x:c r="J2249" s="31" t="n">
        <x:v>4.6</x:v>
      </x:c>
      <x:c r="K2249" s="25" t="str">
        <x:f>IF(J2249&gt;=7,"Muy fuerte (&gt;=7)",IF(J2249&gt;=6,"Fuerte (6-6.9)",IF(J2249&gt;=5,"Moderado alto (5-5.9)",IF(J2249&gt;=4,"Moderado (4-4.9)","Menor a 4"))))</x:f>
        <x:v>Moderado (4-4.9)</x:v>
      </x:c>
      <x:c r="L2249" s="25" t="str">
        <x:f>IF(I2249&lt;70,"Superficial (&lt;70 km)",IF(I2249&lt;=300,"Intermedio (70-300 km)","Profundo (&gt;300 km)"))</x:f>
        <x:v>Superficial (&lt;70 km)</x:v>
      </x:c>
      <x:c r="M2249" s="25" t="str">
        <x:f>IF(J2249&gt;=5,"Sí","No")</x:f>
        <x:v>No</x:v>
      </x:c>
      <x:c r="N2249" s="25" t="str">
        <x:f>IF(J2249&gt;=6,"Sí","No")</x:f>
        <x:v>No</x:v>
      </x:c>
      <x:c r="O2249" s="25" t="str">
        <x:v>Pendiente: asignar con R/sf</x:v>
      </x:c>
    </x:row>
    <x:row r="2250">
      <x:c r="A2250" s="25" t="n">
        <x:v>2249</x:v>
      </x:c>
      <x:c r="B2250" s="26" t="n">
        <x:v>42228.739953703705</x:v>
      </x:c>
      <x:c r="C2250" s="27" t="n">
        <x:f>INT(B2250)</x:f>
        <x:v>42228</x:v>
      </x:c>
      <x:c r="D2250" s="28" t="n">
        <x:f>MOD(B2250,1)</x:f>
        <x:v>0.739953703705396</x:v>
      </x:c>
      <x:c r="E2250" s="29" t="n">
        <x:f>YEAR(B2250)</x:f>
        <x:v>2015</x:v>
      </x:c>
      <x:c r="F2250" s="29" t="n">
        <x:f>MONTH(B2250)</x:f>
        <x:v>8</x:v>
      </x:c>
      <x:c r="G2250" s="30" t="n">
        <x:v>-32.89</x:v>
      </x:c>
      <x:c r="H2250" s="30" t="n">
        <x:v>-70.47</x:v>
      </x:c>
      <x:c r="I2250" s="29" t="n">
        <x:v>14</x:v>
      </x:c>
      <x:c r="J2250" s="31" t="n">
        <x:v>4</x:v>
      </x:c>
      <x:c r="K2250" s="25" t="str">
        <x:f>IF(J2250&gt;=7,"Muy fuerte (&gt;=7)",IF(J2250&gt;=6,"Fuerte (6-6.9)",IF(J2250&gt;=5,"Moderado alto (5-5.9)",IF(J2250&gt;=4,"Moderado (4-4.9)","Menor a 4"))))</x:f>
        <x:v>Moderado (4-4.9)</x:v>
      </x:c>
      <x:c r="L2250" s="25" t="str">
        <x:f>IF(I2250&lt;70,"Superficial (&lt;70 km)",IF(I2250&lt;=300,"Intermedio (70-300 km)","Profundo (&gt;300 km)"))</x:f>
        <x:v>Superficial (&lt;70 km)</x:v>
      </x:c>
      <x:c r="M2250" s="25" t="str">
        <x:f>IF(J2250&gt;=5,"Sí","No")</x:f>
        <x:v>No</x:v>
      </x:c>
      <x:c r="N2250" s="25" t="str">
        <x:f>IF(J2250&gt;=6,"Sí","No")</x:f>
        <x:v>No</x:v>
      </x:c>
      <x:c r="O2250" s="25" t="str">
        <x:v>Pendiente: asignar con R/sf</x:v>
      </x:c>
    </x:row>
    <x:row r="2251">
      <x:c r="A2251" s="25" t="n">
        <x:v>2250</x:v>
      </x:c>
      <x:c r="B2251" s="26" t="n">
        <x:v>42279.835185185184</x:v>
      </x:c>
      <x:c r="C2251" s="27" t="n">
        <x:f>INT(B2251)</x:f>
        <x:v>42279</x:v>
      </x:c>
      <x:c r="D2251" s="28" t="n">
        <x:f>MOD(B2251,1)</x:f>
        <x:v>0.8351851851839456</x:v>
      </x:c>
      <x:c r="E2251" s="29" t="n">
        <x:f>YEAR(B2251)</x:f>
        <x:v>2015</x:v>
      </x:c>
      <x:c r="F2251" s="29" t="n">
        <x:f>MONTH(B2251)</x:f>
        <x:v>10</x:v>
      </x:c>
      <x:c r="G2251" s="30" t="n">
        <x:v>-31.08</x:v>
      </x:c>
      <x:c r="H2251" s="30" t="n">
        <x:v>-71.33</x:v>
      </x:c>
      <x:c r="I2251" s="29" t="n">
        <x:v>58</x:v>
      </x:c>
      <x:c r="J2251" s="31" t="n">
        <x:v>4</x:v>
      </x:c>
      <x:c r="K2251" s="25" t="str">
        <x:f>IF(J2251&gt;=7,"Muy fuerte (&gt;=7)",IF(J2251&gt;=6,"Fuerte (6-6.9)",IF(J2251&gt;=5,"Moderado alto (5-5.9)",IF(J2251&gt;=4,"Moderado (4-4.9)","Menor a 4"))))</x:f>
        <x:v>Moderado (4-4.9)</x:v>
      </x:c>
      <x:c r="L2251" s="25" t="str">
        <x:f>IF(I2251&lt;70,"Superficial (&lt;70 km)",IF(I2251&lt;=300,"Intermedio (70-300 km)","Profundo (&gt;300 km)"))</x:f>
        <x:v>Superficial (&lt;70 km)</x:v>
      </x:c>
      <x:c r="M2251" s="25" t="str">
        <x:f>IF(J2251&gt;=5,"Sí","No")</x:f>
        <x:v>No</x:v>
      </x:c>
      <x:c r="N2251" s="25" t="str">
        <x:f>IF(J2251&gt;=6,"Sí","No")</x:f>
        <x:v>No</x:v>
      </x:c>
      <x:c r="O2251" s="25" t="str">
        <x:v>Pendiente: asignar con R/sf</x:v>
      </x:c>
    </x:row>
    <x:row r="2252">
      <x:c r="A2252" s="25" t="n">
        <x:v>2251</x:v>
      </x:c>
      <x:c r="B2252" s="26" t="n">
        <x:v>42302.16853009259</x:v>
      </x:c>
      <x:c r="C2252" s="27" t="n">
        <x:f>INT(B2252)</x:f>
        <x:v>42302</x:v>
      </x:c>
      <x:c r="D2252" s="28" t="n">
        <x:f>MOD(B2252,1)</x:f>
        <x:v>0.16853009258920792</x:v>
      </x:c>
      <x:c r="E2252" s="29" t="n">
        <x:f>YEAR(B2252)</x:f>
        <x:v>2015</x:v>
      </x:c>
      <x:c r="F2252" s="29" t="n">
        <x:f>MONTH(B2252)</x:f>
        <x:v>10</x:v>
      </x:c>
      <x:c r="G2252" s="30" t="n">
        <x:v>-41.93</x:v>
      </x:c>
      <x:c r="H2252" s="30" t="n">
        <x:v>-73.55</x:v>
      </x:c>
      <x:c r="I2252" s="29" t="n">
        <x:v>53</x:v>
      </x:c>
      <x:c r="J2252" s="31" t="n">
        <x:v>4.5</x:v>
      </x:c>
      <x:c r="K2252" s="25" t="str">
        <x:f>IF(J2252&gt;=7,"Muy fuerte (&gt;=7)",IF(J2252&gt;=6,"Fuerte (6-6.9)",IF(J2252&gt;=5,"Moderado alto (5-5.9)",IF(J2252&gt;=4,"Moderado (4-4.9)","Menor a 4"))))</x:f>
        <x:v>Moderado (4-4.9)</x:v>
      </x:c>
      <x:c r="L2252" s="25" t="str">
        <x:f>IF(I2252&lt;70,"Superficial (&lt;70 km)",IF(I2252&lt;=300,"Intermedio (70-300 km)","Profundo (&gt;300 km)"))</x:f>
        <x:v>Superficial (&lt;70 km)</x:v>
      </x:c>
      <x:c r="M2252" s="25" t="str">
        <x:f>IF(J2252&gt;=5,"Sí","No")</x:f>
        <x:v>No</x:v>
      </x:c>
      <x:c r="N2252" s="25" t="str">
        <x:f>IF(J2252&gt;=6,"Sí","No")</x:f>
        <x:v>No</x:v>
      </x:c>
      <x:c r="O2252" s="25" t="str">
        <x:v>Pendiente: asignar con R/sf</x:v>
      </x:c>
    </x:row>
    <x:row r="2253">
      <x:c r="A2253" s="25" t="n">
        <x:v>2252</x:v>
      </x:c>
      <x:c r="B2253" s="26" t="n">
        <x:v>42281.15959490741</x:v>
      </x:c>
      <x:c r="C2253" s="27" t="n">
        <x:f>INT(B2253)</x:f>
        <x:v>42281</x:v>
      </x:c>
      <x:c r="D2253" s="28" t="n">
        <x:f>MOD(B2253,1)</x:f>
        <x:v>0.15959490741079208</x:v>
      </x:c>
      <x:c r="E2253" s="29" t="n">
        <x:f>YEAR(B2253)</x:f>
        <x:v>2015</x:v>
      </x:c>
      <x:c r="F2253" s="29" t="n">
        <x:f>MONTH(B2253)</x:f>
        <x:v>10</x:v>
      </x:c>
      <x:c r="G2253" s="30" t="n">
        <x:v>-30.37</x:v>
      </x:c>
      <x:c r="H2253" s="30" t="n">
        <x:v>-72.2</x:v>
      </x:c>
      <x:c r="I2253" s="29" t="n">
        <x:v>22</x:v>
      </x:c>
      <x:c r="J2253" s="31" t="n">
        <x:v>5.2</x:v>
      </x:c>
      <x:c r="K2253" s="25" t="str">
        <x:f>IF(J2253&gt;=7,"Muy fuerte (&gt;=7)",IF(J2253&gt;=6,"Fuerte (6-6.9)",IF(J2253&gt;=5,"Moderado alto (5-5.9)",IF(J2253&gt;=4,"Moderado (4-4.9)","Menor a 4"))))</x:f>
        <x:v>Moderado alto (5-5.9)</x:v>
      </x:c>
      <x:c r="L2253" s="25" t="str">
        <x:f>IF(I2253&lt;70,"Superficial (&lt;70 km)",IF(I2253&lt;=300,"Intermedio (70-300 km)","Profundo (&gt;300 km)"))</x:f>
        <x:v>Superficial (&lt;70 km)</x:v>
      </x:c>
      <x:c r="M2253" s="25" t="str">
        <x:f>IF(J2253&gt;=5,"Sí","No")</x:f>
        <x:v>Sí</x:v>
      </x:c>
      <x:c r="N2253" s="25" t="str">
        <x:f>IF(J2253&gt;=6,"Sí","No")</x:f>
        <x:v>No</x:v>
      </x:c>
      <x:c r="O2253" s="25" t="str">
        <x:v>Pendiente: asignar con R/sf</x:v>
      </x:c>
    </x:row>
    <x:row r="2254">
      <x:c r="A2254" s="25" t="n">
        <x:v>2253</x:v>
      </x:c>
      <x:c r="B2254" s="26" t="n">
        <x:v>42177.48758101852</x:v>
      </x:c>
      <x:c r="C2254" s="27" t="n">
        <x:f>INT(B2254)</x:f>
        <x:v>42177</x:v>
      </x:c>
      <x:c r="D2254" s="28" t="n">
        <x:f>MOD(B2254,1)</x:f>
        <x:v>0.4875810185185401</x:v>
      </x:c>
      <x:c r="E2254" s="29" t="n">
        <x:f>YEAR(B2254)</x:f>
        <x:v>2015</x:v>
      </x:c>
      <x:c r="F2254" s="29" t="n">
        <x:f>MONTH(B2254)</x:f>
        <x:v>6</x:v>
      </x:c>
      <x:c r="G2254" s="30" t="n">
        <x:v>-21.78</x:v>
      </x:c>
      <x:c r="H2254" s="30" t="n">
        <x:v>-68.42</x:v>
      </x:c>
      <x:c r="I2254" s="29" t="n">
        <x:v>134</x:v>
      </x:c>
      <x:c r="J2254" s="31" t="n">
        <x:v>5.3</x:v>
      </x:c>
      <x:c r="K2254" s="25" t="str">
        <x:f>IF(J2254&gt;=7,"Muy fuerte (&gt;=7)",IF(J2254&gt;=6,"Fuerte (6-6.9)",IF(J2254&gt;=5,"Moderado alto (5-5.9)",IF(J2254&gt;=4,"Moderado (4-4.9)","Menor a 4"))))</x:f>
        <x:v>Moderado alto (5-5.9)</x:v>
      </x:c>
      <x:c r="L2254" s="25" t="str">
        <x:f>IF(I2254&lt;70,"Superficial (&lt;70 km)",IF(I2254&lt;=300,"Intermedio (70-300 km)","Profundo (&gt;300 km)"))</x:f>
        <x:v>Intermedio (70-300 km)</x:v>
      </x:c>
      <x:c r="M2254" s="25" t="str">
        <x:f>IF(J2254&gt;=5,"Sí","No")</x:f>
        <x:v>Sí</x:v>
      </x:c>
      <x:c r="N2254" s="25" t="str">
        <x:f>IF(J2254&gt;=6,"Sí","No")</x:f>
        <x:v>No</x:v>
      </x:c>
      <x:c r="O2254" s="25" t="str">
        <x:v>Pendiente: asignar con R/sf</x:v>
      </x:c>
    </x:row>
    <x:row r="2255">
      <x:c r="A2255" s="25" t="n">
        <x:v>2254</x:v>
      </x:c>
      <x:c r="B2255" s="26" t="n">
        <x:v>42082.86072916666</x:v>
      </x:c>
      <x:c r="C2255" s="27" t="n">
        <x:f>INT(B2255)</x:f>
        <x:v>42082</x:v>
      </x:c>
      <x:c r="D2255" s="28" t="n">
        <x:f>MOD(B2255,1)</x:f>
        <x:v>0.8607291666630772</x:v>
      </x:c>
      <x:c r="E2255" s="29" t="n">
        <x:f>YEAR(B2255)</x:f>
        <x:v>2015</x:v>
      </x:c>
      <x:c r="F2255" s="29" t="n">
        <x:f>MONTH(B2255)</x:f>
        <x:v>3</x:v>
      </x:c>
      <x:c r="G2255" s="30" t="n">
        <x:v>-19.26</x:v>
      </x:c>
      <x:c r="H2255" s="30" t="n">
        <x:v>-70.22</x:v>
      </x:c>
      <x:c r="I2255" s="29" t="n">
        <x:v>77</x:v>
      </x:c>
      <x:c r="J2255" s="31" t="n">
        <x:v>4.3</x:v>
      </x:c>
      <x:c r="K2255" s="25" t="str">
        <x:f>IF(J2255&gt;=7,"Muy fuerte (&gt;=7)",IF(J2255&gt;=6,"Fuerte (6-6.9)",IF(J2255&gt;=5,"Moderado alto (5-5.9)",IF(J2255&gt;=4,"Moderado (4-4.9)","Menor a 4"))))</x:f>
        <x:v>Moderado (4-4.9)</x:v>
      </x:c>
      <x:c r="L2255" s="25" t="str">
        <x:f>IF(I2255&lt;70,"Superficial (&lt;70 km)",IF(I2255&lt;=300,"Intermedio (70-300 km)","Profundo (&gt;300 km)"))</x:f>
        <x:v>Intermedio (70-300 km)</x:v>
      </x:c>
      <x:c r="M2255" s="25" t="str">
        <x:f>IF(J2255&gt;=5,"Sí","No")</x:f>
        <x:v>No</x:v>
      </x:c>
      <x:c r="N2255" s="25" t="str">
        <x:f>IF(J2255&gt;=6,"Sí","No")</x:f>
        <x:v>No</x:v>
      </x:c>
      <x:c r="O2255" s="25" t="str">
        <x:v>Pendiente: asignar con R/sf</x:v>
      </x:c>
    </x:row>
    <x:row r="2256">
      <x:c r="A2256" s="25" t="n">
        <x:v>2255</x:v>
      </x:c>
      <x:c r="B2256" s="26" t="n">
        <x:v>42336.23931712963</x:v>
      </x:c>
      <x:c r="C2256" s="27" t="n">
        <x:f>INT(B2256)</x:f>
        <x:v>42336</x:v>
      </x:c>
      <x:c r="D2256" s="28" t="n">
        <x:f>MOD(B2256,1)</x:f>
        <x:v>0.2393171296280343</x:v>
      </x:c>
      <x:c r="E2256" s="29" t="n">
        <x:f>YEAR(B2256)</x:f>
        <x:v>2015</x:v>
      </x:c>
      <x:c r="F2256" s="29" t="n">
        <x:f>MONTH(B2256)</x:f>
        <x:v>11</x:v>
      </x:c>
      <x:c r="G2256" s="30" t="n">
        <x:v>-30.34</x:v>
      </x:c>
      <x:c r="H2256" s="30" t="n">
        <x:v>-72.34</x:v>
      </x:c>
      <x:c r="I2256" s="29" t="n">
        <x:v>32</x:v>
      </x:c>
      <x:c r="J2256" s="31" t="n">
        <x:v>5.4</x:v>
      </x:c>
      <x:c r="K2256" s="25" t="str">
        <x:f>IF(J2256&gt;=7,"Muy fuerte (&gt;=7)",IF(J2256&gt;=6,"Fuerte (6-6.9)",IF(J2256&gt;=5,"Moderado alto (5-5.9)",IF(J2256&gt;=4,"Moderado (4-4.9)","Menor a 4"))))</x:f>
        <x:v>Moderado alto (5-5.9)</x:v>
      </x:c>
      <x:c r="L2256" s="25" t="str">
        <x:f>IF(I2256&lt;70,"Superficial (&lt;70 km)",IF(I2256&lt;=300,"Intermedio (70-300 km)","Profundo (&gt;300 km)"))</x:f>
        <x:v>Superficial (&lt;70 km)</x:v>
      </x:c>
      <x:c r="M2256" s="25" t="str">
        <x:f>IF(J2256&gt;=5,"Sí","No")</x:f>
        <x:v>Sí</x:v>
      </x:c>
      <x:c r="N2256" s="25" t="str">
        <x:f>IF(J2256&gt;=6,"Sí","No")</x:f>
        <x:v>No</x:v>
      </x:c>
      <x:c r="O2256" s="25" t="str">
        <x:v>Pendiente: asignar con R/sf</x:v>
      </x:c>
    </x:row>
    <x:row r="2257">
      <x:c r="A2257" s="25" t="n">
        <x:v>2256</x:v>
      </x:c>
      <x:c r="B2257" s="26" t="n">
        <x:v>42029.36603009259</x:v>
      </x:c>
      <x:c r="C2257" s="27" t="n">
        <x:f>INT(B2257)</x:f>
        <x:v>42029</x:v>
      </x:c>
      <x:c r="D2257" s="28" t="n">
        <x:f>MOD(B2257,1)</x:f>
        <x:v>0.3660300925912452</x:v>
      </x:c>
      <x:c r="E2257" s="29" t="n">
        <x:f>YEAR(B2257)</x:f>
        <x:v>2015</x:v>
      </x:c>
      <x:c r="F2257" s="29" t="n">
        <x:f>MONTH(B2257)</x:f>
        <x:v>1</x:v>
      </x:c>
      <x:c r="G2257" s="30" t="n">
        <x:v>-34.76</x:v>
      </x:c>
      <x:c r="H2257" s="30" t="n">
        <x:v>-71.81</x:v>
      </x:c>
      <x:c r="I2257" s="29" t="n">
        <x:v>43</x:v>
      </x:c>
      <x:c r="J2257" s="31" t="n">
        <x:v>5.2</x:v>
      </x:c>
      <x:c r="K2257" s="25" t="str">
        <x:f>IF(J2257&gt;=7,"Muy fuerte (&gt;=7)",IF(J2257&gt;=6,"Fuerte (6-6.9)",IF(J2257&gt;=5,"Moderado alto (5-5.9)",IF(J2257&gt;=4,"Moderado (4-4.9)","Menor a 4"))))</x:f>
        <x:v>Moderado alto (5-5.9)</x:v>
      </x:c>
      <x:c r="L2257" s="25" t="str">
        <x:f>IF(I2257&lt;70,"Superficial (&lt;70 km)",IF(I2257&lt;=300,"Intermedio (70-300 km)","Profundo (&gt;300 km)"))</x:f>
        <x:v>Superficial (&lt;70 km)</x:v>
      </x:c>
      <x:c r="M2257" s="25" t="str">
        <x:f>IF(J2257&gt;=5,"Sí","No")</x:f>
        <x:v>Sí</x:v>
      </x:c>
      <x:c r="N2257" s="25" t="str">
        <x:f>IF(J2257&gt;=6,"Sí","No")</x:f>
        <x:v>No</x:v>
      </x:c>
      <x:c r="O2257" s="25" t="str">
        <x:v>Pendiente: asignar con R/sf</x:v>
      </x:c>
    </x:row>
    <x:row r="2258">
      <x:c r="A2258" s="25" t="n">
        <x:v>2257</x:v>
      </x:c>
      <x:c r="B2258" s="26" t="n">
        <x:v>42145.857094907406</x:v>
      </x:c>
      <x:c r="C2258" s="27" t="n">
        <x:f>INT(B2258)</x:f>
        <x:v>42145</x:v>
      </x:c>
      <x:c r="D2258" s="28" t="n">
        <x:f>MOD(B2258,1)</x:f>
        <x:v>0.8570949074055534</x:v>
      </x:c>
      <x:c r="E2258" s="29" t="n">
        <x:f>YEAR(B2258)</x:f>
        <x:v>2015</x:v>
      </x:c>
      <x:c r="F2258" s="29" t="n">
        <x:f>MONTH(B2258)</x:f>
        <x:v>5</x:v>
      </x:c>
      <x:c r="G2258" s="30" t="n">
        <x:v>-34.89</x:v>
      </x:c>
      <x:c r="H2258" s="30" t="n">
        <x:v>-71.8</x:v>
      </x:c>
      <x:c r="I2258" s="29" t="n">
        <x:v>40</x:v>
      </x:c>
      <x:c r="J2258" s="31" t="n">
        <x:v>4.8</x:v>
      </x:c>
      <x:c r="K2258" s="25" t="str">
        <x:f>IF(J2258&gt;=7,"Muy fuerte (&gt;=7)",IF(J2258&gt;=6,"Fuerte (6-6.9)",IF(J2258&gt;=5,"Moderado alto (5-5.9)",IF(J2258&gt;=4,"Moderado (4-4.9)","Menor a 4"))))</x:f>
        <x:v>Moderado (4-4.9)</x:v>
      </x:c>
      <x:c r="L2258" s="25" t="str">
        <x:f>IF(I2258&lt;70,"Superficial (&lt;70 km)",IF(I2258&lt;=300,"Intermedio (70-300 km)","Profundo (&gt;300 km)"))</x:f>
        <x:v>Superficial (&lt;70 km)</x:v>
      </x:c>
      <x:c r="M2258" s="25" t="str">
        <x:f>IF(J2258&gt;=5,"Sí","No")</x:f>
        <x:v>No</x:v>
      </x:c>
      <x:c r="N2258" s="25" t="str">
        <x:f>IF(J2258&gt;=6,"Sí","No")</x:f>
        <x:v>No</x:v>
      </x:c>
      <x:c r="O2258" s="25" t="str">
        <x:v>Pendiente: asignar con R/sf</x:v>
      </x:c>
    </x:row>
    <x:row r="2259">
      <x:c r="A2259" s="25" t="n">
        <x:v>2258</x:v>
      </x:c>
      <x:c r="B2259" s="26" t="n">
        <x:v>42213.75361111111</x:v>
      </x:c>
      <x:c r="C2259" s="27" t="n">
        <x:f>INT(B2259)</x:f>
        <x:v>42213</x:v>
      </x:c>
      <x:c r="D2259" s="28" t="n">
        <x:f>MOD(B2259,1)</x:f>
        <x:v>0.7536111111112405</x:v>
      </x:c>
      <x:c r="E2259" s="29" t="n">
        <x:f>YEAR(B2259)</x:f>
        <x:v>2015</x:v>
      </x:c>
      <x:c r="F2259" s="29" t="n">
        <x:f>MONTH(B2259)</x:f>
        <x:v>7</x:v>
      </x:c>
      <x:c r="G2259" s="30" t="n">
        <x:v>-34.99</x:v>
      </x:c>
      <x:c r="H2259" s="30" t="n">
        <x:v>-71.83</x:v>
      </x:c>
      <x:c r="I2259" s="29" t="n">
        <x:v>42</x:v>
      </x:c>
      <x:c r="J2259" s="31" t="n">
        <x:v>5</x:v>
      </x:c>
      <x:c r="K2259" s="25" t="str">
        <x:f>IF(J2259&gt;=7,"Muy fuerte (&gt;=7)",IF(J2259&gt;=6,"Fuerte (6-6.9)",IF(J2259&gt;=5,"Moderado alto (5-5.9)",IF(J2259&gt;=4,"Moderado (4-4.9)","Menor a 4"))))</x:f>
        <x:v>Moderado alto (5-5.9)</x:v>
      </x:c>
      <x:c r="L2259" s="25" t="str">
        <x:f>IF(I2259&lt;70,"Superficial (&lt;70 km)",IF(I2259&lt;=300,"Intermedio (70-300 km)","Profundo (&gt;300 km)"))</x:f>
        <x:v>Superficial (&lt;70 km)</x:v>
      </x:c>
      <x:c r="M2259" s="25" t="str">
        <x:f>IF(J2259&gt;=5,"Sí","No")</x:f>
        <x:v>Sí</x:v>
      </x:c>
      <x:c r="N2259" s="25" t="str">
        <x:f>IF(J2259&gt;=6,"Sí","No")</x:f>
        <x:v>No</x:v>
      </x:c>
      <x:c r="O2259" s="25" t="str">
        <x:v>Pendiente: asignar con R/sf</x:v>
      </x:c>
    </x:row>
    <x:row r="2260">
      <x:c r="A2260" s="25" t="n">
        <x:v>2259</x:v>
      </x:c>
      <x:c r="B2260" s="26" t="n">
        <x:v>42280.25258101852</x:v>
      </x:c>
      <x:c r="C2260" s="27" t="n">
        <x:f>INT(B2260)</x:f>
        <x:v>42280</x:v>
      </x:c>
      <x:c r="D2260" s="28" t="n">
        <x:f>MOD(B2260,1)</x:f>
        <x:v>0.252581018517958</x:v>
      </x:c>
      <x:c r="E2260" s="29" t="n">
        <x:f>YEAR(B2260)</x:f>
        <x:v>2015</x:v>
      </x:c>
      <x:c r="F2260" s="29" t="n">
        <x:f>MONTH(B2260)</x:f>
        <x:v>10</x:v>
      </x:c>
      <x:c r="G2260" s="30" t="n">
        <x:v>-37.56</x:v>
      </x:c>
      <x:c r="H2260" s="30" t="n">
        <x:v>-73.74</x:v>
      </x:c>
      <x:c r="I2260" s="29" t="n">
        <x:v>20</x:v>
      </x:c>
      <x:c r="J2260" s="31" t="n">
        <x:v>6.1</x:v>
      </x:c>
      <x:c r="K2260" s="25" t="str">
        <x:f>IF(J2260&gt;=7,"Muy fuerte (&gt;=7)",IF(J2260&gt;=6,"Fuerte (6-6.9)",IF(J2260&gt;=5,"Moderado alto (5-5.9)",IF(J2260&gt;=4,"Moderado (4-4.9)","Menor a 4"))))</x:f>
        <x:v>Fuerte (6-6.9)</x:v>
      </x:c>
      <x:c r="L2260" s="25" t="str">
        <x:f>IF(I2260&lt;70,"Superficial (&lt;70 km)",IF(I2260&lt;=300,"Intermedio (70-300 km)","Profundo (&gt;300 km)"))</x:f>
        <x:v>Superficial (&lt;70 km)</x:v>
      </x:c>
      <x:c r="M2260" s="25" t="str">
        <x:f>IF(J2260&gt;=5,"Sí","No")</x:f>
        <x:v>Sí</x:v>
      </x:c>
      <x:c r="N2260" s="25" t="str">
        <x:f>IF(J2260&gt;=6,"Sí","No")</x:f>
        <x:v>Sí</x:v>
      </x:c>
      <x:c r="O2260" s="25" t="str">
        <x:v>Pendiente: asignar con R/sf</x:v>
      </x:c>
    </x:row>
    <x:row r="2261">
      <x:c r="A2261" s="25" t="n">
        <x:v>2260</x:v>
      </x:c>
      <x:c r="B2261" s="26" t="n">
        <x:v>42295.53383101852</x:v>
      </x:c>
      <x:c r="C2261" s="27" t="n">
        <x:f>INT(B2261)</x:f>
        <x:v>42295</x:v>
      </x:c>
      <x:c r="D2261" s="28" t="n">
        <x:f>MOD(B2261,1)</x:f>
        <x:v>0.533831018517958</x:v>
      </x:c>
      <x:c r="E2261" s="29" t="n">
        <x:f>YEAR(B2261)</x:f>
        <x:v>2015</x:v>
      </x:c>
      <x:c r="F2261" s="29" t="n">
        <x:f>MONTH(B2261)</x:f>
        <x:v>10</x:v>
      </x:c>
      <x:c r="G2261" s="30" t="n">
        <x:v>-35.97</x:v>
      </x:c>
      <x:c r="H2261" s="30" t="n">
        <x:v>-72.67</x:v>
      </x:c>
      <x:c r="I2261" s="29" t="n">
        <x:v>50</x:v>
      </x:c>
      <x:c r="J2261" s="31" t="n">
        <x:v>5</x:v>
      </x:c>
      <x:c r="K2261" s="25" t="str">
        <x:f>IF(J2261&gt;=7,"Muy fuerte (&gt;=7)",IF(J2261&gt;=6,"Fuerte (6-6.9)",IF(J2261&gt;=5,"Moderado alto (5-5.9)",IF(J2261&gt;=4,"Moderado (4-4.9)","Menor a 4"))))</x:f>
        <x:v>Moderado alto (5-5.9)</x:v>
      </x:c>
      <x:c r="L2261" s="25" t="str">
        <x:f>IF(I2261&lt;70,"Superficial (&lt;70 km)",IF(I2261&lt;=300,"Intermedio (70-300 km)","Profundo (&gt;300 km)"))</x:f>
        <x:v>Superficial (&lt;70 km)</x:v>
      </x:c>
      <x:c r="M2261" s="25" t="str">
        <x:f>IF(J2261&gt;=5,"Sí","No")</x:f>
        <x:v>Sí</x:v>
      </x:c>
      <x:c r="N2261" s="25" t="str">
        <x:f>IF(J2261&gt;=6,"Sí","No")</x:f>
        <x:v>No</x:v>
      </x:c>
      <x:c r="O2261" s="25" t="str">
        <x:v>Pendiente: asignar con R/sf</x:v>
      </x:c>
    </x:row>
    <x:row r="2262">
      <x:c r="A2262" s="25" t="n">
        <x:v>2261</x:v>
      </x:c>
      <x:c r="B2262" s="26" t="n">
        <x:v>42043.252962962964</x:v>
      </x:c>
      <x:c r="C2262" s="27" t="n">
        <x:f>INT(B2262)</x:f>
        <x:v>42043</x:v>
      </x:c>
      <x:c r="D2262" s="28" t="n">
        <x:f>MOD(B2262,1)</x:f>
        <x:v>0.25296296296437504</x:v>
      </x:c>
      <x:c r="E2262" s="29" t="n">
        <x:f>YEAR(B2262)</x:f>
        <x:v>2015</x:v>
      </x:c>
      <x:c r="F2262" s="29" t="n">
        <x:f>MONTH(B2262)</x:f>
        <x:v>2</x:v>
      </x:c>
      <x:c r="G2262" s="30" t="n">
        <x:v>-22.65</x:v>
      </x:c>
      <x:c r="H2262" s="30" t="n">
        <x:v>-70.4</x:v>
      </x:c>
      <x:c r="I2262" s="29" t="n">
        <x:v>42</x:v>
      </x:c>
      <x:c r="J2262" s="31" t="n">
        <x:v>4.1</x:v>
      </x:c>
      <x:c r="K2262" s="25" t="str">
        <x:f>IF(J2262&gt;=7,"Muy fuerte (&gt;=7)",IF(J2262&gt;=6,"Fuerte (6-6.9)",IF(J2262&gt;=5,"Moderado alto (5-5.9)",IF(J2262&gt;=4,"Moderado (4-4.9)","Menor a 4"))))</x:f>
        <x:v>Moderado (4-4.9)</x:v>
      </x:c>
      <x:c r="L2262" s="25" t="str">
        <x:f>IF(I2262&lt;70,"Superficial (&lt;70 km)",IF(I2262&lt;=300,"Intermedio (70-300 km)","Profundo (&gt;300 km)"))</x:f>
        <x:v>Superficial (&lt;70 km)</x:v>
      </x:c>
      <x:c r="M2262" s="25" t="str">
        <x:f>IF(J2262&gt;=5,"Sí","No")</x:f>
        <x:v>No</x:v>
      </x:c>
      <x:c r="N2262" s="25" t="str">
        <x:f>IF(J2262&gt;=6,"Sí","No")</x:f>
        <x:v>No</x:v>
      </x:c>
      <x:c r="O2262" s="25" t="str">
        <x:v>Pendiente: asignar con R/sf</x:v>
      </x:c>
    </x:row>
    <x:row r="2263">
      <x:c r="A2263" s="25" t="n">
        <x:v>2262</x:v>
      </x:c>
      <x:c r="B2263" s="26" t="n">
        <x:v>42237.253125</x:v>
      </x:c>
      <x:c r="C2263" s="27" t="n">
        <x:f>INT(B2263)</x:f>
        <x:v>42237</x:v>
      </x:c>
      <x:c r="D2263" s="28" t="n">
        <x:f>MOD(B2263,1)</x:f>
        <x:v>0.2531250000029104</x:v>
      </x:c>
      <x:c r="E2263" s="29" t="n">
        <x:f>YEAR(B2263)</x:f>
        <x:v>2015</x:v>
      </x:c>
      <x:c r="F2263" s="29" t="n">
        <x:f>MONTH(B2263)</x:f>
        <x:v>8</x:v>
      </x:c>
      <x:c r="G2263" s="30" t="n">
        <x:v>-20.62</x:v>
      </x:c>
      <x:c r="H2263" s="30" t="n">
        <x:v>-69.13</x:v>
      </x:c>
      <x:c r="I2263" s="29" t="n">
        <x:v>109</x:v>
      </x:c>
      <x:c r="J2263" s="31" t="n">
        <x:v>4.5</x:v>
      </x:c>
      <x:c r="K2263" s="25" t="str">
        <x:f>IF(J2263&gt;=7,"Muy fuerte (&gt;=7)",IF(J2263&gt;=6,"Fuerte (6-6.9)",IF(J2263&gt;=5,"Moderado alto (5-5.9)",IF(J2263&gt;=4,"Moderado (4-4.9)","Menor a 4"))))</x:f>
        <x:v>Moderado (4-4.9)</x:v>
      </x:c>
      <x:c r="L2263" s="25" t="str">
        <x:f>IF(I2263&lt;70,"Superficial (&lt;70 km)",IF(I2263&lt;=300,"Intermedio (70-300 km)","Profundo (&gt;300 km)"))</x:f>
        <x:v>Intermedio (70-300 km)</x:v>
      </x:c>
      <x:c r="M2263" s="25" t="str">
        <x:f>IF(J2263&gt;=5,"Sí","No")</x:f>
        <x:v>No</x:v>
      </x:c>
      <x:c r="N2263" s="25" t="str">
        <x:f>IF(J2263&gt;=6,"Sí","No")</x:f>
        <x:v>No</x:v>
      </x:c>
      <x:c r="O2263" s="25" t="str">
        <x:v>Pendiente: asignar con R/sf</x:v>
      </x:c>
    </x:row>
    <x:row r="2264">
      <x:c r="A2264" s="25" t="n">
        <x:v>2263</x:v>
      </x:c>
      <x:c r="B2264" s="26" t="n">
        <x:v>42241.206030092595</x:v>
      </x:c>
      <x:c r="C2264" s="27" t="n">
        <x:f>INT(B2264)</x:f>
        <x:v>42241</x:v>
      </x:c>
      <x:c r="D2264" s="28" t="n">
        <x:f>MOD(B2264,1)</x:f>
        <x:v>0.2060300925950287</x:v>
      </x:c>
      <x:c r="E2264" s="29" t="n">
        <x:f>YEAR(B2264)</x:f>
        <x:v>2015</x:v>
      </x:c>
      <x:c r="F2264" s="29" t="n">
        <x:f>MONTH(B2264)</x:f>
        <x:v>8</x:v>
      </x:c>
      <x:c r="G2264" s="30" t="n">
        <x:v>-20.37</x:v>
      </x:c>
      <x:c r="H2264" s="30" t="n">
        <x:v>-69.05</x:v>
      </x:c>
      <x:c r="I2264" s="29" t="n">
        <x:v>101</x:v>
      </x:c>
      <x:c r="J2264" s="31" t="n">
        <x:v>4.2</x:v>
      </x:c>
      <x:c r="K2264" s="25" t="str">
        <x:f>IF(J2264&gt;=7,"Muy fuerte (&gt;=7)",IF(J2264&gt;=6,"Fuerte (6-6.9)",IF(J2264&gt;=5,"Moderado alto (5-5.9)",IF(J2264&gt;=4,"Moderado (4-4.9)","Menor a 4"))))</x:f>
        <x:v>Moderado (4-4.9)</x:v>
      </x:c>
      <x:c r="L2264" s="25" t="str">
        <x:f>IF(I2264&lt;70,"Superficial (&lt;70 km)",IF(I2264&lt;=300,"Intermedio (70-300 km)","Profundo (&gt;300 km)"))</x:f>
        <x:v>Intermedio (70-300 km)</x:v>
      </x:c>
      <x:c r="M2264" s="25" t="str">
        <x:f>IF(J2264&gt;=5,"Sí","No")</x:f>
        <x:v>No</x:v>
      </x:c>
      <x:c r="N2264" s="25" t="str">
        <x:f>IF(J2264&gt;=6,"Sí","No")</x:f>
        <x:v>No</x:v>
      </x:c>
      <x:c r="O2264" s="25" t="str">
        <x:v>Pendiente: asignar con R/sf</x:v>
      </x:c>
    </x:row>
    <x:row r="2265">
      <x:c r="A2265" s="25" t="n">
        <x:v>2264</x:v>
      </x:c>
      <x:c r="B2265" s="26" t="n">
        <x:v>42341.621979166666</x:v>
      </x:c>
      <x:c r="C2265" s="27" t="n">
        <x:f>INT(B2265)</x:f>
        <x:v>42341</x:v>
      </x:c>
      <x:c r="D2265" s="28" t="n">
        <x:f>MOD(B2265,1)</x:f>
        <x:v>0.6219791666662786</x:v>
      </x:c>
      <x:c r="E2265" s="29" t="n">
        <x:f>YEAR(B2265)</x:f>
        <x:v>2015</x:v>
      </x:c>
      <x:c r="F2265" s="29" t="n">
        <x:f>MONTH(B2265)</x:f>
        <x:v>12</x:v>
      </x:c>
      <x:c r="G2265" s="30" t="n">
        <x:v>-22.52</x:v>
      </x:c>
      <x:c r="H2265" s="30" t="n">
        <x:v>-68.81</x:v>
      </x:c>
      <x:c r="I2265" s="29" t="n">
        <x:v>87</x:v>
      </x:c>
      <x:c r="J2265" s="31" t="n">
        <x:v>4.2</x:v>
      </x:c>
      <x:c r="K2265" s="25" t="str">
        <x:f>IF(J2265&gt;=7,"Muy fuerte (&gt;=7)",IF(J2265&gt;=6,"Fuerte (6-6.9)",IF(J2265&gt;=5,"Moderado alto (5-5.9)",IF(J2265&gt;=4,"Moderado (4-4.9)","Menor a 4"))))</x:f>
        <x:v>Moderado (4-4.9)</x:v>
      </x:c>
      <x:c r="L2265" s="25" t="str">
        <x:f>IF(I2265&lt;70,"Superficial (&lt;70 km)",IF(I2265&lt;=300,"Intermedio (70-300 km)","Profundo (&gt;300 km)"))</x:f>
        <x:v>Intermedio (70-300 km)</x:v>
      </x:c>
      <x:c r="M2265" s="25" t="str">
        <x:f>IF(J2265&gt;=5,"Sí","No")</x:f>
        <x:v>No</x:v>
      </x:c>
      <x:c r="N2265" s="25" t="str">
        <x:f>IF(J2265&gt;=6,"Sí","No")</x:f>
        <x:v>No</x:v>
      </x:c>
      <x:c r="O2265" s="25" t="str">
        <x:v>Pendiente: asignar con R/sf</x:v>
      </x:c>
    </x:row>
    <x:row r="2266">
      <x:c r="A2266" s="25" t="n">
        <x:v>2265</x:v>
      </x:c>
      <x:c r="B2266" s="26" t="n">
        <x:v>42361.65625</x:v>
      </x:c>
      <x:c r="C2266" s="27" t="n">
        <x:f>INT(B2266)</x:f>
        <x:v>42361</x:v>
      </x:c>
      <x:c r="D2266" s="28" t="n">
        <x:f>MOD(B2266,1)</x:f>
        <x:v>0.65625</x:v>
      </x:c>
      <x:c r="E2266" s="29" t="n">
        <x:f>YEAR(B2266)</x:f>
        <x:v>2015</x:v>
      </x:c>
      <x:c r="F2266" s="29" t="n">
        <x:f>MONTH(B2266)</x:f>
        <x:v>12</x:v>
      </x:c>
      <x:c r="G2266" s="30" t="n">
        <x:v>-20.35</x:v>
      </x:c>
      <x:c r="H2266" s="30" t="n">
        <x:v>-68.94</x:v>
      </x:c>
      <x:c r="I2266" s="29" t="n">
        <x:v>106</x:v>
      </x:c>
      <x:c r="J2266" s="31" t="n">
        <x:v>4.5</x:v>
      </x:c>
      <x:c r="K2266" s="25" t="str">
        <x:f>IF(J2266&gt;=7,"Muy fuerte (&gt;=7)",IF(J2266&gt;=6,"Fuerte (6-6.9)",IF(J2266&gt;=5,"Moderado alto (5-5.9)",IF(J2266&gt;=4,"Moderado (4-4.9)","Menor a 4"))))</x:f>
        <x:v>Moderado (4-4.9)</x:v>
      </x:c>
      <x:c r="L2266" s="25" t="str">
        <x:f>IF(I2266&lt;70,"Superficial (&lt;70 km)",IF(I2266&lt;=300,"Intermedio (70-300 km)","Profundo (&gt;300 km)"))</x:f>
        <x:v>Intermedio (70-300 km)</x:v>
      </x:c>
      <x:c r="M2266" s="25" t="str">
        <x:f>IF(J2266&gt;=5,"Sí","No")</x:f>
        <x:v>No</x:v>
      </x:c>
      <x:c r="N2266" s="25" t="str">
        <x:f>IF(J2266&gt;=6,"Sí","No")</x:f>
        <x:v>No</x:v>
      </x:c>
      <x:c r="O2266" s="25" t="str">
        <x:v>Pendiente: asignar con R/sf</x:v>
      </x:c>
    </x:row>
    <x:row r="2267">
      <x:c r="A2267" s="25" t="n">
        <x:v>2266</x:v>
      </x:c>
      <x:c r="B2267" s="26" t="n">
        <x:v>42365.91612268519</x:v>
      </x:c>
      <x:c r="C2267" s="27" t="n">
        <x:f>INT(B2267)</x:f>
        <x:v>42365</x:v>
      </x:c>
      <x:c r="D2267" s="28" t="n">
        <x:f>MOD(B2267,1)</x:f>
        <x:v>0.9161226851865649</x:v>
      </x:c>
      <x:c r="E2267" s="29" t="n">
        <x:f>YEAR(B2267)</x:f>
        <x:v>2015</x:v>
      </x:c>
      <x:c r="F2267" s="29" t="n">
        <x:f>MONTH(B2267)</x:f>
        <x:v>12</x:v>
      </x:c>
      <x:c r="G2267" s="30" t="n">
        <x:v>-20.71</x:v>
      </x:c>
      <x:c r="H2267" s="30" t="n">
        <x:v>-69.26</x:v>
      </x:c>
      <x:c r="I2267" s="29" t="n">
        <x:v>103</x:v>
      </x:c>
      <x:c r="J2267" s="31" t="n">
        <x:v>4.1</x:v>
      </x:c>
      <x:c r="K2267" s="25" t="str">
        <x:f>IF(J2267&gt;=7,"Muy fuerte (&gt;=7)",IF(J2267&gt;=6,"Fuerte (6-6.9)",IF(J2267&gt;=5,"Moderado alto (5-5.9)",IF(J2267&gt;=4,"Moderado (4-4.9)","Menor a 4"))))</x:f>
        <x:v>Moderado (4-4.9)</x:v>
      </x:c>
      <x:c r="L2267" s="25" t="str">
        <x:f>IF(I2267&lt;70,"Superficial (&lt;70 km)",IF(I2267&lt;=300,"Intermedio (70-300 km)","Profundo (&gt;300 km)"))</x:f>
        <x:v>Intermedio (70-300 km)</x:v>
      </x:c>
      <x:c r="M2267" s="25" t="str">
        <x:f>IF(J2267&gt;=5,"Sí","No")</x:f>
        <x:v>No</x:v>
      </x:c>
      <x:c r="N2267" s="25" t="str">
        <x:f>IF(J2267&gt;=6,"Sí","No")</x:f>
        <x:v>No</x:v>
      </x:c>
      <x:c r="O2267" s="25" t="str">
        <x:v>Pendiente: asignar con R/sf</x:v>
      </x:c>
    </x:row>
    <x:row r="2268">
      <x:c r="A2268" s="25" t="n">
        <x:v>2267</x:v>
      </x:c>
      <x:c r="B2268" s="26" t="n">
        <x:v>42013.492002314815</x:v>
      </x:c>
      <x:c r="C2268" s="27" t="n">
        <x:f>INT(B2268)</x:f>
        <x:v>42013</x:v>
      </x:c>
      <x:c r="D2268" s="28" t="n">
        <x:f>MOD(B2268,1)</x:f>
        <x:v>0.4920023148151813</x:v>
      </x:c>
      <x:c r="E2268" s="29" t="n">
        <x:f>YEAR(B2268)</x:f>
        <x:v>2015</x:v>
      </x:c>
      <x:c r="F2268" s="29" t="n">
        <x:f>MONTH(B2268)</x:f>
        <x:v>1</x:v>
      </x:c>
      <x:c r="G2268" s="30" t="n">
        <x:v>-20.4</x:v>
      </x:c>
      <x:c r="H2268" s="30" t="n">
        <x:v>-69.03</x:v>
      </x:c>
      <x:c r="I2268" s="29" t="n">
        <x:v>110</x:v>
      </x:c>
      <x:c r="J2268" s="31" t="n">
        <x:v>5.2</x:v>
      </x:c>
      <x:c r="K2268" s="25" t="str">
        <x:f>IF(J2268&gt;=7,"Muy fuerte (&gt;=7)",IF(J2268&gt;=6,"Fuerte (6-6.9)",IF(J2268&gt;=5,"Moderado alto (5-5.9)",IF(J2268&gt;=4,"Moderado (4-4.9)","Menor a 4"))))</x:f>
        <x:v>Moderado alto (5-5.9)</x:v>
      </x:c>
      <x:c r="L2268" s="25" t="str">
        <x:f>IF(I2268&lt;70,"Superficial (&lt;70 km)",IF(I2268&lt;=300,"Intermedio (70-300 km)","Profundo (&gt;300 km)"))</x:f>
        <x:v>Intermedio (70-300 km)</x:v>
      </x:c>
      <x:c r="M2268" s="25" t="str">
        <x:f>IF(J2268&gt;=5,"Sí","No")</x:f>
        <x:v>Sí</x:v>
      </x:c>
      <x:c r="N2268" s="25" t="str">
        <x:f>IF(J2268&gt;=6,"Sí","No")</x:f>
        <x:v>No</x:v>
      </x:c>
      <x:c r="O2268" s="25" t="str">
        <x:v>Pendiente: asignar con R/sf</x:v>
      </x:c>
    </x:row>
    <x:row r="2269">
      <x:c r="A2269" s="25" t="n">
        <x:v>2268</x:v>
      </x:c>
      <x:c r="B2269" s="26" t="n">
        <x:v>42014.7465625</x:v>
      </x:c>
      <x:c r="C2269" s="27" t="n">
        <x:f>INT(B2269)</x:f>
        <x:v>42014</x:v>
      </x:c>
      <x:c r="D2269" s="28" t="n">
        <x:f>MOD(B2269,1)</x:f>
        <x:v>0.7465624999967986</x:v>
      </x:c>
      <x:c r="E2269" s="29" t="n">
        <x:f>YEAR(B2269)</x:f>
        <x:v>2015</x:v>
      </x:c>
      <x:c r="F2269" s="29" t="n">
        <x:f>MONTH(B2269)</x:f>
        <x:v>1</x:v>
      </x:c>
      <x:c r="G2269" s="30" t="n">
        <x:v>-21.63</x:v>
      </x:c>
      <x:c r="H2269" s="30" t="n">
        <x:v>-68.66</x:v>
      </x:c>
      <x:c r="I2269" s="29" t="n">
        <x:v>110</x:v>
      </x:c>
      <x:c r="J2269" s="31" t="n">
        <x:v>5.3</x:v>
      </x:c>
      <x:c r="K2269" s="25" t="str">
        <x:f>IF(J2269&gt;=7,"Muy fuerte (&gt;=7)",IF(J2269&gt;=6,"Fuerte (6-6.9)",IF(J2269&gt;=5,"Moderado alto (5-5.9)",IF(J2269&gt;=4,"Moderado (4-4.9)","Menor a 4"))))</x:f>
        <x:v>Moderado alto (5-5.9)</x:v>
      </x:c>
      <x:c r="L2269" s="25" t="str">
        <x:f>IF(I2269&lt;70,"Superficial (&lt;70 km)",IF(I2269&lt;=300,"Intermedio (70-300 km)","Profundo (&gt;300 km)"))</x:f>
        <x:v>Intermedio (70-300 km)</x:v>
      </x:c>
      <x:c r="M2269" s="25" t="str">
        <x:f>IF(J2269&gt;=5,"Sí","No")</x:f>
        <x:v>Sí</x:v>
      </x:c>
      <x:c r="N2269" s="25" t="str">
        <x:f>IF(J2269&gt;=6,"Sí","No")</x:f>
        <x:v>No</x:v>
      </x:c>
      <x:c r="O2269" s="25" t="str">
        <x:v>Pendiente: asignar con R/sf</x:v>
      </x:c>
    </x:row>
    <x:row r="2270">
      <x:c r="A2270" s="25" t="n">
        <x:v>2269</x:v>
      </x:c>
      <x:c r="B2270" s="26" t="n">
        <x:v>42018.91515046296</x:v>
      </x:c>
      <x:c r="C2270" s="27" t="n">
        <x:f>INT(B2270)</x:f>
        <x:v>42018</x:v>
      </x:c>
      <x:c r="D2270" s="28" t="n">
        <x:f>MOD(B2270,1)</x:f>
        <x:v>0.9151504629626288</x:v>
      </x:c>
      <x:c r="E2270" s="29" t="n">
        <x:f>YEAR(B2270)</x:f>
        <x:v>2015</x:v>
      </x:c>
      <x:c r="F2270" s="29" t="n">
        <x:f>MONTH(B2270)</x:f>
        <x:v>1</x:v>
      </x:c>
      <x:c r="G2270" s="30" t="n">
        <x:v>-22.39</x:v>
      </x:c>
      <x:c r="H2270" s="30" t="n">
        <x:v>-70.22</x:v>
      </x:c>
      <x:c r="I2270" s="29" t="n">
        <x:v>71</x:v>
      </x:c>
      <x:c r="J2270" s="31" t="n">
        <x:v>4.4</x:v>
      </x:c>
      <x:c r="K2270" s="25" t="str">
        <x:f>IF(J2270&gt;=7,"Muy fuerte (&gt;=7)",IF(J2270&gt;=6,"Fuerte (6-6.9)",IF(J2270&gt;=5,"Moderado alto (5-5.9)",IF(J2270&gt;=4,"Moderado (4-4.9)","Menor a 4"))))</x:f>
        <x:v>Moderado (4-4.9)</x:v>
      </x:c>
      <x:c r="L2270" s="25" t="str">
        <x:f>IF(I2270&lt;70,"Superficial (&lt;70 km)",IF(I2270&lt;=300,"Intermedio (70-300 km)","Profundo (&gt;300 km)"))</x:f>
        <x:v>Intermedio (70-300 km)</x:v>
      </x:c>
      <x:c r="M2270" s="25" t="str">
        <x:f>IF(J2270&gt;=5,"Sí","No")</x:f>
        <x:v>No</x:v>
      </x:c>
      <x:c r="N2270" s="25" t="str">
        <x:f>IF(J2270&gt;=6,"Sí","No")</x:f>
        <x:v>No</x:v>
      </x:c>
      <x:c r="O2270" s="25" t="str">
        <x:v>Pendiente: asignar con R/sf</x:v>
      </x:c>
    </x:row>
    <x:row r="2271">
      <x:c r="A2271" s="25" t="n">
        <x:v>2270</x:v>
      </x:c>
      <x:c r="B2271" s="26" t="n">
        <x:v>42037.64041666667</x:v>
      </x:c>
      <x:c r="C2271" s="27" t="n">
        <x:f>INT(B2271)</x:f>
        <x:v>42037</x:v>
      </x:c>
      <x:c r="D2271" s="28" t="n">
        <x:f>MOD(B2271,1)</x:f>
        <x:v>0.640416666668898</x:v>
      </x:c>
      <x:c r="E2271" s="29" t="n">
        <x:f>YEAR(B2271)</x:f>
        <x:v>2015</x:v>
      </x:c>
      <x:c r="F2271" s="29" t="n">
        <x:f>MONTH(B2271)</x:f>
        <x:v>2</x:v>
      </x:c>
      <x:c r="G2271" s="30" t="n">
        <x:v>-22.27</x:v>
      </x:c>
      <x:c r="H2271" s="30" t="n">
        <x:v>-70.8</x:v>
      </x:c>
      <x:c r="I2271" s="29" t="n">
        <x:v>40</x:v>
      </x:c>
      <x:c r="J2271" s="31" t="n">
        <x:v>5</x:v>
      </x:c>
      <x:c r="K2271" s="25" t="str">
        <x:f>IF(J2271&gt;=7,"Muy fuerte (&gt;=7)",IF(J2271&gt;=6,"Fuerte (6-6.9)",IF(J2271&gt;=5,"Moderado alto (5-5.9)",IF(J2271&gt;=4,"Moderado (4-4.9)","Menor a 4"))))</x:f>
        <x:v>Moderado alto (5-5.9)</x:v>
      </x:c>
      <x:c r="L2271" s="25" t="str">
        <x:f>IF(I2271&lt;70,"Superficial (&lt;70 km)",IF(I2271&lt;=300,"Intermedio (70-300 km)","Profundo (&gt;300 km)"))</x:f>
        <x:v>Superficial (&lt;70 km)</x:v>
      </x:c>
      <x:c r="M2271" s="25" t="str">
        <x:f>IF(J2271&gt;=5,"Sí","No")</x:f>
        <x:v>Sí</x:v>
      </x:c>
      <x:c r="N2271" s="25" t="str">
        <x:f>IF(J2271&gt;=6,"Sí","No")</x:f>
        <x:v>No</x:v>
      </x:c>
      <x:c r="O2271" s="25" t="str">
        <x:v>Pendiente: asignar con R/sf</x:v>
      </x:c>
    </x:row>
    <x:row r="2272">
      <x:c r="A2272" s="25" t="n">
        <x:v>2271</x:v>
      </x:c>
      <x:c r="B2272" s="26" t="n">
        <x:v>42046.78980324074</x:v>
      </x:c>
      <x:c r="C2272" s="27" t="n">
        <x:f>INT(B2272)</x:f>
        <x:v>42046</x:v>
      </x:c>
      <x:c r="D2272" s="28" t="n">
        <x:f>MOD(B2272,1)</x:f>
        <x:v>0.7898032407392748</x:v>
      </x:c>
      <x:c r="E2272" s="29" t="n">
        <x:f>YEAR(B2272)</x:f>
        <x:v>2015</x:v>
      </x:c>
      <x:c r="F2272" s="29" t="n">
        <x:f>MONTH(B2272)</x:f>
        <x:v>2</x:v>
      </x:c>
      <x:c r="G2272" s="30" t="n">
        <x:v>-23.17</x:v>
      </x:c>
      <x:c r="H2272" s="30" t="n">
        <x:v>-66.86</x:v>
      </x:c>
      <x:c r="I2272" s="29" t="n">
        <x:v>239</x:v>
      </x:c>
      <x:c r="J2272" s="31" t="n">
        <x:v>6.6</x:v>
      </x:c>
      <x:c r="K2272" s="25" t="str">
        <x:f>IF(J2272&gt;=7,"Muy fuerte (&gt;=7)",IF(J2272&gt;=6,"Fuerte (6-6.9)",IF(J2272&gt;=5,"Moderado alto (5-5.9)",IF(J2272&gt;=4,"Moderado (4-4.9)","Menor a 4"))))</x:f>
        <x:v>Fuerte (6-6.9)</x:v>
      </x:c>
      <x:c r="L2272" s="25" t="str">
        <x:f>IF(I2272&lt;70,"Superficial (&lt;70 km)",IF(I2272&lt;=300,"Intermedio (70-300 km)","Profundo (&gt;300 km)"))</x:f>
        <x:v>Intermedio (70-300 km)</x:v>
      </x:c>
      <x:c r="M2272" s="25" t="str">
        <x:f>IF(J2272&gt;=5,"Sí","No")</x:f>
        <x:v>Sí</x:v>
      </x:c>
      <x:c r="N2272" s="25" t="str">
        <x:f>IF(J2272&gt;=6,"Sí","No")</x:f>
        <x:v>Sí</x:v>
      </x:c>
      <x:c r="O2272" s="25" t="str">
        <x:v>Pendiente: asignar con R/sf</x:v>
      </x:c>
    </x:row>
    <x:row r="2273">
      <x:c r="A2273" s="25" t="n">
        <x:v>2272</x:v>
      </x:c>
      <x:c r="B2273" s="26" t="n">
        <x:v>42066.53146990741</x:v>
      </x:c>
      <x:c r="C2273" s="27" t="n">
        <x:f>INT(B2273)</x:f>
        <x:v>42066</x:v>
      </x:c>
      <x:c r="D2273" s="28" t="n">
        <x:f>MOD(B2273,1)</x:f>
        <x:v>0.5314699074078817</x:v>
      </x:c>
      <x:c r="E2273" s="29" t="n">
        <x:f>YEAR(B2273)</x:f>
        <x:v>2015</x:v>
      </x:c>
      <x:c r="F2273" s="29" t="n">
        <x:f>MONTH(B2273)</x:f>
        <x:v>3</x:v>
      </x:c>
      <x:c r="G2273" s="30" t="n">
        <x:v>-20.36</x:v>
      </x:c>
      <x:c r="H2273" s="30" t="n">
        <x:v>-69.14</x:v>
      </x:c>
      <x:c r="I2273" s="29" t="n">
        <x:v>106</x:v>
      </x:c>
      <x:c r="J2273" s="31" t="n">
        <x:v>5.2</x:v>
      </x:c>
      <x:c r="K2273" s="25" t="str">
        <x:f>IF(J2273&gt;=7,"Muy fuerte (&gt;=7)",IF(J2273&gt;=6,"Fuerte (6-6.9)",IF(J2273&gt;=5,"Moderado alto (5-5.9)",IF(J2273&gt;=4,"Moderado (4-4.9)","Menor a 4"))))</x:f>
        <x:v>Moderado alto (5-5.9)</x:v>
      </x:c>
      <x:c r="L2273" s="25" t="str">
        <x:f>IF(I2273&lt;70,"Superficial (&lt;70 km)",IF(I2273&lt;=300,"Intermedio (70-300 km)","Profundo (&gt;300 km)"))</x:f>
        <x:v>Intermedio (70-300 km)</x:v>
      </x:c>
      <x:c r="M2273" s="25" t="str">
        <x:f>IF(J2273&gt;=5,"Sí","No")</x:f>
        <x:v>Sí</x:v>
      </x:c>
      <x:c r="N2273" s="25" t="str">
        <x:f>IF(J2273&gt;=6,"Sí","No")</x:f>
        <x:v>No</x:v>
      </x:c>
      <x:c r="O2273" s="25" t="str">
        <x:v>Pendiente: asignar con R/sf</x:v>
      </x:c>
    </x:row>
    <x:row r="2274">
      <x:c r="A2274" s="25" t="n">
        <x:v>2273</x:v>
      </x:c>
      <x:c r="B2274" s="26" t="n">
        <x:v>42072.14050925926</x:v>
      </x:c>
      <x:c r="C2274" s="27" t="n">
        <x:f>INT(B2274)</x:f>
        <x:v>42072</x:v>
      </x:c>
      <x:c r="D2274" s="28" t="n">
        <x:f>MOD(B2274,1)</x:f>
        <x:v>0.1405092592613073</x:v>
      </x:c>
      <x:c r="E2274" s="29" t="n">
        <x:f>YEAR(B2274)</x:f>
        <x:v>2015</x:v>
      </x:c>
      <x:c r="F2274" s="29" t="n">
        <x:f>MONTH(B2274)</x:f>
        <x:v>3</x:v>
      </x:c>
      <x:c r="G2274" s="30" t="n">
        <x:v>-19.69</x:v>
      </x:c>
      <x:c r="H2274" s="30" t="n">
        <x:v>-69.48</x:v>
      </x:c>
      <x:c r="I2274" s="29" t="n">
        <x:v>97</x:v>
      </x:c>
      <x:c r="J2274" s="31" t="n">
        <x:v>4.9</x:v>
      </x:c>
      <x:c r="K2274" s="25" t="str">
        <x:f>IF(J2274&gt;=7,"Muy fuerte (&gt;=7)",IF(J2274&gt;=6,"Fuerte (6-6.9)",IF(J2274&gt;=5,"Moderado alto (5-5.9)",IF(J2274&gt;=4,"Moderado (4-4.9)","Menor a 4"))))</x:f>
        <x:v>Moderado (4-4.9)</x:v>
      </x:c>
      <x:c r="L2274" s="25" t="str">
        <x:f>IF(I2274&lt;70,"Superficial (&lt;70 km)",IF(I2274&lt;=300,"Intermedio (70-300 km)","Profundo (&gt;300 km)"))</x:f>
        <x:v>Intermedio (70-300 km)</x:v>
      </x:c>
      <x:c r="M2274" s="25" t="str">
        <x:f>IF(J2274&gt;=5,"Sí","No")</x:f>
        <x:v>No</x:v>
      </x:c>
      <x:c r="N2274" s="25" t="str">
        <x:f>IF(J2274&gt;=6,"Sí","No")</x:f>
        <x:v>No</x:v>
      </x:c>
      <x:c r="O2274" s="25" t="str">
        <x:v>Pendiente: asignar con R/sf</x:v>
      </x:c>
    </x:row>
    <x:row r="2275">
      <x:c r="A2275" s="25" t="n">
        <x:v>2274</x:v>
      </x:c>
      <x:c r="B2275" s="26" t="n">
        <x:v>42078.12484953704</x:v>
      </x:c>
      <x:c r="C2275" s="27" t="n">
        <x:f>INT(B2275)</x:f>
        <x:v>42078</x:v>
      </x:c>
      <x:c r="D2275" s="28" t="n">
        <x:f>MOD(B2275,1)</x:f>
        <x:v>0.12484953703824431</x:v>
      </x:c>
      <x:c r="E2275" s="29" t="n">
        <x:f>YEAR(B2275)</x:f>
        <x:v>2015</x:v>
      </x:c>
      <x:c r="F2275" s="29" t="n">
        <x:f>MONTH(B2275)</x:f>
        <x:v>3</x:v>
      </x:c>
      <x:c r="G2275" s="30" t="n">
        <x:v>-21.97</x:v>
      </x:c>
      <x:c r="H2275" s="30" t="n">
        <x:v>-68.86</x:v>
      </x:c>
      <x:c r="I2275" s="29" t="n">
        <x:v>103</x:v>
      </x:c>
      <x:c r="J2275" s="31" t="n">
        <x:v>4.9</x:v>
      </x:c>
      <x:c r="K2275" s="25" t="str">
        <x:f>IF(J2275&gt;=7,"Muy fuerte (&gt;=7)",IF(J2275&gt;=6,"Fuerte (6-6.9)",IF(J2275&gt;=5,"Moderado alto (5-5.9)",IF(J2275&gt;=4,"Moderado (4-4.9)","Menor a 4"))))</x:f>
        <x:v>Moderado (4-4.9)</x:v>
      </x:c>
      <x:c r="L2275" s="25" t="str">
        <x:f>IF(I2275&lt;70,"Superficial (&lt;70 km)",IF(I2275&lt;=300,"Intermedio (70-300 km)","Profundo (&gt;300 km)"))</x:f>
        <x:v>Intermedio (70-300 km)</x:v>
      </x:c>
      <x:c r="M2275" s="25" t="str">
        <x:f>IF(J2275&gt;=5,"Sí","No")</x:f>
        <x:v>No</x:v>
      </x:c>
      <x:c r="N2275" s="25" t="str">
        <x:f>IF(J2275&gt;=6,"Sí","No")</x:f>
        <x:v>No</x:v>
      </x:c>
      <x:c r="O2275" s="25" t="str">
        <x:v>Pendiente: asignar con R/sf</x:v>
      </x:c>
    </x:row>
    <x:row r="2276">
      <x:c r="A2276" s="25" t="n">
        <x:v>2275</x:v>
      </x:c>
      <x:c r="B2276" s="26" t="n">
        <x:v>42086.202523148146</x:v>
      </x:c>
      <x:c r="C2276" s="27" t="n">
        <x:f>INT(B2276)</x:f>
        <x:v>42086</x:v>
      </x:c>
      <x:c r="D2276" s="28" t="n">
        <x:f>MOD(B2276,1)</x:f>
        <x:v>0.20252314814570127</x:v>
      </x:c>
      <x:c r="E2276" s="29" t="n">
        <x:f>YEAR(B2276)</x:f>
        <x:v>2015</x:v>
      </x:c>
      <x:c r="F2276" s="29" t="n">
        <x:f>MONTH(B2276)</x:f>
        <x:v>3</x:v>
      </x:c>
      <x:c r="G2276" s="30" t="n">
        <x:v>-18.42</x:v>
      </x:c>
      <x:c r="H2276" s="30" t="n">
        <x:v>-69.27</x:v>
      </x:c>
      <x:c r="I2276" s="29" t="n">
        <x:v>121</x:v>
      </x:c>
      <x:c r="J2276" s="31" t="n">
        <x:v>6.3</x:v>
      </x:c>
      <x:c r="K2276" s="25" t="str">
        <x:f>IF(J2276&gt;=7,"Muy fuerte (&gt;=7)",IF(J2276&gt;=6,"Fuerte (6-6.9)",IF(J2276&gt;=5,"Moderado alto (5-5.9)",IF(J2276&gt;=4,"Moderado (4-4.9)","Menor a 4"))))</x:f>
        <x:v>Fuerte (6-6.9)</x:v>
      </x:c>
      <x:c r="L2276" s="25" t="str">
        <x:f>IF(I2276&lt;70,"Superficial (&lt;70 km)",IF(I2276&lt;=300,"Intermedio (70-300 km)","Profundo (&gt;300 km)"))</x:f>
        <x:v>Intermedio (70-300 km)</x:v>
      </x:c>
      <x:c r="M2276" s="25" t="str">
        <x:f>IF(J2276&gt;=5,"Sí","No")</x:f>
        <x:v>Sí</x:v>
      </x:c>
      <x:c r="N2276" s="25" t="str">
        <x:f>IF(J2276&gt;=6,"Sí","No")</x:f>
        <x:v>Sí</x:v>
      </x:c>
      <x:c r="O2276" s="25" t="str">
        <x:v>Pendiente: asignar con R/sf</x:v>
      </x:c>
    </x:row>
    <x:row r="2277">
      <x:c r="A2277" s="25" t="n">
        <x:v>2276</x:v>
      </x:c>
      <x:c r="B2277" s="26" t="n">
        <x:v>42087.949212962965</x:v>
      </x:c>
      <x:c r="C2277" s="27" t="n">
        <x:f>INT(B2277)</x:f>
        <x:v>42087</x:v>
      </x:c>
      <x:c r="D2277" s="28" t="n">
        <x:f>MOD(B2277,1)</x:f>
        <x:v>0.9492129629652482</x:v>
      </x:c>
      <x:c r="E2277" s="29" t="n">
        <x:f>YEAR(B2277)</x:f>
        <x:v>2015</x:v>
      </x:c>
      <x:c r="F2277" s="29" t="n">
        <x:f>MONTH(B2277)</x:f>
        <x:v>3</x:v>
      </x:c>
      <x:c r="G2277" s="30" t="n">
        <x:v>-20.68</x:v>
      </x:c>
      <x:c r="H2277" s="30" t="n">
        <x:v>-70.78</x:v>
      </x:c>
      <x:c r="I2277" s="29" t="n">
        <x:v>16</x:v>
      </x:c>
      <x:c r="J2277" s="31" t="n">
        <x:v>4.8</x:v>
      </x:c>
      <x:c r="K2277" s="25" t="str">
        <x:f>IF(J2277&gt;=7,"Muy fuerte (&gt;=7)",IF(J2277&gt;=6,"Fuerte (6-6.9)",IF(J2277&gt;=5,"Moderado alto (5-5.9)",IF(J2277&gt;=4,"Moderado (4-4.9)","Menor a 4"))))</x:f>
        <x:v>Moderado (4-4.9)</x:v>
      </x:c>
      <x:c r="L2277" s="25" t="str">
        <x:f>IF(I2277&lt;70,"Superficial (&lt;70 km)",IF(I2277&lt;=300,"Intermedio (70-300 km)","Profundo (&gt;300 km)"))</x:f>
        <x:v>Superficial (&lt;70 km)</x:v>
      </x:c>
      <x:c r="M2277" s="25" t="str">
        <x:f>IF(J2277&gt;=5,"Sí","No")</x:f>
        <x:v>No</x:v>
      </x:c>
      <x:c r="N2277" s="25" t="str">
        <x:f>IF(J2277&gt;=6,"Sí","No")</x:f>
        <x:v>No</x:v>
      </x:c>
      <x:c r="O2277" s="25" t="str">
        <x:v>Pendiente: asignar con R/sf</x:v>
      </x:c>
    </x:row>
    <x:row r="2278">
      <x:c r="A2278" s="25" t="n">
        <x:v>2277</x:v>
      </x:c>
      <x:c r="B2278" s="26" t="n">
        <x:v>42091.69228009259</x:v>
      </x:c>
      <x:c r="C2278" s="27" t="n">
        <x:f>INT(B2278)</x:f>
        <x:v>42091</x:v>
      </x:c>
      <x:c r="D2278" s="28" t="n">
        <x:f>MOD(B2278,1)</x:f>
        <x:v>0.692280092589499</x:v>
      </x:c>
      <x:c r="E2278" s="29" t="n">
        <x:f>YEAR(B2278)</x:f>
        <x:v>2015</x:v>
      </x:c>
      <x:c r="F2278" s="29" t="n">
        <x:f>MONTH(B2278)</x:f>
        <x:v>3</x:v>
      </x:c>
      <x:c r="G2278" s="30" t="n">
        <x:v>-22.19</x:v>
      </x:c>
      <x:c r="H2278" s="30" t="n">
        <x:v>-68.7</x:v>
      </x:c>
      <x:c r="I2278" s="29" t="n">
        <x:v>112</x:v>
      </x:c>
      <x:c r="J2278" s="31" t="n">
        <x:v>5.8</x:v>
      </x:c>
      <x:c r="K2278" s="25" t="str">
        <x:f>IF(J2278&gt;=7,"Muy fuerte (&gt;=7)",IF(J2278&gt;=6,"Fuerte (6-6.9)",IF(J2278&gt;=5,"Moderado alto (5-5.9)",IF(J2278&gt;=4,"Moderado (4-4.9)","Menor a 4"))))</x:f>
        <x:v>Moderado alto (5-5.9)</x:v>
      </x:c>
      <x:c r="L2278" s="25" t="str">
        <x:f>IF(I2278&lt;70,"Superficial (&lt;70 km)",IF(I2278&lt;=300,"Intermedio (70-300 km)","Profundo (&gt;300 km)"))</x:f>
        <x:v>Intermedio (70-300 km)</x:v>
      </x:c>
      <x:c r="M2278" s="25" t="str">
        <x:f>IF(J2278&gt;=5,"Sí","No")</x:f>
        <x:v>Sí</x:v>
      </x:c>
      <x:c r="N2278" s="25" t="str">
        <x:f>IF(J2278&gt;=6,"Sí","No")</x:f>
        <x:v>No</x:v>
      </x:c>
      <x:c r="O2278" s="25" t="str">
        <x:v>Pendiente: asignar con R/sf</x:v>
      </x:c>
    </x:row>
    <x:row r="2279">
      <x:c r="A2279" s="25" t="n">
        <x:v>2278</x:v>
      </x:c>
      <x:c r="B2279" s="26" t="n">
        <x:v>42107.92798611111</x:v>
      </x:c>
      <x:c r="C2279" s="27" t="n">
        <x:f>INT(B2279)</x:f>
        <x:v>42107</x:v>
      </x:c>
      <x:c r="D2279" s="28" t="n">
        <x:f>MOD(B2279,1)</x:f>
        <x:v>0.9279861111135688</x:v>
      </x:c>
      <x:c r="E2279" s="29" t="n">
        <x:f>YEAR(B2279)</x:f>
        <x:v>2015</x:v>
      </x:c>
      <x:c r="F2279" s="29" t="n">
        <x:f>MONTH(B2279)</x:f>
        <x:v>4</x:v>
      </x:c>
      <x:c r="G2279" s="30" t="n">
        <x:v>-21.11</x:v>
      </x:c>
      <x:c r="H2279" s="30" t="n">
        <x:v>-68.7</x:v>
      </x:c>
      <x:c r="I2279" s="29" t="n">
        <x:v>129</x:v>
      </x:c>
      <x:c r="J2279" s="31" t="n">
        <x:v>5.1</x:v>
      </x:c>
      <x:c r="K2279" s="25" t="str">
        <x:f>IF(J2279&gt;=7,"Muy fuerte (&gt;=7)",IF(J2279&gt;=6,"Fuerte (6-6.9)",IF(J2279&gt;=5,"Moderado alto (5-5.9)",IF(J2279&gt;=4,"Moderado (4-4.9)","Menor a 4"))))</x:f>
        <x:v>Moderado alto (5-5.9)</x:v>
      </x:c>
      <x:c r="L2279" s="25" t="str">
        <x:f>IF(I2279&lt;70,"Superficial (&lt;70 km)",IF(I2279&lt;=300,"Intermedio (70-300 km)","Profundo (&gt;300 km)"))</x:f>
        <x:v>Intermedio (70-300 km)</x:v>
      </x:c>
      <x:c r="M2279" s="25" t="str">
        <x:f>IF(J2279&gt;=5,"Sí","No")</x:f>
        <x:v>Sí</x:v>
      </x:c>
      <x:c r="N2279" s="25" t="str">
        <x:f>IF(J2279&gt;=6,"Sí","No")</x:f>
        <x:v>No</x:v>
      </x:c>
      <x:c r="O2279" s="25" t="str">
        <x:v>Pendiente: asignar con R/sf</x:v>
      </x:c>
    </x:row>
    <x:row r="2280">
      <x:c r="A2280" s="25" t="n">
        <x:v>2279</x:v>
      </x:c>
      <x:c r="B2280" s="26" t="n">
        <x:v>42139.25371527778</x:v>
      </x:c>
      <x:c r="C2280" s="27" t="n">
        <x:f>INT(B2280)</x:f>
        <x:v>42139</x:v>
      </x:c>
      <x:c r="D2280" s="28" t="n">
        <x:f>MOD(B2280,1)</x:f>
        <x:v>0.25371527778042946</x:v>
      </x:c>
      <x:c r="E2280" s="29" t="n">
        <x:f>YEAR(B2280)</x:f>
        <x:v>2015</x:v>
      </x:c>
      <x:c r="F2280" s="29" t="n">
        <x:f>MONTH(B2280)</x:f>
        <x:v>5</x:v>
      </x:c>
      <x:c r="G2280" s="30" t="n">
        <x:v>-29.57</x:v>
      </x:c>
      <x:c r="H2280" s="30" t="n">
        <x:v>-71.24</x:v>
      </x:c>
      <x:c r="I2280" s="29" t="n">
        <x:v>66</x:v>
      </x:c>
      <x:c r="J2280" s="31" t="n">
        <x:v>4.5</x:v>
      </x:c>
      <x:c r="K2280" s="25" t="str">
        <x:f>IF(J2280&gt;=7,"Muy fuerte (&gt;=7)",IF(J2280&gt;=6,"Fuerte (6-6.9)",IF(J2280&gt;=5,"Moderado alto (5-5.9)",IF(J2280&gt;=4,"Moderado (4-4.9)","Menor a 4"))))</x:f>
        <x:v>Moderado (4-4.9)</x:v>
      </x:c>
      <x:c r="L2280" s="25" t="str">
        <x:f>IF(I2280&lt;70,"Superficial (&lt;70 km)",IF(I2280&lt;=300,"Intermedio (70-300 km)","Profundo (&gt;300 km)"))</x:f>
        <x:v>Superficial (&lt;70 km)</x:v>
      </x:c>
      <x:c r="M2280" s="25" t="str">
        <x:f>IF(J2280&gt;=5,"Sí","No")</x:f>
        <x:v>No</x:v>
      </x:c>
      <x:c r="N2280" s="25" t="str">
        <x:f>IF(J2280&gt;=6,"Sí","No")</x:f>
        <x:v>No</x:v>
      </x:c>
      <x:c r="O2280" s="25" t="str">
        <x:v>Pendiente: asignar con R/sf</x:v>
      </x:c>
    </x:row>
    <x:row r="2281">
      <x:c r="A2281" s="25" t="n">
        <x:v>2280</x:v>
      </x:c>
      <x:c r="B2281" s="26" t="n">
        <x:v>42150.438888888886</x:v>
      </x:c>
      <x:c r="C2281" s="27" t="n">
        <x:f>INT(B2281)</x:f>
        <x:v>42150</x:v>
      </x:c>
      <x:c r="D2281" s="28" t="n">
        <x:f>MOD(B2281,1)</x:f>
        <x:v>0.4388888888861402</x:v>
      </x:c>
      <x:c r="E2281" s="29" t="n">
        <x:f>YEAR(B2281)</x:f>
        <x:v>2015</x:v>
      </x:c>
      <x:c r="F2281" s="29" t="n">
        <x:f>MONTH(B2281)</x:f>
        <x:v>5</x:v>
      </x:c>
      <x:c r="G2281" s="30" t="n">
        <x:v>-22.06</x:v>
      </x:c>
      <x:c r="H2281" s="30" t="n">
        <x:v>-68.52</x:v>
      </x:c>
      <x:c r="I2281" s="29" t="n">
        <x:v>134</x:v>
      </x:c>
      <x:c r="J2281" s="31" t="n">
        <x:v>5.7</x:v>
      </x:c>
      <x:c r="K2281" s="25" t="str">
        <x:f>IF(J2281&gt;=7,"Muy fuerte (&gt;=7)",IF(J2281&gt;=6,"Fuerte (6-6.9)",IF(J2281&gt;=5,"Moderado alto (5-5.9)",IF(J2281&gt;=4,"Moderado (4-4.9)","Menor a 4"))))</x:f>
        <x:v>Moderado alto (5-5.9)</x:v>
      </x:c>
      <x:c r="L2281" s="25" t="str">
        <x:f>IF(I2281&lt;70,"Superficial (&lt;70 km)",IF(I2281&lt;=300,"Intermedio (70-300 km)","Profundo (&gt;300 km)"))</x:f>
        <x:v>Intermedio (70-300 km)</x:v>
      </x:c>
      <x:c r="M2281" s="25" t="str">
        <x:f>IF(J2281&gt;=5,"Sí","No")</x:f>
        <x:v>Sí</x:v>
      </x:c>
      <x:c r="N2281" s="25" t="str">
        <x:f>IF(J2281&gt;=6,"Sí","No")</x:f>
        <x:v>No</x:v>
      </x:c>
      <x:c r="O2281" s="25" t="str">
        <x:v>Pendiente: asignar con R/sf</x:v>
      </x:c>
    </x:row>
    <x:row r="2282">
      <x:c r="A2282" s="25" t="n">
        <x:v>2281</x:v>
      </x:c>
      <x:c r="B2282" s="26" t="n">
        <x:v>42165.577881944446</x:v>
      </x:c>
      <x:c r="C2282" s="27" t="n">
        <x:f>INT(B2282)</x:f>
        <x:v>42165</x:v>
      </x:c>
      <x:c r="D2282" s="28" t="n">
        <x:f>MOD(B2282,1)</x:f>
        <x:v>0.577881944445835</x:v>
      </x:c>
      <x:c r="E2282" s="29" t="n">
        <x:f>YEAR(B2282)</x:f>
        <x:v>2015</x:v>
      </x:c>
      <x:c r="F2282" s="29" t="n">
        <x:f>MONTH(B2282)</x:f>
        <x:v>6</x:v>
      </x:c>
      <x:c r="G2282" s="30" t="n">
        <x:v>-22.43</x:v>
      </x:c>
      <x:c r="H2282" s="30" t="n">
        <x:v>-68.58</x:v>
      </x:c>
      <x:c r="I2282" s="29" t="n">
        <x:v>130</x:v>
      </x:c>
      <x:c r="J2282" s="31" t="n">
        <x:v>6</x:v>
      </x:c>
      <x:c r="K2282" s="25" t="str">
        <x:f>IF(J2282&gt;=7,"Muy fuerte (&gt;=7)",IF(J2282&gt;=6,"Fuerte (6-6.9)",IF(J2282&gt;=5,"Moderado alto (5-5.9)",IF(J2282&gt;=4,"Moderado (4-4.9)","Menor a 4"))))</x:f>
        <x:v>Fuerte (6-6.9)</x:v>
      </x:c>
      <x:c r="L2282" s="25" t="str">
        <x:f>IF(I2282&lt;70,"Superficial (&lt;70 km)",IF(I2282&lt;=300,"Intermedio (70-300 km)","Profundo (&gt;300 km)"))</x:f>
        <x:v>Intermedio (70-300 km)</x:v>
      </x:c>
      <x:c r="M2282" s="25" t="str">
        <x:f>IF(J2282&gt;=5,"Sí","No")</x:f>
        <x:v>Sí</x:v>
      </x:c>
      <x:c r="N2282" s="25" t="str">
        <x:f>IF(J2282&gt;=6,"Sí","No")</x:f>
        <x:v>Sí</x:v>
      </x:c>
      <x:c r="O2282" s="25" t="str">
        <x:v>Pendiente: asignar con R/sf</x:v>
      </x:c>
    </x:row>
    <x:row r="2283">
      <x:c r="A2283" s="25" t="n">
        <x:v>2282</x:v>
      </x:c>
      <x:c r="B2283" s="26" t="n">
        <x:v>42191.128645833334</x:v>
      </x:c>
      <x:c r="C2283" s="27" t="n">
        <x:f>INT(B2283)</x:f>
        <x:v>42191</x:v>
      </x:c>
      <x:c r="D2283" s="28" t="n">
        <x:f>MOD(B2283,1)</x:f>
        <x:v>0.12864583333430346</x:v>
      </x:c>
      <x:c r="E2283" s="29" t="n">
        <x:f>YEAR(B2283)</x:f>
        <x:v>2015</x:v>
      </x:c>
      <x:c r="F2283" s="29" t="n">
        <x:f>MONTH(B2283)</x:f>
        <x:v>7</x:v>
      </x:c>
      <x:c r="G2283" s="30" t="n">
        <x:v>-20.91</x:v>
      </x:c>
      <x:c r="H2283" s="30" t="n">
        <x:v>-69.25</x:v>
      </x:c>
      <x:c r="I2283" s="29" t="n">
        <x:v>106</x:v>
      </x:c>
      <x:c r="J2283" s="31" t="n">
        <x:v>4.3</x:v>
      </x:c>
      <x:c r="K2283" s="25" t="str">
        <x:f>IF(J2283&gt;=7,"Muy fuerte (&gt;=7)",IF(J2283&gt;=6,"Fuerte (6-6.9)",IF(J2283&gt;=5,"Moderado alto (5-5.9)",IF(J2283&gt;=4,"Moderado (4-4.9)","Menor a 4"))))</x:f>
        <x:v>Moderado (4-4.9)</x:v>
      </x:c>
      <x:c r="L2283" s="25" t="str">
        <x:f>IF(I2283&lt;70,"Superficial (&lt;70 km)",IF(I2283&lt;=300,"Intermedio (70-300 km)","Profundo (&gt;300 km)"))</x:f>
        <x:v>Intermedio (70-300 km)</x:v>
      </x:c>
      <x:c r="M2283" s="25" t="str">
        <x:f>IF(J2283&gt;=5,"Sí","No")</x:f>
        <x:v>No</x:v>
      </x:c>
      <x:c r="N2283" s="25" t="str">
        <x:f>IF(J2283&gt;=6,"Sí","No")</x:f>
        <x:v>No</x:v>
      </x:c>
      <x:c r="O2283" s="25" t="str">
        <x:v>Pendiente: asignar con R/sf</x:v>
      </x:c>
    </x:row>
    <x:row r="2284">
      <x:c r="A2284" s="25" t="n">
        <x:v>2283</x:v>
      </x:c>
      <x:c r="B2284" s="26" t="n">
        <x:v>42209.968518518515</x:v>
      </x:c>
      <x:c r="C2284" s="27" t="n">
        <x:f>INT(B2284)</x:f>
        <x:v>42209</x:v>
      </x:c>
      <x:c r="D2284" s="28" t="n">
        <x:f>MOD(B2284,1)</x:f>
        <x:v>0.9685185185153387</x:v>
      </x:c>
      <x:c r="E2284" s="29" t="n">
        <x:f>YEAR(B2284)</x:f>
        <x:v>2015</x:v>
      </x:c>
      <x:c r="F2284" s="29" t="n">
        <x:f>MONTH(B2284)</x:f>
        <x:v>7</x:v>
      </x:c>
      <x:c r="G2284" s="30" t="n">
        <x:v>-20.29</x:v>
      </x:c>
      <x:c r="H2284" s="30" t="n">
        <x:v>-70.17</x:v>
      </x:c>
      <x:c r="I2284" s="29" t="n">
        <x:v>38</x:v>
      </x:c>
      <x:c r="J2284" s="31" t="n">
        <x:v>5.3</x:v>
      </x:c>
      <x:c r="K2284" s="25" t="str">
        <x:f>IF(J2284&gt;=7,"Muy fuerte (&gt;=7)",IF(J2284&gt;=6,"Fuerte (6-6.9)",IF(J2284&gt;=5,"Moderado alto (5-5.9)",IF(J2284&gt;=4,"Moderado (4-4.9)","Menor a 4"))))</x:f>
        <x:v>Moderado alto (5-5.9)</x:v>
      </x:c>
      <x:c r="L2284" s="25" t="str">
        <x:f>IF(I2284&lt;70,"Superficial (&lt;70 km)",IF(I2284&lt;=300,"Intermedio (70-300 km)","Profundo (&gt;300 km)"))</x:f>
        <x:v>Superficial (&lt;70 km)</x:v>
      </x:c>
      <x:c r="M2284" s="25" t="str">
        <x:f>IF(J2284&gt;=5,"Sí","No")</x:f>
        <x:v>Sí</x:v>
      </x:c>
      <x:c r="N2284" s="25" t="str">
        <x:f>IF(J2284&gt;=6,"Sí","No")</x:f>
        <x:v>No</x:v>
      </x:c>
      <x:c r="O2284" s="25" t="str">
        <x:v>Pendiente: asignar con R/sf</x:v>
      </x:c>
    </x:row>
    <x:row r="2285">
      <x:c r="A2285" s="25" t="n">
        <x:v>2284</x:v>
      </x:c>
      <x:c r="B2285" s="26" t="n">
        <x:v>42220.46658564815</x:v>
      </x:c>
      <x:c r="C2285" s="27" t="n">
        <x:f>INT(B2285)</x:f>
        <x:v>42220</x:v>
      </x:c>
      <x:c r="D2285" s="28" t="n">
        <x:f>MOD(B2285,1)</x:f>
        <x:v>0.46658564815152204</x:v>
      </x:c>
      <x:c r="E2285" s="29" t="n">
        <x:f>YEAR(B2285)</x:f>
        <x:v>2015</x:v>
      </x:c>
      <x:c r="F2285" s="29" t="n">
        <x:f>MONTH(B2285)</x:f>
        <x:v>8</x:v>
      </x:c>
      <x:c r="G2285" s="30" t="n">
        <x:v>-20.59</x:v>
      </x:c>
      <x:c r="H2285" s="30" t="n">
        <x:v>-69.26</x:v>
      </x:c>
      <x:c r="I2285" s="29" t="n">
        <x:v>108</x:v>
      </x:c>
      <x:c r="J2285" s="31" t="n">
        <x:v>4.7</x:v>
      </x:c>
      <x:c r="K2285" s="25" t="str">
        <x:f>IF(J2285&gt;=7,"Muy fuerte (&gt;=7)",IF(J2285&gt;=6,"Fuerte (6-6.9)",IF(J2285&gt;=5,"Moderado alto (5-5.9)",IF(J2285&gt;=4,"Moderado (4-4.9)","Menor a 4"))))</x:f>
        <x:v>Moderado (4-4.9)</x:v>
      </x:c>
      <x:c r="L2285" s="25" t="str">
        <x:f>IF(I2285&lt;70,"Superficial (&lt;70 km)",IF(I2285&lt;=300,"Intermedio (70-300 km)","Profundo (&gt;300 km)"))</x:f>
        <x:v>Intermedio (70-300 km)</x:v>
      </x:c>
      <x:c r="M2285" s="25" t="str">
        <x:f>IF(J2285&gt;=5,"Sí","No")</x:f>
        <x:v>No</x:v>
      </x:c>
      <x:c r="N2285" s="25" t="str">
        <x:f>IF(J2285&gt;=6,"Sí","No")</x:f>
        <x:v>No</x:v>
      </x:c>
      <x:c r="O2285" s="25" t="str">
        <x:v>Pendiente: asignar con R/sf</x:v>
      </x:c>
    </x:row>
    <x:row r="2286">
      <x:c r="A2286" s="25" t="n">
        <x:v>2285</x:v>
      </x:c>
      <x:c r="B2286" s="26" t="n">
        <x:v>42240.054664351854</x:v>
      </x:c>
      <x:c r="C2286" s="27" t="n">
        <x:f>INT(B2286)</x:f>
        <x:v>42240</x:v>
      </x:c>
      <x:c r="D2286" s="28" t="n">
        <x:f>MOD(B2286,1)</x:f>
        <x:v>0.05466435185371665</x:v>
      </x:c>
      <x:c r="E2286" s="29" t="n">
        <x:f>YEAR(B2286)</x:f>
        <x:v>2015</x:v>
      </x:c>
      <x:c r="F2286" s="29" t="n">
        <x:f>MONTH(B2286)</x:f>
        <x:v>8</x:v>
      </x:c>
      <x:c r="G2286" s="30" t="n">
        <x:v>-20.41</x:v>
      </x:c>
      <x:c r="H2286" s="30" t="n">
        <x:v>-69.14</x:v>
      </x:c>
      <x:c r="I2286" s="29" t="n">
        <x:v>112</x:v>
      </x:c>
      <x:c r="J2286" s="31" t="n">
        <x:v>4.9</x:v>
      </x:c>
      <x:c r="K2286" s="25" t="str">
        <x:f>IF(J2286&gt;=7,"Muy fuerte (&gt;=7)",IF(J2286&gt;=6,"Fuerte (6-6.9)",IF(J2286&gt;=5,"Moderado alto (5-5.9)",IF(J2286&gt;=4,"Moderado (4-4.9)","Menor a 4"))))</x:f>
        <x:v>Moderado (4-4.9)</x:v>
      </x:c>
      <x:c r="L2286" s="25" t="str">
        <x:f>IF(I2286&lt;70,"Superficial (&lt;70 km)",IF(I2286&lt;=300,"Intermedio (70-300 km)","Profundo (&gt;300 km)"))</x:f>
        <x:v>Intermedio (70-300 km)</x:v>
      </x:c>
      <x:c r="M2286" s="25" t="str">
        <x:f>IF(J2286&gt;=5,"Sí","No")</x:f>
        <x:v>No</x:v>
      </x:c>
      <x:c r="N2286" s="25" t="str">
        <x:f>IF(J2286&gt;=6,"Sí","No")</x:f>
        <x:v>No</x:v>
      </x:c>
      <x:c r="O2286" s="25" t="str">
        <x:v>Pendiente: asignar con R/sf</x:v>
      </x:c>
    </x:row>
    <x:row r="2287">
      <x:c r="A2287" s="25" t="n">
        <x:v>2286</x:v>
      </x:c>
      <x:c r="B2287" s="26" t="n">
        <x:v>42248.64503472222</x:v>
      </x:c>
      <x:c r="C2287" s="27" t="n">
        <x:f>INT(B2287)</x:f>
        <x:v>42248</x:v>
      </x:c>
      <x:c r="D2287" s="28" t="n">
        <x:f>MOD(B2287,1)</x:f>
        <x:v>0.6450347222198616</x:v>
      </x:c>
      <x:c r="E2287" s="29" t="n">
        <x:f>YEAR(B2287)</x:f>
        <x:v>2015</x:v>
      </x:c>
      <x:c r="F2287" s="29" t="n">
        <x:f>MONTH(B2287)</x:f>
        <x:v>9</x:v>
      </x:c>
      <x:c r="G2287" s="30" t="n">
        <x:v>-19.79</x:v>
      </x:c>
      <x:c r="H2287" s="30" t="n">
        <x:v>-69.25</x:v>
      </x:c>
      <x:c r="I2287" s="29" t="n">
        <x:v>97</x:v>
      </x:c>
      <x:c r="J2287" s="31" t="n">
        <x:v>5.6</x:v>
      </x:c>
      <x:c r="K2287" s="25" t="str">
        <x:f>IF(J2287&gt;=7,"Muy fuerte (&gt;=7)",IF(J2287&gt;=6,"Fuerte (6-6.9)",IF(J2287&gt;=5,"Moderado alto (5-5.9)",IF(J2287&gt;=4,"Moderado (4-4.9)","Menor a 4"))))</x:f>
        <x:v>Moderado alto (5-5.9)</x:v>
      </x:c>
      <x:c r="L2287" s="25" t="str">
        <x:f>IF(I2287&lt;70,"Superficial (&lt;70 km)",IF(I2287&lt;=300,"Intermedio (70-300 km)","Profundo (&gt;300 km)"))</x:f>
        <x:v>Intermedio (70-300 km)</x:v>
      </x:c>
      <x:c r="M2287" s="25" t="str">
        <x:f>IF(J2287&gt;=5,"Sí","No")</x:f>
        <x:v>Sí</x:v>
      </x:c>
      <x:c r="N2287" s="25" t="str">
        <x:f>IF(J2287&gt;=6,"Sí","No")</x:f>
        <x:v>No</x:v>
      </x:c>
      <x:c r="O2287" s="25" t="str">
        <x:v>Pendiente: asignar con R/sf</x:v>
      </x:c>
    </x:row>
    <x:row r="2288">
      <x:c r="A2288" s="25" t="n">
        <x:v>2287</x:v>
      </x:c>
      <x:c r="B2288" s="26" t="n">
        <x:v>42263.766921296294</x:v>
      </x:c>
      <x:c r="C2288" s="27" t="n">
        <x:f>INT(B2288)</x:f>
        <x:v>42263</x:v>
      </x:c>
      <x:c r="D2288" s="28" t="n">
        <x:f>MOD(B2288,1)</x:f>
        <x:v>0.7669212962937308</x:v>
      </x:c>
      <x:c r="E2288" s="29" t="n">
        <x:f>YEAR(B2288)</x:f>
        <x:v>2015</x:v>
      </x:c>
      <x:c r="F2288" s="29" t="n">
        <x:f>MONTH(B2288)</x:f>
        <x:v>9</x:v>
      </x:c>
      <x:c r="G2288" s="30" t="n">
        <x:v>-19.94</x:v>
      </x:c>
      <x:c r="H2288" s="30" t="n">
        <x:v>-70.96</x:v>
      </x:c>
      <x:c r="I2288" s="29" t="n">
        <x:v>35</x:v>
      </x:c>
      <x:c r="J2288" s="31" t="n">
        <x:v>5</x:v>
      </x:c>
      <x:c r="K2288" s="25" t="str">
        <x:f>IF(J2288&gt;=7,"Muy fuerte (&gt;=7)",IF(J2288&gt;=6,"Fuerte (6-6.9)",IF(J2288&gt;=5,"Moderado alto (5-5.9)",IF(J2288&gt;=4,"Moderado (4-4.9)","Menor a 4"))))</x:f>
        <x:v>Moderado alto (5-5.9)</x:v>
      </x:c>
      <x:c r="L2288" s="25" t="str">
        <x:f>IF(I2288&lt;70,"Superficial (&lt;70 km)",IF(I2288&lt;=300,"Intermedio (70-300 km)","Profundo (&gt;300 km)"))</x:f>
        <x:v>Superficial (&lt;70 km)</x:v>
      </x:c>
      <x:c r="M2288" s="25" t="str">
        <x:f>IF(J2288&gt;=5,"Sí","No")</x:f>
        <x:v>Sí</x:v>
      </x:c>
      <x:c r="N2288" s="25" t="str">
        <x:f>IF(J2288&gt;=6,"Sí","No")</x:f>
        <x:v>No</x:v>
      </x:c>
      <x:c r="O2288" s="25" t="str">
        <x:v>Pendiente: asignar con R/sf</x:v>
      </x:c>
    </x:row>
    <x:row r="2289">
      <x:c r="A2289" s="25" t="n">
        <x:v>2288</x:v>
      </x:c>
      <x:c r="B2289" s="26" t="n">
        <x:v>42271.30189814815</x:v>
      </x:c>
      <x:c r="C2289" s="27" t="n">
        <x:f>INT(B2289)</x:f>
        <x:v>42271</x:v>
      </x:c>
      <x:c r="D2289" s="28" t="n">
        <x:f>MOD(B2289,1)</x:f>
        <x:v>0.30189814815093996</x:v>
      </x:c>
      <x:c r="E2289" s="29" t="n">
        <x:f>YEAR(B2289)</x:f>
        <x:v>2015</x:v>
      </x:c>
      <x:c r="F2289" s="29" t="n">
        <x:f>MONTH(B2289)</x:f>
        <x:v>9</x:v>
      </x:c>
      <x:c r="G2289" s="30" t="n">
        <x:v>-20.21</x:v>
      </x:c>
      <x:c r="H2289" s="30" t="n">
        <x:v>-69.15</x:v>
      </x:c>
      <x:c r="I2289" s="29" t="n">
        <x:v>100</x:v>
      </x:c>
      <x:c r="J2289" s="31" t="n">
        <x:v>4.8</x:v>
      </x:c>
      <x:c r="K2289" s="25" t="str">
        <x:f>IF(J2289&gt;=7,"Muy fuerte (&gt;=7)",IF(J2289&gt;=6,"Fuerte (6-6.9)",IF(J2289&gt;=5,"Moderado alto (5-5.9)",IF(J2289&gt;=4,"Moderado (4-4.9)","Menor a 4"))))</x:f>
        <x:v>Moderado (4-4.9)</x:v>
      </x:c>
      <x:c r="L2289" s="25" t="str">
        <x:f>IF(I2289&lt;70,"Superficial (&lt;70 km)",IF(I2289&lt;=300,"Intermedio (70-300 km)","Profundo (&gt;300 km)"))</x:f>
        <x:v>Intermedio (70-300 km)</x:v>
      </x:c>
      <x:c r="M2289" s="25" t="str">
        <x:f>IF(J2289&gt;=5,"Sí","No")</x:f>
        <x:v>No</x:v>
      </x:c>
      <x:c r="N2289" s="25" t="str">
        <x:f>IF(J2289&gt;=6,"Sí","No")</x:f>
        <x:v>No</x:v>
      </x:c>
      <x:c r="O2289" s="25" t="str">
        <x:v>Pendiente: asignar con R/sf</x:v>
      </x:c>
    </x:row>
    <x:row r="2290">
      <x:c r="A2290" s="25" t="n">
        <x:v>2289</x:v>
      </x:c>
      <x:c r="B2290" s="26" t="n">
        <x:v>42272.14024305555</x:v>
      </x:c>
      <x:c r="C2290" s="27" t="n">
        <x:f>INT(B2290)</x:f>
        <x:v>42272</x:v>
      </x:c>
      <x:c r="D2290" s="28" t="n">
        <x:f>MOD(B2290,1)</x:f>
        <x:v>0.14024305555358296</x:v>
      </x:c>
      <x:c r="E2290" s="29" t="n">
        <x:f>YEAR(B2290)</x:f>
        <x:v>2015</x:v>
      </x:c>
      <x:c r="F2290" s="29" t="n">
        <x:f>MONTH(B2290)</x:f>
        <x:v>9</x:v>
      </x:c>
      <x:c r="G2290" s="30" t="n">
        <x:v>-20.91</x:v>
      </x:c>
      <x:c r="H2290" s="30" t="n">
        <x:v>-69.22</x:v>
      </x:c>
      <x:c r="I2290" s="29" t="n">
        <x:v>91</x:v>
      </x:c>
      <x:c r="J2290" s="31" t="n">
        <x:v>5.3</x:v>
      </x:c>
      <x:c r="K2290" s="25" t="str">
        <x:f>IF(J2290&gt;=7,"Muy fuerte (&gt;=7)",IF(J2290&gt;=6,"Fuerte (6-6.9)",IF(J2290&gt;=5,"Moderado alto (5-5.9)",IF(J2290&gt;=4,"Moderado (4-4.9)","Menor a 4"))))</x:f>
        <x:v>Moderado alto (5-5.9)</x:v>
      </x:c>
      <x:c r="L2290" s="25" t="str">
        <x:f>IF(I2290&lt;70,"Superficial (&lt;70 km)",IF(I2290&lt;=300,"Intermedio (70-300 km)","Profundo (&gt;300 km)"))</x:f>
        <x:v>Intermedio (70-300 km)</x:v>
      </x:c>
      <x:c r="M2290" s="25" t="str">
        <x:f>IF(J2290&gt;=5,"Sí","No")</x:f>
        <x:v>Sí</x:v>
      </x:c>
      <x:c r="N2290" s="25" t="str">
        <x:f>IF(J2290&gt;=6,"Sí","No")</x:f>
        <x:v>No</x:v>
      </x:c>
      <x:c r="O2290" s="25" t="str">
        <x:v>Pendiente: asignar con R/sf</x:v>
      </x:c>
    </x:row>
    <x:row r="2291">
      <x:c r="A2291" s="25" t="n">
        <x:v>2290</x:v>
      </x:c>
      <x:c r="B2291" s="26" t="n">
        <x:v>42275.64449074074</x:v>
      </x:c>
      <x:c r="C2291" s="27" t="n">
        <x:f>INT(B2291)</x:f>
        <x:v>42275</x:v>
      </x:c>
      <x:c r="D2291" s="28" t="n">
        <x:f>MOD(B2291,1)</x:f>
        <x:v>0.6444907407421852</x:v>
      </x:c>
      <x:c r="E2291" s="29" t="n">
        <x:f>YEAR(B2291)</x:f>
        <x:v>2015</x:v>
      </x:c>
      <x:c r="F2291" s="29" t="n">
        <x:f>MONTH(B2291)</x:f>
        <x:v>9</x:v>
      </x:c>
      <x:c r="G2291" s="30" t="n">
        <x:v>-23.88</x:v>
      </x:c>
      <x:c r="H2291" s="30" t="n">
        <x:v>-67.12</x:v>
      </x:c>
      <x:c r="I2291" s="29" t="n">
        <x:v>250</x:v>
      </x:c>
      <x:c r="J2291" s="31" t="n">
        <x:v>6</x:v>
      </x:c>
      <x:c r="K2291" s="25" t="str">
        <x:f>IF(J2291&gt;=7,"Muy fuerte (&gt;=7)",IF(J2291&gt;=6,"Fuerte (6-6.9)",IF(J2291&gt;=5,"Moderado alto (5-5.9)",IF(J2291&gt;=4,"Moderado (4-4.9)","Menor a 4"))))</x:f>
        <x:v>Fuerte (6-6.9)</x:v>
      </x:c>
      <x:c r="L2291" s="25" t="str">
        <x:f>IF(I2291&lt;70,"Superficial (&lt;70 km)",IF(I2291&lt;=300,"Intermedio (70-300 km)","Profundo (&gt;300 km)"))</x:f>
        <x:v>Intermedio (70-300 km)</x:v>
      </x:c>
      <x:c r="M2291" s="25" t="str">
        <x:f>IF(J2291&gt;=5,"Sí","No")</x:f>
        <x:v>Sí</x:v>
      </x:c>
      <x:c r="N2291" s="25" t="str">
        <x:f>IF(J2291&gt;=6,"Sí","No")</x:f>
        <x:v>Sí</x:v>
      </x:c>
      <x:c r="O2291" s="25" t="str">
        <x:v>Pendiente: asignar con R/sf</x:v>
      </x:c>
    </x:row>
    <x:row r="2292">
      <x:c r="A2292" s="25" t="n">
        <x:v>2291</x:v>
      </x:c>
      <x:c r="B2292" s="26" t="n">
        <x:v>42291.538993055554</x:v>
      </x:c>
      <x:c r="C2292" s="27" t="n">
        <x:f>INT(B2292)</x:f>
        <x:v>42291</x:v>
      </x:c>
      <x:c r="D2292" s="28" t="n">
        <x:f>MOD(B2292,1)</x:f>
        <x:v>0.538993055553874</x:v>
      </x:c>
      <x:c r="E2292" s="29" t="n">
        <x:f>YEAR(B2292)</x:f>
        <x:v>2015</x:v>
      </x:c>
      <x:c r="F2292" s="29" t="n">
        <x:f>MONTH(B2292)</x:f>
        <x:v>10</x:v>
      </x:c>
      <x:c r="G2292" s="30" t="n">
        <x:v>-22.57</x:v>
      </x:c>
      <x:c r="H2292" s="30" t="n">
        <x:v>-68.71</x:v>
      </x:c>
      <x:c r="I2292" s="29" t="n">
        <x:v>109</x:v>
      </x:c>
      <x:c r="J2292" s="31" t="n">
        <x:v>4</x:v>
      </x:c>
      <x:c r="K2292" s="25" t="str">
        <x:f>IF(J2292&gt;=7,"Muy fuerte (&gt;=7)",IF(J2292&gt;=6,"Fuerte (6-6.9)",IF(J2292&gt;=5,"Moderado alto (5-5.9)",IF(J2292&gt;=4,"Moderado (4-4.9)","Menor a 4"))))</x:f>
        <x:v>Moderado (4-4.9)</x:v>
      </x:c>
      <x:c r="L2292" s="25" t="str">
        <x:f>IF(I2292&lt;70,"Superficial (&lt;70 km)",IF(I2292&lt;=300,"Intermedio (70-300 km)","Profundo (&gt;300 km)"))</x:f>
        <x:v>Intermedio (70-300 km)</x:v>
      </x:c>
      <x:c r="M2292" s="25" t="str">
        <x:f>IF(J2292&gt;=5,"Sí","No")</x:f>
        <x:v>No</x:v>
      </x:c>
      <x:c r="N2292" s="25" t="str">
        <x:f>IF(J2292&gt;=6,"Sí","No")</x:f>
        <x:v>No</x:v>
      </x:c>
      <x:c r="O2292" s="25" t="str">
        <x:v>Pendiente: asignar con R/sf</x:v>
      </x:c>
    </x:row>
    <x:row r="2293">
      <x:c r="A2293" s="25" t="n">
        <x:v>2292</x:v>
      </x:c>
      <x:c r="B2293" s="26" t="n">
        <x:v>42293.19719907407</x:v>
      </x:c>
      <x:c r="C2293" s="27" t="n">
        <x:f>INT(B2293)</x:f>
        <x:v>42293</x:v>
      </x:c>
      <x:c r="D2293" s="28" t="n">
        <x:f>MOD(B2293,1)</x:f>
        <x:v>0.19719907407124992</x:v>
      </x:c>
      <x:c r="E2293" s="29" t="n">
        <x:f>YEAR(B2293)</x:f>
        <x:v>2015</x:v>
      </x:c>
      <x:c r="F2293" s="29" t="n">
        <x:f>MONTH(B2293)</x:f>
        <x:v>10</x:v>
      </x:c>
      <x:c r="G2293" s="30" t="n">
        <x:v>-20.07</x:v>
      </x:c>
      <x:c r="H2293" s="30" t="n">
        <x:v>-68.89</x:v>
      </x:c>
      <x:c r="I2293" s="29" t="n">
        <x:v>115</x:v>
      </x:c>
      <x:c r="J2293" s="31" t="n">
        <x:v>4.8</x:v>
      </x:c>
      <x:c r="K2293" s="25" t="str">
        <x:f>IF(J2293&gt;=7,"Muy fuerte (&gt;=7)",IF(J2293&gt;=6,"Fuerte (6-6.9)",IF(J2293&gt;=5,"Moderado alto (5-5.9)",IF(J2293&gt;=4,"Moderado (4-4.9)","Menor a 4"))))</x:f>
        <x:v>Moderado (4-4.9)</x:v>
      </x:c>
      <x:c r="L2293" s="25" t="str">
        <x:f>IF(I2293&lt;70,"Superficial (&lt;70 km)",IF(I2293&lt;=300,"Intermedio (70-300 km)","Profundo (&gt;300 km)"))</x:f>
        <x:v>Intermedio (70-300 km)</x:v>
      </x:c>
      <x:c r="M2293" s="25" t="str">
        <x:f>IF(J2293&gt;=5,"Sí","No")</x:f>
        <x:v>No</x:v>
      </x:c>
      <x:c r="N2293" s="25" t="str">
        <x:f>IF(J2293&gt;=6,"Sí","No")</x:f>
        <x:v>No</x:v>
      </x:c>
      <x:c r="O2293" s="25" t="str">
        <x:v>Pendiente: asignar con R/sf</x:v>
      </x:c>
    </x:row>
    <x:row r="2294">
      <x:c r="A2294" s="25" t="n">
        <x:v>2293</x:v>
      </x:c>
      <x:c r="B2294" s="26" t="n">
        <x:v>42298.610625</x:v>
      </x:c>
      <x:c r="C2294" s="27" t="n">
        <x:f>INT(B2294)</x:f>
        <x:v>42298</x:v>
      </x:c>
      <x:c r="D2294" s="28" t="n">
        <x:f>MOD(B2294,1)</x:f>
        <x:v>0.6106250000011642</x:v>
      </x:c>
      <x:c r="E2294" s="29" t="n">
        <x:f>YEAR(B2294)</x:f>
        <x:v>2015</x:v>
      </x:c>
      <x:c r="F2294" s="29" t="n">
        <x:f>MONTH(B2294)</x:f>
        <x:v>10</x:v>
      </x:c>
      <x:c r="G2294" s="30" t="n">
        <x:v>-20.37</x:v>
      </x:c>
      <x:c r="H2294" s="30" t="n">
        <x:v>-69.3</x:v>
      </x:c>
      <x:c r="I2294" s="29" t="n">
        <x:v>100</x:v>
      </x:c>
      <x:c r="J2294" s="31" t="n">
        <x:v>4.8</x:v>
      </x:c>
      <x:c r="K2294" s="25" t="str">
        <x:f>IF(J2294&gt;=7,"Muy fuerte (&gt;=7)",IF(J2294&gt;=6,"Fuerte (6-6.9)",IF(J2294&gt;=5,"Moderado alto (5-5.9)",IF(J2294&gt;=4,"Moderado (4-4.9)","Menor a 4"))))</x:f>
        <x:v>Moderado (4-4.9)</x:v>
      </x:c>
      <x:c r="L2294" s="25" t="str">
        <x:f>IF(I2294&lt;70,"Superficial (&lt;70 km)",IF(I2294&lt;=300,"Intermedio (70-300 km)","Profundo (&gt;300 km)"))</x:f>
        <x:v>Intermedio (70-300 km)</x:v>
      </x:c>
      <x:c r="M2294" s="25" t="str">
        <x:f>IF(J2294&gt;=5,"Sí","No")</x:f>
        <x:v>No</x:v>
      </x:c>
      <x:c r="N2294" s="25" t="str">
        <x:f>IF(J2294&gt;=6,"Sí","No")</x:f>
        <x:v>No</x:v>
      </x:c>
      <x:c r="O2294" s="25" t="str">
        <x:v>Pendiente: asignar con R/sf</x:v>
      </x:c>
    </x:row>
    <x:row r="2295">
      <x:c r="A2295" s="25" t="n">
        <x:v>2294</x:v>
      </x:c>
      <x:c r="B2295" s="26" t="n">
        <x:v>42302.24054398148</x:v>
      </x:c>
      <x:c r="C2295" s="27" t="n">
        <x:f>INT(B2295)</x:f>
        <x:v>42302</x:v>
      </x:c>
      <x:c r="D2295" s="28" t="n">
        <x:f>MOD(B2295,1)</x:f>
        <x:v>0.24054398148291511</x:v>
      </x:c>
      <x:c r="E2295" s="29" t="n">
        <x:f>YEAR(B2295)</x:f>
        <x:v>2015</x:v>
      </x:c>
      <x:c r="F2295" s="29" t="n">
        <x:f>MONTH(B2295)</x:f>
        <x:v>10</x:v>
      </x:c>
      <x:c r="G2295" s="30" t="n">
        <x:v>-20.39</x:v>
      </x:c>
      <x:c r="H2295" s="30" t="n">
        <x:v>-68.97</x:v>
      </x:c>
      <x:c r="I2295" s="29" t="n">
        <x:v>111</x:v>
      </x:c>
      <x:c r="J2295" s="31" t="n">
        <x:v>4.6</x:v>
      </x:c>
      <x:c r="K2295" s="25" t="str">
        <x:f>IF(J2295&gt;=7,"Muy fuerte (&gt;=7)",IF(J2295&gt;=6,"Fuerte (6-6.9)",IF(J2295&gt;=5,"Moderado alto (5-5.9)",IF(J2295&gt;=4,"Moderado (4-4.9)","Menor a 4"))))</x:f>
        <x:v>Moderado (4-4.9)</x:v>
      </x:c>
      <x:c r="L2295" s="25" t="str">
        <x:f>IF(I2295&lt;70,"Superficial (&lt;70 km)",IF(I2295&lt;=300,"Intermedio (70-300 km)","Profundo (&gt;300 km)"))</x:f>
        <x:v>Intermedio (70-300 km)</x:v>
      </x:c>
      <x:c r="M2295" s="25" t="str">
        <x:f>IF(J2295&gt;=5,"Sí","No")</x:f>
        <x:v>No</x:v>
      </x:c>
      <x:c r="N2295" s="25" t="str">
        <x:f>IF(J2295&gt;=6,"Sí","No")</x:f>
        <x:v>No</x:v>
      </x:c>
      <x:c r="O2295" s="25" t="str">
        <x:v>Pendiente: asignar con R/sf</x:v>
      </x:c>
    </x:row>
    <x:row r="2296">
      <x:c r="A2296" s="25" t="n">
        <x:v>2295</x:v>
      </x:c>
      <x:c r="B2296" s="26" t="n">
        <x:v>42309.636296296296</x:v>
      </x:c>
      <x:c r="C2296" s="27" t="n">
        <x:f>INT(B2296)</x:f>
        <x:v>42309</x:v>
      </x:c>
      <x:c r="D2296" s="28" t="n">
        <x:f>MOD(B2296,1)</x:f>
        <x:v>0.6362962962957681</x:v>
      </x:c>
      <x:c r="E2296" s="29" t="n">
        <x:f>YEAR(B2296)</x:f>
        <x:v>2015</x:v>
      </x:c>
      <x:c r="F2296" s="29" t="n">
        <x:f>MONTH(B2296)</x:f>
        <x:v>11</x:v>
      </x:c>
      <x:c r="G2296" s="30" t="n">
        <x:v>-23.23</x:v>
      </x:c>
      <x:c r="H2296" s="30" t="n">
        <x:v>-68.53</x:v>
      </x:c>
      <x:c r="I2296" s="29" t="n">
        <x:v>115</x:v>
      </x:c>
      <x:c r="J2296" s="31" t="n">
        <x:v>5.9</x:v>
      </x:c>
      <x:c r="K2296" s="25" t="str">
        <x:f>IF(J2296&gt;=7,"Muy fuerte (&gt;=7)",IF(J2296&gt;=6,"Fuerte (6-6.9)",IF(J2296&gt;=5,"Moderado alto (5-5.9)",IF(J2296&gt;=4,"Moderado (4-4.9)","Menor a 4"))))</x:f>
        <x:v>Moderado alto (5-5.9)</x:v>
      </x:c>
      <x:c r="L2296" s="25" t="str">
        <x:f>IF(I2296&lt;70,"Superficial (&lt;70 km)",IF(I2296&lt;=300,"Intermedio (70-300 km)","Profundo (&gt;300 km)"))</x:f>
        <x:v>Intermedio (70-300 km)</x:v>
      </x:c>
      <x:c r="M2296" s="25" t="str">
        <x:f>IF(J2296&gt;=5,"Sí","No")</x:f>
        <x:v>Sí</x:v>
      </x:c>
      <x:c r="N2296" s="25" t="str">
        <x:f>IF(J2296&gt;=6,"Sí","No")</x:f>
        <x:v>No</x:v>
      </x:c>
      <x:c r="O2296" s="25" t="str">
        <x:v>Pendiente: asignar con R/sf</x:v>
      </x:c>
    </x:row>
    <x:row r="2297">
      <x:c r="A2297" s="25" t="n">
        <x:v>2296</x:v>
      </x:c>
      <x:c r="B2297" s="26" t="n">
        <x:v>42317.19892361111</x:v>
      </x:c>
      <x:c r="C2297" s="27" t="n">
        <x:f>INT(B2297)</x:f>
        <x:v>42317</x:v>
      </x:c>
      <x:c r="D2297" s="28" t="n">
        <x:f>MOD(B2297,1)</x:f>
        <x:v>0.19892361111124046</x:v>
      </x:c>
      <x:c r="E2297" s="29" t="n">
        <x:f>YEAR(B2297)</x:f>
        <x:v>2015</x:v>
      </x:c>
      <x:c r="F2297" s="29" t="n">
        <x:f>MONTH(B2297)</x:f>
        <x:v>11</x:v>
      </x:c>
      <x:c r="G2297" s="30" t="n">
        <x:v>-23.48</x:v>
      </x:c>
      <x:c r="H2297" s="30" t="n">
        <x:v>-69.03</x:v>
      </x:c>
      <x:c r="I2297" s="29" t="n">
        <x:v>116</x:v>
      </x:c>
      <x:c r="J2297" s="31" t="n">
        <x:v>5.4</x:v>
      </x:c>
      <x:c r="K2297" s="25" t="str">
        <x:f>IF(J2297&gt;=7,"Muy fuerte (&gt;=7)",IF(J2297&gt;=6,"Fuerte (6-6.9)",IF(J2297&gt;=5,"Moderado alto (5-5.9)",IF(J2297&gt;=4,"Moderado (4-4.9)","Menor a 4"))))</x:f>
        <x:v>Moderado alto (5-5.9)</x:v>
      </x:c>
      <x:c r="L2297" s="25" t="str">
        <x:f>IF(I2297&lt;70,"Superficial (&lt;70 km)",IF(I2297&lt;=300,"Intermedio (70-300 km)","Profundo (&gt;300 km)"))</x:f>
        <x:v>Intermedio (70-300 km)</x:v>
      </x:c>
      <x:c r="M2297" s="25" t="str">
        <x:f>IF(J2297&gt;=5,"Sí","No")</x:f>
        <x:v>Sí</x:v>
      </x:c>
      <x:c r="N2297" s="25" t="str">
        <x:f>IF(J2297&gt;=6,"Sí","No")</x:f>
        <x:v>No</x:v>
      </x:c>
      <x:c r="O2297" s="25" t="str">
        <x:v>Pendiente: asignar con R/sf</x:v>
      </x:c>
    </x:row>
    <x:row r="2298">
      <x:c r="A2298" s="25" t="n">
        <x:v>2297</x:v>
      </x:c>
      <x:c r="B2298" s="26" t="n">
        <x:v>42318.7419212963</x:v>
      </x:c>
      <x:c r="C2298" s="27" t="n">
        <x:f>INT(B2298)</x:f>
        <x:v>42318</x:v>
      </x:c>
      <x:c r="D2298" s="28" t="n">
        <x:f>MOD(B2298,1)</x:f>
        <x:v>0.7419212962995516</x:v>
      </x:c>
      <x:c r="E2298" s="29" t="n">
        <x:f>YEAR(B2298)</x:f>
        <x:v>2015</x:v>
      </x:c>
      <x:c r="F2298" s="29" t="n">
        <x:f>MONTH(B2298)</x:f>
        <x:v>11</x:v>
      </x:c>
      <x:c r="G2298" s="30" t="n">
        <x:v>-22.25</x:v>
      </x:c>
      <x:c r="H2298" s="30" t="n">
        <x:v>-68.81</x:v>
      </x:c>
      <x:c r="I2298" s="29" t="n">
        <x:v>126</x:v>
      </x:c>
      <x:c r="J2298" s="31" t="n">
        <x:v>5.4</x:v>
      </x:c>
      <x:c r="K2298" s="25" t="str">
        <x:f>IF(J2298&gt;=7,"Muy fuerte (&gt;=7)",IF(J2298&gt;=6,"Fuerte (6-6.9)",IF(J2298&gt;=5,"Moderado alto (5-5.9)",IF(J2298&gt;=4,"Moderado (4-4.9)","Menor a 4"))))</x:f>
        <x:v>Moderado alto (5-5.9)</x:v>
      </x:c>
      <x:c r="L2298" s="25" t="str">
        <x:f>IF(I2298&lt;70,"Superficial (&lt;70 km)",IF(I2298&lt;=300,"Intermedio (70-300 km)","Profundo (&gt;300 km)"))</x:f>
        <x:v>Intermedio (70-300 km)</x:v>
      </x:c>
      <x:c r="M2298" s="25" t="str">
        <x:f>IF(J2298&gt;=5,"Sí","No")</x:f>
        <x:v>Sí</x:v>
      </x:c>
      <x:c r="N2298" s="25" t="str">
        <x:f>IF(J2298&gt;=6,"Sí","No")</x:f>
        <x:v>No</x:v>
      </x:c>
      <x:c r="O2298" s="25" t="str">
        <x:v>Pendiente: asignar con R/sf</x:v>
      </x:c>
    </x:row>
    <x:row r="2299">
      <x:c r="A2299" s="25" t="n">
        <x:v>2298</x:v>
      </x:c>
      <x:c r="B2299" s="26" t="n">
        <x:v>42335.875243055554</x:v>
      </x:c>
      <x:c r="C2299" s="27" t="n">
        <x:f>INT(B2299)</x:f>
        <x:v>42335</x:v>
      </x:c>
      <x:c r="D2299" s="28" t="n">
        <x:f>MOD(B2299,1)</x:f>
        <x:v>0.875243055554165</x:v>
      </x:c>
      <x:c r="E2299" s="29" t="n">
        <x:f>YEAR(B2299)</x:f>
        <x:v>2015</x:v>
      </x:c>
      <x:c r="F2299" s="29" t="n">
        <x:f>MONTH(B2299)</x:f>
        <x:v>11</x:v>
      </x:c>
      <x:c r="G2299" s="30" t="n">
        <x:v>-24.78</x:v>
      </x:c>
      <x:c r="H2299" s="30" t="n">
        <x:v>-70.55</x:v>
      </x:c>
      <x:c r="I2299" s="29" t="n">
        <x:v>37</x:v>
      </x:c>
      <x:c r="J2299" s="31" t="n">
        <x:v>6.3</x:v>
      </x:c>
      <x:c r="K2299" s="25" t="str">
        <x:f>IF(J2299&gt;=7,"Muy fuerte (&gt;=7)",IF(J2299&gt;=6,"Fuerte (6-6.9)",IF(J2299&gt;=5,"Moderado alto (5-5.9)",IF(J2299&gt;=4,"Moderado (4-4.9)","Menor a 4"))))</x:f>
        <x:v>Fuerte (6-6.9)</x:v>
      </x:c>
      <x:c r="L2299" s="25" t="str">
        <x:f>IF(I2299&lt;70,"Superficial (&lt;70 km)",IF(I2299&lt;=300,"Intermedio (70-300 km)","Profundo (&gt;300 km)"))</x:f>
        <x:v>Superficial (&lt;70 km)</x:v>
      </x:c>
      <x:c r="M2299" s="25" t="str">
        <x:f>IF(J2299&gt;=5,"Sí","No")</x:f>
        <x:v>Sí</x:v>
      </x:c>
      <x:c r="N2299" s="25" t="str">
        <x:f>IF(J2299&gt;=6,"Sí","No")</x:f>
        <x:v>Sí</x:v>
      </x:c>
      <x:c r="O2299" s="25" t="str">
        <x:v>Pendiente: asignar con R/sf</x:v>
      </x:c>
    </x:row>
    <x:row r="2300">
      <x:c r="A2300" s="25" t="n">
        <x:v>2299</x:v>
      </x:c>
      <x:c r="B2300" s="26" t="n">
        <x:v>42343.43701388889</x:v>
      </x:c>
      <x:c r="C2300" s="27" t="n">
        <x:f>INT(B2300)</x:f>
        <x:v>42343</x:v>
      </x:c>
      <x:c r="D2300" s="28" t="n">
        <x:f>MOD(B2300,1)</x:f>
        <x:v>0.4370138888916699</x:v>
      </x:c>
      <x:c r="E2300" s="29" t="n">
        <x:f>YEAR(B2300)</x:f>
        <x:v>2015</x:v>
      </x:c>
      <x:c r="F2300" s="29" t="n">
        <x:f>MONTH(B2300)</x:f>
        <x:v>12</x:v>
      </x:c>
      <x:c r="G2300" s="30" t="n">
        <x:v>-22.54</x:v>
      </x:c>
      <x:c r="H2300" s="30" t="n">
        <x:v>-70.32</x:v>
      </x:c>
      <x:c r="I2300" s="29" t="n">
        <x:v>39</x:v>
      </x:c>
      <x:c r="J2300" s="31" t="n">
        <x:v>4.7</x:v>
      </x:c>
      <x:c r="K2300" s="25" t="str">
        <x:f>IF(J2300&gt;=7,"Muy fuerte (&gt;=7)",IF(J2300&gt;=6,"Fuerte (6-6.9)",IF(J2300&gt;=5,"Moderado alto (5-5.9)",IF(J2300&gt;=4,"Moderado (4-4.9)","Menor a 4"))))</x:f>
        <x:v>Moderado (4-4.9)</x:v>
      </x:c>
      <x:c r="L2300" s="25" t="str">
        <x:f>IF(I2300&lt;70,"Superficial (&lt;70 km)",IF(I2300&lt;=300,"Intermedio (70-300 km)","Profundo (&gt;300 km)"))</x:f>
        <x:v>Superficial (&lt;70 km)</x:v>
      </x:c>
      <x:c r="M2300" s="25" t="str">
        <x:f>IF(J2300&gt;=5,"Sí","No")</x:f>
        <x:v>No</x:v>
      </x:c>
      <x:c r="N2300" s="25" t="str">
        <x:f>IF(J2300&gt;=6,"Sí","No")</x:f>
        <x:v>No</x:v>
      </x:c>
      <x:c r="O2300" s="25" t="str">
        <x:v>Pendiente: asignar con R/sf</x:v>
      </x:c>
    </x:row>
    <x:row r="2301">
      <x:c r="A2301" s="25" t="n">
        <x:v>2300</x:v>
      </x:c>
      <x:c r="B2301" s="26" t="n">
        <x:v>42361.99553240741</x:v>
      </x:c>
      <x:c r="C2301" s="27" t="n">
        <x:f>INT(B2301)</x:f>
        <x:v>42361</x:v>
      </x:c>
      <x:c r="D2301" s="28" t="n">
        <x:f>MOD(B2301,1)</x:f>
        <x:v>0.9955324074107921</x:v>
      </x:c>
      <x:c r="E2301" s="29" t="n">
        <x:f>YEAR(B2301)</x:f>
        <x:v>2015</x:v>
      </x:c>
      <x:c r="F2301" s="29" t="n">
        <x:f>MONTH(B2301)</x:f>
        <x:v>12</x:v>
      </x:c>
      <x:c r="G2301" s="30" t="n">
        <x:v>-20.54</x:v>
      </x:c>
      <x:c r="H2301" s="30" t="n">
        <x:v>-69.22</x:v>
      </x:c>
      <x:c r="I2301" s="29" t="n">
        <x:v>112</x:v>
      </x:c>
      <x:c r="J2301" s="31" t="n">
        <x:v>4.4</x:v>
      </x:c>
      <x:c r="K2301" s="25" t="str">
        <x:f>IF(J2301&gt;=7,"Muy fuerte (&gt;=7)",IF(J2301&gt;=6,"Fuerte (6-6.9)",IF(J2301&gt;=5,"Moderado alto (5-5.9)",IF(J2301&gt;=4,"Moderado (4-4.9)","Menor a 4"))))</x:f>
        <x:v>Moderado (4-4.9)</x:v>
      </x:c>
      <x:c r="L2301" s="25" t="str">
        <x:f>IF(I2301&lt;70,"Superficial (&lt;70 km)",IF(I2301&lt;=300,"Intermedio (70-300 km)","Profundo (&gt;300 km)"))</x:f>
        <x:v>Intermedio (70-300 km)</x:v>
      </x:c>
      <x:c r="M2301" s="25" t="str">
        <x:f>IF(J2301&gt;=5,"Sí","No")</x:f>
        <x:v>No</x:v>
      </x:c>
      <x:c r="N2301" s="25" t="str">
        <x:f>IF(J2301&gt;=6,"Sí","No")</x:f>
        <x:v>No</x:v>
      </x:c>
      <x:c r="O2301" s="25" t="str">
        <x:v>Pendiente: asignar con R/sf</x:v>
      </x:c>
    </x:row>
    <x:row r="2302">
      <x:c r="A2302" s="25" t="n">
        <x:v>2301</x:v>
      </x:c>
      <x:c r="B2302" s="26" t="n">
        <x:v>42264.012766203705</x:v>
      </x:c>
      <x:c r="C2302" s="27" t="n">
        <x:f>INT(B2302)</x:f>
        <x:v>42264</x:v>
      </x:c>
      <x:c r="D2302" s="28" t="n">
        <x:f>MOD(B2302,1)</x:f>
        <x:v>0.012766203704813961</x:v>
      </x:c>
      <x:c r="E2302" s="29" t="n">
        <x:f>YEAR(B2302)</x:f>
        <x:v>2015</x:v>
      </x:c>
      <x:c r="F2302" s="29" t="n">
        <x:f>MONTH(B2302)</x:f>
        <x:v>9</x:v>
      </x:c>
      <x:c r="G2302" s="30" t="n">
        <x:v>-31.7</x:v>
      </x:c>
      <x:c r="H2302" s="30" t="n">
        <x:v>-71.89</x:v>
      </x:c>
      <x:c r="I2302" s="29" t="n">
        <x:v>20</x:v>
      </x:c>
      <x:c r="J2302" s="31" t="n">
        <x:v>4.9</x:v>
      </x:c>
      <x:c r="K2302" s="25" t="str">
        <x:f>IF(J2302&gt;=7,"Muy fuerte (&gt;=7)",IF(J2302&gt;=6,"Fuerte (6-6.9)",IF(J2302&gt;=5,"Moderado alto (5-5.9)",IF(J2302&gt;=4,"Moderado (4-4.9)","Menor a 4"))))</x:f>
        <x:v>Moderado (4-4.9)</x:v>
      </x:c>
      <x:c r="L2302" s="25" t="str">
        <x:f>IF(I2302&lt;70,"Superficial (&lt;70 km)",IF(I2302&lt;=300,"Intermedio (70-300 km)","Profundo (&gt;300 km)"))</x:f>
        <x:v>Superficial (&lt;70 km)</x:v>
      </x:c>
      <x:c r="M2302" s="25" t="str">
        <x:f>IF(J2302&gt;=5,"Sí","No")</x:f>
        <x:v>No</x:v>
      </x:c>
      <x:c r="N2302" s="25" t="str">
        <x:f>IF(J2302&gt;=6,"Sí","No")</x:f>
        <x:v>No</x:v>
      </x:c>
      <x:c r="O2302" s="25" t="str">
        <x:v>Pendiente: asignar con R/sf</x:v>
      </x:c>
    </x:row>
    <x:row r="2303">
      <x:c r="A2303" s="25" t="n">
        <x:v>2302</x:v>
      </x:c>
      <x:c r="B2303" s="26" t="n">
        <x:v>42264.015439814815</x:v>
      </x:c>
      <x:c r="C2303" s="27" t="n">
        <x:f>INT(B2303)</x:f>
        <x:v>42264</x:v>
      </x:c>
      <x:c r="D2303" s="28" t="n">
        <x:f>MOD(B2303,1)</x:f>
        <x:v>0.015439814815181307</x:v>
      </x:c>
      <x:c r="E2303" s="29" t="n">
        <x:f>YEAR(B2303)</x:f>
        <x:v>2015</x:v>
      </x:c>
      <x:c r="F2303" s="29" t="n">
        <x:f>MONTH(B2303)</x:f>
        <x:v>9</x:v>
      </x:c>
      <x:c r="G2303" s="30" t="n">
        <x:v>-31.49</x:v>
      </x:c>
      <x:c r="H2303" s="30" t="n">
        <x:v>-72</x:v>
      </x:c>
      <x:c r="I2303" s="29" t="n">
        <x:v>31</x:v>
      </x:c>
      <x:c r="J2303" s="31" t="n">
        <x:v>5.5</x:v>
      </x:c>
      <x:c r="K2303" s="25" t="str">
        <x:f>IF(J2303&gt;=7,"Muy fuerte (&gt;=7)",IF(J2303&gt;=6,"Fuerte (6-6.9)",IF(J2303&gt;=5,"Moderado alto (5-5.9)",IF(J2303&gt;=4,"Moderado (4-4.9)","Menor a 4"))))</x:f>
        <x:v>Moderado alto (5-5.9)</x:v>
      </x:c>
      <x:c r="L2303" s="25" t="str">
        <x:f>IF(I2303&lt;70,"Superficial (&lt;70 km)",IF(I2303&lt;=300,"Intermedio (70-300 km)","Profundo (&gt;300 km)"))</x:f>
        <x:v>Superficial (&lt;70 km)</x:v>
      </x:c>
      <x:c r="M2303" s="25" t="str">
        <x:f>IF(J2303&gt;=5,"Sí","No")</x:f>
        <x:v>Sí</x:v>
      </x:c>
      <x:c r="N2303" s="25" t="str">
        <x:f>IF(J2303&gt;=6,"Sí","No")</x:f>
        <x:v>No</x:v>
      </x:c>
      <x:c r="O2303" s="25" t="str">
        <x:v>Pendiente: asignar con R/sf</x:v>
      </x:c>
    </x:row>
    <x:row r="2304">
      <x:c r="A2304" s="25" t="n">
        <x:v>2303</x:v>
      </x:c>
      <x:c r="B2304" s="26" t="n">
        <x:v>42264.10724537037</x:v>
      </x:c>
      <x:c r="C2304" s="27" t="n">
        <x:f>INT(B2304)</x:f>
        <x:v>42264</x:v>
      </x:c>
      <x:c r="D2304" s="28" t="n">
        <x:f>MOD(B2304,1)</x:f>
        <x:v>0.10724537036730908</x:v>
      </x:c>
      <x:c r="E2304" s="29" t="n">
        <x:f>YEAR(B2304)</x:f>
        <x:v>2015</x:v>
      </x:c>
      <x:c r="F2304" s="29" t="n">
        <x:f>MONTH(B2304)</x:f>
        <x:v>9</x:v>
      </x:c>
      <x:c r="G2304" s="30" t="n">
        <x:v>-31.7</x:v>
      </x:c>
      <x:c r="H2304" s="30" t="n">
        <x:v>-71.75</x:v>
      </x:c>
      <x:c r="I2304" s="29" t="n">
        <x:v>33</x:v>
      </x:c>
      <x:c r="J2304" s="31" t="n">
        <x:v>4.8</x:v>
      </x:c>
      <x:c r="K2304" s="25" t="str">
        <x:f>IF(J2304&gt;=7,"Muy fuerte (&gt;=7)",IF(J2304&gt;=6,"Fuerte (6-6.9)",IF(J2304&gt;=5,"Moderado alto (5-5.9)",IF(J2304&gt;=4,"Moderado (4-4.9)","Menor a 4"))))</x:f>
        <x:v>Moderado (4-4.9)</x:v>
      </x:c>
      <x:c r="L2304" s="25" t="str">
        <x:f>IF(I2304&lt;70,"Superficial (&lt;70 km)",IF(I2304&lt;=300,"Intermedio (70-300 km)","Profundo (&gt;300 km)"))</x:f>
        <x:v>Superficial (&lt;70 km)</x:v>
      </x:c>
      <x:c r="M2304" s="25" t="str">
        <x:f>IF(J2304&gt;=5,"Sí","No")</x:f>
        <x:v>No</x:v>
      </x:c>
      <x:c r="N2304" s="25" t="str">
        <x:f>IF(J2304&gt;=6,"Sí","No")</x:f>
        <x:v>No</x:v>
      </x:c>
      <x:c r="O2304" s="25" t="str">
        <x:v>Pendiente: asignar con R/sf</x:v>
      </x:c>
    </x:row>
    <x:row r="2305">
      <x:c r="A2305" s="25" t="n">
        <x:v>2304</x:v>
      </x:c>
      <x:c r="B2305" s="26" t="n">
        <x:v>42264.11418981481</x:v>
      </x:c>
      <x:c r="C2305" s="27" t="n">
        <x:f>INT(B2305)</x:f>
        <x:v>42264</x:v>
      </x:c>
      <x:c r="D2305" s="28" t="n">
        <x:f>MOD(B2305,1)</x:f>
        <x:v>0.11418981481256196</x:v>
      </x:c>
      <x:c r="E2305" s="29" t="n">
        <x:f>YEAR(B2305)</x:f>
        <x:v>2015</x:v>
      </x:c>
      <x:c r="F2305" s="29" t="n">
        <x:f>MONTH(B2305)</x:f>
        <x:v>9</x:v>
      </x:c>
      <x:c r="G2305" s="30" t="n">
        <x:v>-31.24</x:v>
      </x:c>
      <x:c r="H2305" s="30" t="n">
        <x:v>-71.77</x:v>
      </x:c>
      <x:c r="I2305" s="29" t="n">
        <x:v>33</x:v>
      </x:c>
      <x:c r="J2305" s="31" t="n">
        <x:v>4.8</x:v>
      </x:c>
      <x:c r="K2305" s="25" t="str">
        <x:f>IF(J2305&gt;=7,"Muy fuerte (&gt;=7)",IF(J2305&gt;=6,"Fuerte (6-6.9)",IF(J2305&gt;=5,"Moderado alto (5-5.9)",IF(J2305&gt;=4,"Moderado (4-4.9)","Menor a 4"))))</x:f>
        <x:v>Moderado (4-4.9)</x:v>
      </x:c>
      <x:c r="L2305" s="25" t="str">
        <x:f>IF(I2305&lt;70,"Superficial (&lt;70 km)",IF(I2305&lt;=300,"Intermedio (70-300 km)","Profundo (&gt;300 km)"))</x:f>
        <x:v>Superficial (&lt;70 km)</x:v>
      </x:c>
      <x:c r="M2305" s="25" t="str">
        <x:f>IF(J2305&gt;=5,"Sí","No")</x:f>
        <x:v>No</x:v>
      </x:c>
      <x:c r="N2305" s="25" t="str">
        <x:f>IF(J2305&gt;=6,"Sí","No")</x:f>
        <x:v>No</x:v>
      </x:c>
      <x:c r="O2305" s="25" t="str">
        <x:v>Pendiente: asignar con R/sf</x:v>
      </x:c>
    </x:row>
    <x:row r="2306">
      <x:c r="A2306" s="25" t="n">
        <x:v>2305</x:v>
      </x:c>
      <x:c r="B2306" s="26" t="n">
        <x:v>42264.14755787037</x:v>
      </x:c>
      <x:c r="C2306" s="27" t="n">
        <x:f>INT(B2306)</x:f>
        <x:v>42264</x:v>
      </x:c>
      <x:c r="D2306" s="28" t="n">
        <x:f>MOD(B2306,1)</x:f>
        <x:v>0.14755787036847323</x:v>
      </x:c>
      <x:c r="E2306" s="29" t="n">
        <x:f>YEAR(B2306)</x:f>
        <x:v>2015</x:v>
      </x:c>
      <x:c r="F2306" s="29" t="n">
        <x:f>MONTH(B2306)</x:f>
        <x:v>9</x:v>
      </x:c>
      <x:c r="G2306" s="30" t="n">
        <x:v>-31.4</x:v>
      </x:c>
      <x:c r="H2306" s="30" t="n">
        <x:v>-71.45</x:v>
      </x:c>
      <x:c r="I2306" s="29" t="n">
        <x:v>58</x:v>
      </x:c>
      <x:c r="J2306" s="31" t="n">
        <x:v>4.4</x:v>
      </x:c>
      <x:c r="K2306" s="25" t="str">
        <x:f>IF(J2306&gt;=7,"Muy fuerte (&gt;=7)",IF(J2306&gt;=6,"Fuerte (6-6.9)",IF(J2306&gt;=5,"Moderado alto (5-5.9)",IF(J2306&gt;=4,"Moderado (4-4.9)","Menor a 4"))))</x:f>
        <x:v>Moderado (4-4.9)</x:v>
      </x:c>
      <x:c r="L2306" s="25" t="str">
        <x:f>IF(I2306&lt;70,"Superficial (&lt;70 km)",IF(I2306&lt;=300,"Intermedio (70-300 km)","Profundo (&gt;300 km)"))</x:f>
        <x:v>Superficial (&lt;70 km)</x:v>
      </x:c>
      <x:c r="M2306" s="25" t="str">
        <x:f>IF(J2306&gt;=5,"Sí","No")</x:f>
        <x:v>No</x:v>
      </x:c>
      <x:c r="N2306" s="25" t="str">
        <x:f>IF(J2306&gt;=6,"Sí","No")</x:f>
        <x:v>No</x:v>
      </x:c>
      <x:c r="O2306" s="25" t="str">
        <x:v>Pendiente: asignar con R/sf</x:v>
      </x:c>
    </x:row>
    <x:row r="2307">
      <x:c r="A2307" s="25" t="n">
        <x:v>2306</x:v>
      </x:c>
      <x:c r="B2307" s="26" t="n">
        <x:v>42264.1890162037</x:v>
      </x:c>
      <x:c r="C2307" s="27" t="n">
        <x:f>INT(B2307)</x:f>
        <x:v>42264</x:v>
      </x:c>
      <x:c r="D2307" s="28" t="n">
        <x:f>MOD(B2307,1)</x:f>
        <x:v>0.18901620370161254</x:v>
      </x:c>
      <x:c r="E2307" s="29" t="n">
        <x:f>YEAR(B2307)</x:f>
        <x:v>2015</x:v>
      </x:c>
      <x:c r="F2307" s="29" t="n">
        <x:f>MONTH(B2307)</x:f>
        <x:v>9</x:v>
      </x:c>
      <x:c r="G2307" s="30" t="n">
        <x:v>-30.93</x:v>
      </x:c>
      <x:c r="H2307" s="30" t="n">
        <x:v>-72.03</x:v>
      </x:c>
      <x:c r="I2307" s="29" t="n">
        <x:v>34</x:v>
      </x:c>
      <x:c r="J2307" s="31" t="n">
        <x:v>5.7</x:v>
      </x:c>
      <x:c r="K2307" s="25" t="str">
        <x:f>IF(J2307&gt;=7,"Muy fuerte (&gt;=7)",IF(J2307&gt;=6,"Fuerte (6-6.9)",IF(J2307&gt;=5,"Moderado alto (5-5.9)",IF(J2307&gt;=4,"Moderado (4-4.9)","Menor a 4"))))</x:f>
        <x:v>Moderado alto (5-5.9)</x:v>
      </x:c>
      <x:c r="L2307" s="25" t="str">
        <x:f>IF(I2307&lt;70,"Superficial (&lt;70 km)",IF(I2307&lt;=300,"Intermedio (70-300 km)","Profundo (&gt;300 km)"))</x:f>
        <x:v>Superficial (&lt;70 km)</x:v>
      </x:c>
      <x:c r="M2307" s="25" t="str">
        <x:f>IF(J2307&gt;=5,"Sí","No")</x:f>
        <x:v>Sí</x:v>
      </x:c>
      <x:c r="N2307" s="25" t="str">
        <x:f>IF(J2307&gt;=6,"Sí","No")</x:f>
        <x:v>No</x:v>
      </x:c>
      <x:c r="O2307" s="25" t="str">
        <x:v>Pendiente: asignar con R/sf</x:v>
      </x:c>
    </x:row>
    <x:row r="2308">
      <x:c r="A2308" s="25" t="n">
        <x:v>2307</x:v>
      </x:c>
      <x:c r="B2308" s="26" t="n">
        <x:v>42264.19314814815</x:v>
      </x:c>
      <x:c r="C2308" s="27" t="n">
        <x:f>INT(B2308)</x:f>
        <x:v>42264</x:v>
      </x:c>
      <x:c r="D2308" s="28" t="n">
        <x:f>MOD(B2308,1)</x:f>
        <x:v>0.19314814815152204</x:v>
      </x:c>
      <x:c r="E2308" s="29" t="n">
        <x:f>YEAR(B2308)</x:f>
        <x:v>2015</x:v>
      </x:c>
      <x:c r="F2308" s="29" t="n">
        <x:f>MONTH(B2308)</x:f>
        <x:v>9</x:v>
      </x:c>
      <x:c r="G2308" s="30" t="n">
        <x:v>-31.3</x:v>
      </x:c>
      <x:c r="H2308" s="30" t="n">
        <x:v>-71.8</x:v>
      </x:c>
      <x:c r="I2308" s="29" t="n">
        <x:v>30</x:v>
      </x:c>
      <x:c r="J2308" s="31" t="n">
        <x:v>5.2</x:v>
      </x:c>
      <x:c r="K2308" s="25" t="str">
        <x:f>IF(J2308&gt;=7,"Muy fuerte (&gt;=7)",IF(J2308&gt;=6,"Fuerte (6-6.9)",IF(J2308&gt;=5,"Moderado alto (5-5.9)",IF(J2308&gt;=4,"Moderado (4-4.9)","Menor a 4"))))</x:f>
        <x:v>Moderado alto (5-5.9)</x:v>
      </x:c>
      <x:c r="L2308" s="25" t="str">
        <x:f>IF(I2308&lt;70,"Superficial (&lt;70 km)",IF(I2308&lt;=300,"Intermedio (70-300 km)","Profundo (&gt;300 km)"))</x:f>
        <x:v>Superficial (&lt;70 km)</x:v>
      </x:c>
      <x:c r="M2308" s="25" t="str">
        <x:f>IF(J2308&gt;=5,"Sí","No")</x:f>
        <x:v>Sí</x:v>
      </x:c>
      <x:c r="N2308" s="25" t="str">
        <x:f>IF(J2308&gt;=6,"Sí","No")</x:f>
        <x:v>No</x:v>
      </x:c>
      <x:c r="O2308" s="25" t="str">
        <x:v>Pendiente: asignar con R/sf</x:v>
      </x:c>
    </x:row>
    <x:row r="2309">
      <x:c r="A2309" s="25" t="n">
        <x:v>2308</x:v>
      </x:c>
      <x:c r="B2309" s="26" t="n">
        <x:v>42264.21166666667</x:v>
      </x:c>
      <x:c r="C2309" s="27" t="n">
        <x:f>INT(B2309)</x:f>
        <x:v>42264</x:v>
      </x:c>
      <x:c r="D2309" s="28" t="n">
        <x:f>MOD(B2309,1)</x:f>
        <x:v>0.21166666666977108</x:v>
      </x:c>
      <x:c r="E2309" s="29" t="n">
        <x:f>YEAR(B2309)</x:f>
        <x:v>2015</x:v>
      </x:c>
      <x:c r="F2309" s="29" t="n">
        <x:f>MONTH(B2309)</x:f>
        <x:v>9</x:v>
      </x:c>
      <x:c r="G2309" s="30" t="n">
        <x:v>-31.5</x:v>
      </x:c>
      <x:c r="H2309" s="30" t="n">
        <x:v>-71.73</x:v>
      </x:c>
      <x:c r="I2309" s="29" t="n">
        <x:v>25</x:v>
      </x:c>
      <x:c r="J2309" s="31" t="n">
        <x:v>4.8</x:v>
      </x:c>
      <x:c r="K2309" s="25" t="str">
        <x:f>IF(J2309&gt;=7,"Muy fuerte (&gt;=7)",IF(J2309&gt;=6,"Fuerte (6-6.9)",IF(J2309&gt;=5,"Moderado alto (5-5.9)",IF(J2309&gt;=4,"Moderado (4-4.9)","Menor a 4"))))</x:f>
        <x:v>Moderado (4-4.9)</x:v>
      </x:c>
      <x:c r="L2309" s="25" t="str">
        <x:f>IF(I2309&lt;70,"Superficial (&lt;70 km)",IF(I2309&lt;=300,"Intermedio (70-300 km)","Profundo (&gt;300 km)"))</x:f>
        <x:v>Superficial (&lt;70 km)</x:v>
      </x:c>
      <x:c r="M2309" s="25" t="str">
        <x:f>IF(J2309&gt;=5,"Sí","No")</x:f>
        <x:v>No</x:v>
      </x:c>
      <x:c r="N2309" s="25" t="str">
        <x:f>IF(J2309&gt;=6,"Sí","No")</x:f>
        <x:v>No</x:v>
      </x:c>
      <x:c r="O2309" s="25" t="str">
        <x:v>Pendiente: asignar con R/sf</x:v>
      </x:c>
    </x:row>
    <x:row r="2310">
      <x:c r="A2310" s="25" t="n">
        <x:v>2309</x:v>
      </x:c>
      <x:c r="B2310" s="26" t="n">
        <x:v>42264.248032407406</x:v>
      </x:c>
      <x:c r="C2310" s="27" t="n">
        <x:f>INT(B2310)</x:f>
        <x:v>42264</x:v>
      </x:c>
      <x:c r="D2310" s="28" t="n">
        <x:f>MOD(B2310,1)</x:f>
        <x:v>0.24803240740584442</x:v>
      </x:c>
      <x:c r="E2310" s="29" t="n">
        <x:f>YEAR(B2310)</x:f>
        <x:v>2015</x:v>
      </x:c>
      <x:c r="F2310" s="29" t="n">
        <x:f>MONTH(B2310)</x:f>
        <x:v>9</x:v>
      </x:c>
      <x:c r="G2310" s="30" t="n">
        <x:v>-31.85</x:v>
      </x:c>
      <x:c r="H2310" s="30" t="n">
        <x:v>-71.91</x:v>
      </x:c>
      <x:c r="I2310" s="29" t="n">
        <x:v>23</x:v>
      </x:c>
      <x:c r="J2310" s="31" t="n">
        <x:v>4.6</x:v>
      </x:c>
      <x:c r="K2310" s="25" t="str">
        <x:f>IF(J2310&gt;=7,"Muy fuerte (&gt;=7)",IF(J2310&gt;=6,"Fuerte (6-6.9)",IF(J2310&gt;=5,"Moderado alto (5-5.9)",IF(J2310&gt;=4,"Moderado (4-4.9)","Menor a 4"))))</x:f>
        <x:v>Moderado (4-4.9)</x:v>
      </x:c>
      <x:c r="L2310" s="25" t="str">
        <x:f>IF(I2310&lt;70,"Superficial (&lt;70 km)",IF(I2310&lt;=300,"Intermedio (70-300 km)","Profundo (&gt;300 km)"))</x:f>
        <x:v>Superficial (&lt;70 km)</x:v>
      </x:c>
      <x:c r="M2310" s="25" t="str">
        <x:f>IF(J2310&gt;=5,"Sí","No")</x:f>
        <x:v>No</x:v>
      </x:c>
      <x:c r="N2310" s="25" t="str">
        <x:f>IF(J2310&gt;=6,"Sí","No")</x:f>
        <x:v>No</x:v>
      </x:c>
      <x:c r="O2310" s="25" t="str">
        <x:v>Pendiente: asignar con R/sf</x:v>
      </x:c>
    </x:row>
    <x:row r="2311">
      <x:c r="A2311" s="25" t="n">
        <x:v>2310</x:v>
      </x:c>
      <x:c r="B2311" s="26" t="n">
        <x:v>42264.27701388889</x:v>
      </x:c>
      <x:c r="C2311" s="27" t="n">
        <x:f>INT(B2311)</x:f>
        <x:v>42264</x:v>
      </x:c>
      <x:c r="D2311" s="28" t="n">
        <x:f>MOD(B2311,1)</x:f>
        <x:v>0.27701388888817746</x:v>
      </x:c>
      <x:c r="E2311" s="29" t="n">
        <x:f>YEAR(B2311)</x:f>
        <x:v>2015</x:v>
      </x:c>
      <x:c r="F2311" s="29" t="n">
        <x:f>MONTH(B2311)</x:f>
        <x:v>9</x:v>
      </x:c>
      <x:c r="G2311" s="30" t="n">
        <x:v>-31.64</x:v>
      </x:c>
      <x:c r="H2311" s="30" t="n">
        <x:v>-71.79</x:v>
      </x:c>
      <x:c r="I2311" s="29" t="n">
        <x:v>43</x:v>
      </x:c>
      <x:c r="J2311" s="31" t="n">
        <x:v>4.9</x:v>
      </x:c>
      <x:c r="K2311" s="25" t="str">
        <x:f>IF(J2311&gt;=7,"Muy fuerte (&gt;=7)",IF(J2311&gt;=6,"Fuerte (6-6.9)",IF(J2311&gt;=5,"Moderado alto (5-5.9)",IF(J2311&gt;=4,"Moderado (4-4.9)","Menor a 4"))))</x:f>
        <x:v>Moderado (4-4.9)</x:v>
      </x:c>
      <x:c r="L2311" s="25" t="str">
        <x:f>IF(I2311&lt;70,"Superficial (&lt;70 km)",IF(I2311&lt;=300,"Intermedio (70-300 km)","Profundo (&gt;300 km)"))</x:f>
        <x:v>Superficial (&lt;70 km)</x:v>
      </x:c>
      <x:c r="M2311" s="25" t="str">
        <x:f>IF(J2311&gt;=5,"Sí","No")</x:f>
        <x:v>No</x:v>
      </x:c>
      <x:c r="N2311" s="25" t="str">
        <x:f>IF(J2311&gt;=6,"Sí","No")</x:f>
        <x:v>No</x:v>
      </x:c>
      <x:c r="O2311" s="25" t="str">
        <x:v>Pendiente: asignar con R/sf</x:v>
      </x:c>
    </x:row>
    <x:row r="2312">
      <x:c r="A2312" s="25" t="n">
        <x:v>2311</x:v>
      </x:c>
      <x:c r="B2312" s="26" t="n">
        <x:v>42264.350011574075</x:v>
      </x:c>
      <x:c r="C2312" s="27" t="n">
        <x:f>INT(B2312)</x:f>
        <x:v>42264</x:v>
      </x:c>
      <x:c r="D2312" s="28" t="n">
        <x:f>MOD(B2312,1)</x:f>
        <x:v>0.35001157407532446</x:v>
      </x:c>
      <x:c r="E2312" s="29" t="n">
        <x:f>YEAR(B2312)</x:f>
        <x:v>2015</x:v>
      </x:c>
      <x:c r="F2312" s="29" t="n">
        <x:f>MONTH(B2312)</x:f>
        <x:v>9</x:v>
      </x:c>
      <x:c r="G2312" s="30" t="n">
        <x:v>-30.99</x:v>
      </x:c>
      <x:c r="H2312" s="30" t="n">
        <x:v>-71.53</x:v>
      </x:c>
      <x:c r="I2312" s="29" t="n">
        <x:v>7</x:v>
      </x:c>
      <x:c r="J2312" s="31" t="n">
        <x:v>4.2</x:v>
      </x:c>
      <x:c r="K2312" s="25" t="str">
        <x:f>IF(J2312&gt;=7,"Muy fuerte (&gt;=7)",IF(J2312&gt;=6,"Fuerte (6-6.9)",IF(J2312&gt;=5,"Moderado alto (5-5.9)",IF(J2312&gt;=4,"Moderado (4-4.9)","Menor a 4"))))</x:f>
        <x:v>Moderado (4-4.9)</x:v>
      </x:c>
      <x:c r="L2312" s="25" t="str">
        <x:f>IF(I2312&lt;70,"Superficial (&lt;70 km)",IF(I2312&lt;=300,"Intermedio (70-300 km)","Profundo (&gt;300 km)"))</x:f>
        <x:v>Superficial (&lt;70 km)</x:v>
      </x:c>
      <x:c r="M2312" s="25" t="str">
        <x:f>IF(J2312&gt;=5,"Sí","No")</x:f>
        <x:v>No</x:v>
      </x:c>
      <x:c r="N2312" s="25" t="str">
        <x:f>IF(J2312&gt;=6,"Sí","No")</x:f>
        <x:v>No</x:v>
      </x:c>
      <x:c r="O2312" s="25" t="str">
        <x:v>Pendiente: asignar con R/sf</x:v>
      </x:c>
    </x:row>
    <x:row r="2313">
      <x:c r="A2313" s="25" t="n">
        <x:v>2312</x:v>
      </x:c>
      <x:c r="B2313" s="26" t="n">
        <x:v>42264.39436342593</x:v>
      </x:c>
      <x:c r="C2313" s="27" t="n">
        <x:f>INT(B2313)</x:f>
        <x:v>42264</x:v>
      </x:c>
      <x:c r="D2313" s="28" t="n">
        <x:f>MOD(B2313,1)</x:f>
        <x:v>0.3943634259267128</x:v>
      </x:c>
      <x:c r="E2313" s="29" t="n">
        <x:f>YEAR(B2313)</x:f>
        <x:v>2015</x:v>
      </x:c>
      <x:c r="F2313" s="29" t="n">
        <x:f>MONTH(B2313)</x:f>
        <x:v>9</x:v>
      </x:c>
      <x:c r="G2313" s="30" t="n">
        <x:v>-31.12</x:v>
      </x:c>
      <x:c r="H2313" s="30" t="n">
        <x:v>-71.76</x:v>
      </x:c>
      <x:c r="I2313" s="29" t="n">
        <x:v>46</x:v>
      </x:c>
      <x:c r="J2313" s="31" t="n">
        <x:v>4.7</x:v>
      </x:c>
      <x:c r="K2313" s="25" t="str">
        <x:f>IF(J2313&gt;=7,"Muy fuerte (&gt;=7)",IF(J2313&gt;=6,"Fuerte (6-6.9)",IF(J2313&gt;=5,"Moderado alto (5-5.9)",IF(J2313&gt;=4,"Moderado (4-4.9)","Menor a 4"))))</x:f>
        <x:v>Moderado (4-4.9)</x:v>
      </x:c>
      <x:c r="L2313" s="25" t="str">
        <x:f>IF(I2313&lt;70,"Superficial (&lt;70 km)",IF(I2313&lt;=300,"Intermedio (70-300 km)","Profundo (&gt;300 km)"))</x:f>
        <x:v>Superficial (&lt;70 km)</x:v>
      </x:c>
      <x:c r="M2313" s="25" t="str">
        <x:f>IF(J2313&gt;=5,"Sí","No")</x:f>
        <x:v>No</x:v>
      </x:c>
      <x:c r="N2313" s="25" t="str">
        <x:f>IF(J2313&gt;=6,"Sí","No")</x:f>
        <x:v>No</x:v>
      </x:c>
      <x:c r="O2313" s="25" t="str">
        <x:v>Pendiente: asignar con R/sf</x:v>
      </x:c>
    </x:row>
    <x:row r="2314">
      <x:c r="A2314" s="25" t="n">
        <x:v>2313</x:v>
      </x:c>
      <x:c r="B2314" s="26" t="n">
        <x:v>42264.63217592592</x:v>
      </x:c>
      <x:c r="C2314" s="27" t="n">
        <x:f>INT(B2314)</x:f>
        <x:v>42264</x:v>
      </x:c>
      <x:c r="D2314" s="28" t="n">
        <x:f>MOD(B2314,1)</x:f>
        <x:v>0.6321759259226383</x:v>
      </x:c>
      <x:c r="E2314" s="29" t="n">
        <x:f>YEAR(B2314)</x:f>
        <x:v>2015</x:v>
      </x:c>
      <x:c r="F2314" s="29" t="n">
        <x:f>MONTH(B2314)</x:f>
        <x:v>9</x:v>
      </x:c>
      <x:c r="G2314" s="30" t="n">
        <x:v>-31.24</x:v>
      </x:c>
      <x:c r="H2314" s="30" t="n">
        <x:v>-71.25</x:v>
      </x:c>
      <x:c r="I2314" s="29" t="n">
        <x:v>61</x:v>
      </x:c>
      <x:c r="J2314" s="31" t="n">
        <x:v>4.2</x:v>
      </x:c>
      <x:c r="K2314" s="25" t="str">
        <x:f>IF(J2314&gt;=7,"Muy fuerte (&gt;=7)",IF(J2314&gt;=6,"Fuerte (6-6.9)",IF(J2314&gt;=5,"Moderado alto (5-5.9)",IF(J2314&gt;=4,"Moderado (4-4.9)","Menor a 4"))))</x:f>
        <x:v>Moderado (4-4.9)</x:v>
      </x:c>
      <x:c r="L2314" s="25" t="str">
        <x:f>IF(I2314&lt;70,"Superficial (&lt;70 km)",IF(I2314&lt;=300,"Intermedio (70-300 km)","Profundo (&gt;300 km)"))</x:f>
        <x:v>Superficial (&lt;70 km)</x:v>
      </x:c>
      <x:c r="M2314" s="25" t="str">
        <x:f>IF(J2314&gt;=5,"Sí","No")</x:f>
        <x:v>No</x:v>
      </x:c>
      <x:c r="N2314" s="25" t="str">
        <x:f>IF(J2314&gt;=6,"Sí","No")</x:f>
        <x:v>No</x:v>
      </x:c>
      <x:c r="O2314" s="25" t="str">
        <x:v>Pendiente: asignar con R/sf</x:v>
      </x:c>
    </x:row>
    <x:row r="2315">
      <x:c r="A2315" s="25" t="n">
        <x:v>2314</x:v>
      </x:c>
      <x:c r="B2315" s="26" t="n">
        <x:v>42264.86858796296</x:v>
      </x:c>
      <x:c r="C2315" s="27" t="n">
        <x:f>INT(B2315)</x:f>
        <x:v>42264</x:v>
      </x:c>
      <x:c r="D2315" s="28" t="n">
        <x:f>MOD(B2315,1)</x:f>
        <x:v>0.8685879629629198</x:v>
      </x:c>
      <x:c r="E2315" s="29" t="n">
        <x:f>YEAR(B2315)</x:f>
        <x:v>2015</x:v>
      </x:c>
      <x:c r="F2315" s="29" t="n">
        <x:f>MONTH(B2315)</x:f>
        <x:v>9</x:v>
      </x:c>
      <x:c r="G2315" s="30" t="n">
        <x:v>-31.63</x:v>
      </x:c>
      <x:c r="H2315" s="30" t="n">
        <x:v>-71.68</x:v>
      </x:c>
      <x:c r="I2315" s="29" t="n">
        <x:v>42</x:v>
      </x:c>
      <x:c r="J2315" s="31" t="n">
        <x:v>4.6</x:v>
      </x:c>
      <x:c r="K2315" s="25" t="str">
        <x:f>IF(J2315&gt;=7,"Muy fuerte (&gt;=7)",IF(J2315&gt;=6,"Fuerte (6-6.9)",IF(J2315&gt;=5,"Moderado alto (5-5.9)",IF(J2315&gt;=4,"Moderado (4-4.9)","Menor a 4"))))</x:f>
        <x:v>Moderado (4-4.9)</x:v>
      </x:c>
      <x:c r="L2315" s="25" t="str">
        <x:f>IF(I2315&lt;70,"Superficial (&lt;70 km)",IF(I2315&lt;=300,"Intermedio (70-300 km)","Profundo (&gt;300 km)"))</x:f>
        <x:v>Superficial (&lt;70 km)</x:v>
      </x:c>
      <x:c r="M2315" s="25" t="str">
        <x:f>IF(J2315&gt;=5,"Sí","No")</x:f>
        <x:v>No</x:v>
      </x:c>
      <x:c r="N2315" s="25" t="str">
        <x:f>IF(J2315&gt;=6,"Sí","No")</x:f>
        <x:v>No</x:v>
      </x:c>
      <x:c r="O2315" s="25" t="str">
        <x:v>Pendiente: asignar con R/sf</x:v>
      </x:c>
    </x:row>
    <x:row r="2316">
      <x:c r="A2316" s="25" t="n">
        <x:v>2315</x:v>
      </x:c>
      <x:c r="B2316" s="26" t="n">
        <x:v>42264.884050925924</x:v>
      </x:c>
      <x:c r="C2316" s="27" t="n">
        <x:f>INT(B2316)</x:f>
        <x:v>42264</x:v>
      </x:c>
      <x:c r="D2316" s="28" t="n">
        <x:f>MOD(B2316,1)</x:f>
        <x:v>0.8840509259243845</x:v>
      </x:c>
      <x:c r="E2316" s="29" t="n">
        <x:f>YEAR(B2316)</x:f>
        <x:v>2015</x:v>
      </x:c>
      <x:c r="F2316" s="29" t="n">
        <x:f>MONTH(B2316)</x:f>
        <x:v>9</x:v>
      </x:c>
      <x:c r="G2316" s="30" t="n">
        <x:v>-31.35</x:v>
      </x:c>
      <x:c r="H2316" s="30" t="n">
        <x:v>-71.77</x:v>
      </x:c>
      <x:c r="I2316" s="29" t="n">
        <x:v>40</x:v>
      </x:c>
      <x:c r="J2316" s="31" t="n">
        <x:v>4.5</x:v>
      </x:c>
      <x:c r="K2316" s="25" t="str">
        <x:f>IF(J2316&gt;=7,"Muy fuerte (&gt;=7)",IF(J2316&gt;=6,"Fuerte (6-6.9)",IF(J2316&gt;=5,"Moderado alto (5-5.9)",IF(J2316&gt;=4,"Moderado (4-4.9)","Menor a 4"))))</x:f>
        <x:v>Moderado (4-4.9)</x:v>
      </x:c>
      <x:c r="L2316" s="25" t="str">
        <x:f>IF(I2316&lt;70,"Superficial (&lt;70 km)",IF(I2316&lt;=300,"Intermedio (70-300 km)","Profundo (&gt;300 km)"))</x:f>
        <x:v>Superficial (&lt;70 km)</x:v>
      </x:c>
      <x:c r="M2316" s="25" t="str">
        <x:f>IF(J2316&gt;=5,"Sí","No")</x:f>
        <x:v>No</x:v>
      </x:c>
      <x:c r="N2316" s="25" t="str">
        <x:f>IF(J2316&gt;=6,"Sí","No")</x:f>
        <x:v>No</x:v>
      </x:c>
      <x:c r="O2316" s="25" t="str">
        <x:v>Pendiente: asignar con R/sf</x:v>
      </x:c>
    </x:row>
    <x:row r="2317">
      <x:c r="A2317" s="25" t="n">
        <x:v>2316</x:v>
      </x:c>
      <x:c r="B2317" s="26" t="n">
        <x:v>42265.076631944445</x:v>
      </x:c>
      <x:c r="C2317" s="27" t="n">
        <x:f>INT(B2317)</x:f>
        <x:v>42265</x:v>
      </x:c>
      <x:c r="D2317" s="28" t="n">
        <x:f>MOD(B2317,1)</x:f>
        <x:v>0.07663194444467081</x:v>
      </x:c>
      <x:c r="E2317" s="29" t="n">
        <x:f>YEAR(B2317)</x:f>
        <x:v>2015</x:v>
      </x:c>
      <x:c r="F2317" s="29" t="n">
        <x:f>MONTH(B2317)</x:f>
        <x:v>9</x:v>
      </x:c>
      <x:c r="G2317" s="30" t="n">
        <x:v>-31.44</x:v>
      </x:c>
      <x:c r="H2317" s="30" t="n">
        <x:v>-71.68</x:v>
      </x:c>
      <x:c r="I2317" s="29" t="n">
        <x:v>38</x:v>
      </x:c>
      <x:c r="J2317" s="31" t="n">
        <x:v>4.7</x:v>
      </x:c>
      <x:c r="K2317" s="25" t="str">
        <x:f>IF(J2317&gt;=7,"Muy fuerte (&gt;=7)",IF(J2317&gt;=6,"Fuerte (6-6.9)",IF(J2317&gt;=5,"Moderado alto (5-5.9)",IF(J2317&gt;=4,"Moderado (4-4.9)","Menor a 4"))))</x:f>
        <x:v>Moderado (4-4.9)</x:v>
      </x:c>
      <x:c r="L2317" s="25" t="str">
        <x:f>IF(I2317&lt;70,"Superficial (&lt;70 km)",IF(I2317&lt;=300,"Intermedio (70-300 km)","Profundo (&gt;300 km)"))</x:f>
        <x:v>Superficial (&lt;70 km)</x:v>
      </x:c>
      <x:c r="M2317" s="25" t="str">
        <x:f>IF(J2317&gt;=5,"Sí","No")</x:f>
        <x:v>No</x:v>
      </x:c>
      <x:c r="N2317" s="25" t="str">
        <x:f>IF(J2317&gt;=6,"Sí","No")</x:f>
        <x:v>No</x:v>
      </x:c>
      <x:c r="O2317" s="25" t="str">
        <x:v>Pendiente: asignar con R/sf</x:v>
      </x:c>
    </x:row>
    <x:row r="2318">
      <x:c r="A2318" s="25" t="n">
        <x:v>2317</x:v>
      </x:c>
      <x:c r="B2318" s="26" t="n">
        <x:v>42265.186840277776</x:v>
      </x:c>
      <x:c r="C2318" s="27" t="n">
        <x:f>INT(B2318)</x:f>
        <x:v>42265</x:v>
      </x:c>
      <x:c r="D2318" s="28" t="n">
        <x:f>MOD(B2318,1)</x:f>
        <x:v>0.18684027777635492</x:v>
      </x:c>
      <x:c r="E2318" s="29" t="n">
        <x:f>YEAR(B2318)</x:f>
        <x:v>2015</x:v>
      </x:c>
      <x:c r="F2318" s="29" t="n">
        <x:f>MONTH(B2318)</x:f>
        <x:v>9</x:v>
      </x:c>
      <x:c r="G2318" s="30" t="n">
        <x:v>-31.67</x:v>
      </x:c>
      <x:c r="H2318" s="30" t="n">
        <x:v>-71.65</x:v>
      </x:c>
      <x:c r="I2318" s="29" t="n">
        <x:v>34</x:v>
      </x:c>
      <x:c r="J2318" s="31" t="n">
        <x:v>5</x:v>
      </x:c>
      <x:c r="K2318" s="25" t="str">
        <x:f>IF(J2318&gt;=7,"Muy fuerte (&gt;=7)",IF(J2318&gt;=6,"Fuerte (6-6.9)",IF(J2318&gt;=5,"Moderado alto (5-5.9)",IF(J2318&gt;=4,"Moderado (4-4.9)","Menor a 4"))))</x:f>
        <x:v>Moderado alto (5-5.9)</x:v>
      </x:c>
      <x:c r="L2318" s="25" t="str">
        <x:f>IF(I2318&lt;70,"Superficial (&lt;70 km)",IF(I2318&lt;=300,"Intermedio (70-300 km)","Profundo (&gt;300 km)"))</x:f>
        <x:v>Superficial (&lt;70 km)</x:v>
      </x:c>
      <x:c r="M2318" s="25" t="str">
        <x:f>IF(J2318&gt;=5,"Sí","No")</x:f>
        <x:v>Sí</x:v>
      </x:c>
      <x:c r="N2318" s="25" t="str">
        <x:f>IF(J2318&gt;=6,"Sí","No")</x:f>
        <x:v>No</x:v>
      </x:c>
      <x:c r="O2318" s="25" t="str">
        <x:v>Pendiente: asignar con R/sf</x:v>
      </x:c>
    </x:row>
    <x:row r="2319">
      <x:c r="A2319" s="25" t="n">
        <x:v>2318</x:v>
      </x:c>
      <x:c r="B2319" s="26" t="n">
        <x:v>42265.46244212963</x:v>
      </x:c>
      <x:c r="C2319" s="27" t="n">
        <x:f>INT(B2319)</x:f>
        <x:v>42265</x:v>
      </x:c>
      <x:c r="D2319" s="28" t="n">
        <x:f>MOD(B2319,1)</x:f>
        <x:v>0.46244212963210884</x:v>
      </x:c>
      <x:c r="E2319" s="29" t="n">
        <x:f>YEAR(B2319)</x:f>
        <x:v>2015</x:v>
      </x:c>
      <x:c r="F2319" s="29" t="n">
        <x:f>MONTH(B2319)</x:f>
        <x:v>9</x:v>
      </x:c>
      <x:c r="G2319" s="30" t="n">
        <x:v>-31.59</x:v>
      </x:c>
      <x:c r="H2319" s="30" t="n">
        <x:v>-71.46</x:v>
      </x:c>
      <x:c r="I2319" s="29" t="n">
        <x:v>38</x:v>
      </x:c>
      <x:c r="J2319" s="31" t="n">
        <x:v>4.1</x:v>
      </x:c>
      <x:c r="K2319" s="25" t="str">
        <x:f>IF(J2319&gt;=7,"Muy fuerte (&gt;=7)",IF(J2319&gt;=6,"Fuerte (6-6.9)",IF(J2319&gt;=5,"Moderado alto (5-5.9)",IF(J2319&gt;=4,"Moderado (4-4.9)","Menor a 4"))))</x:f>
        <x:v>Moderado (4-4.9)</x:v>
      </x:c>
      <x:c r="L2319" s="25" t="str">
        <x:f>IF(I2319&lt;70,"Superficial (&lt;70 km)",IF(I2319&lt;=300,"Intermedio (70-300 km)","Profundo (&gt;300 km)"))</x:f>
        <x:v>Superficial (&lt;70 km)</x:v>
      </x:c>
      <x:c r="M2319" s="25" t="str">
        <x:f>IF(J2319&gt;=5,"Sí","No")</x:f>
        <x:v>No</x:v>
      </x:c>
      <x:c r="N2319" s="25" t="str">
        <x:f>IF(J2319&gt;=6,"Sí","No")</x:f>
        <x:v>No</x:v>
      </x:c>
      <x:c r="O2319" s="25" t="str">
        <x:v>Pendiente: asignar con R/sf</x:v>
      </x:c>
    </x:row>
    <x:row r="2320">
      <x:c r="A2320" s="25" t="n">
        <x:v>2319</x:v>
      </x:c>
      <x:c r="B2320" s="26" t="n">
        <x:v>42266.02967592593</x:v>
      </x:c>
      <x:c r="C2320" s="27" t="n">
        <x:f>INT(B2320)</x:f>
        <x:v>42266</x:v>
      </x:c>
      <x:c r="D2320" s="28" t="n">
        <x:f>MOD(B2320,1)</x:f>
        <x:v>0.029675925929041114</x:v>
      </x:c>
      <x:c r="E2320" s="29" t="n">
        <x:f>YEAR(B2320)</x:f>
        <x:v>2015</x:v>
      </x:c>
      <x:c r="F2320" s="29" t="n">
        <x:f>MONTH(B2320)</x:f>
        <x:v>9</x:v>
      </x:c>
      <x:c r="G2320" s="30" t="n">
        <x:v>-31.64</x:v>
      </x:c>
      <x:c r="H2320" s="30" t="n">
        <x:v>-71.66</x:v>
      </x:c>
      <x:c r="I2320" s="29" t="n">
        <x:v>39</x:v>
      </x:c>
      <x:c r="J2320" s="31" t="n">
        <x:v>4.3</x:v>
      </x:c>
      <x:c r="K2320" s="25" t="str">
        <x:f>IF(J2320&gt;=7,"Muy fuerte (&gt;=7)",IF(J2320&gt;=6,"Fuerte (6-6.9)",IF(J2320&gt;=5,"Moderado alto (5-5.9)",IF(J2320&gt;=4,"Moderado (4-4.9)","Menor a 4"))))</x:f>
        <x:v>Moderado (4-4.9)</x:v>
      </x:c>
      <x:c r="L2320" s="25" t="str">
        <x:f>IF(I2320&lt;70,"Superficial (&lt;70 km)",IF(I2320&lt;=300,"Intermedio (70-300 km)","Profundo (&gt;300 km)"))</x:f>
        <x:v>Superficial (&lt;70 km)</x:v>
      </x:c>
      <x:c r="M2320" s="25" t="str">
        <x:f>IF(J2320&gt;=5,"Sí","No")</x:f>
        <x:v>No</x:v>
      </x:c>
      <x:c r="N2320" s="25" t="str">
        <x:f>IF(J2320&gt;=6,"Sí","No")</x:f>
        <x:v>No</x:v>
      </x:c>
      <x:c r="O2320" s="25" t="str">
        <x:v>Pendiente: asignar con R/sf</x:v>
      </x:c>
    </x:row>
    <x:row r="2321">
      <x:c r="A2321" s="25" t="n">
        <x:v>2320</x:v>
      </x:c>
      <x:c r="B2321" s="26" t="n">
        <x:v>42266.21775462963</x:v>
      </x:c>
      <x:c r="C2321" s="27" t="n">
        <x:f>INT(B2321)</x:f>
        <x:v>42266</x:v>
      </x:c>
      <x:c r="D2321" s="28" t="n">
        <x:f>MOD(B2321,1)</x:f>
        <x:v>0.21775462962978054</x:v>
      </x:c>
      <x:c r="E2321" s="29" t="n">
        <x:f>YEAR(B2321)</x:f>
        <x:v>2015</x:v>
      </x:c>
      <x:c r="F2321" s="29" t="n">
        <x:f>MONTH(B2321)</x:f>
        <x:v>9</x:v>
      </x:c>
      <x:c r="G2321" s="30" t="n">
        <x:v>-31.82</x:v>
      </x:c>
      <x:c r="H2321" s="30" t="n">
        <x:v>-71.62</x:v>
      </x:c>
      <x:c r="I2321" s="29" t="n">
        <x:v>50</x:v>
      </x:c>
      <x:c r="J2321" s="31" t="n">
        <x:v>4.2</x:v>
      </x:c>
      <x:c r="K2321" s="25" t="str">
        <x:f>IF(J2321&gt;=7,"Muy fuerte (&gt;=7)",IF(J2321&gt;=6,"Fuerte (6-6.9)",IF(J2321&gt;=5,"Moderado alto (5-5.9)",IF(J2321&gt;=4,"Moderado (4-4.9)","Menor a 4"))))</x:f>
        <x:v>Moderado (4-4.9)</x:v>
      </x:c>
      <x:c r="L2321" s="25" t="str">
        <x:f>IF(I2321&lt;70,"Superficial (&lt;70 km)",IF(I2321&lt;=300,"Intermedio (70-300 km)","Profundo (&gt;300 km)"))</x:f>
        <x:v>Superficial (&lt;70 km)</x:v>
      </x:c>
      <x:c r="M2321" s="25" t="str">
        <x:f>IF(J2321&gt;=5,"Sí","No")</x:f>
        <x:v>No</x:v>
      </x:c>
      <x:c r="N2321" s="25" t="str">
        <x:f>IF(J2321&gt;=6,"Sí","No")</x:f>
        <x:v>No</x:v>
      </x:c>
      <x:c r="O2321" s="25" t="str">
        <x:v>Pendiente: asignar con R/sf</x:v>
      </x:c>
    </x:row>
    <x:row r="2322">
      <x:c r="A2322" s="25" t="n">
        <x:v>2321</x:v>
      </x:c>
      <x:c r="B2322" s="26" t="n">
        <x:v>42266.24680555556</x:v>
      </x:c>
      <x:c r="C2322" s="27" t="n">
        <x:f>INT(B2322)</x:f>
        <x:v>42266</x:v>
      </x:c>
      <x:c r="D2322" s="28" t="n">
        <x:f>MOD(B2322,1)</x:f>
        <x:v>0.24680555555823958</x:v>
      </x:c>
      <x:c r="E2322" s="29" t="n">
        <x:f>YEAR(B2322)</x:f>
        <x:v>2015</x:v>
      </x:c>
      <x:c r="F2322" s="29" t="n">
        <x:f>MONTH(B2322)</x:f>
        <x:v>9</x:v>
      </x:c>
      <x:c r="G2322" s="30" t="n">
        <x:v>-31.79</x:v>
      </x:c>
      <x:c r="H2322" s="30" t="n">
        <x:v>-71.5</x:v>
      </x:c>
      <x:c r="I2322" s="29" t="n">
        <x:v>37</x:v>
      </x:c>
      <x:c r="J2322" s="31" t="n">
        <x:v>4.6</x:v>
      </x:c>
      <x:c r="K2322" s="25" t="str">
        <x:f>IF(J2322&gt;=7,"Muy fuerte (&gt;=7)",IF(J2322&gt;=6,"Fuerte (6-6.9)",IF(J2322&gt;=5,"Moderado alto (5-5.9)",IF(J2322&gt;=4,"Moderado (4-4.9)","Menor a 4"))))</x:f>
        <x:v>Moderado (4-4.9)</x:v>
      </x:c>
      <x:c r="L2322" s="25" t="str">
        <x:f>IF(I2322&lt;70,"Superficial (&lt;70 km)",IF(I2322&lt;=300,"Intermedio (70-300 km)","Profundo (&gt;300 km)"))</x:f>
        <x:v>Superficial (&lt;70 km)</x:v>
      </x:c>
      <x:c r="M2322" s="25" t="str">
        <x:f>IF(J2322&gt;=5,"Sí","No")</x:f>
        <x:v>No</x:v>
      </x:c>
      <x:c r="N2322" s="25" t="str">
        <x:f>IF(J2322&gt;=6,"Sí","No")</x:f>
        <x:v>No</x:v>
      </x:c>
      <x:c r="O2322" s="25" t="str">
        <x:v>Pendiente: asignar con R/sf</x:v>
      </x:c>
    </x:row>
    <x:row r="2323">
      <x:c r="A2323" s="25" t="n">
        <x:v>2322</x:v>
      </x:c>
      <x:c r="B2323" s="26" t="n">
        <x:v>42268.07099537037</x:v>
      </x:c>
      <x:c r="C2323" s="27" t="n">
        <x:f>INT(B2323)</x:f>
        <x:v>42268</x:v>
      </x:c>
      <x:c r="D2323" s="28" t="n">
        <x:f>MOD(B2323,1)</x:f>
        <x:v>0.07099537036992842</x:v>
      </x:c>
      <x:c r="E2323" s="29" t="n">
        <x:f>YEAR(B2323)</x:f>
        <x:v>2015</x:v>
      </x:c>
      <x:c r="F2323" s="29" t="n">
        <x:f>MONTH(B2323)</x:f>
        <x:v>9</x:v>
      </x:c>
      <x:c r="G2323" s="30" t="n">
        <x:v>-30.77</x:v>
      </x:c>
      <x:c r="H2323" s="30" t="n">
        <x:v>-71.83</x:v>
      </x:c>
      <x:c r="I2323" s="29" t="n">
        <x:v>33</x:v>
      </x:c>
      <x:c r="J2323" s="31" t="n">
        <x:v>4</x:v>
      </x:c>
      <x:c r="K2323" s="25" t="str">
        <x:f>IF(J2323&gt;=7,"Muy fuerte (&gt;=7)",IF(J2323&gt;=6,"Fuerte (6-6.9)",IF(J2323&gt;=5,"Moderado alto (5-5.9)",IF(J2323&gt;=4,"Moderado (4-4.9)","Menor a 4"))))</x:f>
        <x:v>Moderado (4-4.9)</x:v>
      </x:c>
      <x:c r="L2323" s="25" t="str">
        <x:f>IF(I2323&lt;70,"Superficial (&lt;70 km)",IF(I2323&lt;=300,"Intermedio (70-300 km)","Profundo (&gt;300 km)"))</x:f>
        <x:v>Superficial (&lt;70 km)</x:v>
      </x:c>
      <x:c r="M2323" s="25" t="str">
        <x:f>IF(J2323&gt;=5,"Sí","No")</x:f>
        <x:v>No</x:v>
      </x:c>
      <x:c r="N2323" s="25" t="str">
        <x:f>IF(J2323&gt;=6,"Sí","No")</x:f>
        <x:v>No</x:v>
      </x:c>
      <x:c r="O2323" s="25" t="str">
        <x:v>Pendiente: asignar con R/sf</x:v>
      </x:c>
    </x:row>
    <x:row r="2324">
      <x:c r="A2324" s="25" t="n">
        <x:v>2323</x:v>
      </x:c>
      <x:c r="B2324" s="26" t="n">
        <x:v>42268.13694444444</x:v>
      </x:c>
      <x:c r="C2324" s="27" t="n">
        <x:f>INT(B2324)</x:f>
        <x:v>42268</x:v>
      </x:c>
      <x:c r="D2324" s="28" t="n">
        <x:f>MOD(B2324,1)</x:f>
        <x:v>0.13694444444263354</x:v>
      </x:c>
      <x:c r="E2324" s="29" t="n">
        <x:f>YEAR(B2324)</x:f>
        <x:v>2015</x:v>
      </x:c>
      <x:c r="F2324" s="29" t="n">
        <x:f>MONTH(B2324)</x:f>
        <x:v>9</x:v>
      </x:c>
      <x:c r="G2324" s="30" t="n">
        <x:v>-32.21</x:v>
      </x:c>
      <x:c r="H2324" s="30" t="n">
        <x:v>-71.83</x:v>
      </x:c>
      <x:c r="I2324" s="29" t="n">
        <x:v>34</x:v>
      </x:c>
      <x:c r="J2324" s="31" t="n">
        <x:v>4.2</x:v>
      </x:c>
      <x:c r="K2324" s="25" t="str">
        <x:f>IF(J2324&gt;=7,"Muy fuerte (&gt;=7)",IF(J2324&gt;=6,"Fuerte (6-6.9)",IF(J2324&gt;=5,"Moderado alto (5-5.9)",IF(J2324&gt;=4,"Moderado (4-4.9)","Menor a 4"))))</x:f>
        <x:v>Moderado (4-4.9)</x:v>
      </x:c>
      <x:c r="L2324" s="25" t="str">
        <x:f>IF(I2324&lt;70,"Superficial (&lt;70 km)",IF(I2324&lt;=300,"Intermedio (70-300 km)","Profundo (&gt;300 km)"))</x:f>
        <x:v>Superficial (&lt;70 km)</x:v>
      </x:c>
      <x:c r="M2324" s="25" t="str">
        <x:f>IF(J2324&gt;=5,"Sí","No")</x:f>
        <x:v>No</x:v>
      </x:c>
      <x:c r="N2324" s="25" t="str">
        <x:f>IF(J2324&gt;=6,"Sí","No")</x:f>
        <x:v>No</x:v>
      </x:c>
      <x:c r="O2324" s="25" t="str">
        <x:v>Pendiente: asignar con R/sf</x:v>
      </x:c>
    </x:row>
    <x:row r="2325">
      <x:c r="A2325" s="25" t="n">
        <x:v>2324</x:v>
      </x:c>
      <x:c r="B2325" s="26" t="n">
        <x:v>42268.78270833333</x:v>
      </x:c>
      <x:c r="C2325" s="27" t="n">
        <x:f>INT(B2325)</x:f>
        <x:v>42268</x:v>
      </x:c>
      <x:c r="D2325" s="28" t="n">
        <x:f>MOD(B2325,1)</x:f>
        <x:v>0.7827083333322662</x:v>
      </x:c>
      <x:c r="E2325" s="29" t="n">
        <x:f>YEAR(B2325)</x:f>
        <x:v>2015</x:v>
      </x:c>
      <x:c r="F2325" s="29" t="n">
        <x:f>MONTH(B2325)</x:f>
        <x:v>9</x:v>
      </x:c>
      <x:c r="G2325" s="30" t="n">
        <x:v>-31.76</x:v>
      </x:c>
      <x:c r="H2325" s="30" t="n">
        <x:v>-71.57</x:v>
      </x:c>
      <x:c r="I2325" s="29" t="n">
        <x:v>37</x:v>
      </x:c>
      <x:c r="J2325" s="31" t="n">
        <x:v>4.6</x:v>
      </x:c>
      <x:c r="K2325" s="25" t="str">
        <x:f>IF(J2325&gt;=7,"Muy fuerte (&gt;=7)",IF(J2325&gt;=6,"Fuerte (6-6.9)",IF(J2325&gt;=5,"Moderado alto (5-5.9)",IF(J2325&gt;=4,"Moderado (4-4.9)","Menor a 4"))))</x:f>
        <x:v>Moderado (4-4.9)</x:v>
      </x:c>
      <x:c r="L2325" s="25" t="str">
        <x:f>IF(I2325&lt;70,"Superficial (&lt;70 km)",IF(I2325&lt;=300,"Intermedio (70-300 km)","Profundo (&gt;300 km)"))</x:f>
        <x:v>Superficial (&lt;70 km)</x:v>
      </x:c>
      <x:c r="M2325" s="25" t="str">
        <x:f>IF(J2325&gt;=5,"Sí","No")</x:f>
        <x:v>No</x:v>
      </x:c>
      <x:c r="N2325" s="25" t="str">
        <x:f>IF(J2325&gt;=6,"Sí","No")</x:f>
        <x:v>No</x:v>
      </x:c>
      <x:c r="O2325" s="25" t="str">
        <x:v>Pendiente: asignar con R/sf</x:v>
      </x:c>
    </x:row>
    <x:row r="2326">
      <x:c r="A2326" s="25" t="n">
        <x:v>2325</x:v>
      </x:c>
      <x:c r="B2326" s="26" t="n">
        <x:v>42268.79728009259</x:v>
      </x:c>
      <x:c r="C2326" s="27" t="n">
        <x:f>INT(B2326)</x:f>
        <x:v>42268</x:v>
      </x:c>
      <x:c r="D2326" s="28" t="n">
        <x:f>MOD(B2326,1)</x:f>
        <x:v>0.7972800925927004</x:v>
      </x:c>
      <x:c r="E2326" s="29" t="n">
        <x:f>YEAR(B2326)</x:f>
        <x:v>2015</x:v>
      </x:c>
      <x:c r="F2326" s="29" t="n">
        <x:f>MONTH(B2326)</x:f>
        <x:v>9</x:v>
      </x:c>
      <x:c r="G2326" s="30" t="n">
        <x:v>-31.6</x:v>
      </x:c>
      <x:c r="H2326" s="30" t="n">
        <x:v>-71.57</x:v>
      </x:c>
      <x:c r="I2326" s="29" t="n">
        <x:v>36</x:v>
      </x:c>
      <x:c r="J2326" s="31" t="n">
        <x:v>4.5</x:v>
      </x:c>
      <x:c r="K2326" s="25" t="str">
        <x:f>IF(J2326&gt;=7,"Muy fuerte (&gt;=7)",IF(J2326&gt;=6,"Fuerte (6-6.9)",IF(J2326&gt;=5,"Moderado alto (5-5.9)",IF(J2326&gt;=4,"Moderado (4-4.9)","Menor a 4"))))</x:f>
        <x:v>Moderado (4-4.9)</x:v>
      </x:c>
      <x:c r="L2326" s="25" t="str">
        <x:f>IF(I2326&lt;70,"Superficial (&lt;70 km)",IF(I2326&lt;=300,"Intermedio (70-300 km)","Profundo (&gt;300 km)"))</x:f>
        <x:v>Superficial (&lt;70 km)</x:v>
      </x:c>
      <x:c r="M2326" s="25" t="str">
        <x:f>IF(J2326&gt;=5,"Sí","No")</x:f>
        <x:v>No</x:v>
      </x:c>
      <x:c r="N2326" s="25" t="str">
        <x:f>IF(J2326&gt;=6,"Sí","No")</x:f>
        <x:v>No</x:v>
      </x:c>
      <x:c r="O2326" s="25" t="str">
        <x:v>Pendiente: asignar con R/sf</x:v>
      </x:c>
    </x:row>
    <x:row r="2327">
      <x:c r="A2327" s="25" t="n">
        <x:v>2326</x:v>
      </x:c>
      <x:c r="B2327" s="26" t="n">
        <x:v>42268.934375</x:v>
      </x:c>
      <x:c r="C2327" s="27" t="n">
        <x:f>INT(B2327)</x:f>
        <x:v>42268</x:v>
      </x:c>
      <x:c r="D2327" s="28" t="n">
        <x:f>MOD(B2327,1)</x:f>
        <x:v>0.9343749999970896</x:v>
      </x:c>
      <x:c r="E2327" s="29" t="n">
        <x:f>YEAR(B2327)</x:f>
        <x:v>2015</x:v>
      </x:c>
      <x:c r="F2327" s="29" t="n">
        <x:f>MONTH(B2327)</x:f>
        <x:v>9</x:v>
      </x:c>
      <x:c r="G2327" s="30" t="n">
        <x:v>-31.71</x:v>
      </x:c>
      <x:c r="H2327" s="30" t="n">
        <x:v>-71.68</x:v>
      </x:c>
      <x:c r="I2327" s="29" t="n">
        <x:v>35</x:v>
      </x:c>
      <x:c r="J2327" s="31" t="n">
        <x:v>4.1</x:v>
      </x:c>
      <x:c r="K2327" s="25" t="str">
        <x:f>IF(J2327&gt;=7,"Muy fuerte (&gt;=7)",IF(J2327&gt;=6,"Fuerte (6-6.9)",IF(J2327&gt;=5,"Moderado alto (5-5.9)",IF(J2327&gt;=4,"Moderado (4-4.9)","Menor a 4"))))</x:f>
        <x:v>Moderado (4-4.9)</x:v>
      </x:c>
      <x:c r="L2327" s="25" t="str">
        <x:f>IF(I2327&lt;70,"Superficial (&lt;70 km)",IF(I2327&lt;=300,"Intermedio (70-300 km)","Profundo (&gt;300 km)"))</x:f>
        <x:v>Superficial (&lt;70 km)</x:v>
      </x:c>
      <x:c r="M2327" s="25" t="str">
        <x:f>IF(J2327&gt;=5,"Sí","No")</x:f>
        <x:v>No</x:v>
      </x:c>
      <x:c r="N2327" s="25" t="str">
        <x:f>IF(J2327&gt;=6,"Sí","No")</x:f>
        <x:v>No</x:v>
      </x:c>
      <x:c r="O2327" s="25" t="str">
        <x:v>Pendiente: asignar con R/sf</x:v>
      </x:c>
    </x:row>
    <x:row r="2328">
      <x:c r="A2328" s="25" t="n">
        <x:v>2327</x:v>
      </x:c>
      <x:c r="B2328" s="26" t="n">
        <x:v>42270.01650462963</x:v>
      </x:c>
      <x:c r="C2328" s="27" t="n">
        <x:f>INT(B2328)</x:f>
        <x:v>42270</x:v>
      </x:c>
      <x:c r="D2328" s="28" t="n">
        <x:f>MOD(B2328,1)</x:f>
        <x:v>0.016504629631526768</x:v>
      </x:c>
      <x:c r="E2328" s="29" t="n">
        <x:f>YEAR(B2328)</x:f>
        <x:v>2015</x:v>
      </x:c>
      <x:c r="F2328" s="29" t="n">
        <x:f>MONTH(B2328)</x:f>
        <x:v>9</x:v>
      </x:c>
      <x:c r="G2328" s="30" t="n">
        <x:v>-31.63</x:v>
      </x:c>
      <x:c r="H2328" s="30" t="n">
        <x:v>-71.27</x:v>
      </x:c>
      <x:c r="I2328" s="29" t="n">
        <x:v>44</x:v>
      </x:c>
      <x:c r="J2328" s="31" t="n">
        <x:v>4.1</x:v>
      </x:c>
      <x:c r="K2328" s="25" t="str">
        <x:f>IF(J2328&gt;=7,"Muy fuerte (&gt;=7)",IF(J2328&gt;=6,"Fuerte (6-6.9)",IF(J2328&gt;=5,"Moderado alto (5-5.9)",IF(J2328&gt;=4,"Moderado (4-4.9)","Menor a 4"))))</x:f>
        <x:v>Moderado (4-4.9)</x:v>
      </x:c>
      <x:c r="L2328" s="25" t="str">
        <x:f>IF(I2328&lt;70,"Superficial (&lt;70 km)",IF(I2328&lt;=300,"Intermedio (70-300 km)","Profundo (&gt;300 km)"))</x:f>
        <x:v>Superficial (&lt;70 km)</x:v>
      </x:c>
      <x:c r="M2328" s="25" t="str">
        <x:f>IF(J2328&gt;=5,"Sí","No")</x:f>
        <x:v>No</x:v>
      </x:c>
      <x:c r="N2328" s="25" t="str">
        <x:f>IF(J2328&gt;=6,"Sí","No")</x:f>
        <x:v>No</x:v>
      </x:c>
      <x:c r="O2328" s="25" t="str">
        <x:v>Pendiente: asignar con R/sf</x:v>
      </x:c>
    </x:row>
    <x:row r="2329">
      <x:c r="A2329" s="25" t="n">
        <x:v>2328</x:v>
      </x:c>
      <x:c r="B2329" s="26" t="n">
        <x:v>42270.1815625</x:v>
      </x:c>
      <x:c r="C2329" s="27" t="n">
        <x:f>INT(B2329)</x:f>
        <x:v>42270</x:v>
      </x:c>
      <x:c r="D2329" s="28" t="n">
        <x:f>MOD(B2329,1)</x:f>
        <x:v>0.18156250000174623</x:v>
      </x:c>
      <x:c r="E2329" s="29" t="n">
        <x:f>YEAR(B2329)</x:f>
        <x:v>2015</x:v>
      </x:c>
      <x:c r="F2329" s="29" t="n">
        <x:f>MONTH(B2329)</x:f>
        <x:v>9</x:v>
      </x:c>
      <x:c r="G2329" s="30" t="n">
        <x:v>-31.35</x:v>
      </x:c>
      <x:c r="H2329" s="30" t="n">
        <x:v>-72.01</x:v>
      </x:c>
      <x:c r="I2329" s="29" t="n">
        <x:v>28</x:v>
      </x:c>
      <x:c r="J2329" s="31" t="n">
        <x:v>5</x:v>
      </x:c>
      <x:c r="K2329" s="25" t="str">
        <x:f>IF(J2329&gt;=7,"Muy fuerte (&gt;=7)",IF(J2329&gt;=6,"Fuerte (6-6.9)",IF(J2329&gt;=5,"Moderado alto (5-5.9)",IF(J2329&gt;=4,"Moderado (4-4.9)","Menor a 4"))))</x:f>
        <x:v>Moderado alto (5-5.9)</x:v>
      </x:c>
      <x:c r="L2329" s="25" t="str">
        <x:f>IF(I2329&lt;70,"Superficial (&lt;70 km)",IF(I2329&lt;=300,"Intermedio (70-300 km)","Profundo (&gt;300 km)"))</x:f>
        <x:v>Superficial (&lt;70 km)</x:v>
      </x:c>
      <x:c r="M2329" s="25" t="str">
        <x:f>IF(J2329&gt;=5,"Sí","No")</x:f>
        <x:v>Sí</x:v>
      </x:c>
      <x:c r="N2329" s="25" t="str">
        <x:f>IF(J2329&gt;=6,"Sí","No")</x:f>
        <x:v>No</x:v>
      </x:c>
      <x:c r="O2329" s="25" t="str">
        <x:v>Pendiente: asignar con R/sf</x:v>
      </x:c>
    </x:row>
    <x:row r="2330">
      <x:c r="A2330" s="25" t="n">
        <x:v>2329</x:v>
      </x:c>
      <x:c r="B2330" s="26" t="n">
        <x:v>42270.420752314814</x:v>
      </x:c>
      <x:c r="C2330" s="27" t="n">
        <x:f>INT(B2330)</x:f>
        <x:v>42270</x:v>
      </x:c>
      <x:c r="D2330" s="28" t="n">
        <x:f>MOD(B2330,1)</x:f>
        <x:v>0.4207523148143082</x:v>
      </x:c>
      <x:c r="E2330" s="29" t="n">
        <x:f>YEAR(B2330)</x:f>
        <x:v>2015</x:v>
      </x:c>
      <x:c r="F2330" s="29" t="n">
        <x:f>MONTH(B2330)</x:f>
        <x:v>9</x:v>
      </x:c>
      <x:c r="G2330" s="30" t="n">
        <x:v>-31.57</x:v>
      </x:c>
      <x:c r="H2330" s="30" t="n">
        <x:v>-71.69</x:v>
      </x:c>
      <x:c r="I2330" s="29" t="n">
        <x:v>39</x:v>
      </x:c>
      <x:c r="J2330" s="31" t="n">
        <x:v>4</x:v>
      </x:c>
      <x:c r="K2330" s="25" t="str">
        <x:f>IF(J2330&gt;=7,"Muy fuerte (&gt;=7)",IF(J2330&gt;=6,"Fuerte (6-6.9)",IF(J2330&gt;=5,"Moderado alto (5-5.9)",IF(J2330&gt;=4,"Moderado (4-4.9)","Menor a 4"))))</x:f>
        <x:v>Moderado (4-4.9)</x:v>
      </x:c>
      <x:c r="L2330" s="25" t="str">
        <x:f>IF(I2330&lt;70,"Superficial (&lt;70 km)",IF(I2330&lt;=300,"Intermedio (70-300 km)","Profundo (&gt;300 km)"))</x:f>
        <x:v>Superficial (&lt;70 km)</x:v>
      </x:c>
      <x:c r="M2330" s="25" t="str">
        <x:f>IF(J2330&gt;=5,"Sí","No")</x:f>
        <x:v>No</x:v>
      </x:c>
      <x:c r="N2330" s="25" t="str">
        <x:f>IF(J2330&gt;=6,"Sí","No")</x:f>
        <x:v>No</x:v>
      </x:c>
      <x:c r="O2330" s="25" t="str">
        <x:v>Pendiente: asignar con R/sf</x:v>
      </x:c>
    </x:row>
    <x:row r="2331">
      <x:c r="A2331" s="25" t="n">
        <x:v>2330</x:v>
      </x:c>
      <x:c r="B2331" s="26" t="n">
        <x:v>42270.481041666666</x:v>
      </x:c>
      <x:c r="C2331" s="27" t="n">
        <x:f>INT(B2331)</x:f>
        <x:v>42270</x:v>
      </x:c>
      <x:c r="D2331" s="28" t="n">
        <x:f>MOD(B2331,1)</x:f>
        <x:v>0.4810416666659876</x:v>
      </x:c>
      <x:c r="E2331" s="29" t="n">
        <x:f>YEAR(B2331)</x:f>
        <x:v>2015</x:v>
      </x:c>
      <x:c r="F2331" s="29" t="n">
        <x:f>MONTH(B2331)</x:f>
        <x:v>9</x:v>
      </x:c>
      <x:c r="G2331" s="30" t="n">
        <x:v>-31.64</x:v>
      </x:c>
      <x:c r="H2331" s="30" t="n">
        <x:v>-71.89</x:v>
      </x:c>
      <x:c r="I2331" s="29" t="n">
        <x:v>41</x:v>
      </x:c>
      <x:c r="J2331" s="31" t="n">
        <x:v>5.1</x:v>
      </x:c>
      <x:c r="K2331" s="25" t="str">
        <x:f>IF(J2331&gt;=7,"Muy fuerte (&gt;=7)",IF(J2331&gt;=6,"Fuerte (6-6.9)",IF(J2331&gt;=5,"Moderado alto (5-5.9)",IF(J2331&gt;=4,"Moderado (4-4.9)","Menor a 4"))))</x:f>
        <x:v>Moderado alto (5-5.9)</x:v>
      </x:c>
      <x:c r="L2331" s="25" t="str">
        <x:f>IF(I2331&lt;70,"Superficial (&lt;70 km)",IF(I2331&lt;=300,"Intermedio (70-300 km)","Profundo (&gt;300 km)"))</x:f>
        <x:v>Superficial (&lt;70 km)</x:v>
      </x:c>
      <x:c r="M2331" s="25" t="str">
        <x:f>IF(J2331&gt;=5,"Sí","No")</x:f>
        <x:v>Sí</x:v>
      </x:c>
      <x:c r="N2331" s="25" t="str">
        <x:f>IF(J2331&gt;=6,"Sí","No")</x:f>
        <x:v>No</x:v>
      </x:c>
      <x:c r="O2331" s="25" t="str">
        <x:v>Pendiente: asignar con R/sf</x:v>
      </x:c>
    </x:row>
    <x:row r="2332">
      <x:c r="A2332" s="25" t="n">
        <x:v>2331</x:v>
      </x:c>
      <x:c r="B2332" s="26" t="n">
        <x:v>42270.58746527778</x:v>
      </x:c>
      <x:c r="C2332" s="27" t="n">
        <x:f>INT(B2332)</x:f>
        <x:v>42270</x:v>
      </x:c>
      <x:c r="D2332" s="28" t="n">
        <x:f>MOD(B2332,1)</x:f>
        <x:v>0.5874652777783922</x:v>
      </x:c>
      <x:c r="E2332" s="29" t="n">
        <x:f>YEAR(B2332)</x:f>
        <x:v>2015</x:v>
      </x:c>
      <x:c r="F2332" s="29" t="n">
        <x:f>MONTH(B2332)</x:f>
        <x:v>9</x:v>
      </x:c>
      <x:c r="G2332" s="30" t="n">
        <x:v>-31.44</x:v>
      </x:c>
      <x:c r="H2332" s="30" t="n">
        <x:v>-71.44</x:v>
      </x:c>
      <x:c r="I2332" s="29" t="n">
        <x:v>50</x:v>
      </x:c>
      <x:c r="J2332" s="31" t="n">
        <x:v>4.4</x:v>
      </x:c>
      <x:c r="K2332" s="25" t="str">
        <x:f>IF(J2332&gt;=7,"Muy fuerte (&gt;=7)",IF(J2332&gt;=6,"Fuerte (6-6.9)",IF(J2332&gt;=5,"Moderado alto (5-5.9)",IF(J2332&gt;=4,"Moderado (4-4.9)","Menor a 4"))))</x:f>
        <x:v>Moderado (4-4.9)</x:v>
      </x:c>
      <x:c r="L2332" s="25" t="str">
        <x:f>IF(I2332&lt;70,"Superficial (&lt;70 km)",IF(I2332&lt;=300,"Intermedio (70-300 km)","Profundo (&gt;300 km)"))</x:f>
        <x:v>Superficial (&lt;70 km)</x:v>
      </x:c>
      <x:c r="M2332" s="25" t="str">
        <x:f>IF(J2332&gt;=5,"Sí","No")</x:f>
        <x:v>No</x:v>
      </x:c>
      <x:c r="N2332" s="25" t="str">
        <x:f>IF(J2332&gt;=6,"Sí","No")</x:f>
        <x:v>No</x:v>
      </x:c>
      <x:c r="O2332" s="25" t="str">
        <x:v>Pendiente: asignar con R/sf</x:v>
      </x:c>
    </x:row>
    <x:row r="2333">
      <x:c r="A2333" s="25" t="n">
        <x:v>2332</x:v>
      </x:c>
      <x:c r="B2333" s="26" t="n">
        <x:v>42271.56659722222</x:v>
      </x:c>
      <x:c r="C2333" s="27" t="n">
        <x:f>INT(B2333)</x:f>
        <x:v>42271</x:v>
      </x:c>
      <x:c r="D2333" s="28" t="n">
        <x:f>MOD(B2333,1)</x:f>
        <x:v>0.5665972222195705</x:v>
      </x:c>
      <x:c r="E2333" s="29" t="n">
        <x:f>YEAR(B2333)</x:f>
        <x:v>2015</x:v>
      </x:c>
      <x:c r="F2333" s="29" t="n">
        <x:f>MONTH(B2333)</x:f>
        <x:v>9</x:v>
      </x:c>
      <x:c r="G2333" s="30" t="n">
        <x:v>-31.69</x:v>
      </x:c>
      <x:c r="H2333" s="30" t="n">
        <x:v>-71.55</x:v>
      </x:c>
      <x:c r="I2333" s="29" t="n">
        <x:v>25</x:v>
      </x:c>
      <x:c r="J2333" s="31" t="n">
        <x:v>4.8</x:v>
      </x:c>
      <x:c r="K2333" s="25" t="str">
        <x:f>IF(J2333&gt;=7,"Muy fuerte (&gt;=7)",IF(J2333&gt;=6,"Fuerte (6-6.9)",IF(J2333&gt;=5,"Moderado alto (5-5.9)",IF(J2333&gt;=4,"Moderado (4-4.9)","Menor a 4"))))</x:f>
        <x:v>Moderado (4-4.9)</x:v>
      </x:c>
      <x:c r="L2333" s="25" t="str">
        <x:f>IF(I2333&lt;70,"Superficial (&lt;70 km)",IF(I2333&lt;=300,"Intermedio (70-300 km)","Profundo (&gt;300 km)"))</x:f>
        <x:v>Superficial (&lt;70 km)</x:v>
      </x:c>
      <x:c r="M2333" s="25" t="str">
        <x:f>IF(J2333&gt;=5,"Sí","No")</x:f>
        <x:v>No</x:v>
      </x:c>
      <x:c r="N2333" s="25" t="str">
        <x:f>IF(J2333&gt;=6,"Sí","No")</x:f>
        <x:v>No</x:v>
      </x:c>
      <x:c r="O2333" s="25" t="str">
        <x:v>Pendiente: asignar con R/sf</x:v>
      </x:c>
    </x:row>
    <x:row r="2334">
      <x:c r="A2334" s="25" t="n">
        <x:v>2333</x:v>
      </x:c>
      <x:c r="B2334" s="26" t="n">
        <x:v>42272.481574074074</x:v>
      </x:c>
      <x:c r="C2334" s="27" t="n">
        <x:f>INT(B2334)</x:f>
        <x:v>42272</x:v>
      </x:c>
      <x:c r="D2334" s="28" t="n">
        <x:f>MOD(B2334,1)</x:f>
        <x:v>0.4815740740741603</x:v>
      </x:c>
      <x:c r="E2334" s="29" t="n">
        <x:f>YEAR(B2334)</x:f>
        <x:v>2015</x:v>
      </x:c>
      <x:c r="F2334" s="29" t="n">
        <x:f>MONTH(B2334)</x:f>
        <x:v>9</x:v>
      </x:c>
      <x:c r="G2334" s="30" t="n">
        <x:v>-31.64</x:v>
      </x:c>
      <x:c r="H2334" s="30" t="n">
        <x:v>-71.56</x:v>
      </x:c>
      <x:c r="I2334" s="29" t="n">
        <x:v>36</x:v>
      </x:c>
      <x:c r="J2334" s="31" t="n">
        <x:v>4</x:v>
      </x:c>
      <x:c r="K2334" s="25" t="str">
        <x:f>IF(J2334&gt;=7,"Muy fuerte (&gt;=7)",IF(J2334&gt;=6,"Fuerte (6-6.9)",IF(J2334&gt;=5,"Moderado alto (5-5.9)",IF(J2334&gt;=4,"Moderado (4-4.9)","Menor a 4"))))</x:f>
        <x:v>Moderado (4-4.9)</x:v>
      </x:c>
      <x:c r="L2334" s="25" t="str">
        <x:f>IF(I2334&lt;70,"Superficial (&lt;70 km)",IF(I2334&lt;=300,"Intermedio (70-300 km)","Profundo (&gt;300 km)"))</x:f>
        <x:v>Superficial (&lt;70 km)</x:v>
      </x:c>
      <x:c r="M2334" s="25" t="str">
        <x:f>IF(J2334&gt;=5,"Sí","No")</x:f>
        <x:v>No</x:v>
      </x:c>
      <x:c r="N2334" s="25" t="str">
        <x:f>IF(J2334&gt;=6,"Sí","No")</x:f>
        <x:v>No</x:v>
      </x:c>
      <x:c r="O2334" s="25" t="str">
        <x:v>Pendiente: asignar con R/sf</x:v>
      </x:c>
    </x:row>
    <x:row r="2335">
      <x:c r="A2335" s="25" t="n">
        <x:v>2334</x:v>
      </x:c>
      <x:c r="B2335" s="26" t="n">
        <x:v>42272.491064814814</x:v>
      </x:c>
      <x:c r="C2335" s="27" t="n">
        <x:f>INT(B2335)</x:f>
        <x:v>42272</x:v>
      </x:c>
      <x:c r="D2335" s="28" t="n">
        <x:f>MOD(B2335,1)</x:f>
        <x:v>0.4910648148143082</x:v>
      </x:c>
      <x:c r="E2335" s="29" t="n">
        <x:f>YEAR(B2335)</x:f>
        <x:v>2015</x:v>
      </x:c>
      <x:c r="F2335" s="29" t="n">
        <x:f>MONTH(B2335)</x:f>
        <x:v>9</x:v>
      </x:c>
      <x:c r="G2335" s="30" t="n">
        <x:v>-31.56</x:v>
      </x:c>
      <x:c r="H2335" s="30" t="n">
        <x:v>-71.81</x:v>
      </x:c>
      <x:c r="I2335" s="29" t="n">
        <x:v>31</x:v>
      </x:c>
      <x:c r="J2335" s="31" t="n">
        <x:v>4.7</x:v>
      </x:c>
      <x:c r="K2335" s="25" t="str">
        <x:f>IF(J2335&gt;=7,"Muy fuerte (&gt;=7)",IF(J2335&gt;=6,"Fuerte (6-6.9)",IF(J2335&gt;=5,"Moderado alto (5-5.9)",IF(J2335&gt;=4,"Moderado (4-4.9)","Menor a 4"))))</x:f>
        <x:v>Moderado (4-4.9)</x:v>
      </x:c>
      <x:c r="L2335" s="25" t="str">
        <x:f>IF(I2335&lt;70,"Superficial (&lt;70 km)",IF(I2335&lt;=300,"Intermedio (70-300 km)","Profundo (&gt;300 km)"))</x:f>
        <x:v>Superficial (&lt;70 km)</x:v>
      </x:c>
      <x:c r="M2335" s="25" t="str">
        <x:f>IF(J2335&gt;=5,"Sí","No")</x:f>
        <x:v>No</x:v>
      </x:c>
      <x:c r="N2335" s="25" t="str">
        <x:f>IF(J2335&gt;=6,"Sí","No")</x:f>
        <x:v>No</x:v>
      </x:c>
      <x:c r="O2335" s="25" t="str">
        <x:v>Pendiente: asignar con R/sf</x:v>
      </x:c>
    </x:row>
    <x:row r="2336">
      <x:c r="A2336" s="25" t="n">
        <x:v>2335</x:v>
      </x:c>
      <x:c r="B2336" s="26" t="n">
        <x:v>42273.401296296295</x:v>
      </x:c>
      <x:c r="C2336" s="27" t="n">
        <x:f>INT(B2336)</x:f>
        <x:v>42273</x:v>
      </x:c>
      <x:c r="D2336" s="28" t="n">
        <x:f>MOD(B2336,1)</x:f>
        <x:v>0.40129629629518604</x:v>
      </x:c>
      <x:c r="E2336" s="29" t="n">
        <x:f>YEAR(B2336)</x:f>
        <x:v>2015</x:v>
      </x:c>
      <x:c r="F2336" s="29" t="n">
        <x:f>MONTH(B2336)</x:f>
        <x:v>9</x:v>
      </x:c>
      <x:c r="G2336" s="30" t="n">
        <x:v>-31.36</x:v>
      </x:c>
      <x:c r="H2336" s="30" t="n">
        <x:v>-71.41</x:v>
      </x:c>
      <x:c r="I2336" s="29" t="n">
        <x:v>46</x:v>
      </x:c>
      <x:c r="J2336" s="31" t="n">
        <x:v>4.3</x:v>
      </x:c>
      <x:c r="K2336" s="25" t="str">
        <x:f>IF(J2336&gt;=7,"Muy fuerte (&gt;=7)",IF(J2336&gt;=6,"Fuerte (6-6.9)",IF(J2336&gt;=5,"Moderado alto (5-5.9)",IF(J2336&gt;=4,"Moderado (4-4.9)","Menor a 4"))))</x:f>
        <x:v>Moderado (4-4.9)</x:v>
      </x:c>
      <x:c r="L2336" s="25" t="str">
        <x:f>IF(I2336&lt;70,"Superficial (&lt;70 km)",IF(I2336&lt;=300,"Intermedio (70-300 km)","Profundo (&gt;300 km)"))</x:f>
        <x:v>Superficial (&lt;70 km)</x:v>
      </x:c>
      <x:c r="M2336" s="25" t="str">
        <x:f>IF(J2336&gt;=5,"Sí","No")</x:f>
        <x:v>No</x:v>
      </x:c>
      <x:c r="N2336" s="25" t="str">
        <x:f>IF(J2336&gt;=6,"Sí","No")</x:f>
        <x:v>No</x:v>
      </x:c>
      <x:c r="O2336" s="25" t="str">
        <x:v>Pendiente: asignar con R/sf</x:v>
      </x:c>
    </x:row>
    <x:row r="2337">
      <x:c r="A2337" s="25" t="n">
        <x:v>2336</x:v>
      </x:c>
      <x:c r="B2337" s="26" t="n">
        <x:v>42273.46908564815</x:v>
      </x:c>
      <x:c r="C2337" s="27" t="n">
        <x:f>INT(B2337)</x:f>
        <x:v>42273</x:v>
      </x:c>
      <x:c r="D2337" s="28" t="n">
        <x:f>MOD(B2337,1)</x:f>
        <x:v>0.4690856481465744</x:v>
      </x:c>
      <x:c r="E2337" s="29" t="n">
        <x:f>YEAR(B2337)</x:f>
        <x:v>2015</x:v>
      </x:c>
      <x:c r="F2337" s="29" t="n">
        <x:f>MONTH(B2337)</x:f>
        <x:v>9</x:v>
      </x:c>
      <x:c r="G2337" s="30" t="n">
        <x:v>-31.83</x:v>
      </x:c>
      <x:c r="H2337" s="30" t="n">
        <x:v>-71.95</x:v>
      </x:c>
      <x:c r="I2337" s="29" t="n">
        <x:v>37</x:v>
      </x:c>
      <x:c r="J2337" s="31" t="n">
        <x:v>4.6</x:v>
      </x:c>
      <x:c r="K2337" s="25" t="str">
        <x:f>IF(J2337&gt;=7,"Muy fuerte (&gt;=7)",IF(J2337&gt;=6,"Fuerte (6-6.9)",IF(J2337&gt;=5,"Moderado alto (5-5.9)",IF(J2337&gt;=4,"Moderado (4-4.9)","Menor a 4"))))</x:f>
        <x:v>Moderado (4-4.9)</x:v>
      </x:c>
      <x:c r="L2337" s="25" t="str">
        <x:f>IF(I2337&lt;70,"Superficial (&lt;70 km)",IF(I2337&lt;=300,"Intermedio (70-300 km)","Profundo (&gt;300 km)"))</x:f>
        <x:v>Superficial (&lt;70 km)</x:v>
      </x:c>
      <x:c r="M2337" s="25" t="str">
        <x:f>IF(J2337&gt;=5,"Sí","No")</x:f>
        <x:v>No</x:v>
      </x:c>
      <x:c r="N2337" s="25" t="str">
        <x:f>IF(J2337&gt;=6,"Sí","No")</x:f>
        <x:v>No</x:v>
      </x:c>
      <x:c r="O2337" s="25" t="str">
        <x:v>Pendiente: asignar con R/sf</x:v>
      </x:c>
    </x:row>
    <x:row r="2338">
      <x:c r="A2338" s="25" t="n">
        <x:v>2337</x:v>
      </x:c>
      <x:c r="B2338" s="26" t="n">
        <x:v>42274.9444212963</x:v>
      </x:c>
      <x:c r="C2338" s="27" t="n">
        <x:f>INT(B2338)</x:f>
        <x:v>42274</x:v>
      </x:c>
      <x:c r="D2338" s="28" t="n">
        <x:f>MOD(B2338,1)</x:f>
        <x:v>0.9444212962989695</x:v>
      </x:c>
      <x:c r="E2338" s="29" t="n">
        <x:f>YEAR(B2338)</x:f>
        <x:v>2015</x:v>
      </x:c>
      <x:c r="F2338" s="29" t="n">
        <x:f>MONTH(B2338)</x:f>
        <x:v>9</x:v>
      </x:c>
      <x:c r="G2338" s="30" t="n">
        <x:v>-31.27</x:v>
      </x:c>
      <x:c r="H2338" s="30" t="n">
        <x:v>-71.81</x:v>
      </x:c>
      <x:c r="I2338" s="29" t="n">
        <x:v>27</x:v>
      </x:c>
      <x:c r="J2338" s="31" t="n">
        <x:v>4.8</x:v>
      </x:c>
      <x:c r="K2338" s="25" t="str">
        <x:f>IF(J2338&gt;=7,"Muy fuerte (&gt;=7)",IF(J2338&gt;=6,"Fuerte (6-6.9)",IF(J2338&gt;=5,"Moderado alto (5-5.9)",IF(J2338&gt;=4,"Moderado (4-4.9)","Menor a 4"))))</x:f>
        <x:v>Moderado (4-4.9)</x:v>
      </x:c>
      <x:c r="L2338" s="25" t="str">
        <x:f>IF(I2338&lt;70,"Superficial (&lt;70 km)",IF(I2338&lt;=300,"Intermedio (70-300 km)","Profundo (&gt;300 km)"))</x:f>
        <x:v>Superficial (&lt;70 km)</x:v>
      </x:c>
      <x:c r="M2338" s="25" t="str">
        <x:f>IF(J2338&gt;=5,"Sí","No")</x:f>
        <x:v>No</x:v>
      </x:c>
      <x:c r="N2338" s="25" t="str">
        <x:f>IF(J2338&gt;=6,"Sí","No")</x:f>
        <x:v>No</x:v>
      </x:c>
      <x:c r="O2338" s="25" t="str">
        <x:v>Pendiente: asignar con R/sf</x:v>
      </x:c>
    </x:row>
    <x:row r="2339">
      <x:c r="A2339" s="25" t="n">
        <x:v>2338</x:v>
      </x:c>
      <x:c r="B2339" s="26" t="n">
        <x:v>42275.177881944444</x:v>
      </x:c>
      <x:c r="C2339" s="27" t="n">
        <x:f>INT(B2339)</x:f>
        <x:v>42275</x:v>
      </x:c>
      <x:c r="D2339" s="28" t="n">
        <x:f>MOD(B2339,1)</x:f>
        <x:v>0.17788194444437977</x:v>
      </x:c>
      <x:c r="E2339" s="29" t="n">
        <x:f>YEAR(B2339)</x:f>
        <x:v>2015</x:v>
      </x:c>
      <x:c r="F2339" s="29" t="n">
        <x:f>MONTH(B2339)</x:f>
        <x:v>9</x:v>
      </x:c>
      <x:c r="G2339" s="30" t="n">
        <x:v>-31.41</x:v>
      </x:c>
      <x:c r="H2339" s="30" t="n">
        <x:v>-71.36</x:v>
      </x:c>
      <x:c r="I2339" s="29" t="n">
        <x:v>50</x:v>
      </x:c>
      <x:c r="J2339" s="31" t="n">
        <x:v>4.1</x:v>
      </x:c>
      <x:c r="K2339" s="25" t="str">
        <x:f>IF(J2339&gt;=7,"Muy fuerte (&gt;=7)",IF(J2339&gt;=6,"Fuerte (6-6.9)",IF(J2339&gt;=5,"Moderado alto (5-5.9)",IF(J2339&gt;=4,"Moderado (4-4.9)","Menor a 4"))))</x:f>
        <x:v>Moderado (4-4.9)</x:v>
      </x:c>
      <x:c r="L2339" s="25" t="str">
        <x:f>IF(I2339&lt;70,"Superficial (&lt;70 km)",IF(I2339&lt;=300,"Intermedio (70-300 km)","Profundo (&gt;300 km)"))</x:f>
        <x:v>Superficial (&lt;70 km)</x:v>
      </x:c>
      <x:c r="M2339" s="25" t="str">
        <x:f>IF(J2339&gt;=5,"Sí","No")</x:f>
        <x:v>No</x:v>
      </x:c>
      <x:c r="N2339" s="25" t="str">
        <x:f>IF(J2339&gt;=6,"Sí","No")</x:f>
        <x:v>No</x:v>
      </x:c>
      <x:c r="O2339" s="25" t="str">
        <x:v>Pendiente: asignar con R/sf</x:v>
      </x:c>
    </x:row>
    <x:row r="2340">
      <x:c r="A2340" s="25" t="n">
        <x:v>2339</x:v>
      </x:c>
      <x:c r="B2340" s="26" t="n">
        <x:v>42275.542974537035</x:v>
      </x:c>
      <x:c r="C2340" s="27" t="n">
        <x:f>INT(B2340)</x:f>
        <x:v>42275</x:v>
      </x:c>
      <x:c r="D2340" s="28" t="n">
        <x:f>MOD(B2340,1)</x:f>
        <x:v>0.5429745370347518</x:v>
      </x:c>
      <x:c r="E2340" s="29" t="n">
        <x:f>YEAR(B2340)</x:f>
        <x:v>2015</x:v>
      </x:c>
      <x:c r="F2340" s="29" t="n">
        <x:f>MONTH(B2340)</x:f>
        <x:v>9</x:v>
      </x:c>
      <x:c r="G2340" s="30" t="n">
        <x:v>-31.18</x:v>
      </x:c>
      <x:c r="H2340" s="30" t="n">
        <x:v>-71.44</x:v>
      </x:c>
      <x:c r="I2340" s="29" t="n">
        <x:v>54</x:v>
      </x:c>
      <x:c r="J2340" s="31" t="n">
        <x:v>4.3</x:v>
      </x:c>
      <x:c r="K2340" s="25" t="str">
        <x:f>IF(J2340&gt;=7,"Muy fuerte (&gt;=7)",IF(J2340&gt;=6,"Fuerte (6-6.9)",IF(J2340&gt;=5,"Moderado alto (5-5.9)",IF(J2340&gt;=4,"Moderado (4-4.9)","Menor a 4"))))</x:f>
        <x:v>Moderado (4-4.9)</x:v>
      </x:c>
      <x:c r="L2340" s="25" t="str">
        <x:f>IF(I2340&lt;70,"Superficial (&lt;70 km)",IF(I2340&lt;=300,"Intermedio (70-300 km)","Profundo (&gt;300 km)"))</x:f>
        <x:v>Superficial (&lt;70 km)</x:v>
      </x:c>
      <x:c r="M2340" s="25" t="str">
        <x:f>IF(J2340&gt;=5,"Sí","No")</x:f>
        <x:v>No</x:v>
      </x:c>
      <x:c r="N2340" s="25" t="str">
        <x:f>IF(J2340&gt;=6,"Sí","No")</x:f>
        <x:v>No</x:v>
      </x:c>
      <x:c r="O2340" s="25" t="str">
        <x:v>Pendiente: asignar con R/sf</x:v>
      </x:c>
    </x:row>
    <x:row r="2341">
      <x:c r="A2341" s="25" t="n">
        <x:v>2340</x:v>
      </x:c>
      <x:c r="B2341" s="26" t="n">
        <x:v>42275.70819444444</x:v>
      </x:c>
      <x:c r="C2341" s="27" t="n">
        <x:f>INT(B2341)</x:f>
        <x:v>42275</x:v>
      </x:c>
      <x:c r="D2341" s="28" t="n">
        <x:f>MOD(B2341,1)</x:f>
        <x:v>0.7081944444435067</x:v>
      </x:c>
      <x:c r="E2341" s="29" t="n">
        <x:f>YEAR(B2341)</x:f>
        <x:v>2015</x:v>
      </x:c>
      <x:c r="F2341" s="29" t="n">
        <x:f>MONTH(B2341)</x:f>
        <x:v>9</x:v>
      </x:c>
      <x:c r="G2341" s="30" t="n">
        <x:v>-31.61</x:v>
      </x:c>
      <x:c r="H2341" s="30" t="n">
        <x:v>-71.44</x:v>
      </x:c>
      <x:c r="I2341" s="29" t="n">
        <x:v>48</x:v>
      </x:c>
      <x:c r="J2341" s="31" t="n">
        <x:v>4.2</x:v>
      </x:c>
      <x:c r="K2341" s="25" t="str">
        <x:f>IF(J2341&gt;=7,"Muy fuerte (&gt;=7)",IF(J2341&gt;=6,"Fuerte (6-6.9)",IF(J2341&gt;=5,"Moderado alto (5-5.9)",IF(J2341&gt;=4,"Moderado (4-4.9)","Menor a 4"))))</x:f>
        <x:v>Moderado (4-4.9)</x:v>
      </x:c>
      <x:c r="L2341" s="25" t="str">
        <x:f>IF(I2341&lt;70,"Superficial (&lt;70 km)",IF(I2341&lt;=300,"Intermedio (70-300 km)","Profundo (&gt;300 km)"))</x:f>
        <x:v>Superficial (&lt;70 km)</x:v>
      </x:c>
      <x:c r="M2341" s="25" t="str">
        <x:f>IF(J2341&gt;=5,"Sí","No")</x:f>
        <x:v>No</x:v>
      </x:c>
      <x:c r="N2341" s="25" t="str">
        <x:f>IF(J2341&gt;=6,"Sí","No")</x:f>
        <x:v>No</x:v>
      </x:c>
      <x:c r="O2341" s="25" t="str">
        <x:v>Pendiente: asignar con R/sf</x:v>
      </x:c>
    </x:row>
    <x:row r="2342">
      <x:c r="A2342" s="25" t="n">
        <x:v>2341</x:v>
      </x:c>
      <x:c r="B2342" s="26" t="n">
        <x:v>42282.08530092592</x:v>
      </x:c>
      <x:c r="C2342" s="27" t="n">
        <x:f>INT(B2342)</x:f>
        <x:v>42282</x:v>
      </x:c>
      <x:c r="D2342" s="28" t="n">
        <x:f>MOD(B2342,1)</x:f>
        <x:v>0.08530092592263827</x:v>
      </x:c>
      <x:c r="E2342" s="29" t="n">
        <x:f>YEAR(B2342)</x:f>
        <x:v>2015</x:v>
      </x:c>
      <x:c r="F2342" s="29" t="n">
        <x:f>MONTH(B2342)</x:f>
        <x:v>10</x:v>
      </x:c>
      <x:c r="G2342" s="30" t="n">
        <x:v>-31.8</x:v>
      </x:c>
      <x:c r="H2342" s="30" t="n">
        <x:v>-71.63</x:v>
      </x:c>
      <x:c r="I2342" s="29" t="n">
        <x:v>47</x:v>
      </x:c>
      <x:c r="J2342" s="31" t="n">
        <x:v>4.4</x:v>
      </x:c>
      <x:c r="K2342" s="25" t="str">
        <x:f>IF(J2342&gt;=7,"Muy fuerte (&gt;=7)",IF(J2342&gt;=6,"Fuerte (6-6.9)",IF(J2342&gt;=5,"Moderado alto (5-5.9)",IF(J2342&gt;=4,"Moderado (4-4.9)","Menor a 4"))))</x:f>
        <x:v>Moderado (4-4.9)</x:v>
      </x:c>
      <x:c r="L2342" s="25" t="str">
        <x:f>IF(I2342&lt;70,"Superficial (&lt;70 km)",IF(I2342&lt;=300,"Intermedio (70-300 km)","Profundo (&gt;300 km)"))</x:f>
        <x:v>Superficial (&lt;70 km)</x:v>
      </x:c>
      <x:c r="M2342" s="25" t="str">
        <x:f>IF(J2342&gt;=5,"Sí","No")</x:f>
        <x:v>No</x:v>
      </x:c>
      <x:c r="N2342" s="25" t="str">
        <x:f>IF(J2342&gt;=6,"Sí","No")</x:f>
        <x:v>No</x:v>
      </x:c>
      <x:c r="O2342" s="25" t="str">
        <x:v>Pendiente: asignar con R/sf</x:v>
      </x:c>
    </x:row>
    <x:row r="2343">
      <x:c r="A2343" s="25" t="n">
        <x:v>2342</x:v>
      </x:c>
      <x:c r="B2343" s="26" t="n">
        <x:v>42282.91546296296</x:v>
      </x:c>
      <x:c r="C2343" s="27" t="n">
        <x:f>INT(B2343)</x:f>
        <x:v>42282</x:v>
      </x:c>
      <x:c r="D2343" s="28" t="n">
        <x:f>MOD(B2343,1)</x:f>
        <x:v>0.9154629629629198</x:v>
      </x:c>
      <x:c r="E2343" s="29" t="n">
        <x:f>YEAR(B2343)</x:f>
        <x:v>2015</x:v>
      </x:c>
      <x:c r="F2343" s="29" t="n">
        <x:f>MONTH(B2343)</x:f>
        <x:v>10</x:v>
      </x:c>
      <x:c r="G2343" s="30" t="n">
        <x:v>-32.08</x:v>
      </x:c>
      <x:c r="H2343" s="30" t="n">
        <x:v>-71.8</x:v>
      </x:c>
      <x:c r="I2343" s="29" t="n">
        <x:v>23</x:v>
      </x:c>
      <x:c r="J2343" s="31" t="n">
        <x:v>4.2</x:v>
      </x:c>
      <x:c r="K2343" s="25" t="str">
        <x:f>IF(J2343&gt;=7,"Muy fuerte (&gt;=7)",IF(J2343&gt;=6,"Fuerte (6-6.9)",IF(J2343&gt;=5,"Moderado alto (5-5.9)",IF(J2343&gt;=4,"Moderado (4-4.9)","Menor a 4"))))</x:f>
        <x:v>Moderado (4-4.9)</x:v>
      </x:c>
      <x:c r="L2343" s="25" t="str">
        <x:f>IF(I2343&lt;70,"Superficial (&lt;70 km)",IF(I2343&lt;=300,"Intermedio (70-300 km)","Profundo (&gt;300 km)"))</x:f>
        <x:v>Superficial (&lt;70 km)</x:v>
      </x:c>
      <x:c r="M2343" s="25" t="str">
        <x:f>IF(J2343&gt;=5,"Sí","No")</x:f>
        <x:v>No</x:v>
      </x:c>
      <x:c r="N2343" s="25" t="str">
        <x:f>IF(J2343&gt;=6,"Sí","No")</x:f>
        <x:v>No</x:v>
      </x:c>
      <x:c r="O2343" s="25" t="str">
        <x:v>Pendiente: asignar con R/sf</x:v>
      </x:c>
    </x:row>
    <x:row r="2344">
      <x:c r="A2344" s="25" t="n">
        <x:v>2343</x:v>
      </x:c>
      <x:c r="B2344" s="26" t="n">
        <x:v>42286.34767361111</x:v>
      </x:c>
      <x:c r="C2344" s="27" t="n">
        <x:f>INT(B2344)</x:f>
        <x:v>42286</x:v>
      </x:c>
      <x:c r="D2344" s="28" t="n">
        <x:f>MOD(B2344,1)</x:f>
        <x:v>0.3476736111115315</x:v>
      </x:c>
      <x:c r="E2344" s="29" t="n">
        <x:f>YEAR(B2344)</x:f>
        <x:v>2015</x:v>
      </x:c>
      <x:c r="F2344" s="29" t="n">
        <x:f>MONTH(B2344)</x:f>
        <x:v>10</x:v>
      </x:c>
      <x:c r="G2344" s="30" t="n">
        <x:v>-31.01</x:v>
      </x:c>
      <x:c r="H2344" s="30" t="n">
        <x:v>-71.31</x:v>
      </x:c>
      <x:c r="I2344" s="29" t="n">
        <x:v>59</x:v>
      </x:c>
      <x:c r="J2344" s="31" t="n">
        <x:v>4.1</x:v>
      </x:c>
      <x:c r="K2344" s="25" t="str">
        <x:f>IF(J2344&gt;=7,"Muy fuerte (&gt;=7)",IF(J2344&gt;=6,"Fuerte (6-6.9)",IF(J2344&gt;=5,"Moderado alto (5-5.9)",IF(J2344&gt;=4,"Moderado (4-4.9)","Menor a 4"))))</x:f>
        <x:v>Moderado (4-4.9)</x:v>
      </x:c>
      <x:c r="L2344" s="25" t="str">
        <x:f>IF(I2344&lt;70,"Superficial (&lt;70 km)",IF(I2344&lt;=300,"Intermedio (70-300 km)","Profundo (&gt;300 km)"))</x:f>
        <x:v>Superficial (&lt;70 km)</x:v>
      </x:c>
      <x:c r="M2344" s="25" t="str">
        <x:f>IF(J2344&gt;=5,"Sí","No")</x:f>
        <x:v>No</x:v>
      </x:c>
      <x:c r="N2344" s="25" t="str">
        <x:f>IF(J2344&gt;=6,"Sí","No")</x:f>
        <x:v>No</x:v>
      </x:c>
      <x:c r="O2344" s="25" t="str">
        <x:v>Pendiente: asignar con R/sf</x:v>
      </x:c>
    </x:row>
    <x:row r="2345">
      <x:c r="A2345" s="25" t="n">
        <x:v>2344</x:v>
      </x:c>
      <x:c r="B2345" s="26" t="n">
        <x:v>42287.601435185185</x:v>
      </x:c>
      <x:c r="C2345" s="27" t="n">
        <x:f>INT(B2345)</x:f>
        <x:v>42287</x:v>
      </x:c>
      <x:c r="D2345" s="28" t="n">
        <x:f>MOD(B2345,1)</x:f>
        <x:v>0.6014351851845277</x:v>
      </x:c>
      <x:c r="E2345" s="29" t="n">
        <x:f>YEAR(B2345)</x:f>
        <x:v>2015</x:v>
      </x:c>
      <x:c r="F2345" s="29" t="n">
        <x:f>MONTH(B2345)</x:f>
        <x:v>10</x:v>
      </x:c>
      <x:c r="G2345" s="30" t="n">
        <x:v>-31.77</x:v>
      </x:c>
      <x:c r="H2345" s="30" t="n">
        <x:v>-71.65</x:v>
      </x:c>
      <x:c r="I2345" s="29" t="n">
        <x:v>40</x:v>
      </x:c>
      <x:c r="J2345" s="31" t="n">
        <x:v>4.1</x:v>
      </x:c>
      <x:c r="K2345" s="25" t="str">
        <x:f>IF(J2345&gt;=7,"Muy fuerte (&gt;=7)",IF(J2345&gt;=6,"Fuerte (6-6.9)",IF(J2345&gt;=5,"Moderado alto (5-5.9)",IF(J2345&gt;=4,"Moderado (4-4.9)","Menor a 4"))))</x:f>
        <x:v>Moderado (4-4.9)</x:v>
      </x:c>
      <x:c r="L2345" s="25" t="str">
        <x:f>IF(I2345&lt;70,"Superficial (&lt;70 km)",IF(I2345&lt;=300,"Intermedio (70-300 km)","Profundo (&gt;300 km)"))</x:f>
        <x:v>Superficial (&lt;70 km)</x:v>
      </x:c>
      <x:c r="M2345" s="25" t="str">
        <x:f>IF(J2345&gt;=5,"Sí","No")</x:f>
        <x:v>No</x:v>
      </x:c>
      <x:c r="N2345" s="25" t="str">
        <x:f>IF(J2345&gt;=6,"Sí","No")</x:f>
        <x:v>No</x:v>
      </x:c>
      <x:c r="O2345" s="25" t="str">
        <x:v>Pendiente: asignar con R/sf</x:v>
      </x:c>
    </x:row>
    <x:row r="2346">
      <x:c r="A2346" s="25" t="n">
        <x:v>2345</x:v>
      </x:c>
      <x:c r="B2346" s="26" t="n">
        <x:v>42324.08136574074</x:v>
      </x:c>
      <x:c r="C2346" s="27" t="n">
        <x:f>INT(B2346)</x:f>
        <x:v>42324</x:v>
      </x:c>
      <x:c r="D2346" s="28" t="n">
        <x:f>MOD(B2346,1)</x:f>
        <x:v>0.08136574074160308</x:v>
      </x:c>
      <x:c r="E2346" s="29" t="n">
        <x:f>YEAR(B2346)</x:f>
        <x:v>2015</x:v>
      </x:c>
      <x:c r="F2346" s="29" t="n">
        <x:f>MONTH(B2346)</x:f>
        <x:v>11</x:v>
      </x:c>
      <x:c r="G2346" s="30" t="n">
        <x:v>-31.6</x:v>
      </x:c>
      <x:c r="H2346" s="30" t="n">
        <x:v>-71.42</x:v>
      </x:c>
      <x:c r="I2346" s="29" t="n">
        <x:v>27</x:v>
      </x:c>
      <x:c r="J2346" s="31" t="n">
        <x:v>4</x:v>
      </x:c>
      <x:c r="K2346" s="25" t="str">
        <x:f>IF(J2346&gt;=7,"Muy fuerte (&gt;=7)",IF(J2346&gt;=6,"Fuerte (6-6.9)",IF(J2346&gt;=5,"Moderado alto (5-5.9)",IF(J2346&gt;=4,"Moderado (4-4.9)","Menor a 4"))))</x:f>
        <x:v>Moderado (4-4.9)</x:v>
      </x:c>
      <x:c r="L2346" s="25" t="str">
        <x:f>IF(I2346&lt;70,"Superficial (&lt;70 km)",IF(I2346&lt;=300,"Intermedio (70-300 km)","Profundo (&gt;300 km)"))</x:f>
        <x:v>Superficial (&lt;70 km)</x:v>
      </x:c>
      <x:c r="M2346" s="25" t="str">
        <x:f>IF(J2346&gt;=5,"Sí","No")</x:f>
        <x:v>No</x:v>
      </x:c>
      <x:c r="N2346" s="25" t="str">
        <x:f>IF(J2346&gt;=6,"Sí","No")</x:f>
        <x:v>No</x:v>
      </x:c>
      <x:c r="O2346" s="25" t="str">
        <x:v>Pendiente: asignar con R/sf</x:v>
      </x:c>
    </x:row>
    <x:row r="2347">
      <x:c r="A2347" s="25" t="n">
        <x:v>2346</x:v>
      </x:c>
      <x:c r="B2347" s="26" t="n">
        <x:v>42329.818020833336</x:v>
      </x:c>
      <x:c r="C2347" s="27" t="n">
        <x:f>INT(B2347)</x:f>
        <x:v>42329</x:v>
      </x:c>
      <x:c r="D2347" s="28" t="n">
        <x:f>MOD(B2347,1)</x:f>
        <x:v>0.8180208333360497</x:v>
      </x:c>
      <x:c r="E2347" s="29" t="n">
        <x:f>YEAR(B2347)</x:f>
        <x:v>2015</x:v>
      </x:c>
      <x:c r="F2347" s="29" t="n">
        <x:f>MONTH(B2347)</x:f>
        <x:v>11</x:v>
      </x:c>
      <x:c r="G2347" s="30" t="n">
        <x:v>-31.59</x:v>
      </x:c>
      <x:c r="H2347" s="30" t="n">
        <x:v>-71.72</x:v>
      </x:c>
      <x:c r="I2347" s="29" t="n">
        <x:v>45</x:v>
      </x:c>
      <x:c r="J2347" s="31" t="n">
        <x:v>4.3</x:v>
      </x:c>
      <x:c r="K2347" s="25" t="str">
        <x:f>IF(J2347&gt;=7,"Muy fuerte (&gt;=7)",IF(J2347&gt;=6,"Fuerte (6-6.9)",IF(J2347&gt;=5,"Moderado alto (5-5.9)",IF(J2347&gt;=4,"Moderado (4-4.9)","Menor a 4"))))</x:f>
        <x:v>Moderado (4-4.9)</x:v>
      </x:c>
      <x:c r="L2347" s="25" t="str">
        <x:f>IF(I2347&lt;70,"Superficial (&lt;70 km)",IF(I2347&lt;=300,"Intermedio (70-300 km)","Profundo (&gt;300 km)"))</x:f>
        <x:v>Superficial (&lt;70 km)</x:v>
      </x:c>
      <x:c r="M2347" s="25" t="str">
        <x:f>IF(J2347&gt;=5,"Sí","No")</x:f>
        <x:v>No</x:v>
      </x:c>
      <x:c r="N2347" s="25" t="str">
        <x:f>IF(J2347&gt;=6,"Sí","No")</x:f>
        <x:v>No</x:v>
      </x:c>
      <x:c r="O2347" s="25" t="str">
        <x:v>Pendiente: asignar con R/sf</x:v>
      </x:c>
    </x:row>
    <x:row r="2348">
      <x:c r="A2348" s="25" t="n">
        <x:v>2347</x:v>
      </x:c>
      <x:c r="B2348" s="26" t="n">
        <x:v>42332.987592592595</x:v>
      </x:c>
      <x:c r="C2348" s="27" t="n">
        <x:f>INT(B2348)</x:f>
        <x:v>42332</x:v>
      </x:c>
      <x:c r="D2348" s="28" t="n">
        <x:f>MOD(B2348,1)</x:f>
        <x:v>0.9875925925953197</x:v>
      </x:c>
      <x:c r="E2348" s="29" t="n">
        <x:f>YEAR(B2348)</x:f>
        <x:v>2015</x:v>
      </x:c>
      <x:c r="F2348" s="29" t="n">
        <x:f>MONTH(B2348)</x:f>
        <x:v>11</x:v>
      </x:c>
      <x:c r="G2348" s="30" t="n">
        <x:v>-31.75</x:v>
      </x:c>
      <x:c r="H2348" s="30" t="n">
        <x:v>-71.69</x:v>
      </x:c>
      <x:c r="I2348" s="29" t="n">
        <x:v>41</x:v>
      </x:c>
      <x:c r="J2348" s="31" t="n">
        <x:v>4.1</x:v>
      </x:c>
      <x:c r="K2348" s="25" t="str">
        <x:f>IF(J2348&gt;=7,"Muy fuerte (&gt;=7)",IF(J2348&gt;=6,"Fuerte (6-6.9)",IF(J2348&gt;=5,"Moderado alto (5-5.9)",IF(J2348&gt;=4,"Moderado (4-4.9)","Menor a 4"))))</x:f>
        <x:v>Moderado (4-4.9)</x:v>
      </x:c>
      <x:c r="L2348" s="25" t="str">
        <x:f>IF(I2348&lt;70,"Superficial (&lt;70 km)",IF(I2348&lt;=300,"Intermedio (70-300 km)","Profundo (&gt;300 km)"))</x:f>
        <x:v>Superficial (&lt;70 km)</x:v>
      </x:c>
      <x:c r="M2348" s="25" t="str">
        <x:f>IF(J2348&gt;=5,"Sí","No")</x:f>
        <x:v>No</x:v>
      </x:c>
      <x:c r="N2348" s="25" t="str">
        <x:f>IF(J2348&gt;=6,"Sí","No")</x:f>
        <x:v>No</x:v>
      </x:c>
      <x:c r="O2348" s="25" t="str">
        <x:v>Pendiente: asignar con R/sf</x:v>
      </x:c>
    </x:row>
    <x:row r="2349">
      <x:c r="A2349" s="25" t="n">
        <x:v>2348</x:v>
      </x:c>
      <x:c r="B2349" s="26" t="n">
        <x:v>42339.30987268518</x:v>
      </x:c>
      <x:c r="C2349" s="27" t="n">
        <x:f>INT(B2349)</x:f>
        <x:v>42339</x:v>
      </x:c>
      <x:c r="D2349" s="28" t="n">
        <x:f>MOD(B2349,1)</x:f>
        <x:v>0.30987268518219935</x:v>
      </x:c>
      <x:c r="E2349" s="29" t="n">
        <x:f>YEAR(B2349)</x:f>
        <x:v>2015</x:v>
      </x:c>
      <x:c r="F2349" s="29" t="n">
        <x:f>MONTH(B2349)</x:f>
        <x:v>12</x:v>
      </x:c>
      <x:c r="G2349" s="30" t="n">
        <x:v>-31.59</x:v>
      </x:c>
      <x:c r="H2349" s="30" t="n">
        <x:v>-71.36</x:v>
      </x:c>
      <x:c r="I2349" s="29" t="n">
        <x:v>41</x:v>
      </x:c>
      <x:c r="J2349" s="31" t="n">
        <x:v>4.7</x:v>
      </x:c>
      <x:c r="K2349" s="25" t="str">
        <x:f>IF(J2349&gt;=7,"Muy fuerte (&gt;=7)",IF(J2349&gt;=6,"Fuerte (6-6.9)",IF(J2349&gt;=5,"Moderado alto (5-5.9)",IF(J2349&gt;=4,"Moderado (4-4.9)","Menor a 4"))))</x:f>
        <x:v>Moderado (4-4.9)</x:v>
      </x:c>
      <x:c r="L2349" s="25" t="str">
        <x:f>IF(I2349&lt;70,"Superficial (&lt;70 km)",IF(I2349&lt;=300,"Intermedio (70-300 km)","Profundo (&gt;300 km)"))</x:f>
        <x:v>Superficial (&lt;70 km)</x:v>
      </x:c>
      <x:c r="M2349" s="25" t="str">
        <x:f>IF(J2349&gt;=5,"Sí","No")</x:f>
        <x:v>No</x:v>
      </x:c>
      <x:c r="N2349" s="25" t="str">
        <x:f>IF(J2349&gt;=6,"Sí","No")</x:f>
        <x:v>No</x:v>
      </x:c>
      <x:c r="O2349" s="25" t="str">
        <x:v>Pendiente: asignar con R/sf</x:v>
      </x:c>
    </x:row>
    <x:row r="2350">
      <x:c r="A2350" s="25" t="n">
        <x:v>2349</x:v>
      </x:c>
      <x:c r="B2350" s="26" t="n">
        <x:v>42348.02612268519</x:v>
      </x:c>
      <x:c r="C2350" s="27" t="n">
        <x:f>INT(B2350)</x:f>
        <x:v>42348</x:v>
      </x:c>
      <x:c r="D2350" s="28" t="n">
        <x:f>MOD(B2350,1)</x:f>
        <x:v>0.026122685187147</x:v>
      </x:c>
      <x:c r="E2350" s="29" t="n">
        <x:f>YEAR(B2350)</x:f>
        <x:v>2015</x:v>
      </x:c>
      <x:c r="F2350" s="29" t="n">
        <x:f>MONTH(B2350)</x:f>
        <x:v>12</x:v>
      </x:c>
      <x:c r="G2350" s="30" t="n">
        <x:v>-30.98</x:v>
      </x:c>
      <x:c r="H2350" s="30" t="n">
        <x:v>-71.33</x:v>
      </x:c>
      <x:c r="I2350" s="29" t="n">
        <x:v>59</x:v>
      </x:c>
      <x:c r="J2350" s="31" t="n">
        <x:v>4.3</x:v>
      </x:c>
      <x:c r="K2350" s="25" t="str">
        <x:f>IF(J2350&gt;=7,"Muy fuerte (&gt;=7)",IF(J2350&gt;=6,"Fuerte (6-6.9)",IF(J2350&gt;=5,"Moderado alto (5-5.9)",IF(J2350&gt;=4,"Moderado (4-4.9)","Menor a 4"))))</x:f>
        <x:v>Moderado (4-4.9)</x:v>
      </x:c>
      <x:c r="L2350" s="25" t="str">
        <x:f>IF(I2350&lt;70,"Superficial (&lt;70 km)",IF(I2350&lt;=300,"Intermedio (70-300 km)","Profundo (&gt;300 km)"))</x:f>
        <x:v>Superficial (&lt;70 km)</x:v>
      </x:c>
      <x:c r="M2350" s="25" t="str">
        <x:f>IF(J2350&gt;=5,"Sí","No")</x:f>
        <x:v>No</x:v>
      </x:c>
      <x:c r="N2350" s="25" t="str">
        <x:f>IF(J2350&gt;=6,"Sí","No")</x:f>
        <x:v>No</x:v>
      </x:c>
      <x:c r="O2350" s="25" t="str">
        <x:v>Pendiente: asignar con R/sf</x:v>
      </x:c>
    </x:row>
    <x:row r="2351">
      <x:c r="A2351" s="25" t="n">
        <x:v>2350</x:v>
      </x:c>
      <x:c r="B2351" s="26" t="n">
        <x:v>42359.711701388886</x:v>
      </x:c>
      <x:c r="C2351" s="27" t="n">
        <x:f>INT(B2351)</x:f>
        <x:v>42359</x:v>
      </x:c>
      <x:c r="D2351" s="28" t="n">
        <x:f>MOD(B2351,1)</x:f>
        <x:v>0.7117013888855581</x:v>
      </x:c>
      <x:c r="E2351" s="29" t="n">
        <x:f>YEAR(B2351)</x:f>
        <x:v>2015</x:v>
      </x:c>
      <x:c r="F2351" s="29" t="n">
        <x:f>MONTH(B2351)</x:f>
        <x:v>12</x:v>
      </x:c>
      <x:c r="G2351" s="30" t="n">
        <x:v>-31.54</x:v>
      </x:c>
      <x:c r="H2351" s="30" t="n">
        <x:v>-71.41</x:v>
      </x:c>
      <x:c r="I2351" s="29" t="n">
        <x:v>48</x:v>
      </x:c>
      <x:c r="J2351" s="31" t="n">
        <x:v>4.2</x:v>
      </x:c>
      <x:c r="K2351" s="25" t="str">
        <x:f>IF(J2351&gt;=7,"Muy fuerte (&gt;=7)",IF(J2351&gt;=6,"Fuerte (6-6.9)",IF(J2351&gt;=5,"Moderado alto (5-5.9)",IF(J2351&gt;=4,"Moderado (4-4.9)","Menor a 4"))))</x:f>
        <x:v>Moderado (4-4.9)</x:v>
      </x:c>
      <x:c r="L2351" s="25" t="str">
        <x:f>IF(I2351&lt;70,"Superficial (&lt;70 km)",IF(I2351&lt;=300,"Intermedio (70-300 km)","Profundo (&gt;300 km)"))</x:f>
        <x:v>Superficial (&lt;70 km)</x:v>
      </x:c>
      <x:c r="M2351" s="25" t="str">
        <x:f>IF(J2351&gt;=5,"Sí","No")</x:f>
        <x:v>No</x:v>
      </x:c>
      <x:c r="N2351" s="25" t="str">
        <x:f>IF(J2351&gt;=6,"Sí","No")</x:f>
        <x:v>No</x:v>
      </x:c>
      <x:c r="O2351" s="25" t="str">
        <x:v>Pendiente: asignar con R/sf</x:v>
      </x:c>
    </x:row>
    <x:row r="2352">
      <x:c r="A2352" s="25" t="n">
        <x:v>2351</x:v>
      </x:c>
      <x:c r="B2352" s="26" t="n">
        <x:v>42361.38584490741</x:v>
      </x:c>
      <x:c r="C2352" s="27" t="n">
        <x:f>INT(B2352)</x:f>
        <x:v>42361</x:v>
      </x:c>
      <x:c r="D2352" s="28" t="n">
        <x:f>MOD(B2352,1)</x:f>
        <x:v>0.38584490741050104</x:v>
      </x:c>
      <x:c r="E2352" s="29" t="n">
        <x:f>YEAR(B2352)</x:f>
        <x:v>2015</x:v>
      </x:c>
      <x:c r="F2352" s="29" t="n">
        <x:f>MONTH(B2352)</x:f>
        <x:v>12</x:v>
      </x:c>
      <x:c r="G2352" s="30" t="n">
        <x:v>-31.06</x:v>
      </x:c>
      <x:c r="H2352" s="30" t="n">
        <x:v>-71.34</x:v>
      </x:c>
      <x:c r="I2352" s="29" t="n">
        <x:v>57</x:v>
      </x:c>
      <x:c r="J2352" s="31" t="n">
        <x:v>4.5</x:v>
      </x:c>
      <x:c r="K2352" s="25" t="str">
        <x:f>IF(J2352&gt;=7,"Muy fuerte (&gt;=7)",IF(J2352&gt;=6,"Fuerte (6-6.9)",IF(J2352&gt;=5,"Moderado alto (5-5.9)",IF(J2352&gt;=4,"Moderado (4-4.9)","Menor a 4"))))</x:f>
        <x:v>Moderado (4-4.9)</x:v>
      </x:c>
      <x:c r="L2352" s="25" t="str">
        <x:f>IF(I2352&lt;70,"Superficial (&lt;70 km)",IF(I2352&lt;=300,"Intermedio (70-300 km)","Profundo (&gt;300 km)"))</x:f>
        <x:v>Superficial (&lt;70 km)</x:v>
      </x:c>
      <x:c r="M2352" s="25" t="str">
        <x:f>IF(J2352&gt;=5,"Sí","No")</x:f>
        <x:v>No</x:v>
      </x:c>
      <x:c r="N2352" s="25" t="str">
        <x:f>IF(J2352&gt;=6,"Sí","No")</x:f>
        <x:v>No</x:v>
      </x:c>
      <x:c r="O2352" s="25" t="str">
        <x:v>Pendiente: asignar con R/sf</x:v>
      </x:c>
    </x:row>
    <x:row r="2353">
      <x:c r="A2353" s="25" t="n">
        <x:v>2352</x:v>
      </x:c>
      <x:c r="B2353" s="26" t="n">
        <x:v>42364.748715277776</x:v>
      </x:c>
      <x:c r="C2353" s="27" t="n">
        <x:f>INT(B2353)</x:f>
        <x:v>42364</x:v>
      </x:c>
      <x:c r="D2353" s="28" t="n">
        <x:f>MOD(B2353,1)</x:f>
        <x:v>0.7487152777757728</x:v>
      </x:c>
      <x:c r="E2353" s="29" t="n">
        <x:f>YEAR(B2353)</x:f>
        <x:v>2015</x:v>
      </x:c>
      <x:c r="F2353" s="29" t="n">
        <x:f>MONTH(B2353)</x:f>
        <x:v>12</x:v>
      </x:c>
      <x:c r="G2353" s="30" t="n">
        <x:v>-31.76</x:v>
      </x:c>
      <x:c r="H2353" s="30" t="n">
        <x:v>-72.1</x:v>
      </x:c>
      <x:c r="I2353" s="29" t="n">
        <x:v>32</x:v>
      </x:c>
      <x:c r="J2353" s="31" t="n">
        <x:v>4.9</x:v>
      </x:c>
      <x:c r="K2353" s="25" t="str">
        <x:f>IF(J2353&gt;=7,"Muy fuerte (&gt;=7)",IF(J2353&gt;=6,"Fuerte (6-6.9)",IF(J2353&gt;=5,"Moderado alto (5-5.9)",IF(J2353&gt;=4,"Moderado (4-4.9)","Menor a 4"))))</x:f>
        <x:v>Moderado (4-4.9)</x:v>
      </x:c>
      <x:c r="L2353" s="25" t="str">
        <x:f>IF(I2353&lt;70,"Superficial (&lt;70 km)",IF(I2353&lt;=300,"Intermedio (70-300 km)","Profundo (&gt;300 km)"))</x:f>
        <x:v>Superficial (&lt;70 km)</x:v>
      </x:c>
      <x:c r="M2353" s="25" t="str">
        <x:f>IF(J2353&gt;=5,"Sí","No")</x:f>
        <x:v>No</x:v>
      </x:c>
      <x:c r="N2353" s="25" t="str">
        <x:f>IF(J2353&gt;=6,"Sí","No")</x:f>
        <x:v>No</x:v>
      </x:c>
      <x:c r="O2353" s="25" t="str">
        <x:v>Pendiente: asignar con R/sf</x:v>
      </x:c>
    </x:row>
    <x:row r="2354">
      <x:c r="A2354" s="25" t="n">
        <x:v>2353</x:v>
      </x:c>
      <x:c r="B2354" s="26" t="n">
        <x:v>42364.749756944446</x:v>
      </x:c>
      <x:c r="C2354" s="27" t="n">
        <x:f>INT(B2354)</x:f>
        <x:v>42364</x:v>
      </x:c>
      <x:c r="D2354" s="28" t="n">
        <x:f>MOD(B2354,1)</x:f>
        <x:v>0.749756944445835</x:v>
      </x:c>
      <x:c r="E2354" s="29" t="n">
        <x:f>YEAR(B2354)</x:f>
        <x:v>2015</x:v>
      </x:c>
      <x:c r="F2354" s="29" t="n">
        <x:f>MONTH(B2354)</x:f>
        <x:v>12</x:v>
      </x:c>
      <x:c r="G2354" s="30" t="n">
        <x:v>-31.75</x:v>
      </x:c>
      <x:c r="H2354" s="30" t="n">
        <x:v>-71.93</x:v>
      </x:c>
      <x:c r="I2354" s="29" t="n">
        <x:v>41</x:v>
      </x:c>
      <x:c r="J2354" s="31" t="n">
        <x:v>4.8</x:v>
      </x:c>
      <x:c r="K2354" s="25" t="str">
        <x:f>IF(J2354&gt;=7,"Muy fuerte (&gt;=7)",IF(J2354&gt;=6,"Fuerte (6-6.9)",IF(J2354&gt;=5,"Moderado alto (5-5.9)",IF(J2354&gt;=4,"Moderado (4-4.9)","Menor a 4"))))</x:f>
        <x:v>Moderado (4-4.9)</x:v>
      </x:c>
      <x:c r="L2354" s="25" t="str">
        <x:f>IF(I2354&lt;70,"Superficial (&lt;70 km)",IF(I2354&lt;=300,"Intermedio (70-300 km)","Profundo (&gt;300 km)"))</x:f>
        <x:v>Superficial (&lt;70 km)</x:v>
      </x:c>
      <x:c r="M2354" s="25" t="str">
        <x:f>IF(J2354&gt;=5,"Sí","No")</x:f>
        <x:v>No</x:v>
      </x:c>
      <x:c r="N2354" s="25" t="str">
        <x:f>IF(J2354&gt;=6,"Sí","No")</x:f>
        <x:v>No</x:v>
      </x:c>
      <x:c r="O2354" s="25" t="str">
        <x:v>Pendiente: asignar con R/sf</x:v>
      </x:c>
    </x:row>
    <x:row r="2355">
      <x:c r="A2355" s="25" t="n">
        <x:v>2354</x:v>
      </x:c>
      <x:c r="B2355" s="26" t="n">
        <x:v>42365.99107638889</x:v>
      </x:c>
      <x:c r="C2355" s="27" t="n">
        <x:f>INT(B2355)</x:f>
        <x:v>42365</x:v>
      </x:c>
      <x:c r="D2355" s="28" t="n">
        <x:f>MOD(B2355,1)</x:f>
        <x:v>0.9910763888910878</x:v>
      </x:c>
      <x:c r="E2355" s="29" t="n">
        <x:f>YEAR(B2355)</x:f>
        <x:v>2015</x:v>
      </x:c>
      <x:c r="F2355" s="29" t="n">
        <x:f>MONTH(B2355)</x:f>
        <x:v>12</x:v>
      </x:c>
      <x:c r="G2355" s="30" t="n">
        <x:v>-31.78</x:v>
      </x:c>
      <x:c r="H2355" s="30" t="n">
        <x:v>-71.66</x:v>
      </x:c>
      <x:c r="I2355" s="29" t="n">
        <x:v>48</x:v>
      </x:c>
      <x:c r="J2355" s="31" t="n">
        <x:v>4.8</x:v>
      </x:c>
      <x:c r="K2355" s="25" t="str">
        <x:f>IF(J2355&gt;=7,"Muy fuerte (&gt;=7)",IF(J2355&gt;=6,"Fuerte (6-6.9)",IF(J2355&gt;=5,"Moderado alto (5-5.9)",IF(J2355&gt;=4,"Moderado (4-4.9)","Menor a 4"))))</x:f>
        <x:v>Moderado (4-4.9)</x:v>
      </x:c>
      <x:c r="L2355" s="25" t="str">
        <x:f>IF(I2355&lt;70,"Superficial (&lt;70 km)",IF(I2355&lt;=300,"Intermedio (70-300 km)","Profundo (&gt;300 km)"))</x:f>
        <x:v>Superficial (&lt;70 km)</x:v>
      </x:c>
      <x:c r="M2355" s="25" t="str">
        <x:f>IF(J2355&gt;=5,"Sí","No")</x:f>
        <x:v>No</x:v>
      </x:c>
      <x:c r="N2355" s="25" t="str">
        <x:f>IF(J2355&gt;=6,"Sí","No")</x:f>
        <x:v>No</x:v>
      </x:c>
      <x:c r="O2355" s="25" t="str">
        <x:v>Pendiente: asignar con R/sf</x:v>
      </x:c>
    </x:row>
    <x:row r="2356">
      <x:c r="A2356" s="25" t="n">
        <x:v>2355</x:v>
      </x:c>
      <x:c r="B2356" s="26" t="n">
        <x:v>42366.30944444444</x:v>
      </x:c>
      <x:c r="C2356" s="27" t="n">
        <x:f>INT(B2356)</x:f>
        <x:v>42366</x:v>
      </x:c>
      <x:c r="D2356" s="28" t="n">
        <x:f>MOD(B2356,1)</x:f>
        <x:v>0.3094444444432156</x:v>
      </x:c>
      <x:c r="E2356" s="29" t="n">
        <x:f>YEAR(B2356)</x:f>
        <x:v>2015</x:v>
      </x:c>
      <x:c r="F2356" s="29" t="n">
        <x:f>MONTH(B2356)</x:f>
        <x:v>12</x:v>
      </x:c>
      <x:c r="G2356" s="30" t="n">
        <x:v>-31.63</x:v>
      </x:c>
      <x:c r="H2356" s="30" t="n">
        <x:v>-70.64</x:v>
      </x:c>
      <x:c r="I2356" s="29" t="n">
        <x:v>117</x:v>
      </x:c>
      <x:c r="J2356" s="31" t="n">
        <x:v>4.2</x:v>
      </x:c>
      <x:c r="K2356" s="25" t="str">
        <x:f>IF(J2356&gt;=7,"Muy fuerte (&gt;=7)",IF(J2356&gt;=6,"Fuerte (6-6.9)",IF(J2356&gt;=5,"Moderado alto (5-5.9)",IF(J2356&gt;=4,"Moderado (4-4.9)","Menor a 4"))))</x:f>
        <x:v>Moderado (4-4.9)</x:v>
      </x:c>
      <x:c r="L2356" s="25" t="str">
        <x:f>IF(I2356&lt;70,"Superficial (&lt;70 km)",IF(I2356&lt;=300,"Intermedio (70-300 km)","Profundo (&gt;300 km)"))</x:f>
        <x:v>Intermedio (70-300 km)</x:v>
      </x:c>
      <x:c r="M2356" s="25" t="str">
        <x:f>IF(J2356&gt;=5,"Sí","No")</x:f>
        <x:v>No</x:v>
      </x:c>
      <x:c r="N2356" s="25" t="str">
        <x:f>IF(J2356&gt;=6,"Sí","No")</x:f>
        <x:v>No</x:v>
      </x:c>
      <x:c r="O2356" s="25" t="str">
        <x:v>Pendiente: asignar con R/sf</x:v>
      </x:c>
    </x:row>
    <x:row r="2357">
      <x:c r="A2357" s="25" t="n">
        <x:v>2356</x:v>
      </x:c>
      <x:c r="B2357" s="26" t="n">
        <x:v>42368.89539351852</x:v>
      </x:c>
      <x:c r="C2357" s="27" t="n">
        <x:f>INT(B2357)</x:f>
        <x:v>42368</x:v>
      </x:c>
      <x:c r="D2357" s="28" t="n">
        <x:f>MOD(B2357,1)</x:f>
        <x:v>0.8953935185199953</x:v>
      </x:c>
      <x:c r="E2357" s="29" t="n">
        <x:f>YEAR(B2357)</x:f>
        <x:v>2015</x:v>
      </x:c>
      <x:c r="F2357" s="29" t="n">
        <x:f>MONTH(B2357)</x:f>
        <x:v>12</x:v>
      </x:c>
      <x:c r="G2357" s="30" t="n">
        <x:v>-30.7</x:v>
      </x:c>
      <x:c r="H2357" s="30" t="n">
        <x:v>-71.62</x:v>
      </x:c>
      <x:c r="I2357" s="29" t="n">
        <x:v>28</x:v>
      </x:c>
      <x:c r="J2357" s="31" t="n">
        <x:v>4.3</x:v>
      </x:c>
      <x:c r="K2357" s="25" t="str">
        <x:f>IF(J2357&gt;=7,"Muy fuerte (&gt;=7)",IF(J2357&gt;=6,"Fuerte (6-6.9)",IF(J2357&gt;=5,"Moderado alto (5-5.9)",IF(J2357&gt;=4,"Moderado (4-4.9)","Menor a 4"))))</x:f>
        <x:v>Moderado (4-4.9)</x:v>
      </x:c>
      <x:c r="L2357" s="25" t="str">
        <x:f>IF(I2357&lt;70,"Superficial (&lt;70 km)",IF(I2357&lt;=300,"Intermedio (70-300 km)","Profundo (&gt;300 km)"))</x:f>
        <x:v>Superficial (&lt;70 km)</x:v>
      </x:c>
      <x:c r="M2357" s="25" t="str">
        <x:f>IF(J2357&gt;=5,"Sí","No")</x:f>
        <x:v>No</x:v>
      </x:c>
      <x:c r="N2357" s="25" t="str">
        <x:f>IF(J2357&gt;=6,"Sí","No")</x:f>
        <x:v>No</x:v>
      </x:c>
      <x:c r="O2357" s="25" t="str">
        <x:v>Pendiente: asignar con R/sf</x:v>
      </x:c>
    </x:row>
    <x:row r="2358">
      <x:c r="A2358" s="25" t="n">
        <x:v>2357</x:v>
      </x:c>
      <x:c r="B2358" s="26" t="n">
        <x:v>42191.313993055555</x:v>
      </x:c>
      <x:c r="C2358" s="27" t="n">
        <x:f>INT(B2358)</x:f>
        <x:v>42191</x:v>
      </x:c>
      <x:c r="D2358" s="28" t="n">
        <x:f>MOD(B2358,1)</x:f>
        <x:v>0.3139930555553292</x:v>
      </x:c>
      <x:c r="E2358" s="29" t="n">
        <x:f>YEAR(B2358)</x:f>
        <x:v>2015</x:v>
      </x:c>
      <x:c r="F2358" s="29" t="n">
        <x:f>MONTH(B2358)</x:f>
        <x:v>7</x:v>
      </x:c>
      <x:c r="G2358" s="30" t="n">
        <x:v>-30.91</x:v>
      </x:c>
      <x:c r="H2358" s="30" t="n">
        <x:v>-71.51</x:v>
      </x:c>
      <x:c r="I2358" s="29" t="n">
        <x:v>74</x:v>
      </x:c>
      <x:c r="J2358" s="31" t="n">
        <x:v>4.2</x:v>
      </x:c>
      <x:c r="K2358" s="25" t="str">
        <x:f>IF(J2358&gt;=7,"Muy fuerte (&gt;=7)",IF(J2358&gt;=6,"Fuerte (6-6.9)",IF(J2358&gt;=5,"Moderado alto (5-5.9)",IF(J2358&gt;=4,"Moderado (4-4.9)","Menor a 4"))))</x:f>
        <x:v>Moderado (4-4.9)</x:v>
      </x:c>
      <x:c r="L2358" s="25" t="str">
        <x:f>IF(I2358&lt;70,"Superficial (&lt;70 km)",IF(I2358&lt;=300,"Intermedio (70-300 km)","Profundo (&gt;300 km)"))</x:f>
        <x:v>Intermedio (70-300 km)</x:v>
      </x:c>
      <x:c r="M2358" s="25" t="str">
        <x:f>IF(J2358&gt;=5,"Sí","No")</x:f>
        <x:v>No</x:v>
      </x:c>
      <x:c r="N2358" s="25" t="str">
        <x:f>IF(J2358&gt;=6,"Sí","No")</x:f>
        <x:v>No</x:v>
      </x:c>
      <x:c r="O2358" s="25" t="str">
        <x:v>Pendiente: asignar con R/sf</x:v>
      </x:c>
    </x:row>
    <x:row r="2359">
      <x:c r="A2359" s="25" t="n">
        <x:v>2358</x:v>
      </x:c>
      <x:c r="B2359" s="26" t="n">
        <x:v>42197.28806712963</x:v>
      </x:c>
      <x:c r="C2359" s="27" t="n">
        <x:f>INT(B2359)</x:f>
        <x:v>42197</x:v>
      </x:c>
      <x:c r="D2359" s="28" t="n">
        <x:f>MOD(B2359,1)</x:f>
        <x:v>0.28806712962978054</x:v>
      </x:c>
      <x:c r="E2359" s="29" t="n">
        <x:f>YEAR(B2359)</x:f>
        <x:v>2015</x:v>
      </x:c>
      <x:c r="F2359" s="29" t="n">
        <x:f>MONTH(B2359)</x:f>
        <x:v>7</x:v>
      </x:c>
      <x:c r="G2359" s="30" t="n">
        <x:v>-32.09</x:v>
      </x:c>
      <x:c r="H2359" s="30" t="n">
        <x:v>-71.16</x:v>
      </x:c>
      <x:c r="I2359" s="29" t="n">
        <x:v>64</x:v>
      </x:c>
      <x:c r="J2359" s="31" t="n">
        <x:v>4.1</x:v>
      </x:c>
      <x:c r="K2359" s="25" t="str">
        <x:f>IF(J2359&gt;=7,"Muy fuerte (&gt;=7)",IF(J2359&gt;=6,"Fuerte (6-6.9)",IF(J2359&gt;=5,"Moderado alto (5-5.9)",IF(J2359&gt;=4,"Moderado (4-4.9)","Menor a 4"))))</x:f>
        <x:v>Moderado (4-4.9)</x:v>
      </x:c>
      <x:c r="L2359" s="25" t="str">
        <x:f>IF(I2359&lt;70,"Superficial (&lt;70 km)",IF(I2359&lt;=300,"Intermedio (70-300 km)","Profundo (&gt;300 km)"))</x:f>
        <x:v>Superficial (&lt;70 km)</x:v>
      </x:c>
      <x:c r="M2359" s="25" t="str">
        <x:f>IF(J2359&gt;=5,"Sí","No")</x:f>
        <x:v>No</x:v>
      </x:c>
      <x:c r="N2359" s="25" t="str">
        <x:f>IF(J2359&gt;=6,"Sí","No")</x:f>
        <x:v>No</x:v>
      </x:c>
      <x:c r="O2359" s="25" t="str">
        <x:v>Pendiente: asignar con R/sf</x:v>
      </x:c>
    </x:row>
    <x:row r="2360">
      <x:c r="A2360" s="25" t="n">
        <x:v>2359</x:v>
      </x:c>
      <x:c r="B2360" s="26" t="n">
        <x:v>42208.72783564815</x:v>
      </x:c>
      <x:c r="C2360" s="27" t="n">
        <x:f>INT(B2360)</x:f>
        <x:v>42208</x:v>
      </x:c>
      <x:c r="D2360" s="28" t="n">
        <x:f>MOD(B2360,1)</x:f>
        <x:v>0.7278356481474475</x:v>
      </x:c>
      <x:c r="E2360" s="29" t="n">
        <x:f>YEAR(B2360)</x:f>
        <x:v>2015</x:v>
      </x:c>
      <x:c r="F2360" s="29" t="n">
        <x:f>MONTH(B2360)</x:f>
        <x:v>7</x:v>
      </x:c>
      <x:c r="G2360" s="30" t="n">
        <x:v>-31.91</x:v>
      </x:c>
      <x:c r="H2360" s="30" t="n">
        <x:v>-71.1</x:v>
      </x:c>
      <x:c r="I2360" s="29" t="n">
        <x:v>65</x:v>
      </x:c>
      <x:c r="J2360" s="31" t="n">
        <x:v>4</x:v>
      </x:c>
      <x:c r="K2360" s="25" t="str">
        <x:f>IF(J2360&gt;=7,"Muy fuerte (&gt;=7)",IF(J2360&gt;=6,"Fuerte (6-6.9)",IF(J2360&gt;=5,"Moderado alto (5-5.9)",IF(J2360&gt;=4,"Moderado (4-4.9)","Menor a 4"))))</x:f>
        <x:v>Moderado (4-4.9)</x:v>
      </x:c>
      <x:c r="L2360" s="25" t="str">
        <x:f>IF(I2360&lt;70,"Superficial (&lt;70 km)",IF(I2360&lt;=300,"Intermedio (70-300 km)","Profundo (&gt;300 km)"))</x:f>
        <x:v>Superficial (&lt;70 km)</x:v>
      </x:c>
      <x:c r="M2360" s="25" t="str">
        <x:f>IF(J2360&gt;=5,"Sí","No")</x:f>
        <x:v>No</x:v>
      </x:c>
      <x:c r="N2360" s="25" t="str">
        <x:f>IF(J2360&gt;=6,"Sí","No")</x:f>
        <x:v>No</x:v>
      </x:c>
      <x:c r="O2360" s="25" t="str">
        <x:v>Pendiente: asignar con R/sf</x:v>
      </x:c>
    </x:row>
    <x:row r="2361">
      <x:c r="A2361" s="25" t="n">
        <x:v>2360</x:v>
      </x:c>
      <x:c r="B2361" s="26" t="n">
        <x:v>42209.59171296296</x:v>
      </x:c>
      <x:c r="C2361" s="27" t="n">
        <x:f>INT(B2361)</x:f>
        <x:v>42209</x:v>
      </x:c>
      <x:c r="D2361" s="28" t="n">
        <x:f>MOD(B2361,1)</x:f>
        <x:v>0.5917129629597184</x:v>
      </x:c>
      <x:c r="E2361" s="29" t="n">
        <x:f>YEAR(B2361)</x:f>
        <x:v>2015</x:v>
      </x:c>
      <x:c r="F2361" s="29" t="n">
        <x:f>MONTH(B2361)</x:f>
        <x:v>7</x:v>
      </x:c>
      <x:c r="G2361" s="30" t="n">
        <x:v>-30.92</x:v>
      </x:c>
      <x:c r="H2361" s="30" t="n">
        <x:v>-71.2</x:v>
      </x:c>
      <x:c r="I2361" s="29" t="n">
        <x:v>57</x:v>
      </x:c>
      <x:c r="J2361" s="31" t="n">
        <x:v>4.4</x:v>
      </x:c>
      <x:c r="K2361" s="25" t="str">
        <x:f>IF(J2361&gt;=7,"Muy fuerte (&gt;=7)",IF(J2361&gt;=6,"Fuerte (6-6.9)",IF(J2361&gt;=5,"Moderado alto (5-5.9)",IF(J2361&gt;=4,"Moderado (4-4.9)","Menor a 4"))))</x:f>
        <x:v>Moderado (4-4.9)</x:v>
      </x:c>
      <x:c r="L2361" s="25" t="str">
        <x:f>IF(I2361&lt;70,"Superficial (&lt;70 km)",IF(I2361&lt;=300,"Intermedio (70-300 km)","Profundo (&gt;300 km)"))</x:f>
        <x:v>Superficial (&lt;70 km)</x:v>
      </x:c>
      <x:c r="M2361" s="25" t="str">
        <x:f>IF(J2361&gt;=5,"Sí","No")</x:f>
        <x:v>No</x:v>
      </x:c>
      <x:c r="N2361" s="25" t="str">
        <x:f>IF(J2361&gt;=6,"Sí","No")</x:f>
        <x:v>No</x:v>
      </x:c>
      <x:c r="O2361" s="25" t="str">
        <x:v>Pendiente: asignar con R/sf</x:v>
      </x:c>
    </x:row>
    <x:row r="2362">
      <x:c r="A2362" s="25" t="n">
        <x:v>2361</x:v>
      </x:c>
      <x:c r="B2362" s="26" t="n">
        <x:v>42217.829039351855</x:v>
      </x:c>
      <x:c r="C2362" s="27" t="n">
        <x:f>INT(B2362)</x:f>
        <x:v>42217</x:v>
      </x:c>
      <x:c r="D2362" s="28" t="n">
        <x:f>MOD(B2362,1)</x:f>
        <x:v>0.8290393518545898</x:v>
      </x:c>
      <x:c r="E2362" s="29" t="n">
        <x:f>YEAR(B2362)</x:f>
        <x:v>2015</x:v>
      </x:c>
      <x:c r="F2362" s="29" t="n">
        <x:f>MONTH(B2362)</x:f>
        <x:v>8</x:v>
      </x:c>
      <x:c r="G2362" s="30" t="n">
        <x:v>-31.96</x:v>
      </x:c>
      <x:c r="H2362" s="30" t="n">
        <x:v>-71.2</x:v>
      </x:c>
      <x:c r="I2362" s="29" t="n">
        <x:v>65</x:v>
      </x:c>
      <x:c r="J2362" s="31" t="n">
        <x:v>4.3</x:v>
      </x:c>
      <x:c r="K2362" s="25" t="str">
        <x:f>IF(J2362&gt;=7,"Muy fuerte (&gt;=7)",IF(J2362&gt;=6,"Fuerte (6-6.9)",IF(J2362&gt;=5,"Moderado alto (5-5.9)",IF(J2362&gt;=4,"Moderado (4-4.9)","Menor a 4"))))</x:f>
        <x:v>Moderado (4-4.9)</x:v>
      </x:c>
      <x:c r="L2362" s="25" t="str">
        <x:f>IF(I2362&lt;70,"Superficial (&lt;70 km)",IF(I2362&lt;=300,"Intermedio (70-300 km)","Profundo (&gt;300 km)"))</x:f>
        <x:v>Superficial (&lt;70 km)</x:v>
      </x:c>
      <x:c r="M2362" s="25" t="str">
        <x:f>IF(J2362&gt;=5,"Sí","No")</x:f>
        <x:v>No</x:v>
      </x:c>
      <x:c r="N2362" s="25" t="str">
        <x:f>IF(J2362&gt;=6,"Sí","No")</x:f>
        <x:v>No</x:v>
      </x:c>
      <x:c r="O2362" s="25" t="str">
        <x:v>Pendiente: asignar con R/sf</x:v>
      </x:c>
    </x:row>
    <x:row r="2363">
      <x:c r="A2363" s="25" t="n">
        <x:v>2362</x:v>
      </x:c>
      <x:c r="B2363" s="26" t="n">
        <x:v>42228.01017361111</x:v>
      </x:c>
      <x:c r="C2363" s="27" t="n">
        <x:f>INT(B2363)</x:f>
        <x:v>42228</x:v>
      </x:c>
      <x:c r="D2363" s="28" t="n">
        <x:f>MOD(B2363,1)</x:f>
        <x:v>0.010173611110076308</x:v>
      </x:c>
      <x:c r="E2363" s="29" t="n">
        <x:f>YEAR(B2363)</x:f>
        <x:v>2015</x:v>
      </x:c>
      <x:c r="F2363" s="29" t="n">
        <x:f>MONTH(B2363)</x:f>
        <x:v>8</x:v>
      </x:c>
      <x:c r="G2363" s="30" t="n">
        <x:v>-31.73</x:v>
      </x:c>
      <x:c r="H2363" s="30" t="n">
        <x:v>-71.61</x:v>
      </x:c>
      <x:c r="I2363" s="29" t="n">
        <x:v>42</x:v>
      </x:c>
      <x:c r="J2363" s="31" t="n">
        <x:v>5.3</x:v>
      </x:c>
      <x:c r="K2363" s="25" t="str">
        <x:f>IF(J2363&gt;=7,"Muy fuerte (&gt;=7)",IF(J2363&gt;=6,"Fuerte (6-6.9)",IF(J2363&gt;=5,"Moderado alto (5-5.9)",IF(J2363&gt;=4,"Moderado (4-4.9)","Menor a 4"))))</x:f>
        <x:v>Moderado alto (5-5.9)</x:v>
      </x:c>
      <x:c r="L2363" s="25" t="str">
        <x:f>IF(I2363&lt;70,"Superficial (&lt;70 km)",IF(I2363&lt;=300,"Intermedio (70-300 km)","Profundo (&gt;300 km)"))</x:f>
        <x:v>Superficial (&lt;70 km)</x:v>
      </x:c>
      <x:c r="M2363" s="25" t="str">
        <x:f>IF(J2363&gt;=5,"Sí","No")</x:f>
        <x:v>Sí</x:v>
      </x:c>
      <x:c r="N2363" s="25" t="str">
        <x:f>IF(J2363&gt;=6,"Sí","No")</x:f>
        <x:v>No</x:v>
      </x:c>
      <x:c r="O2363" s="25" t="str">
        <x:v>Pendiente: asignar con R/sf</x:v>
      </x:c>
    </x:row>
    <x:row r="2364">
      <x:c r="A2364" s="25" t="n">
        <x:v>2363</x:v>
      </x:c>
      <x:c r="B2364" s="26" t="n">
        <x:v>42239.9653125</x:v>
      </x:c>
      <x:c r="C2364" s="27" t="n">
        <x:f>INT(B2364)</x:f>
        <x:v>42239</x:v>
      </x:c>
      <x:c r="D2364" s="28" t="n">
        <x:f>MOD(B2364,1)</x:f>
        <x:v>0.9653124999967986</x:v>
      </x:c>
      <x:c r="E2364" s="29" t="n">
        <x:f>YEAR(B2364)</x:f>
        <x:v>2015</x:v>
      </x:c>
      <x:c r="F2364" s="29" t="n">
        <x:f>MONTH(B2364)</x:f>
        <x:v>8</x:v>
      </x:c>
      <x:c r="G2364" s="30" t="n">
        <x:v>-29.72</x:v>
      </x:c>
      <x:c r="H2364" s="30" t="n">
        <x:v>-71.25</x:v>
      </x:c>
      <x:c r="I2364" s="29" t="n">
        <x:v>50</x:v>
      </x:c>
      <x:c r="J2364" s="31" t="n">
        <x:v>6</x:v>
      </x:c>
      <x:c r="K2364" s="25" t="str">
        <x:f>IF(J2364&gt;=7,"Muy fuerte (&gt;=7)",IF(J2364&gt;=6,"Fuerte (6-6.9)",IF(J2364&gt;=5,"Moderado alto (5-5.9)",IF(J2364&gt;=4,"Moderado (4-4.9)","Menor a 4"))))</x:f>
        <x:v>Fuerte (6-6.9)</x:v>
      </x:c>
      <x:c r="L2364" s="25" t="str">
        <x:f>IF(I2364&lt;70,"Superficial (&lt;70 km)",IF(I2364&lt;=300,"Intermedio (70-300 km)","Profundo (&gt;300 km)"))</x:f>
        <x:v>Superficial (&lt;70 km)</x:v>
      </x:c>
      <x:c r="M2364" s="25" t="str">
        <x:f>IF(J2364&gt;=5,"Sí","No")</x:f>
        <x:v>Sí</x:v>
      </x:c>
      <x:c r="N2364" s="25" t="str">
        <x:f>IF(J2364&gt;=6,"Sí","No")</x:f>
        <x:v>Sí</x:v>
      </x:c>
      <x:c r="O2364" s="25" t="str">
        <x:v>Pendiente: asignar con R/sf</x:v>
      </x:c>
    </x:row>
    <x:row r="2365">
      <x:c r="A2365" s="25" t="n">
        <x:v>2364</x:v>
      </x:c>
      <x:c r="B2365" s="26" t="n">
        <x:v>42263.95449074074</x:v>
      </x:c>
      <x:c r="C2365" s="27" t="n">
        <x:f>INT(B2365)</x:f>
        <x:v>42263</x:v>
      </x:c>
      <x:c r="D2365" s="28" t="n">
        <x:f>MOD(B2365,1)</x:f>
        <x:v>0.9544907407398568</x:v>
      </x:c>
      <x:c r="E2365" s="29" t="n">
        <x:f>YEAR(B2365)</x:f>
        <x:v>2015</x:v>
      </x:c>
      <x:c r="F2365" s="29" t="n">
        <x:f>MONTH(B2365)</x:f>
        <x:v>9</x:v>
      </x:c>
      <x:c r="G2365" s="30" t="n">
        <x:v>-31.55</x:v>
      </x:c>
      <x:c r="H2365" s="30" t="n">
        <x:v>-71.86</x:v>
      </x:c>
      <x:c r="I2365" s="29" t="n">
        <x:v>11</x:v>
      </x:c>
      <x:c r="J2365" s="31" t="n">
        <x:v>8.4</x:v>
      </x:c>
      <x:c r="K2365" s="25" t="str">
        <x:f>IF(J2365&gt;=7,"Muy fuerte (&gt;=7)",IF(J2365&gt;=6,"Fuerte (6-6.9)",IF(J2365&gt;=5,"Moderado alto (5-5.9)",IF(J2365&gt;=4,"Moderado (4-4.9)","Menor a 4"))))</x:f>
        <x:v>Muy fuerte (&gt;=7)</x:v>
      </x:c>
      <x:c r="L2365" s="25" t="str">
        <x:f>IF(I2365&lt;70,"Superficial (&lt;70 km)",IF(I2365&lt;=300,"Intermedio (70-300 km)","Profundo (&gt;300 km)"))</x:f>
        <x:v>Superficial (&lt;70 km)</x:v>
      </x:c>
      <x:c r="M2365" s="25" t="str">
        <x:f>IF(J2365&gt;=5,"Sí","No")</x:f>
        <x:v>Sí</x:v>
      </x:c>
      <x:c r="N2365" s="25" t="str">
        <x:f>IF(J2365&gt;=6,"Sí","No")</x:f>
        <x:v>Sí</x:v>
      </x:c>
      <x:c r="O2365" s="25" t="str">
        <x:v>Pendiente: asignar con R/sf</x:v>
      </x:c>
    </x:row>
    <x:row r="2366">
      <x:c r="A2366" s="25" t="n">
        <x:v>2365</x:v>
      </x:c>
      <x:c r="B2366" s="26" t="n">
        <x:v>42263.9578125</x:v>
      </x:c>
      <x:c r="C2366" s="27" t="n">
        <x:f>INT(B2366)</x:f>
        <x:v>42263</x:v>
      </x:c>
      <x:c r="D2366" s="28" t="n">
        <x:f>MOD(B2366,1)</x:f>
        <x:v>0.9578124999970896</x:v>
      </x:c>
      <x:c r="E2366" s="29" t="n">
        <x:f>YEAR(B2366)</x:f>
        <x:v>2015</x:v>
      </x:c>
      <x:c r="F2366" s="29" t="n">
        <x:f>MONTH(B2366)</x:f>
        <x:v>9</x:v>
      </x:c>
      <x:c r="G2366" s="30" t="n">
        <x:v>-31.62</x:v>
      </x:c>
      <x:c r="H2366" s="30" t="n">
        <x:v>-71.75</x:v>
      </x:c>
      <x:c r="I2366" s="29" t="n">
        <x:v>27</x:v>
      </x:c>
      <x:c r="J2366" s="31" t="n">
        <x:v>7.1</x:v>
      </x:c>
      <x:c r="K2366" s="25" t="str">
        <x:f>IF(J2366&gt;=7,"Muy fuerte (&gt;=7)",IF(J2366&gt;=6,"Fuerte (6-6.9)",IF(J2366&gt;=5,"Moderado alto (5-5.9)",IF(J2366&gt;=4,"Moderado (4-4.9)","Menor a 4"))))</x:f>
        <x:v>Muy fuerte (&gt;=7)</x:v>
      </x:c>
      <x:c r="L2366" s="25" t="str">
        <x:f>IF(I2366&lt;70,"Superficial (&lt;70 km)",IF(I2366&lt;=300,"Intermedio (70-300 km)","Profundo (&gt;300 km)"))</x:f>
        <x:v>Superficial (&lt;70 km)</x:v>
      </x:c>
      <x:c r="M2366" s="25" t="str">
        <x:f>IF(J2366&gt;=5,"Sí","No")</x:f>
        <x:v>Sí</x:v>
      </x:c>
      <x:c r="N2366" s="25" t="str">
        <x:f>IF(J2366&gt;=6,"Sí","No")</x:f>
        <x:v>Sí</x:v>
      </x:c>
      <x:c r="O2366" s="25" t="str">
        <x:v>Pendiente: asignar con R/sf</x:v>
      </x:c>
    </x:row>
    <x:row r="2367">
      <x:c r="A2367" s="25" t="n">
        <x:v>2366</x:v>
      </x:c>
      <x:c r="B2367" s="26" t="n">
        <x:v>42263.961064814815</x:v>
      </x:c>
      <x:c r="C2367" s="27" t="n">
        <x:f>INT(B2367)</x:f>
        <x:v>42263</x:v>
      </x:c>
      <x:c r="D2367" s="28" t="n">
        <x:f>MOD(B2367,1)</x:f>
        <x:v>0.9610648148154723</x:v>
      </x:c>
      <x:c r="E2367" s="29" t="n">
        <x:f>YEAR(B2367)</x:f>
        <x:v>2015</x:v>
      </x:c>
      <x:c r="F2367" s="29" t="n">
        <x:f>MONTH(B2367)</x:f>
        <x:v>9</x:v>
      </x:c>
      <x:c r="G2367" s="30" t="n">
        <x:v>-31.73</x:v>
      </x:c>
      <x:c r="H2367" s="30" t="n">
        <x:v>-71.68</x:v>
      </x:c>
      <x:c r="I2367" s="29" t="n">
        <x:v>30</x:v>
      </x:c>
      <x:c r="J2367" s="31" t="n">
        <x:v>6.1</x:v>
      </x:c>
      <x:c r="K2367" s="25" t="str">
        <x:f>IF(J2367&gt;=7,"Muy fuerte (&gt;=7)",IF(J2367&gt;=6,"Fuerte (6-6.9)",IF(J2367&gt;=5,"Moderado alto (5-5.9)",IF(J2367&gt;=4,"Moderado (4-4.9)","Menor a 4"))))</x:f>
        <x:v>Fuerte (6-6.9)</x:v>
      </x:c>
      <x:c r="L2367" s="25" t="str">
        <x:f>IF(I2367&lt;70,"Superficial (&lt;70 km)",IF(I2367&lt;=300,"Intermedio (70-300 km)","Profundo (&gt;300 km)"))</x:f>
        <x:v>Superficial (&lt;70 km)</x:v>
      </x:c>
      <x:c r="M2367" s="25" t="str">
        <x:f>IF(J2367&gt;=5,"Sí","No")</x:f>
        <x:v>Sí</x:v>
      </x:c>
      <x:c r="N2367" s="25" t="str">
        <x:f>IF(J2367&gt;=6,"Sí","No")</x:f>
        <x:v>Sí</x:v>
      </x:c>
      <x:c r="O2367" s="25" t="str">
        <x:v>Pendiente: asignar con R/sf</x:v>
      </x:c>
    </x:row>
    <x:row r="2368">
      <x:c r="A2368" s="25" t="n">
        <x:v>2367</x:v>
      </x:c>
      <x:c r="B2368" s="26" t="n">
        <x:v>42263.96953703704</x:v>
      </x:c>
      <x:c r="C2368" s="27" t="n">
        <x:f>INT(B2368)</x:f>
        <x:v>42263</x:v>
      </x:c>
      <x:c r="D2368" s="28" t="n">
        <x:f>MOD(B2368,1)</x:f>
        <x:v>0.9695370370391174</x:v>
      </x:c>
      <x:c r="E2368" s="29" t="n">
        <x:f>YEAR(B2368)</x:f>
        <x:v>2015</x:v>
      </x:c>
      <x:c r="F2368" s="29" t="n">
        <x:f>MONTH(B2368)</x:f>
        <x:v>9</x:v>
      </x:c>
      <x:c r="G2368" s="30" t="n">
        <x:v>-31.9</x:v>
      </x:c>
      <x:c r="H2368" s="30" t="n">
        <x:v>-71.9</x:v>
      </x:c>
      <x:c r="I2368" s="29" t="n">
        <x:v>29</x:v>
      </x:c>
      <x:c r="J2368" s="31" t="n">
        <x:v>6.8</x:v>
      </x:c>
      <x:c r="K2368" s="25" t="str">
        <x:f>IF(J2368&gt;=7,"Muy fuerte (&gt;=7)",IF(J2368&gt;=6,"Fuerte (6-6.9)",IF(J2368&gt;=5,"Moderado alto (5-5.9)",IF(J2368&gt;=4,"Moderado (4-4.9)","Menor a 4"))))</x:f>
        <x:v>Fuerte (6-6.9)</x:v>
      </x:c>
      <x:c r="L2368" s="25" t="str">
        <x:f>IF(I2368&lt;70,"Superficial (&lt;70 km)",IF(I2368&lt;=300,"Intermedio (70-300 km)","Profundo (&gt;300 km)"))</x:f>
        <x:v>Superficial (&lt;70 km)</x:v>
      </x:c>
      <x:c r="M2368" s="25" t="str">
        <x:f>IF(J2368&gt;=5,"Sí","No")</x:f>
        <x:v>Sí</x:v>
      </x:c>
      <x:c r="N2368" s="25" t="str">
        <x:f>IF(J2368&gt;=6,"Sí","No")</x:f>
        <x:v>Sí</x:v>
      </x:c>
      <x:c r="O2368" s="25" t="str">
        <x:v>Pendiente: asignar con R/sf</x:v>
      </x:c>
    </x:row>
    <x:row r="2369">
      <x:c r="A2369" s="25" t="n">
        <x:v>2368</x:v>
      </x:c>
      <x:c r="B2369" s="26" t="n">
        <x:v>42263.971238425926</x:v>
      </x:c>
      <x:c r="C2369" s="27" t="n">
        <x:f>INT(B2369)</x:f>
        <x:v>42263</x:v>
      </x:c>
      <x:c r="D2369" s="28" t="n">
        <x:f>MOD(B2369,1)</x:f>
        <x:v>0.9712384259255487</x:v>
      </x:c>
      <x:c r="E2369" s="29" t="n">
        <x:f>YEAR(B2369)</x:f>
        <x:v>2015</x:v>
      </x:c>
      <x:c r="F2369" s="29" t="n">
        <x:f>MONTH(B2369)</x:f>
        <x:v>9</x:v>
      </x:c>
      <x:c r="G2369" s="30" t="n">
        <x:v>-31.59</x:v>
      </x:c>
      <x:c r="H2369" s="30" t="n">
        <x:v>-71.79</x:v>
      </x:c>
      <x:c r="I2369" s="29" t="n">
        <x:v>16</x:v>
      </x:c>
      <x:c r="J2369" s="31" t="n">
        <x:v>7.6</x:v>
      </x:c>
      <x:c r="K2369" s="25" t="str">
        <x:f>IF(J2369&gt;=7,"Muy fuerte (&gt;=7)",IF(J2369&gt;=6,"Fuerte (6-6.9)",IF(J2369&gt;=5,"Moderado alto (5-5.9)",IF(J2369&gt;=4,"Moderado (4-4.9)","Menor a 4"))))</x:f>
        <x:v>Muy fuerte (&gt;=7)</x:v>
      </x:c>
      <x:c r="L2369" s="25" t="str">
        <x:f>IF(I2369&lt;70,"Superficial (&lt;70 km)",IF(I2369&lt;=300,"Intermedio (70-300 km)","Profundo (&gt;300 km)"))</x:f>
        <x:v>Superficial (&lt;70 km)</x:v>
      </x:c>
      <x:c r="M2369" s="25" t="str">
        <x:f>IF(J2369&gt;=5,"Sí","No")</x:f>
        <x:v>Sí</x:v>
      </x:c>
      <x:c r="N2369" s="25" t="str">
        <x:f>IF(J2369&gt;=6,"Sí","No")</x:f>
        <x:v>Sí</x:v>
      </x:c>
      <x:c r="O2369" s="25" t="str">
        <x:v>Pendiente: asignar con R/sf</x:v>
      </x:c>
    </x:row>
    <x:row r="2370">
      <x:c r="A2370" s="25" t="n">
        <x:v>2369</x:v>
      </x:c>
      <x:c r="B2370" s="26" t="n">
        <x:v>42263.98473379629</x:v>
      </x:c>
      <x:c r="C2370" s="27" t="n">
        <x:f>INT(B2370)</x:f>
        <x:v>42263</x:v>
      </x:c>
      <x:c r="D2370" s="28" t="n">
        <x:f>MOD(B2370,1)</x:f>
        <x:v>0.9847337962928577</x:v>
      </x:c>
      <x:c r="E2370" s="29" t="n">
        <x:f>YEAR(B2370)</x:f>
        <x:v>2015</x:v>
      </x:c>
      <x:c r="F2370" s="29" t="n">
        <x:f>MONTH(B2370)</x:f>
        <x:v>9</x:v>
      </x:c>
      <x:c r="G2370" s="30" t="n">
        <x:v>-31.88</x:v>
      </x:c>
      <x:c r="H2370" s="30" t="n">
        <x:v>-71.89</x:v>
      </x:c>
      <x:c r="I2370" s="29" t="n">
        <x:v>35</x:v>
      </x:c>
      <x:c r="J2370" s="31" t="n">
        <x:v>5.6</x:v>
      </x:c>
      <x:c r="K2370" s="25" t="str">
        <x:f>IF(J2370&gt;=7,"Muy fuerte (&gt;=7)",IF(J2370&gt;=6,"Fuerte (6-6.9)",IF(J2370&gt;=5,"Moderado alto (5-5.9)",IF(J2370&gt;=4,"Moderado (4-4.9)","Menor a 4"))))</x:f>
        <x:v>Moderado alto (5-5.9)</x:v>
      </x:c>
      <x:c r="L2370" s="25" t="str">
        <x:f>IF(I2370&lt;70,"Superficial (&lt;70 km)",IF(I2370&lt;=300,"Intermedio (70-300 km)","Profundo (&gt;300 km)"))</x:f>
        <x:v>Superficial (&lt;70 km)</x:v>
      </x:c>
      <x:c r="M2370" s="25" t="str">
        <x:f>IF(J2370&gt;=5,"Sí","No")</x:f>
        <x:v>Sí</x:v>
      </x:c>
      <x:c r="N2370" s="25" t="str">
        <x:f>IF(J2370&gt;=6,"Sí","No")</x:f>
        <x:v>No</x:v>
      </x:c>
      <x:c r="O2370" s="25" t="str">
        <x:v>Pendiente: asignar con R/sf</x:v>
      </x:c>
    </x:row>
    <x:row r="2371">
      <x:c r="A2371" s="25" t="n">
        <x:v>2370</x:v>
      </x:c>
      <x:c r="B2371" s="26" t="n">
        <x:v>42264.004375</x:v>
      </x:c>
      <x:c r="C2371" s="27" t="n">
        <x:f>INT(B2371)</x:f>
        <x:v>42264</x:v>
      </x:c>
      <x:c r="D2371" s="28" t="n">
        <x:f>MOD(B2371,1)</x:f>
        <x:v>0.004374999996798579</x:v>
      </x:c>
      <x:c r="E2371" s="29" t="n">
        <x:f>YEAR(B2371)</x:f>
        <x:v>2015</x:v>
      </x:c>
      <x:c r="F2371" s="29" t="n">
        <x:f>MONTH(B2371)</x:f>
        <x:v>9</x:v>
      </x:c>
      <x:c r="G2371" s="30" t="n">
        <x:v>-31</x:v>
      </x:c>
      <x:c r="H2371" s="30" t="n">
        <x:v>-71.48</x:v>
      </x:c>
      <x:c r="I2371" s="29" t="n">
        <x:v>38</x:v>
      </x:c>
      <x:c r="J2371" s="31" t="n">
        <x:v>5.3</x:v>
      </x:c>
      <x:c r="K2371" s="25" t="str">
        <x:f>IF(J2371&gt;=7,"Muy fuerte (&gt;=7)",IF(J2371&gt;=6,"Fuerte (6-6.9)",IF(J2371&gt;=5,"Moderado alto (5-5.9)",IF(J2371&gt;=4,"Moderado (4-4.9)","Menor a 4"))))</x:f>
        <x:v>Moderado alto (5-5.9)</x:v>
      </x:c>
      <x:c r="L2371" s="25" t="str">
        <x:f>IF(I2371&lt;70,"Superficial (&lt;70 km)",IF(I2371&lt;=300,"Intermedio (70-300 km)","Profundo (&gt;300 km)"))</x:f>
        <x:v>Superficial (&lt;70 km)</x:v>
      </x:c>
      <x:c r="M2371" s="25" t="str">
        <x:f>IF(J2371&gt;=5,"Sí","No")</x:f>
        <x:v>Sí</x:v>
      </x:c>
      <x:c r="N2371" s="25" t="str">
        <x:f>IF(J2371&gt;=6,"Sí","No")</x:f>
        <x:v>No</x:v>
      </x:c>
      <x:c r="O2371" s="25" t="str">
        <x:v>Pendiente: asignar con R/sf</x:v>
      </x:c>
    </x:row>
    <x:row r="2372">
      <x:c r="A2372" s="25" t="n">
        <x:v>2371</x:v>
      </x:c>
      <x:c r="B2372" s="26" t="n">
        <x:v>42264.05021990741</x:v>
      </x:c>
      <x:c r="C2372" s="27" t="n">
        <x:f>INT(B2372)</x:f>
        <x:v>42264</x:v>
      </x:c>
      <x:c r="D2372" s="28" t="n">
        <x:f>MOD(B2372,1)</x:f>
        <x:v>0.050219907410792075</x:v>
      </x:c>
      <x:c r="E2372" s="29" t="n">
        <x:f>YEAR(B2372)</x:f>
        <x:v>2015</x:v>
      </x:c>
      <x:c r="F2372" s="29" t="n">
        <x:f>MONTH(B2372)</x:f>
        <x:v>9</x:v>
      </x:c>
      <x:c r="G2372" s="30" t="n">
        <x:v>-31.48</x:v>
      </x:c>
      <x:c r="H2372" s="30" t="n">
        <x:v>-71.52</x:v>
      </x:c>
      <x:c r="I2372" s="29" t="n">
        <x:v>35</x:v>
      </x:c>
      <x:c r="J2372" s="31" t="n">
        <x:v>4.6</x:v>
      </x:c>
      <x:c r="K2372" s="25" t="str">
        <x:f>IF(J2372&gt;=7,"Muy fuerte (&gt;=7)",IF(J2372&gt;=6,"Fuerte (6-6.9)",IF(J2372&gt;=5,"Moderado alto (5-5.9)",IF(J2372&gt;=4,"Moderado (4-4.9)","Menor a 4"))))</x:f>
        <x:v>Moderado (4-4.9)</x:v>
      </x:c>
      <x:c r="L2372" s="25" t="str">
        <x:f>IF(I2372&lt;70,"Superficial (&lt;70 km)",IF(I2372&lt;=300,"Intermedio (70-300 km)","Profundo (&gt;300 km)"))</x:f>
        <x:v>Superficial (&lt;70 km)</x:v>
      </x:c>
      <x:c r="M2372" s="25" t="str">
        <x:f>IF(J2372&gt;=5,"Sí","No")</x:f>
        <x:v>No</x:v>
      </x:c>
      <x:c r="N2372" s="25" t="str">
        <x:f>IF(J2372&gt;=6,"Sí","No")</x:f>
        <x:v>No</x:v>
      </x:c>
      <x:c r="O2372" s="25" t="str">
        <x:v>Pendiente: asignar con R/sf</x:v>
      </x:c>
    </x:row>
    <x:row r="2373">
      <x:c r="A2373" s="25" t="n">
        <x:v>2372</x:v>
      </x:c>
      <x:c r="B2373" s="26" t="n">
        <x:v>42264.0568287037</x:v>
      </x:c>
      <x:c r="C2373" s="27" t="n">
        <x:f>INT(B2373)</x:f>
        <x:v>42264</x:v>
      </x:c>
      <x:c r="D2373" s="28" t="n">
        <x:f>MOD(B2373,1)</x:f>
        <x:v>0.056828703702194616</x:v>
      </x:c>
      <x:c r="E2373" s="29" t="n">
        <x:f>YEAR(B2373)</x:f>
        <x:v>2015</x:v>
      </x:c>
      <x:c r="F2373" s="29" t="n">
        <x:f>MONTH(B2373)</x:f>
        <x:v>9</x:v>
      </x:c>
      <x:c r="G2373" s="30" t="n">
        <x:v>-31.72</x:v>
      </x:c>
      <x:c r="H2373" s="30" t="n">
        <x:v>-71.7</x:v>
      </x:c>
      <x:c r="I2373" s="29" t="n">
        <x:v>14</x:v>
      </x:c>
      <x:c r="J2373" s="31" t="n">
        <x:v>5.1</x:v>
      </x:c>
      <x:c r="K2373" s="25" t="str">
        <x:f>IF(J2373&gt;=7,"Muy fuerte (&gt;=7)",IF(J2373&gt;=6,"Fuerte (6-6.9)",IF(J2373&gt;=5,"Moderado alto (5-5.9)",IF(J2373&gt;=4,"Moderado (4-4.9)","Menor a 4"))))</x:f>
        <x:v>Moderado alto (5-5.9)</x:v>
      </x:c>
      <x:c r="L2373" s="25" t="str">
        <x:f>IF(I2373&lt;70,"Superficial (&lt;70 km)",IF(I2373&lt;=300,"Intermedio (70-300 km)","Profundo (&gt;300 km)"))</x:f>
        <x:v>Superficial (&lt;70 km)</x:v>
      </x:c>
      <x:c r="M2373" s="25" t="str">
        <x:f>IF(J2373&gt;=5,"Sí","No")</x:f>
        <x:v>Sí</x:v>
      </x:c>
      <x:c r="N2373" s="25" t="str">
        <x:f>IF(J2373&gt;=6,"Sí","No")</x:f>
        <x:v>No</x:v>
      </x:c>
      <x:c r="O2373" s="25" t="str">
        <x:v>Pendiente: asignar con R/sf</x:v>
      </x:c>
    </x:row>
    <x:row r="2374">
      <x:c r="A2374" s="25" t="n">
        <x:v>2373</x:v>
      </x:c>
      <x:c r="B2374" s="26" t="n">
        <x:v>42264.06458333333</x:v>
      </x:c>
      <x:c r="C2374" s="27" t="n">
        <x:f>INT(B2374)</x:f>
        <x:v>42264</x:v>
      </x:c>
      <x:c r="D2374" s="28" t="n">
        <x:f>MOD(B2374,1)</x:f>
        <x:v>0.06458333333284827</x:v>
      </x:c>
      <x:c r="E2374" s="29" t="n">
        <x:f>YEAR(B2374)</x:f>
        <x:v>2015</x:v>
      </x:c>
      <x:c r="F2374" s="29" t="n">
        <x:f>MONTH(B2374)</x:f>
        <x:v>9</x:v>
      </x:c>
      <x:c r="G2374" s="30" t="n">
        <x:v>-31.64</x:v>
      </x:c>
      <x:c r="H2374" s="30" t="n">
        <x:v>-72.1</x:v>
      </x:c>
      <x:c r="I2374" s="29" t="n">
        <x:v>35</x:v>
      </x:c>
      <x:c r="J2374" s="31" t="n">
        <x:v>6</x:v>
      </x:c>
      <x:c r="K2374" s="25" t="str">
        <x:f>IF(J2374&gt;=7,"Muy fuerte (&gt;=7)",IF(J2374&gt;=6,"Fuerte (6-6.9)",IF(J2374&gt;=5,"Moderado alto (5-5.9)",IF(J2374&gt;=4,"Moderado (4-4.9)","Menor a 4"))))</x:f>
        <x:v>Fuerte (6-6.9)</x:v>
      </x:c>
      <x:c r="L2374" s="25" t="str">
        <x:f>IF(I2374&lt;70,"Superficial (&lt;70 km)",IF(I2374&lt;=300,"Intermedio (70-300 km)","Profundo (&gt;300 km)"))</x:f>
        <x:v>Superficial (&lt;70 km)</x:v>
      </x:c>
      <x:c r="M2374" s="25" t="str">
        <x:f>IF(J2374&gt;=5,"Sí","No")</x:f>
        <x:v>Sí</x:v>
      </x:c>
      <x:c r="N2374" s="25" t="str">
        <x:f>IF(J2374&gt;=6,"Sí","No")</x:f>
        <x:v>Sí</x:v>
      </x:c>
      <x:c r="O2374" s="25" t="str">
        <x:v>Pendiente: asignar con R/sf</x:v>
      </x:c>
    </x:row>
    <x:row r="2375">
      <x:c r="A2375" s="25" t="n">
        <x:v>2374</x:v>
      </x:c>
      <x:c r="B2375" s="26" t="n">
        <x:v>42264.07019675926</x:v>
      </x:c>
      <x:c r="C2375" s="27" t="n">
        <x:f>INT(B2375)</x:f>
        <x:v>42264</x:v>
      </x:c>
      <x:c r="D2375" s="28" t="n">
        <x:f>MOD(B2375,1)</x:f>
        <x:v>0.0701967592613073</x:v>
      </x:c>
      <x:c r="E2375" s="29" t="n">
        <x:f>YEAR(B2375)</x:f>
        <x:v>2015</x:v>
      </x:c>
      <x:c r="F2375" s="29" t="n">
        <x:f>MONTH(B2375)</x:f>
        <x:v>9</x:v>
      </x:c>
      <x:c r="G2375" s="30" t="n">
        <x:v>-31.11</x:v>
      </x:c>
      <x:c r="H2375" s="30" t="n">
        <x:v>-71.65</x:v>
      </x:c>
      <x:c r="I2375" s="29" t="n">
        <x:v>50</x:v>
      </x:c>
      <x:c r="J2375" s="31" t="n">
        <x:v>6.5</x:v>
      </x:c>
      <x:c r="K2375" s="25" t="str">
        <x:f>IF(J2375&gt;=7,"Muy fuerte (&gt;=7)",IF(J2375&gt;=6,"Fuerte (6-6.9)",IF(J2375&gt;=5,"Moderado alto (5-5.9)",IF(J2375&gt;=4,"Moderado (4-4.9)","Menor a 4"))))</x:f>
        <x:v>Fuerte (6-6.9)</x:v>
      </x:c>
      <x:c r="L2375" s="25" t="str">
        <x:f>IF(I2375&lt;70,"Superficial (&lt;70 km)",IF(I2375&lt;=300,"Intermedio (70-300 km)","Profundo (&gt;300 km)"))</x:f>
        <x:v>Superficial (&lt;70 km)</x:v>
      </x:c>
      <x:c r="M2375" s="25" t="str">
        <x:f>IF(J2375&gt;=5,"Sí","No")</x:f>
        <x:v>Sí</x:v>
      </x:c>
      <x:c r="N2375" s="25" t="str">
        <x:f>IF(J2375&gt;=6,"Sí","No")</x:f>
        <x:v>Sí</x:v>
      </x:c>
      <x:c r="O2375" s="25" t="str">
        <x:v>Pendiente: asignar con R/sf</x:v>
      </x:c>
    </x:row>
    <x:row r="2376">
      <x:c r="A2376" s="25" t="n">
        <x:v>2375</x:v>
      </x:c>
      <x:c r="B2376" s="26" t="n">
        <x:v>42264.119942129626</x:v>
      </x:c>
      <x:c r="C2376" s="27" t="n">
        <x:f>INT(B2376)</x:f>
        <x:v>42264</x:v>
      </x:c>
      <x:c r="D2376" s="28" t="n">
        <x:f>MOD(B2376,1)</x:f>
        <x:v>0.11994212962599704</x:v>
      </x:c>
      <x:c r="E2376" s="29" t="n">
        <x:f>YEAR(B2376)</x:f>
        <x:v>2015</x:v>
      </x:c>
      <x:c r="F2376" s="29" t="n">
        <x:f>MONTH(B2376)</x:f>
        <x:v>9</x:v>
      </x:c>
      <x:c r="G2376" s="30" t="n">
        <x:v>-30.92</x:v>
      </x:c>
      <x:c r="H2376" s="30" t="n">
        <x:v>-71.35</x:v>
      </x:c>
      <x:c r="I2376" s="29" t="n">
        <x:v>45</x:v>
      </x:c>
      <x:c r="J2376" s="31" t="n">
        <x:v>4.8</x:v>
      </x:c>
      <x:c r="K2376" s="25" t="str">
        <x:f>IF(J2376&gt;=7,"Muy fuerte (&gt;=7)",IF(J2376&gt;=6,"Fuerte (6-6.9)",IF(J2376&gt;=5,"Moderado alto (5-5.9)",IF(J2376&gt;=4,"Moderado (4-4.9)","Menor a 4"))))</x:f>
        <x:v>Moderado (4-4.9)</x:v>
      </x:c>
      <x:c r="L2376" s="25" t="str">
        <x:f>IF(I2376&lt;70,"Superficial (&lt;70 km)",IF(I2376&lt;=300,"Intermedio (70-300 km)","Profundo (&gt;300 km)"))</x:f>
        <x:v>Superficial (&lt;70 km)</x:v>
      </x:c>
      <x:c r="M2376" s="25" t="str">
        <x:f>IF(J2376&gt;=5,"Sí","No")</x:f>
        <x:v>No</x:v>
      </x:c>
      <x:c r="N2376" s="25" t="str">
        <x:f>IF(J2376&gt;=6,"Sí","No")</x:f>
        <x:v>No</x:v>
      </x:c>
      <x:c r="O2376" s="25" t="str">
        <x:v>Pendiente: asignar con R/sf</x:v>
      </x:c>
    </x:row>
    <x:row r="2377">
      <x:c r="A2377" s="25" t="n">
        <x:v>2376</x:v>
      </x:c>
      <x:c r="B2377" s="26" t="n">
        <x:v>42264.12462962963</x:v>
      </x:c>
      <x:c r="C2377" s="27" t="n">
        <x:f>INT(B2377)</x:f>
        <x:v>42264</x:v>
      </x:c>
      <x:c r="D2377" s="28" t="n">
        <x:f>MOD(B2377,1)</x:f>
        <x:v>0.12462962963036261</x:v>
      </x:c>
      <x:c r="E2377" s="29" t="n">
        <x:f>YEAR(B2377)</x:f>
        <x:v>2015</x:v>
      </x:c>
      <x:c r="F2377" s="29" t="n">
        <x:f>MONTH(B2377)</x:f>
        <x:v>9</x:v>
      </x:c>
      <x:c r="G2377" s="30" t="n">
        <x:v>-30.98</x:v>
      </x:c>
      <x:c r="H2377" s="30" t="n">
        <x:v>-71.36</x:v>
      </x:c>
      <x:c r="I2377" s="29" t="n">
        <x:v>54</x:v>
      </x:c>
      <x:c r="J2377" s="31" t="n">
        <x:v>5.5</x:v>
      </x:c>
      <x:c r="K2377" s="25" t="str">
        <x:f>IF(J2377&gt;=7,"Muy fuerte (&gt;=7)",IF(J2377&gt;=6,"Fuerte (6-6.9)",IF(J2377&gt;=5,"Moderado alto (5-5.9)",IF(J2377&gt;=4,"Moderado (4-4.9)","Menor a 4"))))</x:f>
        <x:v>Moderado alto (5-5.9)</x:v>
      </x:c>
      <x:c r="L2377" s="25" t="str">
        <x:f>IF(I2377&lt;70,"Superficial (&lt;70 km)",IF(I2377&lt;=300,"Intermedio (70-300 km)","Profundo (&gt;300 km)"))</x:f>
        <x:v>Superficial (&lt;70 km)</x:v>
      </x:c>
      <x:c r="M2377" s="25" t="str">
        <x:f>IF(J2377&gt;=5,"Sí","No")</x:f>
        <x:v>Sí</x:v>
      </x:c>
      <x:c r="N2377" s="25" t="str">
        <x:f>IF(J2377&gt;=6,"Sí","No")</x:f>
        <x:v>No</x:v>
      </x:c>
      <x:c r="O2377" s="25" t="str">
        <x:v>Pendiente: asignar con R/sf</x:v>
      </x:c>
    </x:row>
    <x:row r="2378">
      <x:c r="A2378" s="25" t="n">
        <x:v>2377</x:v>
      </x:c>
      <x:c r="B2378" s="26" t="n">
        <x:v>42264.13381944445</x:v>
      </x:c>
      <x:c r="C2378" s="27" t="n">
        <x:f>INT(B2378)</x:f>
        <x:v>42264</x:v>
      </x:c>
      <x:c r="D2378" s="28" t="n">
        <x:f>MOD(B2378,1)</x:f>
        <x:v>0.13381944444699911</x:v>
      </x:c>
      <x:c r="E2378" s="29" t="n">
        <x:f>YEAR(B2378)</x:f>
        <x:v>2015</x:v>
      </x:c>
      <x:c r="F2378" s="29" t="n">
        <x:f>MONTH(B2378)</x:f>
        <x:v>9</x:v>
      </x:c>
      <x:c r="G2378" s="30" t="n">
        <x:v>-30.92</x:v>
      </x:c>
      <x:c r="H2378" s="30" t="n">
        <x:v>-71.26</x:v>
      </x:c>
      <x:c r="I2378" s="29" t="n">
        <x:v>47</x:v>
      </x:c>
      <x:c r="J2378" s="31" t="n">
        <x:v>5.4</x:v>
      </x:c>
      <x:c r="K2378" s="25" t="str">
        <x:f>IF(J2378&gt;=7,"Muy fuerte (&gt;=7)",IF(J2378&gt;=6,"Fuerte (6-6.9)",IF(J2378&gt;=5,"Moderado alto (5-5.9)",IF(J2378&gt;=4,"Moderado (4-4.9)","Menor a 4"))))</x:f>
        <x:v>Moderado alto (5-5.9)</x:v>
      </x:c>
      <x:c r="L2378" s="25" t="str">
        <x:f>IF(I2378&lt;70,"Superficial (&lt;70 km)",IF(I2378&lt;=300,"Intermedio (70-300 km)","Profundo (&gt;300 km)"))</x:f>
        <x:v>Superficial (&lt;70 km)</x:v>
      </x:c>
      <x:c r="M2378" s="25" t="str">
        <x:f>IF(J2378&gt;=5,"Sí","No")</x:f>
        <x:v>Sí</x:v>
      </x:c>
      <x:c r="N2378" s="25" t="str">
        <x:f>IF(J2378&gt;=6,"Sí","No")</x:f>
        <x:v>No</x:v>
      </x:c>
      <x:c r="O2378" s="25" t="str">
        <x:v>Pendiente: asignar con R/sf</x:v>
      </x:c>
    </x:row>
    <x:row r="2379">
      <x:c r="A2379" s="25" t="n">
        <x:v>2378</x:v>
      </x:c>
      <x:c r="B2379" s="26" t="n">
        <x:v>42264.16336805555</x:v>
      </x:c>
      <x:c r="C2379" s="27" t="n">
        <x:f>INT(B2379)</x:f>
        <x:v>42264</x:v>
      </x:c>
      <x:c r="D2379" s="28" t="n">
        <x:f>MOD(B2379,1)</x:f>
        <x:v>0.16336805555329192</x:v>
      </x:c>
      <x:c r="E2379" s="29" t="n">
        <x:f>YEAR(B2379)</x:f>
        <x:v>2015</x:v>
      </x:c>
      <x:c r="F2379" s="29" t="n">
        <x:f>MONTH(B2379)</x:f>
        <x:v>9</x:v>
      </x:c>
      <x:c r="G2379" s="30" t="n">
        <x:v>-31.46</x:v>
      </x:c>
      <x:c r="H2379" s="30" t="n">
        <x:v>-71.7</x:v>
      </x:c>
      <x:c r="I2379" s="29" t="n">
        <x:v>53</x:v>
      </x:c>
      <x:c r="J2379" s="31" t="n">
        <x:v>5.8</x:v>
      </x:c>
      <x:c r="K2379" s="25" t="str">
        <x:f>IF(J2379&gt;=7,"Muy fuerte (&gt;=7)",IF(J2379&gt;=6,"Fuerte (6-6.9)",IF(J2379&gt;=5,"Moderado alto (5-5.9)",IF(J2379&gt;=4,"Moderado (4-4.9)","Menor a 4"))))</x:f>
        <x:v>Moderado alto (5-5.9)</x:v>
      </x:c>
      <x:c r="L2379" s="25" t="str">
        <x:f>IF(I2379&lt;70,"Superficial (&lt;70 km)",IF(I2379&lt;=300,"Intermedio (70-300 km)","Profundo (&gt;300 km)"))</x:f>
        <x:v>Superficial (&lt;70 km)</x:v>
      </x:c>
      <x:c r="M2379" s="25" t="str">
        <x:f>IF(J2379&gt;=5,"Sí","No")</x:f>
        <x:v>Sí</x:v>
      </x:c>
      <x:c r="N2379" s="25" t="str">
        <x:f>IF(J2379&gt;=6,"Sí","No")</x:f>
        <x:v>No</x:v>
      </x:c>
      <x:c r="O2379" s="25" t="str">
        <x:v>Pendiente: asignar con R/sf</x:v>
      </x:c>
    </x:row>
    <x:row r="2380">
      <x:c r="A2380" s="25" t="n">
        <x:v>2379</x:v>
      </x:c>
      <x:c r="B2380" s="26" t="n">
        <x:v>42264.16815972222</x:v>
      </x:c>
      <x:c r="C2380" s="27" t="n">
        <x:f>INT(B2380)</x:f>
        <x:v>42264</x:v>
      </x:c>
      <x:c r="D2380" s="28" t="n">
        <x:f>MOD(B2380,1)</x:f>
        <x:v>0.16815972221957054</x:v>
      </x:c>
      <x:c r="E2380" s="29" t="n">
        <x:f>YEAR(B2380)</x:f>
        <x:v>2015</x:v>
      </x:c>
      <x:c r="F2380" s="29" t="n">
        <x:f>MONTH(B2380)</x:f>
        <x:v>9</x:v>
      </x:c>
      <x:c r="G2380" s="30" t="n">
        <x:v>-31.25</x:v>
      </x:c>
      <x:c r="H2380" s="30" t="n">
        <x:v>-71.89</x:v>
      </x:c>
      <x:c r="I2380" s="29" t="n">
        <x:v>33</x:v>
      </x:c>
      <x:c r="J2380" s="31" t="n">
        <x:v>5.7</x:v>
      </x:c>
      <x:c r="K2380" s="25" t="str">
        <x:f>IF(J2380&gt;=7,"Muy fuerte (&gt;=7)",IF(J2380&gt;=6,"Fuerte (6-6.9)",IF(J2380&gt;=5,"Moderado alto (5-5.9)",IF(J2380&gt;=4,"Moderado (4-4.9)","Menor a 4"))))</x:f>
        <x:v>Moderado alto (5-5.9)</x:v>
      </x:c>
      <x:c r="L2380" s="25" t="str">
        <x:f>IF(I2380&lt;70,"Superficial (&lt;70 km)",IF(I2380&lt;=300,"Intermedio (70-300 km)","Profundo (&gt;300 km)"))</x:f>
        <x:v>Superficial (&lt;70 km)</x:v>
      </x:c>
      <x:c r="M2380" s="25" t="str">
        <x:f>IF(J2380&gt;=5,"Sí","No")</x:f>
        <x:v>Sí</x:v>
      </x:c>
      <x:c r="N2380" s="25" t="str">
        <x:f>IF(J2380&gt;=6,"Sí","No")</x:f>
        <x:v>No</x:v>
      </x:c>
      <x:c r="O2380" s="25" t="str">
        <x:v>Pendiente: asignar con R/sf</x:v>
      </x:c>
    </x:row>
    <x:row r="2381">
      <x:c r="A2381" s="25" t="n">
        <x:v>2380</x:v>
      </x:c>
      <x:c r="B2381" s="26" t="n">
        <x:v>42264.17392361111</x:v>
      </x:c>
      <x:c r="C2381" s="27" t="n">
        <x:f>INT(B2381)</x:f>
        <x:v>42264</x:v>
      </x:c>
      <x:c r="D2381" s="28" t="n">
        <x:f>MOD(B2381,1)</x:f>
        <x:v>0.17392361110978527</x:v>
      </x:c>
      <x:c r="E2381" s="29" t="n">
        <x:f>YEAR(B2381)</x:f>
        <x:v>2015</x:v>
      </x:c>
      <x:c r="F2381" s="29" t="n">
        <x:f>MONTH(B2381)</x:f>
        <x:v>9</x:v>
      </x:c>
      <x:c r="G2381" s="30" t="n">
        <x:v>-31.54</x:v>
      </x:c>
      <x:c r="H2381" s="30" t="n">
        <x:v>-71.75</x:v>
      </x:c>
      <x:c r="I2381" s="29" t="n">
        <x:v>41</x:v>
      </x:c>
      <x:c r="J2381" s="31" t="n">
        <x:v>6.6</x:v>
      </x:c>
      <x:c r="K2381" s="25" t="str">
        <x:f>IF(J2381&gt;=7,"Muy fuerte (&gt;=7)",IF(J2381&gt;=6,"Fuerte (6-6.9)",IF(J2381&gt;=5,"Moderado alto (5-5.9)",IF(J2381&gt;=4,"Moderado (4-4.9)","Menor a 4"))))</x:f>
        <x:v>Fuerte (6-6.9)</x:v>
      </x:c>
      <x:c r="L2381" s="25" t="str">
        <x:f>IF(I2381&lt;70,"Superficial (&lt;70 km)",IF(I2381&lt;=300,"Intermedio (70-300 km)","Profundo (&gt;300 km)"))</x:f>
        <x:v>Superficial (&lt;70 km)</x:v>
      </x:c>
      <x:c r="M2381" s="25" t="str">
        <x:f>IF(J2381&gt;=5,"Sí","No")</x:f>
        <x:v>Sí</x:v>
      </x:c>
      <x:c r="N2381" s="25" t="str">
        <x:f>IF(J2381&gt;=6,"Sí","No")</x:f>
        <x:v>Sí</x:v>
      </x:c>
      <x:c r="O2381" s="25" t="str">
        <x:v>Pendiente: asignar con R/sf</x:v>
      </x:c>
    </x:row>
    <x:row r="2382">
      <x:c r="A2382" s="25" t="n">
        <x:v>2381</x:v>
      </x:c>
      <x:c r="B2382" s="26" t="n">
        <x:v>42264.185162037036</x:v>
      </x:c>
      <x:c r="C2382" s="27" t="n">
        <x:f>INT(B2382)</x:f>
        <x:v>42264</x:v>
      </x:c>
      <x:c r="D2382" s="28" t="n">
        <x:f>MOD(B2382,1)</x:f>
        <x:v>0.18516203703620704</x:v>
      </x:c>
      <x:c r="E2382" s="29" t="n">
        <x:f>YEAR(B2382)</x:f>
        <x:v>2015</x:v>
      </x:c>
      <x:c r="F2382" s="29" t="n">
        <x:f>MONTH(B2382)</x:f>
        <x:v>9</x:v>
      </x:c>
      <x:c r="G2382" s="30" t="n">
        <x:v>-31.46</x:v>
      </x:c>
      <x:c r="H2382" s="30" t="n">
        <x:v>-71.81</x:v>
      </x:c>
      <x:c r="I2382" s="29" t="n">
        <x:v>35</x:v>
      </x:c>
      <x:c r="J2382" s="31" t="n">
        <x:v>5.7</x:v>
      </x:c>
      <x:c r="K2382" s="25" t="str">
        <x:f>IF(J2382&gt;=7,"Muy fuerte (&gt;=7)",IF(J2382&gt;=6,"Fuerte (6-6.9)",IF(J2382&gt;=5,"Moderado alto (5-5.9)",IF(J2382&gt;=4,"Moderado (4-4.9)","Menor a 4"))))</x:f>
        <x:v>Moderado alto (5-5.9)</x:v>
      </x:c>
      <x:c r="L2382" s="25" t="str">
        <x:f>IF(I2382&lt;70,"Superficial (&lt;70 km)",IF(I2382&lt;=300,"Intermedio (70-300 km)","Profundo (&gt;300 km)"))</x:f>
        <x:v>Superficial (&lt;70 km)</x:v>
      </x:c>
      <x:c r="M2382" s="25" t="str">
        <x:f>IF(J2382&gt;=5,"Sí","No")</x:f>
        <x:v>Sí</x:v>
      </x:c>
      <x:c r="N2382" s="25" t="str">
        <x:f>IF(J2382&gt;=6,"Sí","No")</x:f>
        <x:v>No</x:v>
      </x:c>
      <x:c r="O2382" s="25" t="str">
        <x:v>Pendiente: asignar con R/sf</x:v>
      </x:c>
    </x:row>
    <x:row r="2383">
      <x:c r="A2383" s="25" t="n">
        <x:v>2382</x:v>
      </x:c>
      <x:c r="B2383" s="26" t="n">
        <x:v>42264.23936342593</x:v>
      </x:c>
      <x:c r="C2383" s="27" t="n">
        <x:f>INT(B2383)</x:f>
        <x:v>42264</x:v>
      </x:c>
      <x:c r="D2383" s="28" t="n">
        <x:f>MOD(B2383,1)</x:f>
        <x:v>0.23936342592787696</x:v>
      </x:c>
      <x:c r="E2383" s="29" t="n">
        <x:f>YEAR(B2383)</x:f>
        <x:v>2015</x:v>
      </x:c>
      <x:c r="F2383" s="29" t="n">
        <x:f>MONTH(B2383)</x:f>
        <x:v>9</x:v>
      </x:c>
      <x:c r="G2383" s="30" t="n">
        <x:v>-31.82</x:v>
      </x:c>
      <x:c r="H2383" s="30" t="n">
        <x:v>-71.96</x:v>
      </x:c>
      <x:c r="I2383" s="29" t="n">
        <x:v>25</x:v>
      </x:c>
      <x:c r="J2383" s="31" t="n">
        <x:v>5.3</x:v>
      </x:c>
      <x:c r="K2383" s="25" t="str">
        <x:f>IF(J2383&gt;=7,"Muy fuerte (&gt;=7)",IF(J2383&gt;=6,"Fuerte (6-6.9)",IF(J2383&gt;=5,"Moderado alto (5-5.9)",IF(J2383&gt;=4,"Moderado (4-4.9)","Menor a 4"))))</x:f>
        <x:v>Moderado alto (5-5.9)</x:v>
      </x:c>
      <x:c r="L2383" s="25" t="str">
        <x:f>IF(I2383&lt;70,"Superficial (&lt;70 km)",IF(I2383&lt;=300,"Intermedio (70-300 km)","Profundo (&gt;300 km)"))</x:f>
        <x:v>Superficial (&lt;70 km)</x:v>
      </x:c>
      <x:c r="M2383" s="25" t="str">
        <x:f>IF(J2383&gt;=5,"Sí","No")</x:f>
        <x:v>Sí</x:v>
      </x:c>
      <x:c r="N2383" s="25" t="str">
        <x:f>IF(J2383&gt;=6,"Sí","No")</x:f>
        <x:v>No</x:v>
      </x:c>
      <x:c r="O2383" s="25" t="str">
        <x:v>Pendiente: asignar con R/sf</x:v>
      </x:c>
    </x:row>
    <x:row r="2384">
      <x:c r="A2384" s="25" t="n">
        <x:v>2383</x:v>
      </x:c>
      <x:c r="B2384" s="26" t="n">
        <x:v>42264.31115740741</x:v>
      </x:c>
      <x:c r="C2384" s="27" t="n">
        <x:f>INT(B2384)</x:f>
        <x:v>42264</x:v>
      </x:c>
      <x:c r="D2384" s="28" t="n">
        <x:f>MOD(B2384,1)</x:f>
        <x:v>0.3111574074064265</x:v>
      </x:c>
      <x:c r="E2384" s="29" t="n">
        <x:f>YEAR(B2384)</x:f>
        <x:v>2015</x:v>
      </x:c>
      <x:c r="F2384" s="29" t="n">
        <x:f>MONTH(B2384)</x:f>
        <x:v>9</x:v>
      </x:c>
      <x:c r="G2384" s="30" t="n">
        <x:v>-31.51</x:v>
      </x:c>
      <x:c r="H2384" s="30" t="n">
        <x:v>-71.58</x:v>
      </x:c>
      <x:c r="I2384" s="29" t="n">
        <x:v>44</x:v>
      </x:c>
      <x:c r="J2384" s="31" t="n">
        <x:v>4.7</x:v>
      </x:c>
      <x:c r="K2384" s="25" t="str">
        <x:f>IF(J2384&gt;=7,"Muy fuerte (&gt;=7)",IF(J2384&gt;=6,"Fuerte (6-6.9)",IF(J2384&gt;=5,"Moderado alto (5-5.9)",IF(J2384&gt;=4,"Moderado (4-4.9)","Menor a 4"))))</x:f>
        <x:v>Moderado (4-4.9)</x:v>
      </x:c>
      <x:c r="L2384" s="25" t="str">
        <x:f>IF(I2384&lt;70,"Superficial (&lt;70 km)",IF(I2384&lt;=300,"Intermedio (70-300 km)","Profundo (&gt;300 km)"))</x:f>
        <x:v>Superficial (&lt;70 km)</x:v>
      </x:c>
      <x:c r="M2384" s="25" t="str">
        <x:f>IF(J2384&gt;=5,"Sí","No")</x:f>
        <x:v>No</x:v>
      </x:c>
      <x:c r="N2384" s="25" t="str">
        <x:f>IF(J2384&gt;=6,"Sí","No")</x:f>
        <x:v>No</x:v>
      </x:c>
      <x:c r="O2384" s="25" t="str">
        <x:v>Pendiente: asignar con R/sf</x:v>
      </x:c>
    </x:row>
    <x:row r="2385">
      <x:c r="A2385" s="25" t="n">
        <x:v>2384</x:v>
      </x:c>
      <x:c r="B2385" s="26" t="n">
        <x:v>42264.35605324074</x:v>
      </x:c>
      <x:c r="C2385" s="27" t="n">
        <x:f>INT(B2385)</x:f>
        <x:v>42264</x:v>
      </x:c>
      <x:c r="D2385" s="28" t="n">
        <x:f>MOD(B2385,1)</x:f>
        <x:v>0.35605324074276723</x:v>
      </x:c>
      <x:c r="E2385" s="29" t="n">
        <x:f>YEAR(B2385)</x:f>
        <x:v>2015</x:v>
      </x:c>
      <x:c r="F2385" s="29" t="n">
        <x:f>MONTH(B2385)</x:f>
        <x:v>9</x:v>
      </x:c>
      <x:c r="G2385" s="30" t="n">
        <x:v>-31.6</x:v>
      </x:c>
      <x:c r="H2385" s="30" t="n">
        <x:v>-71.41</x:v>
      </x:c>
      <x:c r="I2385" s="29" t="n">
        <x:v>39</x:v>
      </x:c>
      <x:c r="J2385" s="31" t="n">
        <x:v>5</x:v>
      </x:c>
      <x:c r="K2385" s="25" t="str">
        <x:f>IF(J2385&gt;=7,"Muy fuerte (&gt;=7)",IF(J2385&gt;=6,"Fuerte (6-6.9)",IF(J2385&gt;=5,"Moderado alto (5-5.9)",IF(J2385&gt;=4,"Moderado (4-4.9)","Menor a 4"))))</x:f>
        <x:v>Moderado alto (5-5.9)</x:v>
      </x:c>
      <x:c r="L2385" s="25" t="str">
        <x:f>IF(I2385&lt;70,"Superficial (&lt;70 km)",IF(I2385&lt;=300,"Intermedio (70-300 km)","Profundo (&gt;300 km)"))</x:f>
        <x:v>Superficial (&lt;70 km)</x:v>
      </x:c>
      <x:c r="M2385" s="25" t="str">
        <x:f>IF(J2385&gt;=5,"Sí","No")</x:f>
        <x:v>Sí</x:v>
      </x:c>
      <x:c r="N2385" s="25" t="str">
        <x:f>IF(J2385&gt;=6,"Sí","No")</x:f>
        <x:v>No</x:v>
      </x:c>
      <x:c r="O2385" s="25" t="str">
        <x:v>Pendiente: asignar con R/sf</x:v>
      </x:c>
    </x:row>
    <x:row r="2386">
      <x:c r="A2386" s="25" t="n">
        <x:v>2385</x:v>
      </x:c>
      <x:c r="B2386" s="26" t="n">
        <x:v>42264.43848379629</x:v>
      </x:c>
      <x:c r="C2386" s="27" t="n">
        <x:f>INT(B2386)</x:f>
        <x:v>42264</x:v>
      </x:c>
      <x:c r="D2386" s="28" t="n">
        <x:f>MOD(B2386,1)</x:f>
        <x:v>0.4384837962934398</x:v>
      </x:c>
      <x:c r="E2386" s="29" t="n">
        <x:f>YEAR(B2386)</x:f>
        <x:v>2015</x:v>
      </x:c>
      <x:c r="F2386" s="29" t="n">
        <x:f>MONTH(B2386)</x:f>
        <x:v>9</x:v>
      </x:c>
      <x:c r="G2386" s="30" t="n">
        <x:v>-30.93</x:v>
      </x:c>
      <x:c r="H2386" s="30" t="n">
        <x:v>-71.46</x:v>
      </x:c>
      <x:c r="I2386" s="29" t="n">
        <x:v>51</x:v>
      </x:c>
      <x:c r="J2386" s="31" t="n">
        <x:v>5</x:v>
      </x:c>
      <x:c r="K2386" s="25" t="str">
        <x:f>IF(J2386&gt;=7,"Muy fuerte (&gt;=7)",IF(J2386&gt;=6,"Fuerte (6-6.9)",IF(J2386&gt;=5,"Moderado alto (5-5.9)",IF(J2386&gt;=4,"Moderado (4-4.9)","Menor a 4"))))</x:f>
        <x:v>Moderado alto (5-5.9)</x:v>
      </x:c>
      <x:c r="L2386" s="25" t="str">
        <x:f>IF(I2386&lt;70,"Superficial (&lt;70 km)",IF(I2386&lt;=300,"Intermedio (70-300 km)","Profundo (&gt;300 km)"))</x:f>
        <x:v>Superficial (&lt;70 km)</x:v>
      </x:c>
      <x:c r="M2386" s="25" t="str">
        <x:f>IF(J2386&gt;=5,"Sí","No")</x:f>
        <x:v>Sí</x:v>
      </x:c>
      <x:c r="N2386" s="25" t="str">
        <x:f>IF(J2386&gt;=6,"Sí","No")</x:f>
        <x:v>No</x:v>
      </x:c>
      <x:c r="O2386" s="25" t="str">
        <x:v>Pendiente: asignar con R/sf</x:v>
      </x:c>
    </x:row>
    <x:row r="2387">
      <x:c r="A2387" s="25" t="n">
        <x:v>2386</x:v>
      </x:c>
      <x:c r="B2387" s="26" t="n">
        <x:v>42264.56418981482</x:v>
      </x:c>
      <x:c r="C2387" s="27" t="n">
        <x:f>INT(B2387)</x:f>
        <x:v>42264</x:v>
      </x:c>
      <x:c r="D2387" s="28" t="n">
        <x:f>MOD(B2387,1)</x:f>
        <x:v>0.5641898148169275</x:v>
      </x:c>
      <x:c r="E2387" s="29" t="n">
        <x:f>YEAR(B2387)</x:f>
        <x:v>2015</x:v>
      </x:c>
      <x:c r="F2387" s="29" t="n">
        <x:f>MONTH(B2387)</x:f>
        <x:v>9</x:v>
      </x:c>
      <x:c r="G2387" s="30" t="n">
        <x:v>-32.14</x:v>
      </x:c>
      <x:c r="H2387" s="30" t="n">
        <x:v>-72.17</x:v>
      </x:c>
      <x:c r="I2387" s="29" t="n">
        <x:v>34</x:v>
      </x:c>
      <x:c r="J2387" s="31" t="n">
        <x:v>6</x:v>
      </x:c>
      <x:c r="K2387" s="25" t="str">
        <x:f>IF(J2387&gt;=7,"Muy fuerte (&gt;=7)",IF(J2387&gt;=6,"Fuerte (6-6.9)",IF(J2387&gt;=5,"Moderado alto (5-5.9)",IF(J2387&gt;=4,"Moderado (4-4.9)","Menor a 4"))))</x:f>
        <x:v>Fuerte (6-6.9)</x:v>
      </x:c>
      <x:c r="L2387" s="25" t="str">
        <x:f>IF(I2387&lt;70,"Superficial (&lt;70 km)",IF(I2387&lt;=300,"Intermedio (70-300 km)","Profundo (&gt;300 km)"))</x:f>
        <x:v>Superficial (&lt;70 km)</x:v>
      </x:c>
      <x:c r="M2387" s="25" t="str">
        <x:f>IF(J2387&gt;=5,"Sí","No")</x:f>
        <x:v>Sí</x:v>
      </x:c>
      <x:c r="N2387" s="25" t="str">
        <x:f>IF(J2387&gt;=6,"Sí","No")</x:f>
        <x:v>Sí</x:v>
      </x:c>
      <x:c r="O2387" s="25" t="str">
        <x:v>Pendiente: asignar con R/sf</x:v>
      </x:c>
    </x:row>
    <x:row r="2388">
      <x:c r="A2388" s="25" t="n">
        <x:v>2387</x:v>
      </x:c>
      <x:c r="B2388" s="26" t="n">
        <x:v>42264.59670138889</x:v>
      </x:c>
      <x:c r="C2388" s="27" t="n">
        <x:f>INT(B2388)</x:f>
        <x:v>42264</x:v>
      </x:c>
      <x:c r="D2388" s="28" t="n">
        <x:f>MOD(B2388,1)</x:f>
        <x:v>0.5967013888875954</x:v>
      </x:c>
      <x:c r="E2388" s="29" t="n">
        <x:f>YEAR(B2388)</x:f>
        <x:v>2015</x:v>
      </x:c>
      <x:c r="F2388" s="29" t="n">
        <x:f>MONTH(B2388)</x:f>
        <x:v>9</x:v>
      </x:c>
      <x:c r="G2388" s="30" t="n">
        <x:v>-30.94</x:v>
      </x:c>
      <x:c r="H2388" s="30" t="n">
        <x:v>-72</x:v>
      </x:c>
      <x:c r="I2388" s="29" t="n">
        <x:v>32</x:v>
      </x:c>
      <x:c r="J2388" s="31" t="n">
        <x:v>5.7</x:v>
      </x:c>
      <x:c r="K2388" s="25" t="str">
        <x:f>IF(J2388&gt;=7,"Muy fuerte (&gt;=7)",IF(J2388&gt;=6,"Fuerte (6-6.9)",IF(J2388&gt;=5,"Moderado alto (5-5.9)",IF(J2388&gt;=4,"Moderado (4-4.9)","Menor a 4"))))</x:f>
        <x:v>Moderado alto (5-5.9)</x:v>
      </x:c>
      <x:c r="L2388" s="25" t="str">
        <x:f>IF(I2388&lt;70,"Superficial (&lt;70 km)",IF(I2388&lt;=300,"Intermedio (70-300 km)","Profundo (&gt;300 km)"))</x:f>
        <x:v>Superficial (&lt;70 km)</x:v>
      </x:c>
      <x:c r="M2388" s="25" t="str">
        <x:f>IF(J2388&gt;=5,"Sí","No")</x:f>
        <x:v>Sí</x:v>
      </x:c>
      <x:c r="N2388" s="25" t="str">
        <x:f>IF(J2388&gt;=6,"Sí","No")</x:f>
        <x:v>No</x:v>
      </x:c>
      <x:c r="O2388" s="25" t="str">
        <x:v>Pendiente: asignar con R/sf</x:v>
      </x:c>
    </x:row>
    <x:row r="2389">
      <x:c r="A2389" s="25" t="n">
        <x:v>2388</x:v>
      </x:c>
      <x:c r="B2389" s="26" t="n">
        <x:v>42264.672326388885</x:v>
      </x:c>
      <x:c r="C2389" s="27" t="n">
        <x:f>INT(B2389)</x:f>
        <x:v>42264</x:v>
      </x:c>
      <x:c r="D2389" s="28" t="n">
        <x:f>MOD(B2389,1)</x:f>
        <x:v>0.6723263888852671</x:v>
      </x:c>
      <x:c r="E2389" s="29" t="n">
        <x:f>YEAR(B2389)</x:f>
        <x:v>2015</x:v>
      </x:c>
      <x:c r="F2389" s="29" t="n">
        <x:f>MONTH(B2389)</x:f>
        <x:v>9</x:v>
      </x:c>
      <x:c r="G2389" s="30" t="n">
        <x:v>-29.85</x:v>
      </x:c>
      <x:c r="H2389" s="30" t="n">
        <x:v>-70.48</x:v>
      </x:c>
      <x:c r="I2389" s="29" t="n">
        <x:v>39</x:v>
      </x:c>
      <x:c r="J2389" s="31" t="n">
        <x:v>5.3</x:v>
      </x:c>
      <x:c r="K2389" s="25" t="str">
        <x:f>IF(J2389&gt;=7,"Muy fuerte (&gt;=7)",IF(J2389&gt;=6,"Fuerte (6-6.9)",IF(J2389&gt;=5,"Moderado alto (5-5.9)",IF(J2389&gt;=4,"Moderado (4-4.9)","Menor a 4"))))</x:f>
        <x:v>Moderado alto (5-5.9)</x:v>
      </x:c>
      <x:c r="L2389" s="25" t="str">
        <x:f>IF(I2389&lt;70,"Superficial (&lt;70 km)",IF(I2389&lt;=300,"Intermedio (70-300 km)","Profundo (&gt;300 km)"))</x:f>
        <x:v>Superficial (&lt;70 km)</x:v>
      </x:c>
      <x:c r="M2389" s="25" t="str">
        <x:f>IF(J2389&gt;=5,"Sí","No")</x:f>
        <x:v>Sí</x:v>
      </x:c>
      <x:c r="N2389" s="25" t="str">
        <x:f>IF(J2389&gt;=6,"Sí","No")</x:f>
        <x:v>No</x:v>
      </x:c>
      <x:c r="O2389" s="25" t="str">
        <x:v>Pendiente: asignar con R/sf</x:v>
      </x:c>
    </x:row>
    <x:row r="2390">
      <x:c r="A2390" s="25" t="n">
        <x:v>2389</x:v>
      </x:c>
      <x:c r="B2390" s="26" t="n">
        <x:v>42264.69887731481</x:v>
      </x:c>
      <x:c r="C2390" s="27" t="n">
        <x:f>INT(B2390)</x:f>
        <x:v>42264</x:v>
      </x:c>
      <x:c r="D2390" s="28" t="n">
        <x:f>MOD(B2390,1)</x:f>
        <x:v>0.6988773148113978</x:v>
      </x:c>
      <x:c r="E2390" s="29" t="n">
        <x:f>YEAR(B2390)</x:f>
        <x:v>2015</x:v>
      </x:c>
      <x:c r="F2390" s="29" t="n">
        <x:f>MONTH(B2390)</x:f>
        <x:v>9</x:v>
      </x:c>
      <x:c r="G2390" s="30" t="n">
        <x:v>-31.5</x:v>
      </x:c>
      <x:c r="H2390" s="30" t="n">
        <x:v>-71.74</x:v>
      </x:c>
      <x:c r="I2390" s="29" t="n">
        <x:v>42</x:v>
      </x:c>
      <x:c r="J2390" s="31" t="n">
        <x:v>5</x:v>
      </x:c>
      <x:c r="K2390" s="25" t="str">
        <x:f>IF(J2390&gt;=7,"Muy fuerte (&gt;=7)",IF(J2390&gt;=6,"Fuerte (6-6.9)",IF(J2390&gt;=5,"Moderado alto (5-5.9)",IF(J2390&gt;=4,"Moderado (4-4.9)","Menor a 4"))))</x:f>
        <x:v>Moderado alto (5-5.9)</x:v>
      </x:c>
      <x:c r="L2390" s="25" t="str">
        <x:f>IF(I2390&lt;70,"Superficial (&lt;70 km)",IF(I2390&lt;=300,"Intermedio (70-300 km)","Profundo (&gt;300 km)"))</x:f>
        <x:v>Superficial (&lt;70 km)</x:v>
      </x:c>
      <x:c r="M2390" s="25" t="str">
        <x:f>IF(J2390&gt;=5,"Sí","No")</x:f>
        <x:v>Sí</x:v>
      </x:c>
      <x:c r="N2390" s="25" t="str">
        <x:f>IF(J2390&gt;=6,"Sí","No")</x:f>
        <x:v>No</x:v>
      </x:c>
      <x:c r="O2390" s="25" t="str">
        <x:v>Pendiente: asignar con R/sf</x:v>
      </x:c>
    </x:row>
    <x:row r="2391">
      <x:c r="A2391" s="25" t="n">
        <x:v>2390</x:v>
      </x:c>
      <x:c r="B2391" s="26" t="n">
        <x:v>42264.94399305555</x:v>
      </x:c>
      <x:c r="C2391" s="27" t="n">
        <x:f>INT(B2391)</x:f>
        <x:v>42264</x:v>
      </x:c>
      <x:c r="D2391" s="28" t="n">
        <x:f>MOD(B2391,1)</x:f>
        <x:v>0.9439930555527098</x:v>
      </x:c>
      <x:c r="E2391" s="29" t="n">
        <x:f>YEAR(B2391)</x:f>
        <x:v>2015</x:v>
      </x:c>
      <x:c r="F2391" s="29" t="n">
        <x:f>MONTH(B2391)</x:f>
        <x:v>9</x:v>
      </x:c>
      <x:c r="G2391" s="30" t="n">
        <x:v>-30.94</x:v>
      </x:c>
      <x:c r="H2391" s="30" t="n">
        <x:v>-71.64</x:v>
      </x:c>
      <x:c r="I2391" s="29" t="n">
        <x:v>29</x:v>
      </x:c>
      <x:c r="J2391" s="31" t="n">
        <x:v>5.2</x:v>
      </x:c>
      <x:c r="K2391" s="25" t="str">
        <x:f>IF(J2391&gt;=7,"Muy fuerte (&gt;=7)",IF(J2391&gt;=6,"Fuerte (6-6.9)",IF(J2391&gt;=5,"Moderado alto (5-5.9)",IF(J2391&gt;=4,"Moderado (4-4.9)","Menor a 4"))))</x:f>
        <x:v>Moderado alto (5-5.9)</x:v>
      </x:c>
      <x:c r="L2391" s="25" t="str">
        <x:f>IF(I2391&lt;70,"Superficial (&lt;70 km)",IF(I2391&lt;=300,"Intermedio (70-300 km)","Profundo (&gt;300 km)"))</x:f>
        <x:v>Superficial (&lt;70 km)</x:v>
      </x:c>
      <x:c r="M2391" s="25" t="str">
        <x:f>IF(J2391&gt;=5,"Sí","No")</x:f>
        <x:v>Sí</x:v>
      </x:c>
      <x:c r="N2391" s="25" t="str">
        <x:f>IF(J2391&gt;=6,"Sí","No")</x:f>
        <x:v>No</x:v>
      </x:c>
      <x:c r="O2391" s="25" t="str">
        <x:v>Pendiente: asignar con R/sf</x:v>
      </x:c>
    </x:row>
    <x:row r="2392">
      <x:c r="A2392" s="25" t="n">
        <x:v>2391</x:v>
      </x:c>
      <x:c r="B2392" s="26" t="n">
        <x:v>42265.13586805556</x:v>
      </x:c>
      <x:c r="C2392" s="27" t="n">
        <x:f>INT(B2392)</x:f>
        <x:v>42265</x:v>
      </x:c>
      <x:c r="D2392" s="28" t="n">
        <x:f>MOD(B2392,1)</x:f>
        <x:v>0.13586805555678438</x:v>
      </x:c>
      <x:c r="E2392" s="29" t="n">
        <x:f>YEAR(B2392)</x:f>
        <x:v>2015</x:v>
      </x:c>
      <x:c r="F2392" s="29" t="n">
        <x:f>MONTH(B2392)</x:f>
        <x:v>9</x:v>
      </x:c>
      <x:c r="G2392" s="30" t="n">
        <x:v>-31.45</x:v>
      </x:c>
      <x:c r="H2392" s="30" t="n">
        <x:v>-71.53</x:v>
      </x:c>
      <x:c r="I2392" s="29" t="n">
        <x:v>45</x:v>
      </x:c>
      <x:c r="J2392" s="31" t="n">
        <x:v>5.2</x:v>
      </x:c>
      <x:c r="K2392" s="25" t="str">
        <x:f>IF(J2392&gt;=7,"Muy fuerte (&gt;=7)",IF(J2392&gt;=6,"Fuerte (6-6.9)",IF(J2392&gt;=5,"Moderado alto (5-5.9)",IF(J2392&gt;=4,"Moderado (4-4.9)","Menor a 4"))))</x:f>
        <x:v>Moderado alto (5-5.9)</x:v>
      </x:c>
      <x:c r="L2392" s="25" t="str">
        <x:f>IF(I2392&lt;70,"Superficial (&lt;70 km)",IF(I2392&lt;=300,"Intermedio (70-300 km)","Profundo (&gt;300 km)"))</x:f>
        <x:v>Superficial (&lt;70 km)</x:v>
      </x:c>
      <x:c r="M2392" s="25" t="str">
        <x:f>IF(J2392&gt;=5,"Sí","No")</x:f>
        <x:v>Sí</x:v>
      </x:c>
      <x:c r="N2392" s="25" t="str">
        <x:f>IF(J2392&gt;=6,"Sí","No")</x:f>
        <x:v>No</x:v>
      </x:c>
      <x:c r="O2392" s="25" t="str">
        <x:v>Pendiente: asignar con R/sf</x:v>
      </x:c>
    </x:row>
    <x:row r="2393">
      <x:c r="A2393" s="25" t="n">
        <x:v>2392</x:v>
      </x:c>
      <x:c r="B2393" s="26" t="n">
        <x:v>42265.32232638889</x:v>
      </x:c>
      <x:c r="C2393" s="27" t="n">
        <x:f>INT(B2393)</x:f>
        <x:v>42265</x:v>
      </x:c>
      <x:c r="D2393" s="28" t="n">
        <x:f>MOD(B2393,1)</x:f>
        <x:v>0.32232638888672227</x:v>
      </x:c>
      <x:c r="E2393" s="29" t="n">
        <x:f>YEAR(B2393)</x:f>
        <x:v>2015</x:v>
      </x:c>
      <x:c r="F2393" s="29" t="n">
        <x:f>MONTH(B2393)</x:f>
        <x:v>9</x:v>
      </x:c>
      <x:c r="G2393" s="30" t="n">
        <x:v>-31.38</x:v>
      </x:c>
      <x:c r="H2393" s="30" t="n">
        <x:v>-71.56</x:v>
      </x:c>
      <x:c r="I2393" s="29" t="n">
        <x:v>41</x:v>
      </x:c>
      <x:c r="J2393" s="31" t="n">
        <x:v>4.5</x:v>
      </x:c>
      <x:c r="K2393" s="25" t="str">
        <x:f>IF(J2393&gt;=7,"Muy fuerte (&gt;=7)",IF(J2393&gt;=6,"Fuerte (6-6.9)",IF(J2393&gt;=5,"Moderado alto (5-5.9)",IF(J2393&gt;=4,"Moderado (4-4.9)","Menor a 4"))))</x:f>
        <x:v>Moderado (4-4.9)</x:v>
      </x:c>
      <x:c r="L2393" s="25" t="str">
        <x:f>IF(I2393&lt;70,"Superficial (&lt;70 km)",IF(I2393&lt;=300,"Intermedio (70-300 km)","Profundo (&gt;300 km)"))</x:f>
        <x:v>Superficial (&lt;70 km)</x:v>
      </x:c>
      <x:c r="M2393" s="25" t="str">
        <x:f>IF(J2393&gt;=5,"Sí","No")</x:f>
        <x:v>No</x:v>
      </x:c>
      <x:c r="N2393" s="25" t="str">
        <x:f>IF(J2393&gt;=6,"Sí","No")</x:f>
        <x:v>No</x:v>
      </x:c>
      <x:c r="O2393" s="25" t="str">
        <x:v>Pendiente: asignar con R/sf</x:v>
      </x:c>
    </x:row>
    <x:row r="2394">
      <x:c r="A2394" s="25" t="n">
        <x:v>2393</x:v>
      </x:c>
      <x:c r="B2394" s="26" t="n">
        <x:v>42265.38240740741</x:v>
      </x:c>
      <x:c r="C2394" s="27" t="n">
        <x:f>INT(B2394)</x:f>
        <x:v>42265</x:v>
      </x:c>
      <x:c r="D2394" s="28" t="n">
        <x:f>MOD(B2394,1)</x:f>
        <x:v>0.3824074074072996</x:v>
      </x:c>
      <x:c r="E2394" s="29" t="n">
        <x:f>YEAR(B2394)</x:f>
        <x:v>2015</x:v>
      </x:c>
      <x:c r="F2394" s="29" t="n">
        <x:f>MONTH(B2394)</x:f>
        <x:v>9</x:v>
      </x:c>
      <x:c r="G2394" s="30" t="n">
        <x:v>-32.06</x:v>
      </x:c>
      <x:c r="H2394" s="30" t="n">
        <x:v>-72.1</x:v>
      </x:c>
      <x:c r="I2394" s="29" t="n">
        <x:v>33</x:v>
      </x:c>
      <x:c r="J2394" s="31" t="n">
        <x:v>6</x:v>
      </x:c>
      <x:c r="K2394" s="25" t="str">
        <x:f>IF(J2394&gt;=7,"Muy fuerte (&gt;=7)",IF(J2394&gt;=6,"Fuerte (6-6.9)",IF(J2394&gt;=5,"Moderado alto (5-5.9)",IF(J2394&gt;=4,"Moderado (4-4.9)","Menor a 4"))))</x:f>
        <x:v>Fuerte (6-6.9)</x:v>
      </x:c>
      <x:c r="L2394" s="25" t="str">
        <x:f>IF(I2394&lt;70,"Superficial (&lt;70 km)",IF(I2394&lt;=300,"Intermedio (70-300 km)","Profundo (&gt;300 km)"))</x:f>
        <x:v>Superficial (&lt;70 km)</x:v>
      </x:c>
      <x:c r="M2394" s="25" t="str">
        <x:f>IF(J2394&gt;=5,"Sí","No")</x:f>
        <x:v>Sí</x:v>
      </x:c>
      <x:c r="N2394" s="25" t="str">
        <x:f>IF(J2394&gt;=6,"Sí","No")</x:f>
        <x:v>Sí</x:v>
      </x:c>
      <x:c r="O2394" s="25" t="str">
        <x:v>Pendiente: asignar con R/sf</x:v>
      </x:c>
    </x:row>
    <x:row r="2395">
      <x:c r="A2395" s="25" t="n">
        <x:v>2394</x:v>
      </x:c>
      <x:c r="B2395" s="26" t="n">
        <x:v>42265.58898148148</x:v>
      </x:c>
      <x:c r="C2395" s="27" t="n">
        <x:f>INT(B2395)</x:f>
        <x:v>42265</x:v>
      </x:c>
      <x:c r="D2395" s="28" t="n">
        <x:f>MOD(B2395,1)</x:f>
        <x:v>0.5889814814800047</x:v>
      </x:c>
      <x:c r="E2395" s="29" t="n">
        <x:f>YEAR(B2395)</x:f>
        <x:v>2015</x:v>
      </x:c>
      <x:c r="F2395" s="29" t="n">
        <x:f>MONTH(B2395)</x:f>
        <x:v>9</x:v>
      </x:c>
      <x:c r="G2395" s="30" t="n">
        <x:v>-30.87</x:v>
      </x:c>
      <x:c r="H2395" s="30" t="n">
        <x:v>-71.27</x:v>
      </x:c>
      <x:c r="I2395" s="29" t="n">
        <x:v>45</x:v>
      </x:c>
      <x:c r="J2395" s="31" t="n">
        <x:v>4.5</x:v>
      </x:c>
      <x:c r="K2395" s="25" t="str">
        <x:f>IF(J2395&gt;=7,"Muy fuerte (&gt;=7)",IF(J2395&gt;=6,"Fuerte (6-6.9)",IF(J2395&gt;=5,"Moderado alto (5-5.9)",IF(J2395&gt;=4,"Moderado (4-4.9)","Menor a 4"))))</x:f>
        <x:v>Moderado (4-4.9)</x:v>
      </x:c>
      <x:c r="L2395" s="25" t="str">
        <x:f>IF(I2395&lt;70,"Superficial (&lt;70 km)",IF(I2395&lt;=300,"Intermedio (70-300 km)","Profundo (&gt;300 km)"))</x:f>
        <x:v>Superficial (&lt;70 km)</x:v>
      </x:c>
      <x:c r="M2395" s="25" t="str">
        <x:f>IF(J2395&gt;=5,"Sí","No")</x:f>
        <x:v>No</x:v>
      </x:c>
      <x:c r="N2395" s="25" t="str">
        <x:f>IF(J2395&gt;=6,"Sí","No")</x:f>
        <x:v>No</x:v>
      </x:c>
      <x:c r="O2395" s="25" t="str">
        <x:v>Pendiente: asignar con R/sf</x:v>
      </x:c>
    </x:row>
    <x:row r="2396">
      <x:c r="A2396" s="25" t="n">
        <x:v>2395</x:v>
      </x:c>
      <x:c r="B2396" s="26" t="n">
        <x:v>42266.11782407408</x:v>
      </x:c>
      <x:c r="C2396" s="27" t="n">
        <x:f>INT(B2396)</x:f>
        <x:v>42266</x:v>
      </x:c>
      <x:c r="D2396" s="28" t="n">
        <x:f>MOD(B2396,1)</x:f>
        <x:v>0.11782407407736173</x:v>
      </x:c>
      <x:c r="E2396" s="29" t="n">
        <x:f>YEAR(B2396)</x:f>
        <x:v>2015</x:v>
      </x:c>
      <x:c r="F2396" s="29" t="n">
        <x:f>MONTH(B2396)</x:f>
        <x:v>9</x:v>
      </x:c>
      <x:c r="G2396" s="30" t="n">
        <x:v>-31.54</x:v>
      </x:c>
      <x:c r="H2396" s="30" t="n">
        <x:v>-71.77</x:v>
      </x:c>
      <x:c r="I2396" s="29" t="n">
        <x:v>32</x:v>
      </x:c>
      <x:c r="J2396" s="31" t="n">
        <x:v>5.4</x:v>
      </x:c>
      <x:c r="K2396" s="25" t="str">
        <x:f>IF(J2396&gt;=7,"Muy fuerte (&gt;=7)",IF(J2396&gt;=6,"Fuerte (6-6.9)",IF(J2396&gt;=5,"Moderado alto (5-5.9)",IF(J2396&gt;=4,"Moderado (4-4.9)","Menor a 4"))))</x:f>
        <x:v>Moderado alto (5-5.9)</x:v>
      </x:c>
      <x:c r="L2396" s="25" t="str">
        <x:f>IF(I2396&lt;70,"Superficial (&lt;70 km)",IF(I2396&lt;=300,"Intermedio (70-300 km)","Profundo (&gt;300 km)"))</x:f>
        <x:v>Superficial (&lt;70 km)</x:v>
      </x:c>
      <x:c r="M2396" s="25" t="str">
        <x:f>IF(J2396&gt;=5,"Sí","No")</x:f>
        <x:v>Sí</x:v>
      </x:c>
      <x:c r="N2396" s="25" t="str">
        <x:f>IF(J2396&gt;=6,"Sí","No")</x:f>
        <x:v>No</x:v>
      </x:c>
      <x:c r="O2396" s="25" t="str">
        <x:v>Pendiente: asignar con R/sf</x:v>
      </x:c>
    </x:row>
    <x:row r="2397">
      <x:c r="A2397" s="25" t="n">
        <x:v>2396</x:v>
      </x:c>
      <x:c r="B2397" s="26" t="n">
        <x:v>42266.37994212963</x:v>
      </x:c>
      <x:c r="C2397" s="27" t="n">
        <x:f>INT(B2397)</x:f>
        <x:v>42266</x:v>
      </x:c>
      <x:c r="D2397" s="28" t="n">
        <x:f>MOD(B2397,1)</x:f>
        <x:v>0.3799421296280343</x:v>
      </x:c>
      <x:c r="E2397" s="29" t="n">
        <x:f>YEAR(B2397)</x:f>
        <x:v>2015</x:v>
      </x:c>
      <x:c r="F2397" s="29" t="n">
        <x:f>MONTH(B2397)</x:f>
        <x:v>9</x:v>
      </x:c>
      <x:c r="G2397" s="30" t="n">
        <x:v>-31.13</x:v>
      </x:c>
      <x:c r="H2397" s="30" t="n">
        <x:v>-71.58</x:v>
      </x:c>
      <x:c r="I2397" s="29" t="n">
        <x:v>34</x:v>
      </x:c>
      <x:c r="J2397" s="31" t="n">
        <x:v>6</x:v>
      </x:c>
      <x:c r="K2397" s="25" t="str">
        <x:f>IF(J2397&gt;=7,"Muy fuerte (&gt;=7)",IF(J2397&gt;=6,"Fuerte (6-6.9)",IF(J2397&gt;=5,"Moderado alto (5-5.9)",IF(J2397&gt;=4,"Moderado (4-4.9)","Menor a 4"))))</x:f>
        <x:v>Fuerte (6-6.9)</x:v>
      </x:c>
      <x:c r="L2397" s="25" t="str">
        <x:f>IF(I2397&lt;70,"Superficial (&lt;70 km)",IF(I2397&lt;=300,"Intermedio (70-300 km)","Profundo (&gt;300 km)"))</x:f>
        <x:v>Superficial (&lt;70 km)</x:v>
      </x:c>
      <x:c r="M2397" s="25" t="str">
        <x:f>IF(J2397&gt;=5,"Sí","No")</x:f>
        <x:v>Sí</x:v>
      </x:c>
      <x:c r="N2397" s="25" t="str">
        <x:f>IF(J2397&gt;=6,"Sí","No")</x:f>
        <x:v>Sí</x:v>
      </x:c>
      <x:c r="O2397" s="25" t="str">
        <x:v>Pendiente: asignar con R/sf</x:v>
      </x:c>
    </x:row>
    <x:row r="2398">
      <x:c r="A2398" s="25" t="n">
        <x:v>2397</x:v>
      </x:c>
      <x:c r="B2398" s="26" t="n">
        <x:v>42266.53634259259</x:v>
      </x:c>
      <x:c r="C2398" s="27" t="n">
        <x:f>INT(B2398)</x:f>
        <x:v>42266</x:v>
      </x:c>
      <x:c r="D2398" s="28" t="n">
        <x:f>MOD(B2398,1)</x:f>
        <x:v>0.53634259258979</x:v>
      </x:c>
      <x:c r="E2398" s="29" t="n">
        <x:f>YEAR(B2398)</x:f>
        <x:v>2015</x:v>
      </x:c>
      <x:c r="F2398" s="29" t="n">
        <x:f>MONTH(B2398)</x:f>
        <x:v>9</x:v>
      </x:c>
      <x:c r="G2398" s="30" t="n">
        <x:v>-32.33</x:v>
      </x:c>
      <x:c r="H2398" s="30" t="n">
        <x:v>-71.91</x:v>
      </x:c>
      <x:c r="I2398" s="29" t="n">
        <x:v>27</x:v>
      </x:c>
      <x:c r="J2398" s="31" t="n">
        <x:v>6.3</x:v>
      </x:c>
      <x:c r="K2398" s="25" t="str">
        <x:f>IF(J2398&gt;=7,"Muy fuerte (&gt;=7)",IF(J2398&gt;=6,"Fuerte (6-6.9)",IF(J2398&gt;=5,"Moderado alto (5-5.9)",IF(J2398&gt;=4,"Moderado (4-4.9)","Menor a 4"))))</x:f>
        <x:v>Fuerte (6-6.9)</x:v>
      </x:c>
      <x:c r="L2398" s="25" t="str">
        <x:f>IF(I2398&lt;70,"Superficial (&lt;70 km)",IF(I2398&lt;=300,"Intermedio (70-300 km)","Profundo (&gt;300 km)"))</x:f>
        <x:v>Superficial (&lt;70 km)</x:v>
      </x:c>
      <x:c r="M2398" s="25" t="str">
        <x:f>IF(J2398&gt;=5,"Sí","No")</x:f>
        <x:v>Sí</x:v>
      </x:c>
      <x:c r="N2398" s="25" t="str">
        <x:f>IF(J2398&gt;=6,"Sí","No")</x:f>
        <x:v>Sí</x:v>
      </x:c>
      <x:c r="O2398" s="25" t="str">
        <x:v>Pendiente: asignar con R/sf</x:v>
      </x:c>
    </x:row>
    <x:row r="2399">
      <x:c r="A2399" s="25" t="n">
        <x:v>2398</x:v>
      </x:c>
      <x:c r="B2399" s="26" t="n">
        <x:v>42266.95811342593</x:v>
      </x:c>
      <x:c r="C2399" s="27" t="n">
        <x:f>INT(B2399)</x:f>
        <x:v>42266</x:v>
      </x:c>
      <x:c r="D2399" s="28" t="n">
        <x:f>MOD(B2399,1)</x:f>
        <x:v>0.958113425927877</x:v>
      </x:c>
      <x:c r="E2399" s="29" t="n">
        <x:f>YEAR(B2399)</x:f>
        <x:v>2015</x:v>
      </x:c>
      <x:c r="F2399" s="29" t="n">
        <x:f>MONTH(B2399)</x:f>
        <x:v>9</x:v>
      </x:c>
      <x:c r="G2399" s="30" t="n">
        <x:v>-30.73</x:v>
      </x:c>
      <x:c r="H2399" s="30" t="n">
        <x:v>-71.3</x:v>
      </x:c>
      <x:c r="I2399" s="29" t="n">
        <x:v>28</x:v>
      </x:c>
      <x:c r="J2399" s="31" t="n">
        <x:v>4.8</x:v>
      </x:c>
      <x:c r="K2399" s="25" t="str">
        <x:f>IF(J2399&gt;=7,"Muy fuerte (&gt;=7)",IF(J2399&gt;=6,"Fuerte (6-6.9)",IF(J2399&gt;=5,"Moderado alto (5-5.9)",IF(J2399&gt;=4,"Moderado (4-4.9)","Menor a 4"))))</x:f>
        <x:v>Moderado (4-4.9)</x:v>
      </x:c>
      <x:c r="L2399" s="25" t="str">
        <x:f>IF(I2399&lt;70,"Superficial (&lt;70 km)",IF(I2399&lt;=300,"Intermedio (70-300 km)","Profundo (&gt;300 km)"))</x:f>
        <x:v>Superficial (&lt;70 km)</x:v>
      </x:c>
      <x:c r="M2399" s="25" t="str">
        <x:f>IF(J2399&gt;=5,"Sí","No")</x:f>
        <x:v>No</x:v>
      </x:c>
      <x:c r="N2399" s="25" t="str">
        <x:f>IF(J2399&gt;=6,"Sí","No")</x:f>
        <x:v>No</x:v>
      </x:c>
      <x:c r="O2399" s="25" t="str">
        <x:v>Pendiente: asignar con R/sf</x:v>
      </x:c>
    </x:row>
    <x:row r="2400">
      <x:c r="A2400" s="25" t="n">
        <x:v>2399</x:v>
      </x:c>
      <x:c r="B2400" s="26" t="n">
        <x:v>42267.12640046296</x:v>
      </x:c>
      <x:c r="C2400" s="27" t="n">
        <x:f>INT(B2400)</x:f>
        <x:v>42267</x:v>
      </x:c>
      <x:c r="D2400" s="28" t="n">
        <x:f>MOD(B2400,1)</x:f>
        <x:v>0.12640046296291985</x:v>
      </x:c>
      <x:c r="E2400" s="29" t="n">
        <x:f>YEAR(B2400)</x:f>
        <x:v>2015</x:v>
      </x:c>
      <x:c r="F2400" s="29" t="n">
        <x:f>MONTH(B2400)</x:f>
        <x:v>9</x:v>
      </x:c>
      <x:c r="G2400" s="30" t="n">
        <x:v>-30.79</x:v>
      </x:c>
      <x:c r="H2400" s="30" t="n">
        <x:v>-71.32</x:v>
      </x:c>
      <x:c r="I2400" s="29" t="n">
        <x:v>48</x:v>
      </x:c>
      <x:c r="J2400" s="31" t="n">
        <x:v>5.5</x:v>
      </x:c>
      <x:c r="K2400" s="25" t="str">
        <x:f>IF(J2400&gt;=7,"Muy fuerte (&gt;=7)",IF(J2400&gt;=6,"Fuerte (6-6.9)",IF(J2400&gt;=5,"Moderado alto (5-5.9)",IF(J2400&gt;=4,"Moderado (4-4.9)","Menor a 4"))))</x:f>
        <x:v>Moderado alto (5-5.9)</x:v>
      </x:c>
      <x:c r="L2400" s="25" t="str">
        <x:f>IF(I2400&lt;70,"Superficial (&lt;70 km)",IF(I2400&lt;=300,"Intermedio (70-300 km)","Profundo (&gt;300 km)"))</x:f>
        <x:v>Superficial (&lt;70 km)</x:v>
      </x:c>
      <x:c r="M2400" s="25" t="str">
        <x:f>IF(J2400&gt;=5,"Sí","No")</x:f>
        <x:v>Sí</x:v>
      </x:c>
      <x:c r="N2400" s="25" t="str">
        <x:f>IF(J2400&gt;=6,"Sí","No")</x:f>
        <x:v>No</x:v>
      </x:c>
      <x:c r="O2400" s="25" t="str">
        <x:v>Pendiente: asignar con R/sf</x:v>
      </x:c>
    </x:row>
    <x:row r="2401">
      <x:c r="A2401" s="25" t="n">
        <x:v>2400</x:v>
      </x:c>
      <x:c r="B2401" s="26" t="n">
        <x:v>42267.28876157408</x:v>
      </x:c>
      <x:c r="C2401" s="27" t="n">
        <x:f>INT(B2401)</x:f>
        <x:v>42267</x:v>
      </x:c>
      <x:c r="D2401" s="28" t="n">
        <x:f>MOD(B2401,1)</x:f>
        <x:v>0.2887615740764886</x:v>
      </x:c>
      <x:c r="E2401" s="29" t="n">
        <x:f>YEAR(B2401)</x:f>
        <x:v>2015</x:v>
      </x:c>
      <x:c r="F2401" s="29" t="n">
        <x:f>MONTH(B2401)</x:f>
        <x:v>9</x:v>
      </x:c>
      <x:c r="G2401" s="30" t="n">
        <x:v>-30.6</x:v>
      </x:c>
      <x:c r="H2401" s="30" t="n">
        <x:v>-71.61</x:v>
      </x:c>
      <x:c r="I2401" s="29" t="n">
        <x:v>32</x:v>
      </x:c>
      <x:c r="J2401" s="31" t="n">
        <x:v>4.8</x:v>
      </x:c>
      <x:c r="K2401" s="25" t="str">
        <x:f>IF(J2401&gt;=7,"Muy fuerte (&gt;=7)",IF(J2401&gt;=6,"Fuerte (6-6.9)",IF(J2401&gt;=5,"Moderado alto (5-5.9)",IF(J2401&gt;=4,"Moderado (4-4.9)","Menor a 4"))))</x:f>
        <x:v>Moderado (4-4.9)</x:v>
      </x:c>
      <x:c r="L2401" s="25" t="str">
        <x:f>IF(I2401&lt;70,"Superficial (&lt;70 km)",IF(I2401&lt;=300,"Intermedio (70-300 km)","Profundo (&gt;300 km)"))</x:f>
        <x:v>Superficial (&lt;70 km)</x:v>
      </x:c>
      <x:c r="M2401" s="25" t="str">
        <x:f>IF(J2401&gt;=5,"Sí","No")</x:f>
        <x:v>No</x:v>
      </x:c>
      <x:c r="N2401" s="25" t="str">
        <x:f>IF(J2401&gt;=6,"Sí","No")</x:f>
        <x:v>No</x:v>
      </x:c>
      <x:c r="O2401" s="25" t="str">
        <x:v>Pendiente: asignar con R/sf</x:v>
      </x:c>
    </x:row>
    <x:row r="2402">
      <x:c r="A2402" s="25" t="n">
        <x:v>2401</x:v>
      </x:c>
      <x:c r="B2402" s="26" t="n">
        <x:v>42267.6049537037</x:v>
      </x:c>
      <x:c r="C2402" s="27" t="n">
        <x:f>INT(B2402)</x:f>
        <x:v>42267</x:v>
      </x:c>
      <x:c r="D2402" s="28" t="n">
        <x:f>MOD(B2402,1)</x:f>
        <x:v>0.6049537037033588</x:v>
      </x:c>
      <x:c r="E2402" s="29" t="n">
        <x:f>YEAR(B2402)</x:f>
        <x:v>2015</x:v>
      </x:c>
      <x:c r="F2402" s="29" t="n">
        <x:f>MONTH(B2402)</x:f>
        <x:v>9</x:v>
      </x:c>
      <x:c r="G2402" s="30" t="n">
        <x:v>-30.59</x:v>
      </x:c>
      <x:c r="H2402" s="30" t="n">
        <x:v>-71.74</x:v>
      </x:c>
      <x:c r="I2402" s="29" t="n">
        <x:v>38</x:v>
      </x:c>
      <x:c r="J2402" s="31" t="n">
        <x:v>5.2</x:v>
      </x:c>
      <x:c r="K2402" s="25" t="str">
        <x:f>IF(J2402&gt;=7,"Muy fuerte (&gt;=7)",IF(J2402&gt;=6,"Fuerte (6-6.9)",IF(J2402&gt;=5,"Moderado alto (5-5.9)",IF(J2402&gt;=4,"Moderado (4-4.9)","Menor a 4"))))</x:f>
        <x:v>Moderado alto (5-5.9)</x:v>
      </x:c>
      <x:c r="L2402" s="25" t="str">
        <x:f>IF(I2402&lt;70,"Superficial (&lt;70 km)",IF(I2402&lt;=300,"Intermedio (70-300 km)","Profundo (&gt;300 km)"))</x:f>
        <x:v>Superficial (&lt;70 km)</x:v>
      </x:c>
      <x:c r="M2402" s="25" t="str">
        <x:f>IF(J2402&gt;=5,"Sí","No")</x:f>
        <x:v>Sí</x:v>
      </x:c>
      <x:c r="N2402" s="25" t="str">
        <x:f>IF(J2402&gt;=6,"Sí","No")</x:f>
        <x:v>No</x:v>
      </x:c>
      <x:c r="O2402" s="25" t="str">
        <x:v>Pendiente: asignar con R/sf</x:v>
      </x:c>
    </x:row>
    <x:row r="2403">
      <x:c r="A2403" s="25" t="n">
        <x:v>2402</x:v>
      </x:c>
      <x:c r="B2403" s="26" t="n">
        <x:v>42268.235810185186</x:v>
      </x:c>
      <x:c r="C2403" s="27" t="n">
        <x:f>INT(B2403)</x:f>
        <x:v>42268</x:v>
      </x:c>
      <x:c r="D2403" s="28" t="n">
        <x:f>MOD(B2403,1)</x:f>
        <x:v>0.23581018518598285</x:v>
      </x:c>
      <x:c r="E2403" s="29" t="n">
        <x:f>YEAR(B2403)</x:f>
        <x:v>2015</x:v>
      </x:c>
      <x:c r="F2403" s="29" t="n">
        <x:f>MONTH(B2403)</x:f>
        <x:v>9</x:v>
      </x:c>
      <x:c r="G2403" s="30" t="n">
        <x:v>-31.76</x:v>
      </x:c>
      <x:c r="H2403" s="30" t="n">
        <x:v>-71.74</x:v>
      </x:c>
      <x:c r="I2403" s="29" t="n">
        <x:v>41</x:v>
      </x:c>
      <x:c r="J2403" s="31" t="n">
        <x:v>6.2</x:v>
      </x:c>
      <x:c r="K2403" s="25" t="str">
        <x:f>IF(J2403&gt;=7,"Muy fuerte (&gt;=7)",IF(J2403&gt;=6,"Fuerte (6-6.9)",IF(J2403&gt;=5,"Moderado alto (5-5.9)",IF(J2403&gt;=4,"Moderado (4-4.9)","Menor a 4"))))</x:f>
        <x:v>Fuerte (6-6.9)</x:v>
      </x:c>
      <x:c r="L2403" s="25" t="str">
        <x:f>IF(I2403&lt;70,"Superficial (&lt;70 km)",IF(I2403&lt;=300,"Intermedio (70-300 km)","Profundo (&gt;300 km)"))</x:f>
        <x:v>Superficial (&lt;70 km)</x:v>
      </x:c>
      <x:c r="M2403" s="25" t="str">
        <x:f>IF(J2403&gt;=5,"Sí","No")</x:f>
        <x:v>Sí</x:v>
      </x:c>
      <x:c r="N2403" s="25" t="str">
        <x:f>IF(J2403&gt;=6,"Sí","No")</x:f>
        <x:v>Sí</x:v>
      </x:c>
      <x:c r="O2403" s="25" t="str">
        <x:v>Pendiente: asignar con R/sf</x:v>
      </x:c>
    </x:row>
    <x:row r="2404">
      <x:c r="A2404" s="25" t="n">
        <x:v>2403</x:v>
      </x:c>
      <x:c r="B2404" s="26" t="n">
        <x:v>42268.30459490741</x:v>
      </x:c>
      <x:c r="C2404" s="27" t="n">
        <x:f>INT(B2404)</x:f>
        <x:v>42268</x:v>
      </x:c>
      <x:c r="D2404" s="28" t="n">
        <x:f>MOD(B2404,1)</x:f>
        <x:v>0.30459490740759065</x:v>
      </x:c>
      <x:c r="E2404" s="29" t="n">
        <x:f>YEAR(B2404)</x:f>
        <x:v>2015</x:v>
      </x:c>
      <x:c r="F2404" s="29" t="n">
        <x:f>MONTH(B2404)</x:f>
        <x:v>9</x:v>
      </x:c>
      <x:c r="G2404" s="30" t="n">
        <x:v>-30.66</x:v>
      </x:c>
      <x:c r="H2404" s="30" t="n">
        <x:v>-71.41</x:v>
      </x:c>
      <x:c r="I2404" s="29" t="n">
        <x:v>39</x:v>
      </x:c>
      <x:c r="J2404" s="31" t="n">
        <x:v>4.5</x:v>
      </x:c>
      <x:c r="K2404" s="25" t="str">
        <x:f>IF(J2404&gt;=7,"Muy fuerte (&gt;=7)",IF(J2404&gt;=6,"Fuerte (6-6.9)",IF(J2404&gt;=5,"Moderado alto (5-5.9)",IF(J2404&gt;=4,"Moderado (4-4.9)","Menor a 4"))))</x:f>
        <x:v>Moderado (4-4.9)</x:v>
      </x:c>
      <x:c r="L2404" s="25" t="str">
        <x:f>IF(I2404&lt;70,"Superficial (&lt;70 km)",IF(I2404&lt;=300,"Intermedio (70-300 km)","Profundo (&gt;300 km)"))</x:f>
        <x:v>Superficial (&lt;70 km)</x:v>
      </x:c>
      <x:c r="M2404" s="25" t="str">
        <x:f>IF(J2404&gt;=5,"Sí","No")</x:f>
        <x:v>No</x:v>
      </x:c>
      <x:c r="N2404" s="25" t="str">
        <x:f>IF(J2404&gt;=6,"Sí","No")</x:f>
        <x:v>No</x:v>
      </x:c>
      <x:c r="O2404" s="25" t="str">
        <x:v>Pendiente: asignar con R/sf</x:v>
      </x:c>
    </x:row>
    <x:row r="2405">
      <x:c r="A2405" s="25" t="n">
        <x:v>2404</x:v>
      </x:c>
      <x:c r="B2405" s="26" t="n">
        <x:v>42268.42579861111</x:v>
      </x:c>
      <x:c r="C2405" s="27" t="n">
        <x:f>INT(B2405)</x:f>
        <x:v>42268</x:v>
      </x:c>
      <x:c r="D2405" s="28" t="n">
        <x:f>MOD(B2405,1)</x:f>
        <x:v>0.4257986111115315</x:v>
      </x:c>
      <x:c r="E2405" s="29" t="n">
        <x:f>YEAR(B2405)</x:f>
        <x:v>2015</x:v>
      </x:c>
      <x:c r="F2405" s="29" t="n">
        <x:f>MONTH(B2405)</x:f>
        <x:v>9</x:v>
      </x:c>
      <x:c r="G2405" s="30" t="n">
        <x:v>-30.73</x:v>
      </x:c>
      <x:c r="H2405" s="30" t="n">
        <x:v>-71.34</x:v>
      </x:c>
      <x:c r="I2405" s="29" t="n">
        <x:v>30</x:v>
      </x:c>
      <x:c r="J2405" s="31" t="n">
        <x:v>4.5</x:v>
      </x:c>
      <x:c r="K2405" s="25" t="str">
        <x:f>IF(J2405&gt;=7,"Muy fuerte (&gt;=7)",IF(J2405&gt;=6,"Fuerte (6-6.9)",IF(J2405&gt;=5,"Moderado alto (5-5.9)",IF(J2405&gt;=4,"Moderado (4-4.9)","Menor a 4"))))</x:f>
        <x:v>Moderado (4-4.9)</x:v>
      </x:c>
      <x:c r="L2405" s="25" t="str">
        <x:f>IF(I2405&lt;70,"Superficial (&lt;70 km)",IF(I2405&lt;=300,"Intermedio (70-300 km)","Profundo (&gt;300 km)"))</x:f>
        <x:v>Superficial (&lt;70 km)</x:v>
      </x:c>
      <x:c r="M2405" s="25" t="str">
        <x:f>IF(J2405&gt;=5,"Sí","No")</x:f>
        <x:v>No</x:v>
      </x:c>
      <x:c r="N2405" s="25" t="str">
        <x:f>IF(J2405&gt;=6,"Sí","No")</x:f>
        <x:v>No</x:v>
      </x:c>
      <x:c r="O2405" s="25" t="str">
        <x:v>Pendiente: asignar con R/sf</x:v>
      </x:c>
    </x:row>
    <x:row r="2406">
      <x:c r="A2406" s="25" t="n">
        <x:v>2405</x:v>
      </x:c>
      <x:c r="B2406" s="26" t="n">
        <x:v>42268.462118055555</x:v>
      </x:c>
      <x:c r="C2406" s="27" t="n">
        <x:f>INT(B2406)</x:f>
        <x:v>42268</x:v>
      </x:c>
      <x:c r="D2406" s="28" t="n">
        <x:f>MOD(B2406,1)</x:f>
        <x:v>0.46211805555503815</x:v>
      </x:c>
      <x:c r="E2406" s="29" t="n">
        <x:f>YEAR(B2406)</x:f>
        <x:v>2015</x:v>
      </x:c>
      <x:c r="F2406" s="29" t="n">
        <x:f>MONTH(B2406)</x:f>
        <x:v>9</x:v>
      </x:c>
      <x:c r="G2406" s="30" t="n">
        <x:v>-30.97</x:v>
      </x:c>
      <x:c r="H2406" s="30" t="n">
        <x:v>-71.47</x:v>
      </x:c>
      <x:c r="I2406" s="29" t="n">
        <x:v>32</x:v>
      </x:c>
      <x:c r="J2406" s="31" t="n">
        <x:v>4</x:v>
      </x:c>
      <x:c r="K2406" s="25" t="str">
        <x:f>IF(J2406&gt;=7,"Muy fuerte (&gt;=7)",IF(J2406&gt;=6,"Fuerte (6-6.9)",IF(J2406&gt;=5,"Moderado alto (5-5.9)",IF(J2406&gt;=4,"Moderado (4-4.9)","Menor a 4"))))</x:f>
        <x:v>Moderado (4-4.9)</x:v>
      </x:c>
      <x:c r="L2406" s="25" t="str">
        <x:f>IF(I2406&lt;70,"Superficial (&lt;70 km)",IF(I2406&lt;=300,"Intermedio (70-300 km)","Profundo (&gt;300 km)"))</x:f>
        <x:v>Superficial (&lt;70 km)</x:v>
      </x:c>
      <x:c r="M2406" s="25" t="str">
        <x:f>IF(J2406&gt;=5,"Sí","No")</x:f>
        <x:v>No</x:v>
      </x:c>
      <x:c r="N2406" s="25" t="str">
        <x:f>IF(J2406&gt;=6,"Sí","No")</x:f>
        <x:v>No</x:v>
      </x:c>
      <x:c r="O2406" s="25" t="str">
        <x:v>Pendiente: asignar con R/sf</x:v>
      </x:c>
    </x:row>
    <x:row r="2407">
      <x:c r="A2407" s="25" t="n">
        <x:v>2406</x:v>
      </x:c>
      <x:c r="B2407" s="26" t="n">
        <x:v>42268.650775462964</x:v>
      </x:c>
      <x:c r="C2407" s="27" t="n">
        <x:f>INT(B2407)</x:f>
        <x:v>42268</x:v>
      </x:c>
      <x:c r="D2407" s="28" t="n">
        <x:f>MOD(B2407,1)</x:f>
        <x:v>0.650775462963793</x:v>
      </x:c>
      <x:c r="E2407" s="29" t="n">
        <x:f>YEAR(B2407)</x:f>
        <x:v>2015</x:v>
      </x:c>
      <x:c r="F2407" s="29" t="n">
        <x:f>MONTH(B2407)</x:f>
        <x:v>9</x:v>
      </x:c>
      <x:c r="G2407" s="30" t="n">
        <x:v>-31.11</x:v>
      </x:c>
      <x:c r="H2407" s="30" t="n">
        <x:v>-71.79</x:v>
      </x:c>
      <x:c r="I2407" s="29" t="n">
        <x:v>30</x:v>
      </x:c>
      <x:c r="J2407" s="31" t="n">
        <x:v>6</x:v>
      </x:c>
      <x:c r="K2407" s="25" t="str">
        <x:f>IF(J2407&gt;=7,"Muy fuerte (&gt;=7)",IF(J2407&gt;=6,"Fuerte (6-6.9)",IF(J2407&gt;=5,"Moderado alto (5-5.9)",IF(J2407&gt;=4,"Moderado (4-4.9)","Menor a 4"))))</x:f>
        <x:v>Fuerte (6-6.9)</x:v>
      </x:c>
      <x:c r="L2407" s="25" t="str">
        <x:f>IF(I2407&lt;70,"Superficial (&lt;70 km)",IF(I2407&lt;=300,"Intermedio (70-300 km)","Profundo (&gt;300 km)"))</x:f>
        <x:v>Superficial (&lt;70 km)</x:v>
      </x:c>
      <x:c r="M2407" s="25" t="str">
        <x:f>IF(J2407&gt;=5,"Sí","No")</x:f>
        <x:v>Sí</x:v>
      </x:c>
      <x:c r="N2407" s="25" t="str">
        <x:f>IF(J2407&gt;=6,"Sí","No")</x:f>
        <x:v>Sí</x:v>
      </x:c>
      <x:c r="O2407" s="25" t="str">
        <x:v>Pendiente: asignar con R/sf</x:v>
      </x:c>
    </x:row>
    <x:row r="2408">
      <x:c r="A2408" s="25" t="n">
        <x:v>2407</x:v>
      </x:c>
      <x:c r="B2408" s="26" t="n">
        <x:v>42268.73608796296</x:v>
      </x:c>
      <x:c r="C2408" s="27" t="n">
        <x:f>INT(B2408)</x:f>
        <x:v>42268</x:v>
      </x:c>
      <x:c r="D2408" s="28" t="n">
        <x:f>MOD(B2408,1)</x:f>
        <x:v>0.7360879629632109</x:v>
      </x:c>
      <x:c r="E2408" s="29" t="n">
        <x:f>YEAR(B2408)</x:f>
        <x:v>2015</x:v>
      </x:c>
      <x:c r="F2408" s="29" t="n">
        <x:f>MONTH(B2408)</x:f>
        <x:v>9</x:v>
      </x:c>
      <x:c r="G2408" s="30" t="n">
        <x:v>-31.76</x:v>
      </x:c>
      <x:c r="H2408" s="30" t="n">
        <x:v>-71.55</x:v>
      </x:c>
      <x:c r="I2408" s="29" t="n">
        <x:v>13</x:v>
      </x:c>
      <x:c r="J2408" s="31" t="n">
        <x:v>6.7</x:v>
      </x:c>
      <x:c r="K2408" s="25" t="str">
        <x:f>IF(J2408&gt;=7,"Muy fuerte (&gt;=7)",IF(J2408&gt;=6,"Fuerte (6-6.9)",IF(J2408&gt;=5,"Moderado alto (5-5.9)",IF(J2408&gt;=4,"Moderado (4-4.9)","Menor a 4"))))</x:f>
        <x:v>Fuerte (6-6.9)</x:v>
      </x:c>
      <x:c r="L2408" s="25" t="str">
        <x:f>IF(I2408&lt;70,"Superficial (&lt;70 km)",IF(I2408&lt;=300,"Intermedio (70-300 km)","Profundo (&gt;300 km)"))</x:f>
        <x:v>Superficial (&lt;70 km)</x:v>
      </x:c>
      <x:c r="M2408" s="25" t="str">
        <x:f>IF(J2408&gt;=5,"Sí","No")</x:f>
        <x:v>Sí</x:v>
      </x:c>
      <x:c r="N2408" s="25" t="str">
        <x:f>IF(J2408&gt;=6,"Sí","No")</x:f>
        <x:v>Sí</x:v>
      </x:c>
      <x:c r="O2408" s="25" t="str">
        <x:v>Pendiente: asignar con R/sf</x:v>
      </x:c>
    </x:row>
    <x:row r="2409">
      <x:c r="A2409" s="25" t="n">
        <x:v>2408</x:v>
      </x:c>
      <x:c r="B2409" s="26" t="n">
        <x:v>42268.775613425925</x:v>
      </x:c>
      <x:c r="C2409" s="27" t="n">
        <x:f>INT(B2409)</x:f>
        <x:v>42268</x:v>
      </x:c>
      <x:c r="D2409" s="28" t="n">
        <x:f>MOD(B2409,1)</x:f>
        <x:v>0.7756134259252576</x:v>
      </x:c>
      <x:c r="E2409" s="29" t="n">
        <x:f>YEAR(B2409)</x:f>
        <x:v>2015</x:v>
      </x:c>
      <x:c r="F2409" s="29" t="n">
        <x:f>MONTH(B2409)</x:f>
        <x:v>9</x:v>
      </x:c>
      <x:c r="G2409" s="30" t="n">
        <x:v>-31.09</x:v>
      </x:c>
      <x:c r="H2409" s="30" t="n">
        <x:v>-71.77</x:v>
      </x:c>
      <x:c r="I2409" s="29" t="n">
        <x:v>31</x:v>
      </x:c>
      <x:c r="J2409" s="31" t="n">
        <x:v>5.8</x:v>
      </x:c>
      <x:c r="K2409" s="25" t="str">
        <x:f>IF(J2409&gt;=7,"Muy fuerte (&gt;=7)",IF(J2409&gt;=6,"Fuerte (6-6.9)",IF(J2409&gt;=5,"Moderado alto (5-5.9)",IF(J2409&gt;=4,"Moderado (4-4.9)","Menor a 4"))))</x:f>
        <x:v>Moderado alto (5-5.9)</x:v>
      </x:c>
      <x:c r="L2409" s="25" t="str">
        <x:f>IF(I2409&lt;70,"Superficial (&lt;70 km)",IF(I2409&lt;=300,"Intermedio (70-300 km)","Profundo (&gt;300 km)"))</x:f>
        <x:v>Superficial (&lt;70 km)</x:v>
      </x:c>
      <x:c r="M2409" s="25" t="str">
        <x:f>IF(J2409&gt;=5,"Sí","No")</x:f>
        <x:v>Sí</x:v>
      </x:c>
      <x:c r="N2409" s="25" t="str">
        <x:f>IF(J2409&gt;=6,"Sí","No")</x:f>
        <x:v>No</x:v>
      </x:c>
      <x:c r="O2409" s="25" t="str">
        <x:v>Pendiente: asignar con R/sf</x:v>
      </x:c>
    </x:row>
    <x:row r="2410">
      <x:c r="A2410" s="25" t="n">
        <x:v>2409</x:v>
      </x:c>
      <x:c r="B2410" s="26" t="n">
        <x:v>42268.830659722225</x:v>
      </x:c>
      <x:c r="C2410" s="27" t="n">
        <x:f>INT(B2410)</x:f>
        <x:v>42268</x:v>
      </x:c>
      <x:c r="D2410" s="28" t="n">
        <x:f>MOD(B2410,1)</x:f>
        <x:v>0.8306597222253913</x:v>
      </x:c>
      <x:c r="E2410" s="29" t="n">
        <x:f>YEAR(B2410)</x:f>
        <x:v>2015</x:v>
      </x:c>
      <x:c r="F2410" s="29" t="n">
        <x:f>MONTH(B2410)</x:f>
        <x:v>9</x:v>
      </x:c>
      <x:c r="G2410" s="30" t="n">
        <x:v>-31.77</x:v>
      </x:c>
      <x:c r="H2410" s="30" t="n">
        <x:v>-71.6</x:v>
      </x:c>
      <x:c r="I2410" s="29" t="n">
        <x:v>36</x:v>
      </x:c>
      <x:c r="J2410" s="31" t="n">
        <x:v>6</x:v>
      </x:c>
      <x:c r="K2410" s="25" t="str">
        <x:f>IF(J2410&gt;=7,"Muy fuerte (&gt;=7)",IF(J2410&gt;=6,"Fuerte (6-6.9)",IF(J2410&gt;=5,"Moderado alto (5-5.9)",IF(J2410&gt;=4,"Moderado (4-4.9)","Menor a 4"))))</x:f>
        <x:v>Fuerte (6-6.9)</x:v>
      </x:c>
      <x:c r="L2410" s="25" t="str">
        <x:f>IF(I2410&lt;70,"Superficial (&lt;70 km)",IF(I2410&lt;=300,"Intermedio (70-300 km)","Profundo (&gt;300 km)"))</x:f>
        <x:v>Superficial (&lt;70 km)</x:v>
      </x:c>
      <x:c r="M2410" s="25" t="str">
        <x:f>IF(J2410&gt;=5,"Sí","No")</x:f>
        <x:v>Sí</x:v>
      </x:c>
      <x:c r="N2410" s="25" t="str">
        <x:f>IF(J2410&gt;=6,"Sí","No")</x:f>
        <x:v>Sí</x:v>
      </x:c>
      <x:c r="O2410" s="25" t="str">
        <x:v>Pendiente: asignar con R/sf</x:v>
      </x:c>
    </x:row>
    <x:row r="2411">
      <x:c r="A2411" s="25" t="n">
        <x:v>2410</x:v>
      </x:c>
      <x:c r="B2411" s="26" t="n">
        <x:v>42269.30068287037</x:v>
      </x:c>
      <x:c r="C2411" s="27" t="n">
        <x:f>INT(B2411)</x:f>
        <x:v>42269</x:v>
      </x:c>
      <x:c r="D2411" s="28" t="n">
        <x:f>MOD(B2411,1)</x:f>
        <x:v>0.3006828703728388</x:v>
      </x:c>
      <x:c r="E2411" s="29" t="n">
        <x:f>YEAR(B2411)</x:f>
        <x:v>2015</x:v>
      </x:c>
      <x:c r="F2411" s="29" t="n">
        <x:f>MONTH(B2411)</x:f>
        <x:v>9</x:v>
      </x:c>
      <x:c r="G2411" s="30" t="n">
        <x:v>-31.45</x:v>
      </x:c>
      <x:c r="H2411" s="30" t="n">
        <x:v>-71.13</x:v>
      </x:c>
      <x:c r="I2411" s="29" t="n">
        <x:v>63</x:v>
      </x:c>
      <x:c r="J2411" s="31" t="n">
        <x:v>6.2</x:v>
      </x:c>
      <x:c r="K2411" s="25" t="str">
        <x:f>IF(J2411&gt;=7,"Muy fuerte (&gt;=7)",IF(J2411&gt;=6,"Fuerte (6-6.9)",IF(J2411&gt;=5,"Moderado alto (5-5.9)",IF(J2411&gt;=4,"Moderado (4-4.9)","Menor a 4"))))</x:f>
        <x:v>Fuerte (6-6.9)</x:v>
      </x:c>
      <x:c r="L2411" s="25" t="str">
        <x:f>IF(I2411&lt;70,"Superficial (&lt;70 km)",IF(I2411&lt;=300,"Intermedio (70-300 km)","Profundo (&gt;300 km)"))</x:f>
        <x:v>Superficial (&lt;70 km)</x:v>
      </x:c>
      <x:c r="M2411" s="25" t="str">
        <x:f>IF(J2411&gt;=5,"Sí","No")</x:f>
        <x:v>Sí</x:v>
      </x:c>
      <x:c r="N2411" s="25" t="str">
        <x:f>IF(J2411&gt;=6,"Sí","No")</x:f>
        <x:v>Sí</x:v>
      </x:c>
      <x:c r="O2411" s="25" t="str">
        <x:v>Pendiente: asignar con R/sf</x:v>
      </x:c>
    </x:row>
    <x:row r="2412">
      <x:c r="A2412" s="25" t="n">
        <x:v>2411</x:v>
      </x:c>
      <x:c r="B2412" s="26" t="n">
        <x:v>42269.55372685185</x:v>
      </x:c>
      <x:c r="C2412" s="27" t="n">
        <x:f>INT(B2412)</x:f>
        <x:v>42269</x:v>
      </x:c>
      <x:c r="D2412" s="28" t="n">
        <x:f>MOD(B2412,1)</x:f>
        <x:v>0.5537268518528435</x:v>
      </x:c>
      <x:c r="E2412" s="29" t="n">
        <x:f>YEAR(B2412)</x:f>
        <x:v>2015</x:v>
      </x:c>
      <x:c r="F2412" s="29" t="n">
        <x:f>MONTH(B2412)</x:f>
        <x:v>9</x:v>
      </x:c>
      <x:c r="G2412" s="30" t="n">
        <x:v>-32.24</x:v>
      </x:c>
      <x:c r="H2412" s="30" t="n">
        <x:v>-71.77</x:v>
      </x:c>
      <x:c r="I2412" s="29" t="n">
        <x:v>25</x:v>
      </x:c>
      <x:c r="J2412" s="31" t="n">
        <x:v>4.5</x:v>
      </x:c>
      <x:c r="K2412" s="25" t="str">
        <x:f>IF(J2412&gt;=7,"Muy fuerte (&gt;=7)",IF(J2412&gt;=6,"Fuerte (6-6.9)",IF(J2412&gt;=5,"Moderado alto (5-5.9)",IF(J2412&gt;=4,"Moderado (4-4.9)","Menor a 4"))))</x:f>
        <x:v>Moderado (4-4.9)</x:v>
      </x:c>
      <x:c r="L2412" s="25" t="str">
        <x:f>IF(I2412&lt;70,"Superficial (&lt;70 km)",IF(I2412&lt;=300,"Intermedio (70-300 km)","Profundo (&gt;300 km)"))</x:f>
        <x:v>Superficial (&lt;70 km)</x:v>
      </x:c>
      <x:c r="M2412" s="25" t="str">
        <x:f>IF(J2412&gt;=5,"Sí","No")</x:f>
        <x:v>No</x:v>
      </x:c>
      <x:c r="N2412" s="25" t="str">
        <x:f>IF(J2412&gt;=6,"Sí","No")</x:f>
        <x:v>No</x:v>
      </x:c>
      <x:c r="O2412" s="25" t="str">
        <x:v>Pendiente: asignar con R/sf</x:v>
      </x:c>
    </x:row>
    <x:row r="2413">
      <x:c r="A2413" s="25" t="n">
        <x:v>2412</x:v>
      </x:c>
      <x:c r="B2413" s="26" t="n">
        <x:v>42269.93518518518</x:v>
      </x:c>
      <x:c r="C2413" s="27" t="n">
        <x:f>INT(B2413)</x:f>
        <x:v>42269</x:v>
      </x:c>
      <x:c r="D2413" s="28" t="n">
        <x:f>MOD(B2413,1)</x:f>
        <x:v>0.9351851851824904</x:v>
      </x:c>
      <x:c r="E2413" s="29" t="n">
        <x:f>YEAR(B2413)</x:f>
        <x:v>2015</x:v>
      </x:c>
      <x:c r="F2413" s="29" t="n">
        <x:f>MONTH(B2413)</x:f>
        <x:v>9</x:v>
      </x:c>
      <x:c r="G2413" s="30" t="n">
        <x:v>-31.02</x:v>
      </x:c>
      <x:c r="H2413" s="30" t="n">
        <x:v>-71.57</x:v>
      </x:c>
      <x:c r="I2413" s="29" t="n">
        <x:v>44</x:v>
      </x:c>
      <x:c r="J2413" s="31" t="n">
        <x:v>5</x:v>
      </x:c>
      <x:c r="K2413" s="25" t="str">
        <x:f>IF(J2413&gt;=7,"Muy fuerte (&gt;=7)",IF(J2413&gt;=6,"Fuerte (6-6.9)",IF(J2413&gt;=5,"Moderado alto (5-5.9)",IF(J2413&gt;=4,"Moderado (4-4.9)","Menor a 4"))))</x:f>
        <x:v>Moderado alto (5-5.9)</x:v>
      </x:c>
      <x:c r="L2413" s="25" t="str">
        <x:f>IF(I2413&lt;70,"Superficial (&lt;70 km)",IF(I2413&lt;=300,"Intermedio (70-300 km)","Profundo (&gt;300 km)"))</x:f>
        <x:v>Superficial (&lt;70 km)</x:v>
      </x:c>
      <x:c r="M2413" s="25" t="str">
        <x:f>IF(J2413&gt;=5,"Sí","No")</x:f>
        <x:v>Sí</x:v>
      </x:c>
      <x:c r="N2413" s="25" t="str">
        <x:f>IF(J2413&gt;=6,"Sí","No")</x:f>
        <x:v>No</x:v>
      </x:c>
      <x:c r="O2413" s="25" t="str">
        <x:v>Pendiente: asignar con R/sf</x:v>
      </x:c>
    </x:row>
    <x:row r="2414">
      <x:c r="A2414" s="25" t="n">
        <x:v>2413</x:v>
      </x:c>
      <x:c r="B2414" s="26" t="n">
        <x:v>42271.675983796296</x:v>
      </x:c>
      <x:c r="C2414" s="27" t="n">
        <x:f>INT(B2414)</x:f>
        <x:v>42271</x:v>
      </x:c>
      <x:c r="D2414" s="28" t="n">
        <x:f>MOD(B2414,1)</x:f>
        <x:v>0.6759837962963502</x:v>
      </x:c>
      <x:c r="E2414" s="29" t="n">
        <x:f>YEAR(B2414)</x:f>
        <x:v>2015</x:v>
      </x:c>
      <x:c r="F2414" s="29" t="n">
        <x:f>MONTH(B2414)</x:f>
        <x:v>9</x:v>
      </x:c>
      <x:c r="G2414" s="30" t="n">
        <x:v>-30.7</x:v>
      </x:c>
      <x:c r="H2414" s="30" t="n">
        <x:v>-71.4</x:v>
      </x:c>
      <x:c r="I2414" s="29" t="n">
        <x:v>50</x:v>
      </x:c>
      <x:c r="J2414" s="31" t="n">
        <x:v>5.4</x:v>
      </x:c>
      <x:c r="K2414" s="25" t="str">
        <x:f>IF(J2414&gt;=7,"Muy fuerte (&gt;=7)",IF(J2414&gt;=6,"Fuerte (6-6.9)",IF(J2414&gt;=5,"Moderado alto (5-5.9)",IF(J2414&gt;=4,"Moderado (4-4.9)","Menor a 4"))))</x:f>
        <x:v>Moderado alto (5-5.9)</x:v>
      </x:c>
      <x:c r="L2414" s="25" t="str">
        <x:f>IF(I2414&lt;70,"Superficial (&lt;70 km)",IF(I2414&lt;=300,"Intermedio (70-300 km)","Profundo (&gt;300 km)"))</x:f>
        <x:v>Superficial (&lt;70 km)</x:v>
      </x:c>
      <x:c r="M2414" s="25" t="str">
        <x:f>IF(J2414&gt;=5,"Sí","No")</x:f>
        <x:v>Sí</x:v>
      </x:c>
      <x:c r="N2414" s="25" t="str">
        <x:f>IF(J2414&gt;=6,"Sí","No")</x:f>
        <x:v>No</x:v>
      </x:c>
      <x:c r="O2414" s="25" t="str">
        <x:v>Pendiente: asignar con R/sf</x:v>
      </x:c>
    </x:row>
    <x:row r="2415">
      <x:c r="A2415" s="25" t="n">
        <x:v>2414</x:v>
      </x:c>
      <x:c r="B2415" s="26" t="n">
        <x:v>42273.11895833333</x:v>
      </x:c>
      <x:c r="C2415" s="27" t="n">
        <x:f>INT(B2415)</x:f>
        <x:v>42273</x:v>
      </x:c>
      <x:c r="D2415" s="28" t="n">
        <x:f>MOD(B2415,1)</x:f>
        <x:v>0.11895833333255723</x:v>
      </x:c>
      <x:c r="E2415" s="29" t="n">
        <x:f>YEAR(B2415)</x:f>
        <x:v>2015</x:v>
      </x:c>
      <x:c r="F2415" s="29" t="n">
        <x:f>MONTH(B2415)</x:f>
        <x:v>9</x:v>
      </x:c>
      <x:c r="G2415" s="30" t="n">
        <x:v>-30.79</x:v>
      </x:c>
      <x:c r="H2415" s="30" t="n">
        <x:v>-71.42</x:v>
      </x:c>
      <x:c r="I2415" s="29" t="n">
        <x:v>40</x:v>
      </x:c>
      <x:c r="J2415" s="31" t="n">
        <x:v>6.3</x:v>
      </x:c>
      <x:c r="K2415" s="25" t="str">
        <x:f>IF(J2415&gt;=7,"Muy fuerte (&gt;=7)",IF(J2415&gt;=6,"Fuerte (6-6.9)",IF(J2415&gt;=5,"Moderado alto (5-5.9)",IF(J2415&gt;=4,"Moderado (4-4.9)","Menor a 4"))))</x:f>
        <x:v>Fuerte (6-6.9)</x:v>
      </x:c>
      <x:c r="L2415" s="25" t="str">
        <x:f>IF(I2415&lt;70,"Superficial (&lt;70 km)",IF(I2415&lt;=300,"Intermedio (70-300 km)","Profundo (&gt;300 km)"))</x:f>
        <x:v>Superficial (&lt;70 km)</x:v>
      </x:c>
      <x:c r="M2415" s="25" t="str">
        <x:f>IF(J2415&gt;=5,"Sí","No")</x:f>
        <x:v>Sí</x:v>
      </x:c>
      <x:c r="N2415" s="25" t="str">
        <x:f>IF(J2415&gt;=6,"Sí","No")</x:f>
        <x:v>Sí</x:v>
      </x:c>
      <x:c r="O2415" s="25" t="str">
        <x:v>Pendiente: asignar con R/sf</x:v>
      </x:c>
    </x:row>
    <x:row r="2416">
      <x:c r="A2416" s="25" t="n">
        <x:v>2415</x:v>
      </x:c>
      <x:c r="B2416" s="26" t="n">
        <x:v>42273.20415509259</x:v>
      </x:c>
      <x:c r="C2416" s="27" t="n">
        <x:f>INT(B2416)</x:f>
        <x:v>42273</x:v>
      </x:c>
      <x:c r="D2416" s="28" t="n">
        <x:f>MOD(B2416,1)</x:f>
        <x:v>0.20415509259328246</x:v>
      </x:c>
      <x:c r="E2416" s="29" t="n">
        <x:f>YEAR(B2416)</x:f>
        <x:v>2015</x:v>
      </x:c>
      <x:c r="F2416" s="29" t="n">
        <x:f>MONTH(B2416)</x:f>
        <x:v>9</x:v>
      </x:c>
      <x:c r="G2416" s="30" t="n">
        <x:v>-30.72</x:v>
      </x:c>
      <x:c r="H2416" s="30" t="n">
        <x:v>-71.39</x:v>
      </x:c>
      <x:c r="I2416" s="29" t="n">
        <x:v>50</x:v>
      </x:c>
      <x:c r="J2416" s="31" t="n">
        <x:v>4.4</x:v>
      </x:c>
      <x:c r="K2416" s="25" t="str">
        <x:f>IF(J2416&gt;=7,"Muy fuerte (&gt;=7)",IF(J2416&gt;=6,"Fuerte (6-6.9)",IF(J2416&gt;=5,"Moderado alto (5-5.9)",IF(J2416&gt;=4,"Moderado (4-4.9)","Menor a 4"))))</x:f>
        <x:v>Moderado (4-4.9)</x:v>
      </x:c>
      <x:c r="L2416" s="25" t="str">
        <x:f>IF(I2416&lt;70,"Superficial (&lt;70 km)",IF(I2416&lt;=300,"Intermedio (70-300 km)","Profundo (&gt;300 km)"))</x:f>
        <x:v>Superficial (&lt;70 km)</x:v>
      </x:c>
      <x:c r="M2416" s="25" t="str">
        <x:f>IF(J2416&gt;=5,"Sí","No")</x:f>
        <x:v>No</x:v>
      </x:c>
      <x:c r="N2416" s="25" t="str">
        <x:f>IF(J2416&gt;=6,"Sí","No")</x:f>
        <x:v>No</x:v>
      </x:c>
      <x:c r="O2416" s="25" t="str">
        <x:v>Pendiente: asignar con R/sf</x:v>
      </x:c>
    </x:row>
    <x:row r="2417">
      <x:c r="A2417" s="25" t="n">
        <x:v>2416</x:v>
      </x:c>
      <x:c r="B2417" s="26" t="n">
        <x:v>42273.36456018518</x:v>
      </x:c>
      <x:c r="C2417" s="27" t="n">
        <x:f>INT(B2417)</x:f>
        <x:v>42273</x:v>
      </x:c>
      <x:c r="D2417" s="28" t="n">
        <x:f>MOD(B2417,1)</x:f>
        <x:v>0.36456018518219935</x:v>
      </x:c>
      <x:c r="E2417" s="29" t="n">
        <x:f>YEAR(B2417)</x:f>
        <x:v>2015</x:v>
      </x:c>
      <x:c r="F2417" s="29" t="n">
        <x:f>MONTH(B2417)</x:f>
        <x:v>9</x:v>
      </x:c>
      <x:c r="G2417" s="30" t="n">
        <x:v>-30.82</x:v>
      </x:c>
      <x:c r="H2417" s="30" t="n">
        <x:v>-71.41</x:v>
      </x:c>
      <x:c r="I2417" s="29" t="n">
        <x:v>50</x:v>
      </x:c>
      <x:c r="J2417" s="31" t="n">
        <x:v>4.1</x:v>
      </x:c>
      <x:c r="K2417" s="25" t="str">
        <x:f>IF(J2417&gt;=7,"Muy fuerte (&gt;=7)",IF(J2417&gt;=6,"Fuerte (6-6.9)",IF(J2417&gt;=5,"Moderado alto (5-5.9)",IF(J2417&gt;=4,"Moderado (4-4.9)","Menor a 4"))))</x:f>
        <x:v>Moderado (4-4.9)</x:v>
      </x:c>
      <x:c r="L2417" s="25" t="str">
        <x:f>IF(I2417&lt;70,"Superficial (&lt;70 km)",IF(I2417&lt;=300,"Intermedio (70-300 km)","Profundo (&gt;300 km)"))</x:f>
        <x:v>Superficial (&lt;70 km)</x:v>
      </x:c>
      <x:c r="M2417" s="25" t="str">
        <x:f>IF(J2417&gt;=5,"Sí","No")</x:f>
        <x:v>No</x:v>
      </x:c>
      <x:c r="N2417" s="25" t="str">
        <x:f>IF(J2417&gt;=6,"Sí","No")</x:f>
        <x:v>No</x:v>
      </x:c>
      <x:c r="O2417" s="25" t="str">
        <x:v>Pendiente: asignar con R/sf</x:v>
      </x:c>
    </x:row>
    <x:row r="2418">
      <x:c r="A2418" s="25" t="n">
        <x:v>2417</x:v>
      </x:c>
      <x:c r="B2418" s="26" t="n">
        <x:v>42274.35319444445</x:v>
      </x:c>
      <x:c r="C2418" s="27" t="n">
        <x:f>INT(B2418)</x:f>
        <x:v>42274</x:v>
      </x:c>
      <x:c r="D2418" s="28" t="n">
        <x:f>MOD(B2418,1)</x:f>
        <x:v>0.3531944444475812</x:v>
      </x:c>
      <x:c r="E2418" s="29" t="n">
        <x:f>YEAR(B2418)</x:f>
        <x:v>2015</x:v>
      </x:c>
      <x:c r="F2418" s="29" t="n">
        <x:f>MONTH(B2418)</x:f>
        <x:v>9</x:v>
      </x:c>
      <x:c r="G2418" s="30" t="n">
        <x:v>-30.73</x:v>
      </x:c>
      <x:c r="H2418" s="30" t="n">
        <x:v>-71.47</x:v>
      </x:c>
      <x:c r="I2418" s="29" t="n">
        <x:v>43</x:v>
      </x:c>
      <x:c r="J2418" s="31" t="n">
        <x:v>4.6</x:v>
      </x:c>
      <x:c r="K2418" s="25" t="str">
        <x:f>IF(J2418&gt;=7,"Muy fuerte (&gt;=7)",IF(J2418&gt;=6,"Fuerte (6-6.9)",IF(J2418&gt;=5,"Moderado alto (5-5.9)",IF(J2418&gt;=4,"Moderado (4-4.9)","Menor a 4"))))</x:f>
        <x:v>Moderado (4-4.9)</x:v>
      </x:c>
      <x:c r="L2418" s="25" t="str">
        <x:f>IF(I2418&lt;70,"Superficial (&lt;70 km)",IF(I2418&lt;=300,"Intermedio (70-300 km)","Profundo (&gt;300 km)"))</x:f>
        <x:v>Superficial (&lt;70 km)</x:v>
      </x:c>
      <x:c r="M2418" s="25" t="str">
        <x:f>IF(J2418&gt;=5,"Sí","No")</x:f>
        <x:v>No</x:v>
      </x:c>
      <x:c r="N2418" s="25" t="str">
        <x:f>IF(J2418&gt;=6,"Sí","No")</x:f>
        <x:v>No</x:v>
      </x:c>
      <x:c r="O2418" s="25" t="str">
        <x:v>Pendiente: asignar con R/sf</x:v>
      </x:c>
    </x:row>
    <x:row r="2419">
      <x:c r="A2419" s="25" t="n">
        <x:v>2418</x:v>
      </x:c>
      <x:c r="B2419" s="26" t="n">
        <x:v>42274.87829861111</x:v>
      </x:c>
      <x:c r="C2419" s="27" t="n">
        <x:f>INT(B2419)</x:f>
        <x:v>42274</x:v>
      </x:c>
      <x:c r="D2419" s="28" t="n">
        <x:f>MOD(B2419,1)</x:f>
        <x:v>0.8782986111109494</x:v>
      </x:c>
      <x:c r="E2419" s="29" t="n">
        <x:f>YEAR(B2419)</x:f>
        <x:v>2015</x:v>
      </x:c>
      <x:c r="F2419" s="29" t="n">
        <x:f>MONTH(B2419)</x:f>
        <x:v>9</x:v>
      </x:c>
      <x:c r="G2419" s="30" t="n">
        <x:v>-31.67</x:v>
      </x:c>
      <x:c r="H2419" s="30" t="n">
        <x:v>-71.7</x:v>
      </x:c>
      <x:c r="I2419" s="29" t="n">
        <x:v>37</x:v>
      </x:c>
      <x:c r="J2419" s="31" t="n">
        <x:v>5.3</x:v>
      </x:c>
      <x:c r="K2419" s="25" t="str">
        <x:f>IF(J2419&gt;=7,"Muy fuerte (&gt;=7)",IF(J2419&gt;=6,"Fuerte (6-6.9)",IF(J2419&gt;=5,"Moderado alto (5-5.9)",IF(J2419&gt;=4,"Moderado (4-4.9)","Menor a 4"))))</x:f>
        <x:v>Moderado alto (5-5.9)</x:v>
      </x:c>
      <x:c r="L2419" s="25" t="str">
        <x:f>IF(I2419&lt;70,"Superficial (&lt;70 km)",IF(I2419&lt;=300,"Intermedio (70-300 km)","Profundo (&gt;300 km)"))</x:f>
        <x:v>Superficial (&lt;70 km)</x:v>
      </x:c>
      <x:c r="M2419" s="25" t="str">
        <x:f>IF(J2419&gt;=5,"Sí","No")</x:f>
        <x:v>Sí</x:v>
      </x:c>
      <x:c r="N2419" s="25" t="str">
        <x:f>IF(J2419&gt;=6,"Sí","No")</x:f>
        <x:v>No</x:v>
      </x:c>
      <x:c r="O2419" s="25" t="str">
        <x:v>Pendiente: asignar con R/sf</x:v>
      </x:c>
    </x:row>
    <x:row r="2420">
      <x:c r="A2420" s="25" t="n">
        <x:v>2419</x:v>
      </x:c>
      <x:c r="B2420" s="26" t="n">
        <x:v>42274.95354166667</x:v>
      </x:c>
      <x:c r="C2420" s="27" t="n">
        <x:f>INT(B2420)</x:f>
        <x:v>42274</x:v>
      </x:c>
      <x:c r="D2420" s="28" t="n">
        <x:f>MOD(B2420,1)</x:f>
        <x:v>0.95354166666948</x:v>
      </x:c>
      <x:c r="E2420" s="29" t="n">
        <x:f>YEAR(B2420)</x:f>
        <x:v>2015</x:v>
      </x:c>
      <x:c r="F2420" s="29" t="n">
        <x:f>MONTH(B2420)</x:f>
        <x:v>9</x:v>
      </x:c>
      <x:c r="G2420" s="30" t="n">
        <x:v>-30.91</x:v>
      </x:c>
      <x:c r="H2420" s="30" t="n">
        <x:v>-71.44</x:v>
      </x:c>
      <x:c r="I2420" s="29" t="n">
        <x:v>43</x:v>
      </x:c>
      <x:c r="J2420" s="31" t="n">
        <x:v>4.4</x:v>
      </x:c>
      <x:c r="K2420" s="25" t="str">
        <x:f>IF(J2420&gt;=7,"Muy fuerte (&gt;=7)",IF(J2420&gt;=6,"Fuerte (6-6.9)",IF(J2420&gt;=5,"Moderado alto (5-5.9)",IF(J2420&gt;=4,"Moderado (4-4.9)","Menor a 4"))))</x:f>
        <x:v>Moderado (4-4.9)</x:v>
      </x:c>
      <x:c r="L2420" s="25" t="str">
        <x:f>IF(I2420&lt;70,"Superficial (&lt;70 km)",IF(I2420&lt;=300,"Intermedio (70-300 km)","Profundo (&gt;300 km)"))</x:f>
        <x:v>Superficial (&lt;70 km)</x:v>
      </x:c>
      <x:c r="M2420" s="25" t="str">
        <x:f>IF(J2420&gt;=5,"Sí","No")</x:f>
        <x:v>No</x:v>
      </x:c>
      <x:c r="N2420" s="25" t="str">
        <x:f>IF(J2420&gt;=6,"Sí","No")</x:f>
        <x:v>No</x:v>
      </x:c>
      <x:c r="O2420" s="25" t="str">
        <x:v>Pendiente: asignar con R/sf</x:v>
      </x:c>
    </x:row>
    <x:row r="2421">
      <x:c r="A2421" s="25" t="n">
        <x:v>2420</x:v>
      </x:c>
      <x:c r="B2421" s="26" t="n">
        <x:v>42276.79126157407</x:v>
      </x:c>
      <x:c r="C2421" s="27" t="n">
        <x:f>INT(B2421)</x:f>
        <x:v>42276</x:v>
      </x:c>
      <x:c r="D2421" s="28" t="n">
        <x:f>MOD(B2421,1)</x:f>
        <x:v>0.791261574071541</x:v>
      </x:c>
      <x:c r="E2421" s="29" t="n">
        <x:f>YEAR(B2421)</x:f>
        <x:v>2015</x:v>
      </x:c>
      <x:c r="F2421" s="29" t="n">
        <x:f>MONTH(B2421)</x:f>
        <x:v>9</x:v>
      </x:c>
      <x:c r="G2421" s="30" t="n">
        <x:v>-31.79</x:v>
      </x:c>
      <x:c r="H2421" s="30" t="n">
        <x:v>-71.38</x:v>
      </x:c>
      <x:c r="I2421" s="29" t="n">
        <x:v>29</x:v>
      </x:c>
      <x:c r="J2421" s="31" t="n">
        <x:v>4.2</x:v>
      </x:c>
      <x:c r="K2421" s="25" t="str">
        <x:f>IF(J2421&gt;=7,"Muy fuerte (&gt;=7)",IF(J2421&gt;=6,"Fuerte (6-6.9)",IF(J2421&gt;=5,"Moderado alto (5-5.9)",IF(J2421&gt;=4,"Moderado (4-4.9)","Menor a 4"))))</x:f>
        <x:v>Moderado (4-4.9)</x:v>
      </x:c>
      <x:c r="L2421" s="25" t="str">
        <x:f>IF(I2421&lt;70,"Superficial (&lt;70 km)",IF(I2421&lt;=300,"Intermedio (70-300 km)","Profundo (&gt;300 km)"))</x:f>
        <x:v>Superficial (&lt;70 km)</x:v>
      </x:c>
      <x:c r="M2421" s="25" t="str">
        <x:f>IF(J2421&gt;=5,"Sí","No")</x:f>
        <x:v>No</x:v>
      </x:c>
      <x:c r="N2421" s="25" t="str">
        <x:f>IF(J2421&gt;=6,"Sí","No")</x:f>
        <x:v>No</x:v>
      </x:c>
      <x:c r="O2421" s="25" t="str">
        <x:v>Pendiente: asignar con R/sf</x:v>
      </x:c>
    </x:row>
    <x:row r="2422">
      <x:c r="A2422" s="25" t="n">
        <x:v>2421</x:v>
      </x:c>
      <x:c r="B2422" s="26" t="n">
        <x:v>42278.08775462963</x:v>
      </x:c>
      <x:c r="C2422" s="27" t="n">
        <x:f>INT(B2422)</x:f>
        <x:v>42278</x:v>
      </x:c>
      <x:c r="D2422" s="28" t="n">
        <x:f>MOD(B2422,1)</x:f>
        <x:v>0.08775462963239988</x:v>
      </x:c>
      <x:c r="E2422" s="29" t="n">
        <x:f>YEAR(B2422)</x:f>
        <x:v>2015</x:v>
      </x:c>
      <x:c r="F2422" s="29" t="n">
        <x:f>MONTH(B2422)</x:f>
        <x:v>10</x:v>
      </x:c>
      <x:c r="G2422" s="30" t="n">
        <x:v>-30.72</x:v>
      </x:c>
      <x:c r="H2422" s="30" t="n">
        <x:v>-71.43</x:v>
      </x:c>
      <x:c r="I2422" s="29" t="n">
        <x:v>48</x:v>
      </x:c>
      <x:c r="J2422" s="31" t="n">
        <x:v>4.8</x:v>
      </x:c>
      <x:c r="K2422" s="25" t="str">
        <x:f>IF(J2422&gt;=7,"Muy fuerte (&gt;=7)",IF(J2422&gt;=6,"Fuerte (6-6.9)",IF(J2422&gt;=5,"Moderado alto (5-5.9)",IF(J2422&gt;=4,"Moderado (4-4.9)","Menor a 4"))))</x:f>
        <x:v>Moderado (4-4.9)</x:v>
      </x:c>
      <x:c r="L2422" s="25" t="str">
        <x:f>IF(I2422&lt;70,"Superficial (&lt;70 km)",IF(I2422&lt;=300,"Intermedio (70-300 km)","Profundo (&gt;300 km)"))</x:f>
        <x:v>Superficial (&lt;70 km)</x:v>
      </x:c>
      <x:c r="M2422" s="25" t="str">
        <x:f>IF(J2422&gt;=5,"Sí","No")</x:f>
        <x:v>No</x:v>
      </x:c>
      <x:c r="N2422" s="25" t="str">
        <x:f>IF(J2422&gt;=6,"Sí","No")</x:f>
        <x:v>No</x:v>
      </x:c>
      <x:c r="O2422" s="25" t="str">
        <x:v>Pendiente: asignar con R/sf</x:v>
      </x:c>
    </x:row>
    <x:row r="2423">
      <x:c r="A2423" s="25" t="n">
        <x:v>2422</x:v>
      </x:c>
      <x:c r="B2423" s="26" t="n">
        <x:v>42278.39511574074</x:v>
      </x:c>
      <x:c r="C2423" s="27" t="n">
        <x:f>INT(B2423)</x:f>
        <x:v>42278</x:v>
      </x:c>
      <x:c r="D2423" s="28" t="n">
        <x:f>MOD(B2423,1)</x:f>
        <x:v>0.39511574074276723</x:v>
      </x:c>
      <x:c r="E2423" s="29" t="n">
        <x:f>YEAR(B2423)</x:f>
        <x:v>2015</x:v>
      </x:c>
      <x:c r="F2423" s="29" t="n">
        <x:f>MONTH(B2423)</x:f>
        <x:v>10</x:v>
      </x:c>
      <x:c r="G2423" s="30" t="n">
        <x:v>-31.76</x:v>
      </x:c>
      <x:c r="H2423" s="30" t="n">
        <x:v>-71.35</x:v>
      </x:c>
      <x:c r="I2423" s="29" t="n">
        <x:v>48</x:v>
      </x:c>
      <x:c r="J2423" s="31" t="n">
        <x:v>4</x:v>
      </x:c>
      <x:c r="K2423" s="25" t="str">
        <x:f>IF(J2423&gt;=7,"Muy fuerte (&gt;=7)",IF(J2423&gt;=6,"Fuerte (6-6.9)",IF(J2423&gt;=5,"Moderado alto (5-5.9)",IF(J2423&gt;=4,"Moderado (4-4.9)","Menor a 4"))))</x:f>
        <x:v>Moderado (4-4.9)</x:v>
      </x:c>
      <x:c r="L2423" s="25" t="str">
        <x:f>IF(I2423&lt;70,"Superficial (&lt;70 km)",IF(I2423&lt;=300,"Intermedio (70-300 km)","Profundo (&gt;300 km)"))</x:f>
        <x:v>Superficial (&lt;70 km)</x:v>
      </x:c>
      <x:c r="M2423" s="25" t="str">
        <x:f>IF(J2423&gt;=5,"Sí","No")</x:f>
        <x:v>No</x:v>
      </x:c>
      <x:c r="N2423" s="25" t="str">
        <x:f>IF(J2423&gt;=6,"Sí","No")</x:f>
        <x:v>No</x:v>
      </x:c>
      <x:c r="O2423" s="25" t="str">
        <x:v>Pendiente: asignar con R/sf</x:v>
      </x:c>
    </x:row>
    <x:row r="2424">
      <x:c r="A2424" s="25" t="n">
        <x:v>2423</x:v>
      </x:c>
      <x:c r="B2424" s="26" t="n">
        <x:v>42280.2687037037</x:v>
      </x:c>
      <x:c r="C2424" s="27" t="n">
        <x:f>INT(B2424)</x:f>
        <x:v>42280</x:v>
      </x:c>
      <x:c r="D2424" s="28" t="n">
        <x:f>MOD(B2424,1)</x:f>
        <x:v>0.26870370370306773</x:v>
      </x:c>
      <x:c r="E2424" s="29" t="n">
        <x:f>YEAR(B2424)</x:f>
        <x:v>2015</x:v>
      </x:c>
      <x:c r="F2424" s="29" t="n">
        <x:f>MONTH(B2424)</x:f>
        <x:v>10</x:v>
      </x:c>
      <x:c r="G2424" s="30" t="n">
        <x:v>-30.37</x:v>
      </x:c>
      <x:c r="H2424" s="30" t="n">
        <x:v>-71.37</x:v>
      </x:c>
      <x:c r="I2424" s="29" t="n">
        <x:v>34</x:v>
      </x:c>
      <x:c r="J2424" s="31" t="n">
        <x:v>6</x:v>
      </x:c>
      <x:c r="K2424" s="25" t="str">
        <x:f>IF(J2424&gt;=7,"Muy fuerte (&gt;=7)",IF(J2424&gt;=6,"Fuerte (6-6.9)",IF(J2424&gt;=5,"Moderado alto (5-5.9)",IF(J2424&gt;=4,"Moderado (4-4.9)","Menor a 4"))))</x:f>
        <x:v>Fuerte (6-6.9)</x:v>
      </x:c>
      <x:c r="L2424" s="25" t="str">
        <x:f>IF(I2424&lt;70,"Superficial (&lt;70 km)",IF(I2424&lt;=300,"Intermedio (70-300 km)","Profundo (&gt;300 km)"))</x:f>
        <x:v>Superficial (&lt;70 km)</x:v>
      </x:c>
      <x:c r="M2424" s="25" t="str">
        <x:f>IF(J2424&gt;=5,"Sí","No")</x:f>
        <x:v>Sí</x:v>
      </x:c>
      <x:c r="N2424" s="25" t="str">
        <x:f>IF(J2424&gt;=6,"Sí","No")</x:f>
        <x:v>Sí</x:v>
      </x:c>
      <x:c r="O2424" s="25" t="str">
        <x:v>Pendiente: asignar con R/sf</x:v>
      </x:c>
    </x:row>
    <x:row r="2425">
      <x:c r="A2425" s="25" t="n">
        <x:v>2424</x:v>
      </x:c>
      <x:c r="B2425" s="26" t="n">
        <x:v>42281.4249537037</x:v>
      </x:c>
      <x:c r="C2425" s="27" t="n">
        <x:f>INT(B2425)</x:f>
        <x:v>42281</x:v>
      </x:c>
      <x:c r="D2425" s="28" t="n">
        <x:f>MOD(B2425,1)</x:f>
        <x:v>0.42495370370306773</x:v>
      </x:c>
      <x:c r="E2425" s="29" t="n">
        <x:f>YEAR(B2425)</x:f>
        <x:v>2015</x:v>
      </x:c>
      <x:c r="F2425" s="29" t="n">
        <x:f>MONTH(B2425)</x:f>
        <x:v>10</x:v>
      </x:c>
      <x:c r="G2425" s="30" t="n">
        <x:v>-30.66</x:v>
      </x:c>
      <x:c r="H2425" s="30" t="n">
        <x:v>-71.63</x:v>
      </x:c>
      <x:c r="I2425" s="29" t="n">
        <x:v>30</x:v>
      </x:c>
      <x:c r="J2425" s="31" t="n">
        <x:v>5.2</x:v>
      </x:c>
      <x:c r="K2425" s="25" t="str">
        <x:f>IF(J2425&gt;=7,"Muy fuerte (&gt;=7)",IF(J2425&gt;=6,"Fuerte (6-6.9)",IF(J2425&gt;=5,"Moderado alto (5-5.9)",IF(J2425&gt;=4,"Moderado (4-4.9)","Menor a 4"))))</x:f>
        <x:v>Moderado alto (5-5.9)</x:v>
      </x:c>
      <x:c r="L2425" s="25" t="str">
        <x:f>IF(I2425&lt;70,"Superficial (&lt;70 km)",IF(I2425&lt;=300,"Intermedio (70-300 km)","Profundo (&gt;300 km)"))</x:f>
        <x:v>Superficial (&lt;70 km)</x:v>
      </x:c>
      <x:c r="M2425" s="25" t="str">
        <x:f>IF(J2425&gt;=5,"Sí","No")</x:f>
        <x:v>Sí</x:v>
      </x:c>
      <x:c r="N2425" s="25" t="str">
        <x:f>IF(J2425&gt;=6,"Sí","No")</x:f>
        <x:v>No</x:v>
      </x:c>
      <x:c r="O2425" s="25" t="str">
        <x:v>Pendiente: asignar con R/sf</x:v>
      </x:c>
    </x:row>
    <x:row r="2426">
      <x:c r="A2426" s="25" t="n">
        <x:v>2425</x:v>
      </x:c>
      <x:c r="B2426" s="26" t="n">
        <x:v>42282.68989583333</x:v>
      </x:c>
      <x:c r="C2426" s="27" t="n">
        <x:f>INT(B2426)</x:f>
        <x:v>42282</x:v>
      </x:c>
      <x:c r="D2426" s="28" t="n">
        <x:f>MOD(B2426,1)</x:f>
        <x:v>0.6898958333331393</x:v>
      </x:c>
      <x:c r="E2426" s="29" t="n">
        <x:f>YEAR(B2426)</x:f>
        <x:v>2015</x:v>
      </x:c>
      <x:c r="F2426" s="29" t="n">
        <x:f>MONTH(B2426)</x:f>
        <x:v>10</x:v>
      </x:c>
      <x:c r="G2426" s="30" t="n">
        <x:v>-30.35</x:v>
      </x:c>
      <x:c r="H2426" s="30" t="n">
        <x:v>-71.47</x:v>
      </x:c>
      <x:c r="I2426" s="29" t="n">
        <x:v>29</x:v>
      </x:c>
      <x:c r="J2426" s="31" t="n">
        <x:v>6.1</x:v>
      </x:c>
      <x:c r="K2426" s="25" t="str">
        <x:f>IF(J2426&gt;=7,"Muy fuerte (&gt;=7)",IF(J2426&gt;=6,"Fuerte (6-6.9)",IF(J2426&gt;=5,"Moderado alto (5-5.9)",IF(J2426&gt;=4,"Moderado (4-4.9)","Menor a 4"))))</x:f>
        <x:v>Fuerte (6-6.9)</x:v>
      </x:c>
      <x:c r="L2426" s="25" t="str">
        <x:f>IF(I2426&lt;70,"Superficial (&lt;70 km)",IF(I2426&lt;=300,"Intermedio (70-300 km)","Profundo (&gt;300 km)"))</x:f>
        <x:v>Superficial (&lt;70 km)</x:v>
      </x:c>
      <x:c r="M2426" s="25" t="str">
        <x:f>IF(J2426&gt;=5,"Sí","No")</x:f>
        <x:v>Sí</x:v>
      </x:c>
      <x:c r="N2426" s="25" t="str">
        <x:f>IF(J2426&gt;=6,"Sí","No")</x:f>
        <x:v>Sí</x:v>
      </x:c>
      <x:c r="O2426" s="25" t="str">
        <x:v>Pendiente: asignar con R/sf</x:v>
      </x:c>
    </x:row>
    <x:row r="2427">
      <x:c r="A2427" s="25" t="n">
        <x:v>2426</x:v>
      </x:c>
      <x:c r="B2427" s="26" t="n">
        <x:v>42283.4496875</x:v>
      </x:c>
      <x:c r="C2427" s="27" t="n">
        <x:f>INT(B2427)</x:f>
        <x:v>42283</x:v>
      </x:c>
      <x:c r="D2427" s="28" t="n">
        <x:f>MOD(B2427,1)</x:f>
        <x:v>0.4496874999967986</x:v>
      </x:c>
      <x:c r="E2427" s="29" t="n">
        <x:f>YEAR(B2427)</x:f>
        <x:v>2015</x:v>
      </x:c>
      <x:c r="F2427" s="29" t="n">
        <x:f>MONTH(B2427)</x:f>
        <x:v>10</x:v>
      </x:c>
      <x:c r="G2427" s="30" t="n">
        <x:v>-31.52</x:v>
      </x:c>
      <x:c r="H2427" s="30" t="n">
        <x:v>-71.45</x:v>
      </x:c>
      <x:c r="I2427" s="29" t="n">
        <x:v>15</x:v>
      </x:c>
      <x:c r="J2427" s="31" t="n">
        <x:v>5.1</x:v>
      </x:c>
      <x:c r="K2427" s="25" t="str">
        <x:f>IF(J2427&gt;=7,"Muy fuerte (&gt;=7)",IF(J2427&gt;=6,"Fuerte (6-6.9)",IF(J2427&gt;=5,"Moderado alto (5-5.9)",IF(J2427&gt;=4,"Moderado (4-4.9)","Menor a 4"))))</x:f>
        <x:v>Moderado alto (5-5.9)</x:v>
      </x:c>
      <x:c r="L2427" s="25" t="str">
        <x:f>IF(I2427&lt;70,"Superficial (&lt;70 km)",IF(I2427&lt;=300,"Intermedio (70-300 km)","Profundo (&gt;300 km)"))</x:f>
        <x:v>Superficial (&lt;70 km)</x:v>
      </x:c>
      <x:c r="M2427" s="25" t="str">
        <x:f>IF(J2427&gt;=5,"Sí","No")</x:f>
        <x:v>Sí</x:v>
      </x:c>
      <x:c r="N2427" s="25" t="str">
        <x:f>IF(J2427&gt;=6,"Sí","No")</x:f>
        <x:v>No</x:v>
      </x:c>
      <x:c r="O2427" s="25" t="str">
        <x:v>Pendiente: asignar con R/sf</x:v>
      </x:c>
    </x:row>
    <x:row r="2428">
      <x:c r="A2428" s="25" t="n">
        <x:v>2427</x:v>
      </x:c>
      <x:c r="B2428" s="26" t="n">
        <x:v>42283.95038194444</x:v>
      </x:c>
      <x:c r="C2428" s="27" t="n">
        <x:f>INT(B2428)</x:f>
        <x:v>42283</x:v>
      </x:c>
      <x:c r="D2428" s="28" t="n">
        <x:f>MOD(B2428,1)</x:f>
        <x:v>0.9503819444435067</x:v>
      </x:c>
      <x:c r="E2428" s="29" t="n">
        <x:f>YEAR(B2428)</x:f>
        <x:v>2015</x:v>
      </x:c>
      <x:c r="F2428" s="29" t="n">
        <x:f>MONTH(B2428)</x:f>
        <x:v>10</x:v>
      </x:c>
      <x:c r="G2428" s="30" t="n">
        <x:v>-30.85</x:v>
      </x:c>
      <x:c r="H2428" s="30" t="n">
        <x:v>-71.46</x:v>
      </x:c>
      <x:c r="I2428" s="29" t="n">
        <x:v>46</x:v>
      </x:c>
      <x:c r="J2428" s="31" t="n">
        <x:v>5</x:v>
      </x:c>
      <x:c r="K2428" s="25" t="str">
        <x:f>IF(J2428&gt;=7,"Muy fuerte (&gt;=7)",IF(J2428&gt;=6,"Fuerte (6-6.9)",IF(J2428&gt;=5,"Moderado alto (5-5.9)",IF(J2428&gt;=4,"Moderado (4-4.9)","Menor a 4"))))</x:f>
        <x:v>Moderado alto (5-5.9)</x:v>
      </x:c>
      <x:c r="L2428" s="25" t="str">
        <x:f>IF(I2428&lt;70,"Superficial (&lt;70 km)",IF(I2428&lt;=300,"Intermedio (70-300 km)","Profundo (&gt;300 km)"))</x:f>
        <x:v>Superficial (&lt;70 km)</x:v>
      </x:c>
      <x:c r="M2428" s="25" t="str">
        <x:f>IF(J2428&gt;=5,"Sí","No")</x:f>
        <x:v>Sí</x:v>
      </x:c>
      <x:c r="N2428" s="25" t="str">
        <x:f>IF(J2428&gt;=6,"Sí","No")</x:f>
        <x:v>No</x:v>
      </x:c>
      <x:c r="O2428" s="25" t="str">
        <x:v>Pendiente: asignar con R/sf</x:v>
      </x:c>
    </x:row>
    <x:row r="2429">
      <x:c r="A2429" s="25" t="n">
        <x:v>2428</x:v>
      </x:c>
      <x:c r="B2429" s="26" t="n">
        <x:v>42284.3337962963</x:v>
      </x:c>
      <x:c r="C2429" s="27" t="n">
        <x:f>INT(B2429)</x:f>
        <x:v>42284</x:v>
      </x:c>
      <x:c r="D2429" s="28" t="n">
        <x:f>MOD(B2429,1)</x:f>
        <x:v>0.3337962962978054</x:v>
      </x:c>
      <x:c r="E2429" s="29" t="n">
        <x:f>YEAR(B2429)</x:f>
        <x:v>2015</x:v>
      </x:c>
      <x:c r="F2429" s="29" t="n">
        <x:f>MONTH(B2429)</x:f>
        <x:v>10</x:v>
      </x:c>
      <x:c r="G2429" s="30" t="n">
        <x:v>-30.3</x:v>
      </x:c>
      <x:c r="H2429" s="30" t="n">
        <x:v>-71.23</x:v>
      </x:c>
      <x:c r="I2429" s="29" t="n">
        <x:v>24</x:v>
      </x:c>
      <x:c r="J2429" s="31" t="n">
        <x:v>5.2</x:v>
      </x:c>
      <x:c r="K2429" s="25" t="str">
        <x:f>IF(J2429&gt;=7,"Muy fuerte (&gt;=7)",IF(J2429&gt;=6,"Fuerte (6-6.9)",IF(J2429&gt;=5,"Moderado alto (5-5.9)",IF(J2429&gt;=4,"Moderado (4-4.9)","Menor a 4"))))</x:f>
        <x:v>Moderado alto (5-5.9)</x:v>
      </x:c>
      <x:c r="L2429" s="25" t="str">
        <x:f>IF(I2429&lt;70,"Superficial (&lt;70 km)",IF(I2429&lt;=300,"Intermedio (70-300 km)","Profundo (&gt;300 km)"))</x:f>
        <x:v>Superficial (&lt;70 km)</x:v>
      </x:c>
      <x:c r="M2429" s="25" t="str">
        <x:f>IF(J2429&gt;=5,"Sí","No")</x:f>
        <x:v>Sí</x:v>
      </x:c>
      <x:c r="N2429" s="25" t="str">
        <x:f>IF(J2429&gt;=6,"Sí","No")</x:f>
        <x:v>No</x:v>
      </x:c>
      <x:c r="O2429" s="25" t="str">
        <x:v>Pendiente: asignar con R/sf</x:v>
      </x:c>
    </x:row>
    <x:row r="2430">
      <x:c r="A2430" s="25" t="n">
        <x:v>2429</x:v>
      </x:c>
      <x:c r="B2430" s="26" t="n">
        <x:v>42286.25619212963</x:v>
      </x:c>
      <x:c r="C2430" s="27" t="n">
        <x:f>INT(B2430)</x:f>
        <x:v>42286</x:v>
      </x:c>
      <x:c r="D2430" s="28" t="n">
        <x:f>MOD(B2430,1)</x:f>
        <x:v>0.25619212962919846</x:v>
      </x:c>
      <x:c r="E2430" s="29" t="n">
        <x:f>YEAR(B2430)</x:f>
        <x:v>2015</x:v>
      </x:c>
      <x:c r="F2430" s="29" t="n">
        <x:f>MONTH(B2430)</x:f>
        <x:v>10</x:v>
      </x:c>
      <x:c r="G2430" s="30" t="n">
        <x:v>-30.82</x:v>
      </x:c>
      <x:c r="H2430" s="30" t="n">
        <x:v>-71.42</x:v>
      </x:c>
      <x:c r="I2430" s="29" t="n">
        <x:v>48</x:v>
      </x:c>
      <x:c r="J2430" s="31" t="n">
        <x:v>4.7</x:v>
      </x:c>
      <x:c r="K2430" s="25" t="str">
        <x:f>IF(J2430&gt;=7,"Muy fuerte (&gt;=7)",IF(J2430&gt;=6,"Fuerte (6-6.9)",IF(J2430&gt;=5,"Moderado alto (5-5.9)",IF(J2430&gt;=4,"Moderado (4-4.9)","Menor a 4"))))</x:f>
        <x:v>Moderado (4-4.9)</x:v>
      </x:c>
      <x:c r="L2430" s="25" t="str">
        <x:f>IF(I2430&lt;70,"Superficial (&lt;70 km)",IF(I2430&lt;=300,"Intermedio (70-300 km)","Profundo (&gt;300 km)"))</x:f>
        <x:v>Superficial (&lt;70 km)</x:v>
      </x:c>
      <x:c r="M2430" s="25" t="str">
        <x:f>IF(J2430&gt;=5,"Sí","No")</x:f>
        <x:v>No</x:v>
      </x:c>
      <x:c r="N2430" s="25" t="str">
        <x:f>IF(J2430&gt;=6,"Sí","No")</x:f>
        <x:v>No</x:v>
      </x:c>
      <x:c r="O2430" s="25" t="str">
        <x:v>Pendiente: asignar con R/sf</x:v>
      </x:c>
    </x:row>
    <x:row r="2431">
      <x:c r="A2431" s="25" t="n">
        <x:v>2430</x:v>
      </x:c>
      <x:c r="B2431" s="26" t="n">
        <x:v>42286.28649305556</x:v>
      </x:c>
      <x:c r="C2431" s="27" t="n">
        <x:f>INT(B2431)</x:f>
        <x:v>42286</x:v>
      </x:c>
      <x:c r="D2431" s="28" t="n">
        <x:f>MOD(B2431,1)</x:f>
        <x:v>0.28649305555882165</x:v>
      </x:c>
      <x:c r="E2431" s="29" t="n">
        <x:f>YEAR(B2431)</x:f>
        <x:v>2015</x:v>
      </x:c>
      <x:c r="F2431" s="29" t="n">
        <x:f>MONTH(B2431)</x:f>
        <x:v>10</x:v>
      </x:c>
      <x:c r="G2431" s="30" t="n">
        <x:v>-31.52</x:v>
      </x:c>
      <x:c r="H2431" s="30" t="n">
        <x:v>-71.49</x:v>
      </x:c>
      <x:c r="I2431" s="29" t="n">
        <x:v>45</x:v>
      </x:c>
      <x:c r="J2431" s="31" t="n">
        <x:v>4</x:v>
      </x:c>
      <x:c r="K2431" s="25" t="str">
        <x:f>IF(J2431&gt;=7,"Muy fuerte (&gt;=7)",IF(J2431&gt;=6,"Fuerte (6-6.9)",IF(J2431&gt;=5,"Moderado alto (5-5.9)",IF(J2431&gt;=4,"Moderado (4-4.9)","Menor a 4"))))</x:f>
        <x:v>Moderado (4-4.9)</x:v>
      </x:c>
      <x:c r="L2431" s="25" t="str">
        <x:f>IF(I2431&lt;70,"Superficial (&lt;70 km)",IF(I2431&lt;=300,"Intermedio (70-300 km)","Profundo (&gt;300 km)"))</x:f>
        <x:v>Superficial (&lt;70 km)</x:v>
      </x:c>
      <x:c r="M2431" s="25" t="str">
        <x:f>IF(J2431&gt;=5,"Sí","No")</x:f>
        <x:v>No</x:v>
      </x:c>
      <x:c r="N2431" s="25" t="str">
        <x:f>IF(J2431&gt;=6,"Sí","No")</x:f>
        <x:v>No</x:v>
      </x:c>
      <x:c r="O2431" s="25" t="str">
        <x:v>Pendiente: asignar con R/sf</x:v>
      </x:c>
    </x:row>
    <x:row r="2432">
      <x:c r="A2432" s="25" t="n">
        <x:v>2431</x:v>
      </x:c>
      <x:c r="B2432" s="26" t="n">
        <x:v>42286.76914351852</x:v>
      </x:c>
      <x:c r="C2432" s="27" t="n">
        <x:f>INT(B2432)</x:f>
        <x:v>42286</x:v>
      </x:c>
      <x:c r="D2432" s="28" t="n">
        <x:f>MOD(B2432,1)</x:f>
        <x:v>0.7691435185188311</x:v>
      </x:c>
      <x:c r="E2432" s="29" t="n">
        <x:f>YEAR(B2432)</x:f>
        <x:v>2015</x:v>
      </x:c>
      <x:c r="F2432" s="29" t="n">
        <x:f>MONTH(B2432)</x:f>
        <x:v>10</x:v>
      </x:c>
      <x:c r="G2432" s="30" t="n">
        <x:v>-31.76</x:v>
      </x:c>
      <x:c r="H2432" s="30" t="n">
        <x:v>-71.71</x:v>
      </x:c>
      <x:c r="I2432" s="29" t="n">
        <x:v>36</x:v>
      </x:c>
      <x:c r="J2432" s="31" t="n">
        <x:v>5.5</x:v>
      </x:c>
      <x:c r="K2432" s="25" t="str">
        <x:f>IF(J2432&gt;=7,"Muy fuerte (&gt;=7)",IF(J2432&gt;=6,"Fuerte (6-6.9)",IF(J2432&gt;=5,"Moderado alto (5-5.9)",IF(J2432&gt;=4,"Moderado (4-4.9)","Menor a 4"))))</x:f>
        <x:v>Moderado alto (5-5.9)</x:v>
      </x:c>
      <x:c r="L2432" s="25" t="str">
        <x:f>IF(I2432&lt;70,"Superficial (&lt;70 km)",IF(I2432&lt;=300,"Intermedio (70-300 km)","Profundo (&gt;300 km)"))</x:f>
        <x:v>Superficial (&lt;70 km)</x:v>
      </x:c>
      <x:c r="M2432" s="25" t="str">
        <x:f>IF(J2432&gt;=5,"Sí","No")</x:f>
        <x:v>Sí</x:v>
      </x:c>
      <x:c r="N2432" s="25" t="str">
        <x:f>IF(J2432&gt;=6,"Sí","No")</x:f>
        <x:v>No</x:v>
      </x:c>
      <x:c r="O2432" s="25" t="str">
        <x:v>Pendiente: asignar con R/sf</x:v>
      </x:c>
    </x:row>
    <x:row r="2433">
      <x:c r="A2433" s="25" t="n">
        <x:v>2432</x:v>
      </x:c>
      <x:c r="B2433" s="26" t="n">
        <x:v>42288.106620370374</x:v>
      </x:c>
      <x:c r="C2433" s="27" t="n">
        <x:f>INT(B2433)</x:f>
        <x:v>42288</x:v>
      </x:c>
      <x:c r="D2433" s="28" t="n">
        <x:f>MOD(B2433,1)</x:f>
        <x:v>0.10662037037400296</x:v>
      </x:c>
      <x:c r="E2433" s="29" t="n">
        <x:f>YEAR(B2433)</x:f>
        <x:v>2015</x:v>
      </x:c>
      <x:c r="F2433" s="29" t="n">
        <x:f>MONTH(B2433)</x:f>
        <x:v>10</x:v>
      </x:c>
      <x:c r="G2433" s="30" t="n">
        <x:v>-30.71</x:v>
      </x:c>
      <x:c r="H2433" s="30" t="n">
        <x:v>-71.44</x:v>
      </x:c>
      <x:c r="I2433" s="29" t="n">
        <x:v>48</x:v>
      </x:c>
      <x:c r="J2433" s="31" t="n">
        <x:v>4.8</x:v>
      </x:c>
      <x:c r="K2433" s="25" t="str">
        <x:f>IF(J2433&gt;=7,"Muy fuerte (&gt;=7)",IF(J2433&gt;=6,"Fuerte (6-6.9)",IF(J2433&gt;=5,"Moderado alto (5-5.9)",IF(J2433&gt;=4,"Moderado (4-4.9)","Menor a 4"))))</x:f>
        <x:v>Moderado (4-4.9)</x:v>
      </x:c>
      <x:c r="L2433" s="25" t="str">
        <x:f>IF(I2433&lt;70,"Superficial (&lt;70 km)",IF(I2433&lt;=300,"Intermedio (70-300 km)","Profundo (&gt;300 km)"))</x:f>
        <x:v>Superficial (&lt;70 km)</x:v>
      </x:c>
      <x:c r="M2433" s="25" t="str">
        <x:f>IF(J2433&gt;=5,"Sí","No")</x:f>
        <x:v>No</x:v>
      </x:c>
      <x:c r="N2433" s="25" t="str">
        <x:f>IF(J2433&gt;=6,"Sí","No")</x:f>
        <x:v>No</x:v>
      </x:c>
      <x:c r="O2433" s="25" t="str">
        <x:v>Pendiente: asignar con R/sf</x:v>
      </x:c>
    </x:row>
    <x:row r="2434">
      <x:c r="A2434" s="25" t="n">
        <x:v>2433</x:v>
      </x:c>
      <x:c r="B2434" s="26" t="n">
        <x:v>42288.89148148148</x:v>
      </x:c>
      <x:c r="C2434" s="27" t="n">
        <x:f>INT(B2434)</x:f>
        <x:v>42288</x:v>
      </x:c>
      <x:c r="D2434" s="28" t="n">
        <x:f>MOD(B2434,1)</x:f>
        <x:v>0.8914814814779675</x:v>
      </x:c>
      <x:c r="E2434" s="29" t="n">
        <x:f>YEAR(B2434)</x:f>
        <x:v>2015</x:v>
      </x:c>
      <x:c r="F2434" s="29" t="n">
        <x:f>MONTH(B2434)</x:f>
        <x:v>10</x:v>
      </x:c>
      <x:c r="G2434" s="30" t="n">
        <x:v>-30.69</x:v>
      </x:c>
      <x:c r="H2434" s="30" t="n">
        <x:v>-71.41</x:v>
      </x:c>
      <x:c r="I2434" s="29" t="n">
        <x:v>48</x:v>
      </x:c>
      <x:c r="J2434" s="31" t="n">
        <x:v>4.3</x:v>
      </x:c>
      <x:c r="K2434" s="25" t="str">
        <x:f>IF(J2434&gt;=7,"Muy fuerte (&gt;=7)",IF(J2434&gt;=6,"Fuerte (6-6.9)",IF(J2434&gt;=5,"Moderado alto (5-5.9)",IF(J2434&gt;=4,"Moderado (4-4.9)","Menor a 4"))))</x:f>
        <x:v>Moderado (4-4.9)</x:v>
      </x:c>
      <x:c r="L2434" s="25" t="str">
        <x:f>IF(I2434&lt;70,"Superficial (&lt;70 km)",IF(I2434&lt;=300,"Intermedio (70-300 km)","Profundo (&gt;300 km)"))</x:f>
        <x:v>Superficial (&lt;70 km)</x:v>
      </x:c>
      <x:c r="M2434" s="25" t="str">
        <x:f>IF(J2434&gt;=5,"Sí","No")</x:f>
        <x:v>No</x:v>
      </x:c>
      <x:c r="N2434" s="25" t="str">
        <x:f>IF(J2434&gt;=6,"Sí","No")</x:f>
        <x:v>No</x:v>
      </x:c>
      <x:c r="O2434" s="25" t="str">
        <x:v>Pendiente: asignar con R/sf</x:v>
      </x:c>
    </x:row>
    <x:row r="2435">
      <x:c r="A2435" s="25" t="n">
        <x:v>2434</x:v>
      </x:c>
      <x:c r="B2435" s="26" t="n">
        <x:v>42289.135625</x:v>
      </x:c>
      <x:c r="C2435" s="27" t="n">
        <x:f>INT(B2435)</x:f>
        <x:v>42289</x:v>
      </x:c>
      <x:c r="D2435" s="28" t="n">
        <x:f>MOD(B2435,1)</x:f>
        <x:v>0.13562500000261934</x:v>
      </x:c>
      <x:c r="E2435" s="29" t="n">
        <x:f>YEAR(B2435)</x:f>
        <x:v>2015</x:v>
      </x:c>
      <x:c r="F2435" s="29" t="n">
        <x:f>MONTH(B2435)</x:f>
        <x:v>10</x:v>
      </x:c>
      <x:c r="G2435" s="30" t="n">
        <x:v>-31.18</x:v>
      </x:c>
      <x:c r="H2435" s="30" t="n">
        <x:v>-71.79</x:v>
      </x:c>
      <x:c r="I2435" s="29" t="n">
        <x:v>39</x:v>
      </x:c>
      <x:c r="J2435" s="31" t="n">
        <x:v>5.4</x:v>
      </x:c>
      <x:c r="K2435" s="25" t="str">
        <x:f>IF(J2435&gt;=7,"Muy fuerte (&gt;=7)",IF(J2435&gt;=6,"Fuerte (6-6.9)",IF(J2435&gt;=5,"Moderado alto (5-5.9)",IF(J2435&gt;=4,"Moderado (4-4.9)","Menor a 4"))))</x:f>
        <x:v>Moderado alto (5-5.9)</x:v>
      </x:c>
      <x:c r="L2435" s="25" t="str">
        <x:f>IF(I2435&lt;70,"Superficial (&lt;70 km)",IF(I2435&lt;=300,"Intermedio (70-300 km)","Profundo (&gt;300 km)"))</x:f>
        <x:v>Superficial (&lt;70 km)</x:v>
      </x:c>
      <x:c r="M2435" s="25" t="str">
        <x:f>IF(J2435&gt;=5,"Sí","No")</x:f>
        <x:v>Sí</x:v>
      </x:c>
      <x:c r="N2435" s="25" t="str">
        <x:f>IF(J2435&gt;=6,"Sí","No")</x:f>
        <x:v>No</x:v>
      </x:c>
      <x:c r="O2435" s="25" t="str">
        <x:v>Pendiente: asignar con R/sf</x:v>
      </x:c>
    </x:row>
    <x:row r="2436">
      <x:c r="A2436" s="25" t="n">
        <x:v>2435</x:v>
      </x:c>
      <x:c r="B2436" s="26" t="n">
        <x:v>42289.146898148145</x:v>
      </x:c>
      <x:c r="C2436" s="27" t="n">
        <x:f>INT(B2436)</x:f>
        <x:v>42289</x:v>
      </x:c>
      <x:c r="D2436" s="28" t="n">
        <x:f>MOD(B2436,1)</x:f>
        <x:v>0.14689814814482816</x:v>
      </x:c>
      <x:c r="E2436" s="29" t="n">
        <x:f>YEAR(B2436)</x:f>
        <x:v>2015</x:v>
      </x:c>
      <x:c r="F2436" s="29" t="n">
        <x:f>MONTH(B2436)</x:f>
        <x:v>10</x:v>
      </x:c>
      <x:c r="G2436" s="30" t="n">
        <x:v>-31.19</x:v>
      </x:c>
      <x:c r="H2436" s="30" t="n">
        <x:v>-71.79</x:v>
      </x:c>
      <x:c r="I2436" s="29" t="n">
        <x:v>31</x:v>
      </x:c>
      <x:c r="J2436" s="31" t="n">
        <x:v>5</x:v>
      </x:c>
      <x:c r="K2436" s="25" t="str">
        <x:f>IF(J2436&gt;=7,"Muy fuerte (&gt;=7)",IF(J2436&gt;=6,"Fuerte (6-6.9)",IF(J2436&gt;=5,"Moderado alto (5-5.9)",IF(J2436&gt;=4,"Moderado (4-4.9)","Menor a 4"))))</x:f>
        <x:v>Moderado alto (5-5.9)</x:v>
      </x:c>
      <x:c r="L2436" s="25" t="str">
        <x:f>IF(I2436&lt;70,"Superficial (&lt;70 km)",IF(I2436&lt;=300,"Intermedio (70-300 km)","Profundo (&gt;300 km)"))</x:f>
        <x:v>Superficial (&lt;70 km)</x:v>
      </x:c>
      <x:c r="M2436" s="25" t="str">
        <x:f>IF(J2436&gt;=5,"Sí","No")</x:f>
        <x:v>Sí</x:v>
      </x:c>
      <x:c r="N2436" s="25" t="str">
        <x:f>IF(J2436&gt;=6,"Sí","No")</x:f>
        <x:v>No</x:v>
      </x:c>
      <x:c r="O2436" s="25" t="str">
        <x:v>Pendiente: asignar con R/sf</x:v>
      </x:c>
    </x:row>
    <x:row r="2437">
      <x:c r="A2437" s="25" t="n">
        <x:v>2436</x:v>
      </x:c>
      <x:c r="B2437" s="26" t="n">
        <x:v>42289.66738425926</x:v>
      </x:c>
      <x:c r="C2437" s="27" t="n">
        <x:f>INT(B2437)</x:f>
        <x:v>42289</x:v>
      </x:c>
      <x:c r="D2437" s="28" t="n">
        <x:f>MOD(B2437,1)</x:f>
        <x:v>0.6673842592572328</x:v>
      </x:c>
      <x:c r="E2437" s="29" t="n">
        <x:f>YEAR(B2437)</x:f>
        <x:v>2015</x:v>
      </x:c>
      <x:c r="F2437" s="29" t="n">
        <x:f>MONTH(B2437)</x:f>
        <x:v>10</x:v>
      </x:c>
      <x:c r="G2437" s="30" t="n">
        <x:v>-30.76</x:v>
      </x:c>
      <x:c r="H2437" s="30" t="n">
        <x:v>-71.37</x:v>
      </x:c>
      <x:c r="I2437" s="29" t="n">
        <x:v>54</x:v>
      </x:c>
      <x:c r="J2437" s="31" t="n">
        <x:v>4.5</x:v>
      </x:c>
      <x:c r="K2437" s="25" t="str">
        <x:f>IF(J2437&gt;=7,"Muy fuerte (&gt;=7)",IF(J2437&gt;=6,"Fuerte (6-6.9)",IF(J2437&gt;=5,"Moderado alto (5-5.9)",IF(J2437&gt;=4,"Moderado (4-4.9)","Menor a 4"))))</x:f>
        <x:v>Moderado (4-4.9)</x:v>
      </x:c>
      <x:c r="L2437" s="25" t="str">
        <x:f>IF(I2437&lt;70,"Superficial (&lt;70 km)",IF(I2437&lt;=300,"Intermedio (70-300 km)","Profundo (&gt;300 km)"))</x:f>
        <x:v>Superficial (&lt;70 km)</x:v>
      </x:c>
      <x:c r="M2437" s="25" t="str">
        <x:f>IF(J2437&gt;=5,"Sí","No")</x:f>
        <x:v>No</x:v>
      </x:c>
      <x:c r="N2437" s="25" t="str">
        <x:f>IF(J2437&gt;=6,"Sí","No")</x:f>
        <x:v>No</x:v>
      </x:c>
      <x:c r="O2437" s="25" t="str">
        <x:v>Pendiente: asignar con R/sf</x:v>
      </x:c>
    </x:row>
    <x:row r="2438">
      <x:c r="A2438" s="25" t="n">
        <x:v>2437</x:v>
      </x:c>
      <x:c r="B2438" s="26" t="n">
        <x:v>42292.46053240741</x:v>
      </x:c>
      <x:c r="C2438" s="27" t="n">
        <x:f>INT(B2438)</x:f>
        <x:v>42292</x:v>
      </x:c>
      <x:c r="D2438" s="28" t="n">
        <x:f>MOD(B2438,1)</x:f>
        <x:v>0.4605324074072996</x:v>
      </x:c>
      <x:c r="E2438" s="29" t="n">
        <x:f>YEAR(B2438)</x:f>
        <x:v>2015</x:v>
      </x:c>
      <x:c r="F2438" s="29" t="n">
        <x:f>MONTH(B2438)</x:f>
        <x:v>10</x:v>
      </x:c>
      <x:c r="G2438" s="30" t="n">
        <x:v>-30.86</x:v>
      </x:c>
      <x:c r="H2438" s="30" t="n">
        <x:v>-71.73</x:v>
      </x:c>
      <x:c r="I2438" s="29" t="n">
        <x:v>46</x:v>
      </x:c>
      <x:c r="J2438" s="31" t="n">
        <x:v>4.6</x:v>
      </x:c>
      <x:c r="K2438" s="25" t="str">
        <x:f>IF(J2438&gt;=7,"Muy fuerte (&gt;=7)",IF(J2438&gt;=6,"Fuerte (6-6.9)",IF(J2438&gt;=5,"Moderado alto (5-5.9)",IF(J2438&gt;=4,"Moderado (4-4.9)","Menor a 4"))))</x:f>
        <x:v>Moderado (4-4.9)</x:v>
      </x:c>
      <x:c r="L2438" s="25" t="str">
        <x:f>IF(I2438&lt;70,"Superficial (&lt;70 km)",IF(I2438&lt;=300,"Intermedio (70-300 km)","Profundo (&gt;300 km)"))</x:f>
        <x:v>Superficial (&lt;70 km)</x:v>
      </x:c>
      <x:c r="M2438" s="25" t="str">
        <x:f>IF(J2438&gt;=5,"Sí","No")</x:f>
        <x:v>No</x:v>
      </x:c>
      <x:c r="N2438" s="25" t="str">
        <x:f>IF(J2438&gt;=6,"Sí","No")</x:f>
        <x:v>No</x:v>
      </x:c>
      <x:c r="O2438" s="25" t="str">
        <x:v>Pendiente: asignar con R/sf</x:v>
      </x:c>
    </x:row>
    <x:row r="2439">
      <x:c r="A2439" s="25" t="n">
        <x:v>2438</x:v>
      </x:c>
      <x:c r="B2439" s="26" t="n">
        <x:v>42296.74793981481</x:v>
      </x:c>
      <x:c r="C2439" s="27" t="n">
        <x:f>INT(B2439)</x:f>
        <x:v>42296</x:v>
      </x:c>
      <x:c r="D2439" s="28" t="n">
        <x:f>MOD(B2439,1)</x:f>
        <x:v>0.7479398148134351</x:v>
      </x:c>
      <x:c r="E2439" s="29" t="n">
        <x:f>YEAR(B2439)</x:f>
        <x:v>2015</x:v>
      </x:c>
      <x:c r="F2439" s="29" t="n">
        <x:f>MONTH(B2439)</x:f>
        <x:v>10</x:v>
      </x:c>
      <x:c r="G2439" s="30" t="n">
        <x:v>-30.71</x:v>
      </x:c>
      <x:c r="H2439" s="30" t="n">
        <x:v>-71.43</x:v>
      </x:c>
      <x:c r="I2439" s="29" t="n">
        <x:v>50</x:v>
      </x:c>
      <x:c r="J2439" s="31" t="n">
        <x:v>4.5</x:v>
      </x:c>
      <x:c r="K2439" s="25" t="str">
        <x:f>IF(J2439&gt;=7,"Muy fuerte (&gt;=7)",IF(J2439&gt;=6,"Fuerte (6-6.9)",IF(J2439&gt;=5,"Moderado alto (5-5.9)",IF(J2439&gt;=4,"Moderado (4-4.9)","Menor a 4"))))</x:f>
        <x:v>Moderado (4-4.9)</x:v>
      </x:c>
      <x:c r="L2439" s="25" t="str">
        <x:f>IF(I2439&lt;70,"Superficial (&lt;70 km)",IF(I2439&lt;=300,"Intermedio (70-300 km)","Profundo (&gt;300 km)"))</x:f>
        <x:v>Superficial (&lt;70 km)</x:v>
      </x:c>
      <x:c r="M2439" s="25" t="str">
        <x:f>IF(J2439&gt;=5,"Sí","No")</x:f>
        <x:v>No</x:v>
      </x:c>
      <x:c r="N2439" s="25" t="str">
        <x:f>IF(J2439&gt;=6,"Sí","No")</x:f>
        <x:v>No</x:v>
      </x:c>
      <x:c r="O2439" s="25" t="str">
        <x:v>Pendiente: asignar con R/sf</x:v>
      </x:c>
    </x:row>
    <x:row r="2440">
      <x:c r="A2440" s="25" t="n">
        <x:v>2439</x:v>
      </x:c>
      <x:c r="B2440" s="26" t="n">
        <x:v>42297.17145833333</x:v>
      </x:c>
      <x:c r="C2440" s="27" t="n">
        <x:f>INT(B2440)</x:f>
        <x:v>42297</x:v>
      </x:c>
      <x:c r="D2440" s="28" t="n">
        <x:f>MOD(B2440,1)</x:f>
        <x:v>0.17145833333051996</x:v>
      </x:c>
      <x:c r="E2440" s="29" t="n">
        <x:f>YEAR(B2440)</x:f>
        <x:v>2015</x:v>
      </x:c>
      <x:c r="F2440" s="29" t="n">
        <x:f>MONTH(B2440)</x:f>
        <x:v>10</x:v>
      </x:c>
      <x:c r="G2440" s="30" t="n">
        <x:v>-30.76</x:v>
      </x:c>
      <x:c r="H2440" s="30" t="n">
        <x:v>-71.46</x:v>
      </x:c>
      <x:c r="I2440" s="29" t="n">
        <x:v>50</x:v>
      </x:c>
      <x:c r="J2440" s="31" t="n">
        <x:v>5</x:v>
      </x:c>
      <x:c r="K2440" s="25" t="str">
        <x:f>IF(J2440&gt;=7,"Muy fuerte (&gt;=7)",IF(J2440&gt;=6,"Fuerte (6-6.9)",IF(J2440&gt;=5,"Moderado alto (5-5.9)",IF(J2440&gt;=4,"Moderado (4-4.9)","Menor a 4"))))</x:f>
        <x:v>Moderado alto (5-5.9)</x:v>
      </x:c>
      <x:c r="L2440" s="25" t="str">
        <x:f>IF(I2440&lt;70,"Superficial (&lt;70 km)",IF(I2440&lt;=300,"Intermedio (70-300 km)","Profundo (&gt;300 km)"))</x:f>
        <x:v>Superficial (&lt;70 km)</x:v>
      </x:c>
      <x:c r="M2440" s="25" t="str">
        <x:f>IF(J2440&gt;=5,"Sí","No")</x:f>
        <x:v>Sí</x:v>
      </x:c>
      <x:c r="N2440" s="25" t="str">
        <x:f>IF(J2440&gt;=6,"Sí","No")</x:f>
        <x:v>No</x:v>
      </x:c>
      <x:c r="O2440" s="25" t="str">
        <x:v>Pendiente: asignar con R/sf</x:v>
      </x:c>
    </x:row>
    <x:row r="2441">
      <x:c r="A2441" s="25" t="n">
        <x:v>2440</x:v>
      </x:c>
      <x:c r="B2441" s="26" t="n">
        <x:v>42297.4209837963</x:v>
      </x:c>
      <x:c r="C2441" s="27" t="n">
        <x:f>INT(B2441)</x:f>
        <x:v>42297</x:v>
      </x:c>
      <x:c r="D2441" s="28" t="n">
        <x:f>MOD(B2441,1)</x:f>
        <x:v>0.42098379629896954</x:v>
      </x:c>
      <x:c r="E2441" s="29" t="n">
        <x:f>YEAR(B2441)</x:f>
        <x:v>2015</x:v>
      </x:c>
      <x:c r="F2441" s="29" t="n">
        <x:f>MONTH(B2441)</x:f>
        <x:v>10</x:v>
      </x:c>
      <x:c r="G2441" s="30" t="n">
        <x:v>-30.74</x:v>
      </x:c>
      <x:c r="H2441" s="30" t="n">
        <x:v>-71.44</x:v>
      </x:c>
      <x:c r="I2441" s="29" t="n">
        <x:v>50</x:v>
      </x:c>
      <x:c r="J2441" s="31" t="n">
        <x:v>5.2</x:v>
      </x:c>
      <x:c r="K2441" s="25" t="str">
        <x:f>IF(J2441&gt;=7,"Muy fuerte (&gt;=7)",IF(J2441&gt;=6,"Fuerte (6-6.9)",IF(J2441&gt;=5,"Moderado alto (5-5.9)",IF(J2441&gt;=4,"Moderado (4-4.9)","Menor a 4"))))</x:f>
        <x:v>Moderado alto (5-5.9)</x:v>
      </x:c>
      <x:c r="L2441" s="25" t="str">
        <x:f>IF(I2441&lt;70,"Superficial (&lt;70 km)",IF(I2441&lt;=300,"Intermedio (70-300 km)","Profundo (&gt;300 km)"))</x:f>
        <x:v>Superficial (&lt;70 km)</x:v>
      </x:c>
      <x:c r="M2441" s="25" t="str">
        <x:f>IF(J2441&gt;=5,"Sí","No")</x:f>
        <x:v>Sí</x:v>
      </x:c>
      <x:c r="N2441" s="25" t="str">
        <x:f>IF(J2441&gt;=6,"Sí","No")</x:f>
        <x:v>No</x:v>
      </x:c>
      <x:c r="O2441" s="25" t="str">
        <x:v>Pendiente: asignar con R/sf</x:v>
      </x:c>
    </x:row>
    <x:row r="2442">
      <x:c r="A2442" s="25" t="n">
        <x:v>2441</x:v>
      </x:c>
      <x:c r="B2442" s="26" t="n">
        <x:v>42298.78178240741</x:v>
      </x:c>
      <x:c r="C2442" s="27" t="n">
        <x:f>INT(B2442)</x:f>
        <x:v>42298</x:v>
      </x:c>
      <x:c r="D2442" s="28" t="n">
        <x:f>MOD(B2442,1)</x:f>
        <x:v>0.7817824074081727</x:v>
      </x:c>
      <x:c r="E2442" s="29" t="n">
        <x:f>YEAR(B2442)</x:f>
        <x:v>2015</x:v>
      </x:c>
      <x:c r="F2442" s="29" t="n">
        <x:f>MONTH(B2442)</x:f>
        <x:v>10</x:v>
      </x:c>
      <x:c r="G2442" s="30" t="n">
        <x:v>-30.83</x:v>
      </x:c>
      <x:c r="H2442" s="30" t="n">
        <x:v>-71.38</x:v>
      </x:c>
      <x:c r="I2442" s="29" t="n">
        <x:v>50</x:v>
      </x:c>
      <x:c r="J2442" s="31" t="n">
        <x:v>5</x:v>
      </x:c>
      <x:c r="K2442" s="25" t="str">
        <x:f>IF(J2442&gt;=7,"Muy fuerte (&gt;=7)",IF(J2442&gt;=6,"Fuerte (6-6.9)",IF(J2442&gt;=5,"Moderado alto (5-5.9)",IF(J2442&gt;=4,"Moderado (4-4.9)","Menor a 4"))))</x:f>
        <x:v>Moderado alto (5-5.9)</x:v>
      </x:c>
      <x:c r="L2442" s="25" t="str">
        <x:f>IF(I2442&lt;70,"Superficial (&lt;70 km)",IF(I2442&lt;=300,"Intermedio (70-300 km)","Profundo (&gt;300 km)"))</x:f>
        <x:v>Superficial (&lt;70 km)</x:v>
      </x:c>
      <x:c r="M2442" s="25" t="str">
        <x:f>IF(J2442&gt;=5,"Sí","No")</x:f>
        <x:v>Sí</x:v>
      </x:c>
      <x:c r="N2442" s="25" t="str">
        <x:f>IF(J2442&gt;=6,"Sí","No")</x:f>
        <x:v>No</x:v>
      </x:c>
      <x:c r="O2442" s="25" t="str">
        <x:v>Pendiente: asignar con R/sf</x:v>
      </x:c>
    </x:row>
    <x:row r="2443">
      <x:c r="A2443" s="25" t="n">
        <x:v>2442</x:v>
      </x:c>
      <x:c r="B2443" s="26" t="n">
        <x:v>42301.892175925925</x:v>
      </x:c>
      <x:c r="C2443" s="27" t="n">
        <x:f>INT(B2443)</x:f>
        <x:v>42301</x:v>
      </x:c>
      <x:c r="D2443" s="28" t="n">
        <x:f>MOD(B2443,1)</x:f>
        <x:v>0.8921759259246755</x:v>
      </x:c>
      <x:c r="E2443" s="29" t="n">
        <x:f>YEAR(B2443)</x:f>
        <x:v>2015</x:v>
      </x:c>
      <x:c r="F2443" s="29" t="n">
        <x:f>MONTH(B2443)</x:f>
        <x:v>10</x:v>
      </x:c>
      <x:c r="G2443" s="30" t="n">
        <x:v>-31.44</x:v>
      </x:c>
      <x:c r="H2443" s="30" t="n">
        <x:v>-71.43</x:v>
      </x:c>
      <x:c r="I2443" s="29" t="n">
        <x:v>51</x:v>
      </x:c>
      <x:c r="J2443" s="31" t="n">
        <x:v>5</x:v>
      </x:c>
      <x:c r="K2443" s="25" t="str">
        <x:f>IF(J2443&gt;=7,"Muy fuerte (&gt;=7)",IF(J2443&gt;=6,"Fuerte (6-6.9)",IF(J2443&gt;=5,"Moderado alto (5-5.9)",IF(J2443&gt;=4,"Moderado (4-4.9)","Menor a 4"))))</x:f>
        <x:v>Moderado alto (5-5.9)</x:v>
      </x:c>
      <x:c r="L2443" s="25" t="str">
        <x:f>IF(I2443&lt;70,"Superficial (&lt;70 km)",IF(I2443&lt;=300,"Intermedio (70-300 km)","Profundo (&gt;300 km)"))</x:f>
        <x:v>Superficial (&lt;70 km)</x:v>
      </x:c>
      <x:c r="M2443" s="25" t="str">
        <x:f>IF(J2443&gt;=5,"Sí","No")</x:f>
        <x:v>Sí</x:v>
      </x:c>
      <x:c r="N2443" s="25" t="str">
        <x:f>IF(J2443&gt;=6,"Sí","No")</x:f>
        <x:v>No</x:v>
      </x:c>
      <x:c r="O2443" s="25" t="str">
        <x:v>Pendiente: asignar con R/sf</x:v>
      </x:c>
    </x:row>
    <x:row r="2444">
      <x:c r="A2444" s="25" t="n">
        <x:v>2443</x:v>
      </x:c>
      <x:c r="B2444" s="26" t="n">
        <x:v>42305.20480324074</x:v>
      </x:c>
      <x:c r="C2444" s="27" t="n">
        <x:f>INT(B2444)</x:f>
        <x:v>42305</x:v>
      </x:c>
      <x:c r="D2444" s="28" t="n">
        <x:f>MOD(B2444,1)</x:f>
        <x:v>0.20480324074014788</x:v>
      </x:c>
      <x:c r="E2444" s="29" t="n">
        <x:f>YEAR(B2444)</x:f>
        <x:v>2015</x:v>
      </x:c>
      <x:c r="F2444" s="29" t="n">
        <x:f>MONTH(B2444)</x:f>
        <x:v>10</x:v>
      </x:c>
      <x:c r="G2444" s="30" t="n">
        <x:v>-30.85</x:v>
      </x:c>
      <x:c r="H2444" s="30" t="n">
        <x:v>-71.38</x:v>
      </x:c>
      <x:c r="I2444" s="29" t="n">
        <x:v>52</x:v>
      </x:c>
      <x:c r="J2444" s="31" t="n">
        <x:v>4.2</x:v>
      </x:c>
      <x:c r="K2444" s="25" t="str">
        <x:f>IF(J2444&gt;=7,"Muy fuerte (&gt;=7)",IF(J2444&gt;=6,"Fuerte (6-6.9)",IF(J2444&gt;=5,"Moderado alto (5-5.9)",IF(J2444&gt;=4,"Moderado (4-4.9)","Menor a 4"))))</x:f>
        <x:v>Moderado (4-4.9)</x:v>
      </x:c>
      <x:c r="L2444" s="25" t="str">
        <x:f>IF(I2444&lt;70,"Superficial (&lt;70 km)",IF(I2444&lt;=300,"Intermedio (70-300 km)","Profundo (&gt;300 km)"))</x:f>
        <x:v>Superficial (&lt;70 km)</x:v>
      </x:c>
      <x:c r="M2444" s="25" t="str">
        <x:f>IF(J2444&gt;=5,"Sí","No")</x:f>
        <x:v>No</x:v>
      </x:c>
      <x:c r="N2444" s="25" t="str">
        <x:f>IF(J2444&gt;=6,"Sí","No")</x:f>
        <x:v>No</x:v>
      </x:c>
      <x:c r="O2444" s="25" t="str">
        <x:v>Pendiente: asignar con R/sf</x:v>
      </x:c>
    </x:row>
    <x:row r="2445">
      <x:c r="A2445" s="25" t="n">
        <x:v>2444</x:v>
      </x:c>
      <x:c r="B2445" s="26" t="n">
        <x:v>42313.061631944445</x:v>
      </x:c>
      <x:c r="C2445" s="27" t="n">
        <x:f>INT(B2445)</x:f>
        <x:v>42313</x:v>
      </x:c>
      <x:c r="D2445" s="28" t="n">
        <x:f>MOD(B2445,1)</x:f>
        <x:v>0.061631944445252884</x:v>
      </x:c>
      <x:c r="E2445" s="29" t="n">
        <x:f>YEAR(B2445)</x:f>
        <x:v>2015</x:v>
      </x:c>
      <x:c r="F2445" s="29" t="n">
        <x:f>MONTH(B2445)</x:f>
        <x:v>11</x:v>
      </x:c>
      <x:c r="G2445" s="30" t="n">
        <x:v>-30.68</x:v>
      </x:c>
      <x:c r="H2445" s="30" t="n">
        <x:v>-71.39</x:v>
      </x:c>
      <x:c r="I2445" s="29" t="n">
        <x:v>41</x:v>
      </x:c>
      <x:c r="J2445" s="31" t="n">
        <x:v>4.3</x:v>
      </x:c>
      <x:c r="K2445" s="25" t="str">
        <x:f>IF(J2445&gt;=7,"Muy fuerte (&gt;=7)",IF(J2445&gt;=6,"Fuerte (6-6.9)",IF(J2445&gt;=5,"Moderado alto (5-5.9)",IF(J2445&gt;=4,"Moderado (4-4.9)","Menor a 4"))))</x:f>
        <x:v>Moderado (4-4.9)</x:v>
      </x:c>
      <x:c r="L2445" s="25" t="str">
        <x:f>IF(I2445&lt;70,"Superficial (&lt;70 km)",IF(I2445&lt;=300,"Intermedio (70-300 km)","Profundo (&gt;300 km)"))</x:f>
        <x:v>Superficial (&lt;70 km)</x:v>
      </x:c>
      <x:c r="M2445" s="25" t="str">
        <x:f>IF(J2445&gt;=5,"Sí","No")</x:f>
        <x:v>No</x:v>
      </x:c>
      <x:c r="N2445" s="25" t="str">
        <x:f>IF(J2445&gt;=6,"Sí","No")</x:f>
        <x:v>No</x:v>
      </x:c>
      <x:c r="O2445" s="25" t="str">
        <x:v>Pendiente: asignar con R/sf</x:v>
      </x:c>
    </x:row>
    <x:row r="2446">
      <x:c r="A2446" s="25" t="n">
        <x:v>2445</x:v>
      </x:c>
      <x:c r="B2446" s="26" t="n">
        <x:v>42315.31366898148</x:v>
      </x:c>
      <x:c r="C2446" s="27" t="n">
        <x:f>INT(B2446)</x:f>
        <x:v>42315</x:v>
      </x:c>
      <x:c r="D2446" s="28" t="n">
        <x:f>MOD(B2446,1)</x:f>
        <x:v>0.3136689814782585</x:v>
      </x:c>
      <x:c r="E2446" s="29" t="n">
        <x:f>YEAR(B2446)</x:f>
        <x:v>2015</x:v>
      </x:c>
      <x:c r="F2446" s="29" t="n">
        <x:f>MONTH(B2446)</x:f>
        <x:v>11</x:v>
      </x:c>
      <x:c r="G2446" s="30" t="n">
        <x:v>-30.87</x:v>
      </x:c>
      <x:c r="H2446" s="30" t="n">
        <x:v>-71.43</x:v>
      </x:c>
      <x:c r="I2446" s="29" t="n">
        <x:v>48</x:v>
      </x:c>
      <x:c r="J2446" s="31" t="n">
        <x:v>6.8</x:v>
      </x:c>
      <x:c r="K2446" s="25" t="str">
        <x:f>IF(J2446&gt;=7,"Muy fuerte (&gt;=7)",IF(J2446&gt;=6,"Fuerte (6-6.9)",IF(J2446&gt;=5,"Moderado alto (5-5.9)",IF(J2446&gt;=4,"Moderado (4-4.9)","Menor a 4"))))</x:f>
        <x:v>Fuerte (6-6.9)</x:v>
      </x:c>
      <x:c r="L2446" s="25" t="str">
        <x:f>IF(I2446&lt;70,"Superficial (&lt;70 km)",IF(I2446&lt;=300,"Intermedio (70-300 km)","Profundo (&gt;300 km)"))</x:f>
        <x:v>Superficial (&lt;70 km)</x:v>
      </x:c>
      <x:c r="M2446" s="25" t="str">
        <x:f>IF(J2446&gt;=5,"Sí","No")</x:f>
        <x:v>Sí</x:v>
      </x:c>
      <x:c r="N2446" s="25" t="str">
        <x:f>IF(J2446&gt;=6,"Sí","No")</x:f>
        <x:v>Sí</x:v>
      </x:c>
      <x:c r="O2446" s="25" t="str">
        <x:v>Pendiente: asignar con R/sf</x:v>
      </x:c>
    </x:row>
    <x:row r="2447">
      <x:c r="A2447" s="25" t="n">
        <x:v>2446</x:v>
      </x:c>
      <x:c r="B2447" s="26" t="n">
        <x:v>42315.438414351855</x:v>
      </x:c>
      <x:c r="C2447" s="27" t="n">
        <x:f>INT(B2447)</x:f>
        <x:v>42315</x:v>
      </x:c>
      <x:c r="D2447" s="28" t="n">
        <x:f>MOD(B2447,1)</x:f>
        <x:v>0.43841435185458977</x:v>
      </x:c>
      <x:c r="E2447" s="29" t="n">
        <x:f>YEAR(B2447)</x:f>
        <x:v>2015</x:v>
      </x:c>
      <x:c r="F2447" s="29" t="n">
        <x:f>MONTH(B2447)</x:f>
        <x:v>11</x:v>
      </x:c>
      <x:c r="G2447" s="30" t="n">
        <x:v>-30.77</x:v>
      </x:c>
      <x:c r="H2447" s="30" t="n">
        <x:v>-71.36</x:v>
      </x:c>
      <x:c r="I2447" s="29" t="n">
        <x:v>47</x:v>
      </x:c>
      <x:c r="J2447" s="31" t="n">
        <x:v>4.9</x:v>
      </x:c>
      <x:c r="K2447" s="25" t="str">
        <x:f>IF(J2447&gt;=7,"Muy fuerte (&gt;=7)",IF(J2447&gt;=6,"Fuerte (6-6.9)",IF(J2447&gt;=5,"Moderado alto (5-5.9)",IF(J2447&gt;=4,"Moderado (4-4.9)","Menor a 4"))))</x:f>
        <x:v>Moderado (4-4.9)</x:v>
      </x:c>
      <x:c r="L2447" s="25" t="str">
        <x:f>IF(I2447&lt;70,"Superficial (&lt;70 km)",IF(I2447&lt;=300,"Intermedio (70-300 km)","Profundo (&gt;300 km)"))</x:f>
        <x:v>Superficial (&lt;70 km)</x:v>
      </x:c>
      <x:c r="M2447" s="25" t="str">
        <x:f>IF(J2447&gt;=5,"Sí","No")</x:f>
        <x:v>No</x:v>
      </x:c>
      <x:c r="N2447" s="25" t="str">
        <x:f>IF(J2447&gt;=6,"Sí","No")</x:f>
        <x:v>No</x:v>
      </x:c>
      <x:c r="O2447" s="25" t="str">
        <x:v>Pendiente: asignar con R/sf</x:v>
      </x:c>
    </x:row>
    <x:row r="2448">
      <x:c r="A2448" s="25" t="n">
        <x:v>2447</x:v>
      </x:c>
      <x:c r="B2448" s="26" t="n">
        <x:v>42315.45395833333</x:v>
      </x:c>
      <x:c r="C2448" s="27" t="n">
        <x:f>INT(B2448)</x:f>
        <x:v>42315</x:v>
      </x:c>
      <x:c r="D2448" s="28" t="n">
        <x:f>MOD(B2448,1)</x:f>
        <x:v>0.4539583333316841</x:v>
      </x:c>
      <x:c r="E2448" s="29" t="n">
        <x:f>YEAR(B2448)</x:f>
        <x:v>2015</x:v>
      </x:c>
      <x:c r="F2448" s="29" t="n">
        <x:f>MONTH(B2448)</x:f>
        <x:v>11</x:v>
      </x:c>
      <x:c r="G2448" s="30" t="n">
        <x:v>-30.72</x:v>
      </x:c>
      <x:c r="H2448" s="30" t="n">
        <x:v>-71.37</x:v>
      </x:c>
      <x:c r="I2448" s="29" t="n">
        <x:v>48</x:v>
      </x:c>
      <x:c r="J2448" s="31" t="n">
        <x:v>6</x:v>
      </x:c>
      <x:c r="K2448" s="25" t="str">
        <x:f>IF(J2448&gt;=7,"Muy fuerte (&gt;=7)",IF(J2448&gt;=6,"Fuerte (6-6.9)",IF(J2448&gt;=5,"Moderado alto (5-5.9)",IF(J2448&gt;=4,"Moderado (4-4.9)","Menor a 4"))))</x:f>
        <x:v>Fuerte (6-6.9)</x:v>
      </x:c>
      <x:c r="L2448" s="25" t="str">
        <x:f>IF(I2448&lt;70,"Superficial (&lt;70 km)",IF(I2448&lt;=300,"Intermedio (70-300 km)","Profundo (&gt;300 km)"))</x:f>
        <x:v>Superficial (&lt;70 km)</x:v>
      </x:c>
      <x:c r="M2448" s="25" t="str">
        <x:f>IF(J2448&gt;=5,"Sí","No")</x:f>
        <x:v>Sí</x:v>
      </x:c>
      <x:c r="N2448" s="25" t="str">
        <x:f>IF(J2448&gt;=6,"Sí","No")</x:f>
        <x:v>Sí</x:v>
      </x:c>
      <x:c r="O2448" s="25" t="str">
        <x:v>Pendiente: asignar con R/sf</x:v>
      </x:c>
    </x:row>
    <x:row r="2449">
      <x:c r="A2449" s="25" t="n">
        <x:v>2448</x:v>
      </x:c>
      <x:c r="B2449" s="26" t="n">
        <x:v>42315.63675925926</x:v>
      </x:c>
      <x:c r="C2449" s="27" t="n">
        <x:f>INT(B2449)</x:f>
        <x:v>42315</x:v>
      </x:c>
      <x:c r="D2449" s="28" t="n">
        <x:f>MOD(B2449,1)</x:f>
        <x:v>0.6367592592578148</x:v>
      </x:c>
      <x:c r="E2449" s="29" t="n">
        <x:f>YEAR(B2449)</x:f>
        <x:v>2015</x:v>
      </x:c>
      <x:c r="F2449" s="29" t="n">
        <x:f>MONTH(B2449)</x:f>
        <x:v>11</x:v>
      </x:c>
      <x:c r="G2449" s="30" t="n">
        <x:v>-30.83</x:v>
      </x:c>
      <x:c r="H2449" s="30" t="n">
        <x:v>-71.4</x:v>
      </x:c>
      <x:c r="I2449" s="29" t="n">
        <x:v>49</x:v>
      </x:c>
      <x:c r="J2449" s="31" t="n">
        <x:v>4</x:v>
      </x:c>
      <x:c r="K2449" s="25" t="str">
        <x:f>IF(J2449&gt;=7,"Muy fuerte (&gt;=7)",IF(J2449&gt;=6,"Fuerte (6-6.9)",IF(J2449&gt;=5,"Moderado alto (5-5.9)",IF(J2449&gt;=4,"Moderado (4-4.9)","Menor a 4"))))</x:f>
        <x:v>Moderado (4-4.9)</x:v>
      </x:c>
      <x:c r="L2449" s="25" t="str">
        <x:f>IF(I2449&lt;70,"Superficial (&lt;70 km)",IF(I2449&lt;=300,"Intermedio (70-300 km)","Profundo (&gt;300 km)"))</x:f>
        <x:v>Superficial (&lt;70 km)</x:v>
      </x:c>
      <x:c r="M2449" s="25" t="str">
        <x:f>IF(J2449&gt;=5,"Sí","No")</x:f>
        <x:v>No</x:v>
      </x:c>
      <x:c r="N2449" s="25" t="str">
        <x:f>IF(J2449&gt;=6,"Sí","No")</x:f>
        <x:v>No</x:v>
      </x:c>
      <x:c r="O2449" s="25" t="str">
        <x:v>Pendiente: asignar con R/sf</x:v>
      </x:c>
    </x:row>
    <x:row r="2450">
      <x:c r="A2450" s="25" t="n">
        <x:v>2449</x:v>
      </x:c>
      <x:c r="B2450" s="26" t="n">
        <x:v>42315.997465277775</x:v>
      </x:c>
      <x:c r="C2450" s="27" t="n">
        <x:f>INT(B2450)</x:f>
        <x:v>42315</x:v>
      </x:c>
      <x:c r="D2450" s="28" t="n">
        <x:f>MOD(B2450,1)</x:f>
        <x:v>0.9974652777746087</x:v>
      </x:c>
      <x:c r="E2450" s="29" t="n">
        <x:f>YEAR(B2450)</x:f>
        <x:v>2015</x:v>
      </x:c>
      <x:c r="F2450" s="29" t="n">
        <x:f>MONTH(B2450)</x:f>
        <x:v>11</x:v>
      </x:c>
      <x:c r="G2450" s="30" t="n">
        <x:v>-30.71</x:v>
      </x:c>
      <x:c r="H2450" s="30" t="n">
        <x:v>-71.39</x:v>
      </x:c>
      <x:c r="I2450" s="29" t="n">
        <x:v>47</x:v>
      </x:c>
      <x:c r="J2450" s="31" t="n">
        <x:v>4.5</x:v>
      </x:c>
      <x:c r="K2450" s="25" t="str">
        <x:f>IF(J2450&gt;=7,"Muy fuerte (&gt;=7)",IF(J2450&gt;=6,"Fuerte (6-6.9)",IF(J2450&gt;=5,"Moderado alto (5-5.9)",IF(J2450&gt;=4,"Moderado (4-4.9)","Menor a 4"))))</x:f>
        <x:v>Moderado (4-4.9)</x:v>
      </x:c>
      <x:c r="L2450" s="25" t="str">
        <x:f>IF(I2450&lt;70,"Superficial (&lt;70 km)",IF(I2450&lt;=300,"Intermedio (70-300 km)","Profundo (&gt;300 km)"))</x:f>
        <x:v>Superficial (&lt;70 km)</x:v>
      </x:c>
      <x:c r="M2450" s="25" t="str">
        <x:f>IF(J2450&gt;=5,"Sí","No")</x:f>
        <x:v>No</x:v>
      </x:c>
      <x:c r="N2450" s="25" t="str">
        <x:f>IF(J2450&gt;=6,"Sí","No")</x:f>
        <x:v>No</x:v>
      </x:c>
      <x:c r="O2450" s="25" t="str">
        <x:v>Pendiente: asignar con R/sf</x:v>
      </x:c>
    </x:row>
    <x:row r="2451">
      <x:c r="A2451" s="25" t="n">
        <x:v>2450</x:v>
      </x:c>
      <x:c r="B2451" s="26" t="n">
        <x:v>42318.54070601852</x:v>
      </x:c>
      <x:c r="C2451" s="27" t="n">
        <x:f>INT(B2451)</x:f>
        <x:v>42318</x:v>
      </x:c>
      <x:c r="D2451" s="28" t="n">
        <x:f>MOD(B2451,1)</x:f>
        <x:v>0.5407060185170849</x:v>
      </x:c>
      <x:c r="E2451" s="29" t="n">
        <x:f>YEAR(B2451)</x:f>
        <x:v>2015</x:v>
      </x:c>
      <x:c r="F2451" s="29" t="n">
        <x:f>MONTH(B2451)</x:f>
        <x:v>11</x:v>
      </x:c>
      <x:c r="G2451" s="30" t="n">
        <x:v>-30.8</x:v>
      </x:c>
      <x:c r="H2451" s="30" t="n">
        <x:v>-71.46</x:v>
      </x:c>
      <x:c r="I2451" s="29" t="n">
        <x:v>57</x:v>
      </x:c>
      <x:c r="J2451" s="31" t="n">
        <x:v>5</x:v>
      </x:c>
      <x:c r="K2451" s="25" t="str">
        <x:f>IF(J2451&gt;=7,"Muy fuerte (&gt;=7)",IF(J2451&gt;=6,"Fuerte (6-6.9)",IF(J2451&gt;=5,"Moderado alto (5-5.9)",IF(J2451&gt;=4,"Moderado (4-4.9)","Menor a 4"))))</x:f>
        <x:v>Moderado alto (5-5.9)</x:v>
      </x:c>
      <x:c r="L2451" s="25" t="str">
        <x:f>IF(I2451&lt;70,"Superficial (&lt;70 km)",IF(I2451&lt;=300,"Intermedio (70-300 km)","Profundo (&gt;300 km)"))</x:f>
        <x:v>Superficial (&lt;70 km)</x:v>
      </x:c>
      <x:c r="M2451" s="25" t="str">
        <x:f>IF(J2451&gt;=5,"Sí","No")</x:f>
        <x:v>Sí</x:v>
      </x:c>
      <x:c r="N2451" s="25" t="str">
        <x:f>IF(J2451&gt;=6,"Sí","No")</x:f>
        <x:v>No</x:v>
      </x:c>
      <x:c r="O2451" s="25" t="str">
        <x:v>Pendiente: asignar con R/sf</x:v>
      </x:c>
    </x:row>
    <x:row r="2452">
      <x:c r="A2452" s="25" t="n">
        <x:v>2451</x:v>
      </x:c>
      <x:c r="B2452" s="26" t="n">
        <x:v>42319.33300925926</x:v>
      </x:c>
      <x:c r="C2452" s="27" t="n">
        <x:f>INT(B2452)</x:f>
        <x:v>42319</x:v>
      </x:c>
      <x:c r="D2452" s="28" t="n">
        <x:f>MOD(B2452,1)</x:f>
        <x:v>0.33300925925868796</x:v>
      </x:c>
      <x:c r="E2452" s="29" t="n">
        <x:f>YEAR(B2452)</x:f>
        <x:v>2015</x:v>
      </x:c>
      <x:c r="F2452" s="29" t="n">
        <x:f>MONTH(B2452)</x:f>
        <x:v>11</x:v>
      </x:c>
      <x:c r="G2452" s="30" t="n">
        <x:v>-31.77</x:v>
      </x:c>
      <x:c r="H2452" s="30" t="n">
        <x:v>-71.52</x:v>
      </x:c>
      <x:c r="I2452" s="29" t="n">
        <x:v>35</x:v>
      </x:c>
      <x:c r="J2452" s="31" t="n">
        <x:v>4.4</x:v>
      </x:c>
      <x:c r="K2452" s="25" t="str">
        <x:f>IF(J2452&gt;=7,"Muy fuerte (&gt;=7)",IF(J2452&gt;=6,"Fuerte (6-6.9)",IF(J2452&gt;=5,"Moderado alto (5-5.9)",IF(J2452&gt;=4,"Moderado (4-4.9)","Menor a 4"))))</x:f>
        <x:v>Moderado (4-4.9)</x:v>
      </x:c>
      <x:c r="L2452" s="25" t="str">
        <x:f>IF(I2452&lt;70,"Superficial (&lt;70 km)",IF(I2452&lt;=300,"Intermedio (70-300 km)","Profundo (&gt;300 km)"))</x:f>
        <x:v>Superficial (&lt;70 km)</x:v>
      </x:c>
      <x:c r="M2452" s="25" t="str">
        <x:f>IF(J2452&gt;=5,"Sí","No")</x:f>
        <x:v>No</x:v>
      </x:c>
      <x:c r="N2452" s="25" t="str">
        <x:f>IF(J2452&gt;=6,"Sí","No")</x:f>
        <x:v>No</x:v>
      </x:c>
      <x:c r="O2452" s="25" t="str">
        <x:v>Pendiente: asignar con R/sf</x:v>
      </x:c>
    </x:row>
    <x:row r="2453">
      <x:c r="A2453" s="25" t="n">
        <x:v>2452</x:v>
      </x:c>
      <x:c r="B2453" s="26" t="n">
        <x:v>42323.221180555556</x:v>
      </x:c>
      <x:c r="C2453" s="27" t="n">
        <x:f>INT(B2453)</x:f>
        <x:v>42323</x:v>
      </x:c>
      <x:c r="D2453" s="28" t="n">
        <x:f>MOD(B2453,1)</x:f>
        <x:v>0.2211805555562023</x:v>
      </x:c>
      <x:c r="E2453" s="29" t="n">
        <x:f>YEAR(B2453)</x:f>
        <x:v>2015</x:v>
      </x:c>
      <x:c r="F2453" s="29" t="n">
        <x:f>MONTH(B2453)</x:f>
        <x:v>11</x:v>
      </x:c>
      <x:c r="G2453" s="30" t="n">
        <x:v>-30.71</x:v>
      </x:c>
      <x:c r="H2453" s="30" t="n">
        <x:v>-71.38</x:v>
      </x:c>
      <x:c r="I2453" s="29" t="n">
        <x:v>50</x:v>
      </x:c>
      <x:c r="J2453" s="31" t="n">
        <x:v>4</x:v>
      </x:c>
      <x:c r="K2453" s="25" t="str">
        <x:f>IF(J2453&gt;=7,"Muy fuerte (&gt;=7)",IF(J2453&gt;=6,"Fuerte (6-6.9)",IF(J2453&gt;=5,"Moderado alto (5-5.9)",IF(J2453&gt;=4,"Moderado (4-4.9)","Menor a 4"))))</x:f>
        <x:v>Moderado (4-4.9)</x:v>
      </x:c>
      <x:c r="L2453" s="25" t="str">
        <x:f>IF(I2453&lt;70,"Superficial (&lt;70 km)",IF(I2453&lt;=300,"Intermedio (70-300 km)","Profundo (&gt;300 km)"))</x:f>
        <x:v>Superficial (&lt;70 km)</x:v>
      </x:c>
      <x:c r="M2453" s="25" t="str">
        <x:f>IF(J2453&gt;=5,"Sí","No")</x:f>
        <x:v>No</x:v>
      </x:c>
      <x:c r="N2453" s="25" t="str">
        <x:f>IF(J2453&gt;=6,"Sí","No")</x:f>
        <x:v>No</x:v>
      </x:c>
      <x:c r="O2453" s="25" t="str">
        <x:v>Pendiente: asignar con R/sf</x:v>
      </x:c>
    </x:row>
    <x:row r="2454">
      <x:c r="A2454" s="25" t="n">
        <x:v>2453</x:v>
      </x:c>
      <x:c r="B2454" s="26" t="n">
        <x:v>42325.553090277775</x:v>
      </x:c>
      <x:c r="C2454" s="27" t="n">
        <x:f>INT(B2454)</x:f>
        <x:v>42325</x:v>
      </x:c>
      <x:c r="D2454" s="28" t="n">
        <x:f>MOD(B2454,1)</x:f>
        <x:v>0.5530902777754818</x:v>
      </x:c>
      <x:c r="E2454" s="29" t="n">
        <x:f>YEAR(B2454)</x:f>
        <x:v>2015</x:v>
      </x:c>
      <x:c r="F2454" s="29" t="n">
        <x:f>MONTH(B2454)</x:f>
        <x:v>11</x:v>
      </x:c>
      <x:c r="G2454" s="30" t="n">
        <x:v>-30.68</x:v>
      </x:c>
      <x:c r="H2454" s="30" t="n">
        <x:v>-71.36</x:v>
      </x:c>
      <x:c r="I2454" s="29" t="n">
        <x:v>54</x:v>
      </x:c>
      <x:c r="J2454" s="31" t="n">
        <x:v>4.5</x:v>
      </x:c>
      <x:c r="K2454" s="25" t="str">
        <x:f>IF(J2454&gt;=7,"Muy fuerte (&gt;=7)",IF(J2454&gt;=6,"Fuerte (6-6.9)",IF(J2454&gt;=5,"Moderado alto (5-5.9)",IF(J2454&gt;=4,"Moderado (4-4.9)","Menor a 4"))))</x:f>
        <x:v>Moderado (4-4.9)</x:v>
      </x:c>
      <x:c r="L2454" s="25" t="str">
        <x:f>IF(I2454&lt;70,"Superficial (&lt;70 km)",IF(I2454&lt;=300,"Intermedio (70-300 km)","Profundo (&gt;300 km)"))</x:f>
        <x:v>Superficial (&lt;70 km)</x:v>
      </x:c>
      <x:c r="M2454" s="25" t="str">
        <x:f>IF(J2454&gt;=5,"Sí","No")</x:f>
        <x:v>No</x:v>
      </x:c>
      <x:c r="N2454" s="25" t="str">
        <x:f>IF(J2454&gt;=6,"Sí","No")</x:f>
        <x:v>No</x:v>
      </x:c>
      <x:c r="O2454" s="25" t="str">
        <x:v>Pendiente: asignar con R/sf</x:v>
      </x:c>
    </x:row>
    <x:row r="2455">
      <x:c r="A2455" s="25" t="n">
        <x:v>2454</x:v>
      </x:c>
      <x:c r="B2455" s="26" t="n">
        <x:v>42329.96212962963</x:v>
      </x:c>
      <x:c r="C2455" s="27" t="n">
        <x:f>INT(B2455)</x:f>
        <x:v>42329</x:v>
      </x:c>
      <x:c r="D2455" s="28" t="n">
        <x:f>MOD(B2455,1)</x:f>
        <x:v>0.9621296296318178</x:v>
      </x:c>
      <x:c r="E2455" s="29" t="n">
        <x:f>YEAR(B2455)</x:f>
        <x:v>2015</x:v>
      </x:c>
      <x:c r="F2455" s="29" t="n">
        <x:f>MONTH(B2455)</x:f>
        <x:v>11</x:v>
      </x:c>
      <x:c r="G2455" s="30" t="n">
        <x:v>-30.61</x:v>
      </x:c>
      <x:c r="H2455" s="30" t="n">
        <x:v>-71.8</x:v>
      </x:c>
      <x:c r="I2455" s="29" t="n">
        <x:v>35</x:v>
      </x:c>
      <x:c r="J2455" s="31" t="n">
        <x:v>6</x:v>
      </x:c>
      <x:c r="K2455" s="25" t="str">
        <x:f>IF(J2455&gt;=7,"Muy fuerte (&gt;=7)",IF(J2455&gt;=6,"Fuerte (6-6.9)",IF(J2455&gt;=5,"Moderado alto (5-5.9)",IF(J2455&gt;=4,"Moderado (4-4.9)","Menor a 4"))))</x:f>
        <x:v>Fuerte (6-6.9)</x:v>
      </x:c>
      <x:c r="L2455" s="25" t="str">
        <x:f>IF(I2455&lt;70,"Superficial (&lt;70 km)",IF(I2455&lt;=300,"Intermedio (70-300 km)","Profundo (&gt;300 km)"))</x:f>
        <x:v>Superficial (&lt;70 km)</x:v>
      </x:c>
      <x:c r="M2455" s="25" t="str">
        <x:f>IF(J2455&gt;=5,"Sí","No")</x:f>
        <x:v>Sí</x:v>
      </x:c>
      <x:c r="N2455" s="25" t="str">
        <x:f>IF(J2455&gt;=6,"Sí","No")</x:f>
        <x:v>Sí</x:v>
      </x:c>
      <x:c r="O2455" s="25" t="str">
        <x:v>Pendiente: asignar con R/sf</x:v>
      </x:c>
    </x:row>
    <x:row r="2456">
      <x:c r="A2456" s="25" t="n">
        <x:v>2455</x:v>
      </x:c>
      <x:c r="B2456" s="26" t="n">
        <x:v>42345.3272337963</x:v>
      </x:c>
      <x:c r="C2456" s="27" t="n">
        <x:f>INT(B2456)</x:f>
        <x:v>42345</x:v>
      </x:c>
      <x:c r="D2456" s="28" t="n">
        <x:f>MOD(B2456,1)</x:f>
        <x:v>0.32723379629896954</x:v>
      </x:c>
      <x:c r="E2456" s="29" t="n">
        <x:f>YEAR(B2456)</x:f>
        <x:v>2015</x:v>
      </x:c>
      <x:c r="F2456" s="29" t="n">
        <x:f>MONTH(B2456)</x:f>
        <x:v>12</x:v>
      </x:c>
      <x:c r="G2456" s="30" t="n">
        <x:v>-31.13</x:v>
      </x:c>
      <x:c r="H2456" s="30" t="n">
        <x:v>-71.26</x:v>
      </x:c>
      <x:c r="I2456" s="29" t="n">
        <x:v>47</x:v>
      </x:c>
      <x:c r="J2456" s="31" t="n">
        <x:v>5.5</x:v>
      </x:c>
      <x:c r="K2456" s="25" t="str">
        <x:f>IF(J2456&gt;=7,"Muy fuerte (&gt;=7)",IF(J2456&gt;=6,"Fuerte (6-6.9)",IF(J2456&gt;=5,"Moderado alto (5-5.9)",IF(J2456&gt;=4,"Moderado (4-4.9)","Menor a 4"))))</x:f>
        <x:v>Moderado alto (5-5.9)</x:v>
      </x:c>
      <x:c r="L2456" s="25" t="str">
        <x:f>IF(I2456&lt;70,"Superficial (&lt;70 km)",IF(I2456&lt;=300,"Intermedio (70-300 km)","Profundo (&gt;300 km)"))</x:f>
        <x:v>Superficial (&lt;70 km)</x:v>
      </x:c>
      <x:c r="M2456" s="25" t="str">
        <x:f>IF(J2456&gt;=5,"Sí","No")</x:f>
        <x:v>Sí</x:v>
      </x:c>
      <x:c r="N2456" s="25" t="str">
        <x:f>IF(J2456&gt;=6,"Sí","No")</x:f>
        <x:v>No</x:v>
      </x:c>
      <x:c r="O2456" s="25" t="str">
        <x:v>Pendiente: asignar con R/sf</x:v>
      </x:c>
    </x:row>
    <x:row r="2457">
      <x:c r="A2457" s="25" t="n">
        <x:v>2456</x:v>
      </x:c>
      <x:c r="B2457" s="26" t="n">
        <x:v>42346.53896990741</x:v>
      </x:c>
      <x:c r="C2457" s="27" t="n">
        <x:f>INT(B2457)</x:f>
        <x:v>42346</x:v>
      </x:c>
      <x:c r="D2457" s="28" t="n">
        <x:f>MOD(B2457,1)</x:f>
        <x:v>0.5389699074075907</x:v>
      </x:c>
      <x:c r="E2457" s="29" t="n">
        <x:f>YEAR(B2457)</x:f>
        <x:v>2015</x:v>
      </x:c>
      <x:c r="F2457" s="29" t="n">
        <x:f>MONTH(B2457)</x:f>
        <x:v>12</x:v>
      </x:c>
      <x:c r="G2457" s="30" t="n">
        <x:v>-30.84</x:v>
      </x:c>
      <x:c r="H2457" s="30" t="n">
        <x:v>-71.71</x:v>
      </x:c>
      <x:c r="I2457" s="29" t="n">
        <x:v>40</x:v>
      </x:c>
      <x:c r="J2457" s="31" t="n">
        <x:v>5.6</x:v>
      </x:c>
      <x:c r="K2457" s="25" t="str">
        <x:f>IF(J2457&gt;=7,"Muy fuerte (&gt;=7)",IF(J2457&gt;=6,"Fuerte (6-6.9)",IF(J2457&gt;=5,"Moderado alto (5-5.9)",IF(J2457&gt;=4,"Moderado (4-4.9)","Menor a 4"))))</x:f>
        <x:v>Moderado alto (5-5.9)</x:v>
      </x:c>
      <x:c r="L2457" s="25" t="str">
        <x:f>IF(I2457&lt;70,"Superficial (&lt;70 km)",IF(I2457&lt;=300,"Intermedio (70-300 km)","Profundo (&gt;300 km)"))</x:f>
        <x:v>Superficial (&lt;70 km)</x:v>
      </x:c>
      <x:c r="M2457" s="25" t="str">
        <x:f>IF(J2457&gt;=5,"Sí","No")</x:f>
        <x:v>Sí</x:v>
      </x:c>
      <x:c r="N2457" s="25" t="str">
        <x:f>IF(J2457&gt;=6,"Sí","No")</x:f>
        <x:v>No</x:v>
      </x:c>
      <x:c r="O2457" s="25" t="str">
        <x:v>Pendiente: asignar con R/sf</x:v>
      </x:c>
    </x:row>
    <x:row r="2458">
      <x:c r="A2458" s="25" t="n">
        <x:v>2457</x:v>
      </x:c>
      <x:c r="B2458" s="26" t="n">
        <x:v>42355.17984953704</x:v>
      </x:c>
      <x:c r="C2458" s="27" t="n">
        <x:f>INT(B2458)</x:f>
        <x:v>42355</x:v>
      </x:c>
      <x:c r="D2458" s="28" t="n">
        <x:f>MOD(B2458,1)</x:f>
        <x:v>0.17984953703853535</x:v>
      </x:c>
      <x:c r="E2458" s="29" t="n">
        <x:f>YEAR(B2458)</x:f>
        <x:v>2015</x:v>
      </x:c>
      <x:c r="F2458" s="29" t="n">
        <x:f>MONTH(B2458)</x:f>
        <x:v>12</x:v>
      </x:c>
      <x:c r="G2458" s="30" t="n">
        <x:v>-30.75</x:v>
      </x:c>
      <x:c r="H2458" s="30" t="n">
        <x:v>-71.39</x:v>
      </x:c>
      <x:c r="I2458" s="29" t="n">
        <x:v>53</x:v>
      </x:c>
      <x:c r="J2458" s="31" t="n">
        <x:v>4.4</x:v>
      </x:c>
      <x:c r="K2458" s="25" t="str">
        <x:f>IF(J2458&gt;=7,"Muy fuerte (&gt;=7)",IF(J2458&gt;=6,"Fuerte (6-6.9)",IF(J2458&gt;=5,"Moderado alto (5-5.9)",IF(J2458&gt;=4,"Moderado (4-4.9)","Menor a 4"))))</x:f>
        <x:v>Moderado (4-4.9)</x:v>
      </x:c>
      <x:c r="L2458" s="25" t="str">
        <x:f>IF(I2458&lt;70,"Superficial (&lt;70 km)",IF(I2458&lt;=300,"Intermedio (70-300 km)","Profundo (&gt;300 km)"))</x:f>
        <x:v>Superficial (&lt;70 km)</x:v>
      </x:c>
      <x:c r="M2458" s="25" t="str">
        <x:f>IF(J2458&gt;=5,"Sí","No")</x:f>
        <x:v>No</x:v>
      </x:c>
      <x:c r="N2458" s="25" t="str">
        <x:f>IF(J2458&gt;=6,"Sí","No")</x:f>
        <x:v>No</x:v>
      </x:c>
      <x:c r="O2458" s="25" t="str">
        <x:v>Pendiente: asignar con R/sf</x:v>
      </x:c>
    </x:row>
    <x:row r="2459">
      <x:c r="A2459" s="25" t="n">
        <x:v>2458</x:v>
      </x:c>
      <x:c r="B2459" s="26" t="n">
        <x:v>42357.80908564815</x:v>
      </x:c>
      <x:c r="C2459" s="27" t="n">
        <x:f>INT(B2459)</x:f>
        <x:v>42357</x:v>
      </x:c>
      <x:c r="D2459" s="28" t="n">
        <x:f>MOD(B2459,1)</x:f>
        <x:v>0.8090856481503579</x:v>
      </x:c>
      <x:c r="E2459" s="29" t="n">
        <x:f>YEAR(B2459)</x:f>
        <x:v>2015</x:v>
      </x:c>
      <x:c r="F2459" s="29" t="n">
        <x:f>MONTH(B2459)</x:f>
        <x:v>12</x:v>
      </x:c>
      <x:c r="G2459" s="30" t="n">
        <x:v>-30.64</x:v>
      </x:c>
      <x:c r="H2459" s="30" t="n">
        <x:v>-71.31</x:v>
      </x:c>
      <x:c r="I2459" s="29" t="n">
        <x:v>50</x:v>
      </x:c>
      <x:c r="J2459" s="31" t="n">
        <x:v>6</x:v>
      </x:c>
      <x:c r="K2459" s="25" t="str">
        <x:f>IF(J2459&gt;=7,"Muy fuerte (&gt;=7)",IF(J2459&gt;=6,"Fuerte (6-6.9)",IF(J2459&gt;=5,"Moderado alto (5-5.9)",IF(J2459&gt;=4,"Moderado (4-4.9)","Menor a 4"))))</x:f>
        <x:v>Fuerte (6-6.9)</x:v>
      </x:c>
      <x:c r="L2459" s="25" t="str">
        <x:f>IF(I2459&lt;70,"Superficial (&lt;70 km)",IF(I2459&lt;=300,"Intermedio (70-300 km)","Profundo (&gt;300 km)"))</x:f>
        <x:v>Superficial (&lt;70 km)</x:v>
      </x:c>
      <x:c r="M2459" s="25" t="str">
        <x:f>IF(J2459&gt;=5,"Sí","No")</x:f>
        <x:v>Sí</x:v>
      </x:c>
      <x:c r="N2459" s="25" t="str">
        <x:f>IF(J2459&gt;=6,"Sí","No")</x:f>
        <x:v>Sí</x:v>
      </x:c>
      <x:c r="O2459" s="25" t="str">
        <x:v>Pendiente: asignar con R/sf</x:v>
      </x:c>
    </x:row>
    <x:row r="2460">
      <x:c r="A2460" s="25" t="n">
        <x:v>2459</x:v>
      </x:c>
      <x:c r="B2460" s="26" t="n">
        <x:v>42358.952511574076</x:v>
      </x:c>
      <x:c r="C2460" s="27" t="n">
        <x:f>INT(B2460)</x:f>
        <x:v>42358</x:v>
      </x:c>
      <x:c r="D2460" s="28" t="n">
        <x:f>MOD(B2460,1)</x:f>
        <x:v>0.9525115740761976</x:v>
      </x:c>
      <x:c r="E2460" s="29" t="n">
        <x:f>YEAR(B2460)</x:f>
        <x:v>2015</x:v>
      </x:c>
      <x:c r="F2460" s="29" t="n">
        <x:f>MONTH(B2460)</x:f>
        <x:v>12</x:v>
      </x:c>
      <x:c r="G2460" s="30" t="n">
        <x:v>-30.59</x:v>
      </x:c>
      <x:c r="H2460" s="30" t="n">
        <x:v>-71.25</x:v>
      </x:c>
      <x:c r="I2460" s="29" t="n">
        <x:v>62</x:v>
      </x:c>
      <x:c r="J2460" s="31" t="n">
        <x:v>4</x:v>
      </x:c>
      <x:c r="K2460" s="25" t="str">
        <x:f>IF(J2460&gt;=7,"Muy fuerte (&gt;=7)",IF(J2460&gt;=6,"Fuerte (6-6.9)",IF(J2460&gt;=5,"Moderado alto (5-5.9)",IF(J2460&gt;=4,"Moderado (4-4.9)","Menor a 4"))))</x:f>
        <x:v>Moderado (4-4.9)</x:v>
      </x:c>
      <x:c r="L2460" s="25" t="str">
        <x:f>IF(I2460&lt;70,"Superficial (&lt;70 km)",IF(I2460&lt;=300,"Intermedio (70-300 km)","Profundo (&gt;300 km)"))</x:f>
        <x:v>Superficial (&lt;70 km)</x:v>
      </x:c>
      <x:c r="M2460" s="25" t="str">
        <x:f>IF(J2460&gt;=5,"Sí","No")</x:f>
        <x:v>No</x:v>
      </x:c>
      <x:c r="N2460" s="25" t="str">
        <x:f>IF(J2460&gt;=6,"Sí","No")</x:f>
        <x:v>No</x:v>
      </x:c>
      <x:c r="O2460" s="25" t="str">
        <x:v>Pendiente: asignar con R/sf</x:v>
      </x:c>
    </x:row>
    <x:row r="2461">
      <x:c r="A2461" s="25" t="n">
        <x:v>2460</x:v>
      </x:c>
      <x:c r="B2461" s="26" t="n">
        <x:v>42360.78239583333</x:v>
      </x:c>
      <x:c r="C2461" s="27" t="n">
        <x:f>INT(B2461)</x:f>
        <x:v>42360</x:v>
      </x:c>
      <x:c r="D2461" s="28" t="n">
        <x:f>MOD(B2461,1)</x:f>
        <x:v>0.7823958333319752</x:v>
      </x:c>
      <x:c r="E2461" s="29" t="n">
        <x:f>YEAR(B2461)</x:f>
        <x:v>2015</x:v>
      </x:c>
      <x:c r="F2461" s="29" t="n">
        <x:f>MONTH(B2461)</x:f>
        <x:v>12</x:v>
      </x:c>
      <x:c r="G2461" s="30" t="n">
        <x:v>-30.8</x:v>
      </x:c>
      <x:c r="H2461" s="30" t="n">
        <x:v>-71.25</x:v>
      </x:c>
      <x:c r="I2461" s="29" t="n">
        <x:v>62</x:v>
      </x:c>
      <x:c r="J2461" s="31" t="n">
        <x:v>4.6</x:v>
      </x:c>
      <x:c r="K2461" s="25" t="str">
        <x:f>IF(J2461&gt;=7,"Muy fuerte (&gt;=7)",IF(J2461&gt;=6,"Fuerte (6-6.9)",IF(J2461&gt;=5,"Moderado alto (5-5.9)",IF(J2461&gt;=4,"Moderado (4-4.9)","Menor a 4"))))</x:f>
        <x:v>Moderado (4-4.9)</x:v>
      </x:c>
      <x:c r="L2461" s="25" t="str">
        <x:f>IF(I2461&lt;70,"Superficial (&lt;70 km)",IF(I2461&lt;=300,"Intermedio (70-300 km)","Profundo (&gt;300 km)"))</x:f>
        <x:v>Superficial (&lt;70 km)</x:v>
      </x:c>
      <x:c r="M2461" s="25" t="str">
        <x:f>IF(J2461&gt;=5,"Sí","No")</x:f>
        <x:v>No</x:v>
      </x:c>
      <x:c r="N2461" s="25" t="str">
        <x:f>IF(J2461&gt;=6,"Sí","No")</x:f>
        <x:v>No</x:v>
      </x:c>
      <x:c r="O2461" s="25" t="str">
        <x:v>Pendiente: asignar con R/sf</x:v>
      </x:c>
    </x:row>
    <x:row r="2462">
      <x:c r="A2462" s="25" t="n">
        <x:v>2461</x:v>
      </x:c>
      <x:c r="B2462" s="26" t="n">
        <x:v>42363.63321759259</x:v>
      </x:c>
      <x:c r="C2462" s="27" t="n">
        <x:f>INT(B2462)</x:f>
        <x:v>42363</x:v>
      </x:c>
      <x:c r="D2462" s="28" t="n">
        <x:f>MOD(B2462,1)</x:f>
        <x:v>0.6332175925927004</x:v>
      </x:c>
      <x:c r="E2462" s="29" t="n">
        <x:f>YEAR(B2462)</x:f>
        <x:v>2015</x:v>
      </x:c>
      <x:c r="F2462" s="29" t="n">
        <x:f>MONTH(B2462)</x:f>
        <x:v>12</x:v>
      </x:c>
      <x:c r="G2462" s="30" t="n">
        <x:v>-30.59</x:v>
      </x:c>
      <x:c r="H2462" s="30" t="n">
        <x:v>-71.29</x:v>
      </x:c>
      <x:c r="I2462" s="29" t="n">
        <x:v>60</x:v>
      </x:c>
      <x:c r="J2462" s="31" t="n">
        <x:v>4.5</x:v>
      </x:c>
      <x:c r="K2462" s="25" t="str">
        <x:f>IF(J2462&gt;=7,"Muy fuerte (&gt;=7)",IF(J2462&gt;=6,"Fuerte (6-6.9)",IF(J2462&gt;=5,"Moderado alto (5-5.9)",IF(J2462&gt;=4,"Moderado (4-4.9)","Menor a 4"))))</x:f>
        <x:v>Moderado (4-4.9)</x:v>
      </x:c>
      <x:c r="L2462" s="25" t="str">
        <x:f>IF(I2462&lt;70,"Superficial (&lt;70 km)",IF(I2462&lt;=300,"Intermedio (70-300 km)","Profundo (&gt;300 km)"))</x:f>
        <x:v>Superficial (&lt;70 km)</x:v>
      </x:c>
      <x:c r="M2462" s="25" t="str">
        <x:f>IF(J2462&gt;=5,"Sí","No")</x:f>
        <x:v>No</x:v>
      </x:c>
      <x:c r="N2462" s="25" t="str">
        <x:f>IF(J2462&gt;=6,"Sí","No")</x:f>
        <x:v>No</x:v>
      </x:c>
      <x:c r="O2462" s="25" t="str">
        <x:v>Pendiente: asignar con R/sf</x:v>
      </x:c>
    </x:row>
    <x:row r="2463">
      <x:c r="A2463" s="25" t="n">
        <x:v>2462</x:v>
      </x:c>
      <x:c r="B2463" s="26" t="n">
        <x:v>42365.67626157407</x:v>
      </x:c>
      <x:c r="C2463" s="27" t="n">
        <x:f>INT(B2463)</x:f>
        <x:v>42365</x:v>
      </x:c>
      <x:c r="D2463" s="28" t="n">
        <x:f>MOD(B2463,1)</x:f>
        <x:v>0.6762615740735782</x:v>
      </x:c>
      <x:c r="E2463" s="29" t="n">
        <x:f>YEAR(B2463)</x:f>
        <x:v>2015</x:v>
      </x:c>
      <x:c r="F2463" s="29" t="n">
        <x:f>MONTH(B2463)</x:f>
        <x:v>12</x:v>
      </x:c>
      <x:c r="G2463" s="30" t="n">
        <x:v>-30.63</x:v>
      </x:c>
      <x:c r="H2463" s="30" t="n">
        <x:v>-71.16</x:v>
      </x:c>
      <x:c r="I2463" s="29" t="n">
        <x:v>59</x:v>
      </x:c>
      <x:c r="J2463" s="31" t="n">
        <x:v>4.1</x:v>
      </x:c>
      <x:c r="K2463" s="25" t="str">
        <x:f>IF(J2463&gt;=7,"Muy fuerte (&gt;=7)",IF(J2463&gt;=6,"Fuerte (6-6.9)",IF(J2463&gt;=5,"Moderado alto (5-5.9)",IF(J2463&gt;=4,"Moderado (4-4.9)","Menor a 4"))))</x:f>
        <x:v>Moderado (4-4.9)</x:v>
      </x:c>
      <x:c r="L2463" s="25" t="str">
        <x:f>IF(I2463&lt;70,"Superficial (&lt;70 km)",IF(I2463&lt;=300,"Intermedio (70-300 km)","Profundo (&gt;300 km)"))</x:f>
        <x:v>Superficial (&lt;70 km)</x:v>
      </x:c>
      <x:c r="M2463" s="25" t="str">
        <x:f>IF(J2463&gt;=5,"Sí","No")</x:f>
        <x:v>No</x:v>
      </x:c>
      <x:c r="N2463" s="25" t="str">
        <x:f>IF(J2463&gt;=6,"Sí","No")</x:f>
        <x:v>No</x:v>
      </x:c>
      <x:c r="O2463" s="25" t="str">
        <x:v>Pendiente: asignar con R/sf</x:v>
      </x:c>
    </x:row>
    <x:row r="2464">
      <x:c r="A2464" s="25" t="n">
        <x:v>2463</x:v>
      </x:c>
      <x:c r="B2464" s="26" t="n">
        <x:v>42378.37752314815</x:v>
      </x:c>
      <x:c r="C2464" s="27" t="n">
        <x:f>INT(B2464)</x:f>
        <x:v>42378</x:v>
      </x:c>
      <x:c r="D2464" s="28" t="n">
        <x:f>MOD(B2464,1)</x:f>
        <x:v>0.37752314814861165</x:v>
      </x:c>
      <x:c r="E2464" s="29" t="n">
        <x:f>YEAR(B2464)</x:f>
        <x:v>2016</x:v>
      </x:c>
      <x:c r="F2464" s="29" t="n">
        <x:f>MONTH(B2464)</x:f>
        <x:v>1</x:v>
      </x:c>
      <x:c r="G2464" s="30" t="n">
        <x:v>-19.83</x:v>
      </x:c>
      <x:c r="H2464" s="30" t="n">
        <x:v>-69.12</x:v>
      </x:c>
      <x:c r="I2464" s="29" t="n">
        <x:v>104</x:v>
      </x:c>
      <x:c r="J2464" s="31" t="n">
        <x:v>4.6</x:v>
      </x:c>
      <x:c r="K2464" s="25" t="str">
        <x:f>IF(J2464&gt;=7,"Muy fuerte (&gt;=7)",IF(J2464&gt;=6,"Fuerte (6-6.9)",IF(J2464&gt;=5,"Moderado alto (5-5.9)",IF(J2464&gt;=4,"Moderado (4-4.9)","Menor a 4"))))</x:f>
        <x:v>Moderado (4-4.9)</x:v>
      </x:c>
      <x:c r="L2464" s="25" t="str">
        <x:f>IF(I2464&lt;70,"Superficial (&lt;70 km)",IF(I2464&lt;=300,"Intermedio (70-300 km)","Profundo (&gt;300 km)"))</x:f>
        <x:v>Intermedio (70-300 km)</x:v>
      </x:c>
      <x:c r="M2464" s="25" t="str">
        <x:f>IF(J2464&gt;=5,"Sí","No")</x:f>
        <x:v>No</x:v>
      </x:c>
      <x:c r="N2464" s="25" t="str">
        <x:f>IF(J2464&gt;=6,"Sí","No")</x:f>
        <x:v>No</x:v>
      </x:c>
      <x:c r="O2464" s="25" t="str">
        <x:v>Pendiente: asignar con R/sf</x:v>
      </x:c>
    </x:row>
    <x:row r="2465">
      <x:c r="A2465" s="25" t="n">
        <x:v>2464</x:v>
      </x:c>
      <x:c r="B2465" s="26" t="n">
        <x:v>42396.60802083334</x:v>
      </x:c>
      <x:c r="C2465" s="27" t="n">
        <x:f>INT(B2465)</x:f>
        <x:v>42396</x:v>
      </x:c>
      <x:c r="D2465" s="28" t="n">
        <x:f>MOD(B2465,1)</x:f>
        <x:v>0.6080208333369228</x:v>
      </x:c>
      <x:c r="E2465" s="29" t="n">
        <x:f>YEAR(B2465)</x:f>
        <x:v>2016</x:v>
      </x:c>
      <x:c r="F2465" s="29" t="n">
        <x:f>MONTH(B2465)</x:f>
        <x:v>1</x:v>
      </x:c>
      <x:c r="G2465" s="30" t="n">
        <x:v>-19.19</x:v>
      </x:c>
      <x:c r="H2465" s="30" t="n">
        <x:v>-69.37</x:v>
      </x:c>
      <x:c r="I2465" s="29" t="n">
        <x:v>105</x:v>
      </x:c>
      <x:c r="J2465" s="31" t="n">
        <x:v>4</x:v>
      </x:c>
      <x:c r="K2465" s="25" t="str">
        <x:f>IF(J2465&gt;=7,"Muy fuerte (&gt;=7)",IF(J2465&gt;=6,"Fuerte (6-6.9)",IF(J2465&gt;=5,"Moderado alto (5-5.9)",IF(J2465&gt;=4,"Moderado (4-4.9)","Menor a 4"))))</x:f>
        <x:v>Moderado (4-4.9)</x:v>
      </x:c>
      <x:c r="L2465" s="25" t="str">
        <x:f>IF(I2465&lt;70,"Superficial (&lt;70 km)",IF(I2465&lt;=300,"Intermedio (70-300 km)","Profundo (&gt;300 km)"))</x:f>
        <x:v>Intermedio (70-300 km)</x:v>
      </x:c>
      <x:c r="M2465" s="25" t="str">
        <x:f>IF(J2465&gt;=5,"Sí","No")</x:f>
        <x:v>No</x:v>
      </x:c>
      <x:c r="N2465" s="25" t="str">
        <x:f>IF(J2465&gt;=6,"Sí","No")</x:f>
        <x:v>No</x:v>
      </x:c>
      <x:c r="O2465" s="25" t="str">
        <x:v>Pendiente: asignar con R/sf</x:v>
      </x:c>
    </x:row>
    <x:row r="2466">
      <x:c r="A2466" s="25" t="n">
        <x:v>2465</x:v>
      </x:c>
      <x:c r="B2466" s="26" t="n">
        <x:v>42668.3044212963</x:v>
      </x:c>
      <x:c r="C2466" s="27" t="n">
        <x:f>INT(B2466)</x:f>
        <x:v>42668</x:v>
      </x:c>
      <x:c r="D2466" s="28" t="n">
        <x:f>MOD(B2466,1)</x:f>
        <x:v>0.3044212962995516</x:v>
      </x:c>
      <x:c r="E2466" s="29" t="n">
        <x:f>YEAR(B2466)</x:f>
        <x:v>2016</x:v>
      </x:c>
      <x:c r="F2466" s="29" t="n">
        <x:f>MONTH(B2466)</x:f>
        <x:v>10</x:v>
      </x:c>
      <x:c r="G2466" s="30" t="n">
        <x:v>-26.75</x:v>
      </x:c>
      <x:c r="H2466" s="30" t="n">
        <x:v>-71.07</x:v>
      </x:c>
      <x:c r="I2466" s="29" t="n">
        <x:v>15</x:v>
      </x:c>
      <x:c r="J2466" s="31" t="n">
        <x:v>4.9</x:v>
      </x:c>
      <x:c r="K2466" s="25" t="str">
        <x:f>IF(J2466&gt;=7,"Muy fuerte (&gt;=7)",IF(J2466&gt;=6,"Fuerte (6-6.9)",IF(J2466&gt;=5,"Moderado alto (5-5.9)",IF(J2466&gt;=4,"Moderado (4-4.9)","Menor a 4"))))</x:f>
        <x:v>Moderado (4-4.9)</x:v>
      </x:c>
      <x:c r="L2466" s="25" t="str">
        <x:f>IF(I2466&lt;70,"Superficial (&lt;70 km)",IF(I2466&lt;=300,"Intermedio (70-300 km)","Profundo (&gt;300 km)"))</x:f>
        <x:v>Superficial (&lt;70 km)</x:v>
      </x:c>
      <x:c r="M2466" s="25" t="str">
        <x:f>IF(J2466&gt;=5,"Sí","No")</x:f>
        <x:v>No</x:v>
      </x:c>
      <x:c r="N2466" s="25" t="str">
        <x:f>IF(J2466&gt;=6,"Sí","No")</x:f>
        <x:v>No</x:v>
      </x:c>
      <x:c r="O2466" s="25" t="str">
        <x:v>Pendiente: asignar con R/sf</x:v>
      </x:c>
    </x:row>
    <x:row r="2467">
      <x:c r="A2467" s="25" t="n">
        <x:v>2466</x:v>
      </x:c>
      <x:c r="B2467" s="26" t="n">
        <x:v>42436.2509375</x:v>
      </x:c>
      <x:c r="C2467" s="27" t="n">
        <x:f>INT(B2467)</x:f>
        <x:v>42436</x:v>
      </x:c>
      <x:c r="D2467" s="28" t="n">
        <x:f>MOD(B2467,1)</x:f>
        <x:v>0.2509375000008731</x:v>
      </x:c>
      <x:c r="E2467" s="29" t="n">
        <x:f>YEAR(B2467)</x:f>
        <x:v>2016</x:v>
      </x:c>
      <x:c r="F2467" s="29" t="n">
        <x:f>MONTH(B2467)</x:f>
        <x:v>3</x:v>
      </x:c>
      <x:c r="G2467" s="30" t="n">
        <x:v>-27.02</x:v>
      </x:c>
      <x:c r="H2467" s="30" t="n">
        <x:v>-70.83</x:v>
      </x:c>
      <x:c r="I2467" s="29" t="n">
        <x:v>58</x:v>
      </x:c>
      <x:c r="J2467" s="31" t="n">
        <x:v>4.3</x:v>
      </x:c>
      <x:c r="K2467" s="25" t="str">
        <x:f>IF(J2467&gt;=7,"Muy fuerte (&gt;=7)",IF(J2467&gt;=6,"Fuerte (6-6.9)",IF(J2467&gt;=5,"Moderado alto (5-5.9)",IF(J2467&gt;=4,"Moderado (4-4.9)","Menor a 4"))))</x:f>
        <x:v>Moderado (4-4.9)</x:v>
      </x:c>
      <x:c r="L2467" s="25" t="str">
        <x:f>IF(I2467&lt;70,"Superficial (&lt;70 km)",IF(I2467&lt;=300,"Intermedio (70-300 km)","Profundo (&gt;300 km)"))</x:f>
        <x:v>Superficial (&lt;70 km)</x:v>
      </x:c>
      <x:c r="M2467" s="25" t="str">
        <x:f>IF(J2467&gt;=5,"Sí","No")</x:f>
        <x:v>No</x:v>
      </x:c>
      <x:c r="N2467" s="25" t="str">
        <x:f>IF(J2467&gt;=6,"Sí","No")</x:f>
        <x:v>No</x:v>
      </x:c>
      <x:c r="O2467" s="25" t="str">
        <x:v>Pendiente: asignar con R/sf</x:v>
      </x:c>
    </x:row>
    <x:row r="2468">
      <x:c r="A2468" s="25" t="n">
        <x:v>2467</x:v>
      </x:c>
      <x:c r="B2468" s="26" t="n">
        <x:v>42376.653275462966</x:v>
      </x:c>
      <x:c r="C2468" s="27" t="n">
        <x:f>INT(B2468)</x:f>
        <x:v>42376</x:v>
      </x:c>
      <x:c r="D2468" s="28" t="n">
        <x:f>MOD(B2468,1)</x:f>
        <x:v>0.6532754629661213</x:v>
      </x:c>
      <x:c r="E2468" s="29" t="n">
        <x:f>YEAR(B2468)</x:f>
        <x:v>2016</x:v>
      </x:c>
      <x:c r="F2468" s="29" t="n">
        <x:f>MONTH(B2468)</x:f>
        <x:v>1</x:v>
      </x:c>
      <x:c r="G2468" s="30" t="n">
        <x:v>-41.72</x:v>
      </x:c>
      <x:c r="H2468" s="30" t="n">
        <x:v>-74.15</x:v>
      </x:c>
      <x:c r="I2468" s="29" t="n">
        <x:v>41</x:v>
      </x:c>
      <x:c r="J2468" s="31" t="n">
        <x:v>5.3</x:v>
      </x:c>
      <x:c r="K2468" s="25" t="str">
        <x:f>IF(J2468&gt;=7,"Muy fuerte (&gt;=7)",IF(J2468&gt;=6,"Fuerte (6-6.9)",IF(J2468&gt;=5,"Moderado alto (5-5.9)",IF(J2468&gt;=4,"Moderado (4-4.9)","Menor a 4"))))</x:f>
        <x:v>Moderado alto (5-5.9)</x:v>
      </x:c>
      <x:c r="L2468" s="25" t="str">
        <x:f>IF(I2468&lt;70,"Superficial (&lt;70 km)",IF(I2468&lt;=300,"Intermedio (70-300 km)","Profundo (&gt;300 km)"))</x:f>
        <x:v>Superficial (&lt;70 km)</x:v>
      </x:c>
      <x:c r="M2468" s="25" t="str">
        <x:f>IF(J2468&gt;=5,"Sí","No")</x:f>
        <x:v>Sí</x:v>
      </x:c>
      <x:c r="N2468" s="25" t="str">
        <x:f>IF(J2468&gt;=6,"Sí","No")</x:f>
        <x:v>No</x:v>
      </x:c>
      <x:c r="O2468" s="25" t="str">
        <x:v>Pendiente: asignar con R/sf</x:v>
      </x:c>
    </x:row>
    <x:row r="2469">
      <x:c r="A2469" s="25" t="n">
        <x:v>2468</x:v>
      </x:c>
      <x:c r="B2469" s="26" t="n">
        <x:v>42377.50875</x:v>
      </x:c>
      <x:c r="C2469" s="27" t="n">
        <x:f>INT(B2469)</x:f>
        <x:v>42377</x:v>
      </x:c>
      <x:c r="D2469" s="28" t="n">
        <x:f>MOD(B2469,1)</x:f>
        <x:v>0.5087500000008731</x:v>
      </x:c>
      <x:c r="E2469" s="29" t="n">
        <x:f>YEAR(B2469)</x:f>
        <x:v>2016</x:v>
      </x:c>
      <x:c r="F2469" s="29" t="n">
        <x:f>MONTH(B2469)</x:f>
        <x:v>1</x:v>
      </x:c>
      <x:c r="G2469" s="30" t="n">
        <x:v>-41.71</x:v>
      </x:c>
      <x:c r="H2469" s="30" t="n">
        <x:v>-74.12</x:v>
      </x:c>
      <x:c r="I2469" s="29" t="n">
        <x:v>42</x:v>
      </x:c>
      <x:c r="J2469" s="31" t="n">
        <x:v>4.5</x:v>
      </x:c>
      <x:c r="K2469" s="25" t="str">
        <x:f>IF(J2469&gt;=7,"Muy fuerte (&gt;=7)",IF(J2469&gt;=6,"Fuerte (6-6.9)",IF(J2469&gt;=5,"Moderado alto (5-5.9)",IF(J2469&gt;=4,"Moderado (4-4.9)","Menor a 4"))))</x:f>
        <x:v>Moderado (4-4.9)</x:v>
      </x:c>
      <x:c r="L2469" s="25" t="str">
        <x:f>IF(I2469&lt;70,"Superficial (&lt;70 km)",IF(I2469&lt;=300,"Intermedio (70-300 km)","Profundo (&gt;300 km)"))</x:f>
        <x:v>Superficial (&lt;70 km)</x:v>
      </x:c>
      <x:c r="M2469" s="25" t="str">
        <x:f>IF(J2469&gt;=5,"Sí","No")</x:f>
        <x:v>No</x:v>
      </x:c>
      <x:c r="N2469" s="25" t="str">
        <x:f>IF(J2469&gt;=6,"Sí","No")</x:f>
        <x:v>No</x:v>
      </x:c>
      <x:c r="O2469" s="25" t="str">
        <x:v>Pendiente: asignar con R/sf</x:v>
      </x:c>
    </x:row>
    <x:row r="2470">
      <x:c r="A2470" s="25" t="n">
        <x:v>2469</x:v>
      </x:c>
      <x:c r="B2470" s="26" t="n">
        <x:v>42526.39644675926</x:v>
      </x:c>
      <x:c r="C2470" s="27" t="n">
        <x:f>INT(B2470)</x:f>
        <x:v>42526</x:v>
      </x:c>
      <x:c r="D2470" s="28" t="n">
        <x:f>MOD(B2470,1)</x:f>
        <x:v>0.3964467592595611</x:v>
      </x:c>
      <x:c r="E2470" s="29" t="n">
        <x:f>YEAR(B2470)</x:f>
        <x:v>2016</x:v>
      </x:c>
      <x:c r="F2470" s="29" t="n">
        <x:f>MONTH(B2470)</x:f>
        <x:v>6</x:v>
      </x:c>
      <x:c r="G2470" s="30" t="n">
        <x:v>-29.37</x:v>
      </x:c>
      <x:c r="H2470" s="30" t="n">
        <x:v>-71.65</x:v>
      </x:c>
      <x:c r="I2470" s="29" t="n">
        <x:v>53</x:v>
      </x:c>
      <x:c r="J2470" s="31" t="n">
        <x:v>4.2</x:v>
      </x:c>
      <x:c r="K2470" s="25" t="str">
        <x:f>IF(J2470&gt;=7,"Muy fuerte (&gt;=7)",IF(J2470&gt;=6,"Fuerte (6-6.9)",IF(J2470&gt;=5,"Moderado alto (5-5.9)",IF(J2470&gt;=4,"Moderado (4-4.9)","Menor a 4"))))</x:f>
        <x:v>Moderado (4-4.9)</x:v>
      </x:c>
      <x:c r="L2470" s="25" t="str">
        <x:f>IF(I2470&lt;70,"Superficial (&lt;70 km)",IF(I2470&lt;=300,"Intermedio (70-300 km)","Profundo (&gt;300 km)"))</x:f>
        <x:v>Superficial (&lt;70 km)</x:v>
      </x:c>
      <x:c r="M2470" s="25" t="str">
        <x:f>IF(J2470&gt;=5,"Sí","No")</x:f>
        <x:v>No</x:v>
      </x:c>
      <x:c r="N2470" s="25" t="str">
        <x:f>IF(J2470&gt;=6,"Sí","No")</x:f>
        <x:v>No</x:v>
      </x:c>
      <x:c r="O2470" s="25" t="str">
        <x:v>Pendiente: asignar con R/sf</x:v>
      </x:c>
    </x:row>
    <x:row r="2471">
      <x:c r="A2471" s="25" t="n">
        <x:v>2470</x:v>
      </x:c>
      <x:c r="B2471" s="26" t="n">
        <x:v>42498.79584490741</x:v>
      </x:c>
      <x:c r="C2471" s="27" t="n">
        <x:f>INT(B2471)</x:f>
        <x:v>42498</x:v>
      </x:c>
      <x:c r="D2471" s="28" t="n">
        <x:f>MOD(B2471,1)</x:f>
        <x:v>0.7958449074067175</x:v>
      </x:c>
      <x:c r="E2471" s="29" t="n">
        <x:f>YEAR(B2471)</x:f>
        <x:v>2016</x:v>
      </x:c>
      <x:c r="F2471" s="29" t="n">
        <x:f>MONTH(B2471)</x:f>
        <x:v>5</x:v>
      </x:c>
      <x:c r="G2471" s="30" t="n">
        <x:v>-24.71</x:v>
      </x:c>
      <x:c r="H2471" s="30" t="n">
        <x:v>-69.47</x:v>
      </x:c>
      <x:c r="I2471" s="29" t="n">
        <x:v>88</x:v>
      </x:c>
      <x:c r="J2471" s="31" t="n">
        <x:v>5</x:v>
      </x:c>
      <x:c r="K2471" s="25" t="str">
        <x:f>IF(J2471&gt;=7,"Muy fuerte (&gt;=7)",IF(J2471&gt;=6,"Fuerte (6-6.9)",IF(J2471&gt;=5,"Moderado alto (5-5.9)",IF(J2471&gt;=4,"Moderado (4-4.9)","Menor a 4"))))</x:f>
        <x:v>Moderado alto (5-5.9)</x:v>
      </x:c>
      <x:c r="L2471" s="25" t="str">
        <x:f>IF(I2471&lt;70,"Superficial (&lt;70 km)",IF(I2471&lt;=300,"Intermedio (70-300 km)","Profundo (&gt;300 km)"))</x:f>
        <x:v>Intermedio (70-300 km)</x:v>
      </x:c>
      <x:c r="M2471" s="25" t="str">
        <x:f>IF(J2471&gt;=5,"Sí","No")</x:f>
        <x:v>Sí</x:v>
      </x:c>
      <x:c r="N2471" s="25" t="str">
        <x:f>IF(J2471&gt;=6,"Sí","No")</x:f>
        <x:v>No</x:v>
      </x:c>
      <x:c r="O2471" s="25" t="str">
        <x:v>Pendiente: asignar con R/sf</x:v>
      </x:c>
    </x:row>
    <x:row r="2472">
      <x:c r="A2472" s="25" t="n">
        <x:v>2471</x:v>
      </x:c>
      <x:c r="B2472" s="26" t="n">
        <x:v>42576.505960648145</x:v>
      </x:c>
      <x:c r="C2472" s="27" t="n">
        <x:f>INT(B2472)</x:f>
        <x:v>42576</x:v>
      </x:c>
      <x:c r="D2472" s="28" t="n">
        <x:f>MOD(B2472,1)</x:f>
        <x:v>0.5059606481445371</x:v>
      </x:c>
      <x:c r="E2472" s="29" t="n">
        <x:f>YEAR(B2472)</x:f>
        <x:v>2016</x:v>
      </x:c>
      <x:c r="F2472" s="29" t="n">
        <x:f>MONTH(B2472)</x:f>
        <x:v>7</x:v>
      </x:c>
      <x:c r="G2472" s="30" t="n">
        <x:v>-33.41</x:v>
      </x:c>
      <x:c r="H2472" s="30" t="n">
        <x:v>-70.3</x:v>
      </x:c>
      <x:c r="I2472" s="29" t="n">
        <x:v>101</x:v>
      </x:c>
      <x:c r="J2472" s="31" t="n">
        <x:v>4.9</x:v>
      </x:c>
      <x:c r="K2472" s="25" t="str">
        <x:f>IF(J2472&gt;=7,"Muy fuerte (&gt;=7)",IF(J2472&gt;=6,"Fuerte (6-6.9)",IF(J2472&gt;=5,"Moderado alto (5-5.9)",IF(J2472&gt;=4,"Moderado (4-4.9)","Menor a 4"))))</x:f>
        <x:v>Moderado (4-4.9)</x:v>
      </x:c>
      <x:c r="L2472" s="25" t="str">
        <x:f>IF(I2472&lt;70,"Superficial (&lt;70 km)",IF(I2472&lt;=300,"Intermedio (70-300 km)","Profundo (&gt;300 km)"))</x:f>
        <x:v>Intermedio (70-300 km)</x:v>
      </x:c>
      <x:c r="M2472" s="25" t="str">
        <x:f>IF(J2472&gt;=5,"Sí","No")</x:f>
        <x:v>No</x:v>
      </x:c>
      <x:c r="N2472" s="25" t="str">
        <x:f>IF(J2472&gt;=6,"Sí","No")</x:f>
        <x:v>No</x:v>
      </x:c>
      <x:c r="O2472" s="25" t="str">
        <x:v>Pendiente: asignar con R/sf</x:v>
      </x:c>
    </x:row>
    <x:row r="2473">
      <x:c r="A2473" s="25" t="n">
        <x:v>2472</x:v>
      </x:c>
      <x:c r="B2473" s="26" t="n">
        <x:v>42438.26908564815</x:v>
      </x:c>
      <x:c r="C2473" s="27" t="n">
        <x:f>INT(B2473)</x:f>
        <x:v>42438</x:v>
      </x:c>
      <x:c r="D2473" s="28" t="n">
        <x:f>MOD(B2473,1)</x:f>
        <x:v>0.26908564814948477</x:v>
      </x:c>
      <x:c r="E2473" s="29" t="n">
        <x:f>YEAR(B2473)</x:f>
        <x:v>2016</x:v>
      </x:c>
      <x:c r="F2473" s="29" t="n">
        <x:f>MONTH(B2473)</x:f>
        <x:v>3</x:v>
      </x:c>
      <x:c r="G2473" s="30" t="n">
        <x:v>-34.79</x:v>
      </x:c>
      <x:c r="H2473" s="30" t="n">
        <x:v>-71.84</x:v>
      </x:c>
      <x:c r="I2473" s="29" t="n">
        <x:v>41</x:v>
      </x:c>
      <x:c r="J2473" s="31" t="n">
        <x:v>4.3</x:v>
      </x:c>
      <x:c r="K2473" s="25" t="str">
        <x:f>IF(J2473&gt;=7,"Muy fuerte (&gt;=7)",IF(J2473&gt;=6,"Fuerte (6-6.9)",IF(J2473&gt;=5,"Moderado alto (5-5.9)",IF(J2473&gt;=4,"Moderado (4-4.9)","Menor a 4"))))</x:f>
        <x:v>Moderado (4-4.9)</x:v>
      </x:c>
      <x:c r="L2473" s="25" t="str">
        <x:f>IF(I2473&lt;70,"Superficial (&lt;70 km)",IF(I2473&lt;=300,"Intermedio (70-300 km)","Profundo (&gt;300 km)"))</x:f>
        <x:v>Superficial (&lt;70 km)</x:v>
      </x:c>
      <x:c r="M2473" s="25" t="str">
        <x:f>IF(J2473&gt;=5,"Sí","No")</x:f>
        <x:v>No</x:v>
      </x:c>
      <x:c r="N2473" s="25" t="str">
        <x:f>IF(J2473&gt;=6,"Sí","No")</x:f>
        <x:v>No</x:v>
      </x:c>
      <x:c r="O2473" s="25" t="str">
        <x:v>Pendiente: asignar con R/sf</x:v>
      </x:c>
    </x:row>
    <x:row r="2474">
      <x:c r="A2474" s="25" t="n">
        <x:v>2473</x:v>
      </x:c>
      <x:c r="B2474" s="26" t="n">
        <x:v>42390.25488425926</x:v>
      </x:c>
      <x:c r="C2474" s="27" t="n">
        <x:f>INT(B2474)</x:f>
        <x:v>42390</x:v>
      </x:c>
      <x:c r="D2474" s="28" t="n">
        <x:f>MOD(B2474,1)</x:f>
        <x:v>0.25488425925868796</x:v>
      </x:c>
      <x:c r="E2474" s="29" t="n">
        <x:f>YEAR(B2474)</x:f>
        <x:v>2016</x:v>
      </x:c>
      <x:c r="F2474" s="29" t="n">
        <x:f>MONTH(B2474)</x:f>
        <x:v>1</x:v>
      </x:c>
      <x:c r="G2474" s="30" t="n">
        <x:v>-30.51</x:v>
      </x:c>
      <x:c r="H2474" s="30" t="n">
        <x:v>-71.22</x:v>
      </x:c>
      <x:c r="I2474" s="29" t="n">
        <x:v>57</x:v>
      </x:c>
      <x:c r="J2474" s="31" t="n">
        <x:v>4.4</x:v>
      </x:c>
      <x:c r="K2474" s="25" t="str">
        <x:f>IF(J2474&gt;=7,"Muy fuerte (&gt;=7)",IF(J2474&gt;=6,"Fuerte (6-6.9)",IF(J2474&gt;=5,"Moderado alto (5-5.9)",IF(J2474&gt;=4,"Moderado (4-4.9)","Menor a 4"))))</x:f>
        <x:v>Moderado (4-4.9)</x:v>
      </x:c>
      <x:c r="L2474" s="25" t="str">
        <x:f>IF(I2474&lt;70,"Superficial (&lt;70 km)",IF(I2474&lt;=300,"Intermedio (70-300 km)","Profundo (&gt;300 km)"))</x:f>
        <x:v>Superficial (&lt;70 km)</x:v>
      </x:c>
      <x:c r="M2474" s="25" t="str">
        <x:f>IF(J2474&gt;=5,"Sí","No")</x:f>
        <x:v>No</x:v>
      </x:c>
      <x:c r="N2474" s="25" t="str">
        <x:f>IF(J2474&gt;=6,"Sí","No")</x:f>
        <x:v>No</x:v>
      </x:c>
      <x:c r="O2474" s="25" t="str">
        <x:v>Pendiente: asignar con R/sf</x:v>
      </x:c>
    </x:row>
    <x:row r="2475">
      <x:c r="A2475" s="25" t="n">
        <x:v>2474</x:v>
      </x:c>
      <x:c r="B2475" s="26" t="n">
        <x:v>42684.71869212963</x:v>
      </x:c>
      <x:c r="C2475" s="27" t="n">
        <x:f>INT(B2475)</x:f>
        <x:v>42684</x:v>
      </x:c>
      <x:c r="D2475" s="28" t="n">
        <x:f>MOD(B2475,1)</x:f>
        <x:v>0.7186921296306537</x:v>
      </x:c>
      <x:c r="E2475" s="29" t="n">
        <x:f>YEAR(B2475)</x:f>
        <x:v>2016</x:v>
      </x:c>
      <x:c r="F2475" s="29" t="n">
        <x:f>MONTH(B2475)</x:f>
        <x:v>11</x:v>
      </x:c>
      <x:c r="G2475" s="30" t="n">
        <x:v>-19.13</x:v>
      </x:c>
      <x:c r="H2475" s="30" t="n">
        <x:v>-69.42</x:v>
      </x:c>
      <x:c r="I2475" s="29" t="n">
        <x:v>96</x:v>
      </x:c>
      <x:c r="J2475" s="31" t="n">
        <x:v>4.6</x:v>
      </x:c>
      <x:c r="K2475" s="25" t="str">
        <x:f>IF(J2475&gt;=7,"Muy fuerte (&gt;=7)",IF(J2475&gt;=6,"Fuerte (6-6.9)",IF(J2475&gt;=5,"Moderado alto (5-5.9)",IF(J2475&gt;=4,"Moderado (4-4.9)","Menor a 4"))))</x:f>
        <x:v>Moderado (4-4.9)</x:v>
      </x:c>
      <x:c r="L2475" s="25" t="str">
        <x:f>IF(I2475&lt;70,"Superficial (&lt;70 km)",IF(I2475&lt;=300,"Intermedio (70-300 km)","Profundo (&gt;300 km)"))</x:f>
        <x:v>Intermedio (70-300 km)</x:v>
      </x:c>
      <x:c r="M2475" s="25" t="str">
        <x:f>IF(J2475&gt;=5,"Sí","No")</x:f>
        <x:v>No</x:v>
      </x:c>
      <x:c r="N2475" s="25" t="str">
        <x:f>IF(J2475&gt;=6,"Sí","No")</x:f>
        <x:v>No</x:v>
      </x:c>
      <x:c r="O2475" s="25" t="str">
        <x:v>Pendiente: asignar con R/sf</x:v>
      </x:c>
    </x:row>
    <x:row r="2476">
      <x:c r="A2476" s="25" t="n">
        <x:v>2475</x:v>
      </x:c>
      <x:c r="B2476" s="26" t="n">
        <x:v>42561.83378472222</x:v>
      </x:c>
      <x:c r="C2476" s="27" t="n">
        <x:f>INT(B2476)</x:f>
        <x:v>42561</x:v>
      </x:c>
      <x:c r="D2476" s="28" t="n">
        <x:f>MOD(B2476,1)</x:f>
        <x:v>0.8337847222210257</x:v>
      </x:c>
      <x:c r="E2476" s="29" t="n">
        <x:f>YEAR(B2476)</x:f>
        <x:v>2016</x:v>
      </x:c>
      <x:c r="F2476" s="29" t="n">
        <x:f>MONTH(B2476)</x:f>
        <x:v>7</x:v>
      </x:c>
      <x:c r="G2476" s="30" t="n">
        <x:v>-21.14</x:v>
      </x:c>
      <x:c r="H2476" s="30" t="n">
        <x:v>-68.87</x:v>
      </x:c>
      <x:c r="I2476" s="29" t="n">
        <x:v>110</x:v>
      </x:c>
      <x:c r="J2476" s="31" t="n">
        <x:v>4.7</x:v>
      </x:c>
      <x:c r="K2476" s="25" t="str">
        <x:f>IF(J2476&gt;=7,"Muy fuerte (&gt;=7)",IF(J2476&gt;=6,"Fuerte (6-6.9)",IF(J2476&gt;=5,"Moderado alto (5-5.9)",IF(J2476&gt;=4,"Moderado (4-4.9)","Menor a 4"))))</x:f>
        <x:v>Moderado (4-4.9)</x:v>
      </x:c>
      <x:c r="L2476" s="25" t="str">
        <x:f>IF(I2476&lt;70,"Superficial (&lt;70 km)",IF(I2476&lt;=300,"Intermedio (70-300 km)","Profundo (&gt;300 km)"))</x:f>
        <x:v>Intermedio (70-300 km)</x:v>
      </x:c>
      <x:c r="M2476" s="25" t="str">
        <x:f>IF(J2476&gt;=5,"Sí","No")</x:f>
        <x:v>No</x:v>
      </x:c>
      <x:c r="N2476" s="25" t="str">
        <x:f>IF(J2476&gt;=6,"Sí","No")</x:f>
        <x:v>No</x:v>
      </x:c>
      <x:c r="O2476" s="25" t="str">
        <x:v>Pendiente: asignar con R/sf</x:v>
      </x:c>
    </x:row>
    <x:row r="2477">
      <x:c r="A2477" s="25" t="n">
        <x:v>2476</x:v>
      </x:c>
      <x:c r="B2477" s="26" t="n">
        <x:v>42688.917025462964</x:v>
      </x:c>
      <x:c r="C2477" s="27" t="n">
        <x:f>INT(B2477)</x:f>
        <x:v>42688</x:v>
      </x:c>
      <x:c r="D2477" s="28" t="n">
        <x:f>MOD(B2477,1)</x:f>
        <x:v>0.917025462964375</x:v>
      </x:c>
      <x:c r="E2477" s="29" t="n">
        <x:f>YEAR(B2477)</x:f>
        <x:v>2016</x:v>
      </x:c>
      <x:c r="F2477" s="29" t="n">
        <x:f>MONTH(B2477)</x:f>
        <x:v>11</x:v>
      </x:c>
      <x:c r="G2477" s="30" t="n">
        <x:v>-21.15</x:v>
      </x:c>
      <x:c r="H2477" s="30" t="n">
        <x:v>-69.97</x:v>
      </x:c>
      <x:c r="I2477" s="29" t="n">
        <x:v>49</x:v>
      </x:c>
      <x:c r="J2477" s="31" t="n">
        <x:v>4.4</x:v>
      </x:c>
      <x:c r="K2477" s="25" t="str">
        <x:f>IF(J2477&gt;=7,"Muy fuerte (&gt;=7)",IF(J2477&gt;=6,"Fuerte (6-6.9)",IF(J2477&gt;=5,"Moderado alto (5-5.9)",IF(J2477&gt;=4,"Moderado (4-4.9)","Menor a 4"))))</x:f>
        <x:v>Moderado (4-4.9)</x:v>
      </x:c>
      <x:c r="L2477" s="25" t="str">
        <x:f>IF(I2477&lt;70,"Superficial (&lt;70 km)",IF(I2477&lt;=300,"Intermedio (70-300 km)","Profundo (&gt;300 km)"))</x:f>
        <x:v>Superficial (&lt;70 km)</x:v>
      </x:c>
      <x:c r="M2477" s="25" t="str">
        <x:f>IF(J2477&gt;=5,"Sí","No")</x:f>
        <x:v>No</x:v>
      </x:c>
      <x:c r="N2477" s="25" t="str">
        <x:f>IF(J2477&gt;=6,"Sí","No")</x:f>
        <x:v>No</x:v>
      </x:c>
      <x:c r="O2477" s="25" t="str">
        <x:v>Pendiente: asignar con R/sf</x:v>
      </x:c>
    </x:row>
    <x:row r="2478">
      <x:c r="A2478" s="25" t="n">
        <x:v>2477</x:v>
      </x:c>
      <x:c r="B2478" s="26" t="n">
        <x:v>42412.93894675926</x:v>
      </x:c>
      <x:c r="C2478" s="27" t="n">
        <x:f>INT(B2478)</x:f>
        <x:v>42412</x:v>
      </x:c>
      <x:c r="D2478" s="28" t="n">
        <x:f>MOD(B2478,1)</x:f>
        <x:v>0.9389467592627625</x:v>
      </x:c>
      <x:c r="E2478" s="29" t="n">
        <x:f>YEAR(B2478)</x:f>
        <x:v>2016</x:v>
      </x:c>
      <x:c r="F2478" s="29" t="n">
        <x:f>MONTH(B2478)</x:f>
        <x:v>2</x:v>
      </x:c>
      <x:c r="G2478" s="30" t="n">
        <x:v>-19.94</x:v>
      </x:c>
      <x:c r="H2478" s="30" t="n">
        <x:v>-70.31</x:v>
      </x:c>
      <x:c r="I2478" s="29" t="n">
        <x:v>53</x:v>
      </x:c>
      <x:c r="J2478" s="31" t="n">
        <x:v>5</x:v>
      </x:c>
      <x:c r="K2478" s="25" t="str">
        <x:f>IF(J2478&gt;=7,"Muy fuerte (&gt;=7)",IF(J2478&gt;=6,"Fuerte (6-6.9)",IF(J2478&gt;=5,"Moderado alto (5-5.9)",IF(J2478&gt;=4,"Moderado (4-4.9)","Menor a 4"))))</x:f>
        <x:v>Moderado alto (5-5.9)</x:v>
      </x:c>
      <x:c r="L2478" s="25" t="str">
        <x:f>IF(I2478&lt;70,"Superficial (&lt;70 km)",IF(I2478&lt;=300,"Intermedio (70-300 km)","Profundo (&gt;300 km)"))</x:f>
        <x:v>Superficial (&lt;70 km)</x:v>
      </x:c>
      <x:c r="M2478" s="25" t="str">
        <x:f>IF(J2478&gt;=5,"Sí","No")</x:f>
        <x:v>Sí</x:v>
      </x:c>
      <x:c r="N2478" s="25" t="str">
        <x:f>IF(J2478&gt;=6,"Sí","No")</x:f>
        <x:v>No</x:v>
      </x:c>
      <x:c r="O2478" s="25" t="str">
        <x:v>Pendiente: asignar con R/sf</x:v>
      </x:c>
    </x:row>
    <x:row r="2479">
      <x:c r="A2479" s="25" t="n">
        <x:v>2478</x:v>
      </x:c>
      <x:c r="B2479" s="26" t="n">
        <x:v>42452.551469907405</x:v>
      </x:c>
      <x:c r="C2479" s="27" t="n">
        <x:f>INT(B2479)</x:f>
        <x:v>42452</x:v>
      </x:c>
      <x:c r="D2479" s="28" t="n">
        <x:f>MOD(B2479,1)</x:f>
        <x:v>0.5514699074046803</x:v>
      </x:c>
      <x:c r="E2479" s="29" t="n">
        <x:f>YEAR(B2479)</x:f>
        <x:v>2016</x:v>
      </x:c>
      <x:c r="F2479" s="29" t="n">
        <x:f>MONTH(B2479)</x:f>
        <x:v>3</x:v>
      </x:c>
      <x:c r="G2479" s="30" t="n">
        <x:v>-30.39</x:v>
      </x:c>
      <x:c r="H2479" s="30" t="n">
        <x:v>-71.64</x:v>
      </x:c>
      <x:c r="I2479" s="29" t="n">
        <x:v>30</x:v>
      </x:c>
      <x:c r="J2479" s="31" t="n">
        <x:v>4.5</x:v>
      </x:c>
      <x:c r="K2479" s="25" t="str">
        <x:f>IF(J2479&gt;=7,"Muy fuerte (&gt;=7)",IF(J2479&gt;=6,"Fuerte (6-6.9)",IF(J2479&gt;=5,"Moderado alto (5-5.9)",IF(J2479&gt;=4,"Moderado (4-4.9)","Menor a 4"))))</x:f>
        <x:v>Moderado (4-4.9)</x:v>
      </x:c>
      <x:c r="L2479" s="25" t="str">
        <x:f>IF(I2479&lt;70,"Superficial (&lt;70 km)",IF(I2479&lt;=300,"Intermedio (70-300 km)","Profundo (&gt;300 km)"))</x:f>
        <x:v>Superficial (&lt;70 km)</x:v>
      </x:c>
      <x:c r="M2479" s="25" t="str">
        <x:f>IF(J2479&gt;=5,"Sí","No")</x:f>
        <x:v>No</x:v>
      </x:c>
      <x:c r="N2479" s="25" t="str">
        <x:f>IF(J2479&gt;=6,"Sí","No")</x:f>
        <x:v>No</x:v>
      </x:c>
      <x:c r="O2479" s="25" t="str">
        <x:v>Pendiente: asignar con R/sf</x:v>
      </x:c>
    </x:row>
    <x:row r="2480">
      <x:c r="A2480" s="25" t="n">
        <x:v>2479</x:v>
      </x:c>
      <x:c r="B2480" s="26" t="n">
        <x:v>42478.29252314815</x:v>
      </x:c>
      <x:c r="C2480" s="27" t="n">
        <x:f>INT(B2480)</x:f>
        <x:v>42478</x:v>
      </x:c>
      <x:c r="D2480" s="28" t="n">
        <x:f>MOD(B2480,1)</x:f>
        <x:v>0.29252314814948477</x:v>
      </x:c>
      <x:c r="E2480" s="29" t="n">
        <x:f>YEAR(B2480)</x:f>
        <x:v>2016</x:v>
      </x:c>
      <x:c r="F2480" s="29" t="n">
        <x:f>MONTH(B2480)</x:f>
        <x:v>4</x:v>
      </x:c>
      <x:c r="G2480" s="30" t="n">
        <x:v>-32.43</x:v>
      </x:c>
      <x:c r="H2480" s="30" t="n">
        <x:v>-71.43</x:v>
      </x:c>
      <x:c r="I2480" s="29" t="n">
        <x:v>41</x:v>
      </x:c>
      <x:c r="J2480" s="31" t="n">
        <x:v>4.1</x:v>
      </x:c>
      <x:c r="K2480" s="25" t="str">
        <x:f>IF(J2480&gt;=7,"Muy fuerte (&gt;=7)",IF(J2480&gt;=6,"Fuerte (6-6.9)",IF(J2480&gt;=5,"Moderado alto (5-5.9)",IF(J2480&gt;=4,"Moderado (4-4.9)","Menor a 4"))))</x:f>
        <x:v>Moderado (4-4.9)</x:v>
      </x:c>
      <x:c r="L2480" s="25" t="str">
        <x:f>IF(I2480&lt;70,"Superficial (&lt;70 km)",IF(I2480&lt;=300,"Intermedio (70-300 km)","Profundo (&gt;300 km)"))</x:f>
        <x:v>Superficial (&lt;70 km)</x:v>
      </x:c>
      <x:c r="M2480" s="25" t="str">
        <x:f>IF(J2480&gt;=5,"Sí","No")</x:f>
        <x:v>No</x:v>
      </x:c>
      <x:c r="N2480" s="25" t="str">
        <x:f>IF(J2480&gt;=6,"Sí","No")</x:f>
        <x:v>No</x:v>
      </x:c>
      <x:c r="O2480" s="25" t="str">
        <x:v>Pendiente: asignar con R/sf</x:v>
      </x:c>
    </x:row>
    <x:row r="2481">
      <x:c r="A2481" s="25" t="n">
        <x:v>2480</x:v>
      </x:c>
      <x:c r="B2481" s="26" t="n">
        <x:v>42635.410729166666</x:v>
      </x:c>
      <x:c r="C2481" s="27" t="n">
        <x:f>INT(B2481)</x:f>
        <x:v>42635</x:v>
      </x:c>
      <x:c r="D2481" s="28" t="n">
        <x:f>MOD(B2481,1)</x:f>
        <x:v>0.4107291666659876</x:v>
      </x:c>
      <x:c r="E2481" s="29" t="n">
        <x:f>YEAR(B2481)</x:f>
        <x:v>2016</x:v>
      </x:c>
      <x:c r="F2481" s="29" t="n">
        <x:f>MONTH(B2481)</x:f>
        <x:v>9</x:v>
      </x:c>
      <x:c r="G2481" s="30" t="n">
        <x:v>-20.21</x:v>
      </x:c>
      <x:c r="H2481" s="30" t="n">
        <x:v>-69.25</x:v>
      </x:c>
      <x:c r="I2481" s="29" t="n">
        <x:v>100</x:v>
      </x:c>
      <x:c r="J2481" s="31" t="n">
        <x:v>4.1</x:v>
      </x:c>
      <x:c r="K2481" s="25" t="str">
        <x:f>IF(J2481&gt;=7,"Muy fuerte (&gt;=7)",IF(J2481&gt;=6,"Fuerte (6-6.9)",IF(J2481&gt;=5,"Moderado alto (5-5.9)",IF(J2481&gt;=4,"Moderado (4-4.9)","Menor a 4"))))</x:f>
        <x:v>Moderado (4-4.9)</x:v>
      </x:c>
      <x:c r="L2481" s="25" t="str">
        <x:f>IF(I2481&lt;70,"Superficial (&lt;70 km)",IF(I2481&lt;=300,"Intermedio (70-300 km)","Profundo (&gt;300 km)"))</x:f>
        <x:v>Intermedio (70-300 km)</x:v>
      </x:c>
      <x:c r="M2481" s="25" t="str">
        <x:f>IF(J2481&gt;=5,"Sí","No")</x:f>
        <x:v>No</x:v>
      </x:c>
      <x:c r="N2481" s="25" t="str">
        <x:f>IF(J2481&gt;=6,"Sí","No")</x:f>
        <x:v>No</x:v>
      </x:c>
      <x:c r="O2481" s="25" t="str">
        <x:v>Pendiente: asignar con R/sf</x:v>
      </x:c>
    </x:row>
    <x:row r="2482">
      <x:c r="A2482" s="25" t="n">
        <x:v>2481</x:v>
      </x:c>
      <x:c r="B2482" s="26" t="n">
        <x:v>42637.852314814816</x:v>
      </x:c>
      <x:c r="C2482" s="27" t="n">
        <x:f>INT(B2482)</x:f>
        <x:v>42637</x:v>
      </x:c>
      <x:c r="D2482" s="28" t="n">
        <x:f>MOD(B2482,1)</x:f>
        <x:v>0.8523148148160544</x:v>
      </x:c>
      <x:c r="E2482" s="29" t="n">
        <x:f>YEAR(B2482)</x:f>
        <x:v>2016</x:v>
      </x:c>
      <x:c r="F2482" s="29" t="n">
        <x:f>MONTH(B2482)</x:f>
        <x:v>9</x:v>
      </x:c>
      <x:c r="G2482" s="30" t="n">
        <x:v>-21.59</x:v>
      </x:c>
      <x:c r="H2482" s="30" t="n">
        <x:v>-68.53</x:v>
      </x:c>
      <x:c r="I2482" s="29" t="n">
        <x:v>114</x:v>
      </x:c>
      <x:c r="J2482" s="31" t="n">
        <x:v>4.9</x:v>
      </x:c>
      <x:c r="K2482" s="25" t="str">
        <x:f>IF(J2482&gt;=7,"Muy fuerte (&gt;=7)",IF(J2482&gt;=6,"Fuerte (6-6.9)",IF(J2482&gt;=5,"Moderado alto (5-5.9)",IF(J2482&gt;=4,"Moderado (4-4.9)","Menor a 4"))))</x:f>
        <x:v>Moderado (4-4.9)</x:v>
      </x:c>
      <x:c r="L2482" s="25" t="str">
        <x:f>IF(I2482&lt;70,"Superficial (&lt;70 km)",IF(I2482&lt;=300,"Intermedio (70-300 km)","Profundo (&gt;300 km)"))</x:f>
        <x:v>Intermedio (70-300 km)</x:v>
      </x:c>
      <x:c r="M2482" s="25" t="str">
        <x:f>IF(J2482&gt;=5,"Sí","No")</x:f>
        <x:v>No</x:v>
      </x:c>
      <x:c r="N2482" s="25" t="str">
        <x:f>IF(J2482&gt;=6,"Sí","No")</x:f>
        <x:v>No</x:v>
      </x:c>
      <x:c r="O2482" s="25" t="str">
        <x:v>Pendiente: asignar con R/sf</x:v>
      </x:c>
    </x:row>
    <x:row r="2483">
      <x:c r="A2483" s="25" t="n">
        <x:v>2482</x:v>
      </x:c>
      <x:c r="B2483" s="26" t="n">
        <x:v>42603.20621527778</x:v>
      </x:c>
      <x:c r="C2483" s="27" t="n">
        <x:f>INT(B2483)</x:f>
        <x:v>42603</x:v>
      </x:c>
      <x:c r="D2483" s="28" t="n">
        <x:f>MOD(B2483,1)</x:f>
        <x:v>0.20621527777984738</x:v>
      </x:c>
      <x:c r="E2483" s="29" t="n">
        <x:f>YEAR(B2483)</x:f>
        <x:v>2016</x:v>
      </x:c>
      <x:c r="F2483" s="29" t="n">
        <x:f>MONTH(B2483)</x:f>
        <x:v>8</x:v>
      </x:c>
      <x:c r="G2483" s="30" t="n">
        <x:v>-19.29</x:v>
      </x:c>
      <x:c r="H2483" s="30" t="n">
        <x:v>-69.65</x:v>
      </x:c>
      <x:c r="I2483" s="29" t="n">
        <x:v>82</x:v>
      </x:c>
      <x:c r="J2483" s="31" t="n">
        <x:v>4.5</x:v>
      </x:c>
      <x:c r="K2483" s="25" t="str">
        <x:f>IF(J2483&gt;=7,"Muy fuerte (&gt;=7)",IF(J2483&gt;=6,"Fuerte (6-6.9)",IF(J2483&gt;=5,"Moderado alto (5-5.9)",IF(J2483&gt;=4,"Moderado (4-4.9)","Menor a 4"))))</x:f>
        <x:v>Moderado (4-4.9)</x:v>
      </x:c>
      <x:c r="L2483" s="25" t="str">
        <x:f>IF(I2483&lt;70,"Superficial (&lt;70 km)",IF(I2483&lt;=300,"Intermedio (70-300 km)","Profundo (&gt;300 km)"))</x:f>
        <x:v>Intermedio (70-300 km)</x:v>
      </x:c>
      <x:c r="M2483" s="25" t="str">
        <x:f>IF(J2483&gt;=5,"Sí","No")</x:f>
        <x:v>No</x:v>
      </x:c>
      <x:c r="N2483" s="25" t="str">
        <x:f>IF(J2483&gt;=6,"Sí","No")</x:f>
        <x:v>No</x:v>
      </x:c>
      <x:c r="O2483" s="25" t="str">
        <x:v>Pendiente: asignar con R/sf</x:v>
      </x:c>
    </x:row>
    <x:row r="2484">
      <x:c r="A2484" s="25" t="n">
        <x:v>2483</x:v>
      </x:c>
      <x:c r="B2484" s="26" t="n">
        <x:v>42731.58846064815</x:v>
      </x:c>
      <x:c r="C2484" s="27" t="n">
        <x:f>INT(B2484)</x:f>
        <x:v>42731</x:v>
      </x:c>
      <x:c r="D2484" s="28" t="n">
        <x:f>MOD(B2484,1)</x:f>
        <x:v>0.5884606481486117</x:v>
      </x:c>
      <x:c r="E2484" s="29" t="n">
        <x:f>YEAR(B2484)</x:f>
        <x:v>2016</x:v>
      </x:c>
      <x:c r="F2484" s="29" t="n">
        <x:f>MONTH(B2484)</x:f>
        <x:v>12</x:v>
      </x:c>
      <x:c r="G2484" s="30" t="n">
        <x:v>-43.5</x:v>
      </x:c>
      <x:c r="H2484" s="30" t="n">
        <x:v>-74.3</x:v>
      </x:c>
      <x:c r="I2484" s="29" t="n">
        <x:v>23</x:v>
      </x:c>
      <x:c r="J2484" s="31" t="n">
        <x:v>4.9</x:v>
      </x:c>
      <x:c r="K2484" s="25" t="str">
        <x:f>IF(J2484&gt;=7,"Muy fuerte (&gt;=7)",IF(J2484&gt;=6,"Fuerte (6-6.9)",IF(J2484&gt;=5,"Moderado alto (5-5.9)",IF(J2484&gt;=4,"Moderado (4-4.9)","Menor a 4"))))</x:f>
        <x:v>Moderado (4-4.9)</x:v>
      </x:c>
      <x:c r="L2484" s="25" t="str">
        <x:f>IF(I2484&lt;70,"Superficial (&lt;70 km)",IF(I2484&lt;=300,"Intermedio (70-300 km)","Profundo (&gt;300 km)"))</x:f>
        <x:v>Superficial (&lt;70 km)</x:v>
      </x:c>
      <x:c r="M2484" s="25" t="str">
        <x:f>IF(J2484&gt;=5,"Sí","No")</x:f>
        <x:v>No</x:v>
      </x:c>
      <x:c r="N2484" s="25" t="str">
        <x:f>IF(J2484&gt;=6,"Sí","No")</x:f>
        <x:v>No</x:v>
      </x:c>
      <x:c r="O2484" s="25" t="str">
        <x:v>Pendiente: asignar con R/sf</x:v>
      </x:c>
    </x:row>
    <x:row r="2485">
      <x:c r="A2485" s="25" t="n">
        <x:v>2484</x:v>
      </x:c>
      <x:c r="B2485" s="26" t="n">
        <x:v>42682.59303240741</x:v>
      </x:c>
      <x:c r="C2485" s="27" t="n">
        <x:f>INT(B2485)</x:f>
        <x:v>42682</x:v>
      </x:c>
      <x:c r="D2485" s="28" t="n">
        <x:f>MOD(B2485,1)</x:f>
        <x:v>0.5930324074070086</x:v>
      </x:c>
      <x:c r="E2485" s="29" t="n">
        <x:f>YEAR(B2485)</x:f>
        <x:v>2016</x:v>
      </x:c>
      <x:c r="F2485" s="29" t="n">
        <x:f>MONTH(B2485)</x:f>
        <x:v>11</x:v>
      </x:c>
      <x:c r="G2485" s="30" t="n">
        <x:v>-25.43</x:v>
      </x:c>
      <x:c r="H2485" s="30" t="n">
        <x:v>-70.03</x:v>
      </x:c>
      <x:c r="I2485" s="29" t="n">
        <x:v>57</x:v>
      </x:c>
      <x:c r="J2485" s="31" t="n">
        <x:v>4.9</x:v>
      </x:c>
      <x:c r="K2485" s="25" t="str">
        <x:f>IF(J2485&gt;=7,"Muy fuerte (&gt;=7)",IF(J2485&gt;=6,"Fuerte (6-6.9)",IF(J2485&gt;=5,"Moderado alto (5-5.9)",IF(J2485&gt;=4,"Moderado (4-4.9)","Menor a 4"))))</x:f>
        <x:v>Moderado (4-4.9)</x:v>
      </x:c>
      <x:c r="L2485" s="25" t="str">
        <x:f>IF(I2485&lt;70,"Superficial (&lt;70 km)",IF(I2485&lt;=300,"Intermedio (70-300 km)","Profundo (&gt;300 km)"))</x:f>
        <x:v>Superficial (&lt;70 km)</x:v>
      </x:c>
      <x:c r="M2485" s="25" t="str">
        <x:f>IF(J2485&gt;=5,"Sí","No")</x:f>
        <x:v>No</x:v>
      </x:c>
      <x:c r="N2485" s="25" t="str">
        <x:f>IF(J2485&gt;=6,"Sí","No")</x:f>
        <x:v>No</x:v>
      </x:c>
      <x:c r="O2485" s="25" t="str">
        <x:v>Pendiente: asignar con R/sf</x:v>
      </x:c>
    </x:row>
    <x:row r="2486">
      <x:c r="A2486" s="25" t="n">
        <x:v>2485</x:v>
      </x:c>
      <x:c r="B2486" s="26" t="n">
        <x:v>42395.06612268519</x:v>
      </x:c>
      <x:c r="C2486" s="27" t="n">
        <x:f>INT(B2486)</x:f>
        <x:v>42395</x:v>
      </x:c>
      <x:c r="D2486" s="28" t="n">
        <x:f>MOD(B2486,1)</x:f>
        <x:v>0.06612268518802011</x:v>
      </x:c>
      <x:c r="E2486" s="29" t="n">
        <x:f>YEAR(B2486)</x:f>
        <x:v>2016</x:v>
      </x:c>
      <x:c r="F2486" s="29" t="n">
        <x:f>MONTH(B2486)</x:f>
        <x:v>1</x:v>
      </x:c>
      <x:c r="G2486" s="30" t="n">
        <x:v>-30.72</x:v>
      </x:c>
      <x:c r="H2486" s="30" t="n">
        <x:v>-71.45</x:v>
      </x:c>
      <x:c r="I2486" s="29" t="n">
        <x:v>48</x:v>
      </x:c>
      <x:c r="J2486" s="31" t="n">
        <x:v>4.4</x:v>
      </x:c>
      <x:c r="K2486" s="25" t="str">
        <x:f>IF(J2486&gt;=7,"Muy fuerte (&gt;=7)",IF(J2486&gt;=6,"Fuerte (6-6.9)",IF(J2486&gt;=5,"Moderado alto (5-5.9)",IF(J2486&gt;=4,"Moderado (4-4.9)","Menor a 4"))))</x:f>
        <x:v>Moderado (4-4.9)</x:v>
      </x:c>
      <x:c r="L2486" s="25" t="str">
        <x:f>IF(I2486&lt;70,"Superficial (&lt;70 km)",IF(I2486&lt;=300,"Intermedio (70-300 km)","Profundo (&gt;300 km)"))</x:f>
        <x:v>Superficial (&lt;70 km)</x:v>
      </x:c>
      <x:c r="M2486" s="25" t="str">
        <x:f>IF(J2486&gt;=5,"Sí","No")</x:f>
        <x:v>No</x:v>
      </x:c>
      <x:c r="N2486" s="25" t="str">
        <x:f>IF(J2486&gt;=6,"Sí","No")</x:f>
        <x:v>No</x:v>
      </x:c>
      <x:c r="O2486" s="25" t="str">
        <x:v>Pendiente: asignar con R/sf</x:v>
      </x:c>
    </x:row>
    <x:row r="2487">
      <x:c r="A2487" s="25" t="n">
        <x:v>2486</x:v>
      </x:c>
      <x:c r="B2487" s="26" t="n">
        <x:v>42577.001979166664</x:v>
      </x:c>
      <x:c r="C2487" s="27" t="n">
        <x:f>INT(B2487)</x:f>
        <x:v>42577</x:v>
      </x:c>
      <x:c r="D2487" s="28" t="n">
        <x:f>MOD(B2487,1)</x:f>
        <x:v>0.001979166663659271</x:v>
      </x:c>
      <x:c r="E2487" s="29" t="n">
        <x:f>YEAR(B2487)</x:f>
        <x:v>2016</x:v>
      </x:c>
      <x:c r="F2487" s="29" t="n">
        <x:f>MONTH(B2487)</x:f>
        <x:v>7</x:v>
      </x:c>
      <x:c r="G2487" s="30" t="n">
        <x:v>-19.09</x:v>
      </x:c>
      <x:c r="H2487" s="30" t="n">
        <x:v>-69.93</x:v>
      </x:c>
      <x:c r="I2487" s="29" t="n">
        <x:v>73</x:v>
      </x:c>
      <x:c r="J2487" s="31" t="n">
        <x:v>4.4</x:v>
      </x:c>
      <x:c r="K2487" s="25" t="str">
        <x:f>IF(J2487&gt;=7,"Muy fuerte (&gt;=7)",IF(J2487&gt;=6,"Fuerte (6-6.9)",IF(J2487&gt;=5,"Moderado alto (5-5.9)",IF(J2487&gt;=4,"Moderado (4-4.9)","Menor a 4"))))</x:f>
        <x:v>Moderado (4-4.9)</x:v>
      </x:c>
      <x:c r="L2487" s="25" t="str">
        <x:f>IF(I2487&lt;70,"Superficial (&lt;70 km)",IF(I2487&lt;=300,"Intermedio (70-300 km)","Profundo (&gt;300 km)"))</x:f>
        <x:v>Intermedio (70-300 km)</x:v>
      </x:c>
      <x:c r="M2487" s="25" t="str">
        <x:f>IF(J2487&gt;=5,"Sí","No")</x:f>
        <x:v>No</x:v>
      </x:c>
      <x:c r="N2487" s="25" t="str">
        <x:f>IF(J2487&gt;=6,"Sí","No")</x:f>
        <x:v>No</x:v>
      </x:c>
      <x:c r="O2487" s="25" t="str">
        <x:v>Pendiente: asignar con R/sf</x:v>
      </x:c>
    </x:row>
    <x:row r="2488">
      <x:c r="A2488" s="25" t="n">
        <x:v>2487</x:v>
      </x:c>
      <x:c r="B2488" s="26" t="n">
        <x:v>42424.798622685186</x:v>
      </x:c>
      <x:c r="C2488" s="27" t="n">
        <x:f>INT(B2488)</x:f>
        <x:v>42424</x:v>
      </x:c>
      <x:c r="D2488" s="28" t="n">
        <x:f>MOD(B2488,1)</x:f>
        <x:v>0.7986226851862739</x:v>
      </x:c>
      <x:c r="E2488" s="29" t="n">
        <x:f>YEAR(B2488)</x:f>
        <x:v>2016</x:v>
      </x:c>
      <x:c r="F2488" s="29" t="n">
        <x:f>MONTH(B2488)</x:f>
        <x:v>2</x:v>
      </x:c>
      <x:c r="G2488" s="30" t="n">
        <x:v>-29.8</x:v>
      </x:c>
      <x:c r="H2488" s="30" t="n">
        <x:v>-71.48</x:v>
      </x:c>
      <x:c r="I2488" s="29" t="n">
        <x:v>38</x:v>
      </x:c>
      <x:c r="J2488" s="31" t="n">
        <x:v>4.7</x:v>
      </x:c>
      <x:c r="K2488" s="25" t="str">
        <x:f>IF(J2488&gt;=7,"Muy fuerte (&gt;=7)",IF(J2488&gt;=6,"Fuerte (6-6.9)",IF(J2488&gt;=5,"Moderado alto (5-5.9)",IF(J2488&gt;=4,"Moderado (4-4.9)","Menor a 4"))))</x:f>
        <x:v>Moderado (4-4.9)</x:v>
      </x:c>
      <x:c r="L2488" s="25" t="str">
        <x:f>IF(I2488&lt;70,"Superficial (&lt;70 km)",IF(I2488&lt;=300,"Intermedio (70-300 km)","Profundo (&gt;300 km)"))</x:f>
        <x:v>Superficial (&lt;70 km)</x:v>
      </x:c>
      <x:c r="M2488" s="25" t="str">
        <x:f>IF(J2488&gt;=5,"Sí","No")</x:f>
        <x:v>No</x:v>
      </x:c>
      <x:c r="N2488" s="25" t="str">
        <x:f>IF(J2488&gt;=6,"Sí","No")</x:f>
        <x:v>No</x:v>
      </x:c>
      <x:c r="O2488" s="25" t="str">
        <x:v>Pendiente: asignar con R/sf</x:v>
      </x:c>
    </x:row>
    <x:row r="2489">
      <x:c r="A2489" s="25" t="n">
        <x:v>2488</x:v>
      </x:c>
      <x:c r="B2489" s="26" t="n">
        <x:v>42730.04413194444</x:v>
      </x:c>
      <x:c r="C2489" s="27" t="n">
        <x:f>INT(B2489)</x:f>
        <x:v>42730</x:v>
      </x:c>
      <x:c r="D2489" s="28" t="n">
        <x:f>MOD(B2489,1)</x:f>
        <x:v>0.044131944443506654</x:v>
      </x:c>
      <x:c r="E2489" s="29" t="n">
        <x:f>YEAR(B2489)</x:f>
        <x:v>2016</x:v>
      </x:c>
      <x:c r="F2489" s="29" t="n">
        <x:f>MONTH(B2489)</x:f>
        <x:v>12</x:v>
      </x:c>
      <x:c r="G2489" s="30" t="n">
        <x:v>-28.41</x:v>
      </x:c>
      <x:c r="H2489" s="30" t="n">
        <x:v>-71.35</x:v>
      </x:c>
      <x:c r="I2489" s="29" t="n">
        <x:v>40</x:v>
      </x:c>
      <x:c r="J2489" s="31" t="n">
        <x:v>4.2</x:v>
      </x:c>
      <x:c r="K2489" s="25" t="str">
        <x:f>IF(J2489&gt;=7,"Muy fuerte (&gt;=7)",IF(J2489&gt;=6,"Fuerte (6-6.9)",IF(J2489&gt;=5,"Moderado alto (5-5.9)",IF(J2489&gt;=4,"Moderado (4-4.9)","Menor a 4"))))</x:f>
        <x:v>Moderado (4-4.9)</x:v>
      </x:c>
      <x:c r="L2489" s="25" t="str">
        <x:f>IF(I2489&lt;70,"Superficial (&lt;70 km)",IF(I2489&lt;=300,"Intermedio (70-300 km)","Profundo (&gt;300 km)"))</x:f>
        <x:v>Superficial (&lt;70 km)</x:v>
      </x:c>
      <x:c r="M2489" s="25" t="str">
        <x:f>IF(J2489&gt;=5,"Sí","No")</x:f>
        <x:v>No</x:v>
      </x:c>
      <x:c r="N2489" s="25" t="str">
        <x:f>IF(J2489&gt;=6,"Sí","No")</x:f>
        <x:v>No</x:v>
      </x:c>
      <x:c r="O2489" s="25" t="str">
        <x:v>Pendiente: asignar con R/sf</x:v>
      </x:c>
    </x:row>
    <x:row r="2490">
      <x:c r="A2490" s="25" t="n">
        <x:v>2489</x:v>
      </x:c>
      <x:c r="B2490" s="26" t="n">
        <x:v>42619.31790509259</x:v>
      </x:c>
      <x:c r="C2490" s="27" t="n">
        <x:f>INT(B2490)</x:f>
        <x:v>42619</x:v>
      </x:c>
      <x:c r="D2490" s="28" t="n">
        <x:f>MOD(B2490,1)</x:f>
        <x:v>0.31790509259008104</x:v>
      </x:c>
      <x:c r="E2490" s="29" t="n">
        <x:f>YEAR(B2490)</x:f>
        <x:v>2016</x:v>
      </x:c>
      <x:c r="F2490" s="29" t="n">
        <x:f>MONTH(B2490)</x:f>
        <x:v>9</x:v>
      </x:c>
      <x:c r="G2490" s="30" t="n">
        <x:v>-21.32</x:v>
      </x:c>
      <x:c r="H2490" s="30" t="n">
        <x:v>-67.97</x:v>
      </x:c>
      <x:c r="I2490" s="29" t="n">
        <x:v>173</x:v>
      </x:c>
      <x:c r="J2490" s="31" t="n">
        <x:v>5</x:v>
      </x:c>
      <x:c r="K2490" s="25" t="str">
        <x:f>IF(J2490&gt;=7,"Muy fuerte (&gt;=7)",IF(J2490&gt;=6,"Fuerte (6-6.9)",IF(J2490&gt;=5,"Moderado alto (5-5.9)",IF(J2490&gt;=4,"Moderado (4-4.9)","Menor a 4"))))</x:f>
        <x:v>Moderado alto (5-5.9)</x:v>
      </x:c>
      <x:c r="L2490" s="25" t="str">
        <x:f>IF(I2490&lt;70,"Superficial (&lt;70 km)",IF(I2490&lt;=300,"Intermedio (70-300 km)","Profundo (&gt;300 km)"))</x:f>
        <x:v>Intermedio (70-300 km)</x:v>
      </x:c>
      <x:c r="M2490" s="25" t="str">
        <x:f>IF(J2490&gt;=5,"Sí","No")</x:f>
        <x:v>Sí</x:v>
      </x:c>
      <x:c r="N2490" s="25" t="str">
        <x:f>IF(J2490&gt;=6,"Sí","No")</x:f>
        <x:v>No</x:v>
      </x:c>
      <x:c r="O2490" s="25" t="str">
        <x:v>Pendiente: asignar con R/sf</x:v>
      </x:c>
    </x:row>
    <x:row r="2491">
      <x:c r="A2491" s="25" t="n">
        <x:v>2490</x:v>
      </x:c>
      <x:c r="B2491" s="26" t="n">
        <x:v>42383.02060185185</x:v>
      </x:c>
      <x:c r="C2491" s="27" t="n">
        <x:f>INT(B2491)</x:f>
        <x:v>42383</x:v>
      </x:c>
      <x:c r="D2491" s="28" t="n">
        <x:f>MOD(B2491,1)</x:f>
        <x:v>0.020601851851097308</x:v>
      </x:c>
      <x:c r="E2491" s="29" t="n">
        <x:f>YEAR(B2491)</x:f>
        <x:v>2016</x:v>
      </x:c>
      <x:c r="F2491" s="29" t="n">
        <x:f>MONTH(B2491)</x:f>
        <x:v>1</x:v>
      </x:c>
      <x:c r="G2491" s="30" t="n">
        <x:v>-28.65</x:v>
      </x:c>
      <x:c r="H2491" s="30" t="n">
        <x:v>-70.08</x:v>
      </x:c>
      <x:c r="I2491" s="29" t="n">
        <x:v>110</x:v>
      </x:c>
      <x:c r="J2491" s="31" t="n">
        <x:v>4.2</x:v>
      </x:c>
      <x:c r="K2491" s="25" t="str">
        <x:f>IF(J2491&gt;=7,"Muy fuerte (&gt;=7)",IF(J2491&gt;=6,"Fuerte (6-6.9)",IF(J2491&gt;=5,"Moderado alto (5-5.9)",IF(J2491&gt;=4,"Moderado (4-4.9)","Menor a 4"))))</x:f>
        <x:v>Moderado (4-4.9)</x:v>
      </x:c>
      <x:c r="L2491" s="25" t="str">
        <x:f>IF(I2491&lt;70,"Superficial (&lt;70 km)",IF(I2491&lt;=300,"Intermedio (70-300 km)","Profundo (&gt;300 km)"))</x:f>
        <x:v>Intermedio (70-300 km)</x:v>
      </x:c>
      <x:c r="M2491" s="25" t="str">
        <x:f>IF(J2491&gt;=5,"Sí","No")</x:f>
        <x:v>No</x:v>
      </x:c>
      <x:c r="N2491" s="25" t="str">
        <x:f>IF(J2491&gt;=6,"Sí","No")</x:f>
        <x:v>No</x:v>
      </x:c>
      <x:c r="O2491" s="25" t="str">
        <x:v>Pendiente: asignar con R/sf</x:v>
      </x:c>
    </x:row>
    <x:row r="2492">
      <x:c r="A2492" s="25" t="n">
        <x:v>2491</x:v>
      </x:c>
      <x:c r="B2492" s="26" t="n">
        <x:v>42682.30079861111</x:v>
      </x:c>
      <x:c r="C2492" s="27" t="n">
        <x:f>INT(B2492)</x:f>
        <x:v>42682</x:v>
      </x:c>
      <x:c r="D2492" s="28" t="n">
        <x:f>MOD(B2492,1)</x:f>
        <x:v>0.3007986111115315</x:v>
      </x:c>
      <x:c r="E2492" s="29" t="n">
        <x:f>YEAR(B2492)</x:f>
        <x:v>2016</x:v>
      </x:c>
      <x:c r="F2492" s="29" t="n">
        <x:f>MONTH(B2492)</x:f>
        <x:v>11</x:v>
      </x:c>
      <x:c r="G2492" s="30" t="n">
        <x:v>-36.65</x:v>
      </x:c>
      <x:c r="H2492" s="30" t="n">
        <x:v>-73.57</x:v>
      </x:c>
      <x:c r="I2492" s="29" t="n">
        <x:v>10</x:v>
      </x:c>
      <x:c r="J2492" s="31" t="n">
        <x:v>4.7</x:v>
      </x:c>
      <x:c r="K2492" s="25" t="str">
        <x:f>IF(J2492&gt;=7,"Muy fuerte (&gt;=7)",IF(J2492&gt;=6,"Fuerte (6-6.9)",IF(J2492&gt;=5,"Moderado alto (5-5.9)",IF(J2492&gt;=4,"Moderado (4-4.9)","Menor a 4"))))</x:f>
        <x:v>Moderado (4-4.9)</x:v>
      </x:c>
      <x:c r="L2492" s="25" t="str">
        <x:f>IF(I2492&lt;70,"Superficial (&lt;70 km)",IF(I2492&lt;=300,"Intermedio (70-300 km)","Profundo (&gt;300 km)"))</x:f>
        <x:v>Superficial (&lt;70 km)</x:v>
      </x:c>
      <x:c r="M2492" s="25" t="str">
        <x:f>IF(J2492&gt;=5,"Sí","No")</x:f>
        <x:v>No</x:v>
      </x:c>
      <x:c r="N2492" s="25" t="str">
        <x:f>IF(J2492&gt;=6,"Sí","No")</x:f>
        <x:v>No</x:v>
      </x:c>
      <x:c r="O2492" s="25" t="str">
        <x:v>Pendiente: asignar con R/sf</x:v>
      </x:c>
    </x:row>
    <x:row r="2493">
      <x:c r="A2493" s="25" t="n">
        <x:v>2492</x:v>
      </x:c>
      <x:c r="B2493" s="26" t="n">
        <x:v>42590.67239583333</x:v>
      </x:c>
      <x:c r="C2493" s="27" t="n">
        <x:f>INT(B2493)</x:f>
        <x:v>42590</x:v>
      </x:c>
      <x:c r="D2493" s="28" t="n">
        <x:f>MOD(B2493,1)</x:f>
        <x:v>0.6723958333313931</x:v>
      </x:c>
      <x:c r="E2493" s="29" t="n">
        <x:f>YEAR(B2493)</x:f>
        <x:v>2016</x:v>
      </x:c>
      <x:c r="F2493" s="29" t="n">
        <x:f>MONTH(B2493)</x:f>
        <x:v>8</x:v>
      </x:c>
      <x:c r="G2493" s="30" t="n">
        <x:v>-24.12</x:v>
      </x:c>
      <x:c r="H2493" s="30" t="n">
        <x:v>-68.23</x:v>
      </x:c>
      <x:c r="I2493" s="29" t="n">
        <x:v>135</x:v>
      </x:c>
      <x:c r="J2493" s="31" t="n">
        <x:v>5</x:v>
      </x:c>
      <x:c r="K2493" s="25" t="str">
        <x:f>IF(J2493&gt;=7,"Muy fuerte (&gt;=7)",IF(J2493&gt;=6,"Fuerte (6-6.9)",IF(J2493&gt;=5,"Moderado alto (5-5.9)",IF(J2493&gt;=4,"Moderado (4-4.9)","Menor a 4"))))</x:f>
        <x:v>Moderado alto (5-5.9)</x:v>
      </x:c>
      <x:c r="L2493" s="25" t="str">
        <x:f>IF(I2493&lt;70,"Superficial (&lt;70 km)",IF(I2493&lt;=300,"Intermedio (70-300 km)","Profundo (&gt;300 km)"))</x:f>
        <x:v>Intermedio (70-300 km)</x:v>
      </x:c>
      <x:c r="M2493" s="25" t="str">
        <x:f>IF(J2493&gt;=5,"Sí","No")</x:f>
        <x:v>Sí</x:v>
      </x:c>
      <x:c r="N2493" s="25" t="str">
        <x:f>IF(J2493&gt;=6,"Sí","No")</x:f>
        <x:v>No</x:v>
      </x:c>
      <x:c r="O2493" s="25" t="str">
        <x:v>Pendiente: asignar con R/sf</x:v>
      </x:c>
    </x:row>
    <x:row r="2494">
      <x:c r="A2494" s="25" t="n">
        <x:v>2493</x:v>
      </x:c>
      <x:c r="B2494" s="26" t="n">
        <x:v>42395.01332175926</x:v>
      </x:c>
      <x:c r="C2494" s="27" t="n">
        <x:f>INT(B2494)</x:f>
        <x:v>42395</x:v>
      </x:c>
      <x:c r="D2494" s="28" t="n">
        <x:f>MOD(B2494,1)</x:f>
        <x:v>0.013321759259270038</x:v>
      </x:c>
      <x:c r="E2494" s="29" t="n">
        <x:f>YEAR(B2494)</x:f>
        <x:v>2016</x:v>
      </x:c>
      <x:c r="F2494" s="29" t="n">
        <x:f>MONTH(B2494)</x:f>
        <x:v>1</x:v>
      </x:c>
      <x:c r="G2494" s="30" t="n">
        <x:v>-32.65</x:v>
      </x:c>
      <x:c r="H2494" s="30" t="n">
        <x:v>-71.85</x:v>
      </x:c>
      <x:c r="I2494" s="29" t="n">
        <x:v>30</x:v>
      </x:c>
      <x:c r="J2494" s="31" t="n">
        <x:v>5.1</x:v>
      </x:c>
      <x:c r="K2494" s="25" t="str">
        <x:f>IF(J2494&gt;=7,"Muy fuerte (&gt;=7)",IF(J2494&gt;=6,"Fuerte (6-6.9)",IF(J2494&gt;=5,"Moderado alto (5-5.9)",IF(J2494&gt;=4,"Moderado (4-4.9)","Menor a 4"))))</x:f>
        <x:v>Moderado alto (5-5.9)</x:v>
      </x:c>
      <x:c r="L2494" s="25" t="str">
        <x:f>IF(I2494&lt;70,"Superficial (&lt;70 km)",IF(I2494&lt;=300,"Intermedio (70-300 km)","Profundo (&gt;300 km)"))</x:f>
        <x:v>Superficial (&lt;70 km)</x:v>
      </x:c>
      <x:c r="M2494" s="25" t="str">
        <x:f>IF(J2494&gt;=5,"Sí","No")</x:f>
        <x:v>Sí</x:v>
      </x:c>
      <x:c r="N2494" s="25" t="str">
        <x:f>IF(J2494&gt;=6,"Sí","No")</x:f>
        <x:v>No</x:v>
      </x:c>
      <x:c r="O2494" s="25" t="str">
        <x:v>Pendiente: asignar con R/sf</x:v>
      </x:c>
    </x:row>
    <x:row r="2495">
      <x:c r="A2495" s="25" t="n">
        <x:v>2494</x:v>
      </x:c>
      <x:c r="B2495" s="26" t="n">
        <x:v>42524.574224537035</x:v>
      </x:c>
      <x:c r="C2495" s="27" t="n">
        <x:f>INT(B2495)</x:f>
        <x:v>42524</x:v>
      </x:c>
      <x:c r="D2495" s="28" t="n">
        <x:f>MOD(B2495,1)</x:f>
        <x:v>0.5742245370347518</x:v>
      </x:c>
      <x:c r="E2495" s="29" t="n">
        <x:f>YEAR(B2495)</x:f>
        <x:v>2016</x:v>
      </x:c>
      <x:c r="F2495" s="29" t="n">
        <x:f>MONTH(B2495)</x:f>
        <x:v>6</x:v>
      </x:c>
      <x:c r="G2495" s="30" t="n">
        <x:v>-18.97</x:v>
      </x:c>
      <x:c r="H2495" s="30" t="n">
        <x:v>-70.12</x:v>
      </x:c>
      <x:c r="I2495" s="29" t="n">
        <x:v>52</x:v>
      </x:c>
      <x:c r="J2495" s="31" t="n">
        <x:v>4.1</x:v>
      </x:c>
      <x:c r="K2495" s="25" t="str">
        <x:f>IF(J2495&gt;=7,"Muy fuerte (&gt;=7)",IF(J2495&gt;=6,"Fuerte (6-6.9)",IF(J2495&gt;=5,"Moderado alto (5-5.9)",IF(J2495&gt;=4,"Moderado (4-4.9)","Menor a 4"))))</x:f>
        <x:v>Moderado (4-4.9)</x:v>
      </x:c>
      <x:c r="L2495" s="25" t="str">
        <x:f>IF(I2495&lt;70,"Superficial (&lt;70 km)",IF(I2495&lt;=300,"Intermedio (70-300 km)","Profundo (&gt;300 km)"))</x:f>
        <x:v>Superficial (&lt;70 km)</x:v>
      </x:c>
      <x:c r="M2495" s="25" t="str">
        <x:f>IF(J2495&gt;=5,"Sí","No")</x:f>
        <x:v>No</x:v>
      </x:c>
      <x:c r="N2495" s="25" t="str">
        <x:f>IF(J2495&gt;=6,"Sí","No")</x:f>
        <x:v>No</x:v>
      </x:c>
      <x:c r="O2495" s="25" t="str">
        <x:v>Pendiente: asignar con R/sf</x:v>
      </x:c>
    </x:row>
    <x:row r="2496">
      <x:c r="A2496" s="25" t="n">
        <x:v>2495</x:v>
      </x:c>
      <x:c r="B2496" s="26" t="n">
        <x:v>42634.874606481484</x:v>
      </x:c>
      <x:c r="C2496" s="27" t="n">
        <x:f>INT(B2496)</x:f>
        <x:v>42634</x:v>
      </x:c>
      <x:c r="D2496" s="28" t="n">
        <x:f>MOD(B2496,1)</x:f>
        <x:v>0.8746064814840793</x:v>
      </x:c>
      <x:c r="E2496" s="29" t="n">
        <x:f>YEAR(B2496)</x:f>
        <x:v>2016</x:v>
      </x:c>
      <x:c r="F2496" s="29" t="n">
        <x:f>MONTH(B2496)</x:f>
        <x:v>9</x:v>
      </x:c>
      <x:c r="G2496" s="30" t="n">
        <x:v>-30.17</x:v>
      </x:c>
      <x:c r="H2496" s="30" t="n">
        <x:v>-70.76</x:v>
      </x:c>
      <x:c r="I2496" s="29" t="n">
        <x:v>88</x:v>
      </x:c>
      <x:c r="J2496" s="31" t="n">
        <x:v>4.2</x:v>
      </x:c>
      <x:c r="K2496" s="25" t="str">
        <x:f>IF(J2496&gt;=7,"Muy fuerte (&gt;=7)",IF(J2496&gt;=6,"Fuerte (6-6.9)",IF(J2496&gt;=5,"Moderado alto (5-5.9)",IF(J2496&gt;=4,"Moderado (4-4.9)","Menor a 4"))))</x:f>
        <x:v>Moderado (4-4.9)</x:v>
      </x:c>
      <x:c r="L2496" s="25" t="str">
        <x:f>IF(I2496&lt;70,"Superficial (&lt;70 km)",IF(I2496&lt;=300,"Intermedio (70-300 km)","Profundo (&gt;300 km)"))</x:f>
        <x:v>Intermedio (70-300 km)</x:v>
      </x:c>
      <x:c r="M2496" s="25" t="str">
        <x:f>IF(J2496&gt;=5,"Sí","No")</x:f>
        <x:v>No</x:v>
      </x:c>
      <x:c r="N2496" s="25" t="str">
        <x:f>IF(J2496&gt;=6,"Sí","No")</x:f>
        <x:v>No</x:v>
      </x:c>
      <x:c r="O2496" s="25" t="str">
        <x:v>Pendiente: asignar con R/sf</x:v>
      </x:c>
    </x:row>
    <x:row r="2497">
      <x:c r="A2497" s="25" t="n">
        <x:v>2496</x:v>
      </x:c>
      <x:c r="B2497" s="26" t="n">
        <x:v>42401.89408564815</x:v>
      </x:c>
      <x:c r="C2497" s="27" t="n">
        <x:f>INT(B2497)</x:f>
        <x:v>42401</x:v>
      </x:c>
      <x:c r="D2497" s="28" t="n">
        <x:f>MOD(B2497,1)</x:f>
        <x:v>0.8940856481494848</x:v>
      </x:c>
      <x:c r="E2497" s="29" t="n">
        <x:f>YEAR(B2497)</x:f>
        <x:v>2016</x:v>
      </x:c>
      <x:c r="F2497" s="29" t="n">
        <x:f>MONTH(B2497)</x:f>
        <x:v>2</x:v>
      </x:c>
      <x:c r="G2497" s="30" t="n">
        <x:v>-20.16</x:v>
      </x:c>
      <x:c r="H2497" s="30" t="n">
        <x:v>-70.49</x:v>
      </x:c>
      <x:c r="I2497" s="29" t="n">
        <x:v>36</x:v>
      </x:c>
      <x:c r="J2497" s="31" t="n">
        <x:v>4.3</x:v>
      </x:c>
      <x:c r="K2497" s="25" t="str">
        <x:f>IF(J2497&gt;=7,"Muy fuerte (&gt;=7)",IF(J2497&gt;=6,"Fuerte (6-6.9)",IF(J2497&gt;=5,"Moderado alto (5-5.9)",IF(J2497&gt;=4,"Moderado (4-4.9)","Menor a 4"))))</x:f>
        <x:v>Moderado (4-4.9)</x:v>
      </x:c>
      <x:c r="L2497" s="25" t="str">
        <x:f>IF(I2497&lt;70,"Superficial (&lt;70 km)",IF(I2497&lt;=300,"Intermedio (70-300 km)","Profundo (&gt;300 km)"))</x:f>
        <x:v>Superficial (&lt;70 km)</x:v>
      </x:c>
      <x:c r="M2497" s="25" t="str">
        <x:f>IF(J2497&gt;=5,"Sí","No")</x:f>
        <x:v>No</x:v>
      </x:c>
      <x:c r="N2497" s="25" t="str">
        <x:f>IF(J2497&gt;=6,"Sí","No")</x:f>
        <x:v>No</x:v>
      </x:c>
      <x:c r="O2497" s="25" t="str">
        <x:v>Pendiente: asignar con R/sf</x:v>
      </x:c>
    </x:row>
    <x:row r="2498">
      <x:c r="A2498" s="25" t="n">
        <x:v>2497</x:v>
      </x:c>
      <x:c r="B2498" s="26" t="n">
        <x:v>42596.43329861111</x:v>
      </x:c>
      <x:c r="C2498" s="27" t="n">
        <x:f>INT(B2498)</x:f>
        <x:v>42596</x:v>
      </x:c>
      <x:c r="D2498" s="28" t="n">
        <x:f>MOD(B2498,1)</x:f>
        <x:v>0.43329861111124046</x:v>
      </x:c>
      <x:c r="E2498" s="29" t="n">
        <x:f>YEAR(B2498)</x:f>
        <x:v>2016</x:v>
      </x:c>
      <x:c r="F2498" s="29" t="n">
        <x:f>MONTH(B2498)</x:f>
        <x:v>8</x:v>
      </x:c>
      <x:c r="G2498" s="30" t="n">
        <x:v>-20.65</x:v>
      </x:c>
      <x:c r="H2498" s="30" t="n">
        <x:v>-69.12</x:v>
      </x:c>
      <x:c r="I2498" s="29" t="n">
        <x:v>111</x:v>
      </x:c>
      <x:c r="J2498" s="31" t="n">
        <x:v>4.4</x:v>
      </x:c>
      <x:c r="K2498" s="25" t="str">
        <x:f>IF(J2498&gt;=7,"Muy fuerte (&gt;=7)",IF(J2498&gt;=6,"Fuerte (6-6.9)",IF(J2498&gt;=5,"Moderado alto (5-5.9)",IF(J2498&gt;=4,"Moderado (4-4.9)","Menor a 4"))))</x:f>
        <x:v>Moderado (4-4.9)</x:v>
      </x:c>
      <x:c r="L2498" s="25" t="str">
        <x:f>IF(I2498&lt;70,"Superficial (&lt;70 km)",IF(I2498&lt;=300,"Intermedio (70-300 km)","Profundo (&gt;300 km)"))</x:f>
        <x:v>Intermedio (70-300 km)</x:v>
      </x:c>
      <x:c r="M2498" s="25" t="str">
        <x:f>IF(J2498&gt;=5,"Sí","No")</x:f>
        <x:v>No</x:v>
      </x:c>
      <x:c r="N2498" s="25" t="str">
        <x:f>IF(J2498&gt;=6,"Sí","No")</x:f>
        <x:v>No</x:v>
      </x:c>
      <x:c r="O2498" s="25" t="str">
        <x:v>Pendiente: asignar con R/sf</x:v>
      </x:c>
    </x:row>
    <x:row r="2499">
      <x:c r="A2499" s="25" t="n">
        <x:v>2498</x:v>
      </x:c>
      <x:c r="B2499" s="26" t="n">
        <x:v>42399.39392361111</x:v>
      </x:c>
      <x:c r="C2499" s="27" t="n">
        <x:f>INT(B2499)</x:f>
        <x:v>42399</x:v>
      </x:c>
      <x:c r="D2499" s="28" t="n">
        <x:f>MOD(B2499,1)</x:f>
        <x:v>0.3939236111109494</x:v>
      </x:c>
      <x:c r="E2499" s="29" t="n">
        <x:f>YEAR(B2499)</x:f>
        <x:v>2016</x:v>
      </x:c>
      <x:c r="F2499" s="29" t="n">
        <x:f>MONTH(B2499)</x:f>
        <x:v>1</x:v>
      </x:c>
      <x:c r="G2499" s="30" t="n">
        <x:v>-30.17</x:v>
      </x:c>
      <x:c r="H2499" s="30" t="n">
        <x:v>-71.62</x:v>
      </x:c>
      <x:c r="I2499" s="29" t="n">
        <x:v>42</x:v>
      </x:c>
      <x:c r="J2499" s="31" t="n">
        <x:v>4.2</x:v>
      </x:c>
      <x:c r="K2499" s="25" t="str">
        <x:f>IF(J2499&gt;=7,"Muy fuerte (&gt;=7)",IF(J2499&gt;=6,"Fuerte (6-6.9)",IF(J2499&gt;=5,"Moderado alto (5-5.9)",IF(J2499&gt;=4,"Moderado (4-4.9)","Menor a 4"))))</x:f>
        <x:v>Moderado (4-4.9)</x:v>
      </x:c>
      <x:c r="L2499" s="25" t="str">
        <x:f>IF(I2499&lt;70,"Superficial (&lt;70 km)",IF(I2499&lt;=300,"Intermedio (70-300 km)","Profundo (&gt;300 km)"))</x:f>
        <x:v>Superficial (&lt;70 km)</x:v>
      </x:c>
      <x:c r="M2499" s="25" t="str">
        <x:f>IF(J2499&gt;=5,"Sí","No")</x:f>
        <x:v>No</x:v>
      </x:c>
      <x:c r="N2499" s="25" t="str">
        <x:f>IF(J2499&gt;=6,"Sí","No")</x:f>
        <x:v>No</x:v>
      </x:c>
      <x:c r="O2499" s="25" t="str">
        <x:v>Pendiente: asignar con R/sf</x:v>
      </x:c>
    </x:row>
    <x:row r="2500">
      <x:c r="A2500" s="25" t="n">
        <x:v>2499</x:v>
      </x:c>
      <x:c r="B2500" s="26" t="n">
        <x:v>42385.479375</x:v>
      </x:c>
      <x:c r="C2500" s="27" t="n">
        <x:f>INT(B2500)</x:f>
        <x:v>42385</x:v>
      </x:c>
      <x:c r="D2500" s="28" t="n">
        <x:f>MOD(B2500,1)</x:f>
        <x:v>0.47937500000261934</x:v>
      </x:c>
      <x:c r="E2500" s="29" t="n">
        <x:f>YEAR(B2500)</x:f>
        <x:v>2016</x:v>
      </x:c>
      <x:c r="F2500" s="29" t="n">
        <x:f>MONTH(B2500)</x:f>
        <x:v>1</x:v>
      </x:c>
      <x:c r="G2500" s="30" t="n">
        <x:v>-41.73</x:v>
      </x:c>
      <x:c r="H2500" s="30" t="n">
        <x:v>-73.99</x:v>
      </x:c>
      <x:c r="I2500" s="29" t="n">
        <x:v>45</x:v>
      </x:c>
      <x:c r="J2500" s="31" t="n">
        <x:v>4</x:v>
      </x:c>
      <x:c r="K2500" s="25" t="str">
        <x:f>IF(J2500&gt;=7,"Muy fuerte (&gt;=7)",IF(J2500&gt;=6,"Fuerte (6-6.9)",IF(J2500&gt;=5,"Moderado alto (5-5.9)",IF(J2500&gt;=4,"Moderado (4-4.9)","Menor a 4"))))</x:f>
        <x:v>Moderado (4-4.9)</x:v>
      </x:c>
      <x:c r="L2500" s="25" t="str">
        <x:f>IF(I2500&lt;70,"Superficial (&lt;70 km)",IF(I2500&lt;=300,"Intermedio (70-300 km)","Profundo (&gt;300 km)"))</x:f>
        <x:v>Superficial (&lt;70 km)</x:v>
      </x:c>
      <x:c r="M2500" s="25" t="str">
        <x:f>IF(J2500&gt;=5,"Sí","No")</x:f>
        <x:v>No</x:v>
      </x:c>
      <x:c r="N2500" s="25" t="str">
        <x:f>IF(J2500&gt;=6,"Sí","No")</x:f>
        <x:v>No</x:v>
      </x:c>
      <x:c r="O2500" s="25" t="str">
        <x:v>Pendiente: asignar con R/sf</x:v>
      </x:c>
    </x:row>
    <x:row r="2501">
      <x:c r="A2501" s="25" t="n">
        <x:v>2500</x:v>
      </x:c>
      <x:c r="B2501" s="26" t="n">
        <x:v>42657.75664351852</x:v>
      </x:c>
      <x:c r="C2501" s="27" t="n">
        <x:f>INT(B2501)</x:f>
        <x:v>42657</x:v>
      </x:c>
      <x:c r="D2501" s="28" t="n">
        <x:f>MOD(B2501,1)</x:f>
        <x:v>0.7566435185217415</x:v>
      </x:c>
      <x:c r="E2501" s="29" t="n">
        <x:f>YEAR(B2501)</x:f>
        <x:v>2016</x:v>
      </x:c>
      <x:c r="F2501" s="29" t="n">
        <x:f>MONTH(B2501)</x:f>
        <x:v>10</x:v>
      </x:c>
      <x:c r="G2501" s="30" t="n">
        <x:v>-21.89</x:v>
      </x:c>
      <x:c r="H2501" s="30" t="n">
        <x:v>-68.42</x:v>
      </x:c>
      <x:c r="I2501" s="29" t="n">
        <x:v>116</x:v>
      </x:c>
      <x:c r="J2501" s="31" t="n">
        <x:v>4.6</x:v>
      </x:c>
      <x:c r="K2501" s="25" t="str">
        <x:f>IF(J2501&gt;=7,"Muy fuerte (&gt;=7)",IF(J2501&gt;=6,"Fuerte (6-6.9)",IF(J2501&gt;=5,"Moderado alto (5-5.9)",IF(J2501&gt;=4,"Moderado (4-4.9)","Menor a 4"))))</x:f>
        <x:v>Moderado (4-4.9)</x:v>
      </x:c>
      <x:c r="L2501" s="25" t="str">
        <x:f>IF(I2501&lt;70,"Superficial (&lt;70 km)",IF(I2501&lt;=300,"Intermedio (70-300 km)","Profundo (&gt;300 km)"))</x:f>
        <x:v>Intermedio (70-300 km)</x:v>
      </x:c>
      <x:c r="M2501" s="25" t="str">
        <x:f>IF(J2501&gt;=5,"Sí","No")</x:f>
        <x:v>No</x:v>
      </x:c>
      <x:c r="N2501" s="25" t="str">
        <x:f>IF(J2501&gt;=6,"Sí","No")</x:f>
        <x:v>No</x:v>
      </x:c>
      <x:c r="O2501" s="25" t="str">
        <x:v>Pendiente: asignar con R/sf</x:v>
      </x:c>
    </x:row>
    <x:row r="2502">
      <x:c r="A2502" s="25" t="n">
        <x:v>2501</x:v>
      </x:c>
      <x:c r="B2502" s="26" t="n">
        <x:v>42611.06065972222</x:v>
      </x:c>
      <x:c r="C2502" s="27" t="n">
        <x:f>INT(B2502)</x:f>
        <x:v>42611</x:v>
      </x:c>
      <x:c r="D2502" s="28" t="n">
        <x:f>MOD(B2502,1)</x:f>
        <x:v>0.06065972222131677</x:v>
      </x:c>
      <x:c r="E2502" s="29" t="n">
        <x:f>YEAR(B2502)</x:f>
        <x:v>2016</x:v>
      </x:c>
      <x:c r="F2502" s="29" t="n">
        <x:f>MONTH(B2502)</x:f>
        <x:v>8</x:v>
      </x:c>
      <x:c r="G2502" s="30" t="n">
        <x:v>-18.4</x:v>
      </x:c>
      <x:c r="H2502" s="30" t="n">
        <x:v>-69.7</x:v>
      </x:c>
      <x:c r="I2502" s="29" t="n">
        <x:v>112</x:v>
      </x:c>
      <x:c r="J2502" s="31" t="n">
        <x:v>4.4</x:v>
      </x:c>
      <x:c r="K2502" s="25" t="str">
        <x:f>IF(J2502&gt;=7,"Muy fuerte (&gt;=7)",IF(J2502&gt;=6,"Fuerte (6-6.9)",IF(J2502&gt;=5,"Moderado alto (5-5.9)",IF(J2502&gt;=4,"Moderado (4-4.9)","Menor a 4"))))</x:f>
        <x:v>Moderado (4-4.9)</x:v>
      </x:c>
      <x:c r="L2502" s="25" t="str">
        <x:f>IF(I2502&lt;70,"Superficial (&lt;70 km)",IF(I2502&lt;=300,"Intermedio (70-300 km)","Profundo (&gt;300 km)"))</x:f>
        <x:v>Intermedio (70-300 km)</x:v>
      </x:c>
      <x:c r="M2502" s="25" t="str">
        <x:f>IF(J2502&gt;=5,"Sí","No")</x:f>
        <x:v>No</x:v>
      </x:c>
      <x:c r="N2502" s="25" t="str">
        <x:f>IF(J2502&gt;=6,"Sí","No")</x:f>
        <x:v>No</x:v>
      </x:c>
      <x:c r="O2502" s="25" t="str">
        <x:v>Pendiente: asignar con R/sf</x:v>
      </x:c>
    </x:row>
    <x:row r="2503">
      <x:c r="A2503" s="25" t="n">
        <x:v>2502</x:v>
      </x:c>
      <x:c r="B2503" s="26" t="n">
        <x:v>42535.946122685185</x:v>
      </x:c>
      <x:c r="C2503" s="27" t="n">
        <x:f>INT(B2503)</x:f>
        <x:v>42535</x:v>
      </x:c>
      <x:c r="D2503" s="28" t="n">
        <x:f>MOD(B2503,1)</x:f>
        <x:v>0.9461226851854008</x:v>
      </x:c>
      <x:c r="E2503" s="29" t="n">
        <x:f>YEAR(B2503)</x:f>
        <x:v>2016</x:v>
      </x:c>
      <x:c r="F2503" s="29" t="n">
        <x:f>MONTH(B2503)</x:f>
        <x:v>6</x:v>
      </x:c>
      <x:c r="G2503" s="30" t="n">
        <x:v>-21.13</x:v>
      </x:c>
      <x:c r="H2503" s="30" t="n">
        <x:v>-68.92</x:v>
      </x:c>
      <x:c r="I2503" s="29" t="n">
        <x:v>114</x:v>
      </x:c>
      <x:c r="J2503" s="31" t="n">
        <x:v>4.6</x:v>
      </x:c>
      <x:c r="K2503" s="25" t="str">
        <x:f>IF(J2503&gt;=7,"Muy fuerte (&gt;=7)",IF(J2503&gt;=6,"Fuerte (6-6.9)",IF(J2503&gt;=5,"Moderado alto (5-5.9)",IF(J2503&gt;=4,"Moderado (4-4.9)","Menor a 4"))))</x:f>
        <x:v>Moderado (4-4.9)</x:v>
      </x:c>
      <x:c r="L2503" s="25" t="str">
        <x:f>IF(I2503&lt;70,"Superficial (&lt;70 km)",IF(I2503&lt;=300,"Intermedio (70-300 km)","Profundo (&gt;300 km)"))</x:f>
        <x:v>Intermedio (70-300 km)</x:v>
      </x:c>
      <x:c r="M2503" s="25" t="str">
        <x:f>IF(J2503&gt;=5,"Sí","No")</x:f>
        <x:v>No</x:v>
      </x:c>
      <x:c r="N2503" s="25" t="str">
        <x:f>IF(J2503&gt;=6,"Sí","No")</x:f>
        <x:v>No</x:v>
      </x:c>
      <x:c r="O2503" s="25" t="str">
        <x:v>Pendiente: asignar con R/sf</x:v>
      </x:c>
    </x:row>
    <x:row r="2504">
      <x:c r="A2504" s="25" t="n">
        <x:v>2503</x:v>
      </x:c>
      <x:c r="B2504" s="26" t="n">
        <x:v>42544.44987268518</x:v>
      </x:c>
      <x:c r="C2504" s="27" t="n">
        <x:f>INT(B2504)</x:f>
        <x:v>42544</x:v>
      </x:c>
      <x:c r="D2504" s="28" t="n">
        <x:f>MOD(B2504,1)</x:f>
        <x:v>0.44987268518161727</x:v>
      </x:c>
      <x:c r="E2504" s="29" t="n">
        <x:f>YEAR(B2504)</x:f>
        <x:v>2016</x:v>
      </x:c>
      <x:c r="F2504" s="29" t="n">
        <x:f>MONTH(B2504)</x:f>
        <x:v>6</x:v>
      </x:c>
      <x:c r="G2504" s="30" t="n">
        <x:v>-20.47</x:v>
      </x:c>
      <x:c r="H2504" s="30" t="n">
        <x:v>-68.89</x:v>
      </x:c>
      <x:c r="I2504" s="29" t="n">
        <x:v>107</x:v>
      </x:c>
      <x:c r="J2504" s="31" t="n">
        <x:v>4.3</x:v>
      </x:c>
      <x:c r="K2504" s="25" t="str">
        <x:f>IF(J2504&gt;=7,"Muy fuerte (&gt;=7)",IF(J2504&gt;=6,"Fuerte (6-6.9)",IF(J2504&gt;=5,"Moderado alto (5-5.9)",IF(J2504&gt;=4,"Moderado (4-4.9)","Menor a 4"))))</x:f>
        <x:v>Moderado (4-4.9)</x:v>
      </x:c>
      <x:c r="L2504" s="25" t="str">
        <x:f>IF(I2504&lt;70,"Superficial (&lt;70 km)",IF(I2504&lt;=300,"Intermedio (70-300 km)","Profundo (&gt;300 km)"))</x:f>
        <x:v>Intermedio (70-300 km)</x:v>
      </x:c>
      <x:c r="M2504" s="25" t="str">
        <x:f>IF(J2504&gt;=5,"Sí","No")</x:f>
        <x:v>No</x:v>
      </x:c>
      <x:c r="N2504" s="25" t="str">
        <x:f>IF(J2504&gt;=6,"Sí","No")</x:f>
        <x:v>No</x:v>
      </x:c>
      <x:c r="O2504" s="25" t="str">
        <x:v>Pendiente: asignar con R/sf</x:v>
      </x:c>
    </x:row>
    <x:row r="2505">
      <x:c r="A2505" s="25" t="n">
        <x:v>2504</x:v>
      </x:c>
      <x:c r="B2505" s="26" t="n">
        <x:v>42416.70197916667</x:v>
      </x:c>
      <x:c r="C2505" s="27" t="n">
        <x:f>INT(B2505)</x:f>
        <x:v>42416</x:v>
      </x:c>
      <x:c r="D2505" s="28" t="n">
        <x:f>MOD(B2505,1)</x:f>
        <x:v>0.7019791666680248</x:v>
      </x:c>
      <x:c r="E2505" s="29" t="n">
        <x:f>YEAR(B2505)</x:f>
        <x:v>2016</x:v>
      </x:c>
      <x:c r="F2505" s="29" t="n">
        <x:f>MONTH(B2505)</x:f>
        <x:v>2</x:v>
      </x:c>
      <x:c r="G2505" s="30" t="n">
        <x:v>-30.27</x:v>
      </x:c>
      <x:c r="H2505" s="30" t="n">
        <x:v>-71.27</x:v>
      </x:c>
      <x:c r="I2505" s="29" t="n">
        <x:v>59</x:v>
      </x:c>
      <x:c r="J2505" s="31" t="n">
        <x:v>4.2</x:v>
      </x:c>
      <x:c r="K2505" s="25" t="str">
        <x:f>IF(J2505&gt;=7,"Muy fuerte (&gt;=7)",IF(J2505&gt;=6,"Fuerte (6-6.9)",IF(J2505&gt;=5,"Moderado alto (5-5.9)",IF(J2505&gt;=4,"Moderado (4-4.9)","Menor a 4"))))</x:f>
        <x:v>Moderado (4-4.9)</x:v>
      </x:c>
      <x:c r="L2505" s="25" t="str">
        <x:f>IF(I2505&lt;70,"Superficial (&lt;70 km)",IF(I2505&lt;=300,"Intermedio (70-300 km)","Profundo (&gt;300 km)"))</x:f>
        <x:v>Superficial (&lt;70 km)</x:v>
      </x:c>
      <x:c r="M2505" s="25" t="str">
        <x:f>IF(J2505&gt;=5,"Sí","No")</x:f>
        <x:v>No</x:v>
      </x:c>
      <x:c r="N2505" s="25" t="str">
        <x:f>IF(J2505&gt;=6,"Sí","No")</x:f>
        <x:v>No</x:v>
      </x:c>
      <x:c r="O2505" s="25" t="str">
        <x:v>Pendiente: asignar con R/sf</x:v>
      </x:c>
    </x:row>
    <x:row r="2506">
      <x:c r="A2506" s="25" t="n">
        <x:v>2505</x:v>
      </x:c>
      <x:c r="B2506" s="26" t="n">
        <x:v>42645.069027777776</x:v>
      </x:c>
      <x:c r="C2506" s="27" t="n">
        <x:f>INT(B2506)</x:f>
        <x:v>42645</x:v>
      </x:c>
      <x:c r="D2506" s="28" t="n">
        <x:f>MOD(B2506,1)</x:f>
        <x:v>0.06902777777577285</x:v>
      </x:c>
      <x:c r="E2506" s="29" t="n">
        <x:f>YEAR(B2506)</x:f>
        <x:v>2016</x:v>
      </x:c>
      <x:c r="F2506" s="29" t="n">
        <x:f>MONTH(B2506)</x:f>
        <x:v>10</x:v>
      </x:c>
      <x:c r="G2506" s="30" t="n">
        <x:v>-21.29</x:v>
      </x:c>
      <x:c r="H2506" s="30" t="n">
        <x:v>-68.84</x:v>
      </x:c>
      <x:c r="I2506" s="29" t="n">
        <x:v>114</x:v>
      </x:c>
      <x:c r="J2506" s="31" t="n">
        <x:v>4.1</x:v>
      </x:c>
      <x:c r="K2506" s="25" t="str">
        <x:f>IF(J2506&gt;=7,"Muy fuerte (&gt;=7)",IF(J2506&gt;=6,"Fuerte (6-6.9)",IF(J2506&gt;=5,"Moderado alto (5-5.9)",IF(J2506&gt;=4,"Moderado (4-4.9)","Menor a 4"))))</x:f>
        <x:v>Moderado (4-4.9)</x:v>
      </x:c>
      <x:c r="L2506" s="25" t="str">
        <x:f>IF(I2506&lt;70,"Superficial (&lt;70 km)",IF(I2506&lt;=300,"Intermedio (70-300 km)","Profundo (&gt;300 km)"))</x:f>
        <x:v>Intermedio (70-300 km)</x:v>
      </x:c>
      <x:c r="M2506" s="25" t="str">
        <x:f>IF(J2506&gt;=5,"Sí","No")</x:f>
        <x:v>No</x:v>
      </x:c>
      <x:c r="N2506" s="25" t="str">
        <x:f>IF(J2506&gt;=6,"Sí","No")</x:f>
        <x:v>No</x:v>
      </x:c>
      <x:c r="O2506" s="25" t="str">
        <x:v>Pendiente: asignar con R/sf</x:v>
      </x:c>
    </x:row>
    <x:row r="2507">
      <x:c r="A2507" s="25" t="n">
        <x:v>2506</x:v>
      </x:c>
      <x:c r="B2507" s="26" t="n">
        <x:v>42441.86709490741</x:v>
      </x:c>
      <x:c r="C2507" s="27" t="n">
        <x:f>INT(B2507)</x:f>
        <x:v>42441</x:v>
      </x:c>
      <x:c r="D2507" s="28" t="n">
        <x:f>MOD(B2507,1)</x:f>
        <x:v>0.8670949074075907</x:v>
      </x:c>
      <x:c r="E2507" s="29" t="n">
        <x:f>YEAR(B2507)</x:f>
        <x:v>2016</x:v>
      </x:c>
      <x:c r="F2507" s="29" t="n">
        <x:f>MONTH(B2507)</x:f>
        <x:v>3</x:v>
      </x:c>
      <x:c r="G2507" s="30" t="n">
        <x:v>-21.07</x:v>
      </x:c>
      <x:c r="H2507" s="30" t="n">
        <x:v>-70.1</x:v>
      </x:c>
      <x:c r="I2507" s="29" t="n">
        <x:v>74</x:v>
      </x:c>
      <x:c r="J2507" s="31" t="n">
        <x:v>4</x:v>
      </x:c>
      <x:c r="K2507" s="25" t="str">
        <x:f>IF(J2507&gt;=7,"Muy fuerte (&gt;=7)",IF(J2507&gt;=6,"Fuerte (6-6.9)",IF(J2507&gt;=5,"Moderado alto (5-5.9)",IF(J2507&gt;=4,"Moderado (4-4.9)","Menor a 4"))))</x:f>
        <x:v>Moderado (4-4.9)</x:v>
      </x:c>
      <x:c r="L2507" s="25" t="str">
        <x:f>IF(I2507&lt;70,"Superficial (&lt;70 km)",IF(I2507&lt;=300,"Intermedio (70-300 km)","Profundo (&gt;300 km)"))</x:f>
        <x:v>Intermedio (70-300 km)</x:v>
      </x:c>
      <x:c r="M2507" s="25" t="str">
        <x:f>IF(J2507&gt;=5,"Sí","No")</x:f>
        <x:v>No</x:v>
      </x:c>
      <x:c r="N2507" s="25" t="str">
        <x:f>IF(J2507&gt;=6,"Sí","No")</x:f>
        <x:v>No</x:v>
      </x:c>
      <x:c r="O2507" s="25" t="str">
        <x:v>Pendiente: asignar con R/sf</x:v>
      </x:c>
    </x:row>
    <x:row r="2508">
      <x:c r="A2508" s="25" t="n">
        <x:v>2507</x:v>
      </x:c>
      <x:c r="B2508" s="26" t="n">
        <x:v>42454.94168981481</x:v>
      </x:c>
      <x:c r="C2508" s="27" t="n">
        <x:f>INT(B2508)</x:f>
        <x:v>42454</x:v>
      </x:c>
      <x:c r="D2508" s="28" t="n">
        <x:f>MOD(B2508,1)</x:f>
        <x:v>0.9416898148119799</x:v>
      </x:c>
      <x:c r="E2508" s="29" t="n">
        <x:f>YEAR(B2508)</x:f>
        <x:v>2016</x:v>
      </x:c>
      <x:c r="F2508" s="29" t="n">
        <x:f>MONTH(B2508)</x:f>
        <x:v>3</x:v>
      </x:c>
      <x:c r="G2508" s="30" t="n">
        <x:v>-35.18</x:v>
      </x:c>
      <x:c r="H2508" s="30" t="n">
        <x:v>-71.14</x:v>
      </x:c>
      <x:c r="I2508" s="29" t="n">
        <x:v>96</x:v>
      </x:c>
      <x:c r="J2508" s="31" t="n">
        <x:v>4.6</x:v>
      </x:c>
      <x:c r="K2508" s="25" t="str">
        <x:f>IF(J2508&gt;=7,"Muy fuerte (&gt;=7)",IF(J2508&gt;=6,"Fuerte (6-6.9)",IF(J2508&gt;=5,"Moderado alto (5-5.9)",IF(J2508&gt;=4,"Moderado (4-4.9)","Menor a 4"))))</x:f>
        <x:v>Moderado (4-4.9)</x:v>
      </x:c>
      <x:c r="L2508" s="25" t="str">
        <x:f>IF(I2508&lt;70,"Superficial (&lt;70 km)",IF(I2508&lt;=300,"Intermedio (70-300 km)","Profundo (&gt;300 km)"))</x:f>
        <x:v>Intermedio (70-300 km)</x:v>
      </x:c>
      <x:c r="M2508" s="25" t="str">
        <x:f>IF(J2508&gt;=5,"Sí","No")</x:f>
        <x:v>No</x:v>
      </x:c>
      <x:c r="N2508" s="25" t="str">
        <x:f>IF(J2508&gt;=6,"Sí","No")</x:f>
        <x:v>No</x:v>
      </x:c>
      <x:c r="O2508" s="25" t="str">
        <x:v>Pendiente: asignar con R/sf</x:v>
      </x:c>
    </x:row>
    <x:row r="2509">
      <x:c r="A2509" s="25" t="n">
        <x:v>2508</x:v>
      </x:c>
      <x:c r="B2509" s="26" t="n">
        <x:v>42462.63438657407</x:v>
      </x:c>
      <x:c r="C2509" s="27" t="n">
        <x:f>INT(B2509)</x:f>
        <x:v>42462</x:v>
      </x:c>
      <x:c r="D2509" s="28" t="n">
        <x:f>MOD(B2509,1)</x:f>
        <x:v>0.6343865740709589</x:v>
      </x:c>
      <x:c r="E2509" s="29" t="n">
        <x:f>YEAR(B2509)</x:f>
        <x:v>2016</x:v>
      </x:c>
      <x:c r="F2509" s="29" t="n">
        <x:f>MONTH(B2509)</x:f>
        <x:v>4</x:v>
      </x:c>
      <x:c r="G2509" s="30" t="n">
        <x:v>-29.85</x:v>
      </x:c>
      <x:c r="H2509" s="30" t="n">
        <x:v>-71.27</x:v>
      </x:c>
      <x:c r="I2509" s="29" t="n">
        <x:v>45</x:v>
      </x:c>
      <x:c r="J2509" s="31" t="n">
        <x:v>4.1</x:v>
      </x:c>
      <x:c r="K2509" s="25" t="str">
        <x:f>IF(J2509&gt;=7,"Muy fuerte (&gt;=7)",IF(J2509&gt;=6,"Fuerte (6-6.9)",IF(J2509&gt;=5,"Moderado alto (5-5.9)",IF(J2509&gt;=4,"Moderado (4-4.9)","Menor a 4"))))</x:f>
        <x:v>Moderado (4-4.9)</x:v>
      </x:c>
      <x:c r="L2509" s="25" t="str">
        <x:f>IF(I2509&lt;70,"Superficial (&lt;70 km)",IF(I2509&lt;=300,"Intermedio (70-300 km)","Profundo (&gt;300 km)"))</x:f>
        <x:v>Superficial (&lt;70 km)</x:v>
      </x:c>
      <x:c r="M2509" s="25" t="str">
        <x:f>IF(J2509&gt;=5,"Sí","No")</x:f>
        <x:v>No</x:v>
      </x:c>
      <x:c r="N2509" s="25" t="str">
        <x:f>IF(J2509&gt;=6,"Sí","No")</x:f>
        <x:v>No</x:v>
      </x:c>
      <x:c r="O2509" s="25" t="str">
        <x:v>Pendiente: asignar con R/sf</x:v>
      </x:c>
    </x:row>
    <x:row r="2510">
      <x:c r="A2510" s="25" t="n">
        <x:v>2509</x:v>
      </x:c>
      <x:c r="B2510" s="26" t="n">
        <x:v>42554.39047453704</x:v>
      </x:c>
      <x:c r="C2510" s="27" t="n">
        <x:f>INT(B2510)</x:f>
        <x:v>42554</x:v>
      </x:c>
      <x:c r="D2510" s="28" t="n">
        <x:f>MOD(B2510,1)</x:f>
        <x:v>0.3904745370382443</x:v>
      </x:c>
      <x:c r="E2510" s="29" t="n">
        <x:f>YEAR(B2510)</x:f>
        <x:v>2016</x:v>
      </x:c>
      <x:c r="F2510" s="29" t="n">
        <x:f>MONTH(B2510)</x:f>
        <x:v>7</x:v>
      </x:c>
      <x:c r="G2510" s="30" t="n">
        <x:v>-21.09</x:v>
      </x:c>
      <x:c r="H2510" s="30" t="n">
        <x:v>-68.79</x:v>
      </x:c>
      <x:c r="I2510" s="29" t="n">
        <x:v>114</x:v>
      </x:c>
      <x:c r="J2510" s="31" t="n">
        <x:v>4</x:v>
      </x:c>
      <x:c r="K2510" s="25" t="str">
        <x:f>IF(J2510&gt;=7,"Muy fuerte (&gt;=7)",IF(J2510&gt;=6,"Fuerte (6-6.9)",IF(J2510&gt;=5,"Moderado alto (5-5.9)",IF(J2510&gt;=4,"Moderado (4-4.9)","Menor a 4"))))</x:f>
        <x:v>Moderado (4-4.9)</x:v>
      </x:c>
      <x:c r="L2510" s="25" t="str">
        <x:f>IF(I2510&lt;70,"Superficial (&lt;70 km)",IF(I2510&lt;=300,"Intermedio (70-300 km)","Profundo (&gt;300 km)"))</x:f>
        <x:v>Intermedio (70-300 km)</x:v>
      </x:c>
      <x:c r="M2510" s="25" t="str">
        <x:f>IF(J2510&gt;=5,"Sí","No")</x:f>
        <x:v>No</x:v>
      </x:c>
      <x:c r="N2510" s="25" t="str">
        <x:f>IF(J2510&gt;=6,"Sí","No")</x:f>
        <x:v>No</x:v>
      </x:c>
      <x:c r="O2510" s="25" t="str">
        <x:v>Pendiente: asignar con R/sf</x:v>
      </x:c>
    </x:row>
    <x:row r="2511">
      <x:c r="A2511" s="25" t="n">
        <x:v>2510</x:v>
      </x:c>
      <x:c r="B2511" s="26" t="n">
        <x:v>42687.584074074075</x:v>
      </x:c>
      <x:c r="C2511" s="27" t="n">
        <x:f>INT(B2511)</x:f>
        <x:v>42687</x:v>
      </x:c>
      <x:c r="D2511" s="28" t="n">
        <x:f>MOD(B2511,1)</x:f>
        <x:v>0.5840740740750334</x:v>
      </x:c>
      <x:c r="E2511" s="29" t="n">
        <x:f>YEAR(B2511)</x:f>
        <x:v>2016</x:v>
      </x:c>
      <x:c r="F2511" s="29" t="n">
        <x:f>MONTH(B2511)</x:f>
        <x:v>11</x:v>
      </x:c>
      <x:c r="G2511" s="30" t="n">
        <x:v>-29.26</x:v>
      </x:c>
      <x:c r="H2511" s="30" t="n">
        <x:v>-67.9</x:v>
      </x:c>
      <x:c r="I2511" s="29" t="n">
        <x:v>140</x:v>
      </x:c>
      <x:c r="J2511" s="31" t="n">
        <x:v>5.7</x:v>
      </x:c>
      <x:c r="K2511" s="25" t="str">
        <x:f>IF(J2511&gt;=7,"Muy fuerte (&gt;=7)",IF(J2511&gt;=6,"Fuerte (6-6.9)",IF(J2511&gt;=5,"Moderado alto (5-5.9)",IF(J2511&gt;=4,"Moderado (4-4.9)","Menor a 4"))))</x:f>
        <x:v>Moderado alto (5-5.9)</x:v>
      </x:c>
      <x:c r="L2511" s="25" t="str">
        <x:f>IF(I2511&lt;70,"Superficial (&lt;70 km)",IF(I2511&lt;=300,"Intermedio (70-300 km)","Profundo (&gt;300 km)"))</x:f>
        <x:v>Intermedio (70-300 km)</x:v>
      </x:c>
      <x:c r="M2511" s="25" t="str">
        <x:f>IF(J2511&gt;=5,"Sí","No")</x:f>
        <x:v>Sí</x:v>
      </x:c>
      <x:c r="N2511" s="25" t="str">
        <x:f>IF(J2511&gt;=6,"Sí","No")</x:f>
        <x:v>No</x:v>
      </x:c>
      <x:c r="O2511" s="25" t="str">
        <x:v>Pendiente: asignar con R/sf</x:v>
      </x:c>
    </x:row>
    <x:row r="2512">
      <x:c r="A2512" s="25" t="n">
        <x:v>2511</x:v>
      </x:c>
      <x:c r="B2512" s="26" t="n">
        <x:v>42649.03314814815</x:v>
      </x:c>
      <x:c r="C2512" s="27" t="n">
        <x:f>INT(B2512)</x:f>
        <x:v>42649</x:v>
      </x:c>
      <x:c r="D2512" s="28" t="n">
        <x:f>MOD(B2512,1)</x:f>
        <x:v>0.03314814814802958</x:v>
      </x:c>
      <x:c r="E2512" s="29" t="n">
        <x:f>YEAR(B2512)</x:f>
        <x:v>2016</x:v>
      </x:c>
      <x:c r="F2512" s="29" t="n">
        <x:f>MONTH(B2512)</x:f>
        <x:v>10</x:v>
      </x:c>
      <x:c r="G2512" s="30" t="n">
        <x:v>-20.25</x:v>
      </x:c>
      <x:c r="H2512" s="30" t="n">
        <x:v>-69.18</x:v>
      </x:c>
      <x:c r="I2512" s="29" t="n">
        <x:v>94</x:v>
      </x:c>
      <x:c r="J2512" s="31" t="n">
        <x:v>4.4</x:v>
      </x:c>
      <x:c r="K2512" s="25" t="str">
        <x:f>IF(J2512&gt;=7,"Muy fuerte (&gt;=7)",IF(J2512&gt;=6,"Fuerte (6-6.9)",IF(J2512&gt;=5,"Moderado alto (5-5.9)",IF(J2512&gt;=4,"Moderado (4-4.9)","Menor a 4"))))</x:f>
        <x:v>Moderado (4-4.9)</x:v>
      </x:c>
      <x:c r="L2512" s="25" t="str">
        <x:f>IF(I2512&lt;70,"Superficial (&lt;70 km)",IF(I2512&lt;=300,"Intermedio (70-300 km)","Profundo (&gt;300 km)"))</x:f>
        <x:v>Intermedio (70-300 km)</x:v>
      </x:c>
      <x:c r="M2512" s="25" t="str">
        <x:f>IF(J2512&gt;=5,"Sí","No")</x:f>
        <x:v>No</x:v>
      </x:c>
      <x:c r="N2512" s="25" t="str">
        <x:f>IF(J2512&gt;=6,"Sí","No")</x:f>
        <x:v>No</x:v>
      </x:c>
      <x:c r="O2512" s="25" t="str">
        <x:v>Pendiente: asignar con R/sf</x:v>
      </x:c>
    </x:row>
    <x:row r="2513">
      <x:c r="A2513" s="25" t="n">
        <x:v>2512</x:v>
      </x:c>
      <x:c r="B2513" s="26" t="n">
        <x:v>42423.43697916667</x:v>
      </x:c>
      <x:c r="C2513" s="27" t="n">
        <x:f>INT(B2513)</x:f>
        <x:v>42423</x:v>
      </x:c>
      <x:c r="D2513" s="28" t="n">
        <x:f>MOD(B2513,1)</x:f>
        <x:v>0.4369791666686069</x:v>
      </x:c>
      <x:c r="E2513" s="29" t="n">
        <x:f>YEAR(B2513)</x:f>
        <x:v>2016</x:v>
      </x:c>
      <x:c r="F2513" s="29" t="n">
        <x:f>MONTH(B2513)</x:f>
        <x:v>2</x:v>
      </x:c>
      <x:c r="G2513" s="30" t="n">
        <x:v>-33.21</x:v>
      </x:c>
      <x:c r="H2513" s="30" t="n">
        <x:v>-71.39</x:v>
      </x:c>
      <x:c r="I2513" s="29" t="n">
        <x:v>56</x:v>
      </x:c>
      <x:c r="J2513" s="31" t="n">
        <x:v>4</x:v>
      </x:c>
      <x:c r="K2513" s="25" t="str">
        <x:f>IF(J2513&gt;=7,"Muy fuerte (&gt;=7)",IF(J2513&gt;=6,"Fuerte (6-6.9)",IF(J2513&gt;=5,"Moderado alto (5-5.9)",IF(J2513&gt;=4,"Moderado (4-4.9)","Menor a 4"))))</x:f>
        <x:v>Moderado (4-4.9)</x:v>
      </x:c>
      <x:c r="L2513" s="25" t="str">
        <x:f>IF(I2513&lt;70,"Superficial (&lt;70 km)",IF(I2513&lt;=300,"Intermedio (70-300 km)","Profundo (&gt;300 km)"))</x:f>
        <x:v>Superficial (&lt;70 km)</x:v>
      </x:c>
      <x:c r="M2513" s="25" t="str">
        <x:f>IF(J2513&gt;=5,"Sí","No")</x:f>
        <x:v>No</x:v>
      </x:c>
      <x:c r="N2513" s="25" t="str">
        <x:f>IF(J2513&gt;=6,"Sí","No")</x:f>
        <x:v>No</x:v>
      </x:c>
      <x:c r="O2513" s="25" t="str">
        <x:v>Pendiente: asignar con R/sf</x:v>
      </x:c>
    </x:row>
    <x:row r="2514">
      <x:c r="A2514" s="25" t="n">
        <x:v>2513</x:v>
      </x:c>
      <x:c r="B2514" s="26" t="n">
        <x:v>42496.36912037037</x:v>
      </x:c>
      <x:c r="C2514" s="27" t="n">
        <x:f>INT(B2514)</x:f>
        <x:v>42496</x:v>
      </x:c>
      <x:c r="D2514" s="28" t="n">
        <x:f>MOD(B2514,1)</x:f>
        <x:v>0.3691203703710926</x:v>
      </x:c>
      <x:c r="E2514" s="29" t="n">
        <x:f>YEAR(B2514)</x:f>
        <x:v>2016</x:v>
      </x:c>
      <x:c r="F2514" s="29" t="n">
        <x:f>MONTH(B2514)</x:f>
        <x:v>5</x:v>
      </x:c>
      <x:c r="G2514" s="30" t="n">
        <x:v>-30.4</x:v>
      </x:c>
      <x:c r="H2514" s="30" t="n">
        <x:v>-71.24</x:v>
      </x:c>
      <x:c r="I2514" s="29" t="n">
        <x:v>59</x:v>
      </x:c>
      <x:c r="J2514" s="31" t="n">
        <x:v>4.3</x:v>
      </x:c>
      <x:c r="K2514" s="25" t="str">
        <x:f>IF(J2514&gt;=7,"Muy fuerte (&gt;=7)",IF(J2514&gt;=6,"Fuerte (6-6.9)",IF(J2514&gt;=5,"Moderado alto (5-5.9)",IF(J2514&gt;=4,"Moderado (4-4.9)","Menor a 4"))))</x:f>
        <x:v>Moderado (4-4.9)</x:v>
      </x:c>
      <x:c r="L2514" s="25" t="str">
        <x:f>IF(I2514&lt;70,"Superficial (&lt;70 km)",IF(I2514&lt;=300,"Intermedio (70-300 km)","Profundo (&gt;300 km)"))</x:f>
        <x:v>Superficial (&lt;70 km)</x:v>
      </x:c>
      <x:c r="M2514" s="25" t="str">
        <x:f>IF(J2514&gt;=5,"Sí","No")</x:f>
        <x:v>No</x:v>
      </x:c>
      <x:c r="N2514" s="25" t="str">
        <x:f>IF(J2514&gt;=6,"Sí","No")</x:f>
        <x:v>No</x:v>
      </x:c>
      <x:c r="O2514" s="25" t="str">
        <x:v>Pendiente: asignar con R/sf</x:v>
      </x:c>
    </x:row>
    <x:row r="2515">
      <x:c r="A2515" s="25" t="n">
        <x:v>2514</x:v>
      </x:c>
      <x:c r="B2515" s="26" t="n">
        <x:v>42498.439722222225</x:v>
      </x:c>
      <x:c r="C2515" s="27" t="n">
        <x:f>INT(B2515)</x:f>
        <x:v>42498</x:v>
      </x:c>
      <x:c r="D2515" s="28" t="n">
        <x:f>MOD(B2515,1)</x:f>
        <x:v>0.43972222222510027</x:v>
      </x:c>
      <x:c r="E2515" s="29" t="n">
        <x:f>YEAR(B2515)</x:f>
        <x:v>2016</x:v>
      </x:c>
      <x:c r="F2515" s="29" t="n">
        <x:f>MONTH(B2515)</x:f>
        <x:v>5</x:v>
      </x:c>
      <x:c r="G2515" s="30" t="n">
        <x:v>-32.77</x:v>
      </x:c>
      <x:c r="H2515" s="30" t="n">
        <x:v>-71.53</x:v>
      </x:c>
      <x:c r="I2515" s="29" t="n">
        <x:v>39</x:v>
      </x:c>
      <x:c r="J2515" s="31" t="n">
        <x:v>4.6</x:v>
      </x:c>
      <x:c r="K2515" s="25" t="str">
        <x:f>IF(J2515&gt;=7,"Muy fuerte (&gt;=7)",IF(J2515&gt;=6,"Fuerte (6-6.9)",IF(J2515&gt;=5,"Moderado alto (5-5.9)",IF(J2515&gt;=4,"Moderado (4-4.9)","Menor a 4"))))</x:f>
        <x:v>Moderado (4-4.9)</x:v>
      </x:c>
      <x:c r="L2515" s="25" t="str">
        <x:f>IF(I2515&lt;70,"Superficial (&lt;70 km)",IF(I2515&lt;=300,"Intermedio (70-300 km)","Profundo (&gt;300 km)"))</x:f>
        <x:v>Superficial (&lt;70 km)</x:v>
      </x:c>
      <x:c r="M2515" s="25" t="str">
        <x:f>IF(J2515&gt;=5,"Sí","No")</x:f>
        <x:v>No</x:v>
      </x:c>
      <x:c r="N2515" s="25" t="str">
        <x:f>IF(J2515&gt;=6,"Sí","No")</x:f>
        <x:v>No</x:v>
      </x:c>
      <x:c r="O2515" s="25" t="str">
        <x:v>Pendiente: asignar con R/sf</x:v>
      </x:c>
    </x:row>
    <x:row r="2516">
      <x:c r="A2516" s="25" t="n">
        <x:v>2515</x:v>
      </x:c>
      <x:c r="B2516" s="26" t="n">
        <x:v>42557.95775462963</x:v>
      </x:c>
      <x:c r="C2516" s="27" t="n">
        <x:f>INT(B2516)</x:f>
        <x:v>42557</x:v>
      </x:c>
      <x:c r="D2516" s="28" t="n">
        <x:f>MOD(B2516,1)</x:f>
        <x:v>0.9577546296277433</x:v>
      </x:c>
      <x:c r="E2516" s="29" t="n">
        <x:f>YEAR(B2516)</x:f>
        <x:v>2016</x:v>
      </x:c>
      <x:c r="F2516" s="29" t="n">
        <x:f>MONTH(B2516)</x:f>
        <x:v>7</x:v>
      </x:c>
      <x:c r="G2516" s="30" t="n">
        <x:v>-20.43</x:v>
      </x:c>
      <x:c r="H2516" s="30" t="n">
        <x:v>-69.31</x:v>
      </x:c>
      <x:c r="I2516" s="29" t="n">
        <x:v>94</x:v>
      </x:c>
      <x:c r="J2516" s="31" t="n">
        <x:v>4.6</x:v>
      </x:c>
      <x:c r="K2516" s="25" t="str">
        <x:f>IF(J2516&gt;=7,"Muy fuerte (&gt;=7)",IF(J2516&gt;=6,"Fuerte (6-6.9)",IF(J2516&gt;=5,"Moderado alto (5-5.9)",IF(J2516&gt;=4,"Moderado (4-4.9)","Menor a 4"))))</x:f>
        <x:v>Moderado (4-4.9)</x:v>
      </x:c>
      <x:c r="L2516" s="25" t="str">
        <x:f>IF(I2516&lt;70,"Superficial (&lt;70 km)",IF(I2516&lt;=300,"Intermedio (70-300 km)","Profundo (&gt;300 km)"))</x:f>
        <x:v>Intermedio (70-300 km)</x:v>
      </x:c>
      <x:c r="M2516" s="25" t="str">
        <x:f>IF(J2516&gt;=5,"Sí","No")</x:f>
        <x:v>No</x:v>
      </x:c>
      <x:c r="N2516" s="25" t="str">
        <x:f>IF(J2516&gt;=6,"Sí","No")</x:f>
        <x:v>No</x:v>
      </x:c>
      <x:c r="O2516" s="25" t="str">
        <x:v>Pendiente: asignar con R/sf</x:v>
      </x:c>
    </x:row>
    <x:row r="2517">
      <x:c r="A2517" s="25" t="n">
        <x:v>2516</x:v>
      </x:c>
      <x:c r="B2517" s="26" t="n">
        <x:v>42397.85837962963</x:v>
      </x:c>
      <x:c r="C2517" s="27" t="n">
        <x:f>INT(B2517)</x:f>
        <x:v>42397</x:v>
      </x:c>
      <x:c r="D2517" s="28" t="n">
        <x:f>MOD(B2517,1)</x:f>
        <x:v>0.8583796296297805</x:v>
      </x:c>
      <x:c r="E2517" s="29" t="n">
        <x:f>YEAR(B2517)</x:f>
        <x:v>2016</x:v>
      </x:c>
      <x:c r="F2517" s="29" t="n">
        <x:f>MONTH(B2517)</x:f>
        <x:v>1</x:v>
      </x:c>
      <x:c r="G2517" s="30" t="n">
        <x:v>-29.73</x:v>
      </x:c>
      <x:c r="H2517" s="30" t="n">
        <x:v>-71.63</x:v>
      </x:c>
      <x:c r="I2517" s="29" t="n">
        <x:v>49</x:v>
      </x:c>
      <x:c r="J2517" s="31" t="n">
        <x:v>4.2</x:v>
      </x:c>
      <x:c r="K2517" s="25" t="str">
        <x:f>IF(J2517&gt;=7,"Muy fuerte (&gt;=7)",IF(J2517&gt;=6,"Fuerte (6-6.9)",IF(J2517&gt;=5,"Moderado alto (5-5.9)",IF(J2517&gt;=4,"Moderado (4-4.9)","Menor a 4"))))</x:f>
        <x:v>Moderado (4-4.9)</x:v>
      </x:c>
      <x:c r="L2517" s="25" t="str">
        <x:f>IF(I2517&lt;70,"Superficial (&lt;70 km)",IF(I2517&lt;=300,"Intermedio (70-300 km)","Profundo (&gt;300 km)"))</x:f>
        <x:v>Superficial (&lt;70 km)</x:v>
      </x:c>
      <x:c r="M2517" s="25" t="str">
        <x:f>IF(J2517&gt;=5,"Sí","No")</x:f>
        <x:v>No</x:v>
      </x:c>
      <x:c r="N2517" s="25" t="str">
        <x:f>IF(J2517&gt;=6,"Sí","No")</x:f>
        <x:v>No</x:v>
      </x:c>
      <x:c r="O2517" s="25" t="str">
        <x:v>Pendiente: asignar con R/sf</x:v>
      </x:c>
    </x:row>
    <x:row r="2518">
      <x:c r="A2518" s="25" t="n">
        <x:v>2517</x:v>
      </x:c>
      <x:c r="B2518" s="26" t="n">
        <x:v>42517.97528935185</x:v>
      </x:c>
      <x:c r="C2518" s="27" t="n">
        <x:f>INT(B2518)</x:f>
        <x:v>42517</x:v>
      </x:c>
      <x:c r="D2518" s="28" t="n">
        <x:f>MOD(B2518,1)</x:f>
        <x:v>0.9752893518525525</x:v>
      </x:c>
      <x:c r="E2518" s="29" t="n">
        <x:f>YEAR(B2518)</x:f>
        <x:v>2016</x:v>
      </x:c>
      <x:c r="F2518" s="29" t="n">
        <x:f>MONTH(B2518)</x:f>
        <x:v>5</x:v>
      </x:c>
      <x:c r="G2518" s="30" t="n">
        <x:v>-19.67</x:v>
      </x:c>
      <x:c r="H2518" s="30" t="n">
        <x:v>-69.08</x:v>
      </x:c>
      <x:c r="I2518" s="29" t="n">
        <x:v>110</x:v>
      </x:c>
      <x:c r="J2518" s="31" t="n">
        <x:v>4.5</x:v>
      </x:c>
      <x:c r="K2518" s="25" t="str">
        <x:f>IF(J2518&gt;=7,"Muy fuerte (&gt;=7)",IF(J2518&gt;=6,"Fuerte (6-6.9)",IF(J2518&gt;=5,"Moderado alto (5-5.9)",IF(J2518&gt;=4,"Moderado (4-4.9)","Menor a 4"))))</x:f>
        <x:v>Moderado (4-4.9)</x:v>
      </x:c>
      <x:c r="L2518" s="25" t="str">
        <x:f>IF(I2518&lt;70,"Superficial (&lt;70 km)",IF(I2518&lt;=300,"Intermedio (70-300 km)","Profundo (&gt;300 km)"))</x:f>
        <x:v>Intermedio (70-300 km)</x:v>
      </x:c>
      <x:c r="M2518" s="25" t="str">
        <x:f>IF(J2518&gt;=5,"Sí","No")</x:f>
        <x:v>No</x:v>
      </x:c>
      <x:c r="N2518" s="25" t="str">
        <x:f>IF(J2518&gt;=6,"Sí","No")</x:f>
        <x:v>No</x:v>
      </x:c>
      <x:c r="O2518" s="25" t="str">
        <x:v>Pendiente: asignar con R/sf</x:v>
      </x:c>
    </x:row>
    <x:row r="2519">
      <x:c r="A2519" s="25" t="n">
        <x:v>2518</x:v>
      </x:c>
      <x:c r="B2519" s="26" t="n">
        <x:v>42640.71351851852</x:v>
      </x:c>
      <x:c r="C2519" s="27" t="n">
        <x:f>INT(B2519)</x:f>
        <x:v>42640</x:v>
      </x:c>
      <x:c r="D2519" s="28" t="n">
        <x:f>MOD(B2519,1)</x:f>
        <x:v>0.713518518517958</x:v>
      </x:c>
      <x:c r="E2519" s="29" t="n">
        <x:f>YEAR(B2519)</x:f>
        <x:v>2016</x:v>
      </x:c>
      <x:c r="F2519" s="29" t="n">
        <x:f>MONTH(B2519)</x:f>
        <x:v>9</x:v>
      </x:c>
      <x:c r="G2519" s="30" t="n">
        <x:v>-23.09</x:v>
      </x:c>
      <x:c r="H2519" s="30" t="n">
        <x:v>-70.6</x:v>
      </x:c>
      <x:c r="I2519" s="29" t="n">
        <x:v>30</x:v>
      </x:c>
      <x:c r="J2519" s="31" t="n">
        <x:v>4.7</x:v>
      </x:c>
      <x:c r="K2519" s="25" t="str">
        <x:f>IF(J2519&gt;=7,"Muy fuerte (&gt;=7)",IF(J2519&gt;=6,"Fuerte (6-6.9)",IF(J2519&gt;=5,"Moderado alto (5-5.9)",IF(J2519&gt;=4,"Moderado (4-4.9)","Menor a 4"))))</x:f>
        <x:v>Moderado (4-4.9)</x:v>
      </x:c>
      <x:c r="L2519" s="25" t="str">
        <x:f>IF(I2519&lt;70,"Superficial (&lt;70 km)",IF(I2519&lt;=300,"Intermedio (70-300 km)","Profundo (&gt;300 km)"))</x:f>
        <x:v>Superficial (&lt;70 km)</x:v>
      </x:c>
      <x:c r="M2519" s="25" t="str">
        <x:f>IF(J2519&gt;=5,"Sí","No")</x:f>
        <x:v>No</x:v>
      </x:c>
      <x:c r="N2519" s="25" t="str">
        <x:f>IF(J2519&gt;=6,"Sí","No")</x:f>
        <x:v>No</x:v>
      </x:c>
      <x:c r="O2519" s="25" t="str">
        <x:v>Pendiente: asignar con R/sf</x:v>
      </x:c>
    </x:row>
    <x:row r="2520">
      <x:c r="A2520" s="25" t="n">
        <x:v>2519</x:v>
      </x:c>
      <x:c r="B2520" s="26" t="n">
        <x:v>42374.740219907406</x:v>
      </x:c>
      <x:c r="C2520" s="27" t="n">
        <x:f>INT(B2520)</x:f>
        <x:v>42374</x:v>
      </x:c>
      <x:c r="D2520" s="28" t="n">
        <x:f>MOD(B2520,1)</x:f>
        <x:v>0.7402199074058444</x:v>
      </x:c>
      <x:c r="E2520" s="29" t="n">
        <x:f>YEAR(B2520)</x:f>
        <x:v>2016</x:v>
      </x:c>
      <x:c r="F2520" s="29" t="n">
        <x:f>MONTH(B2520)</x:f>
        <x:v>1</x:v>
      </x:c>
      <x:c r="G2520" s="30" t="n">
        <x:v>-20.01</x:v>
      </x:c>
      <x:c r="H2520" s="30" t="n">
        <x:v>-69.15</x:v>
      </x:c>
      <x:c r="I2520" s="29" t="n">
        <x:v>101</x:v>
      </x:c>
      <x:c r="J2520" s="31" t="n">
        <x:v>4.1</x:v>
      </x:c>
      <x:c r="K2520" s="25" t="str">
        <x:f>IF(J2520&gt;=7,"Muy fuerte (&gt;=7)",IF(J2520&gt;=6,"Fuerte (6-6.9)",IF(J2520&gt;=5,"Moderado alto (5-5.9)",IF(J2520&gt;=4,"Moderado (4-4.9)","Menor a 4"))))</x:f>
        <x:v>Moderado (4-4.9)</x:v>
      </x:c>
      <x:c r="L2520" s="25" t="str">
        <x:f>IF(I2520&lt;70,"Superficial (&lt;70 km)",IF(I2520&lt;=300,"Intermedio (70-300 km)","Profundo (&gt;300 km)"))</x:f>
        <x:v>Intermedio (70-300 km)</x:v>
      </x:c>
      <x:c r="M2520" s="25" t="str">
        <x:f>IF(J2520&gt;=5,"Sí","No")</x:f>
        <x:v>No</x:v>
      </x:c>
      <x:c r="N2520" s="25" t="str">
        <x:f>IF(J2520&gt;=6,"Sí","No")</x:f>
        <x:v>No</x:v>
      </x:c>
      <x:c r="O2520" s="25" t="str">
        <x:v>Pendiente: asignar con R/sf</x:v>
      </x:c>
    </x:row>
    <x:row r="2521">
      <x:c r="A2521" s="25" t="n">
        <x:v>2520</x:v>
      </x:c>
      <x:c r="B2521" s="26" t="n">
        <x:v>42420.76598379629</x:v>
      </x:c>
      <x:c r="C2521" s="27" t="n">
        <x:f>INT(B2521)</x:f>
        <x:v>42420</x:v>
      </x:c>
      <x:c r="D2521" s="28" t="n">
        <x:f>MOD(B2521,1)</x:f>
        <x:v>0.7659837962928577</x:v>
      </x:c>
      <x:c r="E2521" s="29" t="n">
        <x:f>YEAR(B2521)</x:f>
        <x:v>2016</x:v>
      </x:c>
      <x:c r="F2521" s="29" t="n">
        <x:f>MONTH(B2521)</x:f>
        <x:v>2</x:v>
      </x:c>
      <x:c r="G2521" s="30" t="n">
        <x:v>-32.5</x:v>
      </x:c>
      <x:c r="H2521" s="30" t="n">
        <x:v>-70.01</x:v>
      </x:c>
      <x:c r="I2521" s="29" t="n">
        <x:v>129</x:v>
      </x:c>
      <x:c r="J2521" s="31" t="n">
        <x:v>4.9</x:v>
      </x:c>
      <x:c r="K2521" s="25" t="str">
        <x:f>IF(J2521&gt;=7,"Muy fuerte (&gt;=7)",IF(J2521&gt;=6,"Fuerte (6-6.9)",IF(J2521&gt;=5,"Moderado alto (5-5.9)",IF(J2521&gt;=4,"Moderado (4-4.9)","Menor a 4"))))</x:f>
        <x:v>Moderado (4-4.9)</x:v>
      </x:c>
      <x:c r="L2521" s="25" t="str">
        <x:f>IF(I2521&lt;70,"Superficial (&lt;70 km)",IF(I2521&lt;=300,"Intermedio (70-300 km)","Profundo (&gt;300 km)"))</x:f>
        <x:v>Intermedio (70-300 km)</x:v>
      </x:c>
      <x:c r="M2521" s="25" t="str">
        <x:f>IF(J2521&gt;=5,"Sí","No")</x:f>
        <x:v>No</x:v>
      </x:c>
      <x:c r="N2521" s="25" t="str">
        <x:f>IF(J2521&gt;=6,"Sí","No")</x:f>
        <x:v>No</x:v>
      </x:c>
      <x:c r="O2521" s="25" t="str">
        <x:v>Pendiente: asignar con R/sf</x:v>
      </x:c>
    </x:row>
    <x:row r="2522">
      <x:c r="A2522" s="25" t="n">
        <x:v>2521</x:v>
      </x:c>
      <x:c r="B2522" s="26" t="n">
        <x:v>42670.04136574074</x:v>
      </x:c>
      <x:c r="C2522" s="27" t="n">
        <x:f>INT(B2522)</x:f>
        <x:v>42670</x:v>
      </x:c>
      <x:c r="D2522" s="28" t="n">
        <x:f>MOD(B2522,1)</x:f>
        <x:v>0.04136574074072996</x:v>
      </x:c>
      <x:c r="E2522" s="29" t="n">
        <x:f>YEAR(B2522)</x:f>
        <x:v>2016</x:v>
      </x:c>
      <x:c r="F2522" s="29" t="n">
        <x:f>MONTH(B2522)</x:f>
        <x:v>10</x:v>
      </x:c>
      <x:c r="G2522" s="30" t="n">
        <x:v>-22.2</x:v>
      </x:c>
      <x:c r="H2522" s="30" t="n">
        <x:v>-68.45</x:v>
      </x:c>
      <x:c r="I2522" s="29" t="n">
        <x:v>127</x:v>
      </x:c>
      <x:c r="J2522" s="31" t="n">
        <x:v>4.8</x:v>
      </x:c>
      <x:c r="K2522" s="25" t="str">
        <x:f>IF(J2522&gt;=7,"Muy fuerte (&gt;=7)",IF(J2522&gt;=6,"Fuerte (6-6.9)",IF(J2522&gt;=5,"Moderado alto (5-5.9)",IF(J2522&gt;=4,"Moderado (4-4.9)","Menor a 4"))))</x:f>
        <x:v>Moderado (4-4.9)</x:v>
      </x:c>
      <x:c r="L2522" s="25" t="str">
        <x:f>IF(I2522&lt;70,"Superficial (&lt;70 km)",IF(I2522&lt;=300,"Intermedio (70-300 km)","Profundo (&gt;300 km)"))</x:f>
        <x:v>Intermedio (70-300 km)</x:v>
      </x:c>
      <x:c r="M2522" s="25" t="str">
        <x:f>IF(J2522&gt;=5,"Sí","No")</x:f>
        <x:v>No</x:v>
      </x:c>
      <x:c r="N2522" s="25" t="str">
        <x:f>IF(J2522&gt;=6,"Sí","No")</x:f>
        <x:v>No</x:v>
      </x:c>
      <x:c r="O2522" s="25" t="str">
        <x:v>Pendiente: asignar con R/sf</x:v>
      </x:c>
    </x:row>
    <x:row r="2523">
      <x:c r="A2523" s="25" t="n">
        <x:v>2522</x:v>
      </x:c>
      <x:c r="B2523" s="26" t="n">
        <x:v>42443.18287037037</x:v>
      </x:c>
      <x:c r="C2523" s="27" t="n">
        <x:f>INT(B2523)</x:f>
        <x:v>42443</x:v>
      </x:c>
      <x:c r="D2523" s="28" t="n">
        <x:f>MOD(B2523,1)</x:f>
        <x:v>0.18287037037225673</x:v>
      </x:c>
      <x:c r="E2523" s="29" t="n">
        <x:f>YEAR(B2523)</x:f>
        <x:v>2016</x:v>
      </x:c>
      <x:c r="F2523" s="29" t="n">
        <x:f>MONTH(B2523)</x:f>
        <x:v>3</x:v>
      </x:c>
      <x:c r="G2523" s="30" t="n">
        <x:v>-26.14</x:v>
      </x:c>
      <x:c r="H2523" s="30" t="n">
        <x:v>-70.64</x:v>
      </x:c>
      <x:c r="I2523" s="29" t="n">
        <x:v>39</x:v>
      </x:c>
      <x:c r="J2523" s="31" t="n">
        <x:v>4.4</x:v>
      </x:c>
      <x:c r="K2523" s="25" t="str">
        <x:f>IF(J2523&gt;=7,"Muy fuerte (&gt;=7)",IF(J2523&gt;=6,"Fuerte (6-6.9)",IF(J2523&gt;=5,"Moderado alto (5-5.9)",IF(J2523&gt;=4,"Moderado (4-4.9)","Menor a 4"))))</x:f>
        <x:v>Moderado (4-4.9)</x:v>
      </x:c>
      <x:c r="L2523" s="25" t="str">
        <x:f>IF(I2523&lt;70,"Superficial (&lt;70 km)",IF(I2523&lt;=300,"Intermedio (70-300 km)","Profundo (&gt;300 km)"))</x:f>
        <x:v>Superficial (&lt;70 km)</x:v>
      </x:c>
      <x:c r="M2523" s="25" t="str">
        <x:f>IF(J2523&gt;=5,"Sí","No")</x:f>
        <x:v>No</x:v>
      </x:c>
      <x:c r="N2523" s="25" t="str">
        <x:f>IF(J2523&gt;=6,"Sí","No")</x:f>
        <x:v>No</x:v>
      </x:c>
      <x:c r="O2523" s="25" t="str">
        <x:v>Pendiente: asignar con R/sf</x:v>
      </x:c>
    </x:row>
    <x:row r="2524">
      <x:c r="A2524" s="25" t="n">
        <x:v>2523</x:v>
      </x:c>
      <x:c r="B2524" s="26" t="n">
        <x:v>42676.30662037037</x:v>
      </x:c>
      <x:c r="C2524" s="27" t="n">
        <x:f>INT(B2524)</x:f>
        <x:v>42676</x:v>
      </x:c>
      <x:c r="D2524" s="28" t="n">
        <x:f>MOD(B2524,1)</x:f>
        <x:v>0.3066203703710926</x:v>
      </x:c>
      <x:c r="E2524" s="29" t="n">
        <x:f>YEAR(B2524)</x:f>
        <x:v>2016</x:v>
      </x:c>
      <x:c r="F2524" s="29" t="n">
        <x:f>MONTH(B2524)</x:f>
        <x:v>11</x:v>
      </x:c>
      <x:c r="G2524" s="30" t="n">
        <x:v>-22.47</x:v>
      </x:c>
      <x:c r="H2524" s="30" t="n">
        <x:v>-68.51</x:v>
      </x:c>
      <x:c r="I2524" s="29" t="n">
        <x:v>134</x:v>
      </x:c>
      <x:c r="J2524" s="31" t="n">
        <x:v>5</x:v>
      </x:c>
      <x:c r="K2524" s="25" t="str">
        <x:f>IF(J2524&gt;=7,"Muy fuerte (&gt;=7)",IF(J2524&gt;=6,"Fuerte (6-6.9)",IF(J2524&gt;=5,"Moderado alto (5-5.9)",IF(J2524&gt;=4,"Moderado (4-4.9)","Menor a 4"))))</x:f>
        <x:v>Moderado alto (5-5.9)</x:v>
      </x:c>
      <x:c r="L2524" s="25" t="str">
        <x:f>IF(I2524&lt;70,"Superficial (&lt;70 km)",IF(I2524&lt;=300,"Intermedio (70-300 km)","Profundo (&gt;300 km)"))</x:f>
        <x:v>Intermedio (70-300 km)</x:v>
      </x:c>
      <x:c r="M2524" s="25" t="str">
        <x:f>IF(J2524&gt;=5,"Sí","No")</x:f>
        <x:v>Sí</x:v>
      </x:c>
      <x:c r="N2524" s="25" t="str">
        <x:f>IF(J2524&gt;=6,"Sí","No")</x:f>
        <x:v>No</x:v>
      </x:c>
      <x:c r="O2524" s="25" t="str">
        <x:v>Pendiente: asignar con R/sf</x:v>
      </x:c>
    </x:row>
    <x:row r="2525">
      <x:c r="A2525" s="25" t="n">
        <x:v>2524</x:v>
      </x:c>
      <x:c r="B2525" s="26" t="n">
        <x:v>42596.5616087963</x:v>
      </x:c>
      <x:c r="C2525" s="27" t="n">
        <x:f>INT(B2525)</x:f>
        <x:v>42596</x:v>
      </x:c>
      <x:c r="D2525" s="28" t="n">
        <x:f>MOD(B2525,1)</x:f>
        <x:v>0.5616087962989695</x:v>
      </x:c>
      <x:c r="E2525" s="29" t="n">
        <x:f>YEAR(B2525)</x:f>
        <x:v>2016</x:v>
      </x:c>
      <x:c r="F2525" s="29" t="n">
        <x:f>MONTH(B2525)</x:f>
        <x:v>8</x:v>
      </x:c>
      <x:c r="G2525" s="30" t="n">
        <x:v>-20.21</x:v>
      </x:c>
      <x:c r="H2525" s="30" t="n">
        <x:v>-69.27</x:v>
      </x:c>
      <x:c r="I2525" s="29" t="n">
        <x:v>105</x:v>
      </x:c>
      <x:c r="J2525" s="31" t="n">
        <x:v>5.1</x:v>
      </x:c>
      <x:c r="K2525" s="25" t="str">
        <x:f>IF(J2525&gt;=7,"Muy fuerte (&gt;=7)",IF(J2525&gt;=6,"Fuerte (6-6.9)",IF(J2525&gt;=5,"Moderado alto (5-5.9)",IF(J2525&gt;=4,"Moderado (4-4.9)","Menor a 4"))))</x:f>
        <x:v>Moderado alto (5-5.9)</x:v>
      </x:c>
      <x:c r="L2525" s="25" t="str">
        <x:f>IF(I2525&lt;70,"Superficial (&lt;70 km)",IF(I2525&lt;=300,"Intermedio (70-300 km)","Profundo (&gt;300 km)"))</x:f>
        <x:v>Intermedio (70-300 km)</x:v>
      </x:c>
      <x:c r="M2525" s="25" t="str">
        <x:f>IF(J2525&gt;=5,"Sí","No")</x:f>
        <x:v>Sí</x:v>
      </x:c>
      <x:c r="N2525" s="25" t="str">
        <x:f>IF(J2525&gt;=6,"Sí","No")</x:f>
        <x:v>No</x:v>
      </x:c>
      <x:c r="O2525" s="25" t="str">
        <x:v>Pendiente: asignar con R/sf</x:v>
      </x:c>
    </x:row>
    <x:row r="2526">
      <x:c r="A2526" s="25" t="n">
        <x:v>2525</x:v>
      </x:c>
      <x:c r="B2526" s="26" t="n">
        <x:v>42601.504699074074</x:v>
      </x:c>
      <x:c r="C2526" s="27" t="n">
        <x:f>INT(B2526)</x:f>
        <x:v>42601</x:v>
      </x:c>
      <x:c r="D2526" s="28" t="n">
        <x:f>MOD(B2526,1)</x:f>
        <x:v>0.5046990740738693</x:v>
      </x:c>
      <x:c r="E2526" s="29" t="n">
        <x:f>YEAR(B2526)</x:f>
        <x:v>2016</x:v>
      </x:c>
      <x:c r="F2526" s="29" t="n">
        <x:f>MONTH(B2526)</x:f>
        <x:v>8</x:v>
      </x:c>
      <x:c r="G2526" s="30" t="n">
        <x:v>-21.05</x:v>
      </x:c>
      <x:c r="H2526" s="30" t="n">
        <x:v>-70.25</x:v>
      </x:c>
      <x:c r="I2526" s="29" t="n">
        <x:v>38</x:v>
      </x:c>
      <x:c r="J2526" s="31" t="n">
        <x:v>4.2</x:v>
      </x:c>
      <x:c r="K2526" s="25" t="str">
        <x:f>IF(J2526&gt;=7,"Muy fuerte (&gt;=7)",IF(J2526&gt;=6,"Fuerte (6-6.9)",IF(J2526&gt;=5,"Moderado alto (5-5.9)",IF(J2526&gt;=4,"Moderado (4-4.9)","Menor a 4"))))</x:f>
        <x:v>Moderado (4-4.9)</x:v>
      </x:c>
      <x:c r="L2526" s="25" t="str">
        <x:f>IF(I2526&lt;70,"Superficial (&lt;70 km)",IF(I2526&lt;=300,"Intermedio (70-300 km)","Profundo (&gt;300 km)"))</x:f>
        <x:v>Superficial (&lt;70 km)</x:v>
      </x:c>
      <x:c r="M2526" s="25" t="str">
        <x:f>IF(J2526&gt;=5,"Sí","No")</x:f>
        <x:v>No</x:v>
      </x:c>
      <x:c r="N2526" s="25" t="str">
        <x:f>IF(J2526&gt;=6,"Sí","No")</x:f>
        <x:v>No</x:v>
      </x:c>
      <x:c r="O2526" s="25" t="str">
        <x:v>Pendiente: asignar con R/sf</x:v>
      </x:c>
    </x:row>
    <x:row r="2527">
      <x:c r="A2527" s="25" t="n">
        <x:v>2526</x:v>
      </x:c>
      <x:c r="B2527" s="26" t="n">
        <x:v>42681.28695601852</x:v>
      </x:c>
      <x:c r="C2527" s="27" t="n">
        <x:f>INT(B2527)</x:f>
        <x:v>42681</x:v>
      </x:c>
      <x:c r="D2527" s="28" t="n">
        <x:f>MOD(B2527,1)</x:f>
        <x:v>0.2869560185208684</x:v>
      </x:c>
      <x:c r="E2527" s="29" t="n">
        <x:f>YEAR(B2527)</x:f>
        <x:v>2016</x:v>
      </x:c>
      <x:c r="F2527" s="29" t="n">
        <x:f>MONTH(B2527)</x:f>
        <x:v>11</x:v>
      </x:c>
      <x:c r="G2527" s="30" t="n">
        <x:v>-28.12</x:v>
      </x:c>
      <x:c r="H2527" s="30" t="n">
        <x:v>-70.71</x:v>
      </x:c>
      <x:c r="I2527" s="29" t="n">
        <x:v>54</x:v>
      </x:c>
      <x:c r="J2527" s="31" t="n">
        <x:v>4.1</x:v>
      </x:c>
      <x:c r="K2527" s="25" t="str">
        <x:f>IF(J2527&gt;=7,"Muy fuerte (&gt;=7)",IF(J2527&gt;=6,"Fuerte (6-6.9)",IF(J2527&gt;=5,"Moderado alto (5-5.9)",IF(J2527&gt;=4,"Moderado (4-4.9)","Menor a 4"))))</x:f>
        <x:v>Moderado (4-4.9)</x:v>
      </x:c>
      <x:c r="L2527" s="25" t="str">
        <x:f>IF(I2527&lt;70,"Superficial (&lt;70 km)",IF(I2527&lt;=300,"Intermedio (70-300 km)","Profundo (&gt;300 km)"))</x:f>
        <x:v>Superficial (&lt;70 km)</x:v>
      </x:c>
      <x:c r="M2527" s="25" t="str">
        <x:f>IF(J2527&gt;=5,"Sí","No")</x:f>
        <x:v>No</x:v>
      </x:c>
      <x:c r="N2527" s="25" t="str">
        <x:f>IF(J2527&gt;=6,"Sí","No")</x:f>
        <x:v>No</x:v>
      </x:c>
      <x:c r="O2527" s="25" t="str">
        <x:v>Pendiente: asignar con R/sf</x:v>
      </x:c>
    </x:row>
    <x:row r="2528">
      <x:c r="A2528" s="25" t="n">
        <x:v>2527</x:v>
      </x:c>
      <x:c r="B2528" s="26" t="n">
        <x:v>42433.33216435185</x:v>
      </x:c>
      <x:c r="C2528" s="27" t="n">
        <x:f>INT(B2528)</x:f>
        <x:v>42433</x:v>
      </x:c>
      <x:c r="D2528" s="28" t="n">
        <x:f>MOD(B2528,1)</x:f>
        <x:v>0.3321643518502242</x:v>
      </x:c>
      <x:c r="E2528" s="29" t="n">
        <x:f>YEAR(B2528)</x:f>
        <x:v>2016</x:v>
      </x:c>
      <x:c r="F2528" s="29" t="n">
        <x:f>MONTH(B2528)</x:f>
        <x:v>3</x:v>
      </x:c>
      <x:c r="G2528" s="30" t="n">
        <x:v>-20.89</x:v>
      </x:c>
      <x:c r="H2528" s="30" t="n">
        <x:v>-70.44</x:v>
      </x:c>
      <x:c r="I2528" s="29" t="n">
        <x:v>61</x:v>
      </x:c>
      <x:c r="J2528" s="31" t="n">
        <x:v>4.2</x:v>
      </x:c>
      <x:c r="K2528" s="25" t="str">
        <x:f>IF(J2528&gt;=7,"Muy fuerte (&gt;=7)",IF(J2528&gt;=6,"Fuerte (6-6.9)",IF(J2528&gt;=5,"Moderado alto (5-5.9)",IF(J2528&gt;=4,"Moderado (4-4.9)","Menor a 4"))))</x:f>
        <x:v>Moderado (4-4.9)</x:v>
      </x:c>
      <x:c r="L2528" s="25" t="str">
        <x:f>IF(I2528&lt;70,"Superficial (&lt;70 km)",IF(I2528&lt;=300,"Intermedio (70-300 km)","Profundo (&gt;300 km)"))</x:f>
        <x:v>Superficial (&lt;70 km)</x:v>
      </x:c>
      <x:c r="M2528" s="25" t="str">
        <x:f>IF(J2528&gt;=5,"Sí","No")</x:f>
        <x:v>No</x:v>
      </x:c>
      <x:c r="N2528" s="25" t="str">
        <x:f>IF(J2528&gt;=6,"Sí","No")</x:f>
        <x:v>No</x:v>
      </x:c>
      <x:c r="O2528" s="25" t="str">
        <x:v>Pendiente: asignar con R/sf</x:v>
      </x:c>
    </x:row>
    <x:row r="2529">
      <x:c r="A2529" s="25" t="n">
        <x:v>2528</x:v>
      </x:c>
      <x:c r="B2529" s="26" t="n">
        <x:v>42379.19210648148</x:v>
      </x:c>
      <x:c r="C2529" s="27" t="n">
        <x:f>INT(B2529)</x:f>
        <x:v>42379</x:v>
      </x:c>
      <x:c r="D2529" s="28" t="n">
        <x:f>MOD(B2529,1)</x:f>
        <x:v>0.19210648148145992</x:v>
      </x:c>
      <x:c r="E2529" s="29" t="n">
        <x:f>YEAR(B2529)</x:f>
        <x:v>2016</x:v>
      </x:c>
      <x:c r="F2529" s="29" t="n">
        <x:f>MONTH(B2529)</x:f>
        <x:v>1</x:v>
      </x:c>
      <x:c r="G2529" s="30" t="n">
        <x:v>-36.4</x:v>
      </x:c>
      <x:c r="H2529" s="30" t="n">
        <x:v>-72.73</x:v>
      </x:c>
      <x:c r="I2529" s="29" t="n">
        <x:v>39</x:v>
      </x:c>
      <x:c r="J2529" s="31" t="n">
        <x:v>4.9</x:v>
      </x:c>
      <x:c r="K2529" s="25" t="str">
        <x:f>IF(J2529&gt;=7,"Muy fuerte (&gt;=7)",IF(J2529&gt;=6,"Fuerte (6-6.9)",IF(J2529&gt;=5,"Moderado alto (5-5.9)",IF(J2529&gt;=4,"Moderado (4-4.9)","Menor a 4"))))</x:f>
        <x:v>Moderado (4-4.9)</x:v>
      </x:c>
      <x:c r="L2529" s="25" t="str">
        <x:f>IF(I2529&lt;70,"Superficial (&lt;70 km)",IF(I2529&lt;=300,"Intermedio (70-300 km)","Profundo (&gt;300 km)"))</x:f>
        <x:v>Superficial (&lt;70 km)</x:v>
      </x:c>
      <x:c r="M2529" s="25" t="str">
        <x:f>IF(J2529&gt;=5,"Sí","No")</x:f>
        <x:v>No</x:v>
      </x:c>
      <x:c r="N2529" s="25" t="str">
        <x:f>IF(J2529&gt;=6,"Sí","No")</x:f>
        <x:v>No</x:v>
      </x:c>
      <x:c r="O2529" s="25" t="str">
        <x:v>Pendiente: asignar con R/sf</x:v>
      </x:c>
    </x:row>
    <x:row r="2530">
      <x:c r="A2530" s="25" t="n">
        <x:v>2529</x:v>
      </x:c>
      <x:c r="B2530" s="26" t="n">
        <x:v>42386.71225694445</x:v>
      </x:c>
      <x:c r="C2530" s="27" t="n">
        <x:f>INT(B2530)</x:f>
        <x:v>42386</x:v>
      </x:c>
      <x:c r="D2530" s="28" t="n">
        <x:f>MOD(B2530,1)</x:f>
        <x:v>0.7122569444472902</x:v>
      </x:c>
      <x:c r="E2530" s="29" t="n">
        <x:f>YEAR(B2530)</x:f>
        <x:v>2016</x:v>
      </x:c>
      <x:c r="F2530" s="29" t="n">
        <x:f>MONTH(B2530)</x:f>
        <x:v>1</x:v>
      </x:c>
      <x:c r="G2530" s="30" t="n">
        <x:v>-26.44</x:v>
      </x:c>
      <x:c r="H2530" s="30" t="n">
        <x:v>-70.87</x:v>
      </x:c>
      <x:c r="I2530" s="29" t="n">
        <x:v>55</x:v>
      </x:c>
      <x:c r="J2530" s="31" t="n">
        <x:v>4.2</x:v>
      </x:c>
      <x:c r="K2530" s="25" t="str">
        <x:f>IF(J2530&gt;=7,"Muy fuerte (&gt;=7)",IF(J2530&gt;=6,"Fuerte (6-6.9)",IF(J2530&gt;=5,"Moderado alto (5-5.9)",IF(J2530&gt;=4,"Moderado (4-4.9)","Menor a 4"))))</x:f>
        <x:v>Moderado (4-4.9)</x:v>
      </x:c>
      <x:c r="L2530" s="25" t="str">
        <x:f>IF(I2530&lt;70,"Superficial (&lt;70 km)",IF(I2530&lt;=300,"Intermedio (70-300 km)","Profundo (&gt;300 km)"))</x:f>
        <x:v>Superficial (&lt;70 km)</x:v>
      </x:c>
      <x:c r="M2530" s="25" t="str">
        <x:f>IF(J2530&gt;=5,"Sí","No")</x:f>
        <x:v>No</x:v>
      </x:c>
      <x:c r="N2530" s="25" t="str">
        <x:f>IF(J2530&gt;=6,"Sí","No")</x:f>
        <x:v>No</x:v>
      </x:c>
      <x:c r="O2530" s="25" t="str">
        <x:v>Pendiente: asignar con R/sf</x:v>
      </x:c>
    </x:row>
    <x:row r="2531">
      <x:c r="A2531" s="25" t="n">
        <x:v>2530</x:v>
      </x:c>
      <x:c r="B2531" s="26" t="n">
        <x:v>42601.24958333333</x:v>
      </x:c>
      <x:c r="C2531" s="27" t="n">
        <x:f>INT(B2531)</x:f>
        <x:v>42601</x:v>
      </x:c>
      <x:c r="D2531" s="28" t="n">
        <x:f>MOD(B2531,1)</x:f>
        <x:v>0.24958333333051996</x:v>
      </x:c>
      <x:c r="E2531" s="29" t="n">
        <x:f>YEAR(B2531)</x:f>
        <x:v>2016</x:v>
      </x:c>
      <x:c r="F2531" s="29" t="n">
        <x:f>MONTH(B2531)</x:f>
        <x:v>8</x:v>
      </x:c>
      <x:c r="G2531" s="30" t="n">
        <x:v>-20.59</x:v>
      </x:c>
      <x:c r="H2531" s="30" t="n">
        <x:v>-68.92</x:v>
      </x:c>
      <x:c r="I2531" s="29" t="n">
        <x:v>110</x:v>
      </x:c>
      <x:c r="J2531" s="31" t="n">
        <x:v>4.6</x:v>
      </x:c>
      <x:c r="K2531" s="25" t="str">
        <x:f>IF(J2531&gt;=7,"Muy fuerte (&gt;=7)",IF(J2531&gt;=6,"Fuerte (6-6.9)",IF(J2531&gt;=5,"Moderado alto (5-5.9)",IF(J2531&gt;=4,"Moderado (4-4.9)","Menor a 4"))))</x:f>
        <x:v>Moderado (4-4.9)</x:v>
      </x:c>
      <x:c r="L2531" s="25" t="str">
        <x:f>IF(I2531&lt;70,"Superficial (&lt;70 km)",IF(I2531&lt;=300,"Intermedio (70-300 km)","Profundo (&gt;300 km)"))</x:f>
        <x:v>Intermedio (70-300 km)</x:v>
      </x:c>
      <x:c r="M2531" s="25" t="str">
        <x:f>IF(J2531&gt;=5,"Sí","No")</x:f>
        <x:v>No</x:v>
      </x:c>
      <x:c r="N2531" s="25" t="str">
        <x:f>IF(J2531&gt;=6,"Sí","No")</x:f>
        <x:v>No</x:v>
      </x:c>
      <x:c r="O2531" s="25" t="str">
        <x:v>Pendiente: asignar con R/sf</x:v>
      </x:c>
    </x:row>
    <x:row r="2532">
      <x:c r="A2532" s="25" t="n">
        <x:v>2531</x:v>
      </x:c>
      <x:c r="B2532" s="26" t="n">
        <x:v>42556.10350694445</x:v>
      </x:c>
      <x:c r="C2532" s="27" t="n">
        <x:f>INT(B2532)</x:f>
        <x:v>42556</x:v>
      </x:c>
      <x:c r="D2532" s="28" t="n">
        <x:f>MOD(B2532,1)</x:f>
        <x:v>0.10350694444787223</x:v>
      </x:c>
      <x:c r="E2532" s="29" t="n">
        <x:f>YEAR(B2532)</x:f>
        <x:v>2016</x:v>
      </x:c>
      <x:c r="F2532" s="29" t="n">
        <x:f>MONTH(B2532)</x:f>
        <x:v>7</x:v>
      </x:c>
      <x:c r="G2532" s="30" t="n">
        <x:v>-20.16</x:v>
      </x:c>
      <x:c r="H2532" s="30" t="n">
        <x:v>-71.01</x:v>
      </x:c>
      <x:c r="I2532" s="29" t="n">
        <x:v>30</x:v>
      </x:c>
      <x:c r="J2532" s="31" t="n">
        <x:v>4.9</x:v>
      </x:c>
      <x:c r="K2532" s="25" t="str">
        <x:f>IF(J2532&gt;=7,"Muy fuerte (&gt;=7)",IF(J2532&gt;=6,"Fuerte (6-6.9)",IF(J2532&gt;=5,"Moderado alto (5-5.9)",IF(J2532&gt;=4,"Moderado (4-4.9)","Menor a 4"))))</x:f>
        <x:v>Moderado (4-4.9)</x:v>
      </x:c>
      <x:c r="L2532" s="25" t="str">
        <x:f>IF(I2532&lt;70,"Superficial (&lt;70 km)",IF(I2532&lt;=300,"Intermedio (70-300 km)","Profundo (&gt;300 km)"))</x:f>
        <x:v>Superficial (&lt;70 km)</x:v>
      </x:c>
      <x:c r="M2532" s="25" t="str">
        <x:f>IF(J2532&gt;=5,"Sí","No")</x:f>
        <x:v>No</x:v>
      </x:c>
      <x:c r="N2532" s="25" t="str">
        <x:f>IF(J2532&gt;=6,"Sí","No")</x:f>
        <x:v>No</x:v>
      </x:c>
      <x:c r="O2532" s="25" t="str">
        <x:v>Pendiente: asignar con R/sf</x:v>
      </x:c>
    </x:row>
    <x:row r="2533">
      <x:c r="A2533" s="25" t="n">
        <x:v>2532</x:v>
      </x:c>
      <x:c r="B2533" s="26" t="n">
        <x:v>42433.51962962963</x:v>
      </x:c>
      <x:c r="C2533" s="27" t="n">
        <x:f>INT(B2533)</x:f>
        <x:v>42433</x:v>
      </x:c>
      <x:c r="D2533" s="28" t="n">
        <x:f>MOD(B2533,1)</x:f>
        <x:v>0.5196296296271612</x:v>
      </x:c>
      <x:c r="E2533" s="29" t="n">
        <x:f>YEAR(B2533)</x:f>
        <x:v>2016</x:v>
      </x:c>
      <x:c r="F2533" s="29" t="n">
        <x:f>MONTH(B2533)</x:f>
        <x:v>3</x:v>
      </x:c>
      <x:c r="G2533" s="30" t="n">
        <x:v>-19.01</x:v>
      </x:c>
      <x:c r="H2533" s="30" t="n">
        <x:v>-70.48</x:v>
      </x:c>
      <x:c r="I2533" s="29" t="n">
        <x:v>49</x:v>
      </x:c>
      <x:c r="J2533" s="31" t="n">
        <x:v>4.3</x:v>
      </x:c>
      <x:c r="K2533" s="25" t="str">
        <x:f>IF(J2533&gt;=7,"Muy fuerte (&gt;=7)",IF(J2533&gt;=6,"Fuerte (6-6.9)",IF(J2533&gt;=5,"Moderado alto (5-5.9)",IF(J2533&gt;=4,"Moderado (4-4.9)","Menor a 4"))))</x:f>
        <x:v>Moderado (4-4.9)</x:v>
      </x:c>
      <x:c r="L2533" s="25" t="str">
        <x:f>IF(I2533&lt;70,"Superficial (&lt;70 km)",IF(I2533&lt;=300,"Intermedio (70-300 km)","Profundo (&gt;300 km)"))</x:f>
        <x:v>Superficial (&lt;70 km)</x:v>
      </x:c>
      <x:c r="M2533" s="25" t="str">
        <x:f>IF(J2533&gt;=5,"Sí","No")</x:f>
        <x:v>No</x:v>
      </x:c>
      <x:c r="N2533" s="25" t="str">
        <x:f>IF(J2533&gt;=6,"Sí","No")</x:f>
        <x:v>No</x:v>
      </x:c>
      <x:c r="O2533" s="25" t="str">
        <x:v>Pendiente: asignar con R/sf</x:v>
      </x:c>
    </x:row>
    <x:row r="2534">
      <x:c r="A2534" s="25" t="n">
        <x:v>2533</x:v>
      </x:c>
      <x:c r="B2534" s="26" t="n">
        <x:v>42439.357094907406</x:v>
      </x:c>
      <x:c r="C2534" s="27" t="n">
        <x:f>INT(B2534)</x:f>
        <x:v>42439</x:v>
      </x:c>
      <x:c r="D2534" s="28" t="n">
        <x:f>MOD(B2534,1)</x:f>
        <x:v>0.3570949074055534</x:v>
      </x:c>
      <x:c r="E2534" s="29" t="n">
        <x:f>YEAR(B2534)</x:f>
        <x:v>2016</x:v>
      </x:c>
      <x:c r="F2534" s="29" t="n">
        <x:f>MONTH(B2534)</x:f>
        <x:v>3</x:v>
      </x:c>
      <x:c r="G2534" s="30" t="n">
        <x:v>-18.83</x:v>
      </x:c>
      <x:c r="H2534" s="30" t="n">
        <x:v>-69.54</x:v>
      </x:c>
      <x:c r="I2534" s="29" t="n">
        <x:v>90</x:v>
      </x:c>
      <x:c r="J2534" s="31" t="n">
        <x:v>5</x:v>
      </x:c>
      <x:c r="K2534" s="25" t="str">
        <x:f>IF(J2534&gt;=7,"Muy fuerte (&gt;=7)",IF(J2534&gt;=6,"Fuerte (6-6.9)",IF(J2534&gt;=5,"Moderado alto (5-5.9)",IF(J2534&gt;=4,"Moderado (4-4.9)","Menor a 4"))))</x:f>
        <x:v>Moderado alto (5-5.9)</x:v>
      </x:c>
      <x:c r="L2534" s="25" t="str">
        <x:f>IF(I2534&lt;70,"Superficial (&lt;70 km)",IF(I2534&lt;=300,"Intermedio (70-300 km)","Profundo (&gt;300 km)"))</x:f>
        <x:v>Intermedio (70-300 km)</x:v>
      </x:c>
      <x:c r="M2534" s="25" t="str">
        <x:f>IF(J2534&gt;=5,"Sí","No")</x:f>
        <x:v>Sí</x:v>
      </x:c>
      <x:c r="N2534" s="25" t="str">
        <x:f>IF(J2534&gt;=6,"Sí","No")</x:f>
        <x:v>No</x:v>
      </x:c>
      <x:c r="O2534" s="25" t="str">
        <x:v>Pendiente: asignar con R/sf</x:v>
      </x:c>
    </x:row>
    <x:row r="2535">
      <x:c r="A2535" s="25" t="n">
        <x:v>2534</x:v>
      </x:c>
      <x:c r="B2535" s="26" t="n">
        <x:v>42448.78505787037</x:v>
      </x:c>
      <x:c r="C2535" s="27" t="n">
        <x:f>INT(B2535)</x:f>
        <x:v>42448</x:v>
      </x:c>
      <x:c r="D2535" s="28" t="n">
        <x:f>MOD(B2535,1)</x:f>
        <x:v>0.7850578703728388</x:v>
      </x:c>
      <x:c r="E2535" s="29" t="n">
        <x:f>YEAR(B2535)</x:f>
        <x:v>2016</x:v>
      </x:c>
      <x:c r="F2535" s="29" t="n">
        <x:f>MONTH(B2535)</x:f>
        <x:v>3</x:v>
      </x:c>
      <x:c r="G2535" s="30" t="n">
        <x:v>-33.17</x:v>
      </x:c>
      <x:c r="H2535" s="30" t="n">
        <x:v>-71.82</x:v>
      </x:c>
      <x:c r="I2535" s="29" t="n">
        <x:v>31</x:v>
      </x:c>
      <x:c r="J2535" s="31" t="n">
        <x:v>4</x:v>
      </x:c>
      <x:c r="K2535" s="25" t="str">
        <x:f>IF(J2535&gt;=7,"Muy fuerte (&gt;=7)",IF(J2535&gt;=6,"Fuerte (6-6.9)",IF(J2535&gt;=5,"Moderado alto (5-5.9)",IF(J2535&gt;=4,"Moderado (4-4.9)","Menor a 4"))))</x:f>
        <x:v>Moderado (4-4.9)</x:v>
      </x:c>
      <x:c r="L2535" s="25" t="str">
        <x:f>IF(I2535&lt;70,"Superficial (&lt;70 km)",IF(I2535&lt;=300,"Intermedio (70-300 km)","Profundo (&gt;300 km)"))</x:f>
        <x:v>Superficial (&lt;70 km)</x:v>
      </x:c>
      <x:c r="M2535" s="25" t="str">
        <x:f>IF(J2535&gt;=5,"Sí","No")</x:f>
        <x:v>No</x:v>
      </x:c>
      <x:c r="N2535" s="25" t="str">
        <x:f>IF(J2535&gt;=6,"Sí","No")</x:f>
        <x:v>No</x:v>
      </x:c>
      <x:c r="O2535" s="25" t="str">
        <x:v>Pendiente: asignar con R/sf</x:v>
      </x:c>
    </x:row>
    <x:row r="2536">
      <x:c r="A2536" s="25" t="n">
        <x:v>2535</x:v>
      </x:c>
      <x:c r="B2536" s="26" t="n">
        <x:v>42705.21126157408</x:v>
      </x:c>
      <x:c r="C2536" s="27" t="n">
        <x:f>INT(B2536)</x:f>
        <x:v>42705</x:v>
      </x:c>
      <x:c r="D2536" s="28" t="n">
        <x:f>MOD(B2536,1)</x:f>
        <x:v>0.2112615740770707</x:v>
      </x:c>
      <x:c r="E2536" s="29" t="n">
        <x:f>YEAR(B2536)</x:f>
        <x:v>2016</x:v>
      </x:c>
      <x:c r="F2536" s="29" t="n">
        <x:f>MONTH(B2536)</x:f>
        <x:v>12</x:v>
      </x:c>
      <x:c r="G2536" s="30" t="n">
        <x:v>-34.12</x:v>
      </x:c>
      <x:c r="H2536" s="30" t="n">
        <x:v>-71.3</x:v>
      </x:c>
      <x:c r="I2536" s="29" t="n">
        <x:v>56</x:v>
      </x:c>
      <x:c r="J2536" s="31" t="n">
        <x:v>4</x:v>
      </x:c>
      <x:c r="K2536" s="25" t="str">
        <x:f>IF(J2536&gt;=7,"Muy fuerte (&gt;=7)",IF(J2536&gt;=6,"Fuerte (6-6.9)",IF(J2536&gt;=5,"Moderado alto (5-5.9)",IF(J2536&gt;=4,"Moderado (4-4.9)","Menor a 4"))))</x:f>
        <x:v>Moderado (4-4.9)</x:v>
      </x:c>
      <x:c r="L2536" s="25" t="str">
        <x:f>IF(I2536&lt;70,"Superficial (&lt;70 km)",IF(I2536&lt;=300,"Intermedio (70-300 km)","Profundo (&gt;300 km)"))</x:f>
        <x:v>Superficial (&lt;70 km)</x:v>
      </x:c>
      <x:c r="M2536" s="25" t="str">
        <x:f>IF(J2536&gt;=5,"Sí","No")</x:f>
        <x:v>No</x:v>
      </x:c>
      <x:c r="N2536" s="25" t="str">
        <x:f>IF(J2536&gt;=6,"Sí","No")</x:f>
        <x:v>No</x:v>
      </x:c>
      <x:c r="O2536" s="25" t="str">
        <x:v>Pendiente: asignar con R/sf</x:v>
      </x:c>
    </x:row>
    <x:row r="2537">
      <x:c r="A2537" s="25" t="n">
        <x:v>2536</x:v>
      </x:c>
      <x:c r="B2537" s="26" t="n">
        <x:v>42683.51494212963</x:v>
      </x:c>
      <x:c r="C2537" s="27" t="n">
        <x:f>INT(B2537)</x:f>
        <x:v>42683</x:v>
      </x:c>
      <x:c r="D2537" s="28" t="n">
        <x:f>MOD(B2537,1)</x:f>
        <x:v>0.5149421296300716</x:v>
      </x:c>
      <x:c r="E2537" s="29" t="n">
        <x:f>YEAR(B2537)</x:f>
        <x:v>2016</x:v>
      </x:c>
      <x:c r="F2537" s="29" t="n">
        <x:f>MONTH(B2537)</x:f>
        <x:v>11</x:v>
      </x:c>
      <x:c r="G2537" s="30" t="n">
        <x:v>-36.58</x:v>
      </x:c>
      <x:c r="H2537" s="30" t="n">
        <x:v>-73.55</x:v>
      </x:c>
      <x:c r="I2537" s="29" t="n">
        <x:v>28</x:v>
      </x:c>
      <x:c r="J2537" s="31" t="n">
        <x:v>4.9</x:v>
      </x:c>
      <x:c r="K2537" s="25" t="str">
        <x:f>IF(J2537&gt;=7,"Muy fuerte (&gt;=7)",IF(J2537&gt;=6,"Fuerte (6-6.9)",IF(J2537&gt;=5,"Moderado alto (5-5.9)",IF(J2537&gt;=4,"Moderado (4-4.9)","Menor a 4"))))</x:f>
        <x:v>Moderado (4-4.9)</x:v>
      </x:c>
      <x:c r="L2537" s="25" t="str">
        <x:f>IF(I2537&lt;70,"Superficial (&lt;70 km)",IF(I2537&lt;=300,"Intermedio (70-300 km)","Profundo (&gt;300 km)"))</x:f>
        <x:v>Superficial (&lt;70 km)</x:v>
      </x:c>
      <x:c r="M2537" s="25" t="str">
        <x:f>IF(J2537&gt;=5,"Sí","No")</x:f>
        <x:v>No</x:v>
      </x:c>
      <x:c r="N2537" s="25" t="str">
        <x:f>IF(J2537&gt;=6,"Sí","No")</x:f>
        <x:v>No</x:v>
      </x:c>
      <x:c r="O2537" s="25" t="str">
        <x:v>Pendiente: asignar con R/sf</x:v>
      </x:c>
    </x:row>
    <x:row r="2538">
      <x:c r="A2538" s="25" t="n">
        <x:v>2537</x:v>
      </x:c>
      <x:c r="B2538" s="26" t="n">
        <x:v>42382.51435185185</x:v>
      </x:c>
      <x:c r="C2538" s="27" t="n">
        <x:f>INT(B2538)</x:f>
        <x:v>42382</x:v>
      </x:c>
      <x:c r="D2538" s="28" t="n">
        <x:f>MOD(B2538,1)</x:f>
        <x:v>0.5143518518525525</x:v>
      </x:c>
      <x:c r="E2538" s="29" t="n">
        <x:f>YEAR(B2538)</x:f>
        <x:v>2016</x:v>
      </x:c>
      <x:c r="F2538" s="29" t="n">
        <x:f>MONTH(B2538)</x:f>
        <x:v>1</x:v>
      </x:c>
      <x:c r="G2538" s="30" t="n">
        <x:v>-19.28</x:v>
      </x:c>
      <x:c r="H2538" s="30" t="n">
        <x:v>-70.13</x:v>
      </x:c>
      <x:c r="I2538" s="29" t="n">
        <x:v>53</x:v>
      </x:c>
      <x:c r="J2538" s="31" t="n">
        <x:v>4.8</x:v>
      </x:c>
      <x:c r="K2538" s="25" t="str">
        <x:f>IF(J2538&gt;=7,"Muy fuerte (&gt;=7)",IF(J2538&gt;=6,"Fuerte (6-6.9)",IF(J2538&gt;=5,"Moderado alto (5-5.9)",IF(J2538&gt;=4,"Moderado (4-4.9)","Menor a 4"))))</x:f>
        <x:v>Moderado (4-4.9)</x:v>
      </x:c>
      <x:c r="L2538" s="25" t="str">
        <x:f>IF(I2538&lt;70,"Superficial (&lt;70 km)",IF(I2538&lt;=300,"Intermedio (70-300 km)","Profundo (&gt;300 km)"))</x:f>
        <x:v>Superficial (&lt;70 km)</x:v>
      </x:c>
      <x:c r="M2538" s="25" t="str">
        <x:f>IF(J2538&gt;=5,"Sí","No")</x:f>
        <x:v>No</x:v>
      </x:c>
      <x:c r="N2538" s="25" t="str">
        <x:f>IF(J2538&gt;=6,"Sí","No")</x:f>
        <x:v>No</x:v>
      </x:c>
      <x:c r="O2538" s="25" t="str">
        <x:v>Pendiente: asignar con R/sf</x:v>
      </x:c>
    </x:row>
    <x:row r="2539">
      <x:c r="A2539" s="25" t="n">
        <x:v>2538</x:v>
      </x:c>
      <x:c r="B2539" s="26" t="n">
        <x:v>42420.294120370374</x:v>
      </x:c>
      <x:c r="C2539" s="27" t="n">
        <x:f>INT(B2539)</x:f>
        <x:v>42420</x:v>
      </x:c>
      <x:c r="D2539" s="28" t="n">
        <x:f>MOD(B2539,1)</x:f>
        <x:v>0.29412037037400296</x:v>
      </x:c>
      <x:c r="E2539" s="29" t="n">
        <x:f>YEAR(B2539)</x:f>
        <x:v>2016</x:v>
      </x:c>
      <x:c r="F2539" s="29" t="n">
        <x:f>MONTH(B2539)</x:f>
        <x:v>2</x:v>
      </x:c>
      <x:c r="G2539" s="30" t="n">
        <x:v>-18.96</x:v>
      </x:c>
      <x:c r="H2539" s="30" t="n">
        <x:v>-70.18</x:v>
      </x:c>
      <x:c r="I2539" s="29" t="n">
        <x:v>72</x:v>
      </x:c>
      <x:c r="J2539" s="31" t="n">
        <x:v>4.2</x:v>
      </x:c>
      <x:c r="K2539" s="25" t="str">
        <x:f>IF(J2539&gt;=7,"Muy fuerte (&gt;=7)",IF(J2539&gt;=6,"Fuerte (6-6.9)",IF(J2539&gt;=5,"Moderado alto (5-5.9)",IF(J2539&gt;=4,"Moderado (4-4.9)","Menor a 4"))))</x:f>
        <x:v>Moderado (4-4.9)</x:v>
      </x:c>
      <x:c r="L2539" s="25" t="str">
        <x:f>IF(I2539&lt;70,"Superficial (&lt;70 km)",IF(I2539&lt;=300,"Intermedio (70-300 km)","Profundo (&gt;300 km)"))</x:f>
        <x:v>Intermedio (70-300 km)</x:v>
      </x:c>
      <x:c r="M2539" s="25" t="str">
        <x:f>IF(J2539&gt;=5,"Sí","No")</x:f>
        <x:v>No</x:v>
      </x:c>
      <x:c r="N2539" s="25" t="str">
        <x:f>IF(J2539&gt;=6,"Sí","No")</x:f>
        <x:v>No</x:v>
      </x:c>
      <x:c r="O2539" s="25" t="str">
        <x:v>Pendiente: asignar con R/sf</x:v>
      </x:c>
    </x:row>
    <x:row r="2540">
      <x:c r="A2540" s="25" t="n">
        <x:v>2539</x:v>
      </x:c>
      <x:c r="B2540" s="26" t="n">
        <x:v>42620.83568287037</x:v>
      </x:c>
      <x:c r="C2540" s="27" t="n">
        <x:f>INT(B2540)</x:f>
        <x:v>42620</x:v>
      </x:c>
      <x:c r="D2540" s="28" t="n">
        <x:f>MOD(B2540,1)</x:f>
        <x:v>0.8356828703690553</x:v>
      </x:c>
      <x:c r="E2540" s="29" t="n">
        <x:f>YEAR(B2540)</x:f>
        <x:v>2016</x:v>
      </x:c>
      <x:c r="F2540" s="29" t="n">
        <x:f>MONTH(B2540)</x:f>
        <x:v>9</x:v>
      </x:c>
      <x:c r="G2540" s="30" t="n">
        <x:v>-20.05</x:v>
      </x:c>
      <x:c r="H2540" s="30" t="n">
        <x:v>-69.09</x:v>
      </x:c>
      <x:c r="I2540" s="29" t="n">
        <x:v>113</x:v>
      </x:c>
      <x:c r="J2540" s="31" t="n">
        <x:v>5.3</x:v>
      </x:c>
      <x:c r="K2540" s="25" t="str">
        <x:f>IF(J2540&gt;=7,"Muy fuerte (&gt;=7)",IF(J2540&gt;=6,"Fuerte (6-6.9)",IF(J2540&gt;=5,"Moderado alto (5-5.9)",IF(J2540&gt;=4,"Moderado (4-4.9)","Menor a 4"))))</x:f>
        <x:v>Moderado alto (5-5.9)</x:v>
      </x:c>
      <x:c r="L2540" s="25" t="str">
        <x:f>IF(I2540&lt;70,"Superficial (&lt;70 km)",IF(I2540&lt;=300,"Intermedio (70-300 km)","Profundo (&gt;300 km)"))</x:f>
        <x:v>Intermedio (70-300 km)</x:v>
      </x:c>
      <x:c r="M2540" s="25" t="str">
        <x:f>IF(J2540&gt;=5,"Sí","No")</x:f>
        <x:v>Sí</x:v>
      </x:c>
      <x:c r="N2540" s="25" t="str">
        <x:f>IF(J2540&gt;=6,"Sí","No")</x:f>
        <x:v>No</x:v>
      </x:c>
      <x:c r="O2540" s="25" t="str">
        <x:v>Pendiente: asignar con R/sf</x:v>
      </x:c>
    </x:row>
    <x:row r="2541">
      <x:c r="A2541" s="25" t="n">
        <x:v>2540</x:v>
      </x:c>
      <x:c r="B2541" s="26" t="n">
        <x:v>42497.30719907407</x:v>
      </x:c>
      <x:c r="C2541" s="27" t="n">
        <x:f>INT(B2541)</x:f>
        <x:v>42497</x:v>
      </x:c>
      <x:c r="D2541" s="28" t="n">
        <x:f>MOD(B2541,1)</x:f>
        <x:v>0.307199074071832</x:v>
      </x:c>
      <x:c r="E2541" s="29" t="n">
        <x:f>YEAR(B2541)</x:f>
        <x:v>2016</x:v>
      </x:c>
      <x:c r="F2541" s="29" t="n">
        <x:f>MONTH(B2541)</x:f>
        <x:v>5</x:v>
      </x:c>
      <x:c r="G2541" s="30" t="n">
        <x:v>-33.93</x:v>
      </x:c>
      <x:c r="H2541" s="30" t="n">
        <x:v>-71.48</x:v>
      </x:c>
      <x:c r="I2541" s="29" t="n">
        <x:v>52</x:v>
      </x:c>
      <x:c r="J2541" s="31" t="n">
        <x:v>4.2</x:v>
      </x:c>
      <x:c r="K2541" s="25" t="str">
        <x:f>IF(J2541&gt;=7,"Muy fuerte (&gt;=7)",IF(J2541&gt;=6,"Fuerte (6-6.9)",IF(J2541&gt;=5,"Moderado alto (5-5.9)",IF(J2541&gt;=4,"Moderado (4-4.9)","Menor a 4"))))</x:f>
        <x:v>Moderado (4-4.9)</x:v>
      </x:c>
      <x:c r="L2541" s="25" t="str">
        <x:f>IF(I2541&lt;70,"Superficial (&lt;70 km)",IF(I2541&lt;=300,"Intermedio (70-300 km)","Profundo (&gt;300 km)"))</x:f>
        <x:v>Superficial (&lt;70 km)</x:v>
      </x:c>
      <x:c r="M2541" s="25" t="str">
        <x:f>IF(J2541&gt;=5,"Sí","No")</x:f>
        <x:v>No</x:v>
      </x:c>
      <x:c r="N2541" s="25" t="str">
        <x:f>IF(J2541&gt;=6,"Sí","No")</x:f>
        <x:v>No</x:v>
      </x:c>
      <x:c r="O2541" s="25" t="str">
        <x:v>Pendiente: asignar con R/sf</x:v>
      </x:c>
    </x:row>
    <x:row r="2542">
      <x:c r="A2542" s="25" t="n">
        <x:v>2541</x:v>
      </x:c>
      <x:c r="B2542" s="26" t="n">
        <x:v>42628.651296296295</x:v>
      </x:c>
      <x:c r="C2542" s="27" t="n">
        <x:f>INT(B2542)</x:f>
        <x:v>42628</x:v>
      </x:c>
      <x:c r="D2542" s="28" t="n">
        <x:f>MOD(B2542,1)</x:f>
        <x:v>0.651296296295186</x:v>
      </x:c>
      <x:c r="E2542" s="29" t="n">
        <x:f>YEAR(B2542)</x:f>
        <x:v>2016</x:v>
      </x:c>
      <x:c r="F2542" s="29" t="n">
        <x:f>MONTH(B2542)</x:f>
        <x:v>9</x:v>
      </x:c>
      <x:c r="G2542" s="30" t="n">
        <x:v>-20.36</x:v>
      </x:c>
      <x:c r="H2542" s="30" t="n">
        <x:v>-69.54</x:v>
      </x:c>
      <x:c r="I2542" s="29" t="n">
        <x:v>72</x:v>
      </x:c>
      <x:c r="J2542" s="31" t="n">
        <x:v>4.4</x:v>
      </x:c>
      <x:c r="K2542" s="25" t="str">
        <x:f>IF(J2542&gt;=7,"Muy fuerte (&gt;=7)",IF(J2542&gt;=6,"Fuerte (6-6.9)",IF(J2542&gt;=5,"Moderado alto (5-5.9)",IF(J2542&gt;=4,"Moderado (4-4.9)","Menor a 4"))))</x:f>
        <x:v>Moderado (4-4.9)</x:v>
      </x:c>
      <x:c r="L2542" s="25" t="str">
        <x:f>IF(I2542&lt;70,"Superficial (&lt;70 km)",IF(I2542&lt;=300,"Intermedio (70-300 km)","Profundo (&gt;300 km)"))</x:f>
        <x:v>Intermedio (70-300 km)</x:v>
      </x:c>
      <x:c r="M2542" s="25" t="str">
        <x:f>IF(J2542&gt;=5,"Sí","No")</x:f>
        <x:v>No</x:v>
      </x:c>
      <x:c r="N2542" s="25" t="str">
        <x:f>IF(J2542&gt;=6,"Sí","No")</x:f>
        <x:v>No</x:v>
      </x:c>
      <x:c r="O2542" s="25" t="str">
        <x:v>Pendiente: asignar con R/sf</x:v>
      </x:c>
    </x:row>
    <x:row r="2543">
      <x:c r="A2543" s="25" t="n">
        <x:v>2542</x:v>
      </x:c>
      <x:c r="B2543" s="26" t="n">
        <x:v>42424.70976851852</x:v>
      </x:c>
      <x:c r="C2543" s="27" t="n">
        <x:f>INT(B2543)</x:f>
        <x:v>42424</x:v>
      </x:c>
      <x:c r="D2543" s="28" t="n">
        <x:f>MOD(B2543,1)</x:f>
        <x:v>0.7097685185217415</x:v>
      </x:c>
      <x:c r="E2543" s="29" t="n">
        <x:f>YEAR(B2543)</x:f>
        <x:v>2016</x:v>
      </x:c>
      <x:c r="F2543" s="29" t="n">
        <x:f>MONTH(B2543)</x:f>
        <x:v>2</x:v>
      </x:c>
      <x:c r="G2543" s="30" t="n">
        <x:v>-29.96</x:v>
      </x:c>
      <x:c r="H2543" s="30" t="n">
        <x:v>-71.66</x:v>
      </x:c>
      <x:c r="I2543" s="29" t="n">
        <x:v>39</x:v>
      </x:c>
      <x:c r="J2543" s="31" t="n">
        <x:v>4.7</x:v>
      </x:c>
      <x:c r="K2543" s="25" t="str">
        <x:f>IF(J2543&gt;=7,"Muy fuerte (&gt;=7)",IF(J2543&gt;=6,"Fuerte (6-6.9)",IF(J2543&gt;=5,"Moderado alto (5-5.9)",IF(J2543&gt;=4,"Moderado (4-4.9)","Menor a 4"))))</x:f>
        <x:v>Moderado (4-4.9)</x:v>
      </x:c>
      <x:c r="L2543" s="25" t="str">
        <x:f>IF(I2543&lt;70,"Superficial (&lt;70 km)",IF(I2543&lt;=300,"Intermedio (70-300 km)","Profundo (&gt;300 km)"))</x:f>
        <x:v>Superficial (&lt;70 km)</x:v>
      </x:c>
      <x:c r="M2543" s="25" t="str">
        <x:f>IF(J2543&gt;=5,"Sí","No")</x:f>
        <x:v>No</x:v>
      </x:c>
      <x:c r="N2543" s="25" t="str">
        <x:f>IF(J2543&gt;=6,"Sí","No")</x:f>
        <x:v>No</x:v>
      </x:c>
      <x:c r="O2543" s="25" t="str">
        <x:v>Pendiente: asignar con R/sf</x:v>
      </x:c>
    </x:row>
    <x:row r="2544">
      <x:c r="A2544" s="25" t="n">
        <x:v>2543</x:v>
      </x:c>
      <x:c r="B2544" s="26" t="n">
        <x:v>42716.29048611111</x:v>
      </x:c>
      <x:c r="C2544" s="27" t="n">
        <x:f>INT(B2544)</x:f>
        <x:v>42716</x:v>
      </x:c>
      <x:c r="D2544" s="28" t="n">
        <x:f>MOD(B2544,1)</x:f>
        <x:v>0.2904861111092032</x:v>
      </x:c>
      <x:c r="E2544" s="29" t="n">
        <x:f>YEAR(B2544)</x:f>
        <x:v>2016</x:v>
      </x:c>
      <x:c r="F2544" s="29" t="n">
        <x:f>MONTH(B2544)</x:f>
        <x:v>12</x:v>
      </x:c>
      <x:c r="G2544" s="30" t="n">
        <x:v>-29.76</x:v>
      </x:c>
      <x:c r="H2544" s="30" t="n">
        <x:v>-71.31</x:v>
      </x:c>
      <x:c r="I2544" s="29" t="n">
        <x:v>51</x:v>
      </x:c>
      <x:c r="J2544" s="31" t="n">
        <x:v>4.3</x:v>
      </x:c>
      <x:c r="K2544" s="25" t="str">
        <x:f>IF(J2544&gt;=7,"Muy fuerte (&gt;=7)",IF(J2544&gt;=6,"Fuerte (6-6.9)",IF(J2544&gt;=5,"Moderado alto (5-5.9)",IF(J2544&gt;=4,"Moderado (4-4.9)","Menor a 4"))))</x:f>
        <x:v>Moderado (4-4.9)</x:v>
      </x:c>
      <x:c r="L2544" s="25" t="str">
        <x:f>IF(I2544&lt;70,"Superficial (&lt;70 km)",IF(I2544&lt;=300,"Intermedio (70-300 km)","Profundo (&gt;300 km)"))</x:f>
        <x:v>Superficial (&lt;70 km)</x:v>
      </x:c>
      <x:c r="M2544" s="25" t="str">
        <x:f>IF(J2544&gt;=5,"Sí","No")</x:f>
        <x:v>No</x:v>
      </x:c>
      <x:c r="N2544" s="25" t="str">
        <x:f>IF(J2544&gt;=6,"Sí","No")</x:f>
        <x:v>No</x:v>
      </x:c>
      <x:c r="O2544" s="25" t="str">
        <x:v>Pendiente: asignar con R/sf</x:v>
      </x:c>
    </x:row>
    <x:row r="2545">
      <x:c r="A2545" s="25" t="n">
        <x:v>2544</x:v>
      </x:c>
      <x:c r="B2545" s="26" t="n">
        <x:v>42539.72900462963</x:v>
      </x:c>
      <x:c r="C2545" s="27" t="n">
        <x:f>INT(B2545)</x:f>
        <x:v>42539</x:v>
      </x:c>
      <x:c r="D2545" s="28" t="n">
        <x:f>MOD(B2545,1)</x:f>
        <x:v>0.729004629632982</x:v>
      </x:c>
      <x:c r="E2545" s="29" t="n">
        <x:f>YEAR(B2545)</x:f>
        <x:v>2016</x:v>
      </x:c>
      <x:c r="F2545" s="29" t="n">
        <x:f>MONTH(B2545)</x:f>
        <x:v>6</x:v>
      </x:c>
      <x:c r="G2545" s="30" t="n">
        <x:v>-24.19</x:v>
      </x:c>
      <x:c r="H2545" s="30" t="n">
        <x:v>-67.5</x:v>
      </x:c>
      <x:c r="I2545" s="29" t="n">
        <x:v>199</x:v>
      </x:c>
      <x:c r="J2545" s="31" t="n">
        <x:v>6</x:v>
      </x:c>
      <x:c r="K2545" s="25" t="str">
        <x:f>IF(J2545&gt;=7,"Muy fuerte (&gt;=7)",IF(J2545&gt;=6,"Fuerte (6-6.9)",IF(J2545&gt;=5,"Moderado alto (5-5.9)",IF(J2545&gt;=4,"Moderado (4-4.9)","Menor a 4"))))</x:f>
        <x:v>Fuerte (6-6.9)</x:v>
      </x:c>
      <x:c r="L2545" s="25" t="str">
        <x:f>IF(I2545&lt;70,"Superficial (&lt;70 km)",IF(I2545&lt;=300,"Intermedio (70-300 km)","Profundo (&gt;300 km)"))</x:f>
        <x:v>Intermedio (70-300 km)</x:v>
      </x:c>
      <x:c r="M2545" s="25" t="str">
        <x:f>IF(J2545&gt;=5,"Sí","No")</x:f>
        <x:v>Sí</x:v>
      </x:c>
      <x:c r="N2545" s="25" t="str">
        <x:f>IF(J2545&gt;=6,"Sí","No")</x:f>
        <x:v>Sí</x:v>
      </x:c>
      <x:c r="O2545" s="25" t="str">
        <x:v>Pendiente: asignar con R/sf</x:v>
      </x:c>
    </x:row>
    <x:row r="2546">
      <x:c r="A2546" s="25" t="n">
        <x:v>2545</x:v>
      </x:c>
      <x:c r="B2546" s="26" t="n">
        <x:v>42432.78542824074</x:v>
      </x:c>
      <x:c r="C2546" s="27" t="n">
        <x:f>INT(B2546)</x:f>
        <x:v>42432</x:v>
      </x:c>
      <x:c r="D2546" s="28" t="n">
        <x:f>MOD(B2546,1)</x:f>
        <x:v>0.7854282407424762</x:v>
      </x:c>
      <x:c r="E2546" s="29" t="n">
        <x:f>YEAR(B2546)</x:f>
        <x:v>2016</x:v>
      </x:c>
      <x:c r="F2546" s="29" t="n">
        <x:f>MONTH(B2546)</x:f>
        <x:v>3</x:v>
      </x:c>
      <x:c r="G2546" s="30" t="n">
        <x:v>-19.14</x:v>
      </x:c>
      <x:c r="H2546" s="30" t="n">
        <x:v>-69.27</x:v>
      </x:c>
      <x:c r="I2546" s="29" t="n">
        <x:v>112</x:v>
      </x:c>
      <x:c r="J2546" s="31" t="n">
        <x:v>4.7</x:v>
      </x:c>
      <x:c r="K2546" s="25" t="str">
        <x:f>IF(J2546&gt;=7,"Muy fuerte (&gt;=7)",IF(J2546&gt;=6,"Fuerte (6-6.9)",IF(J2546&gt;=5,"Moderado alto (5-5.9)",IF(J2546&gt;=4,"Moderado (4-4.9)","Menor a 4"))))</x:f>
        <x:v>Moderado (4-4.9)</x:v>
      </x:c>
      <x:c r="L2546" s="25" t="str">
        <x:f>IF(I2546&lt;70,"Superficial (&lt;70 km)",IF(I2546&lt;=300,"Intermedio (70-300 km)","Profundo (&gt;300 km)"))</x:f>
        <x:v>Intermedio (70-300 km)</x:v>
      </x:c>
      <x:c r="M2546" s="25" t="str">
        <x:f>IF(J2546&gt;=5,"Sí","No")</x:f>
        <x:v>No</x:v>
      </x:c>
      <x:c r="N2546" s="25" t="str">
        <x:f>IF(J2546&gt;=6,"Sí","No")</x:f>
        <x:v>No</x:v>
      </x:c>
      <x:c r="O2546" s="25" t="str">
        <x:v>Pendiente: asignar con R/sf</x:v>
      </x:c>
    </x:row>
    <x:row r="2547">
      <x:c r="A2547" s="25" t="n">
        <x:v>2546</x:v>
      </x:c>
      <x:c r="B2547" s="26" t="n">
        <x:v>42432.574479166666</x:v>
      </x:c>
      <x:c r="C2547" s="27" t="n">
        <x:f>INT(B2547)</x:f>
        <x:v>42432</x:v>
      </x:c>
      <x:c r="D2547" s="28" t="n">
        <x:f>MOD(B2547,1)</x:f>
        <x:v>0.5744791666656965</x:v>
      </x:c>
      <x:c r="E2547" s="29" t="n">
        <x:f>YEAR(B2547)</x:f>
        <x:v>2016</x:v>
      </x:c>
      <x:c r="F2547" s="29" t="n">
        <x:f>MONTH(B2547)</x:f>
        <x:v>3</x:v>
      </x:c>
      <x:c r="G2547" s="30" t="n">
        <x:v>-30.16</x:v>
      </x:c>
      <x:c r="H2547" s="30" t="n">
        <x:v>-71.44</x:v>
      </x:c>
      <x:c r="I2547" s="29" t="n">
        <x:v>32</x:v>
      </x:c>
      <x:c r="J2547" s="31" t="n">
        <x:v>4.3</x:v>
      </x:c>
      <x:c r="K2547" s="25" t="str">
        <x:f>IF(J2547&gt;=7,"Muy fuerte (&gt;=7)",IF(J2547&gt;=6,"Fuerte (6-6.9)",IF(J2547&gt;=5,"Moderado alto (5-5.9)",IF(J2547&gt;=4,"Moderado (4-4.9)","Menor a 4"))))</x:f>
        <x:v>Moderado (4-4.9)</x:v>
      </x:c>
      <x:c r="L2547" s="25" t="str">
        <x:f>IF(I2547&lt;70,"Superficial (&lt;70 km)",IF(I2547&lt;=300,"Intermedio (70-300 km)","Profundo (&gt;300 km)"))</x:f>
        <x:v>Superficial (&lt;70 km)</x:v>
      </x:c>
      <x:c r="M2547" s="25" t="str">
        <x:f>IF(J2547&gt;=5,"Sí","No")</x:f>
        <x:v>No</x:v>
      </x:c>
      <x:c r="N2547" s="25" t="str">
        <x:f>IF(J2547&gt;=6,"Sí","No")</x:f>
        <x:v>No</x:v>
      </x:c>
      <x:c r="O2547" s="25" t="str">
        <x:v>Pendiente: asignar con R/sf</x:v>
      </x:c>
    </x:row>
    <x:row r="2548">
      <x:c r="A2548" s="25" t="n">
        <x:v>2547</x:v>
      </x:c>
      <x:c r="B2548" s="26" t="n">
        <x:v>42563.09961805555</x:v>
      </x:c>
      <x:c r="C2548" s="27" t="n">
        <x:f>INT(B2548)</x:f>
        <x:v>42563</x:v>
      </x:c>
      <x:c r="D2548" s="28" t="n">
        <x:f>MOD(B2548,1)</x:f>
        <x:v>0.09961805555212777</x:v>
      </x:c>
      <x:c r="E2548" s="29" t="n">
        <x:f>YEAR(B2548)</x:f>
        <x:v>2016</x:v>
      </x:c>
      <x:c r="F2548" s="29" t="n">
        <x:f>MONTH(B2548)</x:f>
        <x:v>7</x:v>
      </x:c>
      <x:c r="G2548" s="30" t="n">
        <x:v>-42.2</x:v>
      </x:c>
      <x:c r="H2548" s="30" t="n">
        <x:v>-73.38</x:v>
      </x:c>
      <x:c r="I2548" s="29" t="n">
        <x:v>40</x:v>
      </x:c>
      <x:c r="J2548" s="31" t="n">
        <x:v>4.5</x:v>
      </x:c>
      <x:c r="K2548" s="25" t="str">
        <x:f>IF(J2548&gt;=7,"Muy fuerte (&gt;=7)",IF(J2548&gt;=6,"Fuerte (6-6.9)",IF(J2548&gt;=5,"Moderado alto (5-5.9)",IF(J2548&gt;=4,"Moderado (4-4.9)","Menor a 4"))))</x:f>
        <x:v>Moderado (4-4.9)</x:v>
      </x:c>
      <x:c r="L2548" s="25" t="str">
        <x:f>IF(I2548&lt;70,"Superficial (&lt;70 km)",IF(I2548&lt;=300,"Intermedio (70-300 km)","Profundo (&gt;300 km)"))</x:f>
        <x:v>Superficial (&lt;70 km)</x:v>
      </x:c>
      <x:c r="M2548" s="25" t="str">
        <x:f>IF(J2548&gt;=5,"Sí","No")</x:f>
        <x:v>No</x:v>
      </x:c>
      <x:c r="N2548" s="25" t="str">
        <x:f>IF(J2548&gt;=6,"Sí","No")</x:f>
        <x:v>No</x:v>
      </x:c>
      <x:c r="O2548" s="25" t="str">
        <x:v>Pendiente: asignar con R/sf</x:v>
      </x:c>
    </x:row>
    <x:row r="2549">
      <x:c r="A2549" s="25" t="n">
        <x:v>2548</x:v>
      </x:c>
      <x:c r="B2549" s="26" t="n">
        <x:v>42621.106990740744</x:v>
      </x:c>
      <x:c r="C2549" s="27" t="n">
        <x:f>INT(B2549)</x:f>
        <x:v>42621</x:v>
      </x:c>
      <x:c r="D2549" s="28" t="n">
        <x:f>MOD(B2549,1)</x:f>
        <x:v>0.10699074074364034</x:v>
      </x:c>
      <x:c r="E2549" s="29" t="n">
        <x:f>YEAR(B2549)</x:f>
        <x:v>2016</x:v>
      </x:c>
      <x:c r="F2549" s="29" t="n">
        <x:f>MONTH(B2549)</x:f>
        <x:v>9</x:v>
      </x:c>
      <x:c r="G2549" s="30" t="n">
        <x:v>-21.8</x:v>
      </x:c>
      <x:c r="H2549" s="30" t="n">
        <x:v>-68.62</x:v>
      </x:c>
      <x:c r="I2549" s="29" t="n">
        <x:v>121</x:v>
      </x:c>
      <x:c r="J2549" s="31" t="n">
        <x:v>5</x:v>
      </x:c>
      <x:c r="K2549" s="25" t="str">
        <x:f>IF(J2549&gt;=7,"Muy fuerte (&gt;=7)",IF(J2549&gt;=6,"Fuerte (6-6.9)",IF(J2549&gt;=5,"Moderado alto (5-5.9)",IF(J2549&gt;=4,"Moderado (4-4.9)","Menor a 4"))))</x:f>
        <x:v>Moderado alto (5-5.9)</x:v>
      </x:c>
      <x:c r="L2549" s="25" t="str">
        <x:f>IF(I2549&lt;70,"Superficial (&lt;70 km)",IF(I2549&lt;=300,"Intermedio (70-300 km)","Profundo (&gt;300 km)"))</x:f>
        <x:v>Intermedio (70-300 km)</x:v>
      </x:c>
      <x:c r="M2549" s="25" t="str">
        <x:f>IF(J2549&gt;=5,"Sí","No")</x:f>
        <x:v>Sí</x:v>
      </x:c>
      <x:c r="N2549" s="25" t="str">
        <x:f>IF(J2549&gt;=6,"Sí","No")</x:f>
        <x:v>No</x:v>
      </x:c>
      <x:c r="O2549" s="25" t="str">
        <x:v>Pendiente: asignar con R/sf</x:v>
      </x:c>
    </x:row>
    <x:row r="2550">
      <x:c r="A2550" s="25" t="n">
        <x:v>2549</x:v>
      </x:c>
      <x:c r="B2550" s="26" t="n">
        <x:v>42557.9975462963</x:v>
      </x:c>
      <x:c r="C2550" s="27" t="n">
        <x:f>INT(B2550)</x:f>
        <x:v>42557</x:v>
      </x:c>
      <x:c r="D2550" s="28" t="n">
        <x:f>MOD(B2550,1)</x:f>
        <x:v>0.9975462962975143</x:v>
      </x:c>
      <x:c r="E2550" s="29" t="n">
        <x:f>YEAR(B2550)</x:f>
        <x:v>2016</x:v>
      </x:c>
      <x:c r="F2550" s="29" t="n">
        <x:f>MONTH(B2550)</x:f>
        <x:v>7</x:v>
      </x:c>
      <x:c r="G2550" s="30" t="n">
        <x:v>-30.38</x:v>
      </x:c>
      <x:c r="H2550" s="30" t="n">
        <x:v>-71.38</x:v>
      </x:c>
      <x:c r="I2550" s="29" t="n">
        <x:v>49</x:v>
      </x:c>
      <x:c r="J2550" s="31" t="n">
        <x:v>4.3</x:v>
      </x:c>
      <x:c r="K2550" s="25" t="str">
        <x:f>IF(J2550&gt;=7,"Muy fuerte (&gt;=7)",IF(J2550&gt;=6,"Fuerte (6-6.9)",IF(J2550&gt;=5,"Moderado alto (5-5.9)",IF(J2550&gt;=4,"Moderado (4-4.9)","Menor a 4"))))</x:f>
        <x:v>Moderado (4-4.9)</x:v>
      </x:c>
      <x:c r="L2550" s="25" t="str">
        <x:f>IF(I2550&lt;70,"Superficial (&lt;70 km)",IF(I2550&lt;=300,"Intermedio (70-300 km)","Profundo (&gt;300 km)"))</x:f>
        <x:v>Superficial (&lt;70 km)</x:v>
      </x:c>
      <x:c r="M2550" s="25" t="str">
        <x:f>IF(J2550&gt;=5,"Sí","No")</x:f>
        <x:v>No</x:v>
      </x:c>
      <x:c r="N2550" s="25" t="str">
        <x:f>IF(J2550&gt;=6,"Sí","No")</x:f>
        <x:v>No</x:v>
      </x:c>
      <x:c r="O2550" s="25" t="str">
        <x:v>Pendiente: asignar con R/sf</x:v>
      </x:c>
    </x:row>
    <x:row r="2551">
      <x:c r="A2551" s="25" t="n">
        <x:v>2550</x:v>
      </x:c>
      <x:c r="B2551" s="26" t="n">
        <x:v>42440.15658564815</x:v>
      </x:c>
      <x:c r="C2551" s="27" t="n">
        <x:f>INT(B2551)</x:f>
        <x:v>42440</x:v>
      </x:c>
      <x:c r="D2551" s="28" t="n">
        <x:f>MOD(B2551,1)</x:f>
        <x:v>0.15658564814657439</x:v>
      </x:c>
      <x:c r="E2551" s="29" t="n">
        <x:f>YEAR(B2551)</x:f>
        <x:v>2016</x:v>
      </x:c>
      <x:c r="F2551" s="29" t="n">
        <x:f>MONTH(B2551)</x:f>
        <x:v>3</x:v>
      </x:c>
      <x:c r="G2551" s="30" t="n">
        <x:v>-25.84</x:v>
      </x:c>
      <x:c r="H2551" s="30" t="n">
        <x:v>-70.27</x:v>
      </x:c>
      <x:c r="I2551" s="29" t="n">
        <x:v>66</x:v>
      </x:c>
      <x:c r="J2551" s="31" t="n">
        <x:v>4.2</x:v>
      </x:c>
      <x:c r="K2551" s="25" t="str">
        <x:f>IF(J2551&gt;=7,"Muy fuerte (&gt;=7)",IF(J2551&gt;=6,"Fuerte (6-6.9)",IF(J2551&gt;=5,"Moderado alto (5-5.9)",IF(J2551&gt;=4,"Moderado (4-4.9)","Menor a 4"))))</x:f>
        <x:v>Moderado (4-4.9)</x:v>
      </x:c>
      <x:c r="L2551" s="25" t="str">
        <x:f>IF(I2551&lt;70,"Superficial (&lt;70 km)",IF(I2551&lt;=300,"Intermedio (70-300 km)","Profundo (&gt;300 km)"))</x:f>
        <x:v>Superficial (&lt;70 km)</x:v>
      </x:c>
      <x:c r="M2551" s="25" t="str">
        <x:f>IF(J2551&gt;=5,"Sí","No")</x:f>
        <x:v>No</x:v>
      </x:c>
      <x:c r="N2551" s="25" t="str">
        <x:f>IF(J2551&gt;=6,"Sí","No")</x:f>
        <x:v>No</x:v>
      </x:c>
      <x:c r="O2551" s="25" t="str">
        <x:v>Pendiente: asignar con R/sf</x:v>
      </x:c>
    </x:row>
    <x:row r="2552">
      <x:c r="A2552" s="25" t="n">
        <x:v>2551</x:v>
      </x:c>
      <x:c r="B2552" s="26" t="n">
        <x:v>42528.79288194444</x:v>
      </x:c>
      <x:c r="C2552" s="27" t="n">
        <x:f>INT(B2552)</x:f>
        <x:v>42528</x:v>
      </x:c>
      <x:c r="D2552" s="28" t="n">
        <x:f>MOD(B2552,1)</x:f>
        <x:v>0.7928819444423425</x:v>
      </x:c>
      <x:c r="E2552" s="29" t="n">
        <x:f>YEAR(B2552)</x:f>
        <x:v>2016</x:v>
      </x:c>
      <x:c r="F2552" s="29" t="n">
        <x:f>MONTH(B2552)</x:f>
        <x:v>6</x:v>
      </x:c>
      <x:c r="G2552" s="30" t="n">
        <x:v>-25.87</x:v>
      </x:c>
      <x:c r="H2552" s="30" t="n">
        <x:v>-69.49</x:v>
      </x:c>
      <x:c r="I2552" s="29" t="n">
        <x:v>84</x:v>
      </x:c>
      <x:c r="J2552" s="31" t="n">
        <x:v>4.1</x:v>
      </x:c>
      <x:c r="K2552" s="25" t="str">
        <x:f>IF(J2552&gt;=7,"Muy fuerte (&gt;=7)",IF(J2552&gt;=6,"Fuerte (6-6.9)",IF(J2552&gt;=5,"Moderado alto (5-5.9)",IF(J2552&gt;=4,"Moderado (4-4.9)","Menor a 4"))))</x:f>
        <x:v>Moderado (4-4.9)</x:v>
      </x:c>
      <x:c r="L2552" s="25" t="str">
        <x:f>IF(I2552&lt;70,"Superficial (&lt;70 km)",IF(I2552&lt;=300,"Intermedio (70-300 km)","Profundo (&gt;300 km)"))</x:f>
        <x:v>Intermedio (70-300 km)</x:v>
      </x:c>
      <x:c r="M2552" s="25" t="str">
        <x:f>IF(J2552&gt;=5,"Sí","No")</x:f>
        <x:v>No</x:v>
      </x:c>
      <x:c r="N2552" s="25" t="str">
        <x:f>IF(J2552&gt;=6,"Sí","No")</x:f>
        <x:v>No</x:v>
      </x:c>
      <x:c r="O2552" s="25" t="str">
        <x:v>Pendiente: asignar con R/sf</x:v>
      </x:c>
    </x:row>
    <x:row r="2553">
      <x:c r="A2553" s="25" t="n">
        <x:v>2552</x:v>
      </x:c>
      <x:c r="B2553" s="26" t="n">
        <x:v>42501.749756944446</x:v>
      </x:c>
      <x:c r="C2553" s="27" t="n">
        <x:f>INT(B2553)</x:f>
        <x:v>42501</x:v>
      </x:c>
      <x:c r="D2553" s="28" t="n">
        <x:f>MOD(B2553,1)</x:f>
        <x:v>0.749756944445835</x:v>
      </x:c>
      <x:c r="E2553" s="29" t="n">
        <x:f>YEAR(B2553)</x:f>
        <x:v>2016</x:v>
      </x:c>
      <x:c r="F2553" s="29" t="n">
        <x:f>MONTH(B2553)</x:f>
        <x:v>5</x:v>
      </x:c>
      <x:c r="G2553" s="30" t="n">
        <x:v>-27.95</x:v>
      </x:c>
      <x:c r="H2553" s="30" t="n">
        <x:v>-71.13</x:v>
      </x:c>
      <x:c r="I2553" s="29" t="n">
        <x:v>29</x:v>
      </x:c>
      <x:c r="J2553" s="31" t="n">
        <x:v>4.6</x:v>
      </x:c>
      <x:c r="K2553" s="25" t="str">
        <x:f>IF(J2553&gt;=7,"Muy fuerte (&gt;=7)",IF(J2553&gt;=6,"Fuerte (6-6.9)",IF(J2553&gt;=5,"Moderado alto (5-5.9)",IF(J2553&gt;=4,"Moderado (4-4.9)","Menor a 4"))))</x:f>
        <x:v>Moderado (4-4.9)</x:v>
      </x:c>
      <x:c r="L2553" s="25" t="str">
        <x:f>IF(I2553&lt;70,"Superficial (&lt;70 km)",IF(I2553&lt;=300,"Intermedio (70-300 km)","Profundo (&gt;300 km)"))</x:f>
        <x:v>Superficial (&lt;70 km)</x:v>
      </x:c>
      <x:c r="M2553" s="25" t="str">
        <x:f>IF(J2553&gt;=5,"Sí","No")</x:f>
        <x:v>No</x:v>
      </x:c>
      <x:c r="N2553" s="25" t="str">
        <x:f>IF(J2553&gt;=6,"Sí","No")</x:f>
        <x:v>No</x:v>
      </x:c>
      <x:c r="O2553" s="25" t="str">
        <x:v>Pendiente: asignar con R/sf</x:v>
      </x:c>
    </x:row>
    <x:row r="2554">
      <x:c r="A2554" s="25" t="n">
        <x:v>2553</x:v>
      </x:c>
      <x:c r="B2554" s="26" t="n">
        <x:v>42677.530590277776</x:v>
      </x:c>
      <x:c r="C2554" s="27" t="n">
        <x:f>INT(B2554)</x:f>
        <x:v>42677</x:v>
      </x:c>
      <x:c r="D2554" s="28" t="n">
        <x:f>MOD(B2554,1)</x:f>
        <x:v>0.5305902777763549</x:v>
      </x:c>
      <x:c r="E2554" s="29" t="n">
        <x:f>YEAR(B2554)</x:f>
        <x:v>2016</x:v>
      </x:c>
      <x:c r="F2554" s="29" t="n">
        <x:f>MONTH(B2554)</x:f>
        <x:v>11</x:v>
      </x:c>
      <x:c r="G2554" s="30" t="n">
        <x:v>-19.34</x:v>
      </x:c>
      <x:c r="H2554" s="30" t="n">
        <x:v>-69.35</x:v>
      </x:c>
      <x:c r="I2554" s="29" t="n">
        <x:v>110</x:v>
      </x:c>
      <x:c r="J2554" s="31" t="n">
        <x:v>5</x:v>
      </x:c>
      <x:c r="K2554" s="25" t="str">
        <x:f>IF(J2554&gt;=7,"Muy fuerte (&gt;=7)",IF(J2554&gt;=6,"Fuerte (6-6.9)",IF(J2554&gt;=5,"Moderado alto (5-5.9)",IF(J2554&gt;=4,"Moderado (4-4.9)","Menor a 4"))))</x:f>
        <x:v>Moderado alto (5-5.9)</x:v>
      </x:c>
      <x:c r="L2554" s="25" t="str">
        <x:f>IF(I2554&lt;70,"Superficial (&lt;70 km)",IF(I2554&lt;=300,"Intermedio (70-300 km)","Profundo (&gt;300 km)"))</x:f>
        <x:v>Intermedio (70-300 km)</x:v>
      </x:c>
      <x:c r="M2554" s="25" t="str">
        <x:f>IF(J2554&gt;=5,"Sí","No")</x:f>
        <x:v>Sí</x:v>
      </x:c>
      <x:c r="N2554" s="25" t="str">
        <x:f>IF(J2554&gt;=6,"Sí","No")</x:f>
        <x:v>No</x:v>
      </x:c>
      <x:c r="O2554" s="25" t="str">
        <x:v>Pendiente: asignar con R/sf</x:v>
      </x:c>
    </x:row>
    <x:row r="2555">
      <x:c r="A2555" s="25" t="n">
        <x:v>2554</x:v>
      </x:c>
      <x:c r="B2555" s="26" t="n">
        <x:v>42616.042337962965</x:v>
      </x:c>
      <x:c r="C2555" s="27" t="n">
        <x:f>INT(B2555)</x:f>
        <x:v>42616</x:v>
      </x:c>
      <x:c r="D2555" s="28" t="n">
        <x:f>MOD(B2555,1)</x:f>
        <x:v>0.042337962964666076</x:v>
      </x:c>
      <x:c r="E2555" s="29" t="n">
        <x:f>YEAR(B2555)</x:f>
        <x:v>2016</x:v>
      </x:c>
      <x:c r="F2555" s="29" t="n">
        <x:f>MONTH(B2555)</x:f>
        <x:v>9</x:v>
      </x:c>
      <x:c r="G2555" s="30" t="n">
        <x:v>-22.13</x:v>
      </x:c>
      <x:c r="H2555" s="30" t="n">
        <x:v>-69.89</x:v>
      </x:c>
      <x:c r="I2555" s="29" t="n">
        <x:v>72</x:v>
      </x:c>
      <x:c r="J2555" s="31" t="n">
        <x:v>4.3</x:v>
      </x:c>
      <x:c r="K2555" s="25" t="str">
        <x:f>IF(J2555&gt;=7,"Muy fuerte (&gt;=7)",IF(J2555&gt;=6,"Fuerte (6-6.9)",IF(J2555&gt;=5,"Moderado alto (5-5.9)",IF(J2555&gt;=4,"Moderado (4-4.9)","Menor a 4"))))</x:f>
        <x:v>Moderado (4-4.9)</x:v>
      </x:c>
      <x:c r="L2555" s="25" t="str">
        <x:f>IF(I2555&lt;70,"Superficial (&lt;70 km)",IF(I2555&lt;=300,"Intermedio (70-300 km)","Profundo (&gt;300 km)"))</x:f>
        <x:v>Intermedio (70-300 km)</x:v>
      </x:c>
      <x:c r="M2555" s="25" t="str">
        <x:f>IF(J2555&gt;=5,"Sí","No")</x:f>
        <x:v>No</x:v>
      </x:c>
      <x:c r="N2555" s="25" t="str">
        <x:f>IF(J2555&gt;=6,"Sí","No")</x:f>
        <x:v>No</x:v>
      </x:c>
      <x:c r="O2555" s="25" t="str">
        <x:v>Pendiente: asignar con R/sf</x:v>
      </x:c>
    </x:row>
    <x:row r="2556">
      <x:c r="A2556" s="25" t="n">
        <x:v>2555</x:v>
      </x:c>
      <x:c r="B2556" s="26" t="n">
        <x:v>42410.13543981482</x:v>
      </x:c>
      <x:c r="C2556" s="27" t="n">
        <x:f>INT(B2556)</x:f>
        <x:v>42410</x:v>
      </x:c>
      <x:c r="D2556" s="28" t="n">
        <x:f>MOD(B2556,1)</x:f>
        <x:v>0.13543981481780065</x:v>
      </x:c>
      <x:c r="E2556" s="29" t="n">
        <x:f>YEAR(B2556)</x:f>
        <x:v>2016</x:v>
      </x:c>
      <x:c r="F2556" s="29" t="n">
        <x:f>MONTH(B2556)</x:f>
        <x:v>2</x:v>
      </x:c>
      <x:c r="G2556" s="30" t="n">
        <x:v>-36.85</x:v>
      </x:c>
      <x:c r="H2556" s="30" t="n">
        <x:v>-74.14</x:v>
      </x:c>
      <x:c r="I2556" s="29" t="n">
        <x:v>30</x:v>
      </x:c>
      <x:c r="J2556" s="31" t="n">
        <x:v>4.4</x:v>
      </x:c>
      <x:c r="K2556" s="25" t="str">
        <x:f>IF(J2556&gt;=7,"Muy fuerte (&gt;=7)",IF(J2556&gt;=6,"Fuerte (6-6.9)",IF(J2556&gt;=5,"Moderado alto (5-5.9)",IF(J2556&gt;=4,"Moderado (4-4.9)","Menor a 4"))))</x:f>
        <x:v>Moderado (4-4.9)</x:v>
      </x:c>
      <x:c r="L2556" s="25" t="str">
        <x:f>IF(I2556&lt;70,"Superficial (&lt;70 km)",IF(I2556&lt;=300,"Intermedio (70-300 km)","Profundo (&gt;300 km)"))</x:f>
        <x:v>Superficial (&lt;70 km)</x:v>
      </x:c>
      <x:c r="M2556" s="25" t="str">
        <x:f>IF(J2556&gt;=5,"Sí","No")</x:f>
        <x:v>No</x:v>
      </x:c>
      <x:c r="N2556" s="25" t="str">
        <x:f>IF(J2556&gt;=6,"Sí","No")</x:f>
        <x:v>No</x:v>
      </x:c>
      <x:c r="O2556" s="25" t="str">
        <x:v>Pendiente: asignar con R/sf</x:v>
      </x:c>
    </x:row>
    <x:row r="2557">
      <x:c r="A2557" s="25" t="n">
        <x:v>2556</x:v>
      </x:c>
      <x:c r="B2557" s="26" t="n">
        <x:v>42567.1428125</x:v>
      </x:c>
      <x:c r="C2557" s="27" t="n">
        <x:f>INT(B2557)</x:f>
        <x:v>42567</x:v>
      </x:c>
      <x:c r="D2557" s="28" t="n">
        <x:f>MOD(B2557,1)</x:f>
        <x:v>0.14281250000203727</x:v>
      </x:c>
      <x:c r="E2557" s="29" t="n">
        <x:f>YEAR(B2557)</x:f>
        <x:v>2016</x:v>
      </x:c>
      <x:c r="F2557" s="29" t="n">
        <x:f>MONTH(B2557)</x:f>
        <x:v>7</x:v>
      </x:c>
      <x:c r="G2557" s="30" t="n">
        <x:v>-21.35</x:v>
      </x:c>
      <x:c r="H2557" s="30" t="n">
        <x:v>-69.98</x:v>
      </x:c>
      <x:c r="I2557" s="29" t="n">
        <x:v>39</x:v>
      </x:c>
      <x:c r="J2557" s="31" t="n">
        <x:v>4.3</x:v>
      </x:c>
      <x:c r="K2557" s="25" t="str">
        <x:f>IF(J2557&gt;=7,"Muy fuerte (&gt;=7)",IF(J2557&gt;=6,"Fuerte (6-6.9)",IF(J2557&gt;=5,"Moderado alto (5-5.9)",IF(J2557&gt;=4,"Moderado (4-4.9)","Menor a 4"))))</x:f>
        <x:v>Moderado (4-4.9)</x:v>
      </x:c>
      <x:c r="L2557" s="25" t="str">
        <x:f>IF(I2557&lt;70,"Superficial (&lt;70 km)",IF(I2557&lt;=300,"Intermedio (70-300 km)","Profundo (&gt;300 km)"))</x:f>
        <x:v>Superficial (&lt;70 km)</x:v>
      </x:c>
      <x:c r="M2557" s="25" t="str">
        <x:f>IF(J2557&gt;=5,"Sí","No")</x:f>
        <x:v>No</x:v>
      </x:c>
      <x:c r="N2557" s="25" t="str">
        <x:f>IF(J2557&gt;=6,"Sí","No")</x:f>
        <x:v>No</x:v>
      </x:c>
      <x:c r="O2557" s="25" t="str">
        <x:v>Pendiente: asignar con R/sf</x:v>
      </x:c>
    </x:row>
    <x:row r="2558">
      <x:c r="A2558" s="25" t="n">
        <x:v>2557</x:v>
      </x:c>
      <x:c r="B2558" s="26" t="n">
        <x:v>42674.239270833335</x:v>
      </x:c>
      <x:c r="C2558" s="27" t="n">
        <x:f>INT(B2558)</x:f>
        <x:v>42674</x:v>
      </x:c>
      <x:c r="D2558" s="28" t="n">
        <x:f>MOD(B2558,1)</x:f>
        <x:v>0.23927083333546761</x:v>
      </x:c>
      <x:c r="E2558" s="29" t="n">
        <x:f>YEAR(B2558)</x:f>
        <x:v>2016</x:v>
      </x:c>
      <x:c r="F2558" s="29" t="n">
        <x:f>MONTH(B2558)</x:f>
        <x:v>10</x:v>
      </x:c>
      <x:c r="G2558" s="30" t="n">
        <x:v>-22.43</x:v>
      </x:c>
      <x:c r="H2558" s="30" t="n">
        <x:v>-68.64</x:v>
      </x:c>
      <x:c r="I2558" s="29" t="n">
        <x:v>105</x:v>
      </x:c>
      <x:c r="J2558" s="31" t="n">
        <x:v>5.1</x:v>
      </x:c>
      <x:c r="K2558" s="25" t="str">
        <x:f>IF(J2558&gt;=7,"Muy fuerte (&gt;=7)",IF(J2558&gt;=6,"Fuerte (6-6.9)",IF(J2558&gt;=5,"Moderado alto (5-5.9)",IF(J2558&gt;=4,"Moderado (4-4.9)","Menor a 4"))))</x:f>
        <x:v>Moderado alto (5-5.9)</x:v>
      </x:c>
      <x:c r="L2558" s="25" t="str">
        <x:f>IF(I2558&lt;70,"Superficial (&lt;70 km)",IF(I2558&lt;=300,"Intermedio (70-300 km)","Profundo (&gt;300 km)"))</x:f>
        <x:v>Intermedio (70-300 km)</x:v>
      </x:c>
      <x:c r="M2558" s="25" t="str">
        <x:f>IF(J2558&gt;=5,"Sí","No")</x:f>
        <x:v>Sí</x:v>
      </x:c>
      <x:c r="N2558" s="25" t="str">
        <x:f>IF(J2558&gt;=6,"Sí","No")</x:f>
        <x:v>No</x:v>
      </x:c>
      <x:c r="O2558" s="25" t="str">
        <x:v>Pendiente: asignar con R/sf</x:v>
      </x:c>
    </x:row>
    <x:row r="2559">
      <x:c r="A2559" s="25" t="n">
        <x:v>2558</x:v>
      </x:c>
      <x:c r="B2559" s="26" t="n">
        <x:v>42728.31949074074</x:v>
      </x:c>
      <x:c r="C2559" s="27" t="n">
        <x:f>INT(B2559)</x:f>
        <x:v>42728</x:v>
      </x:c>
      <x:c r="D2559" s="28" t="n">
        <x:f>MOD(B2559,1)</x:f>
        <x:v>0.3194907407378196</x:v>
      </x:c>
      <x:c r="E2559" s="29" t="n">
        <x:f>YEAR(B2559)</x:f>
        <x:v>2016</x:v>
      </x:c>
      <x:c r="F2559" s="29" t="n">
        <x:f>MONTH(B2559)</x:f>
        <x:v>12</x:v>
      </x:c>
      <x:c r="G2559" s="30" t="n">
        <x:v>-33.92</x:v>
      </x:c>
      <x:c r="H2559" s="30" t="n">
        <x:v>-70.62</x:v>
      </x:c>
      <x:c r="I2559" s="29" t="n">
        <x:v>89</x:v>
      </x:c>
      <x:c r="J2559" s="31" t="n">
        <x:v>4.1</x:v>
      </x:c>
      <x:c r="K2559" s="25" t="str">
        <x:f>IF(J2559&gt;=7,"Muy fuerte (&gt;=7)",IF(J2559&gt;=6,"Fuerte (6-6.9)",IF(J2559&gt;=5,"Moderado alto (5-5.9)",IF(J2559&gt;=4,"Moderado (4-4.9)","Menor a 4"))))</x:f>
        <x:v>Moderado (4-4.9)</x:v>
      </x:c>
      <x:c r="L2559" s="25" t="str">
        <x:f>IF(I2559&lt;70,"Superficial (&lt;70 km)",IF(I2559&lt;=300,"Intermedio (70-300 km)","Profundo (&gt;300 km)"))</x:f>
        <x:v>Intermedio (70-300 km)</x:v>
      </x:c>
      <x:c r="M2559" s="25" t="str">
        <x:f>IF(J2559&gt;=5,"Sí","No")</x:f>
        <x:v>No</x:v>
      </x:c>
      <x:c r="N2559" s="25" t="str">
        <x:f>IF(J2559&gt;=6,"Sí","No")</x:f>
        <x:v>No</x:v>
      </x:c>
      <x:c r="O2559" s="25" t="str">
        <x:v>Pendiente: asignar con R/sf</x:v>
      </x:c>
    </x:row>
    <x:row r="2560">
      <x:c r="A2560" s="25" t="n">
        <x:v>2559</x:v>
      </x:c>
      <x:c r="B2560" s="26" t="n">
        <x:v>42453.92681712963</x:v>
      </x:c>
      <x:c r="C2560" s="27" t="n">
        <x:f>INT(B2560)</x:f>
        <x:v>42453</x:v>
      </x:c>
      <x:c r="D2560" s="28" t="n">
        <x:f>MOD(B2560,1)</x:f>
        <x:v>0.9268171296280343</x:v>
      </x:c>
      <x:c r="E2560" s="29" t="n">
        <x:f>YEAR(B2560)</x:f>
        <x:v>2016</x:v>
      </x:c>
      <x:c r="F2560" s="29" t="n">
        <x:f>MONTH(B2560)</x:f>
        <x:v>3</x:v>
      </x:c>
      <x:c r="G2560" s="30" t="n">
        <x:v>-30.42</x:v>
      </x:c>
      <x:c r="H2560" s="30" t="n">
        <x:v>-71.67</x:v>
      </x:c>
      <x:c r="I2560" s="29" t="n">
        <x:v>34</x:v>
      </x:c>
      <x:c r="J2560" s="31" t="n">
        <x:v>4.2</x:v>
      </x:c>
      <x:c r="K2560" s="25" t="str">
        <x:f>IF(J2560&gt;=7,"Muy fuerte (&gt;=7)",IF(J2560&gt;=6,"Fuerte (6-6.9)",IF(J2560&gt;=5,"Moderado alto (5-5.9)",IF(J2560&gt;=4,"Moderado (4-4.9)","Menor a 4"))))</x:f>
        <x:v>Moderado (4-4.9)</x:v>
      </x:c>
      <x:c r="L2560" s="25" t="str">
        <x:f>IF(I2560&lt;70,"Superficial (&lt;70 km)",IF(I2560&lt;=300,"Intermedio (70-300 km)","Profundo (&gt;300 km)"))</x:f>
        <x:v>Superficial (&lt;70 km)</x:v>
      </x:c>
      <x:c r="M2560" s="25" t="str">
        <x:f>IF(J2560&gt;=5,"Sí","No")</x:f>
        <x:v>No</x:v>
      </x:c>
      <x:c r="N2560" s="25" t="str">
        <x:f>IF(J2560&gt;=6,"Sí","No")</x:f>
        <x:v>No</x:v>
      </x:c>
      <x:c r="O2560" s="25" t="str">
        <x:v>Pendiente: asignar con R/sf</x:v>
      </x:c>
    </x:row>
    <x:row r="2561">
      <x:c r="A2561" s="25" t="n">
        <x:v>2560</x:v>
      </x:c>
      <x:c r="B2561" s="26" t="n">
        <x:v>42416.950011574074</x:v>
      </x:c>
      <x:c r="C2561" s="27" t="n">
        <x:f>INT(B2561)</x:f>
        <x:v>42416</x:v>
      </x:c>
      <x:c r="D2561" s="28" t="n">
        <x:f>MOD(B2561,1)</x:f>
        <x:v>0.9500115740738693</x:v>
      </x:c>
      <x:c r="E2561" s="29" t="n">
        <x:f>YEAR(B2561)</x:f>
        <x:v>2016</x:v>
      </x:c>
      <x:c r="F2561" s="29" t="n">
        <x:f>MONTH(B2561)</x:f>
        <x:v>2</x:v>
      </x:c>
      <x:c r="G2561" s="30" t="n">
        <x:v>-19.03</x:v>
      </x:c>
      <x:c r="H2561" s="30" t="n">
        <x:v>-69.47</x:v>
      </x:c>
      <x:c r="I2561" s="29" t="n">
        <x:v>94</x:v>
      </x:c>
      <x:c r="J2561" s="31" t="n">
        <x:v>4.2</x:v>
      </x:c>
      <x:c r="K2561" s="25" t="str">
        <x:f>IF(J2561&gt;=7,"Muy fuerte (&gt;=7)",IF(J2561&gt;=6,"Fuerte (6-6.9)",IF(J2561&gt;=5,"Moderado alto (5-5.9)",IF(J2561&gt;=4,"Moderado (4-4.9)","Menor a 4"))))</x:f>
        <x:v>Moderado (4-4.9)</x:v>
      </x:c>
      <x:c r="L2561" s="25" t="str">
        <x:f>IF(I2561&lt;70,"Superficial (&lt;70 km)",IF(I2561&lt;=300,"Intermedio (70-300 km)","Profundo (&gt;300 km)"))</x:f>
        <x:v>Intermedio (70-300 km)</x:v>
      </x:c>
      <x:c r="M2561" s="25" t="str">
        <x:f>IF(J2561&gt;=5,"Sí","No")</x:f>
        <x:v>No</x:v>
      </x:c>
      <x:c r="N2561" s="25" t="str">
        <x:f>IF(J2561&gt;=6,"Sí","No")</x:f>
        <x:v>No</x:v>
      </x:c>
      <x:c r="O2561" s="25" t="str">
        <x:v>Pendiente: asignar con R/sf</x:v>
      </x:c>
    </x:row>
    <x:row r="2562">
      <x:c r="A2562" s="25" t="n">
        <x:v>2561</x:v>
      </x:c>
      <x:c r="B2562" s="26" t="n">
        <x:v>42640.70138888889</x:v>
      </x:c>
      <x:c r="C2562" s="27" t="n">
        <x:f>INT(B2562)</x:f>
        <x:v>42640</x:v>
      </x:c>
      <x:c r="D2562" s="28" t="n">
        <x:f>MOD(B2562,1)</x:f>
        <x:v>0.7013888888905058</x:v>
      </x:c>
      <x:c r="E2562" s="29" t="n">
        <x:f>YEAR(B2562)</x:f>
        <x:v>2016</x:v>
      </x:c>
      <x:c r="F2562" s="29" t="n">
        <x:f>MONTH(B2562)</x:f>
        <x:v>9</x:v>
      </x:c>
      <x:c r="G2562" s="30" t="n">
        <x:v>-23.1</x:v>
      </x:c>
      <x:c r="H2562" s="30" t="n">
        <x:v>-70.61</x:v>
      </x:c>
      <x:c r="I2562" s="29" t="n">
        <x:v>36</x:v>
      </x:c>
      <x:c r="J2562" s="31" t="n">
        <x:v>4.6</x:v>
      </x:c>
      <x:c r="K2562" s="25" t="str">
        <x:f>IF(J2562&gt;=7,"Muy fuerte (&gt;=7)",IF(J2562&gt;=6,"Fuerte (6-6.9)",IF(J2562&gt;=5,"Moderado alto (5-5.9)",IF(J2562&gt;=4,"Moderado (4-4.9)","Menor a 4"))))</x:f>
        <x:v>Moderado (4-4.9)</x:v>
      </x:c>
      <x:c r="L2562" s="25" t="str">
        <x:f>IF(I2562&lt;70,"Superficial (&lt;70 km)",IF(I2562&lt;=300,"Intermedio (70-300 km)","Profundo (&gt;300 km)"))</x:f>
        <x:v>Superficial (&lt;70 km)</x:v>
      </x:c>
      <x:c r="M2562" s="25" t="str">
        <x:f>IF(J2562&gt;=5,"Sí","No")</x:f>
        <x:v>No</x:v>
      </x:c>
      <x:c r="N2562" s="25" t="str">
        <x:f>IF(J2562&gt;=6,"Sí","No")</x:f>
        <x:v>No</x:v>
      </x:c>
      <x:c r="O2562" s="25" t="str">
        <x:v>Pendiente: asignar con R/sf</x:v>
      </x:c>
    </x:row>
    <x:row r="2563">
      <x:c r="A2563" s="25" t="n">
        <x:v>2562</x:v>
      </x:c>
      <x:c r="B2563" s="26" t="n">
        <x:v>42594.7840625</x:v>
      </x:c>
      <x:c r="C2563" s="27" t="n">
        <x:f>INT(B2563)</x:f>
        <x:v>42594</x:v>
      </x:c>
      <x:c r="D2563" s="28" t="n">
        <x:f>MOD(B2563,1)</x:f>
        <x:v>0.7840625000026193</x:v>
      </x:c>
      <x:c r="E2563" s="29" t="n">
        <x:f>YEAR(B2563)</x:f>
        <x:v>2016</x:v>
      </x:c>
      <x:c r="F2563" s="29" t="n">
        <x:f>MONTH(B2563)</x:f>
        <x:v>8</x:v>
      </x:c>
      <x:c r="G2563" s="30" t="n">
        <x:v>-40.36</x:v>
      </x:c>
      <x:c r="H2563" s="30" t="n">
        <x:v>-72.96</x:v>
      </x:c>
      <x:c r="I2563" s="29" t="n">
        <x:v>61</x:v>
      </x:c>
      <x:c r="J2563" s="31" t="n">
        <x:v>4.1</x:v>
      </x:c>
      <x:c r="K2563" s="25" t="str">
        <x:f>IF(J2563&gt;=7,"Muy fuerte (&gt;=7)",IF(J2563&gt;=6,"Fuerte (6-6.9)",IF(J2563&gt;=5,"Moderado alto (5-5.9)",IF(J2563&gt;=4,"Moderado (4-4.9)","Menor a 4"))))</x:f>
        <x:v>Moderado (4-4.9)</x:v>
      </x:c>
      <x:c r="L2563" s="25" t="str">
        <x:f>IF(I2563&lt;70,"Superficial (&lt;70 km)",IF(I2563&lt;=300,"Intermedio (70-300 km)","Profundo (&gt;300 km)"))</x:f>
        <x:v>Superficial (&lt;70 km)</x:v>
      </x:c>
      <x:c r="M2563" s="25" t="str">
        <x:f>IF(J2563&gt;=5,"Sí","No")</x:f>
        <x:v>No</x:v>
      </x:c>
      <x:c r="N2563" s="25" t="str">
        <x:f>IF(J2563&gt;=6,"Sí","No")</x:f>
        <x:v>No</x:v>
      </x:c>
      <x:c r="O2563" s="25" t="str">
        <x:v>Pendiente: asignar con R/sf</x:v>
      </x:c>
    </x:row>
    <x:row r="2564">
      <x:c r="A2564" s="25" t="n">
        <x:v>2563</x:v>
      </x:c>
      <x:c r="B2564" s="26" t="n">
        <x:v>42585.3205787037</x:v>
      </x:c>
      <x:c r="C2564" s="27" t="n">
        <x:f>INT(B2564)</x:f>
        <x:v>42585</x:v>
      </x:c>
      <x:c r="D2564" s="28" t="n">
        <x:f>MOD(B2564,1)</x:f>
        <x:v>0.3205787037004484</x:v>
      </x:c>
      <x:c r="E2564" s="29" t="n">
        <x:f>YEAR(B2564)</x:f>
        <x:v>2016</x:v>
      </x:c>
      <x:c r="F2564" s="29" t="n">
        <x:f>MONTH(B2564)</x:f>
        <x:v>8</x:v>
      </x:c>
      <x:c r="G2564" s="30" t="n">
        <x:v>-21.24</x:v>
      </x:c>
      <x:c r="H2564" s="30" t="n">
        <x:v>-69.47</x:v>
      </x:c>
      <x:c r="I2564" s="29" t="n">
        <x:v>74</x:v>
      </x:c>
      <x:c r="J2564" s="31" t="n">
        <x:v>4.1</x:v>
      </x:c>
      <x:c r="K2564" s="25" t="str">
        <x:f>IF(J2564&gt;=7,"Muy fuerte (&gt;=7)",IF(J2564&gt;=6,"Fuerte (6-6.9)",IF(J2564&gt;=5,"Moderado alto (5-5.9)",IF(J2564&gt;=4,"Moderado (4-4.9)","Menor a 4"))))</x:f>
        <x:v>Moderado (4-4.9)</x:v>
      </x:c>
      <x:c r="L2564" s="25" t="str">
        <x:f>IF(I2564&lt;70,"Superficial (&lt;70 km)",IF(I2564&lt;=300,"Intermedio (70-300 km)","Profundo (&gt;300 km)"))</x:f>
        <x:v>Intermedio (70-300 km)</x:v>
      </x:c>
      <x:c r="M2564" s="25" t="str">
        <x:f>IF(J2564&gt;=5,"Sí","No")</x:f>
        <x:v>No</x:v>
      </x:c>
      <x:c r="N2564" s="25" t="str">
        <x:f>IF(J2564&gt;=6,"Sí","No")</x:f>
        <x:v>No</x:v>
      </x:c>
      <x:c r="O2564" s="25" t="str">
        <x:v>Pendiente: asignar con R/sf</x:v>
      </x:c>
    </x:row>
    <x:row r="2565">
      <x:c r="A2565" s="25" t="n">
        <x:v>2564</x:v>
      </x:c>
      <x:c r="B2565" s="26" t="n">
        <x:v>42414.014872685184</x:v>
      </x:c>
      <x:c r="C2565" s="27" t="n">
        <x:f>INT(B2565)</x:f>
        <x:v>42414</x:v>
      </x:c>
      <x:c r="D2565" s="28" t="n">
        <x:f>MOD(B2565,1)</x:f>
        <x:v>0.014872685183945578</x:v>
      </x:c>
      <x:c r="E2565" s="29" t="n">
        <x:f>YEAR(B2565)</x:f>
        <x:v>2016</x:v>
      </x:c>
      <x:c r="F2565" s="29" t="n">
        <x:f>MONTH(B2565)</x:f>
        <x:v>2</x:v>
      </x:c>
      <x:c r="G2565" s="30" t="n">
        <x:v>-19.14</x:v>
      </x:c>
      <x:c r="H2565" s="30" t="n">
        <x:v>-69.44</x:v>
      </x:c>
      <x:c r="I2565" s="29" t="n">
        <x:v>105</x:v>
      </x:c>
      <x:c r="J2565" s="31" t="n">
        <x:v>4.4</x:v>
      </x:c>
      <x:c r="K2565" s="25" t="str">
        <x:f>IF(J2565&gt;=7,"Muy fuerte (&gt;=7)",IF(J2565&gt;=6,"Fuerte (6-6.9)",IF(J2565&gt;=5,"Moderado alto (5-5.9)",IF(J2565&gt;=4,"Moderado (4-4.9)","Menor a 4"))))</x:f>
        <x:v>Moderado (4-4.9)</x:v>
      </x:c>
      <x:c r="L2565" s="25" t="str">
        <x:f>IF(I2565&lt;70,"Superficial (&lt;70 km)",IF(I2565&lt;=300,"Intermedio (70-300 km)","Profundo (&gt;300 km)"))</x:f>
        <x:v>Intermedio (70-300 km)</x:v>
      </x:c>
      <x:c r="M2565" s="25" t="str">
        <x:f>IF(J2565&gt;=5,"Sí","No")</x:f>
        <x:v>No</x:v>
      </x:c>
      <x:c r="N2565" s="25" t="str">
        <x:f>IF(J2565&gt;=6,"Sí","No")</x:f>
        <x:v>No</x:v>
      </x:c>
      <x:c r="O2565" s="25" t="str">
        <x:v>Pendiente: asignar con R/sf</x:v>
      </x:c>
    </x:row>
    <x:row r="2566">
      <x:c r="A2566" s="25" t="n">
        <x:v>2565</x:v>
      </x:c>
      <x:c r="B2566" s="26" t="n">
        <x:v>42624.87768518519</x:v>
      </x:c>
      <x:c r="C2566" s="27" t="n">
        <x:f>INT(B2566)</x:f>
        <x:v>42624</x:v>
      </x:c>
      <x:c r="D2566" s="28" t="n">
        <x:f>MOD(B2566,1)</x:f>
        <x:v>0.877685185187147</x:v>
      </x:c>
      <x:c r="E2566" s="29" t="n">
        <x:f>YEAR(B2566)</x:f>
        <x:v>2016</x:v>
      </x:c>
      <x:c r="F2566" s="29" t="n">
        <x:f>MONTH(B2566)</x:f>
        <x:v>9</x:v>
      </x:c>
      <x:c r="G2566" s="30" t="n">
        <x:v>-23.04</x:v>
      </x:c>
      <x:c r="H2566" s="30" t="n">
        <x:v>-69.06</x:v>
      </x:c>
      <x:c r="I2566" s="29" t="n">
        <x:v>78</x:v>
      </x:c>
      <x:c r="J2566" s="31" t="n">
        <x:v>4.5</x:v>
      </x:c>
      <x:c r="K2566" s="25" t="str">
        <x:f>IF(J2566&gt;=7,"Muy fuerte (&gt;=7)",IF(J2566&gt;=6,"Fuerte (6-6.9)",IF(J2566&gt;=5,"Moderado alto (5-5.9)",IF(J2566&gt;=4,"Moderado (4-4.9)","Menor a 4"))))</x:f>
        <x:v>Moderado (4-4.9)</x:v>
      </x:c>
      <x:c r="L2566" s="25" t="str">
        <x:f>IF(I2566&lt;70,"Superficial (&lt;70 km)",IF(I2566&lt;=300,"Intermedio (70-300 km)","Profundo (&gt;300 km)"))</x:f>
        <x:v>Intermedio (70-300 km)</x:v>
      </x:c>
      <x:c r="M2566" s="25" t="str">
        <x:f>IF(J2566&gt;=5,"Sí","No")</x:f>
        <x:v>No</x:v>
      </x:c>
      <x:c r="N2566" s="25" t="str">
        <x:f>IF(J2566&gt;=6,"Sí","No")</x:f>
        <x:v>No</x:v>
      </x:c>
      <x:c r="O2566" s="25" t="str">
        <x:v>Pendiente: asignar con R/sf</x:v>
      </x:c>
    </x:row>
    <x:row r="2567">
      <x:c r="A2567" s="25" t="n">
        <x:v>2566</x:v>
      </x:c>
      <x:c r="B2567" s="26" t="n">
        <x:v>42526.62887731481</x:v>
      </x:c>
      <x:c r="C2567" s="27" t="n">
        <x:f>INT(B2567)</x:f>
        <x:v>42526</x:v>
      </x:c>
      <x:c r="D2567" s="28" t="n">
        <x:f>MOD(B2567,1)</x:f>
        <x:v>0.6288773148116888</x:v>
      </x:c>
      <x:c r="E2567" s="29" t="n">
        <x:f>YEAR(B2567)</x:f>
        <x:v>2016</x:v>
      </x:c>
      <x:c r="F2567" s="29" t="n">
        <x:f>MONTH(B2567)</x:f>
        <x:v>6</x:v>
      </x:c>
      <x:c r="G2567" s="30" t="n">
        <x:v>-19.48</x:v>
      </x:c>
      <x:c r="H2567" s="30" t="n">
        <x:v>-69.25</x:v>
      </x:c>
      <x:c r="I2567" s="29" t="n">
        <x:v>107</x:v>
      </x:c>
      <x:c r="J2567" s="31" t="n">
        <x:v>5.3</x:v>
      </x:c>
      <x:c r="K2567" s="25" t="str">
        <x:f>IF(J2567&gt;=7,"Muy fuerte (&gt;=7)",IF(J2567&gt;=6,"Fuerte (6-6.9)",IF(J2567&gt;=5,"Moderado alto (5-5.9)",IF(J2567&gt;=4,"Moderado (4-4.9)","Menor a 4"))))</x:f>
        <x:v>Moderado alto (5-5.9)</x:v>
      </x:c>
      <x:c r="L2567" s="25" t="str">
        <x:f>IF(I2567&lt;70,"Superficial (&lt;70 km)",IF(I2567&lt;=300,"Intermedio (70-300 km)","Profundo (&gt;300 km)"))</x:f>
        <x:v>Intermedio (70-300 km)</x:v>
      </x:c>
      <x:c r="M2567" s="25" t="str">
        <x:f>IF(J2567&gt;=5,"Sí","No")</x:f>
        <x:v>Sí</x:v>
      </x:c>
      <x:c r="N2567" s="25" t="str">
        <x:f>IF(J2567&gt;=6,"Sí","No")</x:f>
        <x:v>No</x:v>
      </x:c>
      <x:c r="O2567" s="25" t="str">
        <x:v>Pendiente: asignar con R/sf</x:v>
      </x:c>
    </x:row>
    <x:row r="2568">
      <x:c r="A2568" s="25" t="n">
        <x:v>2567</x:v>
      </x:c>
      <x:c r="B2568" s="26" t="n">
        <x:v>42731.47383101852</x:v>
      </x:c>
      <x:c r="C2568" s="27" t="n">
        <x:f>INT(B2568)</x:f>
        <x:v>42731</x:v>
      </x:c>
      <x:c r="D2568" s="28" t="n">
        <x:f>MOD(B2568,1)</x:f>
        <x:v>0.4738310185202863</x:v>
      </x:c>
      <x:c r="E2568" s="29" t="n">
        <x:f>YEAR(B2568)</x:f>
        <x:v>2016</x:v>
      </x:c>
      <x:c r="F2568" s="29" t="n">
        <x:f>MONTH(B2568)</x:f>
        <x:v>12</x:v>
      </x:c>
      <x:c r="G2568" s="30" t="n">
        <x:v>-20.48</x:v>
      </x:c>
      <x:c r="H2568" s="30" t="n">
        <x:v>-68.83</x:v>
      </x:c>
      <x:c r="I2568" s="29" t="n">
        <x:v>111</x:v>
      </x:c>
      <x:c r="J2568" s="31" t="n">
        <x:v>4.2</x:v>
      </x:c>
      <x:c r="K2568" s="25" t="str">
        <x:f>IF(J2568&gt;=7,"Muy fuerte (&gt;=7)",IF(J2568&gt;=6,"Fuerte (6-6.9)",IF(J2568&gt;=5,"Moderado alto (5-5.9)",IF(J2568&gt;=4,"Moderado (4-4.9)","Menor a 4"))))</x:f>
        <x:v>Moderado (4-4.9)</x:v>
      </x:c>
      <x:c r="L2568" s="25" t="str">
        <x:f>IF(I2568&lt;70,"Superficial (&lt;70 km)",IF(I2568&lt;=300,"Intermedio (70-300 km)","Profundo (&gt;300 km)"))</x:f>
        <x:v>Intermedio (70-300 km)</x:v>
      </x:c>
      <x:c r="M2568" s="25" t="str">
        <x:f>IF(J2568&gt;=5,"Sí","No")</x:f>
        <x:v>No</x:v>
      </x:c>
      <x:c r="N2568" s="25" t="str">
        <x:f>IF(J2568&gt;=6,"Sí","No")</x:f>
        <x:v>No</x:v>
      </x:c>
      <x:c r="O2568" s="25" t="str">
        <x:v>Pendiente: asignar con R/sf</x:v>
      </x:c>
    </x:row>
    <x:row r="2569">
      <x:c r="A2569" s="25" t="n">
        <x:v>2568</x:v>
      </x:c>
      <x:c r="B2569" s="26" t="n">
        <x:v>42523.96444444444</x:v>
      </x:c>
      <x:c r="C2569" s="27" t="n">
        <x:f>INT(B2569)</x:f>
        <x:v>42523</x:v>
      </x:c>
      <x:c r="D2569" s="28" t="n">
        <x:f>MOD(B2569,1)</x:f>
        <x:v>0.9644444444420515</x:v>
      </x:c>
      <x:c r="E2569" s="29" t="n">
        <x:f>YEAR(B2569)</x:f>
        <x:v>2016</x:v>
      </x:c>
      <x:c r="F2569" s="29" t="n">
        <x:f>MONTH(B2569)</x:f>
        <x:v>6</x:v>
      </x:c>
      <x:c r="G2569" s="30" t="n">
        <x:v>-21.11</x:v>
      </x:c>
      <x:c r="H2569" s="30" t="n">
        <x:v>-68.91</x:v>
      </x:c>
      <x:c r="I2569" s="29" t="n">
        <x:v>113</x:v>
      </x:c>
      <x:c r="J2569" s="31" t="n">
        <x:v>4.1</x:v>
      </x:c>
      <x:c r="K2569" s="25" t="str">
        <x:f>IF(J2569&gt;=7,"Muy fuerte (&gt;=7)",IF(J2569&gt;=6,"Fuerte (6-6.9)",IF(J2569&gt;=5,"Moderado alto (5-5.9)",IF(J2569&gt;=4,"Moderado (4-4.9)","Menor a 4"))))</x:f>
        <x:v>Moderado (4-4.9)</x:v>
      </x:c>
      <x:c r="L2569" s="25" t="str">
        <x:f>IF(I2569&lt;70,"Superficial (&lt;70 km)",IF(I2569&lt;=300,"Intermedio (70-300 km)","Profundo (&gt;300 km)"))</x:f>
        <x:v>Intermedio (70-300 km)</x:v>
      </x:c>
      <x:c r="M2569" s="25" t="str">
        <x:f>IF(J2569&gt;=5,"Sí","No")</x:f>
        <x:v>No</x:v>
      </x:c>
      <x:c r="N2569" s="25" t="str">
        <x:f>IF(J2569&gt;=6,"Sí","No")</x:f>
        <x:v>No</x:v>
      </x:c>
      <x:c r="O2569" s="25" t="str">
        <x:v>Pendiente: asignar con R/sf</x:v>
      </x:c>
    </x:row>
    <x:row r="2570">
      <x:c r="A2570" s="25" t="n">
        <x:v>2569</x:v>
      </x:c>
      <x:c r="B2570" s="26" t="n">
        <x:v>42729.5844212963</x:v>
      </x:c>
      <x:c r="C2570" s="27" t="n">
        <x:f>INT(B2570)</x:f>
        <x:v>42729</x:v>
      </x:c>
      <x:c r="D2570" s="28" t="n">
        <x:f>MOD(B2570,1)</x:f>
        <x:v>0.5844212962983875</x:v>
      </x:c>
      <x:c r="E2570" s="29" t="n">
        <x:f>YEAR(B2570)</x:f>
        <x:v>2016</x:v>
      </x:c>
      <x:c r="F2570" s="29" t="n">
        <x:f>MONTH(B2570)</x:f>
        <x:v>12</x:v>
      </x:c>
      <x:c r="G2570" s="30" t="n">
        <x:v>-19.97</x:v>
      </x:c>
      <x:c r="H2570" s="30" t="n">
        <x:v>-68.87</x:v>
      </x:c>
      <x:c r="I2570" s="29" t="n">
        <x:v>116</x:v>
      </x:c>
      <x:c r="J2570" s="31" t="n">
        <x:v>5.3</x:v>
      </x:c>
      <x:c r="K2570" s="25" t="str">
        <x:f>IF(J2570&gt;=7,"Muy fuerte (&gt;=7)",IF(J2570&gt;=6,"Fuerte (6-6.9)",IF(J2570&gt;=5,"Moderado alto (5-5.9)",IF(J2570&gt;=4,"Moderado (4-4.9)","Menor a 4"))))</x:f>
        <x:v>Moderado alto (5-5.9)</x:v>
      </x:c>
      <x:c r="L2570" s="25" t="str">
        <x:f>IF(I2570&lt;70,"Superficial (&lt;70 km)",IF(I2570&lt;=300,"Intermedio (70-300 km)","Profundo (&gt;300 km)"))</x:f>
        <x:v>Intermedio (70-300 km)</x:v>
      </x:c>
      <x:c r="M2570" s="25" t="str">
        <x:f>IF(J2570&gt;=5,"Sí","No")</x:f>
        <x:v>Sí</x:v>
      </x:c>
      <x:c r="N2570" s="25" t="str">
        <x:f>IF(J2570&gt;=6,"Sí","No")</x:f>
        <x:v>No</x:v>
      </x:c>
      <x:c r="O2570" s="25" t="str">
        <x:v>Pendiente: asignar con R/sf</x:v>
      </x:c>
    </x:row>
    <x:row r="2571">
      <x:c r="A2571" s="25" t="n">
        <x:v>2570</x:v>
      </x:c>
      <x:c r="B2571" s="26" t="n">
        <x:v>42424.91633101852</x:v>
      </x:c>
      <x:c r="C2571" s="27" t="n">
        <x:f>INT(B2571)</x:f>
        <x:v>42424</x:v>
      </x:c>
      <x:c r="D2571" s="28" t="n">
        <x:f>MOD(B2571,1)</x:f>
        <x:v>0.916331018517667</x:v>
      </x:c>
      <x:c r="E2571" s="29" t="n">
        <x:f>YEAR(B2571)</x:f>
        <x:v>2016</x:v>
      </x:c>
      <x:c r="F2571" s="29" t="n">
        <x:f>MONTH(B2571)</x:f>
        <x:v>2</x:v>
      </x:c>
      <x:c r="G2571" s="30" t="n">
        <x:v>-30.07</x:v>
      </x:c>
      <x:c r="H2571" s="30" t="n">
        <x:v>-71.05</x:v>
      </x:c>
      <x:c r="I2571" s="29" t="n">
        <x:v>70</x:v>
      </x:c>
      <x:c r="J2571" s="31" t="n">
        <x:v>4.3</x:v>
      </x:c>
      <x:c r="K2571" s="25" t="str">
        <x:f>IF(J2571&gt;=7,"Muy fuerte (&gt;=7)",IF(J2571&gt;=6,"Fuerte (6-6.9)",IF(J2571&gt;=5,"Moderado alto (5-5.9)",IF(J2571&gt;=4,"Moderado (4-4.9)","Menor a 4"))))</x:f>
        <x:v>Moderado (4-4.9)</x:v>
      </x:c>
      <x:c r="L2571" s="25" t="str">
        <x:f>IF(I2571&lt;70,"Superficial (&lt;70 km)",IF(I2571&lt;=300,"Intermedio (70-300 km)","Profundo (&gt;300 km)"))</x:f>
        <x:v>Intermedio (70-300 km)</x:v>
      </x:c>
      <x:c r="M2571" s="25" t="str">
        <x:f>IF(J2571&gt;=5,"Sí","No")</x:f>
        <x:v>No</x:v>
      </x:c>
      <x:c r="N2571" s="25" t="str">
        <x:f>IF(J2571&gt;=6,"Sí","No")</x:f>
        <x:v>No</x:v>
      </x:c>
      <x:c r="O2571" s="25" t="str">
        <x:v>Pendiente: asignar con R/sf</x:v>
      </x:c>
    </x:row>
    <x:row r="2572">
      <x:c r="A2572" s="25" t="n">
        <x:v>2571</x:v>
      </x:c>
      <x:c r="B2572" s="26" t="n">
        <x:v>42610.688935185186</x:v>
      </x:c>
      <x:c r="C2572" s="27" t="n">
        <x:f>INT(B2572)</x:f>
        <x:v>42610</x:v>
      </x:c>
      <x:c r="D2572" s="28" t="n">
        <x:f>MOD(B2572,1)</x:f>
        <x:v>0.6889351851859828</x:v>
      </x:c>
      <x:c r="E2572" s="29" t="n">
        <x:f>YEAR(B2572)</x:f>
        <x:v>2016</x:v>
      </x:c>
      <x:c r="F2572" s="29" t="n">
        <x:f>MONTH(B2572)</x:f>
        <x:v>8</x:v>
      </x:c>
      <x:c r="G2572" s="30" t="n">
        <x:v>-27.68</x:v>
      </x:c>
      <x:c r="H2572" s="30" t="n">
        <x:v>-71.23</x:v>
      </x:c>
      <x:c r="I2572" s="29" t="n">
        <x:v>35</x:v>
      </x:c>
      <x:c r="J2572" s="31" t="n">
        <x:v>4.6</x:v>
      </x:c>
      <x:c r="K2572" s="25" t="str">
        <x:f>IF(J2572&gt;=7,"Muy fuerte (&gt;=7)",IF(J2572&gt;=6,"Fuerte (6-6.9)",IF(J2572&gt;=5,"Moderado alto (5-5.9)",IF(J2572&gt;=4,"Moderado (4-4.9)","Menor a 4"))))</x:f>
        <x:v>Moderado (4-4.9)</x:v>
      </x:c>
      <x:c r="L2572" s="25" t="str">
        <x:f>IF(I2572&lt;70,"Superficial (&lt;70 km)",IF(I2572&lt;=300,"Intermedio (70-300 km)","Profundo (&gt;300 km)"))</x:f>
        <x:v>Superficial (&lt;70 km)</x:v>
      </x:c>
      <x:c r="M2572" s="25" t="str">
        <x:f>IF(J2572&gt;=5,"Sí","No")</x:f>
        <x:v>No</x:v>
      </x:c>
      <x:c r="N2572" s="25" t="str">
        <x:f>IF(J2572&gt;=6,"Sí","No")</x:f>
        <x:v>No</x:v>
      </x:c>
      <x:c r="O2572" s="25" t="str">
        <x:v>Pendiente: asignar con R/sf</x:v>
      </x:c>
    </x:row>
    <x:row r="2573">
      <x:c r="A2573" s="25" t="n">
        <x:v>2572</x:v>
      </x:c>
      <x:c r="B2573" s="26" t="n">
        <x:v>42733.36829861111</x:v>
      </x:c>
      <x:c r="C2573" s="27" t="n">
        <x:f>INT(B2573)</x:f>
        <x:v>42733</x:v>
      </x:c>
      <x:c r="D2573" s="28" t="n">
        <x:f>MOD(B2573,1)</x:f>
        <x:v>0.36829861110891216</x:v>
      </x:c>
      <x:c r="E2573" s="29" t="n">
        <x:f>YEAR(B2573)</x:f>
        <x:v>2016</x:v>
      </x:c>
      <x:c r="F2573" s="29" t="n">
        <x:f>MONTH(B2573)</x:f>
        <x:v>12</x:v>
      </x:c>
      <x:c r="G2573" s="30" t="n">
        <x:v>-33.69</x:v>
      </x:c>
      <x:c r="H2573" s="30" t="n">
        <x:v>-71.52</x:v>
      </x:c>
      <x:c r="I2573" s="29" t="n">
        <x:v>50</x:v>
      </x:c>
      <x:c r="J2573" s="31" t="n">
        <x:v>4.2</x:v>
      </x:c>
      <x:c r="K2573" s="25" t="str">
        <x:f>IF(J2573&gt;=7,"Muy fuerte (&gt;=7)",IF(J2573&gt;=6,"Fuerte (6-6.9)",IF(J2573&gt;=5,"Moderado alto (5-5.9)",IF(J2573&gt;=4,"Moderado (4-4.9)","Menor a 4"))))</x:f>
        <x:v>Moderado (4-4.9)</x:v>
      </x:c>
      <x:c r="L2573" s="25" t="str">
        <x:f>IF(I2573&lt;70,"Superficial (&lt;70 km)",IF(I2573&lt;=300,"Intermedio (70-300 km)","Profundo (&gt;300 km)"))</x:f>
        <x:v>Superficial (&lt;70 km)</x:v>
      </x:c>
      <x:c r="M2573" s="25" t="str">
        <x:f>IF(J2573&gt;=5,"Sí","No")</x:f>
        <x:v>No</x:v>
      </x:c>
      <x:c r="N2573" s="25" t="str">
        <x:f>IF(J2573&gt;=6,"Sí","No")</x:f>
        <x:v>No</x:v>
      </x:c>
      <x:c r="O2573" s="25" t="str">
        <x:v>Pendiente: asignar con R/sf</x:v>
      </x:c>
    </x:row>
    <x:row r="2574">
      <x:c r="A2574" s="25" t="n">
        <x:v>2573</x:v>
      </x:c>
      <x:c r="B2574" s="26" t="n">
        <x:v>42704.551516203705</x:v>
      </x:c>
      <x:c r="C2574" s="27" t="n">
        <x:f>INT(B2574)</x:f>
        <x:v>42704</x:v>
      </x:c>
      <x:c r="D2574" s="28" t="n">
        <x:f>MOD(B2574,1)</x:f>
        <x:v>0.5515162037045229</x:v>
      </x:c>
      <x:c r="E2574" s="29" t="n">
        <x:f>YEAR(B2574)</x:f>
        <x:v>2016</x:v>
      </x:c>
      <x:c r="F2574" s="29" t="n">
        <x:f>MONTH(B2574)</x:f>
        <x:v>11</x:v>
      </x:c>
      <x:c r="G2574" s="30" t="n">
        <x:v>-21.07</x:v>
      </x:c>
      <x:c r="H2574" s="30" t="n">
        <x:v>-68.7</x:v>
      </x:c>
      <x:c r="I2574" s="29" t="n">
        <x:v>112</x:v>
      </x:c>
      <x:c r="J2574" s="31" t="n">
        <x:v>4.9</x:v>
      </x:c>
      <x:c r="K2574" s="25" t="str">
        <x:f>IF(J2574&gt;=7,"Muy fuerte (&gt;=7)",IF(J2574&gt;=6,"Fuerte (6-6.9)",IF(J2574&gt;=5,"Moderado alto (5-5.9)",IF(J2574&gt;=4,"Moderado (4-4.9)","Menor a 4"))))</x:f>
        <x:v>Moderado (4-4.9)</x:v>
      </x:c>
      <x:c r="L2574" s="25" t="str">
        <x:f>IF(I2574&lt;70,"Superficial (&lt;70 km)",IF(I2574&lt;=300,"Intermedio (70-300 km)","Profundo (&gt;300 km)"))</x:f>
        <x:v>Intermedio (70-300 km)</x:v>
      </x:c>
      <x:c r="M2574" s="25" t="str">
        <x:f>IF(J2574&gt;=5,"Sí","No")</x:f>
        <x:v>No</x:v>
      </x:c>
      <x:c r="N2574" s="25" t="str">
        <x:f>IF(J2574&gt;=6,"Sí","No")</x:f>
        <x:v>No</x:v>
      </x:c>
      <x:c r="O2574" s="25" t="str">
        <x:v>Pendiente: asignar con R/sf</x:v>
      </x:c>
    </x:row>
    <x:row r="2575">
      <x:c r="A2575" s="25" t="n">
        <x:v>2574</x:v>
      </x:c>
      <x:c r="B2575" s="26" t="n">
        <x:v>42556.76068287037</x:v>
      </x:c>
      <x:c r="C2575" s="27" t="n">
        <x:f>INT(B2575)</x:f>
        <x:v>42556</x:v>
      </x:c>
      <x:c r="D2575" s="28" t="n">
        <x:f>MOD(B2575,1)</x:f>
        <x:v>0.7606828703719657</x:v>
      </x:c>
      <x:c r="E2575" s="29" t="n">
        <x:f>YEAR(B2575)</x:f>
        <x:v>2016</x:v>
      </x:c>
      <x:c r="F2575" s="29" t="n">
        <x:f>MONTH(B2575)</x:f>
        <x:v>7</x:v>
      </x:c>
      <x:c r="G2575" s="30" t="n">
        <x:v>-41.69</x:v>
      </x:c>
      <x:c r="H2575" s="30" t="n">
        <x:v>-73.6</x:v>
      </x:c>
      <x:c r="I2575" s="29" t="n">
        <x:v>39</x:v>
      </x:c>
      <x:c r="J2575" s="31" t="n">
        <x:v>4.5</x:v>
      </x:c>
      <x:c r="K2575" s="25" t="str">
        <x:f>IF(J2575&gt;=7,"Muy fuerte (&gt;=7)",IF(J2575&gt;=6,"Fuerte (6-6.9)",IF(J2575&gt;=5,"Moderado alto (5-5.9)",IF(J2575&gt;=4,"Moderado (4-4.9)","Menor a 4"))))</x:f>
        <x:v>Moderado (4-4.9)</x:v>
      </x:c>
      <x:c r="L2575" s="25" t="str">
        <x:f>IF(I2575&lt;70,"Superficial (&lt;70 km)",IF(I2575&lt;=300,"Intermedio (70-300 km)","Profundo (&gt;300 km)"))</x:f>
        <x:v>Superficial (&lt;70 km)</x:v>
      </x:c>
      <x:c r="M2575" s="25" t="str">
        <x:f>IF(J2575&gt;=5,"Sí","No")</x:f>
        <x:v>No</x:v>
      </x:c>
      <x:c r="N2575" s="25" t="str">
        <x:f>IF(J2575&gt;=6,"Sí","No")</x:f>
        <x:v>No</x:v>
      </x:c>
      <x:c r="O2575" s="25" t="str">
        <x:v>Pendiente: asignar con R/sf</x:v>
      </x:c>
    </x:row>
    <x:row r="2576">
      <x:c r="A2576" s="25" t="n">
        <x:v>2575</x:v>
      </x:c>
      <x:c r="B2576" s="26" t="n">
        <x:v>42690.773148148146</x:v>
      </x:c>
      <x:c r="C2576" s="27" t="n">
        <x:f>INT(B2576)</x:f>
        <x:v>42690</x:v>
      </x:c>
      <x:c r="D2576" s="28" t="n">
        <x:f>MOD(B2576,1)</x:f>
        <x:v>0.7731481481459923</x:v>
      </x:c>
      <x:c r="E2576" s="29" t="n">
        <x:f>YEAR(B2576)</x:f>
        <x:v>2016</x:v>
      </x:c>
      <x:c r="F2576" s="29" t="n">
        <x:f>MONTH(B2576)</x:f>
        <x:v>11</x:v>
      </x:c>
      <x:c r="G2576" s="30" t="n">
        <x:v>-20.78</x:v>
      </x:c>
      <x:c r="H2576" s="30" t="n">
        <x:v>-69.17</x:v>
      </x:c>
      <x:c r="I2576" s="29" t="n">
        <x:v>109</x:v>
      </x:c>
      <x:c r="J2576" s="31" t="n">
        <x:v>4.2</x:v>
      </x:c>
      <x:c r="K2576" s="25" t="str">
        <x:f>IF(J2576&gt;=7,"Muy fuerte (&gt;=7)",IF(J2576&gt;=6,"Fuerte (6-6.9)",IF(J2576&gt;=5,"Moderado alto (5-5.9)",IF(J2576&gt;=4,"Moderado (4-4.9)","Menor a 4"))))</x:f>
        <x:v>Moderado (4-4.9)</x:v>
      </x:c>
      <x:c r="L2576" s="25" t="str">
        <x:f>IF(I2576&lt;70,"Superficial (&lt;70 km)",IF(I2576&lt;=300,"Intermedio (70-300 km)","Profundo (&gt;300 km)"))</x:f>
        <x:v>Intermedio (70-300 km)</x:v>
      </x:c>
      <x:c r="M2576" s="25" t="str">
        <x:f>IF(J2576&gt;=5,"Sí","No")</x:f>
        <x:v>No</x:v>
      </x:c>
      <x:c r="N2576" s="25" t="str">
        <x:f>IF(J2576&gt;=6,"Sí","No")</x:f>
        <x:v>No</x:v>
      </x:c>
      <x:c r="O2576" s="25" t="str">
        <x:v>Pendiente: asignar con R/sf</x:v>
      </x:c>
    </x:row>
    <x:row r="2577">
      <x:c r="A2577" s="25" t="n">
        <x:v>2576</x:v>
      </x:c>
      <x:c r="B2577" s="26" t="n">
        <x:v>42687.61849537037</x:v>
      </x:c>
      <x:c r="C2577" s="27" t="n">
        <x:f>INT(B2577)</x:f>
        <x:v>42687</x:v>
      </x:c>
      <x:c r="D2577" s="28" t="n">
        <x:f>MOD(B2577,1)</x:f>
        <x:v>0.6184953703705105</x:v>
      </x:c>
      <x:c r="E2577" s="29" t="n">
        <x:f>YEAR(B2577)</x:f>
        <x:v>2016</x:v>
      </x:c>
      <x:c r="F2577" s="29" t="n">
        <x:f>MONTH(B2577)</x:f>
        <x:v>11</x:v>
      </x:c>
      <x:c r="G2577" s="30" t="n">
        <x:v>-28.88</x:v>
      </x:c>
      <x:c r="H2577" s="30" t="n">
        <x:v>-71.38</x:v>
      </x:c>
      <x:c r="I2577" s="29" t="n">
        <x:v>31</x:v>
      </x:c>
      <x:c r="J2577" s="31" t="n">
        <x:v>4.6</x:v>
      </x:c>
      <x:c r="K2577" s="25" t="str">
        <x:f>IF(J2577&gt;=7,"Muy fuerte (&gt;=7)",IF(J2577&gt;=6,"Fuerte (6-6.9)",IF(J2577&gt;=5,"Moderado alto (5-5.9)",IF(J2577&gt;=4,"Moderado (4-4.9)","Menor a 4"))))</x:f>
        <x:v>Moderado (4-4.9)</x:v>
      </x:c>
      <x:c r="L2577" s="25" t="str">
        <x:f>IF(I2577&lt;70,"Superficial (&lt;70 km)",IF(I2577&lt;=300,"Intermedio (70-300 km)","Profundo (&gt;300 km)"))</x:f>
        <x:v>Superficial (&lt;70 km)</x:v>
      </x:c>
      <x:c r="M2577" s="25" t="str">
        <x:f>IF(J2577&gt;=5,"Sí","No")</x:f>
        <x:v>No</x:v>
      </x:c>
      <x:c r="N2577" s="25" t="str">
        <x:f>IF(J2577&gt;=6,"Sí","No")</x:f>
        <x:v>No</x:v>
      </x:c>
      <x:c r="O2577" s="25" t="str">
        <x:v>Pendiente: asignar con R/sf</x:v>
      </x:c>
    </x:row>
    <x:row r="2578">
      <x:c r="A2578" s="25" t="n">
        <x:v>2577</x:v>
      </x:c>
      <x:c r="B2578" s="26" t="n">
        <x:v>42691.81898148148</x:v>
      </x:c>
      <x:c r="C2578" s="27" t="n">
        <x:f>INT(B2578)</x:f>
        <x:v>42691</x:v>
      </x:c>
      <x:c r="D2578" s="28" t="n">
        <x:f>MOD(B2578,1)</x:f>
        <x:v>0.8189814814832062</x:v>
      </x:c>
      <x:c r="E2578" s="29" t="n">
        <x:f>YEAR(B2578)</x:f>
        <x:v>2016</x:v>
      </x:c>
      <x:c r="F2578" s="29" t="n">
        <x:f>MONTH(B2578)</x:f>
        <x:v>11</x:v>
      </x:c>
      <x:c r="G2578" s="30" t="n">
        <x:v>-26.32</x:v>
      </x:c>
      <x:c r="H2578" s="30" t="n">
        <x:v>-70.69</x:v>
      </x:c>
      <x:c r="I2578" s="29" t="n">
        <x:v>34</x:v>
      </x:c>
      <x:c r="J2578" s="31" t="n">
        <x:v>4.1</x:v>
      </x:c>
      <x:c r="K2578" s="25" t="str">
        <x:f>IF(J2578&gt;=7,"Muy fuerte (&gt;=7)",IF(J2578&gt;=6,"Fuerte (6-6.9)",IF(J2578&gt;=5,"Moderado alto (5-5.9)",IF(J2578&gt;=4,"Moderado (4-4.9)","Menor a 4"))))</x:f>
        <x:v>Moderado (4-4.9)</x:v>
      </x:c>
      <x:c r="L2578" s="25" t="str">
        <x:f>IF(I2578&lt;70,"Superficial (&lt;70 km)",IF(I2578&lt;=300,"Intermedio (70-300 km)","Profundo (&gt;300 km)"))</x:f>
        <x:v>Superficial (&lt;70 km)</x:v>
      </x:c>
      <x:c r="M2578" s="25" t="str">
        <x:f>IF(J2578&gt;=5,"Sí","No")</x:f>
        <x:v>No</x:v>
      </x:c>
      <x:c r="N2578" s="25" t="str">
        <x:f>IF(J2578&gt;=6,"Sí","No")</x:f>
        <x:v>No</x:v>
      </x:c>
      <x:c r="O2578" s="25" t="str">
        <x:v>Pendiente: asignar con R/sf</x:v>
      </x:c>
    </x:row>
    <x:row r="2579">
      <x:c r="A2579" s="25" t="n">
        <x:v>2578</x:v>
      </x:c>
      <x:c r="B2579" s="26" t="n">
        <x:v>42594.713530092595</x:v>
      </x:c>
      <x:c r="C2579" s="27" t="n">
        <x:f>INT(B2579)</x:f>
        <x:v>42594</x:v>
      </x:c>
      <x:c r="D2579" s="28" t="n">
        <x:f>MOD(B2579,1)</x:f>
        <x:v>0.7135300925947377</x:v>
      </x:c>
      <x:c r="E2579" s="29" t="n">
        <x:f>YEAR(B2579)</x:f>
        <x:v>2016</x:v>
      </x:c>
      <x:c r="F2579" s="29" t="n">
        <x:f>MONTH(B2579)</x:f>
        <x:v>8</x:v>
      </x:c>
      <x:c r="G2579" s="30" t="n">
        <x:v>-20.57</x:v>
      </x:c>
      <x:c r="H2579" s="30" t="n">
        <x:v>-69.17</x:v>
      </x:c>
      <x:c r="I2579" s="29" t="n">
        <x:v>105</x:v>
      </x:c>
      <x:c r="J2579" s="31" t="n">
        <x:v>4</x:v>
      </x:c>
      <x:c r="K2579" s="25" t="str">
        <x:f>IF(J2579&gt;=7,"Muy fuerte (&gt;=7)",IF(J2579&gt;=6,"Fuerte (6-6.9)",IF(J2579&gt;=5,"Moderado alto (5-5.9)",IF(J2579&gt;=4,"Moderado (4-4.9)","Menor a 4"))))</x:f>
        <x:v>Moderado (4-4.9)</x:v>
      </x:c>
      <x:c r="L2579" s="25" t="str">
        <x:f>IF(I2579&lt;70,"Superficial (&lt;70 km)",IF(I2579&lt;=300,"Intermedio (70-300 km)","Profundo (&gt;300 km)"))</x:f>
        <x:v>Intermedio (70-300 km)</x:v>
      </x:c>
      <x:c r="M2579" s="25" t="str">
        <x:f>IF(J2579&gt;=5,"Sí","No")</x:f>
        <x:v>No</x:v>
      </x:c>
      <x:c r="N2579" s="25" t="str">
        <x:f>IF(J2579&gt;=6,"Sí","No")</x:f>
        <x:v>No</x:v>
      </x:c>
      <x:c r="O2579" s="25" t="str">
        <x:v>Pendiente: asignar con R/sf</x:v>
      </x:c>
    </x:row>
    <x:row r="2580">
      <x:c r="A2580" s="25" t="n">
        <x:v>2579</x:v>
      </x:c>
      <x:c r="B2580" s="26" t="n">
        <x:v>42660.02491898148</x:v>
      </x:c>
      <x:c r="C2580" s="27" t="n">
        <x:f>INT(B2580)</x:f>
        <x:v>42660</x:v>
      </x:c>
      <x:c r="D2580" s="28" t="n">
        <x:f>MOD(B2580,1)</x:f>
        <x:v>0.02491898147854954</x:v>
      </x:c>
      <x:c r="E2580" s="29" t="n">
        <x:f>YEAR(B2580)</x:f>
        <x:v>2016</x:v>
      </x:c>
      <x:c r="F2580" s="29" t="n">
        <x:f>MONTH(B2580)</x:f>
        <x:v>10</x:v>
      </x:c>
      <x:c r="G2580" s="30" t="n">
        <x:v>-33.71</x:v>
      </x:c>
      <x:c r="H2580" s="30" t="n">
        <x:v>-71.56</x:v>
      </x:c>
      <x:c r="I2580" s="29" t="n">
        <x:v>45</x:v>
      </x:c>
      <x:c r="J2580" s="31" t="n">
        <x:v>4</x:v>
      </x:c>
      <x:c r="K2580" s="25" t="str">
        <x:f>IF(J2580&gt;=7,"Muy fuerte (&gt;=7)",IF(J2580&gt;=6,"Fuerte (6-6.9)",IF(J2580&gt;=5,"Moderado alto (5-5.9)",IF(J2580&gt;=4,"Moderado (4-4.9)","Menor a 4"))))</x:f>
        <x:v>Moderado (4-4.9)</x:v>
      </x:c>
      <x:c r="L2580" s="25" t="str">
        <x:f>IF(I2580&lt;70,"Superficial (&lt;70 km)",IF(I2580&lt;=300,"Intermedio (70-300 km)","Profundo (&gt;300 km)"))</x:f>
        <x:v>Superficial (&lt;70 km)</x:v>
      </x:c>
      <x:c r="M2580" s="25" t="str">
        <x:f>IF(J2580&gt;=5,"Sí","No")</x:f>
        <x:v>No</x:v>
      </x:c>
      <x:c r="N2580" s="25" t="str">
        <x:f>IF(J2580&gt;=6,"Sí","No")</x:f>
        <x:v>No</x:v>
      </x:c>
      <x:c r="O2580" s="25" t="str">
        <x:v>Pendiente: asignar con R/sf</x:v>
      </x:c>
    </x:row>
    <x:row r="2581">
      <x:c r="A2581" s="25" t="n">
        <x:v>2580</x:v>
      </x:c>
      <x:c r="B2581" s="26" t="n">
        <x:v>42542.01527777778</x:v>
      </x:c>
      <x:c r="C2581" s="27" t="n">
        <x:f>INT(B2581)</x:f>
        <x:v>42542</x:v>
      </x:c>
      <x:c r="D2581" s="28" t="n">
        <x:f>MOD(B2581,1)</x:f>
        <x:v>0.015277777776645962</x:v>
      </x:c>
      <x:c r="E2581" s="29" t="n">
        <x:f>YEAR(B2581)</x:f>
        <x:v>2016</x:v>
      </x:c>
      <x:c r="F2581" s="29" t="n">
        <x:f>MONTH(B2581)</x:f>
        <x:v>6</x:v>
      </x:c>
      <x:c r="G2581" s="30" t="n">
        <x:v>-23.76</x:v>
      </x:c>
      <x:c r="H2581" s="30" t="n">
        <x:v>-70.33</x:v>
      </x:c>
      <x:c r="I2581" s="29" t="n">
        <x:v>50</x:v>
      </x:c>
      <x:c r="J2581" s="31" t="n">
        <x:v>4.1</x:v>
      </x:c>
      <x:c r="K2581" s="25" t="str">
        <x:f>IF(J2581&gt;=7,"Muy fuerte (&gt;=7)",IF(J2581&gt;=6,"Fuerte (6-6.9)",IF(J2581&gt;=5,"Moderado alto (5-5.9)",IF(J2581&gt;=4,"Moderado (4-4.9)","Menor a 4"))))</x:f>
        <x:v>Moderado (4-4.9)</x:v>
      </x:c>
      <x:c r="L2581" s="25" t="str">
        <x:f>IF(I2581&lt;70,"Superficial (&lt;70 km)",IF(I2581&lt;=300,"Intermedio (70-300 km)","Profundo (&gt;300 km)"))</x:f>
        <x:v>Superficial (&lt;70 km)</x:v>
      </x:c>
      <x:c r="M2581" s="25" t="str">
        <x:f>IF(J2581&gt;=5,"Sí","No")</x:f>
        <x:v>No</x:v>
      </x:c>
      <x:c r="N2581" s="25" t="str">
        <x:f>IF(J2581&gt;=6,"Sí","No")</x:f>
        <x:v>No</x:v>
      </x:c>
      <x:c r="O2581" s="25" t="str">
        <x:v>Pendiente: asignar con R/sf</x:v>
      </x:c>
    </x:row>
    <x:row r="2582">
      <x:c r="A2582" s="25" t="n">
        <x:v>2581</x:v>
      </x:c>
      <x:c r="B2582" s="26" t="n">
        <x:v>42473.834710648145</x:v>
      </x:c>
      <x:c r="C2582" s="27" t="n">
        <x:f>INT(B2582)</x:f>
        <x:v>42473</x:v>
      </x:c>
      <x:c r="D2582" s="28" t="n">
        <x:f>MOD(B2582,1)</x:f>
        <x:v>0.8347106481451192</x:v>
      </x:c>
      <x:c r="E2582" s="29" t="n">
        <x:f>YEAR(B2582)</x:f>
        <x:v>2016</x:v>
      </x:c>
      <x:c r="F2582" s="29" t="n">
        <x:f>MONTH(B2582)</x:f>
        <x:v>4</x:v>
      </x:c>
      <x:c r="G2582" s="30" t="n">
        <x:v>-21</x:v>
      </x:c>
      <x:c r="H2582" s="30" t="n">
        <x:v>-66.87</x:v>
      </x:c>
      <x:c r="I2582" s="29" t="n">
        <x:v>271</x:v>
      </x:c>
      <x:c r="J2582" s="31" t="n">
        <x:v>5.3</x:v>
      </x:c>
      <x:c r="K2582" s="25" t="str">
        <x:f>IF(J2582&gt;=7,"Muy fuerte (&gt;=7)",IF(J2582&gt;=6,"Fuerte (6-6.9)",IF(J2582&gt;=5,"Moderado alto (5-5.9)",IF(J2582&gt;=4,"Moderado (4-4.9)","Menor a 4"))))</x:f>
        <x:v>Moderado alto (5-5.9)</x:v>
      </x:c>
      <x:c r="L2582" s="25" t="str">
        <x:f>IF(I2582&lt;70,"Superficial (&lt;70 km)",IF(I2582&lt;=300,"Intermedio (70-300 km)","Profundo (&gt;300 km)"))</x:f>
        <x:v>Intermedio (70-300 km)</x:v>
      </x:c>
      <x:c r="M2582" s="25" t="str">
        <x:f>IF(J2582&gt;=5,"Sí","No")</x:f>
        <x:v>Sí</x:v>
      </x:c>
      <x:c r="N2582" s="25" t="str">
        <x:f>IF(J2582&gt;=6,"Sí","No")</x:f>
        <x:v>No</x:v>
      </x:c>
      <x:c r="O2582" s="25" t="str">
        <x:v>Pendiente: asignar con R/sf</x:v>
      </x:c>
    </x:row>
    <x:row r="2583">
      <x:c r="A2583" s="25" t="n">
        <x:v>2582</x:v>
      </x:c>
      <x:c r="B2583" s="26" t="n">
        <x:v>42586.593877314815</x:v>
      </x:c>
      <x:c r="C2583" s="27" t="n">
        <x:f>INT(B2583)</x:f>
        <x:v>42586</x:v>
      </x:c>
      <x:c r="D2583" s="28" t="n">
        <x:f>MOD(B2583,1)</x:f>
        <x:v>0.5938773148154723</x:v>
      </x:c>
      <x:c r="E2583" s="29" t="n">
        <x:f>YEAR(B2583)</x:f>
        <x:v>2016</x:v>
      </x:c>
      <x:c r="F2583" s="29" t="n">
        <x:f>MONTH(B2583)</x:f>
        <x:v>8</x:v>
      </x:c>
      <x:c r="G2583" s="30" t="n">
        <x:v>-22.43</x:v>
      </x:c>
      <x:c r="H2583" s="30" t="n">
        <x:v>-66.2</x:v>
      </x:c>
      <x:c r="I2583" s="29" t="n">
        <x:v>293</x:v>
      </x:c>
      <x:c r="J2583" s="31" t="n">
        <x:v>6</x:v>
      </x:c>
      <x:c r="K2583" s="25" t="str">
        <x:f>IF(J2583&gt;=7,"Muy fuerte (&gt;=7)",IF(J2583&gt;=6,"Fuerte (6-6.9)",IF(J2583&gt;=5,"Moderado alto (5-5.9)",IF(J2583&gt;=4,"Moderado (4-4.9)","Menor a 4"))))</x:f>
        <x:v>Fuerte (6-6.9)</x:v>
      </x:c>
      <x:c r="L2583" s="25" t="str">
        <x:f>IF(I2583&lt;70,"Superficial (&lt;70 km)",IF(I2583&lt;=300,"Intermedio (70-300 km)","Profundo (&gt;300 km)"))</x:f>
        <x:v>Intermedio (70-300 km)</x:v>
      </x:c>
      <x:c r="M2583" s="25" t="str">
        <x:f>IF(J2583&gt;=5,"Sí","No")</x:f>
        <x:v>Sí</x:v>
      </x:c>
      <x:c r="N2583" s="25" t="str">
        <x:f>IF(J2583&gt;=6,"Sí","No")</x:f>
        <x:v>Sí</x:v>
      </x:c>
      <x:c r="O2583" s="25" t="str">
        <x:v>Pendiente: asignar con R/sf</x:v>
      </x:c>
    </x:row>
    <x:row r="2584">
      <x:c r="A2584" s="25" t="n">
        <x:v>2583</x:v>
      </x:c>
      <x:c r="B2584" s="26" t="n">
        <x:v>42431.40966435185</x:v>
      </x:c>
      <x:c r="C2584" s="27" t="n">
        <x:f>INT(B2584)</x:f>
        <x:v>42431</x:v>
      </x:c>
      <x:c r="D2584" s="28" t="n">
        <x:f>MOD(B2584,1)</x:f>
        <x:v>0.4096643518496421</x:v>
      </x:c>
      <x:c r="E2584" s="29" t="n">
        <x:f>YEAR(B2584)</x:f>
        <x:v>2016</x:v>
      </x:c>
      <x:c r="F2584" s="29" t="n">
        <x:f>MONTH(B2584)</x:f>
        <x:v>3</x:v>
      </x:c>
      <x:c r="G2584" s="30" t="n">
        <x:v>-18.65</x:v>
      </x:c>
      <x:c r="H2584" s="30" t="n">
        <x:v>-70.61</x:v>
      </x:c>
      <x:c r="I2584" s="29" t="n">
        <x:v>48</x:v>
      </x:c>
      <x:c r="J2584" s="31" t="n">
        <x:v>5.1</x:v>
      </x:c>
      <x:c r="K2584" s="25" t="str">
        <x:f>IF(J2584&gt;=7,"Muy fuerte (&gt;=7)",IF(J2584&gt;=6,"Fuerte (6-6.9)",IF(J2584&gt;=5,"Moderado alto (5-5.9)",IF(J2584&gt;=4,"Moderado (4-4.9)","Menor a 4"))))</x:f>
        <x:v>Moderado alto (5-5.9)</x:v>
      </x:c>
      <x:c r="L2584" s="25" t="str">
        <x:f>IF(I2584&lt;70,"Superficial (&lt;70 km)",IF(I2584&lt;=300,"Intermedio (70-300 km)","Profundo (&gt;300 km)"))</x:f>
        <x:v>Superficial (&lt;70 km)</x:v>
      </x:c>
      <x:c r="M2584" s="25" t="str">
        <x:f>IF(J2584&gt;=5,"Sí","No")</x:f>
        <x:v>Sí</x:v>
      </x:c>
      <x:c r="N2584" s="25" t="str">
        <x:f>IF(J2584&gt;=6,"Sí","No")</x:f>
        <x:v>No</x:v>
      </x:c>
      <x:c r="O2584" s="25" t="str">
        <x:v>Pendiente: asignar con R/sf</x:v>
      </x:c>
    </x:row>
    <x:row r="2585">
      <x:c r="A2585" s="25" t="n">
        <x:v>2584</x:v>
      </x:c>
      <x:c r="B2585" s="26" t="n">
        <x:v>42555.96</x:v>
      </x:c>
      <x:c r="C2585" s="27" t="n">
        <x:f>INT(B2585)</x:f>
        <x:v>42555</x:v>
      </x:c>
      <x:c r="D2585" s="28" t="n">
        <x:f>MOD(B2585,1)</x:f>
        <x:v>0.9599999999991269</x:v>
      </x:c>
      <x:c r="E2585" s="29" t="n">
        <x:f>YEAR(B2585)</x:f>
        <x:v>2016</x:v>
      </x:c>
      <x:c r="F2585" s="29" t="n">
        <x:f>MONTH(B2585)</x:f>
        <x:v>7</x:v>
      </x:c>
      <x:c r="G2585" s="30" t="n">
        <x:v>-20.71</x:v>
      </x:c>
      <x:c r="H2585" s="30" t="n">
        <x:v>-69.13</x:v>
      </x:c>
      <x:c r="I2585" s="29" t="n">
        <x:v>90</x:v>
      </x:c>
      <x:c r="J2585" s="31" t="n">
        <x:v>5</x:v>
      </x:c>
      <x:c r="K2585" s="25" t="str">
        <x:f>IF(J2585&gt;=7,"Muy fuerte (&gt;=7)",IF(J2585&gt;=6,"Fuerte (6-6.9)",IF(J2585&gt;=5,"Moderado alto (5-5.9)",IF(J2585&gt;=4,"Moderado (4-4.9)","Menor a 4"))))</x:f>
        <x:v>Moderado alto (5-5.9)</x:v>
      </x:c>
      <x:c r="L2585" s="25" t="str">
        <x:f>IF(I2585&lt;70,"Superficial (&lt;70 km)",IF(I2585&lt;=300,"Intermedio (70-300 km)","Profundo (&gt;300 km)"))</x:f>
        <x:v>Intermedio (70-300 km)</x:v>
      </x:c>
      <x:c r="M2585" s="25" t="str">
        <x:f>IF(J2585&gt;=5,"Sí","No")</x:f>
        <x:v>Sí</x:v>
      </x:c>
      <x:c r="N2585" s="25" t="str">
        <x:f>IF(J2585&gt;=6,"Sí","No")</x:f>
        <x:v>No</x:v>
      </x:c>
      <x:c r="O2585" s="25" t="str">
        <x:v>Pendiente: asignar con R/sf</x:v>
      </x:c>
    </x:row>
    <x:row r="2586">
      <x:c r="A2586" s="25" t="n">
        <x:v>2585</x:v>
      </x:c>
      <x:c r="B2586" s="26" t="n">
        <x:v>42410.46596064815</x:v>
      </x:c>
      <x:c r="C2586" s="27" t="n">
        <x:f>INT(B2586)</x:f>
        <x:v>42410</x:v>
      </x:c>
      <x:c r="D2586" s="28" t="n">
        <x:f>MOD(B2586,1)</x:f>
        <x:v>0.46596064815093996</x:v>
      </x:c>
      <x:c r="E2586" s="29" t="n">
        <x:f>YEAR(B2586)</x:f>
        <x:v>2016</x:v>
      </x:c>
      <x:c r="F2586" s="29" t="n">
        <x:f>MONTH(B2586)</x:f>
        <x:v>2</x:v>
      </x:c>
      <x:c r="G2586" s="30" t="n">
        <x:v>-37</x:v>
      </x:c>
      <x:c r="H2586" s="30" t="n">
        <x:v>-73.61</x:v>
      </x:c>
      <x:c r="I2586" s="29" t="n">
        <x:v>16</x:v>
      </x:c>
      <x:c r="J2586" s="31" t="n">
        <x:v>4.6</x:v>
      </x:c>
      <x:c r="K2586" s="25" t="str">
        <x:f>IF(J2586&gt;=7,"Muy fuerte (&gt;=7)",IF(J2586&gt;=6,"Fuerte (6-6.9)",IF(J2586&gt;=5,"Moderado alto (5-5.9)",IF(J2586&gt;=4,"Moderado (4-4.9)","Menor a 4"))))</x:f>
        <x:v>Moderado (4-4.9)</x:v>
      </x:c>
      <x:c r="L2586" s="25" t="str">
        <x:f>IF(I2586&lt;70,"Superficial (&lt;70 km)",IF(I2586&lt;=300,"Intermedio (70-300 km)","Profundo (&gt;300 km)"))</x:f>
        <x:v>Superficial (&lt;70 km)</x:v>
      </x:c>
      <x:c r="M2586" s="25" t="str">
        <x:f>IF(J2586&gt;=5,"Sí","No")</x:f>
        <x:v>No</x:v>
      </x:c>
      <x:c r="N2586" s="25" t="str">
        <x:f>IF(J2586&gt;=6,"Sí","No")</x:f>
        <x:v>No</x:v>
      </x:c>
      <x:c r="O2586" s="25" t="str">
        <x:v>Pendiente: asignar con R/sf</x:v>
      </x:c>
    </x:row>
    <x:row r="2587">
      <x:c r="A2587" s="25" t="n">
        <x:v>2586</x:v>
      </x:c>
      <x:c r="B2587" s="26" t="n">
        <x:v>42637.122395833336</x:v>
      </x:c>
      <x:c r="C2587" s="27" t="n">
        <x:f>INT(B2587)</x:f>
        <x:v>42637</x:v>
      </x:c>
      <x:c r="D2587" s="28" t="n">
        <x:f>MOD(B2587,1)</x:f>
        <x:v>0.12239583333575865</x:v>
      </x:c>
      <x:c r="E2587" s="29" t="n">
        <x:f>YEAR(B2587)</x:f>
        <x:v>2016</x:v>
      </x:c>
      <x:c r="F2587" s="29" t="n">
        <x:f>MONTH(B2587)</x:f>
        <x:v>9</x:v>
      </x:c>
      <x:c r="G2587" s="30" t="n">
        <x:v>-29.99</x:v>
      </x:c>
      <x:c r="H2587" s="30" t="n">
        <x:v>-71.36</x:v>
      </x:c>
      <x:c r="I2587" s="29" t="n">
        <x:v>47</x:v>
      </x:c>
      <x:c r="J2587" s="31" t="n">
        <x:v>4.3</x:v>
      </x:c>
      <x:c r="K2587" s="25" t="str">
        <x:f>IF(J2587&gt;=7,"Muy fuerte (&gt;=7)",IF(J2587&gt;=6,"Fuerte (6-6.9)",IF(J2587&gt;=5,"Moderado alto (5-5.9)",IF(J2587&gt;=4,"Moderado (4-4.9)","Menor a 4"))))</x:f>
        <x:v>Moderado (4-4.9)</x:v>
      </x:c>
      <x:c r="L2587" s="25" t="str">
        <x:f>IF(I2587&lt;70,"Superficial (&lt;70 km)",IF(I2587&lt;=300,"Intermedio (70-300 km)","Profundo (&gt;300 km)"))</x:f>
        <x:v>Superficial (&lt;70 km)</x:v>
      </x:c>
      <x:c r="M2587" s="25" t="str">
        <x:f>IF(J2587&gt;=5,"Sí","No")</x:f>
        <x:v>No</x:v>
      </x:c>
      <x:c r="N2587" s="25" t="str">
        <x:f>IF(J2587&gt;=6,"Sí","No")</x:f>
        <x:v>No</x:v>
      </x:c>
      <x:c r="O2587" s="25" t="str">
        <x:v>Pendiente: asignar con R/sf</x:v>
      </x:c>
    </x:row>
    <x:row r="2588">
      <x:c r="A2588" s="25" t="n">
        <x:v>2587</x:v>
      </x:c>
      <x:c r="B2588" s="26" t="n">
        <x:v>42499.47106481482</x:v>
      </x:c>
      <x:c r="C2588" s="27" t="n">
        <x:f>INT(B2588)</x:f>
        <x:v>42499</x:v>
      </x:c>
      <x:c r="D2588" s="28" t="n">
        <x:f>MOD(B2588,1)</x:f>
        <x:v>0.4710648148175096</x:v>
      </x:c>
      <x:c r="E2588" s="29" t="n">
        <x:f>YEAR(B2588)</x:f>
        <x:v>2016</x:v>
      </x:c>
      <x:c r="F2588" s="29" t="n">
        <x:f>MONTH(B2588)</x:f>
        <x:v>5</x:v>
      </x:c>
      <x:c r="G2588" s="30" t="n">
        <x:v>-32.58</x:v>
      </x:c>
      <x:c r="H2588" s="30" t="n">
        <x:v>-71.85</x:v>
      </x:c>
      <x:c r="I2588" s="29" t="n">
        <x:v>24</x:v>
      </x:c>
      <x:c r="J2588" s="31" t="n">
        <x:v>4</x:v>
      </x:c>
      <x:c r="K2588" s="25" t="str">
        <x:f>IF(J2588&gt;=7,"Muy fuerte (&gt;=7)",IF(J2588&gt;=6,"Fuerte (6-6.9)",IF(J2588&gt;=5,"Moderado alto (5-5.9)",IF(J2588&gt;=4,"Moderado (4-4.9)","Menor a 4"))))</x:f>
        <x:v>Moderado (4-4.9)</x:v>
      </x:c>
      <x:c r="L2588" s="25" t="str">
        <x:f>IF(I2588&lt;70,"Superficial (&lt;70 km)",IF(I2588&lt;=300,"Intermedio (70-300 km)","Profundo (&gt;300 km)"))</x:f>
        <x:v>Superficial (&lt;70 km)</x:v>
      </x:c>
      <x:c r="M2588" s="25" t="str">
        <x:f>IF(J2588&gt;=5,"Sí","No")</x:f>
        <x:v>No</x:v>
      </x:c>
      <x:c r="N2588" s="25" t="str">
        <x:f>IF(J2588&gt;=6,"Sí","No")</x:f>
        <x:v>No</x:v>
      </x:c>
      <x:c r="O2588" s="25" t="str">
        <x:v>Pendiente: asignar con R/sf</x:v>
      </x:c>
    </x:row>
    <x:row r="2589">
      <x:c r="A2589" s="25" t="n">
        <x:v>2588</x:v>
      </x:c>
      <x:c r="B2589" s="26" t="n">
        <x:v>42500.01119212963</x:v>
      </x:c>
      <x:c r="C2589" s="27" t="n">
        <x:f>INT(B2589)</x:f>
        <x:v>42500</x:v>
      </x:c>
      <x:c r="D2589" s="28" t="n">
        <x:f>MOD(B2589,1)</x:f>
        <x:v>0.011192129626579117</x:v>
      </x:c>
      <x:c r="E2589" s="29" t="n">
        <x:f>YEAR(B2589)</x:f>
        <x:v>2016</x:v>
      </x:c>
      <x:c r="F2589" s="29" t="n">
        <x:f>MONTH(B2589)</x:f>
        <x:v>5</x:v>
      </x:c>
      <x:c r="G2589" s="30" t="n">
        <x:v>-32.34</x:v>
      </x:c>
      <x:c r="H2589" s="30" t="n">
        <x:v>-71.67</x:v>
      </x:c>
      <x:c r="I2589" s="29" t="n">
        <x:v>57</x:v>
      </x:c>
      <x:c r="J2589" s="31" t="n">
        <x:v>4.3</x:v>
      </x:c>
      <x:c r="K2589" s="25" t="str">
        <x:f>IF(J2589&gt;=7,"Muy fuerte (&gt;=7)",IF(J2589&gt;=6,"Fuerte (6-6.9)",IF(J2589&gt;=5,"Moderado alto (5-5.9)",IF(J2589&gt;=4,"Moderado (4-4.9)","Menor a 4"))))</x:f>
        <x:v>Moderado (4-4.9)</x:v>
      </x:c>
      <x:c r="L2589" s="25" t="str">
        <x:f>IF(I2589&lt;70,"Superficial (&lt;70 km)",IF(I2589&lt;=300,"Intermedio (70-300 km)","Profundo (&gt;300 km)"))</x:f>
        <x:v>Superficial (&lt;70 km)</x:v>
      </x:c>
      <x:c r="M2589" s="25" t="str">
        <x:f>IF(J2589&gt;=5,"Sí","No")</x:f>
        <x:v>No</x:v>
      </x:c>
      <x:c r="N2589" s="25" t="str">
        <x:f>IF(J2589&gt;=6,"Sí","No")</x:f>
        <x:v>No</x:v>
      </x:c>
      <x:c r="O2589" s="25" t="str">
        <x:v>Pendiente: asignar con R/sf</x:v>
      </x:c>
    </x:row>
    <x:row r="2590">
      <x:c r="A2590" s="25" t="n">
        <x:v>2589</x:v>
      </x:c>
      <x:c r="B2590" s="26" t="n">
        <x:v>42520.24931712963</x:v>
      </x:c>
      <x:c r="C2590" s="27" t="n">
        <x:f>INT(B2590)</x:f>
        <x:v>42520</x:v>
      </x:c>
      <x:c r="D2590" s="28" t="n">
        <x:f>MOD(B2590,1)</x:f>
        <x:v>0.24931712963007158</x:v>
      </x:c>
      <x:c r="E2590" s="29" t="n">
        <x:f>YEAR(B2590)</x:f>
        <x:v>2016</x:v>
      </x:c>
      <x:c r="F2590" s="29" t="n">
        <x:f>MONTH(B2590)</x:f>
        <x:v>5</x:v>
      </x:c>
      <x:c r="G2590" s="30" t="n">
        <x:v>-32.23</x:v>
      </x:c>
      <x:c r="H2590" s="30" t="n">
        <x:v>-71.59</x:v>
      </x:c>
      <x:c r="I2590" s="29" t="n">
        <x:v>41</x:v>
      </x:c>
      <x:c r="J2590" s="31" t="n">
        <x:v>4.3</x:v>
      </x:c>
      <x:c r="K2590" s="25" t="str">
        <x:f>IF(J2590&gt;=7,"Muy fuerte (&gt;=7)",IF(J2590&gt;=6,"Fuerte (6-6.9)",IF(J2590&gt;=5,"Moderado alto (5-5.9)",IF(J2590&gt;=4,"Moderado (4-4.9)","Menor a 4"))))</x:f>
        <x:v>Moderado (4-4.9)</x:v>
      </x:c>
      <x:c r="L2590" s="25" t="str">
        <x:f>IF(I2590&lt;70,"Superficial (&lt;70 km)",IF(I2590&lt;=300,"Intermedio (70-300 km)","Profundo (&gt;300 km)"))</x:f>
        <x:v>Superficial (&lt;70 km)</x:v>
      </x:c>
      <x:c r="M2590" s="25" t="str">
        <x:f>IF(J2590&gt;=5,"Sí","No")</x:f>
        <x:v>No</x:v>
      </x:c>
      <x:c r="N2590" s="25" t="str">
        <x:f>IF(J2590&gt;=6,"Sí","No")</x:f>
        <x:v>No</x:v>
      </x:c>
      <x:c r="O2590" s="25" t="str">
        <x:v>Pendiente: asignar con R/sf</x:v>
      </x:c>
    </x:row>
    <x:row r="2591">
      <x:c r="A2591" s="25" t="n">
        <x:v>2590</x:v>
      </x:c>
      <x:c r="B2591" s="26" t="n">
        <x:v>42595.59842592593</x:v>
      </x:c>
      <x:c r="C2591" s="27" t="n">
        <x:f>INT(B2591)</x:f>
        <x:v>42595</x:v>
      </x:c>
      <x:c r="D2591" s="28" t="n">
        <x:f>MOD(B2591,1)</x:f>
        <x:v>0.5984259259275859</x:v>
      </x:c>
      <x:c r="E2591" s="29" t="n">
        <x:f>YEAR(B2591)</x:f>
        <x:v>2016</x:v>
      </x:c>
      <x:c r="F2591" s="29" t="n">
        <x:f>MONTH(B2591)</x:f>
        <x:v>8</x:v>
      </x:c>
      <x:c r="G2591" s="30" t="n">
        <x:v>-32.41</x:v>
      </x:c>
      <x:c r="H2591" s="30" t="n">
        <x:v>-71.66</x:v>
      </x:c>
      <x:c r="I2591" s="29" t="n">
        <x:v>36</x:v>
      </x:c>
      <x:c r="J2591" s="31" t="n">
        <x:v>4.1</x:v>
      </x:c>
      <x:c r="K2591" s="25" t="str">
        <x:f>IF(J2591&gt;=7,"Muy fuerte (&gt;=7)",IF(J2591&gt;=6,"Fuerte (6-6.9)",IF(J2591&gt;=5,"Moderado alto (5-5.9)",IF(J2591&gt;=4,"Moderado (4-4.9)","Menor a 4"))))</x:f>
        <x:v>Moderado (4-4.9)</x:v>
      </x:c>
      <x:c r="L2591" s="25" t="str">
        <x:f>IF(I2591&lt;70,"Superficial (&lt;70 km)",IF(I2591&lt;=300,"Intermedio (70-300 km)","Profundo (&gt;300 km)"))</x:f>
        <x:v>Superficial (&lt;70 km)</x:v>
      </x:c>
      <x:c r="M2591" s="25" t="str">
        <x:f>IF(J2591&gt;=5,"Sí","No")</x:f>
        <x:v>No</x:v>
      </x:c>
      <x:c r="N2591" s="25" t="str">
        <x:f>IF(J2591&gt;=6,"Sí","No")</x:f>
        <x:v>No</x:v>
      </x:c>
      <x:c r="O2591" s="25" t="str">
        <x:v>Pendiente: asignar con R/sf</x:v>
      </x:c>
    </x:row>
    <x:row r="2592">
      <x:c r="A2592" s="25" t="n">
        <x:v>2591</x:v>
      </x:c>
      <x:c r="B2592" s="26" t="n">
        <x:v>42609.81675925926</x:v>
      </x:c>
      <x:c r="C2592" s="27" t="n">
        <x:f>INT(B2592)</x:f>
        <x:v>42609</x:v>
      </x:c>
      <x:c r="D2592" s="28" t="n">
        <x:f>MOD(B2592,1)</x:f>
        <x:v>0.8167592592581059</x:v>
      </x:c>
      <x:c r="E2592" s="29" t="n">
        <x:f>YEAR(B2592)</x:f>
        <x:v>2016</x:v>
      </x:c>
      <x:c r="F2592" s="29" t="n">
        <x:f>MONTH(B2592)</x:f>
        <x:v>8</x:v>
      </x:c>
      <x:c r="G2592" s="30" t="n">
        <x:v>-32.81</x:v>
      </x:c>
      <x:c r="H2592" s="30" t="n">
        <x:v>-71.61</x:v>
      </x:c>
      <x:c r="I2592" s="29" t="n">
        <x:v>29</x:v>
      </x:c>
      <x:c r="J2592" s="31" t="n">
        <x:v>4.1</x:v>
      </x:c>
      <x:c r="K2592" s="25" t="str">
        <x:f>IF(J2592&gt;=7,"Muy fuerte (&gt;=7)",IF(J2592&gt;=6,"Fuerte (6-6.9)",IF(J2592&gt;=5,"Moderado alto (5-5.9)",IF(J2592&gt;=4,"Moderado (4-4.9)","Menor a 4"))))</x:f>
        <x:v>Moderado (4-4.9)</x:v>
      </x:c>
      <x:c r="L2592" s="25" t="str">
        <x:f>IF(I2592&lt;70,"Superficial (&lt;70 km)",IF(I2592&lt;=300,"Intermedio (70-300 km)","Profundo (&gt;300 km)"))</x:f>
        <x:v>Superficial (&lt;70 km)</x:v>
      </x:c>
      <x:c r="M2592" s="25" t="str">
        <x:f>IF(J2592&gt;=5,"Sí","No")</x:f>
        <x:v>No</x:v>
      </x:c>
      <x:c r="N2592" s="25" t="str">
        <x:f>IF(J2592&gt;=6,"Sí","No")</x:f>
        <x:v>No</x:v>
      </x:c>
      <x:c r="O2592" s="25" t="str">
        <x:v>Pendiente: asignar con R/sf</x:v>
      </x:c>
    </x:row>
    <x:row r="2593">
      <x:c r="A2593" s="25" t="n">
        <x:v>2592</x:v>
      </x:c>
      <x:c r="B2593" s="26" t="n">
        <x:v>42598.77976851852</x:v>
      </x:c>
      <x:c r="C2593" s="27" t="n">
        <x:f>INT(B2593)</x:f>
        <x:v>42598</x:v>
      </x:c>
      <x:c r="D2593" s="28" t="n">
        <x:f>MOD(B2593,1)</x:f>
        <x:v>0.7797685185214505</x:v>
      </x:c>
      <x:c r="E2593" s="29" t="n">
        <x:f>YEAR(B2593)</x:f>
        <x:v>2016</x:v>
      </x:c>
      <x:c r="F2593" s="29" t="n">
        <x:f>MONTH(B2593)</x:f>
        <x:v>8</x:v>
      </x:c>
      <x:c r="G2593" s="30" t="n">
        <x:v>-33.59</x:v>
      </x:c>
      <x:c r="H2593" s="30" t="n">
        <x:v>-71.96</x:v>
      </x:c>
      <x:c r="I2593" s="29" t="n">
        <x:v>25</x:v>
      </x:c>
      <x:c r="J2593" s="31" t="n">
        <x:v>4.3</x:v>
      </x:c>
      <x:c r="K2593" s="25" t="str">
        <x:f>IF(J2593&gt;=7,"Muy fuerte (&gt;=7)",IF(J2593&gt;=6,"Fuerte (6-6.9)",IF(J2593&gt;=5,"Moderado alto (5-5.9)",IF(J2593&gt;=4,"Moderado (4-4.9)","Menor a 4"))))</x:f>
        <x:v>Moderado (4-4.9)</x:v>
      </x:c>
      <x:c r="L2593" s="25" t="str">
        <x:f>IF(I2593&lt;70,"Superficial (&lt;70 km)",IF(I2593&lt;=300,"Intermedio (70-300 km)","Profundo (&gt;300 km)"))</x:f>
        <x:v>Superficial (&lt;70 km)</x:v>
      </x:c>
      <x:c r="M2593" s="25" t="str">
        <x:f>IF(J2593&gt;=5,"Sí","No")</x:f>
        <x:v>No</x:v>
      </x:c>
      <x:c r="N2593" s="25" t="str">
        <x:f>IF(J2593&gt;=6,"Sí","No")</x:f>
        <x:v>No</x:v>
      </x:c>
      <x:c r="O2593" s="25" t="str">
        <x:v>Pendiente: asignar con R/sf</x:v>
      </x:c>
    </x:row>
    <x:row r="2594">
      <x:c r="A2594" s="25" t="n">
        <x:v>2593</x:v>
      </x:c>
      <x:c r="B2594" s="26" t="n">
        <x:v>42385.025983796295</x:v>
      </x:c>
      <x:c r="C2594" s="27" t="n">
        <x:f>INT(B2594)</x:f>
        <x:v>42385</x:v>
      </x:c>
      <x:c r="D2594" s="28" t="n">
        <x:f>MOD(B2594,1)</x:f>
        <x:v>0.025983796294895</x:v>
      </x:c>
      <x:c r="E2594" s="29" t="n">
        <x:f>YEAR(B2594)</x:f>
        <x:v>2016</x:v>
      </x:c>
      <x:c r="F2594" s="29" t="n">
        <x:f>MONTH(B2594)</x:f>
        <x:v>1</x:v>
      </x:c>
      <x:c r="G2594" s="30" t="n">
        <x:v>-36.71</x:v>
      </x:c>
      <x:c r="H2594" s="30" t="n">
        <x:v>-72.56</x:v>
      </x:c>
      <x:c r="I2594" s="29" t="n">
        <x:v>67</x:v>
      </x:c>
      <x:c r="J2594" s="31" t="n">
        <x:v>4</x:v>
      </x:c>
      <x:c r="K2594" s="25" t="str">
        <x:f>IF(J2594&gt;=7,"Muy fuerte (&gt;=7)",IF(J2594&gt;=6,"Fuerte (6-6.9)",IF(J2594&gt;=5,"Moderado alto (5-5.9)",IF(J2594&gt;=4,"Moderado (4-4.9)","Menor a 4"))))</x:f>
        <x:v>Moderado (4-4.9)</x:v>
      </x:c>
      <x:c r="L2594" s="25" t="str">
        <x:f>IF(I2594&lt;70,"Superficial (&lt;70 km)",IF(I2594&lt;=300,"Intermedio (70-300 km)","Profundo (&gt;300 km)"))</x:f>
        <x:v>Superficial (&lt;70 km)</x:v>
      </x:c>
      <x:c r="M2594" s="25" t="str">
        <x:f>IF(J2594&gt;=5,"Sí","No")</x:f>
        <x:v>No</x:v>
      </x:c>
      <x:c r="N2594" s="25" t="str">
        <x:f>IF(J2594&gt;=6,"Sí","No")</x:f>
        <x:v>No</x:v>
      </x:c>
      <x:c r="O2594" s="25" t="str">
        <x:v>Pendiente: asignar con R/sf</x:v>
      </x:c>
    </x:row>
    <x:row r="2595">
      <x:c r="A2595" s="25" t="n">
        <x:v>2594</x:v>
      </x:c>
      <x:c r="B2595" s="26" t="n">
        <x:v>42507.779074074075</x:v>
      </x:c>
      <x:c r="C2595" s="27" t="n">
        <x:f>INT(B2595)</x:f>
        <x:v>42507</x:v>
      </x:c>
      <x:c r="D2595" s="28" t="n">
        <x:f>MOD(B2595,1)</x:f>
        <x:v>0.7790740740747424</x:v>
      </x:c>
      <x:c r="E2595" s="29" t="n">
        <x:f>YEAR(B2595)</x:f>
        <x:v>2016</x:v>
      </x:c>
      <x:c r="F2595" s="29" t="n">
        <x:f>MONTH(B2595)</x:f>
        <x:v>5</x:v>
      </x:c>
      <x:c r="G2595" s="30" t="n">
        <x:v>-38.25</x:v>
      </x:c>
      <x:c r="H2595" s="30" t="n">
        <x:v>-74.09</x:v>
      </x:c>
      <x:c r="I2595" s="29" t="n">
        <x:v>33</x:v>
      </x:c>
      <x:c r="J2595" s="31" t="n">
        <x:v>5</x:v>
      </x:c>
      <x:c r="K2595" s="25" t="str">
        <x:f>IF(J2595&gt;=7,"Muy fuerte (&gt;=7)",IF(J2595&gt;=6,"Fuerte (6-6.9)",IF(J2595&gt;=5,"Moderado alto (5-5.9)",IF(J2595&gt;=4,"Moderado (4-4.9)","Menor a 4"))))</x:f>
        <x:v>Moderado alto (5-5.9)</x:v>
      </x:c>
      <x:c r="L2595" s="25" t="str">
        <x:f>IF(I2595&lt;70,"Superficial (&lt;70 km)",IF(I2595&lt;=300,"Intermedio (70-300 km)","Profundo (&gt;300 km)"))</x:f>
        <x:v>Superficial (&lt;70 km)</x:v>
      </x:c>
      <x:c r="M2595" s="25" t="str">
        <x:f>IF(J2595&gt;=5,"Sí","No")</x:f>
        <x:v>Sí</x:v>
      </x:c>
      <x:c r="N2595" s="25" t="str">
        <x:f>IF(J2595&gt;=6,"Sí","No")</x:f>
        <x:v>No</x:v>
      </x:c>
      <x:c r="O2595" s="25" t="str">
        <x:v>Pendiente: asignar con R/sf</x:v>
      </x:c>
    </x:row>
    <x:row r="2596">
      <x:c r="A2596" s="25" t="n">
        <x:v>2595</x:v>
      </x:c>
      <x:c r="B2596" s="26" t="n">
        <x:v>42516.55939814815</x:v>
      </x:c>
      <x:c r="C2596" s="27" t="n">
        <x:f>INT(B2596)</x:f>
        <x:v>42516</x:v>
      </x:c>
      <x:c r="D2596" s="28" t="n">
        <x:f>MOD(B2596,1)</x:f>
        <x:v>0.5593981481506489</x:v>
      </x:c>
      <x:c r="E2596" s="29" t="n">
        <x:f>YEAR(B2596)</x:f>
        <x:v>2016</x:v>
      </x:c>
      <x:c r="F2596" s="29" t="n">
        <x:f>MONTH(B2596)</x:f>
        <x:v>5</x:v>
      </x:c>
      <x:c r="G2596" s="30" t="n">
        <x:v>-38.42</x:v>
      </x:c>
      <x:c r="H2596" s="30" t="n">
        <x:v>-73.34</x:v>
      </x:c>
      <x:c r="I2596" s="29" t="n">
        <x:v>39</x:v>
      </x:c>
      <x:c r="J2596" s="31" t="n">
        <x:v>4.4</x:v>
      </x:c>
      <x:c r="K2596" s="25" t="str">
        <x:f>IF(J2596&gt;=7,"Muy fuerte (&gt;=7)",IF(J2596&gt;=6,"Fuerte (6-6.9)",IF(J2596&gt;=5,"Moderado alto (5-5.9)",IF(J2596&gt;=4,"Moderado (4-4.9)","Menor a 4"))))</x:f>
        <x:v>Moderado (4-4.9)</x:v>
      </x:c>
      <x:c r="L2596" s="25" t="str">
        <x:f>IF(I2596&lt;70,"Superficial (&lt;70 km)",IF(I2596&lt;=300,"Intermedio (70-300 km)","Profundo (&gt;300 km)"))</x:f>
        <x:v>Superficial (&lt;70 km)</x:v>
      </x:c>
      <x:c r="M2596" s="25" t="str">
        <x:f>IF(J2596&gt;=5,"Sí","No")</x:f>
        <x:v>No</x:v>
      </x:c>
      <x:c r="N2596" s="25" t="str">
        <x:f>IF(J2596&gt;=6,"Sí","No")</x:f>
        <x:v>No</x:v>
      </x:c>
      <x:c r="O2596" s="25" t="str">
        <x:v>Pendiente: asignar con R/sf</x:v>
      </x:c>
    </x:row>
    <x:row r="2597">
      <x:c r="A2597" s="25" t="n">
        <x:v>2596</x:v>
      </x:c>
      <x:c r="B2597" s="26" t="n">
        <x:v>42609.8431712963</x:v>
      </x:c>
      <x:c r="C2597" s="27" t="n">
        <x:f>INT(B2597)</x:f>
        <x:v>42609</x:v>
      </x:c>
      <x:c r="D2597" s="28" t="n">
        <x:f>MOD(B2597,1)</x:f>
        <x:v>0.8431712962992606</x:v>
      </x:c>
      <x:c r="E2597" s="29" t="n">
        <x:f>YEAR(B2597)</x:f>
        <x:v>2016</x:v>
      </x:c>
      <x:c r="F2597" s="29" t="n">
        <x:f>MONTH(B2597)</x:f>
        <x:v>8</x:v>
      </x:c>
      <x:c r="G2597" s="30" t="n">
        <x:v>-38.15</x:v>
      </x:c>
      <x:c r="H2597" s="30" t="n">
        <x:v>-73.39</x:v>
      </x:c>
      <x:c r="I2597" s="29" t="n">
        <x:v>29</x:v>
      </x:c>
      <x:c r="J2597" s="31" t="n">
        <x:v>4.9</x:v>
      </x:c>
      <x:c r="K2597" s="25" t="str">
        <x:f>IF(J2597&gt;=7,"Muy fuerte (&gt;=7)",IF(J2597&gt;=6,"Fuerte (6-6.9)",IF(J2597&gt;=5,"Moderado alto (5-5.9)",IF(J2597&gt;=4,"Moderado (4-4.9)","Menor a 4"))))</x:f>
        <x:v>Moderado (4-4.9)</x:v>
      </x:c>
      <x:c r="L2597" s="25" t="str">
        <x:f>IF(I2597&lt;70,"Superficial (&lt;70 km)",IF(I2597&lt;=300,"Intermedio (70-300 km)","Profundo (&gt;300 km)"))</x:f>
        <x:v>Superficial (&lt;70 km)</x:v>
      </x:c>
      <x:c r="M2597" s="25" t="str">
        <x:f>IF(J2597&gt;=5,"Sí","No")</x:f>
        <x:v>No</x:v>
      </x:c>
      <x:c r="N2597" s="25" t="str">
        <x:f>IF(J2597&gt;=6,"Sí","No")</x:f>
        <x:v>No</x:v>
      </x:c>
      <x:c r="O2597" s="25" t="str">
        <x:v>Pendiente: asignar con R/sf</x:v>
      </x:c>
    </x:row>
    <x:row r="2598">
      <x:c r="A2598" s="25" t="n">
        <x:v>2597</x:v>
      </x:c>
      <x:c r="B2598" s="26" t="n">
        <x:v>42628.6466087963</x:v>
      </x:c>
      <x:c r="C2598" s="27" t="n">
        <x:f>INT(B2598)</x:f>
        <x:v>42628</x:v>
      </x:c>
      <x:c r="D2598" s="28" t="n">
        <x:f>MOD(B2598,1)</x:f>
        <x:v>0.6466087962980964</x:v>
      </x:c>
      <x:c r="E2598" s="29" t="n">
        <x:f>YEAR(B2598)</x:f>
        <x:v>2016</x:v>
      </x:c>
      <x:c r="F2598" s="29" t="n">
        <x:f>MONTH(B2598)</x:f>
        <x:v>9</x:v>
      </x:c>
      <x:c r="G2598" s="30" t="n">
        <x:v>-38.09</x:v>
      </x:c>
      <x:c r="H2598" s="30" t="n">
        <x:v>-73.47</x:v>
      </x:c>
      <x:c r="I2598" s="29" t="n">
        <x:v>32</x:v>
      </x:c>
      <x:c r="J2598" s="31" t="n">
        <x:v>4.8</x:v>
      </x:c>
      <x:c r="K2598" s="25" t="str">
        <x:f>IF(J2598&gt;=7,"Muy fuerte (&gt;=7)",IF(J2598&gt;=6,"Fuerte (6-6.9)",IF(J2598&gt;=5,"Moderado alto (5-5.9)",IF(J2598&gt;=4,"Moderado (4-4.9)","Menor a 4"))))</x:f>
        <x:v>Moderado (4-4.9)</x:v>
      </x:c>
      <x:c r="L2598" s="25" t="str">
        <x:f>IF(I2598&lt;70,"Superficial (&lt;70 km)",IF(I2598&lt;=300,"Intermedio (70-300 km)","Profundo (&gt;300 km)"))</x:f>
        <x:v>Superficial (&lt;70 km)</x:v>
      </x:c>
      <x:c r="M2598" s="25" t="str">
        <x:f>IF(J2598&gt;=5,"Sí","No")</x:f>
        <x:v>No</x:v>
      </x:c>
      <x:c r="N2598" s="25" t="str">
        <x:f>IF(J2598&gt;=6,"Sí","No")</x:f>
        <x:v>No</x:v>
      </x:c>
      <x:c r="O2598" s="25" t="str">
        <x:v>Pendiente: asignar con R/sf</x:v>
      </x:c>
    </x:row>
    <x:row r="2599">
      <x:c r="A2599" s="25" t="n">
        <x:v>2598</x:v>
      </x:c>
      <x:c r="B2599" s="26" t="n">
        <x:v>42630.16385416667</x:v>
      </x:c>
      <x:c r="C2599" s="27" t="n">
        <x:f>INT(B2599)</x:f>
        <x:v>42630</x:v>
      </x:c>
      <x:c r="D2599" s="28" t="n">
        <x:f>MOD(B2599,1)</x:f>
        <x:v>0.16385416666889796</x:v>
      </x:c>
      <x:c r="E2599" s="29" t="n">
        <x:f>YEAR(B2599)</x:f>
        <x:v>2016</x:v>
      </x:c>
      <x:c r="F2599" s="29" t="n">
        <x:f>MONTH(B2599)</x:f>
        <x:v>9</x:v>
      </x:c>
      <x:c r="G2599" s="30" t="n">
        <x:v>-37.28</x:v>
      </x:c>
      <x:c r="H2599" s="30" t="n">
        <x:v>-73.89</x:v>
      </x:c>
      <x:c r="I2599" s="29" t="n">
        <x:v>42</x:v>
      </x:c>
      <x:c r="J2599" s="31" t="n">
        <x:v>5.1</x:v>
      </x:c>
      <x:c r="K2599" s="25" t="str">
        <x:f>IF(J2599&gt;=7,"Muy fuerte (&gt;=7)",IF(J2599&gt;=6,"Fuerte (6-6.9)",IF(J2599&gt;=5,"Moderado alto (5-5.9)",IF(J2599&gt;=4,"Moderado (4-4.9)","Menor a 4"))))</x:f>
        <x:v>Moderado alto (5-5.9)</x:v>
      </x:c>
      <x:c r="L2599" s="25" t="str">
        <x:f>IF(I2599&lt;70,"Superficial (&lt;70 km)",IF(I2599&lt;=300,"Intermedio (70-300 km)","Profundo (&gt;300 km)"))</x:f>
        <x:v>Superficial (&lt;70 km)</x:v>
      </x:c>
      <x:c r="M2599" s="25" t="str">
        <x:f>IF(J2599&gt;=5,"Sí","No")</x:f>
        <x:v>Sí</x:v>
      </x:c>
      <x:c r="N2599" s="25" t="str">
        <x:f>IF(J2599&gt;=6,"Sí","No")</x:f>
        <x:v>No</x:v>
      </x:c>
      <x:c r="O2599" s="25" t="str">
        <x:v>Pendiente: asignar con R/sf</x:v>
      </x:c>
    </x:row>
    <x:row r="2600">
      <x:c r="A2600" s="25" t="n">
        <x:v>2599</x:v>
      </x:c>
      <x:c r="B2600" s="26" t="n">
        <x:v>42682.715219907404</x:v>
      </x:c>
      <x:c r="C2600" s="27" t="n">
        <x:f>INT(B2600)</x:f>
        <x:v>42682</x:v>
      </x:c>
      <x:c r="D2600" s="28" t="n">
        <x:f>MOD(B2600,1)</x:f>
        <x:v>0.7152199074043892</x:v>
      </x:c>
      <x:c r="E2600" s="29" t="n">
        <x:f>YEAR(B2600)</x:f>
        <x:v>2016</x:v>
      </x:c>
      <x:c r="F2600" s="29" t="n">
        <x:f>MONTH(B2600)</x:f>
        <x:v>11</x:v>
      </x:c>
      <x:c r="G2600" s="30" t="n">
        <x:v>-38.45</x:v>
      </x:c>
      <x:c r="H2600" s="30" t="n">
        <x:v>-74.17</x:v>
      </x:c>
      <x:c r="I2600" s="29" t="n">
        <x:v>15</x:v>
      </x:c>
      <x:c r="J2600" s="31" t="n">
        <x:v>5</x:v>
      </x:c>
      <x:c r="K2600" s="25" t="str">
        <x:f>IF(J2600&gt;=7,"Muy fuerte (&gt;=7)",IF(J2600&gt;=6,"Fuerte (6-6.9)",IF(J2600&gt;=5,"Moderado alto (5-5.9)",IF(J2600&gt;=4,"Moderado (4-4.9)","Menor a 4"))))</x:f>
        <x:v>Moderado alto (5-5.9)</x:v>
      </x:c>
      <x:c r="L2600" s="25" t="str">
        <x:f>IF(I2600&lt;70,"Superficial (&lt;70 km)",IF(I2600&lt;=300,"Intermedio (70-300 km)","Profundo (&gt;300 km)"))</x:f>
        <x:v>Superficial (&lt;70 km)</x:v>
      </x:c>
      <x:c r="M2600" s="25" t="str">
        <x:f>IF(J2600&gt;=5,"Sí","No")</x:f>
        <x:v>Sí</x:v>
      </x:c>
      <x:c r="N2600" s="25" t="str">
        <x:f>IF(J2600&gt;=6,"Sí","No")</x:f>
        <x:v>No</x:v>
      </x:c>
      <x:c r="O2600" s="25" t="str">
        <x:v>Pendiente: asignar con R/sf</x:v>
      </x:c>
    </x:row>
    <x:row r="2601">
      <x:c r="A2601" s="25" t="n">
        <x:v>2600</x:v>
      </x:c>
      <x:c r="B2601" s="26" t="n">
        <x:v>42695.5359837963</x:v>
      </x:c>
      <x:c r="C2601" s="27" t="n">
        <x:f>INT(B2601)</x:f>
        <x:v>42695</x:v>
      </x:c>
      <x:c r="D2601" s="28" t="n">
        <x:f>MOD(B2601,1)</x:f>
        <x:v>0.5359837962969323</x:v>
      </x:c>
      <x:c r="E2601" s="29" t="n">
        <x:f>YEAR(B2601)</x:f>
        <x:v>2016</x:v>
      </x:c>
      <x:c r="F2601" s="29" t="n">
        <x:f>MONTH(B2601)</x:f>
        <x:v>11</x:v>
      </x:c>
      <x:c r="G2601" s="30" t="n">
        <x:v>-38.16</x:v>
      </x:c>
      <x:c r="H2601" s="30" t="n">
        <x:v>-74.02</x:v>
      </x:c>
      <x:c r="I2601" s="29" t="n">
        <x:v>30</x:v>
      </x:c>
      <x:c r="J2601" s="31" t="n">
        <x:v>4.9</x:v>
      </x:c>
      <x:c r="K2601" s="25" t="str">
        <x:f>IF(J2601&gt;=7,"Muy fuerte (&gt;=7)",IF(J2601&gt;=6,"Fuerte (6-6.9)",IF(J2601&gt;=5,"Moderado alto (5-5.9)",IF(J2601&gt;=4,"Moderado (4-4.9)","Menor a 4"))))</x:f>
        <x:v>Moderado (4-4.9)</x:v>
      </x:c>
      <x:c r="L2601" s="25" t="str">
        <x:f>IF(I2601&lt;70,"Superficial (&lt;70 km)",IF(I2601&lt;=300,"Intermedio (70-300 km)","Profundo (&gt;300 km)"))</x:f>
        <x:v>Superficial (&lt;70 km)</x:v>
      </x:c>
      <x:c r="M2601" s="25" t="str">
        <x:f>IF(J2601&gt;=5,"Sí","No")</x:f>
        <x:v>No</x:v>
      </x:c>
      <x:c r="N2601" s="25" t="str">
        <x:f>IF(J2601&gt;=6,"Sí","No")</x:f>
        <x:v>No</x:v>
      </x:c>
      <x:c r="O2601" s="25" t="str">
        <x:v>Pendiente: asignar con R/sf</x:v>
      </x:c>
    </x:row>
    <x:row r="2602">
      <x:c r="A2602" s="25" t="n">
        <x:v>2601</x:v>
      </x:c>
      <x:c r="B2602" s="26" t="n">
        <x:v>42612.33966435185</x:v>
      </x:c>
      <x:c r="C2602" s="27" t="n">
        <x:f>INT(B2602)</x:f>
        <x:v>42612</x:v>
      </x:c>
      <x:c r="D2602" s="28" t="n">
        <x:f>MOD(B2602,1)</x:f>
        <x:v>0.33966435184993315</x:v>
      </x:c>
      <x:c r="E2602" s="29" t="n">
        <x:f>YEAR(B2602)</x:f>
        <x:v>2016</x:v>
      </x:c>
      <x:c r="F2602" s="29" t="n">
        <x:f>MONTH(B2602)</x:f>
        <x:v>8</x:v>
      </x:c>
      <x:c r="G2602" s="30" t="n">
        <x:v>-34.87</x:v>
      </x:c>
      <x:c r="H2602" s="30" t="n">
        <x:v>-72.58</x:v>
      </x:c>
      <x:c r="I2602" s="29" t="n">
        <x:v>12</x:v>
      </x:c>
      <x:c r="J2602" s="31" t="n">
        <x:v>5.1</x:v>
      </x:c>
      <x:c r="K2602" s="25" t="str">
        <x:f>IF(J2602&gt;=7,"Muy fuerte (&gt;=7)",IF(J2602&gt;=6,"Fuerte (6-6.9)",IF(J2602&gt;=5,"Moderado alto (5-5.9)",IF(J2602&gt;=4,"Moderado (4-4.9)","Menor a 4"))))</x:f>
        <x:v>Moderado alto (5-5.9)</x:v>
      </x:c>
      <x:c r="L2602" s="25" t="str">
        <x:f>IF(I2602&lt;70,"Superficial (&lt;70 km)",IF(I2602&lt;=300,"Intermedio (70-300 km)","Profundo (&gt;300 km)"))</x:f>
        <x:v>Superficial (&lt;70 km)</x:v>
      </x:c>
      <x:c r="M2602" s="25" t="str">
        <x:f>IF(J2602&gt;=5,"Sí","No")</x:f>
        <x:v>Sí</x:v>
      </x:c>
      <x:c r="N2602" s="25" t="str">
        <x:f>IF(J2602&gt;=6,"Sí","No")</x:f>
        <x:v>No</x:v>
      </x:c>
      <x:c r="O2602" s="25" t="str">
        <x:v>Pendiente: asignar con R/sf</x:v>
      </x:c>
    </x:row>
    <x:row r="2603">
      <x:c r="A2603" s="25" t="n">
        <x:v>2602</x:v>
      </x:c>
      <x:c r="B2603" s="26" t="n">
        <x:v>42663.19325231481</x:v>
      </x:c>
      <x:c r="C2603" s="27" t="n">
        <x:f>INT(B2603)</x:f>
        <x:v>42663</x:v>
      </x:c>
      <x:c r="D2603" s="28" t="n">
        <x:f>MOD(B2603,1)</x:f>
        <x:v>0.19325231481343508</x:v>
      </x:c>
      <x:c r="E2603" s="29" t="n">
        <x:f>YEAR(B2603)</x:f>
        <x:v>2016</x:v>
      </x:c>
      <x:c r="F2603" s="29" t="n">
        <x:f>MONTH(B2603)</x:f>
        <x:v>10</x:v>
      </x:c>
      <x:c r="G2603" s="30" t="n">
        <x:v>-36.46</x:v>
      </x:c>
      <x:c r="H2603" s="30" t="n">
        <x:v>-72.58</x:v>
      </x:c>
      <x:c r="I2603" s="29" t="n">
        <x:v>69</x:v>
      </x:c>
      <x:c r="J2603" s="31" t="n">
        <x:v>4.3</x:v>
      </x:c>
      <x:c r="K2603" s="25" t="str">
        <x:f>IF(J2603&gt;=7,"Muy fuerte (&gt;=7)",IF(J2603&gt;=6,"Fuerte (6-6.9)",IF(J2603&gt;=5,"Moderado alto (5-5.9)",IF(J2603&gt;=4,"Moderado (4-4.9)","Menor a 4"))))</x:f>
        <x:v>Moderado (4-4.9)</x:v>
      </x:c>
      <x:c r="L2603" s="25" t="str">
        <x:f>IF(I2603&lt;70,"Superficial (&lt;70 km)",IF(I2603&lt;=300,"Intermedio (70-300 km)","Profundo (&gt;300 km)"))</x:f>
        <x:v>Superficial (&lt;70 km)</x:v>
      </x:c>
      <x:c r="M2603" s="25" t="str">
        <x:f>IF(J2603&gt;=5,"Sí","No")</x:f>
        <x:v>No</x:v>
      </x:c>
      <x:c r="N2603" s="25" t="str">
        <x:f>IF(J2603&gt;=6,"Sí","No")</x:f>
        <x:v>No</x:v>
      </x:c>
      <x:c r="O2603" s="25" t="str">
        <x:v>Pendiente: asignar con R/sf</x:v>
      </x:c>
    </x:row>
    <x:row r="2604">
      <x:c r="A2604" s="25" t="n">
        <x:v>2603</x:v>
      </x:c>
      <x:c r="B2604" s="26" t="n">
        <x:v>42682.205358796295</x:v>
      </x:c>
      <x:c r="C2604" s="27" t="n">
        <x:f>INT(B2604)</x:f>
        <x:v>42682</x:v>
      </x:c>
      <x:c r="D2604" s="28" t="n">
        <x:f>MOD(B2604,1)</x:f>
        <x:v>0.20535879629460396</x:v>
      </x:c>
      <x:c r="E2604" s="29" t="n">
        <x:f>YEAR(B2604)</x:f>
        <x:v>2016</x:v>
      </x:c>
      <x:c r="F2604" s="29" t="n">
        <x:f>MONTH(B2604)</x:f>
        <x:v>11</x:v>
      </x:c>
      <x:c r="G2604" s="30" t="n">
        <x:v>-36.62</x:v>
      </x:c>
      <x:c r="H2604" s="30" t="n">
        <x:v>-73.73</x:v>
      </x:c>
      <x:c r="I2604" s="29" t="n">
        <x:v>15</x:v>
      </x:c>
      <x:c r="J2604" s="31" t="n">
        <x:v>5.9</x:v>
      </x:c>
      <x:c r="K2604" s="25" t="str">
        <x:f>IF(J2604&gt;=7,"Muy fuerte (&gt;=7)",IF(J2604&gt;=6,"Fuerte (6-6.9)",IF(J2604&gt;=5,"Moderado alto (5-5.9)",IF(J2604&gt;=4,"Moderado (4-4.9)","Menor a 4"))))</x:f>
        <x:v>Moderado alto (5-5.9)</x:v>
      </x:c>
      <x:c r="L2604" s="25" t="str">
        <x:f>IF(I2604&lt;70,"Superficial (&lt;70 km)",IF(I2604&lt;=300,"Intermedio (70-300 km)","Profundo (&gt;300 km)"))</x:f>
        <x:v>Superficial (&lt;70 km)</x:v>
      </x:c>
      <x:c r="M2604" s="25" t="str">
        <x:f>IF(J2604&gt;=5,"Sí","No")</x:f>
        <x:v>Sí</x:v>
      </x:c>
      <x:c r="N2604" s="25" t="str">
        <x:f>IF(J2604&gt;=6,"Sí","No")</x:f>
        <x:v>No</x:v>
      </x:c>
      <x:c r="O2604" s="25" t="str">
        <x:v>Pendiente: asignar con R/sf</x:v>
      </x:c>
    </x:row>
    <x:row r="2605">
      <x:c r="A2605" s="25" t="n">
        <x:v>2604</x:v>
      </x:c>
      <x:c r="B2605" s="26" t="n">
        <x:v>42682.21965277778</x:v>
      </x:c>
      <x:c r="C2605" s="27" t="n">
        <x:f>INT(B2605)</x:f>
        <x:v>42682</x:v>
      </x:c>
      <x:c r="D2605" s="28" t="n">
        <x:f>MOD(B2605,1)</x:f>
        <x:v>0.21965277777781012</x:v>
      </x:c>
      <x:c r="E2605" s="29" t="n">
        <x:f>YEAR(B2605)</x:f>
        <x:v>2016</x:v>
      </x:c>
      <x:c r="F2605" s="29" t="n">
        <x:f>MONTH(B2605)</x:f>
        <x:v>11</x:v>
      </x:c>
      <x:c r="G2605" s="30" t="n">
        <x:v>-36.7</x:v>
      </x:c>
      <x:c r="H2605" s="30" t="n">
        <x:v>-73.52</x:v>
      </x:c>
      <x:c r="I2605" s="29" t="n">
        <x:v>21</x:v>
      </x:c>
      <x:c r="J2605" s="31" t="n">
        <x:v>4.6</x:v>
      </x:c>
      <x:c r="K2605" s="25" t="str">
        <x:f>IF(J2605&gt;=7,"Muy fuerte (&gt;=7)",IF(J2605&gt;=6,"Fuerte (6-6.9)",IF(J2605&gt;=5,"Moderado alto (5-5.9)",IF(J2605&gt;=4,"Moderado (4-4.9)","Menor a 4"))))</x:f>
        <x:v>Moderado (4-4.9)</x:v>
      </x:c>
      <x:c r="L2605" s="25" t="str">
        <x:f>IF(I2605&lt;70,"Superficial (&lt;70 km)",IF(I2605&lt;=300,"Intermedio (70-300 km)","Profundo (&gt;300 km)"))</x:f>
        <x:v>Superficial (&lt;70 km)</x:v>
      </x:c>
      <x:c r="M2605" s="25" t="str">
        <x:f>IF(J2605&gt;=5,"Sí","No")</x:f>
        <x:v>No</x:v>
      </x:c>
      <x:c r="N2605" s="25" t="str">
        <x:f>IF(J2605&gt;=6,"Sí","No")</x:f>
        <x:v>No</x:v>
      </x:c>
      <x:c r="O2605" s="25" t="str">
        <x:v>Pendiente: asignar con R/sf</x:v>
      </x:c>
    </x:row>
    <x:row r="2606">
      <x:c r="A2606" s="25" t="n">
        <x:v>2605</x:v>
      </x:c>
      <x:c r="B2606" s="26" t="n">
        <x:v>42682.239386574074</x:v>
      </x:c>
      <x:c r="C2606" s="27" t="n">
        <x:f>INT(B2606)</x:f>
        <x:v>42682</x:v>
      </x:c>
      <x:c r="D2606" s="28" t="n">
        <x:f>MOD(B2606,1)</x:f>
        <x:v>0.2393865740741603</x:v>
      </x:c>
      <x:c r="E2606" s="29" t="n">
        <x:f>YEAR(B2606)</x:f>
        <x:v>2016</x:v>
      </x:c>
      <x:c r="F2606" s="29" t="n">
        <x:f>MONTH(B2606)</x:f>
        <x:v>11</x:v>
      </x:c>
      <x:c r="G2606" s="30" t="n">
        <x:v>-36.7</x:v>
      </x:c>
      <x:c r="H2606" s="30" t="n">
        <x:v>-73.59</x:v>
      </x:c>
      <x:c r="I2606" s="29" t="n">
        <x:v>10</x:v>
      </x:c>
      <x:c r="J2606" s="31" t="n">
        <x:v>4.9</x:v>
      </x:c>
      <x:c r="K2606" s="25" t="str">
        <x:f>IF(J2606&gt;=7,"Muy fuerte (&gt;=7)",IF(J2606&gt;=6,"Fuerte (6-6.9)",IF(J2606&gt;=5,"Moderado alto (5-5.9)",IF(J2606&gt;=4,"Moderado (4-4.9)","Menor a 4"))))</x:f>
        <x:v>Moderado (4-4.9)</x:v>
      </x:c>
      <x:c r="L2606" s="25" t="str">
        <x:f>IF(I2606&lt;70,"Superficial (&lt;70 km)",IF(I2606&lt;=300,"Intermedio (70-300 km)","Profundo (&gt;300 km)"))</x:f>
        <x:v>Superficial (&lt;70 km)</x:v>
      </x:c>
      <x:c r="M2606" s="25" t="str">
        <x:f>IF(J2606&gt;=5,"Sí","No")</x:f>
        <x:v>No</x:v>
      </x:c>
      <x:c r="N2606" s="25" t="str">
        <x:f>IF(J2606&gt;=6,"Sí","No")</x:f>
        <x:v>No</x:v>
      </x:c>
      <x:c r="O2606" s="25" t="str">
        <x:v>Pendiente: asignar con R/sf</x:v>
      </x:c>
    </x:row>
    <x:row r="2607">
      <x:c r="A2607" s="25" t="n">
        <x:v>2606</x:v>
      </x:c>
      <x:c r="B2607" s="26" t="n">
        <x:v>42682.29723379629</x:v>
      </x:c>
      <x:c r="C2607" s="27" t="n">
        <x:f>INT(B2607)</x:f>
        <x:v>42682</x:v>
      </x:c>
      <x:c r="D2607" s="28" t="n">
        <x:f>MOD(B2607,1)</x:f>
        <x:v>0.29723379629285773</x:v>
      </x:c>
      <x:c r="E2607" s="29" t="n">
        <x:f>YEAR(B2607)</x:f>
        <x:v>2016</x:v>
      </x:c>
      <x:c r="F2607" s="29" t="n">
        <x:f>MONTH(B2607)</x:f>
        <x:v>11</x:v>
      </x:c>
      <x:c r="G2607" s="30" t="n">
        <x:v>-36.66</x:v>
      </x:c>
      <x:c r="H2607" s="30" t="n">
        <x:v>-73.61</x:v>
      </x:c>
      <x:c r="I2607" s="29" t="n">
        <x:v>27</x:v>
      </x:c>
      <x:c r="J2607" s="31" t="n">
        <x:v>5.1</x:v>
      </x:c>
      <x:c r="K2607" s="25" t="str">
        <x:f>IF(J2607&gt;=7,"Muy fuerte (&gt;=7)",IF(J2607&gt;=6,"Fuerte (6-6.9)",IF(J2607&gt;=5,"Moderado alto (5-5.9)",IF(J2607&gt;=4,"Moderado (4-4.9)","Menor a 4"))))</x:f>
        <x:v>Moderado alto (5-5.9)</x:v>
      </x:c>
      <x:c r="L2607" s="25" t="str">
        <x:f>IF(I2607&lt;70,"Superficial (&lt;70 km)",IF(I2607&lt;=300,"Intermedio (70-300 km)","Profundo (&gt;300 km)"))</x:f>
        <x:v>Superficial (&lt;70 km)</x:v>
      </x:c>
      <x:c r="M2607" s="25" t="str">
        <x:f>IF(J2607&gt;=5,"Sí","No")</x:f>
        <x:v>Sí</x:v>
      </x:c>
      <x:c r="N2607" s="25" t="str">
        <x:f>IF(J2607&gt;=6,"Sí","No")</x:f>
        <x:v>No</x:v>
      </x:c>
      <x:c r="O2607" s="25" t="str">
        <x:v>Pendiente: asignar con R/sf</x:v>
      </x:c>
    </x:row>
    <x:row r="2608">
      <x:c r="A2608" s="25" t="n">
        <x:v>2607</x:v>
      </x:c>
      <x:c r="B2608" s="26" t="n">
        <x:v>42683.461226851854</x:v>
      </x:c>
      <x:c r="C2608" s="27" t="n">
        <x:f>INT(B2608)</x:f>
        <x:v>42683</x:v>
      </x:c>
      <x:c r="D2608" s="28" t="n">
        <x:f>MOD(B2608,1)</x:f>
        <x:v>0.4612268518540077</x:v>
      </x:c>
      <x:c r="E2608" s="29" t="n">
        <x:f>YEAR(B2608)</x:f>
        <x:v>2016</x:v>
      </x:c>
      <x:c r="F2608" s="29" t="n">
        <x:f>MONTH(B2608)</x:f>
        <x:v>11</x:v>
      </x:c>
      <x:c r="G2608" s="30" t="n">
        <x:v>-36.57</x:v>
      </x:c>
      <x:c r="H2608" s="30" t="n">
        <x:v>-73.58</x:v>
      </x:c>
      <x:c r="I2608" s="29" t="n">
        <x:v>20</x:v>
      </x:c>
      <x:c r="J2608" s="31" t="n">
        <x:v>4.5</x:v>
      </x:c>
      <x:c r="K2608" s="25" t="str">
        <x:f>IF(J2608&gt;=7,"Muy fuerte (&gt;=7)",IF(J2608&gt;=6,"Fuerte (6-6.9)",IF(J2608&gt;=5,"Moderado alto (5-5.9)",IF(J2608&gt;=4,"Moderado (4-4.9)","Menor a 4"))))</x:f>
        <x:v>Moderado (4-4.9)</x:v>
      </x:c>
      <x:c r="L2608" s="25" t="str">
        <x:f>IF(I2608&lt;70,"Superficial (&lt;70 km)",IF(I2608&lt;=300,"Intermedio (70-300 km)","Profundo (&gt;300 km)"))</x:f>
        <x:v>Superficial (&lt;70 km)</x:v>
      </x:c>
      <x:c r="M2608" s="25" t="str">
        <x:f>IF(J2608&gt;=5,"Sí","No")</x:f>
        <x:v>No</x:v>
      </x:c>
      <x:c r="N2608" s="25" t="str">
        <x:f>IF(J2608&gt;=6,"Sí","No")</x:f>
        <x:v>No</x:v>
      </x:c>
      <x:c r="O2608" s="25" t="str">
        <x:v>Pendiente: asignar con R/sf</x:v>
      </x:c>
    </x:row>
    <x:row r="2609">
      <x:c r="A2609" s="25" t="n">
        <x:v>2608</x:v>
      </x:c>
      <x:c r="B2609" s="26" t="n">
        <x:v>42729.59887731481</x:v>
      </x:c>
      <x:c r="C2609" s="27" t="n">
        <x:f>INT(B2609)</x:f>
        <x:v>42729</x:v>
      </x:c>
      <x:c r="D2609" s="28" t="n">
        <x:f>MOD(B2609,1)</x:f>
        <x:v>0.598877314812853</x:v>
      </x:c>
      <x:c r="E2609" s="29" t="n">
        <x:f>YEAR(B2609)</x:f>
        <x:v>2016</x:v>
      </x:c>
      <x:c r="F2609" s="29" t="n">
        <x:f>MONTH(B2609)</x:f>
        <x:v>12</x:v>
      </x:c>
      <x:c r="G2609" s="30" t="n">
        <x:v>-43.52</x:v>
      </x:c>
      <x:c r="H2609" s="30" t="n">
        <x:v>-74.39</x:v>
      </x:c>
      <x:c r="I2609" s="29" t="n">
        <x:v>30</x:v>
      </x:c>
      <x:c r="J2609" s="31" t="n">
        <x:v>7.6</x:v>
      </x:c>
      <x:c r="K2609" s="25" t="str">
        <x:f>IF(J2609&gt;=7,"Muy fuerte (&gt;=7)",IF(J2609&gt;=6,"Fuerte (6-6.9)",IF(J2609&gt;=5,"Moderado alto (5-5.9)",IF(J2609&gt;=4,"Moderado (4-4.9)","Menor a 4"))))</x:f>
        <x:v>Muy fuerte (&gt;=7)</x:v>
      </x:c>
      <x:c r="L2609" s="25" t="str">
        <x:f>IF(I2609&lt;70,"Superficial (&lt;70 km)",IF(I2609&lt;=300,"Intermedio (70-300 km)","Profundo (&gt;300 km)"))</x:f>
        <x:v>Superficial (&lt;70 km)</x:v>
      </x:c>
      <x:c r="M2609" s="25" t="str">
        <x:f>IF(J2609&gt;=5,"Sí","No")</x:f>
        <x:v>Sí</x:v>
      </x:c>
      <x:c r="N2609" s="25" t="str">
        <x:f>IF(J2609&gt;=6,"Sí","No")</x:f>
        <x:v>Sí</x:v>
      </x:c>
      <x:c r="O2609" s="25" t="str">
        <x:v>Pendiente: asignar con R/sf</x:v>
      </x:c>
    </x:row>
    <x:row r="2610">
      <x:c r="A2610" s="25" t="n">
        <x:v>2609</x:v>
      </x:c>
      <x:c r="B2610" s="26" t="n">
        <x:v>42575.960543981484</x:v>
      </x:c>
      <x:c r="C2610" s="27" t="n">
        <x:f>INT(B2610)</x:f>
        <x:v>42575</x:v>
      </x:c>
      <x:c r="D2610" s="28" t="n">
        <x:f>MOD(B2610,1)</x:f>
        <x:v>0.9605439814840793</x:v>
      </x:c>
      <x:c r="E2610" s="29" t="n">
        <x:f>YEAR(B2610)</x:f>
        <x:v>2016</x:v>
      </x:c>
      <x:c r="F2610" s="29" t="n">
        <x:f>MONTH(B2610)</x:f>
        <x:v>7</x:v>
      </x:c>
      <x:c r="G2610" s="30" t="n">
        <x:v>-22.68</x:v>
      </x:c>
      <x:c r="H2610" s="30" t="n">
        <x:v>-68.58</x:v>
      </x:c>
      <x:c r="I2610" s="29" t="n">
        <x:v>111</x:v>
      </x:c>
      <x:c r="J2610" s="31" t="n">
        <x:v>4.3</x:v>
      </x:c>
      <x:c r="K2610" s="25" t="str">
        <x:f>IF(J2610&gt;=7,"Muy fuerte (&gt;=7)",IF(J2610&gt;=6,"Fuerte (6-6.9)",IF(J2610&gt;=5,"Moderado alto (5-5.9)",IF(J2610&gt;=4,"Moderado (4-4.9)","Menor a 4"))))</x:f>
        <x:v>Moderado (4-4.9)</x:v>
      </x:c>
      <x:c r="L2610" s="25" t="str">
        <x:f>IF(I2610&lt;70,"Superficial (&lt;70 km)",IF(I2610&lt;=300,"Intermedio (70-300 km)","Profundo (&gt;300 km)"))</x:f>
        <x:v>Intermedio (70-300 km)</x:v>
      </x:c>
      <x:c r="M2610" s="25" t="str">
        <x:f>IF(J2610&gt;=5,"Sí","No")</x:f>
        <x:v>No</x:v>
      </x:c>
      <x:c r="N2610" s="25" t="str">
        <x:f>IF(J2610&gt;=6,"Sí","No")</x:f>
        <x:v>No</x:v>
      </x:c>
      <x:c r="O2610" s="25" t="str">
        <x:v>Pendiente: asignar con R/sf</x:v>
      </x:c>
    </x:row>
    <x:row r="2611">
      <x:c r="A2611" s="25" t="n">
        <x:v>2610</x:v>
      </x:c>
      <x:c r="B2611" s="26" t="n">
        <x:v>42576.159583333334</x:v>
      </x:c>
      <x:c r="C2611" s="27" t="n">
        <x:f>INT(B2611)</x:f>
        <x:v>42576</x:v>
      </x:c>
      <x:c r="D2611" s="28" t="n">
        <x:f>MOD(B2611,1)</x:f>
        <x:v>0.15958333333401242</x:v>
      </x:c>
      <x:c r="E2611" s="29" t="n">
        <x:f>YEAR(B2611)</x:f>
        <x:v>2016</x:v>
      </x:c>
      <x:c r="F2611" s="29" t="n">
        <x:f>MONTH(B2611)</x:f>
        <x:v>7</x:v>
      </x:c>
      <x:c r="G2611" s="30" t="n">
        <x:v>-22.39</x:v>
      </x:c>
      <x:c r="H2611" s="30" t="n">
        <x:v>-68.61</x:v>
      </x:c>
      <x:c r="I2611" s="29" t="n">
        <x:v>114</x:v>
      </x:c>
      <x:c r="J2611" s="31" t="n">
        <x:v>4.4</x:v>
      </x:c>
      <x:c r="K2611" s="25" t="str">
        <x:f>IF(J2611&gt;=7,"Muy fuerte (&gt;=7)",IF(J2611&gt;=6,"Fuerte (6-6.9)",IF(J2611&gt;=5,"Moderado alto (5-5.9)",IF(J2611&gt;=4,"Moderado (4-4.9)","Menor a 4"))))</x:f>
        <x:v>Moderado (4-4.9)</x:v>
      </x:c>
      <x:c r="L2611" s="25" t="str">
        <x:f>IF(I2611&lt;70,"Superficial (&lt;70 km)",IF(I2611&lt;=300,"Intermedio (70-300 km)","Profundo (&gt;300 km)"))</x:f>
        <x:v>Intermedio (70-300 km)</x:v>
      </x:c>
      <x:c r="M2611" s="25" t="str">
        <x:f>IF(J2611&gt;=5,"Sí","No")</x:f>
        <x:v>No</x:v>
      </x:c>
      <x:c r="N2611" s="25" t="str">
        <x:f>IF(J2611&gt;=6,"Sí","No")</x:f>
        <x:v>No</x:v>
      </x:c>
      <x:c r="O2611" s="25" t="str">
        <x:v>Pendiente: asignar con R/sf</x:v>
      </x:c>
    </x:row>
    <x:row r="2612">
      <x:c r="A2612" s="25" t="n">
        <x:v>2611</x:v>
      </x:c>
      <x:c r="B2612" s="26" t="n">
        <x:v>42696.74563657407</x:v>
      </x:c>
      <x:c r="C2612" s="27" t="n">
        <x:f>INT(B2612)</x:f>
        <x:v>42696</x:v>
      </x:c>
      <x:c r="D2612" s="28" t="n">
        <x:f>MOD(B2612,1)</x:f>
        <x:v>0.7456365740727051</x:v>
      </x:c>
      <x:c r="E2612" s="29" t="n">
        <x:f>YEAR(B2612)</x:f>
        <x:v>2016</x:v>
      </x:c>
      <x:c r="F2612" s="29" t="n">
        <x:f>MONTH(B2612)</x:f>
        <x:v>11</x:v>
      </x:c>
      <x:c r="G2612" s="30" t="n">
        <x:v>-22.19</x:v>
      </x:c>
      <x:c r="H2612" s="30" t="n">
        <x:v>-68.73</x:v>
      </x:c>
      <x:c r="I2612" s="29" t="n">
        <x:v>102</x:v>
      </x:c>
      <x:c r="J2612" s="31" t="n">
        <x:v>4</x:v>
      </x:c>
      <x:c r="K2612" s="25" t="str">
        <x:f>IF(J2612&gt;=7,"Muy fuerte (&gt;=7)",IF(J2612&gt;=6,"Fuerte (6-6.9)",IF(J2612&gt;=5,"Moderado alto (5-5.9)",IF(J2612&gt;=4,"Moderado (4-4.9)","Menor a 4"))))</x:f>
        <x:v>Moderado (4-4.9)</x:v>
      </x:c>
      <x:c r="L2612" s="25" t="str">
        <x:f>IF(I2612&lt;70,"Superficial (&lt;70 km)",IF(I2612&lt;=300,"Intermedio (70-300 km)","Profundo (&gt;300 km)"))</x:f>
        <x:v>Intermedio (70-300 km)</x:v>
      </x:c>
      <x:c r="M2612" s="25" t="str">
        <x:f>IF(J2612&gt;=5,"Sí","No")</x:f>
        <x:v>No</x:v>
      </x:c>
      <x:c r="N2612" s="25" t="str">
        <x:f>IF(J2612&gt;=6,"Sí","No")</x:f>
        <x:v>No</x:v>
      </x:c>
      <x:c r="O2612" s="25" t="str">
        <x:v>Pendiente: asignar con R/sf</x:v>
      </x:c>
    </x:row>
    <x:row r="2613">
      <x:c r="A2613" s="25" t="n">
        <x:v>2612</x:v>
      </x:c>
      <x:c r="B2613" s="26" t="n">
        <x:v>42697.70583333333</x:v>
      </x:c>
      <x:c r="C2613" s="27" t="n">
        <x:f>INT(B2613)</x:f>
        <x:v>42697</x:v>
      </x:c>
      <x:c r="D2613" s="28" t="n">
        <x:f>MOD(B2613,1)</x:f>
        <x:v>0.7058333333334303</x:v>
      </x:c>
      <x:c r="E2613" s="29" t="n">
        <x:f>YEAR(B2613)</x:f>
        <x:v>2016</x:v>
      </x:c>
      <x:c r="F2613" s="29" t="n">
        <x:f>MONTH(B2613)</x:f>
        <x:v>11</x:v>
      </x:c>
      <x:c r="G2613" s="30" t="n">
        <x:v>-22.54</x:v>
      </x:c>
      <x:c r="H2613" s="30" t="n">
        <x:v>-68.72</x:v>
      </x:c>
      <x:c r="I2613" s="29" t="n">
        <x:v>115</x:v>
      </x:c>
      <x:c r="J2613" s="31" t="n">
        <x:v>4.3</x:v>
      </x:c>
      <x:c r="K2613" s="25" t="str">
        <x:f>IF(J2613&gt;=7,"Muy fuerte (&gt;=7)",IF(J2613&gt;=6,"Fuerte (6-6.9)",IF(J2613&gt;=5,"Moderado alto (5-5.9)",IF(J2613&gt;=4,"Moderado (4-4.9)","Menor a 4"))))</x:f>
        <x:v>Moderado (4-4.9)</x:v>
      </x:c>
      <x:c r="L2613" s="25" t="str">
        <x:f>IF(I2613&lt;70,"Superficial (&lt;70 km)",IF(I2613&lt;=300,"Intermedio (70-300 km)","Profundo (&gt;300 km)"))</x:f>
        <x:v>Intermedio (70-300 km)</x:v>
      </x:c>
      <x:c r="M2613" s="25" t="str">
        <x:f>IF(J2613&gt;=5,"Sí","No")</x:f>
        <x:v>No</x:v>
      </x:c>
      <x:c r="N2613" s="25" t="str">
        <x:f>IF(J2613&gt;=6,"Sí","No")</x:f>
        <x:v>No</x:v>
      </x:c>
      <x:c r="O2613" s="25" t="str">
        <x:v>Pendiente: asignar con R/sf</x:v>
      </x:c>
    </x:row>
    <x:row r="2614">
      <x:c r="A2614" s="25" t="n">
        <x:v>2613</x:v>
      </x:c>
      <x:c r="B2614" s="26" t="n">
        <x:v>42697.73351851852</x:v>
      </x:c>
      <x:c r="C2614" s="27" t="n">
        <x:f>INT(B2614)</x:f>
        <x:v>42697</x:v>
      </x:c>
      <x:c r="D2614" s="28" t="n">
        <x:f>MOD(B2614,1)</x:f>
        <x:v>0.7335185185220325</x:v>
      </x:c>
      <x:c r="E2614" s="29" t="n">
        <x:f>YEAR(B2614)</x:f>
        <x:v>2016</x:v>
      </x:c>
      <x:c r="F2614" s="29" t="n">
        <x:f>MONTH(B2614)</x:f>
        <x:v>11</x:v>
      </x:c>
      <x:c r="G2614" s="30" t="n">
        <x:v>-22.15</x:v>
      </x:c>
      <x:c r="H2614" s="30" t="n">
        <x:v>-68.68</x:v>
      </x:c>
      <x:c r="I2614" s="29" t="n">
        <x:v>113</x:v>
      </x:c>
      <x:c r="J2614" s="31" t="n">
        <x:v>4.6</x:v>
      </x:c>
      <x:c r="K2614" s="25" t="str">
        <x:f>IF(J2614&gt;=7,"Muy fuerte (&gt;=7)",IF(J2614&gt;=6,"Fuerte (6-6.9)",IF(J2614&gt;=5,"Moderado alto (5-5.9)",IF(J2614&gt;=4,"Moderado (4-4.9)","Menor a 4"))))</x:f>
        <x:v>Moderado (4-4.9)</x:v>
      </x:c>
      <x:c r="L2614" s="25" t="str">
        <x:f>IF(I2614&lt;70,"Superficial (&lt;70 km)",IF(I2614&lt;=300,"Intermedio (70-300 km)","Profundo (&gt;300 km)"))</x:f>
        <x:v>Intermedio (70-300 km)</x:v>
      </x:c>
      <x:c r="M2614" s="25" t="str">
        <x:f>IF(J2614&gt;=5,"Sí","No")</x:f>
        <x:v>No</x:v>
      </x:c>
      <x:c r="N2614" s="25" t="str">
        <x:f>IF(J2614&gt;=6,"Sí","No")</x:f>
        <x:v>No</x:v>
      </x:c>
      <x:c r="O2614" s="25" t="str">
        <x:v>Pendiente: asignar con R/sf</x:v>
      </x:c>
    </x:row>
    <x:row r="2615">
      <x:c r="A2615" s="25" t="n">
        <x:v>2614</x:v>
      </x:c>
      <x:c r="B2615" s="26" t="n">
        <x:v>42375.52856481481</x:v>
      </x:c>
      <x:c r="C2615" s="27" t="n">
        <x:f>INT(B2615)</x:f>
        <x:v>42375</x:v>
      </x:c>
      <x:c r="D2615" s="28" t="n">
        <x:f>MOD(B2615,1)</x:f>
        <x:v>0.528564814812853</x:v>
      </x:c>
      <x:c r="E2615" s="29" t="n">
        <x:f>YEAR(B2615)</x:f>
        <x:v>2016</x:v>
      </x:c>
      <x:c r="F2615" s="29" t="n">
        <x:f>MONTH(B2615)</x:f>
        <x:v>1</x:v>
      </x:c>
      <x:c r="G2615" s="30" t="n">
        <x:v>-21.61</x:v>
      </x:c>
      <x:c r="H2615" s="30" t="n">
        <x:v>-70.34</x:v>
      </x:c>
      <x:c r="I2615" s="29" t="n">
        <x:v>37</x:v>
      </x:c>
      <x:c r="J2615" s="31" t="n">
        <x:v>4.5</x:v>
      </x:c>
      <x:c r="K2615" s="25" t="str">
        <x:f>IF(J2615&gt;=7,"Muy fuerte (&gt;=7)",IF(J2615&gt;=6,"Fuerte (6-6.9)",IF(J2615&gt;=5,"Moderado alto (5-5.9)",IF(J2615&gt;=4,"Moderado (4-4.9)","Menor a 4"))))</x:f>
        <x:v>Moderado (4-4.9)</x:v>
      </x:c>
      <x:c r="L2615" s="25" t="str">
        <x:f>IF(I2615&lt;70,"Superficial (&lt;70 km)",IF(I2615&lt;=300,"Intermedio (70-300 km)","Profundo (&gt;300 km)"))</x:f>
        <x:v>Superficial (&lt;70 km)</x:v>
      </x:c>
      <x:c r="M2615" s="25" t="str">
        <x:f>IF(J2615&gt;=5,"Sí","No")</x:f>
        <x:v>No</x:v>
      </x:c>
      <x:c r="N2615" s="25" t="str">
        <x:f>IF(J2615&gt;=6,"Sí","No")</x:f>
        <x:v>No</x:v>
      </x:c>
      <x:c r="O2615" s="25" t="str">
        <x:v>Pendiente: asignar con R/sf</x:v>
      </x:c>
    </x:row>
    <x:row r="2616">
      <x:c r="A2616" s="25" t="n">
        <x:v>2615</x:v>
      </x:c>
      <x:c r="B2616" s="26" t="n">
        <x:v>42403.38002314815</x:v>
      </x:c>
      <x:c r="C2616" s="27" t="n">
        <x:f>INT(B2616)</x:f>
        <x:v>42403</x:v>
      </x:c>
      <x:c r="D2616" s="28" t="n">
        <x:f>MOD(B2616,1)</x:f>
        <x:v>0.38002314815093996</x:v>
      </x:c>
      <x:c r="E2616" s="29" t="n">
        <x:f>YEAR(B2616)</x:f>
        <x:v>2016</x:v>
      </x:c>
      <x:c r="F2616" s="29" t="n">
        <x:f>MONTH(B2616)</x:f>
        <x:v>2</x:v>
      </x:c>
      <x:c r="G2616" s="30" t="n">
        <x:v>-21.27</x:v>
      </x:c>
      <x:c r="H2616" s="30" t="n">
        <x:v>-69.62</x:v>
      </x:c>
      <x:c r="I2616" s="29" t="n">
        <x:v>44</x:v>
      </x:c>
      <x:c r="J2616" s="31" t="n">
        <x:v>4.2</x:v>
      </x:c>
      <x:c r="K2616" s="25" t="str">
        <x:f>IF(J2616&gt;=7,"Muy fuerte (&gt;=7)",IF(J2616&gt;=6,"Fuerte (6-6.9)",IF(J2616&gt;=5,"Moderado alto (5-5.9)",IF(J2616&gt;=4,"Moderado (4-4.9)","Menor a 4"))))</x:f>
        <x:v>Moderado (4-4.9)</x:v>
      </x:c>
      <x:c r="L2616" s="25" t="str">
        <x:f>IF(I2616&lt;70,"Superficial (&lt;70 km)",IF(I2616&lt;=300,"Intermedio (70-300 km)","Profundo (&gt;300 km)"))</x:f>
        <x:v>Superficial (&lt;70 km)</x:v>
      </x:c>
      <x:c r="M2616" s="25" t="str">
        <x:f>IF(J2616&gt;=5,"Sí","No")</x:f>
        <x:v>No</x:v>
      </x:c>
      <x:c r="N2616" s="25" t="str">
        <x:f>IF(J2616&gt;=6,"Sí","No")</x:f>
        <x:v>No</x:v>
      </x:c>
      <x:c r="O2616" s="25" t="str">
        <x:v>Pendiente: asignar con R/sf</x:v>
      </x:c>
    </x:row>
    <x:row r="2617">
      <x:c r="A2617" s="25" t="n">
        <x:v>2616</x:v>
      </x:c>
      <x:c r="B2617" s="26" t="n">
        <x:v>42433.86707175926</x:v>
      </x:c>
      <x:c r="C2617" s="27" t="n">
        <x:f>INT(B2617)</x:f>
        <x:v>42433</x:v>
      </x:c>
      <x:c r="D2617" s="28" t="n">
        <x:f>MOD(B2617,1)</x:f>
        <x:v>0.8670717592613073</x:v>
      </x:c>
      <x:c r="E2617" s="29" t="n">
        <x:f>YEAR(B2617)</x:f>
        <x:v>2016</x:v>
      </x:c>
      <x:c r="F2617" s="29" t="n">
        <x:f>MONTH(B2617)</x:f>
        <x:v>3</x:v>
      </x:c>
      <x:c r="G2617" s="30" t="n">
        <x:v>-21.31</x:v>
      </x:c>
      <x:c r="H2617" s="30" t="n">
        <x:v>-69.72</x:v>
      </x:c>
      <x:c r="I2617" s="29" t="n">
        <x:v>65</x:v>
      </x:c>
      <x:c r="J2617" s="31" t="n">
        <x:v>4.1</x:v>
      </x:c>
      <x:c r="K2617" s="25" t="str">
        <x:f>IF(J2617&gt;=7,"Muy fuerte (&gt;=7)",IF(J2617&gt;=6,"Fuerte (6-6.9)",IF(J2617&gt;=5,"Moderado alto (5-5.9)",IF(J2617&gt;=4,"Moderado (4-4.9)","Menor a 4"))))</x:f>
        <x:v>Moderado (4-4.9)</x:v>
      </x:c>
      <x:c r="L2617" s="25" t="str">
        <x:f>IF(I2617&lt;70,"Superficial (&lt;70 km)",IF(I2617&lt;=300,"Intermedio (70-300 km)","Profundo (&gt;300 km)"))</x:f>
        <x:v>Superficial (&lt;70 km)</x:v>
      </x:c>
      <x:c r="M2617" s="25" t="str">
        <x:f>IF(J2617&gt;=5,"Sí","No")</x:f>
        <x:v>No</x:v>
      </x:c>
      <x:c r="N2617" s="25" t="str">
        <x:f>IF(J2617&gt;=6,"Sí","No")</x:f>
        <x:v>No</x:v>
      </x:c>
      <x:c r="O2617" s="25" t="str">
        <x:v>Pendiente: asignar con R/sf</x:v>
      </x:c>
    </x:row>
    <x:row r="2618">
      <x:c r="A2618" s="25" t="n">
        <x:v>2617</x:v>
      </x:c>
      <x:c r="B2618" s="26" t="n">
        <x:v>42486.83212962963</x:v>
      </x:c>
      <x:c r="C2618" s="27" t="n">
        <x:f>INT(B2618)</x:f>
        <x:v>42486</x:v>
      </x:c>
      <x:c r="D2618" s="28" t="n">
        <x:f>MOD(B2618,1)</x:f>
        <x:v>0.8321296296271612</x:v>
      </x:c>
      <x:c r="E2618" s="29" t="n">
        <x:f>YEAR(B2618)</x:f>
        <x:v>2016</x:v>
      </x:c>
      <x:c r="F2618" s="29" t="n">
        <x:f>MONTH(B2618)</x:f>
        <x:v>4</x:v>
      </x:c>
      <x:c r="G2618" s="30" t="n">
        <x:v>-21.07</x:v>
      </x:c>
      <x:c r="H2618" s="30" t="n">
        <x:v>-68.57</x:v>
      </x:c>
      <x:c r="I2618" s="29" t="n">
        <x:v>126</x:v>
      </x:c>
      <x:c r="J2618" s="31" t="n">
        <x:v>4.7</x:v>
      </x:c>
      <x:c r="K2618" s="25" t="str">
        <x:f>IF(J2618&gt;=7,"Muy fuerte (&gt;=7)",IF(J2618&gt;=6,"Fuerte (6-6.9)",IF(J2618&gt;=5,"Moderado alto (5-5.9)",IF(J2618&gt;=4,"Moderado (4-4.9)","Menor a 4"))))</x:f>
        <x:v>Moderado (4-4.9)</x:v>
      </x:c>
      <x:c r="L2618" s="25" t="str">
        <x:f>IF(I2618&lt;70,"Superficial (&lt;70 km)",IF(I2618&lt;=300,"Intermedio (70-300 km)","Profundo (&gt;300 km)"))</x:f>
        <x:v>Intermedio (70-300 km)</x:v>
      </x:c>
      <x:c r="M2618" s="25" t="str">
        <x:f>IF(J2618&gt;=5,"Sí","No")</x:f>
        <x:v>No</x:v>
      </x:c>
      <x:c r="N2618" s="25" t="str">
        <x:f>IF(J2618&gt;=6,"Sí","No")</x:f>
        <x:v>No</x:v>
      </x:c>
      <x:c r="O2618" s="25" t="str">
        <x:v>Pendiente: asignar con R/sf</x:v>
      </x:c>
    </x:row>
    <x:row r="2619">
      <x:c r="A2619" s="25" t="n">
        <x:v>2618</x:v>
      </x:c>
      <x:c r="B2619" s="26" t="n">
        <x:v>42386.644907407404</x:v>
      </x:c>
      <x:c r="C2619" s="27" t="n">
        <x:f>INT(B2619)</x:f>
        <x:v>42386</x:v>
      </x:c>
      <x:c r="D2619" s="28" t="n">
        <x:f>MOD(B2619,1)</x:f>
        <x:v>0.6449074074043892</x:v>
      </x:c>
      <x:c r="E2619" s="29" t="n">
        <x:f>YEAR(B2619)</x:f>
        <x:v>2016</x:v>
      </x:c>
      <x:c r="F2619" s="29" t="n">
        <x:f>MONTH(B2619)</x:f>
        <x:v>1</x:v>
      </x:c>
      <x:c r="G2619" s="30" t="n">
        <x:v>-21.34</x:v>
      </x:c>
      <x:c r="H2619" s="30" t="n">
        <x:v>-68.89</x:v>
      </x:c>
      <x:c r="I2619" s="29" t="n">
        <x:v>91</x:v>
      </x:c>
      <x:c r="J2619" s="31" t="n">
        <x:v>5</x:v>
      </x:c>
      <x:c r="K2619" s="25" t="str">
        <x:f>IF(J2619&gt;=7,"Muy fuerte (&gt;=7)",IF(J2619&gt;=6,"Fuerte (6-6.9)",IF(J2619&gt;=5,"Moderado alto (5-5.9)",IF(J2619&gt;=4,"Moderado (4-4.9)","Menor a 4"))))</x:f>
        <x:v>Moderado alto (5-5.9)</x:v>
      </x:c>
      <x:c r="L2619" s="25" t="str">
        <x:f>IF(I2619&lt;70,"Superficial (&lt;70 km)",IF(I2619&lt;=300,"Intermedio (70-300 km)","Profundo (&gt;300 km)"))</x:f>
        <x:v>Intermedio (70-300 km)</x:v>
      </x:c>
      <x:c r="M2619" s="25" t="str">
        <x:f>IF(J2619&gt;=5,"Sí","No")</x:f>
        <x:v>Sí</x:v>
      </x:c>
      <x:c r="N2619" s="25" t="str">
        <x:f>IF(J2619&gt;=6,"Sí","No")</x:f>
        <x:v>No</x:v>
      </x:c>
      <x:c r="O2619" s="25" t="str">
        <x:v>Pendiente: asignar con R/sf</x:v>
      </x:c>
    </x:row>
    <x:row r="2620">
      <x:c r="A2620" s="25" t="n">
        <x:v>2619</x:v>
      </x:c>
      <x:c r="B2620" s="26" t="n">
        <x:v>42388.48587962963</x:v>
      </x:c>
      <x:c r="C2620" s="27" t="n">
        <x:f>INT(B2620)</x:f>
        <x:v>42388</x:v>
      </x:c>
      <x:c r="D2620" s="28" t="n">
        <x:f>MOD(B2620,1)</x:f>
        <x:v>0.48587962963210884</x:v>
      </x:c>
      <x:c r="E2620" s="29" t="n">
        <x:f>YEAR(B2620)</x:f>
        <x:v>2016</x:v>
      </x:c>
      <x:c r="F2620" s="29" t="n">
        <x:f>MONTH(B2620)</x:f>
        <x:v>1</x:v>
      </x:c>
      <x:c r="G2620" s="30" t="n">
        <x:v>-22.97</x:v>
      </x:c>
      <x:c r="H2620" s="30" t="n">
        <x:v>-69.01</x:v>
      </x:c>
      <x:c r="I2620" s="29" t="n">
        <x:v>96</x:v>
      </x:c>
      <x:c r="J2620" s="31" t="n">
        <x:v>5.1</x:v>
      </x:c>
      <x:c r="K2620" s="25" t="str">
        <x:f>IF(J2620&gt;=7,"Muy fuerte (&gt;=7)",IF(J2620&gt;=6,"Fuerte (6-6.9)",IF(J2620&gt;=5,"Moderado alto (5-5.9)",IF(J2620&gt;=4,"Moderado (4-4.9)","Menor a 4"))))</x:f>
        <x:v>Moderado alto (5-5.9)</x:v>
      </x:c>
      <x:c r="L2620" s="25" t="str">
        <x:f>IF(I2620&lt;70,"Superficial (&lt;70 km)",IF(I2620&lt;=300,"Intermedio (70-300 km)","Profundo (&gt;300 km)"))</x:f>
        <x:v>Intermedio (70-300 km)</x:v>
      </x:c>
      <x:c r="M2620" s="25" t="str">
        <x:f>IF(J2620&gt;=5,"Sí","No")</x:f>
        <x:v>Sí</x:v>
      </x:c>
      <x:c r="N2620" s="25" t="str">
        <x:f>IF(J2620&gt;=6,"Sí","No")</x:f>
        <x:v>No</x:v>
      </x:c>
      <x:c r="O2620" s="25" t="str">
        <x:v>Pendiente: asignar con R/sf</x:v>
      </x:c>
    </x:row>
    <x:row r="2621">
      <x:c r="A2621" s="25" t="n">
        <x:v>2620</x:v>
      </x:c>
      <x:c r="B2621" s="26" t="n">
        <x:v>42418.38798611111</x:v>
      </x:c>
      <x:c r="C2621" s="27" t="n">
        <x:f>INT(B2621)</x:f>
        <x:v>42418</x:v>
      </x:c>
      <x:c r="D2621" s="28" t="n">
        <x:f>MOD(B2621,1)</x:f>
        <x:v>0.38798611111269565</x:v>
      </x:c>
      <x:c r="E2621" s="29" t="n">
        <x:f>YEAR(B2621)</x:f>
        <x:v>2016</x:v>
      </x:c>
      <x:c r="F2621" s="29" t="n">
        <x:f>MONTH(B2621)</x:f>
        <x:v>2</x:v>
      </x:c>
      <x:c r="G2621" s="30" t="n">
        <x:v>-20.31</x:v>
      </x:c>
      <x:c r="H2621" s="30" t="n">
        <x:v>-69.17</x:v>
      </x:c>
      <x:c r="I2621" s="29" t="n">
        <x:v>100</x:v>
      </x:c>
      <x:c r="J2621" s="31" t="n">
        <x:v>4.5</x:v>
      </x:c>
      <x:c r="K2621" s="25" t="str">
        <x:f>IF(J2621&gt;=7,"Muy fuerte (&gt;=7)",IF(J2621&gt;=6,"Fuerte (6-6.9)",IF(J2621&gt;=5,"Moderado alto (5-5.9)",IF(J2621&gt;=4,"Moderado (4-4.9)","Menor a 4"))))</x:f>
        <x:v>Moderado (4-4.9)</x:v>
      </x:c>
      <x:c r="L2621" s="25" t="str">
        <x:f>IF(I2621&lt;70,"Superficial (&lt;70 km)",IF(I2621&lt;=300,"Intermedio (70-300 km)","Profundo (&gt;300 km)"))</x:f>
        <x:v>Intermedio (70-300 km)</x:v>
      </x:c>
      <x:c r="M2621" s="25" t="str">
        <x:f>IF(J2621&gt;=5,"Sí","No")</x:f>
        <x:v>No</x:v>
      </x:c>
      <x:c r="N2621" s="25" t="str">
        <x:f>IF(J2621&gt;=6,"Sí","No")</x:f>
        <x:v>No</x:v>
      </x:c>
      <x:c r="O2621" s="25" t="str">
        <x:v>Pendiente: asignar con R/sf</x:v>
      </x:c>
    </x:row>
    <x:row r="2622">
      <x:c r="A2622" s="25" t="n">
        <x:v>2621</x:v>
      </x:c>
      <x:c r="B2622" s="26" t="n">
        <x:v>42425.64938657408</x:v>
      </x:c>
      <x:c r="C2622" s="27" t="n">
        <x:f>INT(B2622)</x:f>
        <x:v>42425</x:v>
      </x:c>
      <x:c r="D2622" s="28" t="n">
        <x:f>MOD(B2622,1)</x:f>
        <x:v>0.6493865740776528</x:v>
      </x:c>
      <x:c r="E2622" s="29" t="n">
        <x:f>YEAR(B2622)</x:f>
        <x:v>2016</x:v>
      </x:c>
      <x:c r="F2622" s="29" t="n">
        <x:f>MONTH(B2622)</x:f>
        <x:v>2</x:v>
      </x:c>
      <x:c r="G2622" s="30" t="n">
        <x:v>-23.05</x:v>
      </x:c>
      <x:c r="H2622" s="30" t="n">
        <x:v>-69.05</x:v>
      </x:c>
      <x:c r="I2622" s="29" t="n">
        <x:v>95</x:v>
      </x:c>
      <x:c r="J2622" s="31" t="n">
        <x:v>5.3</x:v>
      </x:c>
      <x:c r="K2622" s="25" t="str">
        <x:f>IF(J2622&gt;=7,"Muy fuerte (&gt;=7)",IF(J2622&gt;=6,"Fuerte (6-6.9)",IF(J2622&gt;=5,"Moderado alto (5-5.9)",IF(J2622&gt;=4,"Moderado (4-4.9)","Menor a 4"))))</x:f>
        <x:v>Moderado alto (5-5.9)</x:v>
      </x:c>
      <x:c r="L2622" s="25" t="str">
        <x:f>IF(I2622&lt;70,"Superficial (&lt;70 km)",IF(I2622&lt;=300,"Intermedio (70-300 km)","Profundo (&gt;300 km)"))</x:f>
        <x:v>Intermedio (70-300 km)</x:v>
      </x:c>
      <x:c r="M2622" s="25" t="str">
        <x:f>IF(J2622&gt;=5,"Sí","No")</x:f>
        <x:v>Sí</x:v>
      </x:c>
      <x:c r="N2622" s="25" t="str">
        <x:f>IF(J2622&gt;=6,"Sí","No")</x:f>
        <x:v>No</x:v>
      </x:c>
      <x:c r="O2622" s="25" t="str">
        <x:v>Pendiente: asignar con R/sf</x:v>
      </x:c>
    </x:row>
    <x:row r="2623">
      <x:c r="A2623" s="25" t="n">
        <x:v>2622</x:v>
      </x:c>
      <x:c r="B2623" s="26" t="n">
        <x:v>42432.84800925926</x:v>
      </x:c>
      <x:c r="C2623" s="27" t="n">
        <x:f>INT(B2623)</x:f>
        <x:v>42432</x:v>
      </x:c>
      <x:c r="D2623" s="28" t="n">
        <x:f>MOD(B2623,1)</x:f>
        <x:v>0.8480092592581059</x:v>
      </x:c>
      <x:c r="E2623" s="29" t="n">
        <x:f>YEAR(B2623)</x:f>
        <x:v>2016</x:v>
      </x:c>
      <x:c r="F2623" s="29" t="n">
        <x:f>MONTH(B2623)</x:f>
        <x:v>3</x:v>
      </x:c>
      <x:c r="G2623" s="30" t="n">
        <x:v>-20.3</x:v>
      </x:c>
      <x:c r="H2623" s="30" t="n">
        <x:v>-68.95</x:v>
      </x:c>
      <x:c r="I2623" s="29" t="n">
        <x:v>101</x:v>
      </x:c>
      <x:c r="J2623" s="31" t="n">
        <x:v>4.5</x:v>
      </x:c>
      <x:c r="K2623" s="25" t="str">
        <x:f>IF(J2623&gt;=7,"Muy fuerte (&gt;=7)",IF(J2623&gt;=6,"Fuerte (6-6.9)",IF(J2623&gt;=5,"Moderado alto (5-5.9)",IF(J2623&gt;=4,"Moderado (4-4.9)","Menor a 4"))))</x:f>
        <x:v>Moderado (4-4.9)</x:v>
      </x:c>
      <x:c r="L2623" s="25" t="str">
        <x:f>IF(I2623&lt;70,"Superficial (&lt;70 km)",IF(I2623&lt;=300,"Intermedio (70-300 km)","Profundo (&gt;300 km)"))</x:f>
        <x:v>Intermedio (70-300 km)</x:v>
      </x:c>
      <x:c r="M2623" s="25" t="str">
        <x:f>IF(J2623&gt;=5,"Sí","No")</x:f>
        <x:v>No</x:v>
      </x:c>
      <x:c r="N2623" s="25" t="str">
        <x:f>IF(J2623&gt;=6,"Sí","No")</x:f>
        <x:v>No</x:v>
      </x:c>
      <x:c r="O2623" s="25" t="str">
        <x:v>Pendiente: asignar con R/sf</x:v>
      </x:c>
    </x:row>
    <x:row r="2624">
      <x:c r="A2624" s="25" t="n">
        <x:v>2623</x:v>
      </x:c>
      <x:c r="B2624" s="26" t="n">
        <x:v>42433.790659722225</x:v>
      </x:c>
      <x:c r="C2624" s="27" t="n">
        <x:f>INT(B2624)</x:f>
        <x:v>42433</x:v>
      </x:c>
      <x:c r="D2624" s="28" t="n">
        <x:f>MOD(B2624,1)</x:f>
        <x:v>0.7906597222245182</x:v>
      </x:c>
      <x:c r="E2624" s="29" t="n">
        <x:f>YEAR(B2624)</x:f>
        <x:v>2016</x:v>
      </x:c>
      <x:c r="F2624" s="29" t="n">
        <x:f>MONTH(B2624)</x:f>
        <x:v>3</x:v>
      </x:c>
      <x:c r="G2624" s="30" t="n">
        <x:v>-20.66</x:v>
      </x:c>
      <x:c r="H2624" s="30" t="n">
        <x:v>-71.02</x:v>
      </x:c>
      <x:c r="I2624" s="29" t="n">
        <x:v>20</x:v>
      </x:c>
      <x:c r="J2624" s="31" t="n">
        <x:v>4.5</x:v>
      </x:c>
      <x:c r="K2624" s="25" t="str">
        <x:f>IF(J2624&gt;=7,"Muy fuerte (&gt;=7)",IF(J2624&gt;=6,"Fuerte (6-6.9)",IF(J2624&gt;=5,"Moderado alto (5-5.9)",IF(J2624&gt;=4,"Moderado (4-4.9)","Menor a 4"))))</x:f>
        <x:v>Moderado (4-4.9)</x:v>
      </x:c>
      <x:c r="L2624" s="25" t="str">
        <x:f>IF(I2624&lt;70,"Superficial (&lt;70 km)",IF(I2624&lt;=300,"Intermedio (70-300 km)","Profundo (&gt;300 km)"))</x:f>
        <x:v>Superficial (&lt;70 km)</x:v>
      </x:c>
      <x:c r="M2624" s="25" t="str">
        <x:f>IF(J2624&gt;=5,"Sí","No")</x:f>
        <x:v>No</x:v>
      </x:c>
      <x:c r="N2624" s="25" t="str">
        <x:f>IF(J2624&gt;=6,"Sí","No")</x:f>
        <x:v>No</x:v>
      </x:c>
      <x:c r="O2624" s="25" t="str">
        <x:v>Pendiente: asignar con R/sf</x:v>
      </x:c>
    </x:row>
    <x:row r="2625">
      <x:c r="A2625" s="25" t="n">
        <x:v>2624</x:v>
      </x:c>
      <x:c r="B2625" s="26" t="n">
        <x:v>42434.73045138889</x:v>
      </x:c>
      <x:c r="C2625" s="27" t="n">
        <x:f>INT(B2625)</x:f>
        <x:v>42434</x:v>
      </x:c>
      <x:c r="D2625" s="28" t="n">
        <x:f>MOD(B2625,1)</x:f>
        <x:v>0.7304513888884685</x:v>
      </x:c>
      <x:c r="E2625" s="29" t="n">
        <x:f>YEAR(B2625)</x:f>
        <x:v>2016</x:v>
      </x:c>
      <x:c r="F2625" s="29" t="n">
        <x:f>MONTH(B2625)</x:f>
        <x:v>3</x:v>
      </x:c>
      <x:c r="G2625" s="30" t="n">
        <x:v>-20.73</x:v>
      </x:c>
      <x:c r="H2625" s="30" t="n">
        <x:v>-69.69</x:v>
      </x:c>
      <x:c r="I2625" s="29" t="n">
        <x:v>35</x:v>
      </x:c>
      <x:c r="J2625" s="31" t="n">
        <x:v>4.4</x:v>
      </x:c>
      <x:c r="K2625" s="25" t="str">
        <x:f>IF(J2625&gt;=7,"Muy fuerte (&gt;=7)",IF(J2625&gt;=6,"Fuerte (6-6.9)",IF(J2625&gt;=5,"Moderado alto (5-5.9)",IF(J2625&gt;=4,"Moderado (4-4.9)","Menor a 4"))))</x:f>
        <x:v>Moderado (4-4.9)</x:v>
      </x:c>
      <x:c r="L2625" s="25" t="str">
        <x:f>IF(I2625&lt;70,"Superficial (&lt;70 km)",IF(I2625&lt;=300,"Intermedio (70-300 km)","Profundo (&gt;300 km)"))</x:f>
        <x:v>Superficial (&lt;70 km)</x:v>
      </x:c>
      <x:c r="M2625" s="25" t="str">
        <x:f>IF(J2625&gt;=5,"Sí","No")</x:f>
        <x:v>No</x:v>
      </x:c>
      <x:c r="N2625" s="25" t="str">
        <x:f>IF(J2625&gt;=6,"Sí","No")</x:f>
        <x:v>No</x:v>
      </x:c>
      <x:c r="O2625" s="25" t="str">
        <x:v>Pendiente: asignar con R/sf</x:v>
      </x:c>
    </x:row>
    <x:row r="2626">
      <x:c r="A2626" s="25" t="n">
        <x:v>2625</x:v>
      </x:c>
      <x:c r="B2626" s="26" t="n">
        <x:v>42439.99155092592</x:v>
      </x:c>
      <x:c r="C2626" s="27" t="n">
        <x:f>INT(B2626)</x:f>
        <x:v>42439</x:v>
      </x:c>
      <x:c r="D2626" s="28" t="n">
        <x:f>MOD(B2626,1)</x:f>
        <x:v>0.9915509259226383</x:v>
      </x:c>
      <x:c r="E2626" s="29" t="n">
        <x:f>YEAR(B2626)</x:f>
        <x:v>2016</x:v>
      </x:c>
      <x:c r="F2626" s="29" t="n">
        <x:f>MONTH(B2626)</x:f>
        <x:v>3</x:v>
      </x:c>
      <x:c r="G2626" s="30" t="n">
        <x:v>-24.77</x:v>
      </x:c>
      <x:c r="H2626" s="30" t="n">
        <x:v>-70.64</x:v>
      </x:c>
      <x:c r="I2626" s="29" t="n">
        <x:v>36</x:v>
      </x:c>
      <x:c r="J2626" s="31" t="n">
        <x:v>4</x:v>
      </x:c>
      <x:c r="K2626" s="25" t="str">
        <x:f>IF(J2626&gt;=7,"Muy fuerte (&gt;=7)",IF(J2626&gt;=6,"Fuerte (6-6.9)",IF(J2626&gt;=5,"Moderado alto (5-5.9)",IF(J2626&gt;=4,"Moderado (4-4.9)","Menor a 4"))))</x:f>
        <x:v>Moderado (4-4.9)</x:v>
      </x:c>
      <x:c r="L2626" s="25" t="str">
        <x:f>IF(I2626&lt;70,"Superficial (&lt;70 km)",IF(I2626&lt;=300,"Intermedio (70-300 km)","Profundo (&gt;300 km)"))</x:f>
        <x:v>Superficial (&lt;70 km)</x:v>
      </x:c>
      <x:c r="M2626" s="25" t="str">
        <x:f>IF(J2626&gt;=5,"Sí","No")</x:f>
        <x:v>No</x:v>
      </x:c>
      <x:c r="N2626" s="25" t="str">
        <x:f>IF(J2626&gt;=6,"Sí","No")</x:f>
        <x:v>No</x:v>
      </x:c>
      <x:c r="O2626" s="25" t="str">
        <x:v>Pendiente: asignar con R/sf</x:v>
      </x:c>
    </x:row>
    <x:row r="2627">
      <x:c r="A2627" s="25" t="n">
        <x:v>2626</x:v>
      </x:c>
      <x:c r="B2627" s="26" t="n">
        <x:v>42440.29324074074</x:v>
      </x:c>
      <x:c r="C2627" s="27" t="n">
        <x:f>INT(B2627)</x:f>
        <x:v>42440</x:v>
      </x:c>
      <x:c r="D2627" s="28" t="n">
        <x:f>MOD(B2627,1)</x:f>
        <x:v>0.2932407407424762</x:v>
      </x:c>
      <x:c r="E2627" s="29" t="n">
        <x:f>YEAR(B2627)</x:f>
        <x:v>2016</x:v>
      </x:c>
      <x:c r="F2627" s="29" t="n">
        <x:f>MONTH(B2627)</x:f>
        <x:v>3</x:v>
      </x:c>
      <x:c r="G2627" s="30" t="n">
        <x:v>-23.08</x:v>
      </x:c>
      <x:c r="H2627" s="30" t="n">
        <x:v>-68.9</x:v>
      </x:c>
      <x:c r="I2627" s="29" t="n">
        <x:v>102</x:v>
      </x:c>
      <x:c r="J2627" s="31" t="n">
        <x:v>5</x:v>
      </x:c>
      <x:c r="K2627" s="25" t="str">
        <x:f>IF(J2627&gt;=7,"Muy fuerte (&gt;=7)",IF(J2627&gt;=6,"Fuerte (6-6.9)",IF(J2627&gt;=5,"Moderado alto (5-5.9)",IF(J2627&gt;=4,"Moderado (4-4.9)","Menor a 4"))))</x:f>
        <x:v>Moderado alto (5-5.9)</x:v>
      </x:c>
      <x:c r="L2627" s="25" t="str">
        <x:f>IF(I2627&lt;70,"Superficial (&lt;70 km)",IF(I2627&lt;=300,"Intermedio (70-300 km)","Profundo (&gt;300 km)"))</x:f>
        <x:v>Intermedio (70-300 km)</x:v>
      </x:c>
      <x:c r="M2627" s="25" t="str">
        <x:f>IF(J2627&gt;=5,"Sí","No")</x:f>
        <x:v>Sí</x:v>
      </x:c>
      <x:c r="N2627" s="25" t="str">
        <x:f>IF(J2627&gt;=6,"Sí","No")</x:f>
        <x:v>No</x:v>
      </x:c>
      <x:c r="O2627" s="25" t="str">
        <x:v>Pendiente: asignar con R/sf</x:v>
      </x:c>
    </x:row>
    <x:row r="2628">
      <x:c r="A2628" s="25" t="n">
        <x:v>2627</x:v>
      </x:c>
      <x:c r="B2628" s="26" t="n">
        <x:v>42443.64472222222</x:v>
      </x:c>
      <x:c r="C2628" s="27" t="n">
        <x:f>INT(B2628)</x:f>
        <x:v>42443</x:v>
      </x:c>
      <x:c r="D2628" s="28" t="n">
        <x:f>MOD(B2628,1)</x:f>
        <x:v>0.6447222222195705</x:v>
      </x:c>
      <x:c r="E2628" s="29" t="n">
        <x:f>YEAR(B2628)</x:f>
        <x:v>2016</x:v>
      </x:c>
      <x:c r="F2628" s="29" t="n">
        <x:f>MONTH(B2628)</x:f>
        <x:v>3</x:v>
      </x:c>
      <x:c r="G2628" s="30" t="n">
        <x:v>-20.9</x:v>
      </x:c>
      <x:c r="H2628" s="30" t="n">
        <x:v>-68.91</x:v>
      </x:c>
      <x:c r="I2628" s="29" t="n">
        <x:v>105</x:v>
      </x:c>
      <x:c r="J2628" s="31" t="n">
        <x:v>4.5</x:v>
      </x:c>
      <x:c r="K2628" s="25" t="str">
        <x:f>IF(J2628&gt;=7,"Muy fuerte (&gt;=7)",IF(J2628&gt;=6,"Fuerte (6-6.9)",IF(J2628&gt;=5,"Moderado alto (5-5.9)",IF(J2628&gt;=4,"Moderado (4-4.9)","Menor a 4"))))</x:f>
        <x:v>Moderado (4-4.9)</x:v>
      </x:c>
      <x:c r="L2628" s="25" t="str">
        <x:f>IF(I2628&lt;70,"Superficial (&lt;70 km)",IF(I2628&lt;=300,"Intermedio (70-300 km)","Profundo (&gt;300 km)"))</x:f>
        <x:v>Intermedio (70-300 km)</x:v>
      </x:c>
      <x:c r="M2628" s="25" t="str">
        <x:f>IF(J2628&gt;=5,"Sí","No")</x:f>
        <x:v>No</x:v>
      </x:c>
      <x:c r="N2628" s="25" t="str">
        <x:f>IF(J2628&gt;=6,"Sí","No")</x:f>
        <x:v>No</x:v>
      </x:c>
      <x:c r="O2628" s="25" t="str">
        <x:v>Pendiente: asignar con R/sf</x:v>
      </x:c>
    </x:row>
    <x:row r="2629">
      <x:c r="A2629" s="25" t="n">
        <x:v>2628</x:v>
      </x:c>
      <x:c r="B2629" s="26" t="n">
        <x:v>42460.32879629629</x:v>
      </x:c>
      <x:c r="C2629" s="27" t="n">
        <x:f>INT(B2629)</x:f>
        <x:v>42460</x:v>
      </x:c>
      <x:c r="D2629" s="28" t="n">
        <x:f>MOD(B2629,1)</x:f>
        <x:v>0.32879629629314877</x:v>
      </x:c>
      <x:c r="E2629" s="29" t="n">
        <x:f>YEAR(B2629)</x:f>
        <x:v>2016</x:v>
      </x:c>
      <x:c r="F2629" s="29" t="n">
        <x:f>MONTH(B2629)</x:f>
        <x:v>3</x:v>
      </x:c>
      <x:c r="G2629" s="30" t="n">
        <x:v>-22.62</x:v>
      </x:c>
      <x:c r="H2629" s="30" t="n">
        <x:v>-68.75</x:v>
      </x:c>
      <x:c r="I2629" s="29" t="n">
        <x:v>125</x:v>
      </x:c>
      <x:c r="J2629" s="31" t="n">
        <x:v>5</x:v>
      </x:c>
      <x:c r="K2629" s="25" t="str">
        <x:f>IF(J2629&gt;=7,"Muy fuerte (&gt;=7)",IF(J2629&gt;=6,"Fuerte (6-6.9)",IF(J2629&gt;=5,"Moderado alto (5-5.9)",IF(J2629&gt;=4,"Moderado (4-4.9)","Menor a 4"))))</x:f>
        <x:v>Moderado alto (5-5.9)</x:v>
      </x:c>
      <x:c r="L2629" s="25" t="str">
        <x:f>IF(I2629&lt;70,"Superficial (&lt;70 km)",IF(I2629&lt;=300,"Intermedio (70-300 km)","Profundo (&gt;300 km)"))</x:f>
        <x:v>Intermedio (70-300 km)</x:v>
      </x:c>
      <x:c r="M2629" s="25" t="str">
        <x:f>IF(J2629&gt;=5,"Sí","No")</x:f>
        <x:v>Sí</x:v>
      </x:c>
      <x:c r="N2629" s="25" t="str">
        <x:f>IF(J2629&gt;=6,"Sí","No")</x:f>
        <x:v>No</x:v>
      </x:c>
      <x:c r="O2629" s="25" t="str">
        <x:v>Pendiente: asignar con R/sf</x:v>
      </x:c>
    </x:row>
    <x:row r="2630">
      <x:c r="A2630" s="25" t="n">
        <x:v>2629</x:v>
      </x:c>
      <x:c r="B2630" s="26" t="n">
        <x:v>42461.13425925926</x:v>
      </x:c>
      <x:c r="C2630" s="27" t="n">
        <x:f>INT(B2630)</x:f>
        <x:v>42461</x:v>
      </x:c>
      <x:c r="D2630" s="28" t="n">
        <x:f>MOD(B2630,1)</x:f>
        <x:v>0.1342592592627625</x:v>
      </x:c>
      <x:c r="E2630" s="29" t="n">
        <x:f>YEAR(B2630)</x:f>
        <x:v>2016</x:v>
      </x:c>
      <x:c r="F2630" s="29" t="n">
        <x:f>MONTH(B2630)</x:f>
        <x:v>4</x:v>
      </x:c>
      <x:c r="G2630" s="30" t="n">
        <x:v>-20.32</x:v>
      </x:c>
      <x:c r="H2630" s="30" t="n">
        <x:v>-69.93</x:v>
      </x:c>
      <x:c r="I2630" s="29" t="n">
        <x:v>52</x:v>
      </x:c>
      <x:c r="J2630" s="31" t="n">
        <x:v>4.6</x:v>
      </x:c>
      <x:c r="K2630" s="25" t="str">
        <x:f>IF(J2630&gt;=7,"Muy fuerte (&gt;=7)",IF(J2630&gt;=6,"Fuerte (6-6.9)",IF(J2630&gt;=5,"Moderado alto (5-5.9)",IF(J2630&gt;=4,"Moderado (4-4.9)","Menor a 4"))))</x:f>
        <x:v>Moderado (4-4.9)</x:v>
      </x:c>
      <x:c r="L2630" s="25" t="str">
        <x:f>IF(I2630&lt;70,"Superficial (&lt;70 km)",IF(I2630&lt;=300,"Intermedio (70-300 km)","Profundo (&gt;300 km)"))</x:f>
        <x:v>Superficial (&lt;70 km)</x:v>
      </x:c>
      <x:c r="M2630" s="25" t="str">
        <x:f>IF(J2630&gt;=5,"Sí","No")</x:f>
        <x:v>No</x:v>
      </x:c>
      <x:c r="N2630" s="25" t="str">
        <x:f>IF(J2630&gt;=6,"Sí","No")</x:f>
        <x:v>No</x:v>
      </x:c>
      <x:c r="O2630" s="25" t="str">
        <x:v>Pendiente: asignar con R/sf</x:v>
      </x:c>
    </x:row>
    <x:row r="2631">
      <x:c r="A2631" s="25" t="n">
        <x:v>2630</x:v>
      </x:c>
      <x:c r="B2631" s="26" t="n">
        <x:v>42467.29383101852</x:v>
      </x:c>
      <x:c r="C2631" s="27" t="n">
        <x:f>INT(B2631)</x:f>
        <x:v>42467</x:v>
      </x:c>
      <x:c r="D2631" s="28" t="n">
        <x:f>MOD(B2631,1)</x:f>
        <x:v>0.29383101851999527</x:v>
      </x:c>
      <x:c r="E2631" s="29" t="n">
        <x:f>YEAR(B2631)</x:f>
        <x:v>2016</x:v>
      </x:c>
      <x:c r="F2631" s="29" t="n">
        <x:f>MONTH(B2631)</x:f>
        <x:v>4</x:v>
      </x:c>
      <x:c r="G2631" s="30" t="n">
        <x:v>-20.42</x:v>
      </x:c>
      <x:c r="H2631" s="30" t="n">
        <x:v>-68.83</x:v>
      </x:c>
      <x:c r="I2631" s="29" t="n">
        <x:v>108</x:v>
      </x:c>
      <x:c r="J2631" s="31" t="n">
        <x:v>4.7</x:v>
      </x:c>
      <x:c r="K2631" s="25" t="str">
        <x:f>IF(J2631&gt;=7,"Muy fuerte (&gt;=7)",IF(J2631&gt;=6,"Fuerte (6-6.9)",IF(J2631&gt;=5,"Moderado alto (5-5.9)",IF(J2631&gt;=4,"Moderado (4-4.9)","Menor a 4"))))</x:f>
        <x:v>Moderado (4-4.9)</x:v>
      </x:c>
      <x:c r="L2631" s="25" t="str">
        <x:f>IF(I2631&lt;70,"Superficial (&lt;70 km)",IF(I2631&lt;=300,"Intermedio (70-300 km)","Profundo (&gt;300 km)"))</x:f>
        <x:v>Intermedio (70-300 km)</x:v>
      </x:c>
      <x:c r="M2631" s="25" t="str">
        <x:f>IF(J2631&gt;=5,"Sí","No")</x:f>
        <x:v>No</x:v>
      </x:c>
      <x:c r="N2631" s="25" t="str">
        <x:f>IF(J2631&gt;=6,"Sí","No")</x:f>
        <x:v>No</x:v>
      </x:c>
      <x:c r="O2631" s="25" t="str">
        <x:v>Pendiente: asignar con R/sf</x:v>
      </x:c>
    </x:row>
    <x:row r="2632">
      <x:c r="A2632" s="25" t="n">
        <x:v>2631</x:v>
      </x:c>
      <x:c r="B2632" s="26" t="n">
        <x:v>42522.32855324074</x:v>
      </x:c>
      <x:c r="C2632" s="27" t="n">
        <x:f>INT(B2632)</x:f>
        <x:v>42522</x:v>
      </x:c>
      <x:c r="D2632" s="28" t="n">
        <x:f>MOD(B2632,1)</x:f>
        <x:v>0.32855324073898373</x:v>
      </x:c>
      <x:c r="E2632" s="29" t="n">
        <x:f>YEAR(B2632)</x:f>
        <x:v>2016</x:v>
      </x:c>
      <x:c r="F2632" s="29" t="n">
        <x:f>MONTH(B2632)</x:f>
        <x:v>6</x:v>
      </x:c>
      <x:c r="G2632" s="30" t="n">
        <x:v>-22.68</x:v>
      </x:c>
      <x:c r="H2632" s="30" t="n">
        <x:v>-68.66</x:v>
      </x:c>
      <x:c r="I2632" s="29" t="n">
        <x:v>96</x:v>
      </x:c>
      <x:c r="J2632" s="31" t="n">
        <x:v>4.5</x:v>
      </x:c>
      <x:c r="K2632" s="25" t="str">
        <x:f>IF(J2632&gt;=7,"Muy fuerte (&gt;=7)",IF(J2632&gt;=6,"Fuerte (6-6.9)",IF(J2632&gt;=5,"Moderado alto (5-5.9)",IF(J2632&gt;=4,"Moderado (4-4.9)","Menor a 4"))))</x:f>
        <x:v>Moderado (4-4.9)</x:v>
      </x:c>
      <x:c r="L2632" s="25" t="str">
        <x:f>IF(I2632&lt;70,"Superficial (&lt;70 km)",IF(I2632&lt;=300,"Intermedio (70-300 km)","Profundo (&gt;300 km)"))</x:f>
        <x:v>Intermedio (70-300 km)</x:v>
      </x:c>
      <x:c r="M2632" s="25" t="str">
        <x:f>IF(J2632&gt;=5,"Sí","No")</x:f>
        <x:v>No</x:v>
      </x:c>
      <x:c r="N2632" s="25" t="str">
        <x:f>IF(J2632&gt;=6,"Sí","No")</x:f>
        <x:v>No</x:v>
      </x:c>
      <x:c r="O2632" s="25" t="str">
        <x:v>Pendiente: asignar con R/sf</x:v>
      </x:c>
    </x:row>
    <x:row r="2633">
      <x:c r="A2633" s="25" t="n">
        <x:v>2632</x:v>
      </x:c>
      <x:c r="B2633" s="26" t="n">
        <x:v>42538.146458333336</x:v>
      </x:c>
      <x:c r="C2633" s="27" t="n">
        <x:f>INT(B2633)</x:f>
        <x:v>42538</x:v>
      </x:c>
      <x:c r="D2633" s="28" t="n">
        <x:f>MOD(B2633,1)</x:f>
        <x:v>0.14645833333634073</x:v>
      </x:c>
      <x:c r="E2633" s="29" t="n">
        <x:f>YEAR(B2633)</x:f>
        <x:v>2016</x:v>
      </x:c>
      <x:c r="F2633" s="29" t="n">
        <x:f>MONTH(B2633)</x:f>
        <x:v>6</x:v>
      </x:c>
      <x:c r="G2633" s="30" t="n">
        <x:v>-23.02</x:v>
      </x:c>
      <x:c r="H2633" s="30" t="n">
        <x:v>-69</x:v>
      </x:c>
      <x:c r="I2633" s="29" t="n">
        <x:v>93</x:v>
      </x:c>
      <x:c r="J2633" s="31" t="n">
        <x:v>4.4</x:v>
      </x:c>
      <x:c r="K2633" s="25" t="str">
        <x:f>IF(J2633&gt;=7,"Muy fuerte (&gt;=7)",IF(J2633&gt;=6,"Fuerte (6-6.9)",IF(J2633&gt;=5,"Moderado alto (5-5.9)",IF(J2633&gt;=4,"Moderado (4-4.9)","Menor a 4"))))</x:f>
        <x:v>Moderado (4-4.9)</x:v>
      </x:c>
      <x:c r="L2633" s="25" t="str">
        <x:f>IF(I2633&lt;70,"Superficial (&lt;70 km)",IF(I2633&lt;=300,"Intermedio (70-300 km)","Profundo (&gt;300 km)"))</x:f>
        <x:v>Intermedio (70-300 km)</x:v>
      </x:c>
      <x:c r="M2633" s="25" t="str">
        <x:f>IF(J2633&gt;=5,"Sí","No")</x:f>
        <x:v>No</x:v>
      </x:c>
      <x:c r="N2633" s="25" t="str">
        <x:f>IF(J2633&gt;=6,"Sí","No")</x:f>
        <x:v>No</x:v>
      </x:c>
      <x:c r="O2633" s="25" t="str">
        <x:v>Pendiente: asignar con R/sf</x:v>
      </x:c>
    </x:row>
    <x:row r="2634">
      <x:c r="A2634" s="25" t="n">
        <x:v>2633</x:v>
      </x:c>
      <x:c r="B2634" s="26" t="n">
        <x:v>42545.89533564815</x:v>
      </x:c>
      <x:c r="C2634" s="27" t="n">
        <x:f>INT(B2634)</x:f>
        <x:v>42545</x:v>
      </x:c>
      <x:c r="D2634" s="28" t="n">
        <x:f>MOD(B2634,1)</x:f>
        <x:v>0.8953356481506489</x:v>
      </x:c>
      <x:c r="E2634" s="29" t="n">
        <x:f>YEAR(B2634)</x:f>
        <x:v>2016</x:v>
      </x:c>
      <x:c r="F2634" s="29" t="n">
        <x:f>MONTH(B2634)</x:f>
        <x:v>6</x:v>
      </x:c>
      <x:c r="G2634" s="30" t="n">
        <x:v>-25.74</x:v>
      </x:c>
      <x:c r="H2634" s="30" t="n">
        <x:v>-69.35</x:v>
      </x:c>
      <x:c r="I2634" s="29" t="n">
        <x:v>124</x:v>
      </x:c>
      <x:c r="J2634" s="31" t="n">
        <x:v>5.8</x:v>
      </x:c>
      <x:c r="K2634" s="25" t="str">
        <x:f>IF(J2634&gt;=7,"Muy fuerte (&gt;=7)",IF(J2634&gt;=6,"Fuerte (6-6.9)",IF(J2634&gt;=5,"Moderado alto (5-5.9)",IF(J2634&gt;=4,"Moderado (4-4.9)","Menor a 4"))))</x:f>
        <x:v>Moderado alto (5-5.9)</x:v>
      </x:c>
      <x:c r="L2634" s="25" t="str">
        <x:f>IF(I2634&lt;70,"Superficial (&lt;70 km)",IF(I2634&lt;=300,"Intermedio (70-300 km)","Profundo (&gt;300 km)"))</x:f>
        <x:v>Intermedio (70-300 km)</x:v>
      </x:c>
      <x:c r="M2634" s="25" t="str">
        <x:f>IF(J2634&gt;=5,"Sí","No")</x:f>
        <x:v>Sí</x:v>
      </x:c>
      <x:c r="N2634" s="25" t="str">
        <x:f>IF(J2634&gt;=6,"Sí","No")</x:f>
        <x:v>No</x:v>
      </x:c>
      <x:c r="O2634" s="25" t="str">
        <x:v>Pendiente: asignar con R/sf</x:v>
      </x:c>
    </x:row>
    <x:row r="2635">
      <x:c r="A2635" s="25" t="n">
        <x:v>2634</x:v>
      </x:c>
      <x:c r="B2635" s="26" t="n">
        <x:v>42598.12405092592</x:v>
      </x:c>
      <x:c r="C2635" s="27" t="n">
        <x:f>INT(B2635)</x:f>
        <x:v>42598</x:v>
      </x:c>
      <x:c r="D2635" s="28" t="n">
        <x:f>MOD(B2635,1)</x:f>
        <x:v>0.12405092592234723</x:v>
      </x:c>
      <x:c r="E2635" s="29" t="n">
        <x:f>YEAR(B2635)</x:f>
        <x:v>2016</x:v>
      </x:c>
      <x:c r="F2635" s="29" t="n">
        <x:f>MONTH(B2635)</x:f>
        <x:v>8</x:v>
      </x:c>
      <x:c r="G2635" s="30" t="n">
        <x:v>-22.47</x:v>
      </x:c>
      <x:c r="H2635" s="30" t="n">
        <x:v>-68.79</x:v>
      </x:c>
      <x:c r="I2635" s="29" t="n">
        <x:v>117</x:v>
      </x:c>
      <x:c r="J2635" s="31" t="n">
        <x:v>5.1</x:v>
      </x:c>
      <x:c r="K2635" s="25" t="str">
        <x:f>IF(J2635&gt;=7,"Muy fuerte (&gt;=7)",IF(J2635&gt;=6,"Fuerte (6-6.9)",IF(J2635&gt;=5,"Moderado alto (5-5.9)",IF(J2635&gt;=4,"Moderado (4-4.9)","Menor a 4"))))</x:f>
        <x:v>Moderado alto (5-5.9)</x:v>
      </x:c>
      <x:c r="L2635" s="25" t="str">
        <x:f>IF(I2635&lt;70,"Superficial (&lt;70 km)",IF(I2635&lt;=300,"Intermedio (70-300 km)","Profundo (&gt;300 km)"))</x:f>
        <x:v>Intermedio (70-300 km)</x:v>
      </x:c>
      <x:c r="M2635" s="25" t="str">
        <x:f>IF(J2635&gt;=5,"Sí","No")</x:f>
        <x:v>Sí</x:v>
      </x:c>
      <x:c r="N2635" s="25" t="str">
        <x:f>IF(J2635&gt;=6,"Sí","No")</x:f>
        <x:v>No</x:v>
      </x:c>
      <x:c r="O2635" s="25" t="str">
        <x:v>Pendiente: asignar con R/sf</x:v>
      </x:c>
    </x:row>
    <x:row r="2636">
      <x:c r="A2636" s="25" t="n">
        <x:v>2635</x:v>
      </x:c>
      <x:c r="B2636" s="26" t="n">
        <x:v>42608.422638888886</x:v>
      </x:c>
      <x:c r="C2636" s="27" t="n">
        <x:f>INT(B2636)</x:f>
        <x:v>42608</x:v>
      </x:c>
      <x:c r="D2636" s="28" t="n">
        <x:f>MOD(B2636,1)</x:f>
        <x:v>0.4226388888855581</x:v>
      </x:c>
      <x:c r="E2636" s="29" t="n">
        <x:f>YEAR(B2636)</x:f>
        <x:v>2016</x:v>
      </x:c>
      <x:c r="F2636" s="29" t="n">
        <x:f>MONTH(B2636)</x:f>
        <x:v>8</x:v>
      </x:c>
      <x:c r="G2636" s="30" t="n">
        <x:v>-25.1</x:v>
      </x:c>
      <x:c r="H2636" s="30" t="n">
        <x:v>-70.4</x:v>
      </x:c>
      <x:c r="I2636" s="29" t="n">
        <x:v>60</x:v>
      </x:c>
      <x:c r="J2636" s="31" t="n">
        <x:v>4.1</x:v>
      </x:c>
      <x:c r="K2636" s="25" t="str">
        <x:f>IF(J2636&gt;=7,"Muy fuerte (&gt;=7)",IF(J2636&gt;=6,"Fuerte (6-6.9)",IF(J2636&gt;=5,"Moderado alto (5-5.9)",IF(J2636&gt;=4,"Moderado (4-4.9)","Menor a 4"))))</x:f>
        <x:v>Moderado (4-4.9)</x:v>
      </x:c>
      <x:c r="L2636" s="25" t="str">
        <x:f>IF(I2636&lt;70,"Superficial (&lt;70 km)",IF(I2636&lt;=300,"Intermedio (70-300 km)","Profundo (&gt;300 km)"))</x:f>
        <x:v>Superficial (&lt;70 km)</x:v>
      </x:c>
      <x:c r="M2636" s="25" t="str">
        <x:f>IF(J2636&gt;=5,"Sí","No")</x:f>
        <x:v>No</x:v>
      </x:c>
      <x:c r="N2636" s="25" t="str">
        <x:f>IF(J2636&gt;=6,"Sí","No")</x:f>
        <x:v>No</x:v>
      </x:c>
      <x:c r="O2636" s="25" t="str">
        <x:v>Pendiente: asignar con R/sf</x:v>
      </x:c>
    </x:row>
    <x:row r="2637">
      <x:c r="A2637" s="25" t="n">
        <x:v>2636</x:v>
      </x:c>
      <x:c r="B2637" s="26" t="n">
        <x:v>42620.50083333333</x:v>
      </x:c>
      <x:c r="C2637" s="27" t="n">
        <x:f>INT(B2637)</x:f>
        <x:v>42620</x:v>
      </x:c>
      <x:c r="D2637" s="28" t="n">
        <x:f>MOD(B2637,1)</x:f>
        <x:v>0.5008333333316841</x:v>
      </x:c>
      <x:c r="E2637" s="29" t="n">
        <x:f>YEAR(B2637)</x:f>
        <x:v>2016</x:v>
      </x:c>
      <x:c r="F2637" s="29" t="n">
        <x:f>MONTH(B2637)</x:f>
        <x:v>9</x:v>
      </x:c>
      <x:c r="G2637" s="30" t="n">
        <x:v>-24.87</x:v>
      </x:c>
      <x:c r="H2637" s="30" t="n">
        <x:v>-70.76</x:v>
      </x:c>
      <x:c r="I2637" s="29" t="n">
        <x:v>18</x:v>
      </x:c>
      <x:c r="J2637" s="31" t="n">
        <x:v>4.1</x:v>
      </x:c>
      <x:c r="K2637" s="25" t="str">
        <x:f>IF(J2637&gt;=7,"Muy fuerte (&gt;=7)",IF(J2637&gt;=6,"Fuerte (6-6.9)",IF(J2637&gt;=5,"Moderado alto (5-5.9)",IF(J2637&gt;=4,"Moderado (4-4.9)","Menor a 4"))))</x:f>
        <x:v>Moderado (4-4.9)</x:v>
      </x:c>
      <x:c r="L2637" s="25" t="str">
        <x:f>IF(I2637&lt;70,"Superficial (&lt;70 km)",IF(I2637&lt;=300,"Intermedio (70-300 km)","Profundo (&gt;300 km)"))</x:f>
        <x:v>Superficial (&lt;70 km)</x:v>
      </x:c>
      <x:c r="M2637" s="25" t="str">
        <x:f>IF(J2637&gt;=5,"Sí","No")</x:f>
        <x:v>No</x:v>
      </x:c>
      <x:c r="N2637" s="25" t="str">
        <x:f>IF(J2637&gt;=6,"Sí","No")</x:f>
        <x:v>No</x:v>
      </x:c>
      <x:c r="O2637" s="25" t="str">
        <x:v>Pendiente: asignar con R/sf</x:v>
      </x:c>
    </x:row>
    <x:row r="2638">
      <x:c r="A2638" s="25" t="n">
        <x:v>2637</x:v>
      </x:c>
      <x:c r="B2638" s="26" t="n">
        <x:v>42633.55883101852</x:v>
      </x:c>
      <x:c r="C2638" s="27" t="n">
        <x:f>INT(B2638)</x:f>
        <x:v>42633</x:v>
      </x:c>
      <x:c r="D2638" s="28" t="n">
        <x:f>MOD(B2638,1)</x:f>
        <x:v>0.5588310185194132</x:v>
      </x:c>
      <x:c r="E2638" s="29" t="n">
        <x:f>YEAR(B2638)</x:f>
        <x:v>2016</x:v>
      </x:c>
      <x:c r="F2638" s="29" t="n">
        <x:f>MONTH(B2638)</x:f>
        <x:v>9</x:v>
      </x:c>
      <x:c r="G2638" s="30" t="n">
        <x:v>-23.58</x:v>
      </x:c>
      <x:c r="H2638" s="30" t="n">
        <x:v>-68.19</x:v>
      </x:c>
      <x:c r="I2638" s="29" t="n">
        <x:v>134</x:v>
      </x:c>
      <x:c r="J2638" s="31" t="n">
        <x:v>5.1</x:v>
      </x:c>
      <x:c r="K2638" s="25" t="str">
        <x:f>IF(J2638&gt;=7,"Muy fuerte (&gt;=7)",IF(J2638&gt;=6,"Fuerte (6-6.9)",IF(J2638&gt;=5,"Moderado alto (5-5.9)",IF(J2638&gt;=4,"Moderado (4-4.9)","Menor a 4"))))</x:f>
        <x:v>Moderado alto (5-5.9)</x:v>
      </x:c>
      <x:c r="L2638" s="25" t="str">
        <x:f>IF(I2638&lt;70,"Superficial (&lt;70 km)",IF(I2638&lt;=300,"Intermedio (70-300 km)","Profundo (&gt;300 km)"))</x:f>
        <x:v>Intermedio (70-300 km)</x:v>
      </x:c>
      <x:c r="M2638" s="25" t="str">
        <x:f>IF(J2638&gt;=5,"Sí","No")</x:f>
        <x:v>Sí</x:v>
      </x:c>
      <x:c r="N2638" s="25" t="str">
        <x:f>IF(J2638&gt;=6,"Sí","No")</x:f>
        <x:v>No</x:v>
      </x:c>
      <x:c r="O2638" s="25" t="str">
        <x:v>Pendiente: asignar con R/sf</x:v>
      </x:c>
    </x:row>
    <x:row r="2639">
      <x:c r="A2639" s="25" t="n">
        <x:v>2638</x:v>
      </x:c>
      <x:c r="B2639" s="26" t="n">
        <x:v>42673.201157407406</x:v>
      </x:c>
      <x:c r="C2639" s="27" t="n">
        <x:f>INT(B2639)</x:f>
        <x:v>42673</x:v>
      </x:c>
      <x:c r="D2639" s="28" t="n">
        <x:f>MOD(B2639,1)</x:f>
        <x:v>0.20115740740584442</x:v>
      </x:c>
      <x:c r="E2639" s="29" t="n">
        <x:f>YEAR(B2639)</x:f>
        <x:v>2016</x:v>
      </x:c>
      <x:c r="F2639" s="29" t="n">
        <x:f>MONTH(B2639)</x:f>
        <x:v>10</x:v>
      </x:c>
      <x:c r="G2639" s="30" t="n">
        <x:v>-25.18</x:v>
      </x:c>
      <x:c r="H2639" s="30" t="n">
        <x:v>-70.39</x:v>
      </x:c>
      <x:c r="I2639" s="29" t="n">
        <x:v>61</x:v>
      </x:c>
      <x:c r="J2639" s="31" t="n">
        <x:v>5.4</x:v>
      </x:c>
      <x:c r="K2639" s="25" t="str">
        <x:f>IF(J2639&gt;=7,"Muy fuerte (&gt;=7)",IF(J2639&gt;=6,"Fuerte (6-6.9)",IF(J2639&gt;=5,"Moderado alto (5-5.9)",IF(J2639&gt;=4,"Moderado (4-4.9)","Menor a 4"))))</x:f>
        <x:v>Moderado alto (5-5.9)</x:v>
      </x:c>
      <x:c r="L2639" s="25" t="str">
        <x:f>IF(I2639&lt;70,"Superficial (&lt;70 km)",IF(I2639&lt;=300,"Intermedio (70-300 km)","Profundo (&gt;300 km)"))</x:f>
        <x:v>Superficial (&lt;70 km)</x:v>
      </x:c>
      <x:c r="M2639" s="25" t="str">
        <x:f>IF(J2639&gt;=5,"Sí","No")</x:f>
        <x:v>Sí</x:v>
      </x:c>
      <x:c r="N2639" s="25" t="str">
        <x:f>IF(J2639&gt;=6,"Sí","No")</x:f>
        <x:v>No</x:v>
      </x:c>
      <x:c r="O2639" s="25" t="str">
        <x:v>Pendiente: asignar con R/sf</x:v>
      </x:c>
    </x:row>
    <x:row r="2640">
      <x:c r="A2640" s="25" t="n">
        <x:v>2639</x:v>
      </x:c>
      <x:c r="B2640" s="26" t="n">
        <x:v>42376.09008101852</x:v>
      </x:c>
      <x:c r="C2640" s="27" t="n">
        <x:f>INT(B2640)</x:f>
        <x:v>42376</x:v>
      </x:c>
      <x:c r="D2640" s="28" t="n">
        <x:f>MOD(B2640,1)</x:f>
        <x:v>0.09008101851941319</x:v>
      </x:c>
      <x:c r="E2640" s="29" t="n">
        <x:f>YEAR(B2640)</x:f>
        <x:v>2016</x:v>
      </x:c>
      <x:c r="F2640" s="29" t="n">
        <x:f>MONTH(B2640)</x:f>
        <x:v>1</x:v>
      </x:c>
      <x:c r="G2640" s="30" t="n">
        <x:v>-30.63</x:v>
      </x:c>
      <x:c r="H2640" s="30" t="n">
        <x:v>-71.62</x:v>
      </x:c>
      <x:c r="I2640" s="29" t="n">
        <x:v>36</x:v>
      </x:c>
      <x:c r="J2640" s="31" t="n">
        <x:v>4.9</x:v>
      </x:c>
      <x:c r="K2640" s="25" t="str">
        <x:f>IF(J2640&gt;=7,"Muy fuerte (&gt;=7)",IF(J2640&gt;=6,"Fuerte (6-6.9)",IF(J2640&gt;=5,"Moderado alto (5-5.9)",IF(J2640&gt;=4,"Moderado (4-4.9)","Menor a 4"))))</x:f>
        <x:v>Moderado (4-4.9)</x:v>
      </x:c>
      <x:c r="L2640" s="25" t="str">
        <x:f>IF(I2640&lt;70,"Superficial (&lt;70 km)",IF(I2640&lt;=300,"Intermedio (70-300 km)","Profundo (&gt;300 km)"))</x:f>
        <x:v>Superficial (&lt;70 km)</x:v>
      </x:c>
      <x:c r="M2640" s="25" t="str">
        <x:f>IF(J2640&gt;=5,"Sí","No")</x:f>
        <x:v>No</x:v>
      </x:c>
      <x:c r="N2640" s="25" t="str">
        <x:f>IF(J2640&gt;=6,"Sí","No")</x:f>
        <x:v>No</x:v>
      </x:c>
      <x:c r="O2640" s="25" t="str">
        <x:v>Pendiente: asignar con R/sf</x:v>
      </x:c>
    </x:row>
    <x:row r="2641">
      <x:c r="A2641" s="25" t="n">
        <x:v>2640</x:v>
      </x:c>
      <x:c r="B2641" s="26" t="n">
        <x:v>42381.792974537035</x:v>
      </x:c>
      <x:c r="C2641" s="27" t="n">
        <x:f>INT(B2641)</x:f>
        <x:v>42381</x:v>
      </x:c>
      <x:c r="D2641" s="28" t="n">
        <x:f>MOD(B2641,1)</x:f>
        <x:v>0.7929745370347518</x:v>
      </x:c>
      <x:c r="E2641" s="29" t="n">
        <x:f>YEAR(B2641)</x:f>
        <x:v>2016</x:v>
      </x:c>
      <x:c r="F2641" s="29" t="n">
        <x:f>MONTH(B2641)</x:f>
        <x:v>1</x:v>
      </x:c>
      <x:c r="G2641" s="30" t="n">
        <x:v>-30.7</x:v>
      </x:c>
      <x:c r="H2641" s="30" t="n">
        <x:v>-71.61</x:v>
      </x:c>
      <x:c r="I2641" s="29" t="n">
        <x:v>43</x:v>
      </x:c>
      <x:c r="J2641" s="31" t="n">
        <x:v>4.9</x:v>
      </x:c>
      <x:c r="K2641" s="25" t="str">
        <x:f>IF(J2641&gt;=7,"Muy fuerte (&gt;=7)",IF(J2641&gt;=6,"Fuerte (6-6.9)",IF(J2641&gt;=5,"Moderado alto (5-5.9)",IF(J2641&gt;=4,"Moderado (4-4.9)","Menor a 4"))))</x:f>
        <x:v>Moderado (4-4.9)</x:v>
      </x:c>
      <x:c r="L2641" s="25" t="str">
        <x:f>IF(I2641&lt;70,"Superficial (&lt;70 km)",IF(I2641&lt;=300,"Intermedio (70-300 km)","Profundo (&gt;300 km)"))</x:f>
        <x:v>Superficial (&lt;70 km)</x:v>
      </x:c>
      <x:c r="M2641" s="25" t="str">
        <x:f>IF(J2641&gt;=5,"Sí","No")</x:f>
        <x:v>No</x:v>
      </x:c>
      <x:c r="N2641" s="25" t="str">
        <x:f>IF(J2641&gt;=6,"Sí","No")</x:f>
        <x:v>No</x:v>
      </x:c>
      <x:c r="O2641" s="25" t="str">
        <x:v>Pendiente: asignar con R/sf</x:v>
      </x:c>
    </x:row>
    <x:row r="2642">
      <x:c r="A2642" s="25" t="n">
        <x:v>2641</x:v>
      </x:c>
      <x:c r="B2642" s="26" t="n">
        <x:v>42388.29777777778</x:v>
      </x:c>
      <x:c r="C2642" s="27" t="n">
        <x:f>INT(B2642)</x:f>
        <x:v>42388</x:v>
      </x:c>
      <x:c r="D2642" s="28" t="n">
        <x:f>MOD(B2642,1)</x:f>
        <x:v>0.2977777777778101</x:v>
      </x:c>
      <x:c r="E2642" s="29" t="n">
        <x:f>YEAR(B2642)</x:f>
        <x:v>2016</x:v>
      </x:c>
      <x:c r="F2642" s="29" t="n">
        <x:f>MONTH(B2642)</x:f>
        <x:v>1</x:v>
      </x:c>
      <x:c r="G2642" s="30" t="n">
        <x:v>-32.11</x:v>
      </x:c>
      <x:c r="H2642" s="30" t="n">
        <x:v>-71.22</x:v>
      </x:c>
      <x:c r="I2642" s="29" t="n">
        <x:v>83</x:v>
      </x:c>
      <x:c r="J2642" s="31" t="n">
        <x:v>4.1</x:v>
      </x:c>
      <x:c r="K2642" s="25" t="str">
        <x:f>IF(J2642&gt;=7,"Muy fuerte (&gt;=7)",IF(J2642&gt;=6,"Fuerte (6-6.9)",IF(J2642&gt;=5,"Moderado alto (5-5.9)",IF(J2642&gt;=4,"Moderado (4-4.9)","Menor a 4"))))</x:f>
        <x:v>Moderado (4-4.9)</x:v>
      </x:c>
      <x:c r="L2642" s="25" t="str">
        <x:f>IF(I2642&lt;70,"Superficial (&lt;70 km)",IF(I2642&lt;=300,"Intermedio (70-300 km)","Profundo (&gt;300 km)"))</x:f>
        <x:v>Intermedio (70-300 km)</x:v>
      </x:c>
      <x:c r="M2642" s="25" t="str">
        <x:f>IF(J2642&gt;=5,"Sí","No")</x:f>
        <x:v>No</x:v>
      </x:c>
      <x:c r="N2642" s="25" t="str">
        <x:f>IF(J2642&gt;=6,"Sí","No")</x:f>
        <x:v>No</x:v>
      </x:c>
      <x:c r="O2642" s="25" t="str">
        <x:v>Pendiente: asignar con R/sf</x:v>
      </x:c>
    </x:row>
    <x:row r="2643">
      <x:c r="A2643" s="25" t="n">
        <x:v>2642</x:v>
      </x:c>
      <x:c r="B2643" s="26" t="n">
        <x:v>42404.74652777778</x:v>
      </x:c>
      <x:c r="C2643" s="27" t="n">
        <x:f>INT(B2643)</x:f>
        <x:v>42404</x:v>
      </x:c>
      <x:c r="D2643" s="28" t="n">
        <x:f>MOD(B2643,1)</x:f>
        <x:v>0.7465277777810115</x:v>
      </x:c>
      <x:c r="E2643" s="29" t="n">
        <x:f>YEAR(B2643)</x:f>
        <x:v>2016</x:v>
      </x:c>
      <x:c r="F2643" s="29" t="n">
        <x:f>MONTH(B2643)</x:f>
        <x:v>2</x:v>
      </x:c>
      <x:c r="G2643" s="30" t="n">
        <x:v>-31.07</x:v>
      </x:c>
      <x:c r="H2643" s="30" t="n">
        <x:v>-71.78</x:v>
      </x:c>
      <x:c r="I2643" s="29" t="n">
        <x:v>32</x:v>
      </x:c>
      <x:c r="J2643" s="31" t="n">
        <x:v>5.2</x:v>
      </x:c>
      <x:c r="K2643" s="25" t="str">
        <x:f>IF(J2643&gt;=7,"Muy fuerte (&gt;=7)",IF(J2643&gt;=6,"Fuerte (6-6.9)",IF(J2643&gt;=5,"Moderado alto (5-5.9)",IF(J2643&gt;=4,"Moderado (4-4.9)","Menor a 4"))))</x:f>
        <x:v>Moderado alto (5-5.9)</x:v>
      </x:c>
      <x:c r="L2643" s="25" t="str">
        <x:f>IF(I2643&lt;70,"Superficial (&lt;70 km)",IF(I2643&lt;=300,"Intermedio (70-300 km)","Profundo (&gt;300 km)"))</x:f>
        <x:v>Superficial (&lt;70 km)</x:v>
      </x:c>
      <x:c r="M2643" s="25" t="str">
        <x:f>IF(J2643&gt;=5,"Sí","No")</x:f>
        <x:v>Sí</x:v>
      </x:c>
      <x:c r="N2643" s="25" t="str">
        <x:f>IF(J2643&gt;=6,"Sí","No")</x:f>
        <x:v>No</x:v>
      </x:c>
      <x:c r="O2643" s="25" t="str">
        <x:v>Pendiente: asignar con R/sf</x:v>
      </x:c>
    </x:row>
    <x:row r="2644">
      <x:c r="A2644" s="25" t="n">
        <x:v>2643</x:v>
      </x:c>
      <x:c r="B2644" s="26" t="n">
        <x:v>42405.227858796294</x:v>
      </x:c>
      <x:c r="C2644" s="27" t="n">
        <x:f>INT(B2644)</x:f>
        <x:v>42405</x:v>
      </x:c>
      <x:c r="D2644" s="28" t="n">
        <x:f>MOD(B2644,1)</x:f>
        <x:v>0.22785879629373085</x:v>
      </x:c>
      <x:c r="E2644" s="29" t="n">
        <x:f>YEAR(B2644)</x:f>
        <x:v>2016</x:v>
      </x:c>
      <x:c r="F2644" s="29" t="n">
        <x:f>MONTH(B2644)</x:f>
        <x:v>2</x:v>
      </x:c>
      <x:c r="G2644" s="30" t="n">
        <x:v>-31.1</x:v>
      </x:c>
      <x:c r="H2644" s="30" t="n">
        <x:v>-71.81</x:v>
      </x:c>
      <x:c r="I2644" s="29" t="n">
        <x:v>30</x:v>
      </x:c>
      <x:c r="J2644" s="31" t="n">
        <x:v>5.1</x:v>
      </x:c>
      <x:c r="K2644" s="25" t="str">
        <x:f>IF(J2644&gt;=7,"Muy fuerte (&gt;=7)",IF(J2644&gt;=6,"Fuerte (6-6.9)",IF(J2644&gt;=5,"Moderado alto (5-5.9)",IF(J2644&gt;=4,"Moderado (4-4.9)","Menor a 4"))))</x:f>
        <x:v>Moderado alto (5-5.9)</x:v>
      </x:c>
      <x:c r="L2644" s="25" t="str">
        <x:f>IF(I2644&lt;70,"Superficial (&lt;70 km)",IF(I2644&lt;=300,"Intermedio (70-300 km)","Profundo (&gt;300 km)"))</x:f>
        <x:v>Superficial (&lt;70 km)</x:v>
      </x:c>
      <x:c r="M2644" s="25" t="str">
        <x:f>IF(J2644&gt;=5,"Sí","No")</x:f>
        <x:v>Sí</x:v>
      </x:c>
      <x:c r="N2644" s="25" t="str">
        <x:f>IF(J2644&gt;=6,"Sí","No")</x:f>
        <x:v>No</x:v>
      </x:c>
      <x:c r="O2644" s="25" t="str">
        <x:v>Pendiente: asignar con R/sf</x:v>
      </x:c>
    </x:row>
    <x:row r="2645">
      <x:c r="A2645" s="25" t="n">
        <x:v>2644</x:v>
      </x:c>
      <x:c r="B2645" s="26" t="n">
        <x:v>42408.509247685186</x:v>
      </x:c>
      <x:c r="C2645" s="27" t="n">
        <x:f>INT(B2645)</x:f>
        <x:v>42408</x:v>
      </x:c>
      <x:c r="D2645" s="28" t="n">
        <x:f>MOD(B2645,1)</x:f>
        <x:v>0.5092476851859828</x:v>
      </x:c>
      <x:c r="E2645" s="29" t="n">
        <x:f>YEAR(B2645)</x:f>
        <x:v>2016</x:v>
      </x:c>
      <x:c r="F2645" s="29" t="n">
        <x:f>MONTH(B2645)</x:f>
        <x:v>2</x:v>
      </x:c>
      <x:c r="G2645" s="30" t="n">
        <x:v>-32.11</x:v>
      </x:c>
      <x:c r="H2645" s="30" t="n">
        <x:v>-71.87</x:v>
      </x:c>
      <x:c r="I2645" s="29" t="n">
        <x:v>36</x:v>
      </x:c>
      <x:c r="J2645" s="31" t="n">
        <x:v>4.3</x:v>
      </x:c>
      <x:c r="K2645" s="25" t="str">
        <x:f>IF(J2645&gt;=7,"Muy fuerte (&gt;=7)",IF(J2645&gt;=6,"Fuerte (6-6.9)",IF(J2645&gt;=5,"Moderado alto (5-5.9)",IF(J2645&gt;=4,"Moderado (4-4.9)","Menor a 4"))))</x:f>
        <x:v>Moderado (4-4.9)</x:v>
      </x:c>
      <x:c r="L2645" s="25" t="str">
        <x:f>IF(I2645&lt;70,"Superficial (&lt;70 km)",IF(I2645&lt;=300,"Intermedio (70-300 km)","Profundo (&gt;300 km)"))</x:f>
        <x:v>Superficial (&lt;70 km)</x:v>
      </x:c>
      <x:c r="M2645" s="25" t="str">
        <x:f>IF(J2645&gt;=5,"Sí","No")</x:f>
        <x:v>No</x:v>
      </x:c>
      <x:c r="N2645" s="25" t="str">
        <x:f>IF(J2645&gt;=6,"Sí","No")</x:f>
        <x:v>No</x:v>
      </x:c>
      <x:c r="O2645" s="25" t="str">
        <x:v>Pendiente: asignar con R/sf</x:v>
      </x:c>
    </x:row>
    <x:row r="2646">
      <x:c r="A2646" s="25" t="n">
        <x:v>2645</x:v>
      </x:c>
      <x:c r="B2646" s="26" t="n">
        <x:v>42410.032743055555</x:v>
      </x:c>
      <x:c r="C2646" s="27" t="n">
        <x:f>INT(B2646)</x:f>
        <x:v>42410</x:v>
      </x:c>
      <x:c r="D2646" s="28" t="n">
        <x:f>MOD(B2646,1)</x:f>
        <x:v>0.03274305555532919</x:v>
      </x:c>
      <x:c r="E2646" s="29" t="n">
        <x:f>YEAR(B2646)</x:f>
        <x:v>2016</x:v>
      </x:c>
      <x:c r="F2646" s="29" t="n">
        <x:f>MONTH(B2646)</x:f>
        <x:v>2</x:v>
      </x:c>
      <x:c r="G2646" s="30" t="n">
        <x:v>-30.65</x:v>
      </x:c>
      <x:c r="H2646" s="30" t="n">
        <x:v>-71.5</x:v>
      </x:c>
      <x:c r="I2646" s="29" t="n">
        <x:v>30</x:v>
      </x:c>
      <x:c r="J2646" s="31" t="n">
        <x:v>4.7</x:v>
      </x:c>
      <x:c r="K2646" s="25" t="str">
        <x:f>IF(J2646&gt;=7,"Muy fuerte (&gt;=7)",IF(J2646&gt;=6,"Fuerte (6-6.9)",IF(J2646&gt;=5,"Moderado alto (5-5.9)",IF(J2646&gt;=4,"Moderado (4-4.9)","Menor a 4"))))</x:f>
        <x:v>Moderado (4-4.9)</x:v>
      </x:c>
      <x:c r="L2646" s="25" t="str">
        <x:f>IF(I2646&lt;70,"Superficial (&lt;70 km)",IF(I2646&lt;=300,"Intermedio (70-300 km)","Profundo (&gt;300 km)"))</x:f>
        <x:v>Superficial (&lt;70 km)</x:v>
      </x:c>
      <x:c r="M2646" s="25" t="str">
        <x:f>IF(J2646&gt;=5,"Sí","No")</x:f>
        <x:v>No</x:v>
      </x:c>
      <x:c r="N2646" s="25" t="str">
        <x:f>IF(J2646&gt;=6,"Sí","No")</x:f>
        <x:v>No</x:v>
      </x:c>
      <x:c r="O2646" s="25" t="str">
        <x:v>Pendiente: asignar con R/sf</x:v>
      </x:c>
    </x:row>
    <x:row r="2647">
      <x:c r="A2647" s="25" t="n">
        <x:v>2646</x:v>
      </x:c>
      <x:c r="B2647" s="26" t="n">
        <x:v>42410.036770833336</x:v>
      </x:c>
      <x:c r="C2647" s="27" t="n">
        <x:f>INT(B2647)</x:f>
        <x:v>42410</x:v>
      </x:c>
      <x:c r="D2647" s="28" t="n">
        <x:f>MOD(B2647,1)</x:f>
        <x:v>0.03677083333604969</x:v>
      </x:c>
      <x:c r="E2647" s="29" t="n">
        <x:f>YEAR(B2647)</x:f>
        <x:v>2016</x:v>
      </x:c>
      <x:c r="F2647" s="29" t="n">
        <x:f>MONTH(B2647)</x:f>
        <x:v>2</x:v>
      </x:c>
      <x:c r="G2647" s="30" t="n">
        <x:v>-30.66</x:v>
      </x:c>
      <x:c r="H2647" s="30" t="n">
        <x:v>-71.55</x:v>
      </x:c>
      <x:c r="I2647" s="29" t="n">
        <x:v>30</x:v>
      </x:c>
      <x:c r="J2647" s="31" t="n">
        <x:v>4.8</x:v>
      </x:c>
      <x:c r="K2647" s="25" t="str">
        <x:f>IF(J2647&gt;=7,"Muy fuerte (&gt;=7)",IF(J2647&gt;=6,"Fuerte (6-6.9)",IF(J2647&gt;=5,"Moderado alto (5-5.9)",IF(J2647&gt;=4,"Moderado (4-4.9)","Menor a 4"))))</x:f>
        <x:v>Moderado (4-4.9)</x:v>
      </x:c>
      <x:c r="L2647" s="25" t="str">
        <x:f>IF(I2647&lt;70,"Superficial (&lt;70 km)",IF(I2647&lt;=300,"Intermedio (70-300 km)","Profundo (&gt;300 km)"))</x:f>
        <x:v>Superficial (&lt;70 km)</x:v>
      </x:c>
      <x:c r="M2647" s="25" t="str">
        <x:f>IF(J2647&gt;=5,"Sí","No")</x:f>
        <x:v>No</x:v>
      </x:c>
      <x:c r="N2647" s="25" t="str">
        <x:f>IF(J2647&gt;=6,"Sí","No")</x:f>
        <x:v>No</x:v>
      </x:c>
      <x:c r="O2647" s="25" t="str">
        <x:v>Pendiente: asignar con R/sf</x:v>
      </x:c>
    </x:row>
    <x:row r="2648">
      <x:c r="A2648" s="25" t="n">
        <x:v>2647</x:v>
      </x:c>
      <x:c r="B2648" s="26" t="n">
        <x:v>42410.041608796295</x:v>
      </x:c>
      <x:c r="C2648" s="27" t="n">
        <x:f>INT(B2648)</x:f>
        <x:v>42410</x:v>
      </x:c>
      <x:c r="D2648" s="28" t="n">
        <x:f>MOD(B2648,1)</x:f>
        <x:v>0.041608796294895</x:v>
      </x:c>
      <x:c r="E2648" s="29" t="n">
        <x:f>YEAR(B2648)</x:f>
        <x:v>2016</x:v>
      </x:c>
      <x:c r="F2648" s="29" t="n">
        <x:f>MONTH(B2648)</x:f>
        <x:v>2</x:v>
      </x:c>
      <x:c r="G2648" s="30" t="n">
        <x:v>-30.64</x:v>
      </x:c>
      <x:c r="H2648" s="30" t="n">
        <x:v>-71.68</x:v>
      </x:c>
      <x:c r="I2648" s="29" t="n">
        <x:v>37</x:v>
      </x:c>
      <x:c r="J2648" s="31" t="n">
        <x:v>4.6</x:v>
      </x:c>
      <x:c r="K2648" s="25" t="str">
        <x:f>IF(J2648&gt;=7,"Muy fuerte (&gt;=7)",IF(J2648&gt;=6,"Fuerte (6-6.9)",IF(J2648&gt;=5,"Moderado alto (5-5.9)",IF(J2648&gt;=4,"Moderado (4-4.9)","Menor a 4"))))</x:f>
        <x:v>Moderado (4-4.9)</x:v>
      </x:c>
      <x:c r="L2648" s="25" t="str">
        <x:f>IF(I2648&lt;70,"Superficial (&lt;70 km)",IF(I2648&lt;=300,"Intermedio (70-300 km)","Profundo (&gt;300 km)"))</x:f>
        <x:v>Superficial (&lt;70 km)</x:v>
      </x:c>
      <x:c r="M2648" s="25" t="str">
        <x:f>IF(J2648&gt;=5,"Sí","No")</x:f>
        <x:v>No</x:v>
      </x:c>
      <x:c r="N2648" s="25" t="str">
        <x:f>IF(J2648&gt;=6,"Sí","No")</x:f>
        <x:v>No</x:v>
      </x:c>
      <x:c r="O2648" s="25" t="str">
        <x:v>Pendiente: asignar con R/sf</x:v>
      </x:c>
    </x:row>
    <x:row r="2649">
      <x:c r="A2649" s="25" t="n">
        <x:v>2648</x:v>
      </x:c>
      <x:c r="B2649" s="26" t="n">
        <x:v>42410.309479166666</x:v>
      </x:c>
      <x:c r="C2649" s="27" t="n">
        <x:f>INT(B2649)</x:f>
        <x:v>42410</x:v>
      </x:c>
      <x:c r="D2649" s="28" t="n">
        <x:f>MOD(B2649,1)</x:f>
        <x:v>0.3094791666662786</x:v>
      </x:c>
      <x:c r="E2649" s="29" t="n">
        <x:f>YEAR(B2649)</x:f>
        <x:v>2016</x:v>
      </x:c>
      <x:c r="F2649" s="29" t="n">
        <x:f>MONTH(B2649)</x:f>
        <x:v>2</x:v>
      </x:c>
      <x:c r="G2649" s="30" t="n">
        <x:v>-30.62</x:v>
      </x:c>
      <x:c r="H2649" s="30" t="n">
        <x:v>-71.59</x:v>
      </x:c>
      <x:c r="I2649" s="29" t="n">
        <x:v>34</x:v>
      </x:c>
      <x:c r="J2649" s="31" t="n">
        <x:v>4.3</x:v>
      </x:c>
      <x:c r="K2649" s="25" t="str">
        <x:f>IF(J2649&gt;=7,"Muy fuerte (&gt;=7)",IF(J2649&gt;=6,"Fuerte (6-6.9)",IF(J2649&gt;=5,"Moderado alto (5-5.9)",IF(J2649&gt;=4,"Moderado (4-4.9)","Menor a 4"))))</x:f>
        <x:v>Moderado (4-4.9)</x:v>
      </x:c>
      <x:c r="L2649" s="25" t="str">
        <x:f>IF(I2649&lt;70,"Superficial (&lt;70 km)",IF(I2649&lt;=300,"Intermedio (70-300 km)","Profundo (&gt;300 km)"))</x:f>
        <x:v>Superficial (&lt;70 km)</x:v>
      </x:c>
      <x:c r="M2649" s="25" t="str">
        <x:f>IF(J2649&gt;=5,"Sí","No")</x:f>
        <x:v>No</x:v>
      </x:c>
      <x:c r="N2649" s="25" t="str">
        <x:f>IF(J2649&gt;=6,"Sí","No")</x:f>
        <x:v>No</x:v>
      </x:c>
      <x:c r="O2649" s="25" t="str">
        <x:v>Pendiente: asignar con R/sf</x:v>
      </x:c>
    </x:row>
    <x:row r="2650">
      <x:c r="A2650" s="25" t="n">
        <x:v>2649</x:v>
      </x:c>
      <x:c r="B2650" s="26" t="n">
        <x:v>42412.90503472222</x:v>
      </x:c>
      <x:c r="C2650" s="27" t="n">
        <x:f>INT(B2650)</x:f>
        <x:v>42412</x:v>
      </x:c>
      <x:c r="D2650" s="28" t="n">
        <x:f>MOD(B2650,1)</x:f>
        <x:v>0.9050347222218988</x:v>
      </x:c>
      <x:c r="E2650" s="29" t="n">
        <x:f>YEAR(B2650)</x:f>
        <x:v>2016</x:v>
      </x:c>
      <x:c r="F2650" s="29" t="n">
        <x:f>MONTH(B2650)</x:f>
        <x:v>2</x:v>
      </x:c>
      <x:c r="G2650" s="30" t="n">
        <x:v>-31.72</x:v>
      </x:c>
      <x:c r="H2650" s="30" t="n">
        <x:v>-71.31</x:v>
      </x:c>
      <x:c r="I2650" s="29" t="n">
        <x:v>55</x:v>
      </x:c>
      <x:c r="J2650" s="31" t="n">
        <x:v>4.3</x:v>
      </x:c>
      <x:c r="K2650" s="25" t="str">
        <x:f>IF(J2650&gt;=7,"Muy fuerte (&gt;=7)",IF(J2650&gt;=6,"Fuerte (6-6.9)",IF(J2650&gt;=5,"Moderado alto (5-5.9)",IF(J2650&gt;=4,"Moderado (4-4.9)","Menor a 4"))))</x:f>
        <x:v>Moderado (4-4.9)</x:v>
      </x:c>
      <x:c r="L2650" s="25" t="str">
        <x:f>IF(I2650&lt;70,"Superficial (&lt;70 km)",IF(I2650&lt;=300,"Intermedio (70-300 km)","Profundo (&gt;300 km)"))</x:f>
        <x:v>Superficial (&lt;70 km)</x:v>
      </x:c>
      <x:c r="M2650" s="25" t="str">
        <x:f>IF(J2650&gt;=5,"Sí","No")</x:f>
        <x:v>No</x:v>
      </x:c>
      <x:c r="N2650" s="25" t="str">
        <x:f>IF(J2650&gt;=6,"Sí","No")</x:f>
        <x:v>No</x:v>
      </x:c>
      <x:c r="O2650" s="25" t="str">
        <x:v>Pendiente: asignar con R/sf</x:v>
      </x:c>
    </x:row>
    <x:row r="2651">
      <x:c r="A2651" s="25" t="n">
        <x:v>2650</x:v>
      </x:c>
      <x:c r="B2651" s="26" t="n">
        <x:v>42417.45428240741</x:v>
      </x:c>
      <x:c r="C2651" s="27" t="n">
        <x:f>INT(B2651)</x:f>
        <x:v>42417</x:v>
      </x:c>
      <x:c r="D2651" s="28" t="n">
        <x:f>MOD(B2651,1)</x:f>
        <x:v>0.4542824074087548</x:v>
      </x:c>
      <x:c r="E2651" s="29" t="n">
        <x:f>YEAR(B2651)</x:f>
        <x:v>2016</x:v>
      </x:c>
      <x:c r="F2651" s="29" t="n">
        <x:f>MONTH(B2651)</x:f>
        <x:v>2</x:v>
      </x:c>
      <x:c r="G2651" s="30" t="n">
        <x:v>-31.22</x:v>
      </x:c>
      <x:c r="H2651" s="30" t="n">
        <x:v>-71.57</x:v>
      </x:c>
      <x:c r="I2651" s="29" t="n">
        <x:v>42</x:v>
      </x:c>
      <x:c r="J2651" s="31" t="n">
        <x:v>4.7</x:v>
      </x:c>
      <x:c r="K2651" s="25" t="str">
        <x:f>IF(J2651&gt;=7,"Muy fuerte (&gt;=7)",IF(J2651&gt;=6,"Fuerte (6-6.9)",IF(J2651&gt;=5,"Moderado alto (5-5.9)",IF(J2651&gt;=4,"Moderado (4-4.9)","Menor a 4"))))</x:f>
        <x:v>Moderado (4-4.9)</x:v>
      </x:c>
      <x:c r="L2651" s="25" t="str">
        <x:f>IF(I2651&lt;70,"Superficial (&lt;70 km)",IF(I2651&lt;=300,"Intermedio (70-300 km)","Profundo (&gt;300 km)"))</x:f>
        <x:v>Superficial (&lt;70 km)</x:v>
      </x:c>
      <x:c r="M2651" s="25" t="str">
        <x:f>IF(J2651&gt;=5,"Sí","No")</x:f>
        <x:v>No</x:v>
      </x:c>
      <x:c r="N2651" s="25" t="str">
        <x:f>IF(J2651&gt;=6,"Sí","No")</x:f>
        <x:v>No</x:v>
      </x:c>
      <x:c r="O2651" s="25" t="str">
        <x:v>Pendiente: asignar con R/sf</x:v>
      </x:c>
    </x:row>
    <x:row r="2652">
      <x:c r="A2652" s="25" t="n">
        <x:v>2651</x:v>
      </x:c>
      <x:c r="B2652" s="26" t="n">
        <x:v>42424.10622685185</x:v>
      </x:c>
      <x:c r="C2652" s="27" t="n">
        <x:f>INT(B2652)</x:f>
        <x:v>42424</x:v>
      </x:c>
      <x:c r="D2652" s="28" t="n">
        <x:f>MOD(B2652,1)</x:f>
        <x:v>0.10622685185080627</x:v>
      </x:c>
      <x:c r="E2652" s="29" t="n">
        <x:f>YEAR(B2652)</x:f>
        <x:v>2016</x:v>
      </x:c>
      <x:c r="F2652" s="29" t="n">
        <x:f>MONTH(B2652)</x:f>
        <x:v>2</x:v>
      </x:c>
      <x:c r="G2652" s="30" t="n">
        <x:v>-31.09</x:v>
      </x:c>
      <x:c r="H2652" s="30" t="n">
        <x:v>-71.36</x:v>
      </x:c>
      <x:c r="I2652" s="29" t="n">
        <x:v>45</x:v>
      </x:c>
      <x:c r="J2652" s="31" t="n">
        <x:v>4.4</x:v>
      </x:c>
      <x:c r="K2652" s="25" t="str">
        <x:f>IF(J2652&gt;=7,"Muy fuerte (&gt;=7)",IF(J2652&gt;=6,"Fuerte (6-6.9)",IF(J2652&gt;=5,"Moderado alto (5-5.9)",IF(J2652&gt;=4,"Moderado (4-4.9)","Menor a 4"))))</x:f>
        <x:v>Moderado (4-4.9)</x:v>
      </x:c>
      <x:c r="L2652" s="25" t="str">
        <x:f>IF(I2652&lt;70,"Superficial (&lt;70 km)",IF(I2652&lt;=300,"Intermedio (70-300 km)","Profundo (&gt;300 km)"))</x:f>
        <x:v>Superficial (&lt;70 km)</x:v>
      </x:c>
      <x:c r="M2652" s="25" t="str">
        <x:f>IF(J2652&gt;=5,"Sí","No")</x:f>
        <x:v>No</x:v>
      </x:c>
      <x:c r="N2652" s="25" t="str">
        <x:f>IF(J2652&gt;=6,"Sí","No")</x:f>
        <x:v>No</x:v>
      </x:c>
      <x:c r="O2652" s="25" t="str">
        <x:v>Pendiente: asignar con R/sf</x:v>
      </x:c>
    </x:row>
    <x:row r="2653">
      <x:c r="A2653" s="25" t="n">
        <x:v>2652</x:v>
      </x:c>
      <x:c r="B2653" s="26" t="n">
        <x:v>42424.16075231481</x:v>
      </x:c>
      <x:c r="C2653" s="27" t="n">
        <x:f>INT(B2653)</x:f>
        <x:v>42424</x:v>
      </x:c>
      <x:c r="D2653" s="28" t="n">
        <x:f>MOD(B2653,1)</x:f>
        <x:v>0.16075231481227092</x:v>
      </x:c>
      <x:c r="E2653" s="29" t="n">
        <x:f>YEAR(B2653)</x:f>
        <x:v>2016</x:v>
      </x:c>
      <x:c r="F2653" s="29" t="n">
        <x:f>MONTH(B2653)</x:f>
        <x:v>2</x:v>
      </x:c>
      <x:c r="G2653" s="30" t="n">
        <x:v>-31.77</x:v>
      </x:c>
      <x:c r="H2653" s="30" t="n">
        <x:v>-69.82</x:v>
      </x:c>
      <x:c r="I2653" s="29" t="n">
        <x:v>141</x:v>
      </x:c>
      <x:c r="J2653" s="31" t="n">
        <x:v>4.8</x:v>
      </x:c>
      <x:c r="K2653" s="25" t="str">
        <x:f>IF(J2653&gt;=7,"Muy fuerte (&gt;=7)",IF(J2653&gt;=6,"Fuerte (6-6.9)",IF(J2653&gt;=5,"Moderado alto (5-5.9)",IF(J2653&gt;=4,"Moderado (4-4.9)","Menor a 4"))))</x:f>
        <x:v>Moderado (4-4.9)</x:v>
      </x:c>
      <x:c r="L2653" s="25" t="str">
        <x:f>IF(I2653&lt;70,"Superficial (&lt;70 km)",IF(I2653&lt;=300,"Intermedio (70-300 km)","Profundo (&gt;300 km)"))</x:f>
        <x:v>Intermedio (70-300 km)</x:v>
      </x:c>
      <x:c r="M2653" s="25" t="str">
        <x:f>IF(J2653&gt;=5,"Sí","No")</x:f>
        <x:v>No</x:v>
      </x:c>
      <x:c r="N2653" s="25" t="str">
        <x:f>IF(J2653&gt;=6,"Sí","No")</x:f>
        <x:v>No</x:v>
      </x:c>
      <x:c r="O2653" s="25" t="str">
        <x:v>Pendiente: asignar con R/sf</x:v>
      </x:c>
    </x:row>
    <x:row r="2654">
      <x:c r="A2654" s="25" t="n">
        <x:v>2653</x:v>
      </x:c>
      <x:c r="B2654" s="26" t="n">
        <x:v>42429.06600694444</x:v>
      </x:c>
      <x:c r="C2654" s="27" t="n">
        <x:f>INT(B2654)</x:f>
        <x:v>42429</x:v>
      </x:c>
      <x:c r="D2654" s="28" t="n">
        <x:f>MOD(B2654,1)</x:f>
        <x:v>0.06600694444205146</x:v>
      </x:c>
      <x:c r="E2654" s="29" t="n">
        <x:f>YEAR(B2654)</x:f>
        <x:v>2016</x:v>
      </x:c>
      <x:c r="F2654" s="29" t="n">
        <x:f>MONTH(B2654)</x:f>
        <x:v>2</x:v>
      </x:c>
      <x:c r="G2654" s="30" t="n">
        <x:v>-30.41</x:v>
      </x:c>
      <x:c r="H2654" s="30" t="n">
        <x:v>-71.6</x:v>
      </x:c>
      <x:c r="I2654" s="29" t="n">
        <x:v>46</x:v>
      </x:c>
      <x:c r="J2654" s="31" t="n">
        <x:v>4</x:v>
      </x:c>
      <x:c r="K2654" s="25" t="str">
        <x:f>IF(J2654&gt;=7,"Muy fuerte (&gt;=7)",IF(J2654&gt;=6,"Fuerte (6-6.9)",IF(J2654&gt;=5,"Moderado alto (5-5.9)",IF(J2654&gt;=4,"Moderado (4-4.9)","Menor a 4"))))</x:f>
        <x:v>Moderado (4-4.9)</x:v>
      </x:c>
      <x:c r="L2654" s="25" t="str">
        <x:f>IF(I2654&lt;70,"Superficial (&lt;70 km)",IF(I2654&lt;=300,"Intermedio (70-300 km)","Profundo (&gt;300 km)"))</x:f>
        <x:v>Superficial (&lt;70 km)</x:v>
      </x:c>
      <x:c r="M2654" s="25" t="str">
        <x:f>IF(J2654&gt;=5,"Sí","No")</x:f>
        <x:v>No</x:v>
      </x:c>
      <x:c r="N2654" s="25" t="str">
        <x:f>IF(J2654&gt;=6,"Sí","No")</x:f>
        <x:v>No</x:v>
      </x:c>
      <x:c r="O2654" s="25" t="str">
        <x:v>Pendiente: asignar con R/sf</x:v>
      </x:c>
    </x:row>
    <x:row r="2655">
      <x:c r="A2655" s="25" t="n">
        <x:v>2654</x:v>
      </x:c>
      <x:c r="B2655" s="26" t="n">
        <x:v>42437.06097222222</x:v>
      </x:c>
      <x:c r="C2655" s="27" t="n">
        <x:f>INT(B2655)</x:f>
        <x:v>42437</x:v>
      </x:c>
      <x:c r="D2655" s="28" t="n">
        <x:f>MOD(B2655,1)</x:f>
        <x:v>0.06097222222160781</x:v>
      </x:c>
      <x:c r="E2655" s="29" t="n">
        <x:f>YEAR(B2655)</x:f>
        <x:v>2016</x:v>
      </x:c>
      <x:c r="F2655" s="29" t="n">
        <x:f>MONTH(B2655)</x:f>
        <x:v>3</x:v>
      </x:c>
      <x:c r="G2655" s="30" t="n">
        <x:v>-31.77</x:v>
      </x:c>
      <x:c r="H2655" s="30" t="n">
        <x:v>-71.36</x:v>
      </x:c>
      <x:c r="I2655" s="29" t="n">
        <x:v>45</x:v>
      </x:c>
      <x:c r="J2655" s="31" t="n">
        <x:v>4.3</x:v>
      </x:c>
      <x:c r="K2655" s="25" t="str">
        <x:f>IF(J2655&gt;=7,"Muy fuerte (&gt;=7)",IF(J2655&gt;=6,"Fuerte (6-6.9)",IF(J2655&gt;=5,"Moderado alto (5-5.9)",IF(J2655&gt;=4,"Moderado (4-4.9)","Menor a 4"))))</x:f>
        <x:v>Moderado (4-4.9)</x:v>
      </x:c>
      <x:c r="L2655" s="25" t="str">
        <x:f>IF(I2655&lt;70,"Superficial (&lt;70 km)",IF(I2655&lt;=300,"Intermedio (70-300 km)","Profundo (&gt;300 km)"))</x:f>
        <x:v>Superficial (&lt;70 km)</x:v>
      </x:c>
      <x:c r="M2655" s="25" t="str">
        <x:f>IF(J2655&gt;=5,"Sí","No")</x:f>
        <x:v>No</x:v>
      </x:c>
      <x:c r="N2655" s="25" t="str">
        <x:f>IF(J2655&gt;=6,"Sí","No")</x:f>
        <x:v>No</x:v>
      </x:c>
      <x:c r="O2655" s="25" t="str">
        <x:v>Pendiente: asignar con R/sf</x:v>
      </x:c>
    </x:row>
    <x:row r="2656">
      <x:c r="A2656" s="25" t="n">
        <x:v>2655</x:v>
      </x:c>
      <x:c r="B2656" s="26" t="n">
        <x:v>42448.51673611111</x:v>
      </x:c>
      <x:c r="C2656" s="27" t="n">
        <x:f>INT(B2656)</x:f>
        <x:v>42448</x:v>
      </x:c>
      <x:c r="D2656" s="28" t="n">
        <x:f>MOD(B2656,1)</x:f>
        <x:v>0.5167361111089122</x:v>
      </x:c>
      <x:c r="E2656" s="29" t="n">
        <x:f>YEAR(B2656)</x:f>
        <x:v>2016</x:v>
      </x:c>
      <x:c r="F2656" s="29" t="n">
        <x:f>MONTH(B2656)</x:f>
        <x:v>3</x:v>
      </x:c>
      <x:c r="G2656" s="30" t="n">
        <x:v>-30.64</x:v>
      </x:c>
      <x:c r="H2656" s="30" t="n">
        <x:v>-71.59</x:v>
      </x:c>
      <x:c r="I2656" s="29" t="n">
        <x:v>30</x:v>
      </x:c>
      <x:c r="J2656" s="31" t="n">
        <x:v>4.5</x:v>
      </x:c>
      <x:c r="K2656" s="25" t="str">
        <x:f>IF(J2656&gt;=7,"Muy fuerte (&gt;=7)",IF(J2656&gt;=6,"Fuerte (6-6.9)",IF(J2656&gt;=5,"Moderado alto (5-5.9)",IF(J2656&gt;=4,"Moderado (4-4.9)","Menor a 4"))))</x:f>
        <x:v>Moderado (4-4.9)</x:v>
      </x:c>
      <x:c r="L2656" s="25" t="str">
        <x:f>IF(I2656&lt;70,"Superficial (&lt;70 km)",IF(I2656&lt;=300,"Intermedio (70-300 km)","Profundo (&gt;300 km)"))</x:f>
        <x:v>Superficial (&lt;70 km)</x:v>
      </x:c>
      <x:c r="M2656" s="25" t="str">
        <x:f>IF(J2656&gt;=5,"Sí","No")</x:f>
        <x:v>No</x:v>
      </x:c>
      <x:c r="N2656" s="25" t="str">
        <x:f>IF(J2656&gt;=6,"Sí","No")</x:f>
        <x:v>No</x:v>
      </x:c>
      <x:c r="O2656" s="25" t="str">
        <x:v>Pendiente: asignar con R/sf</x:v>
      </x:c>
    </x:row>
    <x:row r="2657">
      <x:c r="A2657" s="25" t="n">
        <x:v>2656</x:v>
      </x:c>
      <x:c r="B2657" s="26" t="n">
        <x:v>42449.834652777776</x:v>
      </x:c>
      <x:c r="C2657" s="27" t="n">
        <x:f>INT(B2657)</x:f>
        <x:v>42449</x:v>
      </x:c>
      <x:c r="D2657" s="28" t="n">
        <x:f>MOD(B2657,1)</x:f>
        <x:v>0.8346527777757728</x:v>
      </x:c>
      <x:c r="E2657" s="29" t="n">
        <x:f>YEAR(B2657)</x:f>
        <x:v>2016</x:v>
      </x:c>
      <x:c r="F2657" s="29" t="n">
        <x:f>MONTH(B2657)</x:f>
        <x:v>3</x:v>
      </x:c>
      <x:c r="G2657" s="30" t="n">
        <x:v>-30.65</x:v>
      </x:c>
      <x:c r="H2657" s="30" t="n">
        <x:v>-71.33</x:v>
      </x:c>
      <x:c r="I2657" s="29" t="n">
        <x:v>44</x:v>
      </x:c>
      <x:c r="J2657" s="31" t="n">
        <x:v>4.4</x:v>
      </x:c>
      <x:c r="K2657" s="25" t="str">
        <x:f>IF(J2657&gt;=7,"Muy fuerte (&gt;=7)",IF(J2657&gt;=6,"Fuerte (6-6.9)",IF(J2657&gt;=5,"Moderado alto (5-5.9)",IF(J2657&gt;=4,"Moderado (4-4.9)","Menor a 4"))))</x:f>
        <x:v>Moderado (4-4.9)</x:v>
      </x:c>
      <x:c r="L2657" s="25" t="str">
        <x:f>IF(I2657&lt;70,"Superficial (&lt;70 km)",IF(I2657&lt;=300,"Intermedio (70-300 km)","Profundo (&gt;300 km)"))</x:f>
        <x:v>Superficial (&lt;70 km)</x:v>
      </x:c>
      <x:c r="M2657" s="25" t="str">
        <x:f>IF(J2657&gt;=5,"Sí","No")</x:f>
        <x:v>No</x:v>
      </x:c>
      <x:c r="N2657" s="25" t="str">
        <x:f>IF(J2657&gt;=6,"Sí","No")</x:f>
        <x:v>No</x:v>
      </x:c>
      <x:c r="O2657" s="25" t="str">
        <x:v>Pendiente: asignar con R/sf</x:v>
      </x:c>
    </x:row>
    <x:row r="2658">
      <x:c r="A2658" s="25" t="n">
        <x:v>2657</x:v>
      </x:c>
      <x:c r="B2658" s="26" t="n">
        <x:v>42449.937743055554</x:v>
      </x:c>
      <x:c r="C2658" s="27" t="n">
        <x:f>INT(B2658)</x:f>
        <x:v>42449</x:v>
      </x:c>
      <x:c r="D2658" s="28" t="n">
        <x:f>MOD(B2658,1)</x:f>
        <x:v>0.937743055554165</x:v>
      </x:c>
      <x:c r="E2658" s="29" t="n">
        <x:f>YEAR(B2658)</x:f>
        <x:v>2016</x:v>
      </x:c>
      <x:c r="F2658" s="29" t="n">
        <x:f>MONTH(B2658)</x:f>
        <x:v>3</x:v>
      </x:c>
      <x:c r="G2658" s="30" t="n">
        <x:v>-31.72</x:v>
      </x:c>
      <x:c r="H2658" s="30" t="n">
        <x:v>-71.26</x:v>
      </x:c>
      <x:c r="I2658" s="29" t="n">
        <x:v>55</x:v>
      </x:c>
      <x:c r="J2658" s="31" t="n">
        <x:v>4.2</x:v>
      </x:c>
      <x:c r="K2658" s="25" t="str">
        <x:f>IF(J2658&gt;=7,"Muy fuerte (&gt;=7)",IF(J2658&gt;=6,"Fuerte (6-6.9)",IF(J2658&gt;=5,"Moderado alto (5-5.9)",IF(J2658&gt;=4,"Moderado (4-4.9)","Menor a 4"))))</x:f>
        <x:v>Moderado (4-4.9)</x:v>
      </x:c>
      <x:c r="L2658" s="25" t="str">
        <x:f>IF(I2658&lt;70,"Superficial (&lt;70 km)",IF(I2658&lt;=300,"Intermedio (70-300 km)","Profundo (&gt;300 km)"))</x:f>
        <x:v>Superficial (&lt;70 km)</x:v>
      </x:c>
      <x:c r="M2658" s="25" t="str">
        <x:f>IF(J2658&gt;=5,"Sí","No")</x:f>
        <x:v>No</x:v>
      </x:c>
      <x:c r="N2658" s="25" t="str">
        <x:f>IF(J2658&gt;=6,"Sí","No")</x:f>
        <x:v>No</x:v>
      </x:c>
      <x:c r="O2658" s="25" t="str">
        <x:v>Pendiente: asignar con R/sf</x:v>
      </x:c>
    </x:row>
    <x:row r="2659">
      <x:c r="A2659" s="25" t="n">
        <x:v>2658</x:v>
      </x:c>
      <x:c r="B2659" s="26" t="n">
        <x:v>42449.9744212963</x:v>
      </x:c>
      <x:c r="C2659" s="27" t="n">
        <x:f>INT(B2659)</x:f>
        <x:v>42449</x:v>
      </x:c>
      <x:c r="D2659" s="28" t="n">
        <x:f>MOD(B2659,1)</x:f>
        <x:v>0.9744212962978054</x:v>
      </x:c>
      <x:c r="E2659" s="29" t="n">
        <x:f>YEAR(B2659)</x:f>
        <x:v>2016</x:v>
      </x:c>
      <x:c r="F2659" s="29" t="n">
        <x:f>MONTH(B2659)</x:f>
        <x:v>3</x:v>
      </x:c>
      <x:c r="G2659" s="30" t="n">
        <x:v>-31.4</x:v>
      </x:c>
      <x:c r="H2659" s="30" t="n">
        <x:v>-71.64</x:v>
      </x:c>
      <x:c r="I2659" s="29" t="n">
        <x:v>29</x:v>
      </x:c>
      <x:c r="J2659" s="31" t="n">
        <x:v>4.7</x:v>
      </x:c>
      <x:c r="K2659" s="25" t="str">
        <x:f>IF(J2659&gt;=7,"Muy fuerte (&gt;=7)",IF(J2659&gt;=6,"Fuerte (6-6.9)",IF(J2659&gt;=5,"Moderado alto (5-5.9)",IF(J2659&gt;=4,"Moderado (4-4.9)","Menor a 4"))))</x:f>
        <x:v>Moderado (4-4.9)</x:v>
      </x:c>
      <x:c r="L2659" s="25" t="str">
        <x:f>IF(I2659&lt;70,"Superficial (&lt;70 km)",IF(I2659&lt;=300,"Intermedio (70-300 km)","Profundo (&gt;300 km)"))</x:f>
        <x:v>Superficial (&lt;70 km)</x:v>
      </x:c>
      <x:c r="M2659" s="25" t="str">
        <x:f>IF(J2659&gt;=5,"Sí","No")</x:f>
        <x:v>No</x:v>
      </x:c>
      <x:c r="N2659" s="25" t="str">
        <x:f>IF(J2659&gt;=6,"Sí","No")</x:f>
        <x:v>No</x:v>
      </x:c>
      <x:c r="O2659" s="25" t="str">
        <x:v>Pendiente: asignar con R/sf</x:v>
      </x:c>
    </x:row>
    <x:row r="2660">
      <x:c r="A2660" s="25" t="n">
        <x:v>2659</x:v>
      </x:c>
      <x:c r="B2660" s="26" t="n">
        <x:v>42452.02637731482</x:v>
      </x:c>
      <x:c r="C2660" s="27" t="n">
        <x:f>INT(B2660)</x:f>
        <x:v>42452</x:v>
      </x:c>
      <x:c r="D2660" s="28" t="n">
        <x:f>MOD(B2660,1)</x:f>
        <x:v>0.02637731481809169</x:v>
      </x:c>
      <x:c r="E2660" s="29" t="n">
        <x:f>YEAR(B2660)</x:f>
        <x:v>2016</x:v>
      </x:c>
      <x:c r="F2660" s="29" t="n">
        <x:f>MONTH(B2660)</x:f>
        <x:v>3</x:v>
      </x:c>
      <x:c r="G2660" s="30" t="n">
        <x:v>-31.77</x:v>
      </x:c>
      <x:c r="H2660" s="30" t="n">
        <x:v>-71.43</x:v>
      </x:c>
      <x:c r="I2660" s="29" t="n">
        <x:v>49</x:v>
      </x:c>
      <x:c r="J2660" s="31" t="n">
        <x:v>4.9</x:v>
      </x:c>
      <x:c r="K2660" s="25" t="str">
        <x:f>IF(J2660&gt;=7,"Muy fuerte (&gt;=7)",IF(J2660&gt;=6,"Fuerte (6-6.9)",IF(J2660&gt;=5,"Moderado alto (5-5.9)",IF(J2660&gt;=4,"Moderado (4-4.9)","Menor a 4"))))</x:f>
        <x:v>Moderado (4-4.9)</x:v>
      </x:c>
      <x:c r="L2660" s="25" t="str">
        <x:f>IF(I2660&lt;70,"Superficial (&lt;70 km)",IF(I2660&lt;=300,"Intermedio (70-300 km)","Profundo (&gt;300 km)"))</x:f>
        <x:v>Superficial (&lt;70 km)</x:v>
      </x:c>
      <x:c r="M2660" s="25" t="str">
        <x:f>IF(J2660&gt;=5,"Sí","No")</x:f>
        <x:v>No</x:v>
      </x:c>
      <x:c r="N2660" s="25" t="str">
        <x:f>IF(J2660&gt;=6,"Sí","No")</x:f>
        <x:v>No</x:v>
      </x:c>
      <x:c r="O2660" s="25" t="str">
        <x:v>Pendiente: asignar con R/sf</x:v>
      </x:c>
    </x:row>
    <x:row r="2661">
      <x:c r="A2661" s="25" t="n">
        <x:v>2660</x:v>
      </x:c>
      <x:c r="B2661" s="26" t="n">
        <x:v>42456.16689814815</x:v>
      </x:c>
      <x:c r="C2661" s="27" t="n">
        <x:f>INT(B2661)</x:f>
        <x:v>42456</x:v>
      </x:c>
      <x:c r="D2661" s="28" t="n">
        <x:f>MOD(B2661,1)</x:f>
        <x:v>0.1668981481489027</x:v>
      </x:c>
      <x:c r="E2661" s="29" t="n">
        <x:f>YEAR(B2661)</x:f>
        <x:v>2016</x:v>
      </x:c>
      <x:c r="F2661" s="29" t="n">
        <x:f>MONTH(B2661)</x:f>
        <x:v>3</x:v>
      </x:c>
      <x:c r="G2661" s="30" t="n">
        <x:v>-32.27</x:v>
      </x:c>
      <x:c r="H2661" s="30" t="n">
        <x:v>-70.32</x:v>
      </x:c>
      <x:c r="I2661" s="29" t="n">
        <x:v>107</x:v>
      </x:c>
      <x:c r="J2661" s="31" t="n">
        <x:v>4.6</x:v>
      </x:c>
      <x:c r="K2661" s="25" t="str">
        <x:f>IF(J2661&gt;=7,"Muy fuerte (&gt;=7)",IF(J2661&gt;=6,"Fuerte (6-6.9)",IF(J2661&gt;=5,"Moderado alto (5-5.9)",IF(J2661&gt;=4,"Moderado (4-4.9)","Menor a 4"))))</x:f>
        <x:v>Moderado (4-4.9)</x:v>
      </x:c>
      <x:c r="L2661" s="25" t="str">
        <x:f>IF(I2661&lt;70,"Superficial (&lt;70 km)",IF(I2661&lt;=300,"Intermedio (70-300 km)","Profundo (&gt;300 km)"))</x:f>
        <x:v>Intermedio (70-300 km)</x:v>
      </x:c>
      <x:c r="M2661" s="25" t="str">
        <x:f>IF(J2661&gt;=5,"Sí","No")</x:f>
        <x:v>No</x:v>
      </x:c>
      <x:c r="N2661" s="25" t="str">
        <x:f>IF(J2661&gt;=6,"Sí","No")</x:f>
        <x:v>No</x:v>
      </x:c>
      <x:c r="O2661" s="25" t="str">
        <x:v>Pendiente: asignar con R/sf</x:v>
      </x:c>
    </x:row>
    <x:row r="2662">
      <x:c r="A2662" s="25" t="n">
        <x:v>2661</x:v>
      </x:c>
      <x:c r="B2662" s="26" t="n">
        <x:v>42461.11131944445</x:v>
      </x:c>
      <x:c r="C2662" s="27" t="n">
        <x:f>INT(B2662)</x:f>
        <x:v>42461</x:v>
      </x:c>
      <x:c r="D2662" s="28" t="n">
        <x:f>MOD(B2662,1)</x:f>
        <x:v>0.11131944444787223</x:v>
      </x:c>
      <x:c r="E2662" s="29" t="n">
        <x:f>YEAR(B2662)</x:f>
        <x:v>2016</x:v>
      </x:c>
      <x:c r="F2662" s="29" t="n">
        <x:f>MONTH(B2662)</x:f>
        <x:v>4</x:v>
      </x:c>
      <x:c r="G2662" s="30" t="n">
        <x:v>-30.63</x:v>
      </x:c>
      <x:c r="H2662" s="30" t="n">
        <x:v>-71.7</x:v>
      </x:c>
      <x:c r="I2662" s="29" t="n">
        <x:v>42</x:v>
      </x:c>
      <x:c r="J2662" s="31" t="n">
        <x:v>4.6</x:v>
      </x:c>
      <x:c r="K2662" s="25" t="str">
        <x:f>IF(J2662&gt;=7,"Muy fuerte (&gt;=7)",IF(J2662&gt;=6,"Fuerte (6-6.9)",IF(J2662&gt;=5,"Moderado alto (5-5.9)",IF(J2662&gt;=4,"Moderado (4-4.9)","Menor a 4"))))</x:f>
        <x:v>Moderado (4-4.9)</x:v>
      </x:c>
      <x:c r="L2662" s="25" t="str">
        <x:f>IF(I2662&lt;70,"Superficial (&lt;70 km)",IF(I2662&lt;=300,"Intermedio (70-300 km)","Profundo (&gt;300 km)"))</x:f>
        <x:v>Superficial (&lt;70 km)</x:v>
      </x:c>
      <x:c r="M2662" s="25" t="str">
        <x:f>IF(J2662&gt;=5,"Sí","No")</x:f>
        <x:v>No</x:v>
      </x:c>
      <x:c r="N2662" s="25" t="str">
        <x:f>IF(J2662&gt;=6,"Sí","No")</x:f>
        <x:v>No</x:v>
      </x:c>
      <x:c r="O2662" s="25" t="str">
        <x:v>Pendiente: asignar con R/sf</x:v>
      </x:c>
    </x:row>
    <x:row r="2663">
      <x:c r="A2663" s="25" t="n">
        <x:v>2662</x:v>
      </x:c>
      <x:c r="B2663" s="26" t="n">
        <x:v>42469.24254629629</x:v>
      </x:c>
      <x:c r="C2663" s="27" t="n">
        <x:f>INT(B2663)</x:f>
        <x:v>42469</x:v>
      </x:c>
      <x:c r="D2663" s="28" t="n">
        <x:f>MOD(B2663,1)</x:f>
        <x:v>0.24254629629285773</x:v>
      </x:c>
      <x:c r="E2663" s="29" t="n">
        <x:f>YEAR(B2663)</x:f>
        <x:v>2016</x:v>
      </x:c>
      <x:c r="F2663" s="29" t="n">
        <x:f>MONTH(B2663)</x:f>
        <x:v>4</x:v>
      </x:c>
      <x:c r="G2663" s="30" t="n">
        <x:v>-30.34</x:v>
      </x:c>
      <x:c r="H2663" s="30" t="n">
        <x:v>-71.49</x:v>
      </x:c>
      <x:c r="I2663" s="29" t="n">
        <x:v>18</x:v>
      </x:c>
      <x:c r="J2663" s="31" t="n">
        <x:v>4.2</x:v>
      </x:c>
      <x:c r="K2663" s="25" t="str">
        <x:f>IF(J2663&gt;=7,"Muy fuerte (&gt;=7)",IF(J2663&gt;=6,"Fuerte (6-6.9)",IF(J2663&gt;=5,"Moderado alto (5-5.9)",IF(J2663&gt;=4,"Moderado (4-4.9)","Menor a 4"))))</x:f>
        <x:v>Moderado (4-4.9)</x:v>
      </x:c>
      <x:c r="L2663" s="25" t="str">
        <x:f>IF(I2663&lt;70,"Superficial (&lt;70 km)",IF(I2663&lt;=300,"Intermedio (70-300 km)","Profundo (&gt;300 km)"))</x:f>
        <x:v>Superficial (&lt;70 km)</x:v>
      </x:c>
      <x:c r="M2663" s="25" t="str">
        <x:f>IF(J2663&gt;=5,"Sí","No")</x:f>
        <x:v>No</x:v>
      </x:c>
      <x:c r="N2663" s="25" t="str">
        <x:f>IF(J2663&gt;=6,"Sí","No")</x:f>
        <x:v>No</x:v>
      </x:c>
      <x:c r="O2663" s="25" t="str">
        <x:v>Pendiente: asignar con R/sf</x:v>
      </x:c>
    </x:row>
    <x:row r="2664">
      <x:c r="A2664" s="25" t="n">
        <x:v>2663</x:v>
      </x:c>
      <x:c r="B2664" s="26" t="n">
        <x:v>42469.72920138889</x:v>
      </x:c>
      <x:c r="C2664" s="27" t="n">
        <x:f>INT(B2664)</x:f>
        <x:v>42469</x:v>
      </x:c>
      <x:c r="D2664" s="28" t="n">
        <x:f>MOD(B2664,1)</x:f>
        <x:v>0.7292013888873043</x:v>
      </x:c>
      <x:c r="E2664" s="29" t="n">
        <x:f>YEAR(B2664)</x:f>
        <x:v>2016</x:v>
      </x:c>
      <x:c r="F2664" s="29" t="n">
        <x:f>MONTH(B2664)</x:f>
        <x:v>4</x:v>
      </x:c>
      <x:c r="G2664" s="30" t="n">
        <x:v>-30.66</x:v>
      </x:c>
      <x:c r="H2664" s="30" t="n">
        <x:v>-71.76</x:v>
      </x:c>
      <x:c r="I2664" s="29" t="n">
        <x:v>33</x:v>
      </x:c>
      <x:c r="J2664" s="31" t="n">
        <x:v>4.2</x:v>
      </x:c>
      <x:c r="K2664" s="25" t="str">
        <x:f>IF(J2664&gt;=7,"Muy fuerte (&gt;=7)",IF(J2664&gt;=6,"Fuerte (6-6.9)",IF(J2664&gt;=5,"Moderado alto (5-5.9)",IF(J2664&gt;=4,"Moderado (4-4.9)","Menor a 4"))))</x:f>
        <x:v>Moderado (4-4.9)</x:v>
      </x:c>
      <x:c r="L2664" s="25" t="str">
        <x:f>IF(I2664&lt;70,"Superficial (&lt;70 km)",IF(I2664&lt;=300,"Intermedio (70-300 km)","Profundo (&gt;300 km)"))</x:f>
        <x:v>Superficial (&lt;70 km)</x:v>
      </x:c>
      <x:c r="M2664" s="25" t="str">
        <x:f>IF(J2664&gt;=5,"Sí","No")</x:f>
        <x:v>No</x:v>
      </x:c>
      <x:c r="N2664" s="25" t="str">
        <x:f>IF(J2664&gt;=6,"Sí","No")</x:f>
        <x:v>No</x:v>
      </x:c>
      <x:c r="O2664" s="25" t="str">
        <x:v>Pendiente: asignar con R/sf</x:v>
      </x:c>
    </x:row>
    <x:row r="2665">
      <x:c r="A2665" s="25" t="n">
        <x:v>2664</x:v>
      </x:c>
      <x:c r="B2665" s="26" t="n">
        <x:v>42470.75759259259</x:v>
      </x:c>
      <x:c r="C2665" s="27" t="n">
        <x:f>INT(B2665)</x:f>
        <x:v>42470</x:v>
      </x:c>
      <x:c r="D2665" s="28" t="n">
        <x:f>MOD(B2665,1)</x:f>
        <x:v>0.7575925925921183</x:v>
      </x:c>
      <x:c r="E2665" s="29" t="n">
        <x:f>YEAR(B2665)</x:f>
        <x:v>2016</x:v>
      </x:c>
      <x:c r="F2665" s="29" t="n">
        <x:f>MONTH(B2665)</x:f>
        <x:v>4</x:v>
      </x:c>
      <x:c r="G2665" s="30" t="n">
        <x:v>-31.5</x:v>
      </x:c>
      <x:c r="H2665" s="30" t="n">
        <x:v>-71.73</x:v>
      </x:c>
      <x:c r="I2665" s="29" t="n">
        <x:v>37</x:v>
      </x:c>
      <x:c r="J2665" s="31" t="n">
        <x:v>4.6</x:v>
      </x:c>
      <x:c r="K2665" s="25" t="str">
        <x:f>IF(J2665&gt;=7,"Muy fuerte (&gt;=7)",IF(J2665&gt;=6,"Fuerte (6-6.9)",IF(J2665&gt;=5,"Moderado alto (5-5.9)",IF(J2665&gt;=4,"Moderado (4-4.9)","Menor a 4"))))</x:f>
        <x:v>Moderado (4-4.9)</x:v>
      </x:c>
      <x:c r="L2665" s="25" t="str">
        <x:f>IF(I2665&lt;70,"Superficial (&lt;70 km)",IF(I2665&lt;=300,"Intermedio (70-300 km)","Profundo (&gt;300 km)"))</x:f>
        <x:v>Superficial (&lt;70 km)</x:v>
      </x:c>
      <x:c r="M2665" s="25" t="str">
        <x:f>IF(J2665&gt;=5,"Sí","No")</x:f>
        <x:v>No</x:v>
      </x:c>
      <x:c r="N2665" s="25" t="str">
        <x:f>IF(J2665&gt;=6,"Sí","No")</x:f>
        <x:v>No</x:v>
      </x:c>
      <x:c r="O2665" s="25" t="str">
        <x:v>Pendiente: asignar con R/sf</x:v>
      </x:c>
    </x:row>
    <x:row r="2666">
      <x:c r="A2666" s="25" t="n">
        <x:v>2665</x:v>
      </x:c>
      <x:c r="B2666" s="26" t="n">
        <x:v>42477.80883101852</x:v>
      </x:c>
      <x:c r="C2666" s="27" t="n">
        <x:f>INT(B2666)</x:f>
        <x:v>42477</x:v>
      </x:c>
      <x:c r="D2666" s="28" t="n">
        <x:f>MOD(B2666,1)</x:f>
        <x:v>0.8088310185194132</x:v>
      </x:c>
      <x:c r="E2666" s="29" t="n">
        <x:f>YEAR(B2666)</x:f>
        <x:v>2016</x:v>
      </x:c>
      <x:c r="F2666" s="29" t="n">
        <x:f>MONTH(B2666)</x:f>
        <x:v>4</x:v>
      </x:c>
      <x:c r="G2666" s="30" t="n">
        <x:v>-31.62</x:v>
      </x:c>
      <x:c r="H2666" s="30" t="n">
        <x:v>-71.85</x:v>
      </x:c>
      <x:c r="I2666" s="29" t="n">
        <x:v>46</x:v>
      </x:c>
      <x:c r="J2666" s="31" t="n">
        <x:v>4.4</x:v>
      </x:c>
      <x:c r="K2666" s="25" t="str">
        <x:f>IF(J2666&gt;=7,"Muy fuerte (&gt;=7)",IF(J2666&gt;=6,"Fuerte (6-6.9)",IF(J2666&gt;=5,"Moderado alto (5-5.9)",IF(J2666&gt;=4,"Moderado (4-4.9)","Menor a 4"))))</x:f>
        <x:v>Moderado (4-4.9)</x:v>
      </x:c>
      <x:c r="L2666" s="25" t="str">
        <x:f>IF(I2666&lt;70,"Superficial (&lt;70 km)",IF(I2666&lt;=300,"Intermedio (70-300 km)","Profundo (&gt;300 km)"))</x:f>
        <x:v>Superficial (&lt;70 km)</x:v>
      </x:c>
      <x:c r="M2666" s="25" t="str">
        <x:f>IF(J2666&gt;=5,"Sí","No")</x:f>
        <x:v>No</x:v>
      </x:c>
      <x:c r="N2666" s="25" t="str">
        <x:f>IF(J2666&gt;=6,"Sí","No")</x:f>
        <x:v>No</x:v>
      </x:c>
      <x:c r="O2666" s="25" t="str">
        <x:v>Pendiente: asignar con R/sf</x:v>
      </x:c>
    </x:row>
    <x:row r="2667">
      <x:c r="A2667" s="25" t="n">
        <x:v>2666</x:v>
      </x:c>
      <x:c r="B2667" s="26" t="n">
        <x:v>42485.93111111111</x:v>
      </x:c>
      <x:c r="C2667" s="27" t="n">
        <x:f>INT(B2667)</x:f>
        <x:v>42485</x:v>
      </x:c>
      <x:c r="D2667" s="28" t="n">
        <x:f>MOD(B2667,1)</x:f>
        <x:v>0.9311111111092032</x:v>
      </x:c>
      <x:c r="E2667" s="29" t="n">
        <x:f>YEAR(B2667)</x:f>
        <x:v>2016</x:v>
      </x:c>
      <x:c r="F2667" s="29" t="n">
        <x:f>MONTH(B2667)</x:f>
        <x:v>4</x:v>
      </x:c>
      <x:c r="G2667" s="30" t="n">
        <x:v>-30.96</x:v>
      </x:c>
      <x:c r="H2667" s="30" t="n">
        <x:v>-71.79</x:v>
      </x:c>
      <x:c r="I2667" s="29" t="n">
        <x:v>35</x:v>
      </x:c>
      <x:c r="J2667" s="31" t="n">
        <x:v>4.7</x:v>
      </x:c>
      <x:c r="K2667" s="25" t="str">
        <x:f>IF(J2667&gt;=7,"Muy fuerte (&gt;=7)",IF(J2667&gt;=6,"Fuerte (6-6.9)",IF(J2667&gt;=5,"Moderado alto (5-5.9)",IF(J2667&gt;=4,"Moderado (4-4.9)","Menor a 4"))))</x:f>
        <x:v>Moderado (4-4.9)</x:v>
      </x:c>
      <x:c r="L2667" s="25" t="str">
        <x:f>IF(I2667&lt;70,"Superficial (&lt;70 km)",IF(I2667&lt;=300,"Intermedio (70-300 km)","Profundo (&gt;300 km)"))</x:f>
        <x:v>Superficial (&lt;70 km)</x:v>
      </x:c>
      <x:c r="M2667" s="25" t="str">
        <x:f>IF(J2667&gt;=5,"Sí","No")</x:f>
        <x:v>No</x:v>
      </x:c>
      <x:c r="N2667" s="25" t="str">
        <x:f>IF(J2667&gt;=6,"Sí","No")</x:f>
        <x:v>No</x:v>
      </x:c>
      <x:c r="O2667" s="25" t="str">
        <x:v>Pendiente: asignar con R/sf</x:v>
      </x:c>
    </x:row>
    <x:row r="2668">
      <x:c r="A2668" s="25" t="n">
        <x:v>2667</x:v>
      </x:c>
      <x:c r="B2668" s="26" t="n">
        <x:v>42490.1174537037</x:v>
      </x:c>
      <x:c r="C2668" s="27" t="n">
        <x:f>INT(B2668)</x:f>
        <x:v>42490</x:v>
      </x:c>
      <x:c r="D2668" s="28" t="n">
        <x:f>MOD(B2668,1)</x:f>
        <x:v>0.11745370370044839</x:v>
      </x:c>
      <x:c r="E2668" s="29" t="n">
        <x:f>YEAR(B2668)</x:f>
        <x:v>2016</x:v>
      </x:c>
      <x:c r="F2668" s="29" t="n">
        <x:f>MONTH(B2668)</x:f>
        <x:v>4</x:v>
      </x:c>
      <x:c r="G2668" s="30" t="n">
        <x:v>-29.82</x:v>
      </x:c>
      <x:c r="H2668" s="30" t="n">
        <x:v>-71.98</x:v>
      </x:c>
      <x:c r="I2668" s="29" t="n">
        <x:v>33</x:v>
      </x:c>
      <x:c r="J2668" s="31" t="n">
        <x:v>4.8</x:v>
      </x:c>
      <x:c r="K2668" s="25" t="str">
        <x:f>IF(J2668&gt;=7,"Muy fuerte (&gt;=7)",IF(J2668&gt;=6,"Fuerte (6-6.9)",IF(J2668&gt;=5,"Moderado alto (5-5.9)",IF(J2668&gt;=4,"Moderado (4-4.9)","Menor a 4"))))</x:f>
        <x:v>Moderado (4-4.9)</x:v>
      </x:c>
      <x:c r="L2668" s="25" t="str">
        <x:f>IF(I2668&lt;70,"Superficial (&lt;70 km)",IF(I2668&lt;=300,"Intermedio (70-300 km)","Profundo (&gt;300 km)"))</x:f>
        <x:v>Superficial (&lt;70 km)</x:v>
      </x:c>
      <x:c r="M2668" s="25" t="str">
        <x:f>IF(J2668&gt;=5,"Sí","No")</x:f>
        <x:v>No</x:v>
      </x:c>
      <x:c r="N2668" s="25" t="str">
        <x:f>IF(J2668&gt;=6,"Sí","No")</x:f>
        <x:v>No</x:v>
      </x:c>
      <x:c r="O2668" s="25" t="str">
        <x:v>Pendiente: asignar con R/sf</x:v>
      </x:c>
    </x:row>
    <x:row r="2669">
      <x:c r="A2669" s="25" t="n">
        <x:v>2668</x:v>
      </x:c>
      <x:c r="B2669" s="26" t="n">
        <x:v>42502.75266203703</x:v>
      </x:c>
      <x:c r="C2669" s="27" t="n">
        <x:f>INT(B2669)</x:f>
        <x:v>42502</x:v>
      </x:c>
      <x:c r="D2669" s="28" t="n">
        <x:f>MOD(B2669,1)</x:f>
        <x:v>0.7526620370335877</x:v>
      </x:c>
      <x:c r="E2669" s="29" t="n">
        <x:f>YEAR(B2669)</x:f>
        <x:v>2016</x:v>
      </x:c>
      <x:c r="F2669" s="29" t="n">
        <x:f>MONTH(B2669)</x:f>
        <x:v>5</x:v>
      </x:c>
      <x:c r="G2669" s="30" t="n">
        <x:v>-30.62</x:v>
      </x:c>
      <x:c r="H2669" s="30" t="n">
        <x:v>-71.75</x:v>
      </x:c>
      <x:c r="I2669" s="29" t="n">
        <x:v>34</x:v>
      </x:c>
      <x:c r="J2669" s="31" t="n">
        <x:v>4.6</x:v>
      </x:c>
      <x:c r="K2669" s="25" t="str">
        <x:f>IF(J2669&gt;=7,"Muy fuerte (&gt;=7)",IF(J2669&gt;=6,"Fuerte (6-6.9)",IF(J2669&gt;=5,"Moderado alto (5-5.9)",IF(J2669&gt;=4,"Moderado (4-4.9)","Menor a 4"))))</x:f>
        <x:v>Moderado (4-4.9)</x:v>
      </x:c>
      <x:c r="L2669" s="25" t="str">
        <x:f>IF(I2669&lt;70,"Superficial (&lt;70 km)",IF(I2669&lt;=300,"Intermedio (70-300 km)","Profundo (&gt;300 km)"))</x:f>
        <x:v>Superficial (&lt;70 km)</x:v>
      </x:c>
      <x:c r="M2669" s="25" t="str">
        <x:f>IF(J2669&gt;=5,"Sí","No")</x:f>
        <x:v>No</x:v>
      </x:c>
      <x:c r="N2669" s="25" t="str">
        <x:f>IF(J2669&gt;=6,"Sí","No")</x:f>
        <x:v>No</x:v>
      </x:c>
      <x:c r="O2669" s="25" t="str">
        <x:v>Pendiente: asignar con R/sf</x:v>
      </x:c>
    </x:row>
    <x:row r="2670">
      <x:c r="A2670" s="25" t="n">
        <x:v>2669</x:v>
      </x:c>
      <x:c r="B2670" s="26" t="n">
        <x:v>42508.877916666665</x:v>
      </x:c>
      <x:c r="C2670" s="27" t="n">
        <x:f>INT(B2670)</x:f>
        <x:v>42508</x:v>
      </x:c>
      <x:c r="D2670" s="28" t="n">
        <x:f>MOD(B2670,1)</x:f>
        <x:v>0.8779166666645324</x:v>
      </x:c>
      <x:c r="E2670" s="29" t="n">
        <x:f>YEAR(B2670)</x:f>
        <x:v>2016</x:v>
      </x:c>
      <x:c r="F2670" s="29" t="n">
        <x:f>MONTH(B2670)</x:f>
        <x:v>5</x:v>
      </x:c>
      <x:c r="G2670" s="30" t="n">
        <x:v>-30.68</x:v>
      </x:c>
      <x:c r="H2670" s="30" t="n">
        <x:v>-71.63</x:v>
      </x:c>
      <x:c r="I2670" s="29" t="n">
        <x:v>31</x:v>
      </x:c>
      <x:c r="J2670" s="31" t="n">
        <x:v>4.3</x:v>
      </x:c>
      <x:c r="K2670" s="25" t="str">
        <x:f>IF(J2670&gt;=7,"Muy fuerte (&gt;=7)",IF(J2670&gt;=6,"Fuerte (6-6.9)",IF(J2670&gt;=5,"Moderado alto (5-5.9)",IF(J2670&gt;=4,"Moderado (4-4.9)","Menor a 4"))))</x:f>
        <x:v>Moderado (4-4.9)</x:v>
      </x:c>
      <x:c r="L2670" s="25" t="str">
        <x:f>IF(I2670&lt;70,"Superficial (&lt;70 km)",IF(I2670&lt;=300,"Intermedio (70-300 km)","Profundo (&gt;300 km)"))</x:f>
        <x:v>Superficial (&lt;70 km)</x:v>
      </x:c>
      <x:c r="M2670" s="25" t="str">
        <x:f>IF(J2670&gt;=5,"Sí","No")</x:f>
        <x:v>No</x:v>
      </x:c>
      <x:c r="N2670" s="25" t="str">
        <x:f>IF(J2670&gt;=6,"Sí","No")</x:f>
        <x:v>No</x:v>
      </x:c>
      <x:c r="O2670" s="25" t="str">
        <x:v>Pendiente: asignar con R/sf</x:v>
      </x:c>
    </x:row>
    <x:row r="2671">
      <x:c r="A2671" s="25" t="n">
        <x:v>2670</x:v>
      </x:c>
      <x:c r="B2671" s="26" t="n">
        <x:v>42516.85891203704</x:v>
      </x:c>
      <x:c r="C2671" s="27" t="n">
        <x:f>INT(B2671)</x:f>
        <x:v>42516</x:v>
      </x:c>
      <x:c r="D2671" s="28" t="n">
        <x:f>MOD(B2671,1)</x:f>
        <x:v>0.8589120370379533</x:v>
      </x:c>
      <x:c r="E2671" s="29" t="n">
        <x:f>YEAR(B2671)</x:f>
        <x:v>2016</x:v>
      </x:c>
      <x:c r="F2671" s="29" t="n">
        <x:f>MONTH(B2671)</x:f>
        <x:v>5</x:v>
      </x:c>
      <x:c r="G2671" s="30" t="n">
        <x:v>-29.96</x:v>
      </x:c>
      <x:c r="H2671" s="30" t="n">
        <x:v>-71.88</x:v>
      </x:c>
      <x:c r="I2671" s="29" t="n">
        <x:v>17</x:v>
      </x:c>
      <x:c r="J2671" s="31" t="n">
        <x:v>4.8</x:v>
      </x:c>
      <x:c r="K2671" s="25" t="str">
        <x:f>IF(J2671&gt;=7,"Muy fuerte (&gt;=7)",IF(J2671&gt;=6,"Fuerte (6-6.9)",IF(J2671&gt;=5,"Moderado alto (5-5.9)",IF(J2671&gt;=4,"Moderado (4-4.9)","Menor a 4"))))</x:f>
        <x:v>Moderado (4-4.9)</x:v>
      </x:c>
      <x:c r="L2671" s="25" t="str">
        <x:f>IF(I2671&lt;70,"Superficial (&lt;70 km)",IF(I2671&lt;=300,"Intermedio (70-300 km)","Profundo (&gt;300 km)"))</x:f>
        <x:v>Superficial (&lt;70 km)</x:v>
      </x:c>
      <x:c r="M2671" s="25" t="str">
        <x:f>IF(J2671&gt;=5,"Sí","No")</x:f>
        <x:v>No</x:v>
      </x:c>
      <x:c r="N2671" s="25" t="str">
        <x:f>IF(J2671&gt;=6,"Sí","No")</x:f>
        <x:v>No</x:v>
      </x:c>
      <x:c r="O2671" s="25" t="str">
        <x:v>Pendiente: asignar con R/sf</x:v>
      </x:c>
    </x:row>
    <x:row r="2672">
      <x:c r="A2672" s="25" t="n">
        <x:v>2671</x:v>
      </x:c>
      <x:c r="B2672" s="26" t="n">
        <x:v>42525.92990740741</x:v>
      </x:c>
      <x:c r="C2672" s="27" t="n">
        <x:f>INT(B2672)</x:f>
        <x:v>42525</x:v>
      </x:c>
      <x:c r="D2672" s="28" t="n">
        <x:f>MOD(B2672,1)</x:f>
        <x:v>0.9299074074078817</x:v>
      </x:c>
      <x:c r="E2672" s="29" t="n">
        <x:f>YEAR(B2672)</x:f>
        <x:v>2016</x:v>
      </x:c>
      <x:c r="F2672" s="29" t="n">
        <x:f>MONTH(B2672)</x:f>
        <x:v>6</x:v>
      </x:c>
      <x:c r="G2672" s="30" t="n">
        <x:v>-31.59</x:v>
      </x:c>
      <x:c r="H2672" s="30" t="n">
        <x:v>-71.49</x:v>
      </x:c>
      <x:c r="I2672" s="29" t="n">
        <x:v>48</x:v>
      </x:c>
      <x:c r="J2672" s="31" t="n">
        <x:v>4.1</x:v>
      </x:c>
      <x:c r="K2672" s="25" t="str">
        <x:f>IF(J2672&gt;=7,"Muy fuerte (&gt;=7)",IF(J2672&gt;=6,"Fuerte (6-6.9)",IF(J2672&gt;=5,"Moderado alto (5-5.9)",IF(J2672&gt;=4,"Moderado (4-4.9)","Menor a 4"))))</x:f>
        <x:v>Moderado (4-4.9)</x:v>
      </x:c>
      <x:c r="L2672" s="25" t="str">
        <x:f>IF(I2672&lt;70,"Superficial (&lt;70 km)",IF(I2672&lt;=300,"Intermedio (70-300 km)","Profundo (&gt;300 km)"))</x:f>
        <x:v>Superficial (&lt;70 km)</x:v>
      </x:c>
      <x:c r="M2672" s="25" t="str">
        <x:f>IF(J2672&gt;=5,"Sí","No")</x:f>
        <x:v>No</x:v>
      </x:c>
      <x:c r="N2672" s="25" t="str">
        <x:f>IF(J2672&gt;=6,"Sí","No")</x:f>
        <x:v>No</x:v>
      </x:c>
      <x:c r="O2672" s="25" t="str">
        <x:v>Pendiente: asignar con R/sf</x:v>
      </x:c>
    </x:row>
    <x:row r="2673">
      <x:c r="A2673" s="25" t="n">
        <x:v>2672</x:v>
      </x:c>
      <x:c r="B2673" s="26" t="n">
        <x:v>42532.572905092595</x:v>
      </x:c>
      <x:c r="C2673" s="27" t="n">
        <x:f>INT(B2673)</x:f>
        <x:v>42532</x:v>
      </x:c>
      <x:c r="D2673" s="28" t="n">
        <x:f>MOD(B2673,1)</x:f>
        <x:v>0.5729050925947377</x:v>
      </x:c>
      <x:c r="E2673" s="29" t="n">
        <x:f>YEAR(B2673)</x:f>
        <x:v>2016</x:v>
      </x:c>
      <x:c r="F2673" s="29" t="n">
        <x:f>MONTH(B2673)</x:f>
        <x:v>6</x:v>
      </x:c>
      <x:c r="G2673" s="30" t="n">
        <x:v>-30.36</x:v>
      </x:c>
      <x:c r="H2673" s="30" t="n">
        <x:v>-71.41</x:v>
      </x:c>
      <x:c r="I2673" s="29" t="n">
        <x:v>46</x:v>
      </x:c>
      <x:c r="J2673" s="31" t="n">
        <x:v>4.3</x:v>
      </x:c>
      <x:c r="K2673" s="25" t="str">
        <x:f>IF(J2673&gt;=7,"Muy fuerte (&gt;=7)",IF(J2673&gt;=6,"Fuerte (6-6.9)",IF(J2673&gt;=5,"Moderado alto (5-5.9)",IF(J2673&gt;=4,"Moderado (4-4.9)","Menor a 4"))))</x:f>
        <x:v>Moderado (4-4.9)</x:v>
      </x:c>
      <x:c r="L2673" s="25" t="str">
        <x:f>IF(I2673&lt;70,"Superficial (&lt;70 km)",IF(I2673&lt;=300,"Intermedio (70-300 km)","Profundo (&gt;300 km)"))</x:f>
        <x:v>Superficial (&lt;70 km)</x:v>
      </x:c>
      <x:c r="M2673" s="25" t="str">
        <x:f>IF(J2673&gt;=5,"Sí","No")</x:f>
        <x:v>No</x:v>
      </x:c>
      <x:c r="N2673" s="25" t="str">
        <x:f>IF(J2673&gt;=6,"Sí","No")</x:f>
        <x:v>No</x:v>
      </x:c>
      <x:c r="O2673" s="25" t="str">
        <x:v>Pendiente: asignar con R/sf</x:v>
      </x:c>
    </x:row>
    <x:row r="2674">
      <x:c r="A2674" s="25" t="n">
        <x:v>2673</x:v>
      </x:c>
      <x:c r="B2674" s="26" t="n">
        <x:v>42538.276666666665</x:v>
      </x:c>
      <x:c r="C2674" s="27" t="n">
        <x:f>INT(B2674)</x:f>
        <x:v>42538</x:v>
      </x:c>
      <x:c r="D2674" s="28" t="n">
        <x:f>MOD(B2674,1)</x:f>
        <x:v>0.2766666666648234</x:v>
      </x:c>
      <x:c r="E2674" s="29" t="n">
        <x:f>YEAR(B2674)</x:f>
        <x:v>2016</x:v>
      </x:c>
      <x:c r="F2674" s="29" t="n">
        <x:f>MONTH(B2674)</x:f>
        <x:v>6</x:v>
      </x:c>
      <x:c r="G2674" s="30" t="n">
        <x:v>-30.66</x:v>
      </x:c>
      <x:c r="H2674" s="30" t="n">
        <x:v>-71.63</x:v>
      </x:c>
      <x:c r="I2674" s="29" t="n">
        <x:v>28</x:v>
      </x:c>
      <x:c r="J2674" s="31" t="n">
        <x:v>4.9</x:v>
      </x:c>
      <x:c r="K2674" s="25" t="str">
        <x:f>IF(J2674&gt;=7,"Muy fuerte (&gt;=7)",IF(J2674&gt;=6,"Fuerte (6-6.9)",IF(J2674&gt;=5,"Moderado alto (5-5.9)",IF(J2674&gt;=4,"Moderado (4-4.9)","Menor a 4"))))</x:f>
        <x:v>Moderado (4-4.9)</x:v>
      </x:c>
      <x:c r="L2674" s="25" t="str">
        <x:f>IF(I2674&lt;70,"Superficial (&lt;70 km)",IF(I2674&lt;=300,"Intermedio (70-300 km)","Profundo (&gt;300 km)"))</x:f>
        <x:v>Superficial (&lt;70 km)</x:v>
      </x:c>
      <x:c r="M2674" s="25" t="str">
        <x:f>IF(J2674&gt;=5,"Sí","No")</x:f>
        <x:v>No</x:v>
      </x:c>
      <x:c r="N2674" s="25" t="str">
        <x:f>IF(J2674&gt;=6,"Sí","No")</x:f>
        <x:v>No</x:v>
      </x:c>
      <x:c r="O2674" s="25" t="str">
        <x:v>Pendiente: asignar con R/sf</x:v>
      </x:c>
    </x:row>
    <x:row r="2675">
      <x:c r="A2675" s="25" t="n">
        <x:v>2674</x:v>
      </x:c>
      <x:c r="B2675" s="26" t="n">
        <x:v>42555.0090625</x:v>
      </x:c>
      <x:c r="C2675" s="27" t="n">
        <x:f>INT(B2675)</x:f>
        <x:v>42555</x:v>
      </x:c>
      <x:c r="D2675" s="28" t="n">
        <x:f>MOD(B2675,1)</x:f>
        <x:v>0.009062500001164153</x:v>
      </x:c>
      <x:c r="E2675" s="29" t="n">
        <x:f>YEAR(B2675)</x:f>
        <x:v>2016</x:v>
      </x:c>
      <x:c r="F2675" s="29" t="n">
        <x:f>MONTH(B2675)</x:f>
        <x:v>7</x:v>
      </x:c>
      <x:c r="G2675" s="30" t="n">
        <x:v>-31.45</x:v>
      </x:c>
      <x:c r="H2675" s="30" t="n">
        <x:v>-71.47</x:v>
      </x:c>
      <x:c r="I2675" s="29" t="n">
        <x:v>48</x:v>
      </x:c>
      <x:c r="J2675" s="31" t="n">
        <x:v>4.4</x:v>
      </x:c>
      <x:c r="K2675" s="25" t="str">
        <x:f>IF(J2675&gt;=7,"Muy fuerte (&gt;=7)",IF(J2675&gt;=6,"Fuerte (6-6.9)",IF(J2675&gt;=5,"Moderado alto (5-5.9)",IF(J2675&gt;=4,"Moderado (4-4.9)","Menor a 4"))))</x:f>
        <x:v>Moderado (4-4.9)</x:v>
      </x:c>
      <x:c r="L2675" s="25" t="str">
        <x:f>IF(I2675&lt;70,"Superficial (&lt;70 km)",IF(I2675&lt;=300,"Intermedio (70-300 km)","Profundo (&gt;300 km)"))</x:f>
        <x:v>Superficial (&lt;70 km)</x:v>
      </x:c>
      <x:c r="M2675" s="25" t="str">
        <x:f>IF(J2675&gt;=5,"Sí","No")</x:f>
        <x:v>No</x:v>
      </x:c>
      <x:c r="N2675" s="25" t="str">
        <x:f>IF(J2675&gt;=6,"Sí","No")</x:f>
        <x:v>No</x:v>
      </x:c>
      <x:c r="O2675" s="25" t="str">
        <x:v>Pendiente: asignar con R/sf</x:v>
      </x:c>
    </x:row>
    <x:row r="2676">
      <x:c r="A2676" s="25" t="n">
        <x:v>2675</x:v>
      </x:c>
      <x:c r="B2676" s="26" t="n">
        <x:v>42556.41189814815</x:v>
      </x:c>
      <x:c r="C2676" s="27" t="n">
        <x:f>INT(B2676)</x:f>
        <x:v>42556</x:v>
      </x:c>
      <x:c r="D2676" s="28" t="n">
        <x:f>MOD(B2676,1)</x:f>
        <x:v>0.41189814815152204</x:v>
      </x:c>
      <x:c r="E2676" s="29" t="n">
        <x:f>YEAR(B2676)</x:f>
        <x:v>2016</x:v>
      </x:c>
      <x:c r="F2676" s="29" t="n">
        <x:f>MONTH(B2676)</x:f>
        <x:v>7</x:v>
      </x:c>
      <x:c r="G2676" s="30" t="n">
        <x:v>-30.43</x:v>
      </x:c>
      <x:c r="H2676" s="30" t="n">
        <x:v>-71.6</x:v>
      </x:c>
      <x:c r="I2676" s="29" t="n">
        <x:v>29</x:v>
      </x:c>
      <x:c r="J2676" s="31" t="n">
        <x:v>4</x:v>
      </x:c>
      <x:c r="K2676" s="25" t="str">
        <x:f>IF(J2676&gt;=7,"Muy fuerte (&gt;=7)",IF(J2676&gt;=6,"Fuerte (6-6.9)",IF(J2676&gt;=5,"Moderado alto (5-5.9)",IF(J2676&gt;=4,"Moderado (4-4.9)","Menor a 4"))))</x:f>
        <x:v>Moderado (4-4.9)</x:v>
      </x:c>
      <x:c r="L2676" s="25" t="str">
        <x:f>IF(I2676&lt;70,"Superficial (&lt;70 km)",IF(I2676&lt;=300,"Intermedio (70-300 km)","Profundo (&gt;300 km)"))</x:f>
        <x:v>Superficial (&lt;70 km)</x:v>
      </x:c>
      <x:c r="M2676" s="25" t="str">
        <x:f>IF(J2676&gt;=5,"Sí","No")</x:f>
        <x:v>No</x:v>
      </x:c>
      <x:c r="N2676" s="25" t="str">
        <x:f>IF(J2676&gt;=6,"Sí","No")</x:f>
        <x:v>No</x:v>
      </x:c>
      <x:c r="O2676" s="25" t="str">
        <x:v>Pendiente: asignar con R/sf</x:v>
      </x:c>
    </x:row>
    <x:row r="2677">
      <x:c r="A2677" s="25" t="n">
        <x:v>2676</x:v>
      </x:c>
      <x:c r="B2677" s="26" t="n">
        <x:v>42564.6124537037</x:v>
      </x:c>
      <x:c r="C2677" s="27" t="n">
        <x:f>INT(B2677)</x:f>
        <x:v>42564</x:v>
      </x:c>
      <x:c r="D2677" s="28" t="n">
        <x:f>MOD(B2677,1)</x:f>
        <x:v>0.6124537037030677</x:v>
      </x:c>
      <x:c r="E2677" s="29" t="n">
        <x:f>YEAR(B2677)</x:f>
        <x:v>2016</x:v>
      </x:c>
      <x:c r="F2677" s="29" t="n">
        <x:f>MONTH(B2677)</x:f>
        <x:v>7</x:v>
      </x:c>
      <x:c r="G2677" s="30" t="n">
        <x:v>-30.64</x:v>
      </x:c>
      <x:c r="H2677" s="30" t="n">
        <x:v>-71.19</x:v>
      </x:c>
      <x:c r="I2677" s="29" t="n">
        <x:v>58</x:v>
      </x:c>
      <x:c r="J2677" s="31" t="n">
        <x:v>4.1</x:v>
      </x:c>
      <x:c r="K2677" s="25" t="str">
        <x:f>IF(J2677&gt;=7,"Muy fuerte (&gt;=7)",IF(J2677&gt;=6,"Fuerte (6-6.9)",IF(J2677&gt;=5,"Moderado alto (5-5.9)",IF(J2677&gt;=4,"Moderado (4-4.9)","Menor a 4"))))</x:f>
        <x:v>Moderado (4-4.9)</x:v>
      </x:c>
      <x:c r="L2677" s="25" t="str">
        <x:f>IF(I2677&lt;70,"Superficial (&lt;70 km)",IF(I2677&lt;=300,"Intermedio (70-300 km)","Profundo (&gt;300 km)"))</x:f>
        <x:v>Superficial (&lt;70 km)</x:v>
      </x:c>
      <x:c r="M2677" s="25" t="str">
        <x:f>IF(J2677&gt;=5,"Sí","No")</x:f>
        <x:v>No</x:v>
      </x:c>
      <x:c r="N2677" s="25" t="str">
        <x:f>IF(J2677&gt;=6,"Sí","No")</x:f>
        <x:v>No</x:v>
      </x:c>
      <x:c r="O2677" s="25" t="str">
        <x:v>Pendiente: asignar con R/sf</x:v>
      </x:c>
    </x:row>
    <x:row r="2678">
      <x:c r="A2678" s="25" t="n">
        <x:v>2677</x:v>
      </x:c>
      <x:c r="B2678" s="26" t="n">
        <x:v>42565.2840162037</x:v>
      </x:c>
      <x:c r="C2678" s="27" t="n">
        <x:f>INT(B2678)</x:f>
        <x:v>42565</x:v>
      </x:c>
      <x:c r="D2678" s="28" t="n">
        <x:f>MOD(B2678,1)</x:f>
        <x:v>0.2840162037027767</x:v>
      </x:c>
      <x:c r="E2678" s="29" t="n">
        <x:f>YEAR(B2678)</x:f>
        <x:v>2016</x:v>
      </x:c>
      <x:c r="F2678" s="29" t="n">
        <x:f>MONTH(B2678)</x:f>
        <x:v>7</x:v>
      </x:c>
      <x:c r="G2678" s="30" t="n">
        <x:v>-31.77</x:v>
      </x:c>
      <x:c r="H2678" s="30" t="n">
        <x:v>-71.44</x:v>
      </x:c>
      <x:c r="I2678" s="29" t="n">
        <x:v>45</x:v>
      </x:c>
      <x:c r="J2678" s="31" t="n">
        <x:v>4.2</x:v>
      </x:c>
      <x:c r="K2678" s="25" t="str">
        <x:f>IF(J2678&gt;=7,"Muy fuerte (&gt;=7)",IF(J2678&gt;=6,"Fuerte (6-6.9)",IF(J2678&gt;=5,"Moderado alto (5-5.9)",IF(J2678&gt;=4,"Moderado (4-4.9)","Menor a 4"))))</x:f>
        <x:v>Moderado (4-4.9)</x:v>
      </x:c>
      <x:c r="L2678" s="25" t="str">
        <x:f>IF(I2678&lt;70,"Superficial (&lt;70 km)",IF(I2678&lt;=300,"Intermedio (70-300 km)","Profundo (&gt;300 km)"))</x:f>
        <x:v>Superficial (&lt;70 km)</x:v>
      </x:c>
      <x:c r="M2678" s="25" t="str">
        <x:f>IF(J2678&gt;=5,"Sí","No")</x:f>
        <x:v>No</x:v>
      </x:c>
      <x:c r="N2678" s="25" t="str">
        <x:f>IF(J2678&gt;=6,"Sí","No")</x:f>
        <x:v>No</x:v>
      </x:c>
      <x:c r="O2678" s="25" t="str">
        <x:v>Pendiente: asignar con R/sf</x:v>
      </x:c>
    </x:row>
    <x:row r="2679">
      <x:c r="A2679" s="25" t="n">
        <x:v>2678</x:v>
      </x:c>
      <x:c r="B2679" s="26" t="n">
        <x:v>42569.050844907404</x:v>
      </x:c>
      <x:c r="C2679" s="27" t="n">
        <x:f>INT(B2679)</x:f>
        <x:v>42569</x:v>
      </x:c>
      <x:c r="D2679" s="28" t="n">
        <x:f>MOD(B2679,1)</x:f>
        <x:v>0.050844907404098194</x:v>
      </x:c>
      <x:c r="E2679" s="29" t="n">
        <x:f>YEAR(B2679)</x:f>
        <x:v>2016</x:v>
      </x:c>
      <x:c r="F2679" s="29" t="n">
        <x:f>MONTH(B2679)</x:f>
        <x:v>7</x:v>
      </x:c>
      <x:c r="G2679" s="30" t="n">
        <x:v>-30.85</x:v>
      </x:c>
      <x:c r="H2679" s="30" t="n">
        <x:v>-71.7</x:v>
      </x:c>
      <x:c r="I2679" s="29" t="n">
        <x:v>32</x:v>
      </x:c>
      <x:c r="J2679" s="31" t="n">
        <x:v>4.3</x:v>
      </x:c>
      <x:c r="K2679" s="25" t="str">
        <x:f>IF(J2679&gt;=7,"Muy fuerte (&gt;=7)",IF(J2679&gt;=6,"Fuerte (6-6.9)",IF(J2679&gt;=5,"Moderado alto (5-5.9)",IF(J2679&gt;=4,"Moderado (4-4.9)","Menor a 4"))))</x:f>
        <x:v>Moderado (4-4.9)</x:v>
      </x:c>
      <x:c r="L2679" s="25" t="str">
        <x:f>IF(I2679&lt;70,"Superficial (&lt;70 km)",IF(I2679&lt;=300,"Intermedio (70-300 km)","Profundo (&gt;300 km)"))</x:f>
        <x:v>Superficial (&lt;70 km)</x:v>
      </x:c>
      <x:c r="M2679" s="25" t="str">
        <x:f>IF(J2679&gt;=5,"Sí","No")</x:f>
        <x:v>No</x:v>
      </x:c>
      <x:c r="N2679" s="25" t="str">
        <x:f>IF(J2679&gt;=6,"Sí","No")</x:f>
        <x:v>No</x:v>
      </x:c>
      <x:c r="O2679" s="25" t="str">
        <x:v>Pendiente: asignar con R/sf</x:v>
      </x:c>
    </x:row>
    <x:row r="2680">
      <x:c r="A2680" s="25" t="n">
        <x:v>2679</x:v>
      </x:c>
      <x:c r="B2680" s="26" t="n">
        <x:v>42569.58217592593</x:v>
      </x:c>
      <x:c r="C2680" s="27" t="n">
        <x:f>INT(B2680)</x:f>
        <x:v>42569</x:v>
      </x:c>
      <x:c r="D2680" s="28" t="n">
        <x:f>MOD(B2680,1)</x:f>
        <x:v>0.5821759259270038</x:v>
      </x:c>
      <x:c r="E2680" s="29" t="n">
        <x:f>YEAR(B2680)</x:f>
        <x:v>2016</x:v>
      </x:c>
      <x:c r="F2680" s="29" t="n">
        <x:f>MONTH(B2680)</x:f>
        <x:v>7</x:v>
      </x:c>
      <x:c r="G2680" s="30" t="n">
        <x:v>-30.74</x:v>
      </x:c>
      <x:c r="H2680" s="30" t="n">
        <x:v>-71.71</x:v>
      </x:c>
      <x:c r="I2680" s="29" t="n">
        <x:v>30</x:v>
      </x:c>
      <x:c r="J2680" s="31" t="n">
        <x:v>4.7</x:v>
      </x:c>
      <x:c r="K2680" s="25" t="str">
        <x:f>IF(J2680&gt;=7,"Muy fuerte (&gt;=7)",IF(J2680&gt;=6,"Fuerte (6-6.9)",IF(J2680&gt;=5,"Moderado alto (5-5.9)",IF(J2680&gt;=4,"Moderado (4-4.9)","Menor a 4"))))</x:f>
        <x:v>Moderado (4-4.9)</x:v>
      </x:c>
      <x:c r="L2680" s="25" t="str">
        <x:f>IF(I2680&lt;70,"Superficial (&lt;70 km)",IF(I2680&lt;=300,"Intermedio (70-300 km)","Profundo (&gt;300 km)"))</x:f>
        <x:v>Superficial (&lt;70 km)</x:v>
      </x:c>
      <x:c r="M2680" s="25" t="str">
        <x:f>IF(J2680&gt;=5,"Sí","No")</x:f>
        <x:v>No</x:v>
      </x:c>
      <x:c r="N2680" s="25" t="str">
        <x:f>IF(J2680&gt;=6,"Sí","No")</x:f>
        <x:v>No</x:v>
      </x:c>
      <x:c r="O2680" s="25" t="str">
        <x:v>Pendiente: asignar con R/sf</x:v>
      </x:c>
    </x:row>
    <x:row r="2681">
      <x:c r="A2681" s="25" t="n">
        <x:v>2680</x:v>
      </x:c>
      <x:c r="B2681" s="26" t="n">
        <x:v>42580.31637731481</x:v>
      </x:c>
      <x:c r="C2681" s="27" t="n">
        <x:f>INT(B2681)</x:f>
        <x:v>42580</x:v>
      </x:c>
      <x:c r="D2681" s="28" t="n">
        <x:f>MOD(B2681,1)</x:f>
        <x:v>0.31637731481168885</x:v>
      </x:c>
      <x:c r="E2681" s="29" t="n">
        <x:f>YEAR(B2681)</x:f>
        <x:v>2016</x:v>
      </x:c>
      <x:c r="F2681" s="29" t="n">
        <x:f>MONTH(B2681)</x:f>
        <x:v>7</x:v>
      </x:c>
      <x:c r="G2681" s="30" t="n">
        <x:v>-31.74</x:v>
      </x:c>
      <x:c r="H2681" s="30" t="n">
        <x:v>-71.63</x:v>
      </x:c>
      <x:c r="I2681" s="29" t="n">
        <x:v>29</x:v>
      </x:c>
      <x:c r="J2681" s="31" t="n">
        <x:v>4</x:v>
      </x:c>
      <x:c r="K2681" s="25" t="str">
        <x:f>IF(J2681&gt;=7,"Muy fuerte (&gt;=7)",IF(J2681&gt;=6,"Fuerte (6-6.9)",IF(J2681&gt;=5,"Moderado alto (5-5.9)",IF(J2681&gt;=4,"Moderado (4-4.9)","Menor a 4"))))</x:f>
        <x:v>Moderado (4-4.9)</x:v>
      </x:c>
      <x:c r="L2681" s="25" t="str">
        <x:f>IF(I2681&lt;70,"Superficial (&lt;70 km)",IF(I2681&lt;=300,"Intermedio (70-300 km)","Profundo (&gt;300 km)"))</x:f>
        <x:v>Superficial (&lt;70 km)</x:v>
      </x:c>
      <x:c r="M2681" s="25" t="str">
        <x:f>IF(J2681&gt;=5,"Sí","No")</x:f>
        <x:v>No</x:v>
      </x:c>
      <x:c r="N2681" s="25" t="str">
        <x:f>IF(J2681&gt;=6,"Sí","No")</x:f>
        <x:v>No</x:v>
      </x:c>
      <x:c r="O2681" s="25" t="str">
        <x:v>Pendiente: asignar con R/sf</x:v>
      </x:c>
    </x:row>
    <x:row r="2682">
      <x:c r="A2682" s="25" t="n">
        <x:v>2681</x:v>
      </x:c>
      <x:c r="B2682" s="26" t="n">
        <x:v>42580.70295138889</x:v>
      </x:c>
      <x:c r="C2682" s="27" t="n">
        <x:f>INT(B2682)</x:f>
        <x:v>42580</x:v>
      </x:c>
      <x:c r="D2682" s="28" t="n">
        <x:f>MOD(B2682,1)</x:f>
        <x:v>0.702951388891961</x:v>
      </x:c>
      <x:c r="E2682" s="29" t="n">
        <x:f>YEAR(B2682)</x:f>
        <x:v>2016</x:v>
      </x:c>
      <x:c r="F2682" s="29" t="n">
        <x:f>MONTH(B2682)</x:f>
        <x:v>7</x:v>
      </x:c>
      <x:c r="G2682" s="30" t="n">
        <x:v>-31.59</x:v>
      </x:c>
      <x:c r="H2682" s="30" t="n">
        <x:v>-71.45</x:v>
      </x:c>
      <x:c r="I2682" s="29" t="n">
        <x:v>49</x:v>
      </x:c>
      <x:c r="J2682" s="31" t="n">
        <x:v>4.7</x:v>
      </x:c>
      <x:c r="K2682" s="25" t="str">
        <x:f>IF(J2682&gt;=7,"Muy fuerte (&gt;=7)",IF(J2682&gt;=6,"Fuerte (6-6.9)",IF(J2682&gt;=5,"Moderado alto (5-5.9)",IF(J2682&gt;=4,"Moderado (4-4.9)","Menor a 4"))))</x:f>
        <x:v>Moderado (4-4.9)</x:v>
      </x:c>
      <x:c r="L2682" s="25" t="str">
        <x:f>IF(I2682&lt;70,"Superficial (&lt;70 km)",IF(I2682&lt;=300,"Intermedio (70-300 km)","Profundo (&gt;300 km)"))</x:f>
        <x:v>Superficial (&lt;70 km)</x:v>
      </x:c>
      <x:c r="M2682" s="25" t="str">
        <x:f>IF(J2682&gt;=5,"Sí","No")</x:f>
        <x:v>No</x:v>
      </x:c>
      <x:c r="N2682" s="25" t="str">
        <x:f>IF(J2682&gt;=6,"Sí","No")</x:f>
        <x:v>No</x:v>
      </x:c>
      <x:c r="O2682" s="25" t="str">
        <x:v>Pendiente: asignar con R/sf</x:v>
      </x:c>
    </x:row>
    <x:row r="2683">
      <x:c r="A2683" s="25" t="n">
        <x:v>2682</x:v>
      </x:c>
      <x:c r="B2683" s="26" t="n">
        <x:v>42590.51703703704</x:v>
      </x:c>
      <x:c r="C2683" s="27" t="n">
        <x:f>INT(B2683)</x:f>
        <x:v>42590</x:v>
      </x:c>
      <x:c r="D2683" s="28" t="n">
        <x:f>MOD(B2683,1)</x:f>
        <x:v>0.5170370370396995</x:v>
      </x:c>
      <x:c r="E2683" s="29" t="n">
        <x:f>YEAR(B2683)</x:f>
        <x:v>2016</x:v>
      </x:c>
      <x:c r="F2683" s="29" t="n">
        <x:f>MONTH(B2683)</x:f>
        <x:v>8</x:v>
      </x:c>
      <x:c r="G2683" s="30" t="n">
        <x:v>-31.64</x:v>
      </x:c>
      <x:c r="H2683" s="30" t="n">
        <x:v>-71.61</x:v>
      </x:c>
      <x:c r="I2683" s="29" t="n">
        <x:v>34</x:v>
      </x:c>
      <x:c r="J2683" s="31" t="n">
        <x:v>4.7</x:v>
      </x:c>
      <x:c r="K2683" s="25" t="str">
        <x:f>IF(J2683&gt;=7,"Muy fuerte (&gt;=7)",IF(J2683&gt;=6,"Fuerte (6-6.9)",IF(J2683&gt;=5,"Moderado alto (5-5.9)",IF(J2683&gt;=4,"Moderado (4-4.9)","Menor a 4"))))</x:f>
        <x:v>Moderado (4-4.9)</x:v>
      </x:c>
      <x:c r="L2683" s="25" t="str">
        <x:f>IF(I2683&lt;70,"Superficial (&lt;70 km)",IF(I2683&lt;=300,"Intermedio (70-300 km)","Profundo (&gt;300 km)"))</x:f>
        <x:v>Superficial (&lt;70 km)</x:v>
      </x:c>
      <x:c r="M2683" s="25" t="str">
        <x:f>IF(J2683&gt;=5,"Sí","No")</x:f>
        <x:v>No</x:v>
      </x:c>
      <x:c r="N2683" s="25" t="str">
        <x:f>IF(J2683&gt;=6,"Sí","No")</x:f>
        <x:v>No</x:v>
      </x:c>
      <x:c r="O2683" s="25" t="str">
        <x:v>Pendiente: asignar con R/sf</x:v>
      </x:c>
    </x:row>
    <x:row r="2684">
      <x:c r="A2684" s="25" t="n">
        <x:v>2683</x:v>
      </x:c>
      <x:c r="B2684" s="26" t="n">
        <x:v>42597.74324074074</x:v>
      </x:c>
      <x:c r="C2684" s="27" t="n">
        <x:f>INT(B2684)</x:f>
        <x:v>42597</x:v>
      </x:c>
      <x:c r="D2684" s="28" t="n">
        <x:f>MOD(B2684,1)</x:f>
        <x:v>0.7432407407395658</x:v>
      </x:c>
      <x:c r="E2684" s="29" t="n">
        <x:f>YEAR(B2684)</x:f>
        <x:v>2016</x:v>
      </x:c>
      <x:c r="F2684" s="29" t="n">
        <x:f>MONTH(B2684)</x:f>
        <x:v>8</x:v>
      </x:c>
      <x:c r="G2684" s="30" t="n">
        <x:v>-28.88</x:v>
      </x:c>
      <x:c r="H2684" s="30" t="n">
        <x:v>-71.5</x:v>
      </x:c>
      <x:c r="I2684" s="29" t="n">
        <x:v>44</x:v>
      </x:c>
      <x:c r="J2684" s="31" t="n">
        <x:v>4.1</x:v>
      </x:c>
      <x:c r="K2684" s="25" t="str">
        <x:f>IF(J2684&gt;=7,"Muy fuerte (&gt;=7)",IF(J2684&gt;=6,"Fuerte (6-6.9)",IF(J2684&gt;=5,"Moderado alto (5-5.9)",IF(J2684&gt;=4,"Moderado (4-4.9)","Menor a 4"))))</x:f>
        <x:v>Moderado (4-4.9)</x:v>
      </x:c>
      <x:c r="L2684" s="25" t="str">
        <x:f>IF(I2684&lt;70,"Superficial (&lt;70 km)",IF(I2684&lt;=300,"Intermedio (70-300 km)","Profundo (&gt;300 km)"))</x:f>
        <x:v>Superficial (&lt;70 km)</x:v>
      </x:c>
      <x:c r="M2684" s="25" t="str">
        <x:f>IF(J2684&gt;=5,"Sí","No")</x:f>
        <x:v>No</x:v>
      </x:c>
      <x:c r="N2684" s="25" t="str">
        <x:f>IF(J2684&gt;=6,"Sí","No")</x:f>
        <x:v>No</x:v>
      </x:c>
      <x:c r="O2684" s="25" t="str">
        <x:v>Pendiente: asignar con R/sf</x:v>
      </x:c>
    </x:row>
    <x:row r="2685">
      <x:c r="A2685" s="25" t="n">
        <x:v>2684</x:v>
      </x:c>
      <x:c r="B2685" s="26" t="n">
        <x:v>42620.004166666666</x:v>
      </x:c>
      <x:c r="C2685" s="27" t="n">
        <x:f>INT(B2685)</x:f>
        <x:v>42620</x:v>
      </x:c>
      <x:c r="D2685" s="28" t="n">
        <x:f>MOD(B2685,1)</x:f>
        <x:v>0.004166666665696539</x:v>
      </x:c>
      <x:c r="E2685" s="29" t="n">
        <x:f>YEAR(B2685)</x:f>
        <x:v>2016</x:v>
      </x:c>
      <x:c r="F2685" s="29" t="n">
        <x:f>MONTH(B2685)</x:f>
        <x:v>9</x:v>
      </x:c>
      <x:c r="G2685" s="30" t="n">
        <x:v>-31.97</x:v>
      </x:c>
      <x:c r="H2685" s="30" t="n">
        <x:v>-71.55</x:v>
      </x:c>
      <x:c r="I2685" s="29" t="n">
        <x:v>75</x:v>
      </x:c>
      <x:c r="J2685" s="31" t="n">
        <x:v>4.1</x:v>
      </x:c>
      <x:c r="K2685" s="25" t="str">
        <x:f>IF(J2685&gt;=7,"Muy fuerte (&gt;=7)",IF(J2685&gt;=6,"Fuerte (6-6.9)",IF(J2685&gt;=5,"Moderado alto (5-5.9)",IF(J2685&gt;=4,"Moderado (4-4.9)","Menor a 4"))))</x:f>
        <x:v>Moderado (4-4.9)</x:v>
      </x:c>
      <x:c r="L2685" s="25" t="str">
        <x:f>IF(I2685&lt;70,"Superficial (&lt;70 km)",IF(I2685&lt;=300,"Intermedio (70-300 km)","Profundo (&gt;300 km)"))</x:f>
        <x:v>Intermedio (70-300 km)</x:v>
      </x:c>
      <x:c r="M2685" s="25" t="str">
        <x:f>IF(J2685&gt;=5,"Sí","No")</x:f>
        <x:v>No</x:v>
      </x:c>
      <x:c r="N2685" s="25" t="str">
        <x:f>IF(J2685&gt;=6,"Sí","No")</x:f>
        <x:v>No</x:v>
      </x:c>
      <x:c r="O2685" s="25" t="str">
        <x:v>Pendiente: asignar con R/sf</x:v>
      </x:c>
    </x:row>
    <x:row r="2686">
      <x:c r="A2686" s="25" t="n">
        <x:v>2685</x:v>
      </x:c>
      <x:c r="B2686" s="26" t="n">
        <x:v>42650.06101851852</x:v>
      </x:c>
      <x:c r="C2686" s="27" t="n">
        <x:f>INT(B2686)</x:f>
        <x:v>42650</x:v>
      </x:c>
      <x:c r="D2686" s="28" t="n">
        <x:f>MOD(B2686,1)</x:f>
        <x:v>0.06101851852145046</x:v>
      </x:c>
      <x:c r="E2686" s="29" t="n">
        <x:f>YEAR(B2686)</x:f>
        <x:v>2016</x:v>
      </x:c>
      <x:c r="F2686" s="29" t="n">
        <x:f>MONTH(B2686)</x:f>
        <x:v>10</x:v>
      </x:c>
      <x:c r="G2686" s="30" t="n">
        <x:v>-30.58</x:v>
      </x:c>
      <x:c r="H2686" s="30" t="n">
        <x:v>-70.91</x:v>
      </x:c>
      <x:c r="I2686" s="29" t="n">
        <x:v>77</x:v>
      </x:c>
      <x:c r="J2686" s="31" t="n">
        <x:v>4.1</x:v>
      </x:c>
      <x:c r="K2686" s="25" t="str">
        <x:f>IF(J2686&gt;=7,"Muy fuerte (&gt;=7)",IF(J2686&gt;=6,"Fuerte (6-6.9)",IF(J2686&gt;=5,"Moderado alto (5-5.9)",IF(J2686&gt;=4,"Moderado (4-4.9)","Menor a 4"))))</x:f>
        <x:v>Moderado (4-4.9)</x:v>
      </x:c>
      <x:c r="L2686" s="25" t="str">
        <x:f>IF(I2686&lt;70,"Superficial (&lt;70 km)",IF(I2686&lt;=300,"Intermedio (70-300 km)","Profundo (&gt;300 km)"))</x:f>
        <x:v>Intermedio (70-300 km)</x:v>
      </x:c>
      <x:c r="M2686" s="25" t="str">
        <x:f>IF(J2686&gt;=5,"Sí","No")</x:f>
        <x:v>No</x:v>
      </x:c>
      <x:c r="N2686" s="25" t="str">
        <x:f>IF(J2686&gt;=6,"Sí","No")</x:f>
        <x:v>No</x:v>
      </x:c>
      <x:c r="O2686" s="25" t="str">
        <x:v>Pendiente: asignar con R/sf</x:v>
      </x:c>
    </x:row>
    <x:row r="2687">
      <x:c r="A2687" s="25" t="n">
        <x:v>2686</x:v>
      </x:c>
      <x:c r="B2687" s="26" t="n">
        <x:v>42659.35959490741</x:v>
      </x:c>
      <x:c r="C2687" s="27" t="n">
        <x:f>INT(B2687)</x:f>
        <x:v>42659</x:v>
      </x:c>
      <x:c r="D2687" s="28" t="n">
        <x:f>MOD(B2687,1)</x:f>
        <x:v>0.3595949074078817</x:v>
      </x:c>
      <x:c r="E2687" s="29" t="n">
        <x:f>YEAR(B2687)</x:f>
        <x:v>2016</x:v>
      </x:c>
      <x:c r="F2687" s="29" t="n">
        <x:f>MONTH(B2687)</x:f>
        <x:v>10</x:v>
      </x:c>
      <x:c r="G2687" s="30" t="n">
        <x:v>-30.64</x:v>
      </x:c>
      <x:c r="H2687" s="30" t="n">
        <x:v>-71.59</x:v>
      </x:c>
      <x:c r="I2687" s="29" t="n">
        <x:v>33</x:v>
      </x:c>
      <x:c r="J2687" s="31" t="n">
        <x:v>4</x:v>
      </x:c>
      <x:c r="K2687" s="25" t="str">
        <x:f>IF(J2687&gt;=7,"Muy fuerte (&gt;=7)",IF(J2687&gt;=6,"Fuerte (6-6.9)",IF(J2687&gt;=5,"Moderado alto (5-5.9)",IF(J2687&gt;=4,"Moderado (4-4.9)","Menor a 4"))))</x:f>
        <x:v>Moderado (4-4.9)</x:v>
      </x:c>
      <x:c r="L2687" s="25" t="str">
        <x:f>IF(I2687&lt;70,"Superficial (&lt;70 km)",IF(I2687&lt;=300,"Intermedio (70-300 km)","Profundo (&gt;300 km)"))</x:f>
        <x:v>Superficial (&lt;70 km)</x:v>
      </x:c>
      <x:c r="M2687" s="25" t="str">
        <x:f>IF(J2687&gt;=5,"Sí","No")</x:f>
        <x:v>No</x:v>
      </x:c>
      <x:c r="N2687" s="25" t="str">
        <x:f>IF(J2687&gt;=6,"Sí","No")</x:f>
        <x:v>No</x:v>
      </x:c>
      <x:c r="O2687" s="25" t="str">
        <x:v>Pendiente: asignar con R/sf</x:v>
      </x:c>
    </x:row>
    <x:row r="2688">
      <x:c r="A2688" s="25" t="n">
        <x:v>2687</x:v>
      </x:c>
      <x:c r="B2688" s="26" t="n">
        <x:v>42664.79341435185</x:v>
      </x:c>
      <x:c r="C2688" s="27" t="n">
        <x:f>INT(B2688)</x:f>
        <x:v>42664</x:v>
      </x:c>
      <x:c r="D2688" s="28" t="n">
        <x:f>MOD(B2688,1)</x:f>
        <x:v>0.7934143518505152</x:v>
      </x:c>
      <x:c r="E2688" s="29" t="n">
        <x:f>YEAR(B2688)</x:f>
        <x:v>2016</x:v>
      </x:c>
      <x:c r="F2688" s="29" t="n">
        <x:f>MONTH(B2688)</x:f>
        <x:v>10</x:v>
      </x:c>
      <x:c r="G2688" s="30" t="n">
        <x:v>-30.75</x:v>
      </x:c>
      <x:c r="H2688" s="30" t="n">
        <x:v>-71.38</x:v>
      </x:c>
      <x:c r="I2688" s="29" t="n">
        <x:v>47</x:v>
      </x:c>
      <x:c r="J2688" s="31" t="n">
        <x:v>4.3</x:v>
      </x:c>
      <x:c r="K2688" s="25" t="str">
        <x:f>IF(J2688&gt;=7,"Muy fuerte (&gt;=7)",IF(J2688&gt;=6,"Fuerte (6-6.9)",IF(J2688&gt;=5,"Moderado alto (5-5.9)",IF(J2688&gt;=4,"Moderado (4-4.9)","Menor a 4"))))</x:f>
        <x:v>Moderado (4-4.9)</x:v>
      </x:c>
      <x:c r="L2688" s="25" t="str">
        <x:f>IF(I2688&lt;70,"Superficial (&lt;70 km)",IF(I2688&lt;=300,"Intermedio (70-300 km)","Profundo (&gt;300 km)"))</x:f>
        <x:v>Superficial (&lt;70 km)</x:v>
      </x:c>
      <x:c r="M2688" s="25" t="str">
        <x:f>IF(J2688&gt;=5,"Sí","No")</x:f>
        <x:v>No</x:v>
      </x:c>
      <x:c r="N2688" s="25" t="str">
        <x:f>IF(J2688&gt;=6,"Sí","No")</x:f>
        <x:v>No</x:v>
      </x:c>
      <x:c r="O2688" s="25" t="str">
        <x:v>Pendiente: asignar con R/sf</x:v>
      </x:c>
    </x:row>
    <x:row r="2689">
      <x:c r="A2689" s="25" t="n">
        <x:v>2688</x:v>
      </x:c>
      <x:c r="B2689" s="26" t="n">
        <x:v>42666.25644675926</x:v>
      </x:c>
      <x:c r="C2689" s="27" t="n">
        <x:f>INT(B2689)</x:f>
        <x:v>42666</x:v>
      </x:c>
      <x:c r="D2689" s="28" t="n">
        <x:f>MOD(B2689,1)</x:f>
        <x:v>0.25644675926014315</x:v>
      </x:c>
      <x:c r="E2689" s="29" t="n">
        <x:f>YEAR(B2689)</x:f>
        <x:v>2016</x:v>
      </x:c>
      <x:c r="F2689" s="29" t="n">
        <x:f>MONTH(B2689)</x:f>
        <x:v>10</x:v>
      </x:c>
      <x:c r="G2689" s="30" t="n">
        <x:v>-30.83</x:v>
      </x:c>
      <x:c r="H2689" s="30" t="n">
        <x:v>-71.36</x:v>
      </x:c>
      <x:c r="I2689" s="29" t="n">
        <x:v>42</x:v>
      </x:c>
      <x:c r="J2689" s="31" t="n">
        <x:v>4.4</x:v>
      </x:c>
      <x:c r="K2689" s="25" t="str">
        <x:f>IF(J2689&gt;=7,"Muy fuerte (&gt;=7)",IF(J2689&gt;=6,"Fuerte (6-6.9)",IF(J2689&gt;=5,"Moderado alto (5-5.9)",IF(J2689&gt;=4,"Moderado (4-4.9)","Menor a 4"))))</x:f>
        <x:v>Moderado (4-4.9)</x:v>
      </x:c>
      <x:c r="L2689" s="25" t="str">
        <x:f>IF(I2689&lt;70,"Superficial (&lt;70 km)",IF(I2689&lt;=300,"Intermedio (70-300 km)","Profundo (&gt;300 km)"))</x:f>
        <x:v>Superficial (&lt;70 km)</x:v>
      </x:c>
      <x:c r="M2689" s="25" t="str">
        <x:f>IF(J2689&gt;=5,"Sí","No")</x:f>
        <x:v>No</x:v>
      </x:c>
      <x:c r="N2689" s="25" t="str">
        <x:f>IF(J2689&gt;=6,"Sí","No")</x:f>
        <x:v>No</x:v>
      </x:c>
      <x:c r="O2689" s="25" t="str">
        <x:v>Pendiente: asignar con R/sf</x:v>
      </x:c>
    </x:row>
    <x:row r="2690">
      <x:c r="A2690" s="25" t="n">
        <x:v>2689</x:v>
      </x:c>
      <x:c r="B2690" s="26" t="n">
        <x:v>42674.093877314815</x:v>
      </x:c>
      <x:c r="C2690" s="27" t="n">
        <x:f>INT(B2690)</x:f>
        <x:v>42674</x:v>
      </x:c>
      <x:c r="D2690" s="28" t="n">
        <x:f>MOD(B2690,1)</x:f>
        <x:v>0.09387731481547235</x:v>
      </x:c>
      <x:c r="E2690" s="29" t="n">
        <x:f>YEAR(B2690)</x:f>
        <x:v>2016</x:v>
      </x:c>
      <x:c r="F2690" s="29" t="n">
        <x:f>MONTH(B2690)</x:f>
        <x:v>10</x:v>
      </x:c>
      <x:c r="G2690" s="30" t="n">
        <x:v>-31.84</x:v>
      </x:c>
      <x:c r="H2690" s="30" t="n">
        <x:v>-71.58</x:v>
      </x:c>
      <x:c r="I2690" s="29" t="n">
        <x:v>41</x:v>
      </x:c>
      <x:c r="J2690" s="31" t="n">
        <x:v>4</x:v>
      </x:c>
      <x:c r="K2690" s="25" t="str">
        <x:f>IF(J2690&gt;=7,"Muy fuerte (&gt;=7)",IF(J2690&gt;=6,"Fuerte (6-6.9)",IF(J2690&gt;=5,"Moderado alto (5-5.9)",IF(J2690&gt;=4,"Moderado (4-4.9)","Menor a 4"))))</x:f>
        <x:v>Moderado (4-4.9)</x:v>
      </x:c>
      <x:c r="L2690" s="25" t="str">
        <x:f>IF(I2690&lt;70,"Superficial (&lt;70 km)",IF(I2690&lt;=300,"Intermedio (70-300 km)","Profundo (&gt;300 km)"))</x:f>
        <x:v>Superficial (&lt;70 km)</x:v>
      </x:c>
      <x:c r="M2690" s="25" t="str">
        <x:f>IF(J2690&gt;=5,"Sí","No")</x:f>
        <x:v>No</x:v>
      </x:c>
      <x:c r="N2690" s="25" t="str">
        <x:f>IF(J2690&gt;=6,"Sí","No")</x:f>
        <x:v>No</x:v>
      </x:c>
      <x:c r="O2690" s="25" t="str">
        <x:v>Pendiente: asignar con R/sf</x:v>
      </x:c>
    </x:row>
    <x:row r="2691">
      <x:c r="A2691" s="25" t="n">
        <x:v>2690</x:v>
      </x:c>
      <x:c r="B2691" s="26" t="n">
        <x:v>42677.09520833333</x:v>
      </x:c>
      <x:c r="C2691" s="27" t="n">
        <x:f>INT(B2691)</x:f>
        <x:v>42677</x:v>
      </x:c>
      <x:c r="D2691" s="28" t="n">
        <x:f>MOD(B2691,1)</x:f>
        <x:v>0.09520833333226619</x:v>
      </x:c>
      <x:c r="E2691" s="29" t="n">
        <x:f>YEAR(B2691)</x:f>
        <x:v>2016</x:v>
      </x:c>
      <x:c r="F2691" s="29" t="n">
        <x:f>MONTH(B2691)</x:f>
        <x:v>11</x:v>
      </x:c>
      <x:c r="G2691" s="30" t="n">
        <x:v>-31.5</x:v>
      </x:c>
      <x:c r="H2691" s="30" t="n">
        <x:v>-71.66</x:v>
      </x:c>
      <x:c r="I2691" s="29" t="n">
        <x:v>42</x:v>
      </x:c>
      <x:c r="J2691" s="31" t="n">
        <x:v>4</x:v>
      </x:c>
      <x:c r="K2691" s="25" t="str">
        <x:f>IF(J2691&gt;=7,"Muy fuerte (&gt;=7)",IF(J2691&gt;=6,"Fuerte (6-6.9)",IF(J2691&gt;=5,"Moderado alto (5-5.9)",IF(J2691&gt;=4,"Moderado (4-4.9)","Menor a 4"))))</x:f>
        <x:v>Moderado (4-4.9)</x:v>
      </x:c>
      <x:c r="L2691" s="25" t="str">
        <x:f>IF(I2691&lt;70,"Superficial (&lt;70 km)",IF(I2691&lt;=300,"Intermedio (70-300 km)","Profundo (&gt;300 km)"))</x:f>
        <x:v>Superficial (&lt;70 km)</x:v>
      </x:c>
      <x:c r="M2691" s="25" t="str">
        <x:f>IF(J2691&gt;=5,"Sí","No")</x:f>
        <x:v>No</x:v>
      </x:c>
      <x:c r="N2691" s="25" t="str">
        <x:f>IF(J2691&gt;=6,"Sí","No")</x:f>
        <x:v>No</x:v>
      </x:c>
      <x:c r="O2691" s="25" t="str">
        <x:v>Pendiente: asignar con R/sf</x:v>
      </x:c>
    </x:row>
    <x:row r="2692">
      <x:c r="A2692" s="25" t="n">
        <x:v>2691</x:v>
      </x:c>
      <x:c r="B2692" s="26" t="n">
        <x:v>42687.73851851852</x:v>
      </x:c>
      <x:c r="C2692" s="27" t="n">
        <x:f>INT(B2692)</x:f>
        <x:v>42687</x:v>
      </x:c>
      <x:c r="D2692" s="28" t="n">
        <x:f>MOD(B2692,1)</x:f>
        <x:v>0.7385185185194132</x:v>
      </x:c>
      <x:c r="E2692" s="29" t="n">
        <x:f>YEAR(B2692)</x:f>
        <x:v>2016</x:v>
      </x:c>
      <x:c r="F2692" s="29" t="n">
        <x:f>MONTH(B2692)</x:f>
        <x:v>11</x:v>
      </x:c>
      <x:c r="G2692" s="30" t="n">
        <x:v>-31.71</x:v>
      </x:c>
      <x:c r="H2692" s="30" t="n">
        <x:v>-71.35</x:v>
      </x:c>
      <x:c r="I2692" s="29" t="n">
        <x:v>46</x:v>
      </x:c>
      <x:c r="J2692" s="31" t="n">
        <x:v>4.1</x:v>
      </x:c>
      <x:c r="K2692" s="25" t="str">
        <x:f>IF(J2692&gt;=7,"Muy fuerte (&gt;=7)",IF(J2692&gt;=6,"Fuerte (6-6.9)",IF(J2692&gt;=5,"Moderado alto (5-5.9)",IF(J2692&gt;=4,"Moderado (4-4.9)","Menor a 4"))))</x:f>
        <x:v>Moderado (4-4.9)</x:v>
      </x:c>
      <x:c r="L2692" s="25" t="str">
        <x:f>IF(I2692&lt;70,"Superficial (&lt;70 km)",IF(I2692&lt;=300,"Intermedio (70-300 km)","Profundo (&gt;300 km)"))</x:f>
        <x:v>Superficial (&lt;70 km)</x:v>
      </x:c>
      <x:c r="M2692" s="25" t="str">
        <x:f>IF(J2692&gt;=5,"Sí","No")</x:f>
        <x:v>No</x:v>
      </x:c>
      <x:c r="N2692" s="25" t="str">
        <x:f>IF(J2692&gt;=6,"Sí","No")</x:f>
        <x:v>No</x:v>
      </x:c>
      <x:c r="O2692" s="25" t="str">
        <x:v>Pendiente: asignar con R/sf</x:v>
      </x:c>
    </x:row>
    <x:row r="2693">
      <x:c r="A2693" s="25" t="n">
        <x:v>2692</x:v>
      </x:c>
      <x:c r="B2693" s="26" t="n">
        <x:v>42691.77133101852</x:v>
      </x:c>
      <x:c r="C2693" s="27" t="n">
        <x:f>INT(B2693)</x:f>
        <x:v>42691</x:v>
      </x:c>
      <x:c r="D2693" s="28" t="n">
        <x:f>MOD(B2693,1)</x:f>
        <x:v>0.7713310185208684</x:v>
      </x:c>
      <x:c r="E2693" s="29" t="n">
        <x:f>YEAR(B2693)</x:f>
        <x:v>2016</x:v>
      </x:c>
      <x:c r="F2693" s="29" t="n">
        <x:f>MONTH(B2693)</x:f>
        <x:v>11</x:v>
      </x:c>
      <x:c r="G2693" s="30" t="n">
        <x:v>-28.39</x:v>
      </x:c>
      <x:c r="H2693" s="30" t="n">
        <x:v>-70.47</x:v>
      </x:c>
      <x:c r="I2693" s="29" t="n">
        <x:v>82</x:v>
      </x:c>
      <x:c r="J2693" s="31" t="n">
        <x:v>4.3</x:v>
      </x:c>
      <x:c r="K2693" s="25" t="str">
        <x:f>IF(J2693&gt;=7,"Muy fuerte (&gt;=7)",IF(J2693&gt;=6,"Fuerte (6-6.9)",IF(J2693&gt;=5,"Moderado alto (5-5.9)",IF(J2693&gt;=4,"Moderado (4-4.9)","Menor a 4"))))</x:f>
        <x:v>Moderado (4-4.9)</x:v>
      </x:c>
      <x:c r="L2693" s="25" t="str">
        <x:f>IF(I2693&lt;70,"Superficial (&lt;70 km)",IF(I2693&lt;=300,"Intermedio (70-300 km)","Profundo (&gt;300 km)"))</x:f>
        <x:v>Intermedio (70-300 km)</x:v>
      </x:c>
      <x:c r="M2693" s="25" t="str">
        <x:f>IF(J2693&gt;=5,"Sí","No")</x:f>
        <x:v>No</x:v>
      </x:c>
      <x:c r="N2693" s="25" t="str">
        <x:f>IF(J2693&gt;=6,"Sí","No")</x:f>
        <x:v>No</x:v>
      </x:c>
      <x:c r="O2693" s="25" t="str">
        <x:v>Pendiente: asignar con R/sf</x:v>
      </x:c>
    </x:row>
    <x:row r="2694">
      <x:c r="A2694" s="25" t="n">
        <x:v>2693</x:v>
      </x:c>
      <x:c r="B2694" s="26" t="n">
        <x:v>42703.190613425926</x:v>
      </x:c>
      <x:c r="C2694" s="27" t="n">
        <x:f>INT(B2694)</x:f>
        <x:v>42703</x:v>
      </x:c>
      <x:c r="D2694" s="28" t="n">
        <x:f>MOD(B2694,1)</x:f>
        <x:v>0.19061342592613073</x:v>
      </x:c>
      <x:c r="E2694" s="29" t="n">
        <x:f>YEAR(B2694)</x:f>
        <x:v>2016</x:v>
      </x:c>
      <x:c r="F2694" s="29" t="n">
        <x:f>MONTH(B2694)</x:f>
        <x:v>11</x:v>
      </x:c>
      <x:c r="G2694" s="30" t="n">
        <x:v>-31.97</x:v>
      </x:c>
      <x:c r="H2694" s="30" t="n">
        <x:v>-70.94</x:v>
      </x:c>
      <x:c r="I2694" s="29" t="n">
        <x:v>87</x:v>
      </x:c>
      <x:c r="J2694" s="31" t="n">
        <x:v>4.5</x:v>
      </x:c>
      <x:c r="K2694" s="25" t="str">
        <x:f>IF(J2694&gt;=7,"Muy fuerte (&gt;=7)",IF(J2694&gt;=6,"Fuerte (6-6.9)",IF(J2694&gt;=5,"Moderado alto (5-5.9)",IF(J2694&gt;=4,"Moderado (4-4.9)","Menor a 4"))))</x:f>
        <x:v>Moderado (4-4.9)</x:v>
      </x:c>
      <x:c r="L2694" s="25" t="str">
        <x:f>IF(I2694&lt;70,"Superficial (&lt;70 km)",IF(I2694&lt;=300,"Intermedio (70-300 km)","Profundo (&gt;300 km)"))</x:f>
        <x:v>Intermedio (70-300 km)</x:v>
      </x:c>
      <x:c r="M2694" s="25" t="str">
        <x:f>IF(J2694&gt;=5,"Sí","No")</x:f>
        <x:v>No</x:v>
      </x:c>
      <x:c r="N2694" s="25" t="str">
        <x:f>IF(J2694&gt;=6,"Sí","No")</x:f>
        <x:v>No</x:v>
      </x:c>
      <x:c r="O2694" s="25" t="str">
        <x:v>Pendiente: asignar con R/sf</x:v>
      </x:c>
    </x:row>
    <x:row r="2695">
      <x:c r="A2695" s="25" t="n">
        <x:v>2694</x:v>
      </x:c>
      <x:c r="B2695" s="26" t="n">
        <x:v>42705.01505787037</x:v>
      </x:c>
      <x:c r="C2695" s="27" t="n">
        <x:f>INT(B2695)</x:f>
        <x:v>42705</x:v>
      </x:c>
      <x:c r="D2695" s="28" t="n">
        <x:f>MOD(B2695,1)</x:f>
        <x:v>0.01505787036876427</x:v>
      </x:c>
      <x:c r="E2695" s="29" t="n">
        <x:f>YEAR(B2695)</x:f>
        <x:v>2016</x:v>
      </x:c>
      <x:c r="F2695" s="29" t="n">
        <x:f>MONTH(B2695)</x:f>
        <x:v>12</x:v>
      </x:c>
      <x:c r="G2695" s="30" t="n">
        <x:v>-28.74</x:v>
      </x:c>
      <x:c r="H2695" s="30" t="n">
        <x:v>-70.22</x:v>
      </x:c>
      <x:c r="I2695" s="29" t="n">
        <x:v>105</x:v>
      </x:c>
      <x:c r="J2695" s="31" t="n">
        <x:v>4</x:v>
      </x:c>
      <x:c r="K2695" s="25" t="str">
        <x:f>IF(J2695&gt;=7,"Muy fuerte (&gt;=7)",IF(J2695&gt;=6,"Fuerte (6-6.9)",IF(J2695&gt;=5,"Moderado alto (5-5.9)",IF(J2695&gt;=4,"Moderado (4-4.9)","Menor a 4"))))</x:f>
        <x:v>Moderado (4-4.9)</x:v>
      </x:c>
      <x:c r="L2695" s="25" t="str">
        <x:f>IF(I2695&lt;70,"Superficial (&lt;70 km)",IF(I2695&lt;=300,"Intermedio (70-300 km)","Profundo (&gt;300 km)"))</x:f>
        <x:v>Intermedio (70-300 km)</x:v>
      </x:c>
      <x:c r="M2695" s="25" t="str">
        <x:f>IF(J2695&gt;=5,"Sí","No")</x:f>
        <x:v>No</x:v>
      </x:c>
      <x:c r="N2695" s="25" t="str">
        <x:f>IF(J2695&gt;=6,"Sí","No")</x:f>
        <x:v>No</x:v>
      </x:c>
      <x:c r="O2695" s="25" t="str">
        <x:v>Pendiente: asignar con R/sf</x:v>
      </x:c>
    </x:row>
    <x:row r="2696">
      <x:c r="A2696" s="25" t="n">
        <x:v>2695</x:v>
      </x:c>
      <x:c r="B2696" s="26" t="n">
        <x:v>42713.63185185185</x:v>
      </x:c>
      <x:c r="C2696" s="27" t="n">
        <x:f>INT(B2696)</x:f>
        <x:v>42713</x:v>
      </x:c>
      <x:c r="D2696" s="28" t="n">
        <x:f>MOD(B2696,1)</x:f>
        <x:v>0.6318518518528435</x:v>
      </x:c>
      <x:c r="E2696" s="29" t="n">
        <x:f>YEAR(B2696)</x:f>
        <x:v>2016</x:v>
      </x:c>
      <x:c r="F2696" s="29" t="n">
        <x:f>MONTH(B2696)</x:f>
        <x:v>12</x:v>
      </x:c>
      <x:c r="G2696" s="30" t="n">
        <x:v>-31.37</x:v>
      </x:c>
      <x:c r="H2696" s="30" t="n">
        <x:v>-71.43</x:v>
      </x:c>
      <x:c r="I2696" s="29" t="n">
        <x:v>43</x:v>
      </x:c>
      <x:c r="J2696" s="31" t="n">
        <x:v>4.1</x:v>
      </x:c>
      <x:c r="K2696" s="25" t="str">
        <x:f>IF(J2696&gt;=7,"Muy fuerte (&gt;=7)",IF(J2696&gt;=6,"Fuerte (6-6.9)",IF(J2696&gt;=5,"Moderado alto (5-5.9)",IF(J2696&gt;=4,"Moderado (4-4.9)","Menor a 4"))))</x:f>
        <x:v>Moderado (4-4.9)</x:v>
      </x:c>
      <x:c r="L2696" s="25" t="str">
        <x:f>IF(I2696&lt;70,"Superficial (&lt;70 km)",IF(I2696&lt;=300,"Intermedio (70-300 km)","Profundo (&gt;300 km)"))</x:f>
        <x:v>Superficial (&lt;70 km)</x:v>
      </x:c>
      <x:c r="M2696" s="25" t="str">
        <x:f>IF(J2696&gt;=5,"Sí","No")</x:f>
        <x:v>No</x:v>
      </x:c>
      <x:c r="N2696" s="25" t="str">
        <x:f>IF(J2696&gt;=6,"Sí","No")</x:f>
        <x:v>No</x:v>
      </x:c>
      <x:c r="O2696" s="25" t="str">
        <x:v>Pendiente: asignar con R/sf</x:v>
      </x:c>
    </x:row>
    <x:row r="2697">
      <x:c r="A2697" s="25" t="n">
        <x:v>2696</x:v>
      </x:c>
      <x:c r="B2697" s="26" t="n">
        <x:v>42722.68415509259</x:v>
      </x:c>
      <x:c r="C2697" s="27" t="n">
        <x:f>INT(B2697)</x:f>
        <x:v>42722</x:v>
      </x:c>
      <x:c r="D2697" s="28" t="n">
        <x:f>MOD(B2697,1)</x:f>
        <x:v>0.6841550925892079</x:v>
      </x:c>
      <x:c r="E2697" s="29" t="n">
        <x:f>YEAR(B2697)</x:f>
        <x:v>2016</x:v>
      </x:c>
      <x:c r="F2697" s="29" t="n">
        <x:f>MONTH(B2697)</x:f>
        <x:v>12</x:v>
      </x:c>
      <x:c r="G2697" s="30" t="n">
        <x:v>-31.74</x:v>
      </x:c>
      <x:c r="H2697" s="30" t="n">
        <x:v>-71.25</x:v>
      </x:c>
      <x:c r="I2697" s="29" t="n">
        <x:v>54</x:v>
      </x:c>
      <x:c r="J2697" s="31" t="n">
        <x:v>4.1</x:v>
      </x:c>
      <x:c r="K2697" s="25" t="str">
        <x:f>IF(J2697&gt;=7,"Muy fuerte (&gt;=7)",IF(J2697&gt;=6,"Fuerte (6-6.9)",IF(J2697&gt;=5,"Moderado alto (5-5.9)",IF(J2697&gt;=4,"Moderado (4-4.9)","Menor a 4"))))</x:f>
        <x:v>Moderado (4-4.9)</x:v>
      </x:c>
      <x:c r="L2697" s="25" t="str">
        <x:f>IF(I2697&lt;70,"Superficial (&lt;70 km)",IF(I2697&lt;=300,"Intermedio (70-300 km)","Profundo (&gt;300 km)"))</x:f>
        <x:v>Superficial (&lt;70 km)</x:v>
      </x:c>
      <x:c r="M2697" s="25" t="str">
        <x:f>IF(J2697&gt;=5,"Sí","No")</x:f>
        <x:v>No</x:v>
      </x:c>
      <x:c r="N2697" s="25" t="str">
        <x:f>IF(J2697&gt;=6,"Sí","No")</x:f>
        <x:v>No</x:v>
      </x:c>
      <x:c r="O2697" s="25" t="str">
        <x:v>Pendiente: asignar con R/sf</x:v>
      </x:c>
    </x:row>
    <x:row r="2698">
      <x:c r="A2698" s="25" t="n">
        <x:v>2697</x:v>
      </x:c>
      <x:c r="B2698" s="26" t="n">
        <x:v>42377.049988425926</x:v>
      </x:c>
      <x:c r="C2698" s="27" t="n">
        <x:f>INT(B2698)</x:f>
        <x:v>42377</x:v>
      </x:c>
      <x:c r="D2698" s="28" t="n">
        <x:f>MOD(B2698,1)</x:f>
        <x:v>0.04998842592613073</x:v>
      </x:c>
      <x:c r="E2698" s="29" t="n">
        <x:f>YEAR(B2698)</x:f>
        <x:v>2016</x:v>
      </x:c>
      <x:c r="F2698" s="29" t="n">
        <x:f>MONTH(B2698)</x:f>
        <x:v>1</x:v>
      </x:c>
      <x:c r="G2698" s="30" t="n">
        <x:v>-30.67</x:v>
      </x:c>
      <x:c r="H2698" s="30" t="n">
        <x:v>-71.66</x:v>
      </x:c>
      <x:c r="I2698" s="29" t="n">
        <x:v>32</x:v>
      </x:c>
      <x:c r="J2698" s="31" t="n">
        <x:v>6</x:v>
      </x:c>
      <x:c r="K2698" s="25" t="str">
        <x:f>IF(J2698&gt;=7,"Muy fuerte (&gt;=7)",IF(J2698&gt;=6,"Fuerte (6-6.9)",IF(J2698&gt;=5,"Moderado alto (5-5.9)",IF(J2698&gt;=4,"Moderado (4-4.9)","Menor a 4"))))</x:f>
        <x:v>Fuerte (6-6.9)</x:v>
      </x:c>
      <x:c r="L2698" s="25" t="str">
        <x:f>IF(I2698&lt;70,"Superficial (&lt;70 km)",IF(I2698&lt;=300,"Intermedio (70-300 km)","Profundo (&gt;300 km)"))</x:f>
        <x:v>Superficial (&lt;70 km)</x:v>
      </x:c>
      <x:c r="M2698" s="25" t="str">
        <x:f>IF(J2698&gt;=5,"Sí","No")</x:f>
        <x:v>Sí</x:v>
      </x:c>
      <x:c r="N2698" s="25" t="str">
        <x:f>IF(J2698&gt;=6,"Sí","No")</x:f>
        <x:v>Sí</x:v>
      </x:c>
      <x:c r="O2698" s="25" t="str">
        <x:v>Pendiente: asignar con R/sf</x:v>
      </x:c>
    </x:row>
    <x:row r="2699">
      <x:c r="A2699" s="25" t="n">
        <x:v>2698</x:v>
      </x:c>
      <x:c r="B2699" s="26" t="n">
        <x:v>42377.778495370374</x:v>
      </x:c>
      <x:c r="C2699" s="27" t="n">
        <x:f>INT(B2699)</x:f>
        <x:v>42377</x:v>
      </x:c>
      <x:c r="D2699" s="28" t="n">
        <x:f>MOD(B2699,1)</x:f>
        <x:v>0.778495370374003</x:v>
      </x:c>
      <x:c r="E2699" s="29" t="n">
        <x:f>YEAR(B2699)</x:f>
        <x:v>2016</x:v>
      </x:c>
      <x:c r="F2699" s="29" t="n">
        <x:f>MONTH(B2699)</x:f>
        <x:v>1</x:v>
      </x:c>
      <x:c r="G2699" s="30" t="n">
        <x:v>-32.94</x:v>
      </x:c>
      <x:c r="H2699" s="30" t="n">
        <x:v>-70.68</x:v>
      </x:c>
      <x:c r="I2699" s="29" t="n">
        <x:v>93</x:v>
      </x:c>
      <x:c r="J2699" s="31" t="n">
        <x:v>4.7</x:v>
      </x:c>
      <x:c r="K2699" s="25" t="str">
        <x:f>IF(J2699&gt;=7,"Muy fuerte (&gt;=7)",IF(J2699&gt;=6,"Fuerte (6-6.9)",IF(J2699&gt;=5,"Moderado alto (5-5.9)",IF(J2699&gt;=4,"Moderado (4-4.9)","Menor a 4"))))</x:f>
        <x:v>Moderado (4-4.9)</x:v>
      </x:c>
      <x:c r="L2699" s="25" t="str">
        <x:f>IF(I2699&lt;70,"Superficial (&lt;70 km)",IF(I2699&lt;=300,"Intermedio (70-300 km)","Profundo (&gt;300 km)"))</x:f>
        <x:v>Intermedio (70-300 km)</x:v>
      </x:c>
      <x:c r="M2699" s="25" t="str">
        <x:f>IF(J2699&gt;=5,"Sí","No")</x:f>
        <x:v>No</x:v>
      </x:c>
      <x:c r="N2699" s="25" t="str">
        <x:f>IF(J2699&gt;=6,"Sí","No")</x:f>
        <x:v>No</x:v>
      </x:c>
      <x:c r="O2699" s="25" t="str">
        <x:v>Pendiente: asignar con R/sf</x:v>
      </x:c>
    </x:row>
    <x:row r="2700">
      <x:c r="A2700" s="25" t="n">
        <x:v>2699</x:v>
      </x:c>
      <x:c r="B2700" s="26" t="n">
        <x:v>42379.564988425926</x:v>
      </x:c>
      <x:c r="C2700" s="27" t="n">
        <x:f>INT(B2700)</x:f>
        <x:v>42379</x:v>
      </x:c>
      <x:c r="D2700" s="28" t="n">
        <x:f>MOD(B2700,1)</x:f>
        <x:v>0.5649884259255487</x:v>
      </x:c>
      <x:c r="E2700" s="29" t="n">
        <x:f>YEAR(B2700)</x:f>
        <x:v>2016</x:v>
      </x:c>
      <x:c r="F2700" s="29" t="n">
        <x:f>MONTH(B2700)</x:f>
        <x:v>1</x:v>
      </x:c>
      <x:c r="G2700" s="30" t="n">
        <x:v>-31.32</x:v>
      </x:c>
      <x:c r="H2700" s="30" t="n">
        <x:v>-71.73</x:v>
      </x:c>
      <x:c r="I2700" s="29" t="n">
        <x:v>42</x:v>
      </x:c>
      <x:c r="J2700" s="31" t="n">
        <x:v>5</x:v>
      </x:c>
      <x:c r="K2700" s="25" t="str">
        <x:f>IF(J2700&gt;=7,"Muy fuerte (&gt;=7)",IF(J2700&gt;=6,"Fuerte (6-6.9)",IF(J2700&gt;=5,"Moderado alto (5-5.9)",IF(J2700&gt;=4,"Moderado (4-4.9)","Menor a 4"))))</x:f>
        <x:v>Moderado alto (5-5.9)</x:v>
      </x:c>
      <x:c r="L2700" s="25" t="str">
        <x:f>IF(I2700&lt;70,"Superficial (&lt;70 km)",IF(I2700&lt;=300,"Intermedio (70-300 km)","Profundo (&gt;300 km)"))</x:f>
        <x:v>Superficial (&lt;70 km)</x:v>
      </x:c>
      <x:c r="M2700" s="25" t="str">
        <x:f>IF(J2700&gt;=5,"Sí","No")</x:f>
        <x:v>Sí</x:v>
      </x:c>
      <x:c r="N2700" s="25" t="str">
        <x:f>IF(J2700&gt;=6,"Sí","No")</x:f>
        <x:v>No</x:v>
      </x:c>
      <x:c r="O2700" s="25" t="str">
        <x:v>Pendiente: asignar con R/sf</x:v>
      </x:c>
    </x:row>
    <x:row r="2701">
      <x:c r="A2701" s="25" t="n">
        <x:v>2700</x:v>
      </x:c>
      <x:c r="B2701" s="26" t="n">
        <x:v>42388.90655092592</x:v>
      </x:c>
      <x:c r="C2701" s="27" t="n">
        <x:f>INT(B2701)</x:f>
        <x:v>42388</x:v>
      </x:c>
      <x:c r="D2701" s="28" t="n">
        <x:f>MOD(B2701,1)</x:f>
        <x:v>0.9065509259235114</x:v>
      </x:c>
      <x:c r="E2701" s="29" t="n">
        <x:f>YEAR(B2701)</x:f>
        <x:v>2016</x:v>
      </x:c>
      <x:c r="F2701" s="29" t="n">
        <x:f>MONTH(B2701)</x:f>
        <x:v>1</x:v>
      </x:c>
      <x:c r="G2701" s="30" t="n">
        <x:v>-30.46</x:v>
      </x:c>
      <x:c r="H2701" s="30" t="n">
        <x:v>-71.7</x:v>
      </x:c>
      <x:c r="I2701" s="29" t="n">
        <x:v>34</x:v>
      </x:c>
      <x:c r="J2701" s="31" t="n">
        <x:v>4.2</x:v>
      </x:c>
      <x:c r="K2701" s="25" t="str">
        <x:f>IF(J2701&gt;=7,"Muy fuerte (&gt;=7)",IF(J2701&gt;=6,"Fuerte (6-6.9)",IF(J2701&gt;=5,"Moderado alto (5-5.9)",IF(J2701&gt;=4,"Moderado (4-4.9)","Menor a 4"))))</x:f>
        <x:v>Moderado (4-4.9)</x:v>
      </x:c>
      <x:c r="L2701" s="25" t="str">
        <x:f>IF(I2701&lt;70,"Superficial (&lt;70 km)",IF(I2701&lt;=300,"Intermedio (70-300 km)","Profundo (&gt;300 km)"))</x:f>
        <x:v>Superficial (&lt;70 km)</x:v>
      </x:c>
      <x:c r="M2701" s="25" t="str">
        <x:f>IF(J2701&gt;=5,"Sí","No")</x:f>
        <x:v>No</x:v>
      </x:c>
      <x:c r="N2701" s="25" t="str">
        <x:f>IF(J2701&gt;=6,"Sí","No")</x:f>
        <x:v>No</x:v>
      </x:c>
      <x:c r="O2701" s="25" t="str">
        <x:v>Pendiente: asignar con R/sf</x:v>
      </x:c>
    </x:row>
    <x:row r="2702">
      <x:c r="A2702" s="25" t="n">
        <x:v>2701</x:v>
      </x:c>
      <x:c r="B2702" s="26" t="n">
        <x:v>42390.566770833335</x:v>
      </x:c>
      <x:c r="C2702" s="27" t="n">
        <x:f>INT(B2702)</x:f>
        <x:v>42390</x:v>
      </x:c>
      <x:c r="D2702" s="28" t="n">
        <x:f>MOD(B2702,1)</x:f>
        <x:v>0.5667708333348855</x:v>
      </x:c>
      <x:c r="E2702" s="29" t="n">
        <x:f>YEAR(B2702)</x:f>
        <x:v>2016</x:v>
      </x:c>
      <x:c r="F2702" s="29" t="n">
        <x:f>MONTH(B2702)</x:f>
        <x:v>1</x:v>
      </x:c>
      <x:c r="G2702" s="30" t="n">
        <x:v>-30.39</x:v>
      </x:c>
      <x:c r="H2702" s="30" t="n">
        <x:v>-71.52</x:v>
      </x:c>
      <x:c r="I2702" s="29" t="n">
        <x:v>44</x:v>
      </x:c>
      <x:c r="J2702" s="31" t="n">
        <x:v>4.6</x:v>
      </x:c>
      <x:c r="K2702" s="25" t="str">
        <x:f>IF(J2702&gt;=7,"Muy fuerte (&gt;=7)",IF(J2702&gt;=6,"Fuerte (6-6.9)",IF(J2702&gt;=5,"Moderado alto (5-5.9)",IF(J2702&gt;=4,"Moderado (4-4.9)","Menor a 4"))))</x:f>
        <x:v>Moderado (4-4.9)</x:v>
      </x:c>
      <x:c r="L2702" s="25" t="str">
        <x:f>IF(I2702&lt;70,"Superficial (&lt;70 km)",IF(I2702&lt;=300,"Intermedio (70-300 km)","Profundo (&gt;300 km)"))</x:f>
        <x:v>Superficial (&lt;70 km)</x:v>
      </x:c>
      <x:c r="M2702" s="25" t="str">
        <x:f>IF(J2702&gt;=5,"Sí","No")</x:f>
        <x:v>No</x:v>
      </x:c>
      <x:c r="N2702" s="25" t="str">
        <x:f>IF(J2702&gt;=6,"Sí","No")</x:f>
        <x:v>No</x:v>
      </x:c>
      <x:c r="O2702" s="25" t="str">
        <x:v>Pendiente: asignar con R/sf</x:v>
      </x:c>
    </x:row>
    <x:row r="2703">
      <x:c r="A2703" s="25" t="n">
        <x:v>2702</x:v>
      </x:c>
      <x:c r="B2703" s="26" t="n">
        <x:v>42396.55318287037</x:v>
      </x:c>
      <x:c r="C2703" s="27" t="n">
        <x:f>INT(B2703)</x:f>
        <x:v>42396</x:v>
      </x:c>
      <x:c r="D2703" s="28" t="n">
        <x:f>MOD(B2703,1)</x:f>
        <x:v>0.5531828703678912</x:v>
      </x:c>
      <x:c r="E2703" s="29" t="n">
        <x:f>YEAR(B2703)</x:f>
        <x:v>2016</x:v>
      </x:c>
      <x:c r="F2703" s="29" t="n">
        <x:f>MONTH(B2703)</x:f>
        <x:v>1</x:v>
      </x:c>
      <x:c r="G2703" s="30" t="n">
        <x:v>-30.66</x:v>
      </x:c>
      <x:c r="H2703" s="30" t="n">
        <x:v>-71.69</x:v>
      </x:c>
      <x:c r="I2703" s="29" t="n">
        <x:v>33</x:v>
      </x:c>
      <x:c r="J2703" s="31" t="n">
        <x:v>4.8</x:v>
      </x:c>
      <x:c r="K2703" s="25" t="str">
        <x:f>IF(J2703&gt;=7,"Muy fuerte (&gt;=7)",IF(J2703&gt;=6,"Fuerte (6-6.9)",IF(J2703&gt;=5,"Moderado alto (5-5.9)",IF(J2703&gt;=4,"Moderado (4-4.9)","Menor a 4"))))</x:f>
        <x:v>Moderado (4-4.9)</x:v>
      </x:c>
      <x:c r="L2703" s="25" t="str">
        <x:f>IF(I2703&lt;70,"Superficial (&lt;70 km)",IF(I2703&lt;=300,"Intermedio (70-300 km)","Profundo (&gt;300 km)"))</x:f>
        <x:v>Superficial (&lt;70 km)</x:v>
      </x:c>
      <x:c r="M2703" s="25" t="str">
        <x:f>IF(J2703&gt;=5,"Sí","No")</x:f>
        <x:v>No</x:v>
      </x:c>
      <x:c r="N2703" s="25" t="str">
        <x:f>IF(J2703&gt;=6,"Sí","No")</x:f>
        <x:v>No</x:v>
      </x:c>
      <x:c r="O2703" s="25" t="str">
        <x:v>Pendiente: asignar con R/sf</x:v>
      </x:c>
    </x:row>
    <x:row r="2704">
      <x:c r="A2704" s="25" t="n">
        <x:v>2703</x:v>
      </x:c>
      <x:c r="B2704" s="26" t="n">
        <x:v>42398.83837962963</x:v>
      </x:c>
      <x:c r="C2704" s="27" t="n">
        <x:f>INT(B2704)</x:f>
        <x:v>42398</x:v>
      </x:c>
      <x:c r="D2704" s="28" t="n">
        <x:f>MOD(B2704,1)</x:f>
        <x:v>0.838379629632982</x:v>
      </x:c>
      <x:c r="E2704" s="29" t="n">
        <x:f>YEAR(B2704)</x:f>
        <x:v>2016</x:v>
      </x:c>
      <x:c r="F2704" s="29" t="n">
        <x:f>MONTH(B2704)</x:f>
        <x:v>1</x:v>
      </x:c>
      <x:c r="G2704" s="30" t="n">
        <x:v>-30.36</x:v>
      </x:c>
      <x:c r="H2704" s="30" t="n">
        <x:v>-71.54</x:v>
      </x:c>
      <x:c r="I2704" s="29" t="n">
        <x:v>44</x:v>
      </x:c>
      <x:c r="J2704" s="31" t="n">
        <x:v>5.2</x:v>
      </x:c>
      <x:c r="K2704" s="25" t="str">
        <x:f>IF(J2704&gt;=7,"Muy fuerte (&gt;=7)",IF(J2704&gt;=6,"Fuerte (6-6.9)",IF(J2704&gt;=5,"Moderado alto (5-5.9)",IF(J2704&gt;=4,"Moderado (4-4.9)","Menor a 4"))))</x:f>
        <x:v>Moderado alto (5-5.9)</x:v>
      </x:c>
      <x:c r="L2704" s="25" t="str">
        <x:f>IF(I2704&lt;70,"Superficial (&lt;70 km)",IF(I2704&lt;=300,"Intermedio (70-300 km)","Profundo (&gt;300 km)"))</x:f>
        <x:v>Superficial (&lt;70 km)</x:v>
      </x:c>
      <x:c r="M2704" s="25" t="str">
        <x:f>IF(J2704&gt;=5,"Sí","No")</x:f>
        <x:v>Sí</x:v>
      </x:c>
      <x:c r="N2704" s="25" t="str">
        <x:f>IF(J2704&gt;=6,"Sí","No")</x:f>
        <x:v>No</x:v>
      </x:c>
      <x:c r="O2704" s="25" t="str">
        <x:v>Pendiente: asignar con R/sf</x:v>
      </x:c>
    </x:row>
    <x:row r="2705">
      <x:c r="A2705" s="25" t="n">
        <x:v>2704</x:v>
      </x:c>
      <x:c r="B2705" s="26" t="n">
        <x:v>42410.02296296296</x:v>
      </x:c>
      <x:c r="C2705" s="27" t="n">
        <x:f>INT(B2705)</x:f>
        <x:v>42410</x:v>
      </x:c>
      <x:c r="D2705" s="28" t="n">
        <x:f>MOD(B2705,1)</x:f>
        <x:v>0.022962962961173616</x:v>
      </x:c>
      <x:c r="E2705" s="29" t="n">
        <x:f>YEAR(B2705)</x:f>
        <x:v>2016</x:v>
      </x:c>
      <x:c r="F2705" s="29" t="n">
        <x:f>MONTH(B2705)</x:f>
        <x:v>2</x:v>
      </x:c>
      <x:c r="G2705" s="30" t="n">
        <x:v>-30.63</x:v>
      </x:c>
      <x:c r="H2705" s="30" t="n">
        <x:v>-71.65</x:v>
      </x:c>
      <x:c r="I2705" s="29" t="n">
        <x:v>37</x:v>
      </x:c>
      <x:c r="J2705" s="31" t="n">
        <x:v>6.4</x:v>
      </x:c>
      <x:c r="K2705" s="25" t="str">
        <x:f>IF(J2705&gt;=7,"Muy fuerte (&gt;=7)",IF(J2705&gt;=6,"Fuerte (6-6.9)",IF(J2705&gt;=5,"Moderado alto (5-5.9)",IF(J2705&gt;=4,"Moderado (4-4.9)","Menor a 4"))))</x:f>
        <x:v>Fuerte (6-6.9)</x:v>
      </x:c>
      <x:c r="L2705" s="25" t="str">
        <x:f>IF(I2705&lt;70,"Superficial (&lt;70 km)",IF(I2705&lt;=300,"Intermedio (70-300 km)","Profundo (&gt;300 km)"))</x:f>
        <x:v>Superficial (&lt;70 km)</x:v>
      </x:c>
      <x:c r="M2705" s="25" t="str">
        <x:f>IF(J2705&gt;=5,"Sí","No")</x:f>
        <x:v>Sí</x:v>
      </x:c>
      <x:c r="N2705" s="25" t="str">
        <x:f>IF(J2705&gt;=6,"Sí","No")</x:f>
        <x:v>Sí</x:v>
      </x:c>
      <x:c r="O2705" s="25" t="str">
        <x:v>Pendiente: asignar con R/sf</x:v>
      </x:c>
    </x:row>
    <x:row r="2706">
      <x:c r="A2706" s="25" t="n">
        <x:v>2705</x:v>
      </x:c>
      <x:c r="B2706" s="26" t="n">
        <x:v>42419.23134259259</x:v>
      </x:c>
      <x:c r="C2706" s="27" t="n">
        <x:f>INT(B2706)</x:f>
        <x:v>42419</x:v>
      </x:c>
      <x:c r="D2706" s="28" t="n">
        <x:f>MOD(B2706,1)</x:f>
        <x:v>0.23134259258949896</x:v>
      </x:c>
      <x:c r="E2706" s="29" t="n">
        <x:f>YEAR(B2706)</x:f>
        <x:v>2016</x:v>
      </x:c>
      <x:c r="F2706" s="29" t="n">
        <x:f>MONTH(B2706)</x:f>
        <x:v>2</x:v>
      </x:c>
      <x:c r="G2706" s="30" t="n">
        <x:v>-30.59</x:v>
      </x:c>
      <x:c r="H2706" s="30" t="n">
        <x:v>-71.69</x:v>
      </x:c>
      <x:c r="I2706" s="29" t="n">
        <x:v>36</x:v>
      </x:c>
      <x:c r="J2706" s="31" t="n">
        <x:v>5.4</x:v>
      </x:c>
      <x:c r="K2706" s="25" t="str">
        <x:f>IF(J2706&gt;=7,"Muy fuerte (&gt;=7)",IF(J2706&gt;=6,"Fuerte (6-6.9)",IF(J2706&gt;=5,"Moderado alto (5-5.9)",IF(J2706&gt;=4,"Moderado (4-4.9)","Menor a 4"))))</x:f>
        <x:v>Moderado alto (5-5.9)</x:v>
      </x:c>
      <x:c r="L2706" s="25" t="str">
        <x:f>IF(I2706&lt;70,"Superficial (&lt;70 km)",IF(I2706&lt;=300,"Intermedio (70-300 km)","Profundo (&gt;300 km)"))</x:f>
        <x:v>Superficial (&lt;70 km)</x:v>
      </x:c>
      <x:c r="M2706" s="25" t="str">
        <x:f>IF(J2706&gt;=5,"Sí","No")</x:f>
        <x:v>Sí</x:v>
      </x:c>
      <x:c r="N2706" s="25" t="str">
        <x:f>IF(J2706&gt;=6,"Sí","No")</x:f>
        <x:v>No</x:v>
      </x:c>
      <x:c r="O2706" s="25" t="str">
        <x:v>Pendiente: asignar con R/sf</x:v>
      </x:c>
    </x:row>
    <x:row r="2707">
      <x:c r="A2707" s="25" t="n">
        <x:v>2706</x:v>
      </x:c>
      <x:c r="B2707" s="26" t="n">
        <x:v>42422.27570601852</x:v>
      </x:c>
      <x:c r="C2707" s="27" t="n">
        <x:f>INT(B2707)</x:f>
        <x:v>42422</x:v>
      </x:c>
      <x:c r="D2707" s="28" t="n">
        <x:f>MOD(B2707,1)</x:f>
        <x:v>0.27570601851766696</x:v>
      </x:c>
      <x:c r="E2707" s="29" t="n">
        <x:f>YEAR(B2707)</x:f>
        <x:v>2016</x:v>
      </x:c>
      <x:c r="F2707" s="29" t="n">
        <x:f>MONTH(B2707)</x:f>
        <x:v>2</x:v>
      </x:c>
      <x:c r="G2707" s="30" t="n">
        <x:v>-30.49</x:v>
      </x:c>
      <x:c r="H2707" s="30" t="n">
        <x:v>-72.23</x:v>
      </x:c>
      <x:c r="I2707" s="29" t="n">
        <x:v>31</x:v>
      </x:c>
      <x:c r="J2707" s="31" t="n">
        <x:v>6</x:v>
      </x:c>
      <x:c r="K2707" s="25" t="str">
        <x:f>IF(J2707&gt;=7,"Muy fuerte (&gt;=7)",IF(J2707&gt;=6,"Fuerte (6-6.9)",IF(J2707&gt;=5,"Moderado alto (5-5.9)",IF(J2707&gt;=4,"Moderado (4-4.9)","Menor a 4"))))</x:f>
        <x:v>Fuerte (6-6.9)</x:v>
      </x:c>
      <x:c r="L2707" s="25" t="str">
        <x:f>IF(I2707&lt;70,"Superficial (&lt;70 km)",IF(I2707&lt;=300,"Intermedio (70-300 km)","Profundo (&gt;300 km)"))</x:f>
        <x:v>Superficial (&lt;70 km)</x:v>
      </x:c>
      <x:c r="M2707" s="25" t="str">
        <x:f>IF(J2707&gt;=5,"Sí","No")</x:f>
        <x:v>Sí</x:v>
      </x:c>
      <x:c r="N2707" s="25" t="str">
        <x:f>IF(J2707&gt;=6,"Sí","No")</x:f>
        <x:v>Sí</x:v>
      </x:c>
      <x:c r="O2707" s="25" t="str">
        <x:v>Pendiente: asignar con R/sf</x:v>
      </x:c>
    </x:row>
    <x:row r="2708">
      <x:c r="A2708" s="25" t="n">
        <x:v>2707</x:v>
      </x:c>
      <x:c r="B2708" s="26" t="n">
        <x:v>42425.47769675926</x:v>
      </x:c>
      <x:c r="C2708" s="27" t="n">
        <x:f>INT(B2708)</x:f>
        <x:v>42425</x:v>
      </x:c>
      <x:c r="D2708" s="28" t="n">
        <x:f>MOD(B2708,1)</x:f>
        <x:v>0.47769675926247146</x:v>
      </x:c>
      <x:c r="E2708" s="29" t="n">
        <x:f>YEAR(B2708)</x:f>
        <x:v>2016</x:v>
      </x:c>
      <x:c r="F2708" s="29" t="n">
        <x:f>MONTH(B2708)</x:f>
        <x:v>2</x:v>
      </x:c>
      <x:c r="G2708" s="30" t="n">
        <x:v>-30.77</x:v>
      </x:c>
      <x:c r="H2708" s="30" t="n">
        <x:v>-71.38</x:v>
      </x:c>
      <x:c r="I2708" s="29" t="n">
        <x:v>45</x:v>
      </x:c>
      <x:c r="J2708" s="31" t="n">
        <x:v>4.7</x:v>
      </x:c>
      <x:c r="K2708" s="25" t="str">
        <x:f>IF(J2708&gt;=7,"Muy fuerte (&gt;=7)",IF(J2708&gt;=6,"Fuerte (6-6.9)",IF(J2708&gt;=5,"Moderado alto (5-5.9)",IF(J2708&gt;=4,"Moderado (4-4.9)","Menor a 4"))))</x:f>
        <x:v>Moderado (4-4.9)</x:v>
      </x:c>
      <x:c r="L2708" s="25" t="str">
        <x:f>IF(I2708&lt;70,"Superficial (&lt;70 km)",IF(I2708&lt;=300,"Intermedio (70-300 km)","Profundo (&gt;300 km)"))</x:f>
        <x:v>Superficial (&lt;70 km)</x:v>
      </x:c>
      <x:c r="M2708" s="25" t="str">
        <x:f>IF(J2708&gt;=5,"Sí","No")</x:f>
        <x:v>No</x:v>
      </x:c>
      <x:c r="N2708" s="25" t="str">
        <x:f>IF(J2708&gt;=6,"Sí","No")</x:f>
        <x:v>No</x:v>
      </x:c>
      <x:c r="O2708" s="25" t="str">
        <x:v>Pendiente: asignar con R/sf</x:v>
      </x:c>
    </x:row>
    <x:row r="2709">
      <x:c r="A2709" s="25" t="n">
        <x:v>2708</x:v>
      </x:c>
      <x:c r="B2709" s="26" t="n">
        <x:v>42438.40329861111</x:v>
      </x:c>
      <x:c r="C2709" s="27" t="n">
        <x:f>INT(B2709)</x:f>
        <x:v>42438</x:v>
      </x:c>
      <x:c r="D2709" s="28" t="n">
        <x:f>MOD(B2709,1)</x:f>
        <x:v>0.4032986111124046</x:v>
      </x:c>
      <x:c r="E2709" s="29" t="n">
        <x:f>YEAR(B2709)</x:f>
        <x:v>2016</x:v>
      </x:c>
      <x:c r="F2709" s="29" t="n">
        <x:f>MONTH(B2709)</x:f>
        <x:v>3</x:v>
      </x:c>
      <x:c r="G2709" s="30" t="n">
        <x:v>-30.72</x:v>
      </x:c>
      <x:c r="H2709" s="30" t="n">
        <x:v>-71.4</x:v>
      </x:c>
      <x:c r="I2709" s="29" t="n">
        <x:v>42</x:v>
      </x:c>
      <x:c r="J2709" s="31" t="n">
        <x:v>4.4</x:v>
      </x:c>
      <x:c r="K2709" s="25" t="str">
        <x:f>IF(J2709&gt;=7,"Muy fuerte (&gt;=7)",IF(J2709&gt;=6,"Fuerte (6-6.9)",IF(J2709&gt;=5,"Moderado alto (5-5.9)",IF(J2709&gt;=4,"Moderado (4-4.9)","Menor a 4"))))</x:f>
        <x:v>Moderado (4-4.9)</x:v>
      </x:c>
      <x:c r="L2709" s="25" t="str">
        <x:f>IF(I2709&lt;70,"Superficial (&lt;70 km)",IF(I2709&lt;=300,"Intermedio (70-300 km)","Profundo (&gt;300 km)"))</x:f>
        <x:v>Superficial (&lt;70 km)</x:v>
      </x:c>
      <x:c r="M2709" s="25" t="str">
        <x:f>IF(J2709&gt;=5,"Sí","No")</x:f>
        <x:v>No</x:v>
      </x:c>
      <x:c r="N2709" s="25" t="str">
        <x:f>IF(J2709&gt;=6,"Sí","No")</x:f>
        <x:v>No</x:v>
      </x:c>
      <x:c r="O2709" s="25" t="str">
        <x:v>Pendiente: asignar con R/sf</x:v>
      </x:c>
    </x:row>
    <x:row r="2710">
      <x:c r="A2710" s="25" t="n">
        <x:v>2709</x:v>
      </x:c>
      <x:c r="B2710" s="26" t="n">
        <x:v>42438.56123842593</x:v>
      </x:c>
      <x:c r="C2710" s="27" t="n">
        <x:f>INT(B2710)</x:f>
        <x:v>42438</x:v>
      </x:c>
      <x:c r="D2710" s="28" t="n">
        <x:f>MOD(B2710,1)</x:f>
        <x:v>0.5612384259293322</x:v>
      </x:c>
      <x:c r="E2710" s="29" t="n">
        <x:f>YEAR(B2710)</x:f>
        <x:v>2016</x:v>
      </x:c>
      <x:c r="F2710" s="29" t="n">
        <x:f>MONTH(B2710)</x:f>
        <x:v>3</x:v>
      </x:c>
      <x:c r="G2710" s="30" t="n">
        <x:v>-30.44</x:v>
      </x:c>
      <x:c r="H2710" s="30" t="n">
        <x:v>-71.31</x:v>
      </x:c>
      <x:c r="I2710" s="29" t="n">
        <x:v>55</x:v>
      </x:c>
      <x:c r="J2710" s="31" t="n">
        <x:v>5.1</x:v>
      </x:c>
      <x:c r="K2710" s="25" t="str">
        <x:f>IF(J2710&gt;=7,"Muy fuerte (&gt;=7)",IF(J2710&gt;=6,"Fuerte (6-6.9)",IF(J2710&gt;=5,"Moderado alto (5-5.9)",IF(J2710&gt;=4,"Moderado (4-4.9)","Menor a 4"))))</x:f>
        <x:v>Moderado alto (5-5.9)</x:v>
      </x:c>
      <x:c r="L2710" s="25" t="str">
        <x:f>IF(I2710&lt;70,"Superficial (&lt;70 km)",IF(I2710&lt;=300,"Intermedio (70-300 km)","Profundo (&gt;300 km)"))</x:f>
        <x:v>Superficial (&lt;70 km)</x:v>
      </x:c>
      <x:c r="M2710" s="25" t="str">
        <x:f>IF(J2710&gt;=5,"Sí","No")</x:f>
        <x:v>Sí</x:v>
      </x:c>
      <x:c r="N2710" s="25" t="str">
        <x:f>IF(J2710&gt;=6,"Sí","No")</x:f>
        <x:v>No</x:v>
      </x:c>
      <x:c r="O2710" s="25" t="str">
        <x:v>Pendiente: asignar con R/sf</x:v>
      </x:c>
    </x:row>
    <x:row r="2711">
      <x:c r="A2711" s="25" t="n">
        <x:v>2710</x:v>
      </x:c>
      <x:c r="B2711" s="26" t="n">
        <x:v>42441.6703125</x:v>
      </x:c>
      <x:c r="C2711" s="27" t="n">
        <x:f>INT(B2711)</x:f>
        <x:v>42441</x:v>
      </x:c>
      <x:c r="D2711" s="28" t="n">
        <x:f>MOD(B2711,1)</x:f>
        <x:v>0.6703124999985448</x:v>
      </x:c>
      <x:c r="E2711" s="29" t="n">
        <x:f>YEAR(B2711)</x:f>
        <x:v>2016</x:v>
      </x:c>
      <x:c r="F2711" s="29" t="n">
        <x:f>MONTH(B2711)</x:f>
        <x:v>3</x:v>
      </x:c>
      <x:c r="G2711" s="30" t="n">
        <x:v>-30.31</x:v>
      </x:c>
      <x:c r="H2711" s="30" t="n">
        <x:v>-71.54</x:v>
      </x:c>
      <x:c r="I2711" s="29" t="n">
        <x:v>45</x:v>
      </x:c>
      <x:c r="J2711" s="31" t="n">
        <x:v>5.2</x:v>
      </x:c>
      <x:c r="K2711" s="25" t="str">
        <x:f>IF(J2711&gt;=7,"Muy fuerte (&gt;=7)",IF(J2711&gt;=6,"Fuerte (6-6.9)",IF(J2711&gt;=5,"Moderado alto (5-5.9)",IF(J2711&gt;=4,"Moderado (4-4.9)","Menor a 4"))))</x:f>
        <x:v>Moderado alto (5-5.9)</x:v>
      </x:c>
      <x:c r="L2711" s="25" t="str">
        <x:f>IF(I2711&lt;70,"Superficial (&lt;70 km)",IF(I2711&lt;=300,"Intermedio (70-300 km)","Profundo (&gt;300 km)"))</x:f>
        <x:v>Superficial (&lt;70 km)</x:v>
      </x:c>
      <x:c r="M2711" s="25" t="str">
        <x:f>IF(J2711&gt;=5,"Sí","No")</x:f>
        <x:v>Sí</x:v>
      </x:c>
      <x:c r="N2711" s="25" t="str">
        <x:f>IF(J2711&gt;=6,"Sí","No")</x:f>
        <x:v>No</x:v>
      </x:c>
      <x:c r="O2711" s="25" t="str">
        <x:v>Pendiente: asignar con R/sf</x:v>
      </x:c>
    </x:row>
    <x:row r="2712">
      <x:c r="A2712" s="25" t="n">
        <x:v>2711</x:v>
      </x:c>
      <x:c r="B2712" s="26" t="n">
        <x:v>42443.434953703705</x:v>
      </x:c>
      <x:c r="C2712" s="27" t="n">
        <x:f>INT(B2712)</x:f>
        <x:v>42443</x:v>
      </x:c>
      <x:c r="D2712" s="28" t="n">
        <x:f>MOD(B2712,1)</x:f>
        <x:v>0.434953703705105</x:v>
      </x:c>
      <x:c r="E2712" s="29" t="n">
        <x:f>YEAR(B2712)</x:f>
        <x:v>2016</x:v>
      </x:c>
      <x:c r="F2712" s="29" t="n">
        <x:f>MONTH(B2712)</x:f>
        <x:v>3</x:v>
      </x:c>
      <x:c r="G2712" s="30" t="n">
        <x:v>-32.35</x:v>
      </x:c>
      <x:c r="H2712" s="30" t="n">
        <x:v>-71.61</x:v>
      </x:c>
      <x:c r="I2712" s="29" t="n">
        <x:v>40</x:v>
      </x:c>
      <x:c r="J2712" s="31" t="n">
        <x:v>4.5</x:v>
      </x:c>
      <x:c r="K2712" s="25" t="str">
        <x:f>IF(J2712&gt;=7,"Muy fuerte (&gt;=7)",IF(J2712&gt;=6,"Fuerte (6-6.9)",IF(J2712&gt;=5,"Moderado alto (5-5.9)",IF(J2712&gt;=4,"Moderado (4-4.9)","Menor a 4"))))</x:f>
        <x:v>Moderado (4-4.9)</x:v>
      </x:c>
      <x:c r="L2712" s="25" t="str">
        <x:f>IF(I2712&lt;70,"Superficial (&lt;70 km)",IF(I2712&lt;=300,"Intermedio (70-300 km)","Profundo (&gt;300 km)"))</x:f>
        <x:v>Superficial (&lt;70 km)</x:v>
      </x:c>
      <x:c r="M2712" s="25" t="str">
        <x:f>IF(J2712&gt;=5,"Sí","No")</x:f>
        <x:v>No</x:v>
      </x:c>
      <x:c r="N2712" s="25" t="str">
        <x:f>IF(J2712&gt;=6,"Sí","No")</x:f>
        <x:v>No</x:v>
      </x:c>
      <x:c r="O2712" s="25" t="str">
        <x:v>Pendiente: asignar con R/sf</x:v>
      </x:c>
    </x:row>
    <x:row r="2713">
      <x:c r="A2713" s="25" t="n">
        <x:v>2712</x:v>
      </x:c>
      <x:c r="B2713" s="26" t="n">
        <x:v>42445.15938657407</x:v>
      </x:c>
      <x:c r="C2713" s="27" t="n">
        <x:f>INT(B2713)</x:f>
        <x:v>42445</x:v>
      </x:c>
      <x:c r="D2713" s="28" t="n">
        <x:f>MOD(B2713,1)</x:f>
        <x:v>0.15938657407241408</x:v>
      </x:c>
      <x:c r="E2713" s="29" t="n">
        <x:f>YEAR(B2713)</x:f>
        <x:v>2016</x:v>
      </x:c>
      <x:c r="F2713" s="29" t="n">
        <x:f>MONTH(B2713)</x:f>
        <x:v>3</x:v>
      </x:c>
      <x:c r="G2713" s="30" t="n">
        <x:v>-31.27</x:v>
      </x:c>
      <x:c r="H2713" s="30" t="n">
        <x:v>-71.88</x:v>
      </x:c>
      <x:c r="I2713" s="29" t="n">
        <x:v>30</x:v>
      </x:c>
      <x:c r="J2713" s="31" t="n">
        <x:v>5.6</x:v>
      </x:c>
      <x:c r="K2713" s="25" t="str">
        <x:f>IF(J2713&gt;=7,"Muy fuerte (&gt;=7)",IF(J2713&gt;=6,"Fuerte (6-6.9)",IF(J2713&gt;=5,"Moderado alto (5-5.9)",IF(J2713&gt;=4,"Moderado (4-4.9)","Menor a 4"))))</x:f>
        <x:v>Moderado alto (5-5.9)</x:v>
      </x:c>
      <x:c r="L2713" s="25" t="str">
        <x:f>IF(I2713&lt;70,"Superficial (&lt;70 km)",IF(I2713&lt;=300,"Intermedio (70-300 km)","Profundo (&gt;300 km)"))</x:f>
        <x:v>Superficial (&lt;70 km)</x:v>
      </x:c>
      <x:c r="M2713" s="25" t="str">
        <x:f>IF(J2713&gt;=5,"Sí","No")</x:f>
        <x:v>Sí</x:v>
      </x:c>
      <x:c r="N2713" s="25" t="str">
        <x:f>IF(J2713&gt;=6,"Sí","No")</x:f>
        <x:v>No</x:v>
      </x:c>
      <x:c r="O2713" s="25" t="str">
        <x:v>Pendiente: asignar con R/sf</x:v>
      </x:c>
    </x:row>
    <x:row r="2714">
      <x:c r="A2714" s="25" t="n">
        <x:v>2713</x:v>
      </x:c>
      <x:c r="B2714" s="26" t="n">
        <x:v>42454.335648148146</x:v>
      </x:c>
      <x:c r="C2714" s="27" t="n">
        <x:f>INT(B2714)</x:f>
        <x:v>42454</x:v>
      </x:c>
      <x:c r="D2714" s="28" t="n">
        <x:f>MOD(B2714,1)</x:f>
        <x:v>0.3356481481459923</x:v>
      </x:c>
      <x:c r="E2714" s="29" t="n">
        <x:f>YEAR(B2714)</x:f>
        <x:v>2016</x:v>
      </x:c>
      <x:c r="F2714" s="29" t="n">
        <x:f>MONTH(B2714)</x:f>
        <x:v>3</x:v>
      </x:c>
      <x:c r="G2714" s="30" t="n">
        <x:v>-30.69</x:v>
      </x:c>
      <x:c r="H2714" s="30" t="n">
        <x:v>-71.43</x:v>
      </x:c>
      <x:c r="I2714" s="29" t="n">
        <x:v>51</x:v>
      </x:c>
      <x:c r="J2714" s="31" t="n">
        <x:v>4.8</x:v>
      </x:c>
      <x:c r="K2714" s="25" t="str">
        <x:f>IF(J2714&gt;=7,"Muy fuerte (&gt;=7)",IF(J2714&gt;=6,"Fuerte (6-6.9)",IF(J2714&gt;=5,"Moderado alto (5-5.9)",IF(J2714&gt;=4,"Moderado (4-4.9)","Menor a 4"))))</x:f>
        <x:v>Moderado (4-4.9)</x:v>
      </x:c>
      <x:c r="L2714" s="25" t="str">
        <x:f>IF(I2714&lt;70,"Superficial (&lt;70 km)",IF(I2714&lt;=300,"Intermedio (70-300 km)","Profundo (&gt;300 km)"))</x:f>
        <x:v>Superficial (&lt;70 km)</x:v>
      </x:c>
      <x:c r="M2714" s="25" t="str">
        <x:f>IF(J2714&gt;=5,"Sí","No")</x:f>
        <x:v>No</x:v>
      </x:c>
      <x:c r="N2714" s="25" t="str">
        <x:f>IF(J2714&gt;=6,"Sí","No")</x:f>
        <x:v>No</x:v>
      </x:c>
      <x:c r="O2714" s="25" t="str">
        <x:v>Pendiente: asignar con R/sf</x:v>
      </x:c>
    </x:row>
    <x:row r="2715">
      <x:c r="A2715" s="25" t="n">
        <x:v>2714</x:v>
      </x:c>
      <x:c r="B2715" s="26" t="n">
        <x:v>42455.372569444444</x:v>
      </x:c>
      <x:c r="C2715" s="27" t="n">
        <x:f>INT(B2715)</x:f>
        <x:v>42455</x:v>
      </x:c>
      <x:c r="D2715" s="28" t="n">
        <x:f>MOD(B2715,1)</x:f>
        <x:v>0.3725694444437977</x:v>
      </x:c>
      <x:c r="E2715" s="29" t="n">
        <x:f>YEAR(B2715)</x:f>
        <x:v>2016</x:v>
      </x:c>
      <x:c r="F2715" s="29" t="n">
        <x:f>MONTH(B2715)</x:f>
        <x:v>3</x:v>
      </x:c>
      <x:c r="G2715" s="30" t="n">
        <x:v>-30.73</x:v>
      </x:c>
      <x:c r="H2715" s="30" t="n">
        <x:v>-71.45</x:v>
      </x:c>
      <x:c r="I2715" s="29" t="n">
        <x:v>51</x:v>
      </x:c>
      <x:c r="J2715" s="31" t="n">
        <x:v>4.5</x:v>
      </x:c>
      <x:c r="K2715" s="25" t="str">
        <x:f>IF(J2715&gt;=7,"Muy fuerte (&gt;=7)",IF(J2715&gt;=6,"Fuerte (6-6.9)",IF(J2715&gt;=5,"Moderado alto (5-5.9)",IF(J2715&gt;=4,"Moderado (4-4.9)","Menor a 4"))))</x:f>
        <x:v>Moderado (4-4.9)</x:v>
      </x:c>
      <x:c r="L2715" s="25" t="str">
        <x:f>IF(I2715&lt;70,"Superficial (&lt;70 km)",IF(I2715&lt;=300,"Intermedio (70-300 km)","Profundo (&gt;300 km)"))</x:f>
        <x:v>Superficial (&lt;70 km)</x:v>
      </x:c>
      <x:c r="M2715" s="25" t="str">
        <x:f>IF(J2715&gt;=5,"Sí","No")</x:f>
        <x:v>No</x:v>
      </x:c>
      <x:c r="N2715" s="25" t="str">
        <x:f>IF(J2715&gt;=6,"Sí","No")</x:f>
        <x:v>No</x:v>
      </x:c>
      <x:c r="O2715" s="25" t="str">
        <x:v>Pendiente: asignar con R/sf</x:v>
      </x:c>
    </x:row>
    <x:row r="2716">
      <x:c r="A2716" s="25" t="n">
        <x:v>2715</x:v>
      </x:c>
      <x:c r="B2716" s="26" t="n">
        <x:v>42456.01938657407</x:v>
      </x:c>
      <x:c r="C2716" s="27" t="n">
        <x:f>INT(B2716)</x:f>
        <x:v>42456</x:v>
      </x:c>
      <x:c r="D2716" s="28" t="n">
        <x:f>MOD(B2716,1)</x:f>
        <x:v>0.019386574072996154</x:v>
      </x:c>
      <x:c r="E2716" s="29" t="n">
        <x:f>YEAR(B2716)</x:f>
        <x:v>2016</x:v>
      </x:c>
      <x:c r="F2716" s="29" t="n">
        <x:f>MONTH(B2716)</x:f>
        <x:v>3</x:v>
      </x:c>
      <x:c r="G2716" s="30" t="n">
        <x:v>-30.43</x:v>
      </x:c>
      <x:c r="H2716" s="30" t="n">
        <x:v>-71.64</x:v>
      </x:c>
      <x:c r="I2716" s="29" t="n">
        <x:v>25</x:v>
      </x:c>
      <x:c r="J2716" s="31" t="n">
        <x:v>4.5</x:v>
      </x:c>
      <x:c r="K2716" s="25" t="str">
        <x:f>IF(J2716&gt;=7,"Muy fuerte (&gt;=7)",IF(J2716&gt;=6,"Fuerte (6-6.9)",IF(J2716&gt;=5,"Moderado alto (5-5.9)",IF(J2716&gt;=4,"Moderado (4-4.9)","Menor a 4"))))</x:f>
        <x:v>Moderado (4-4.9)</x:v>
      </x:c>
      <x:c r="L2716" s="25" t="str">
        <x:f>IF(I2716&lt;70,"Superficial (&lt;70 km)",IF(I2716&lt;=300,"Intermedio (70-300 km)","Profundo (&gt;300 km)"))</x:f>
        <x:v>Superficial (&lt;70 km)</x:v>
      </x:c>
      <x:c r="M2716" s="25" t="str">
        <x:f>IF(J2716&gt;=5,"Sí","No")</x:f>
        <x:v>No</x:v>
      </x:c>
      <x:c r="N2716" s="25" t="str">
        <x:f>IF(J2716&gt;=6,"Sí","No")</x:f>
        <x:v>No</x:v>
      </x:c>
      <x:c r="O2716" s="25" t="str">
        <x:v>Pendiente: asignar con R/sf</x:v>
      </x:c>
    </x:row>
    <x:row r="2717">
      <x:c r="A2717" s="25" t="n">
        <x:v>2716</x:v>
      </x:c>
      <x:c r="B2717" s="26" t="n">
        <x:v>42463.251435185186</x:v>
      </x:c>
      <x:c r="C2717" s="27" t="n">
        <x:f>INT(B2717)</x:f>
        <x:v>42463</x:v>
      </x:c>
      <x:c r="D2717" s="28" t="n">
        <x:f>MOD(B2717,1)</x:f>
        <x:v>0.25143518518598285</x:v>
      </x:c>
      <x:c r="E2717" s="29" t="n">
        <x:f>YEAR(B2717)</x:f>
        <x:v>2016</x:v>
      </x:c>
      <x:c r="F2717" s="29" t="n">
        <x:f>MONTH(B2717)</x:f>
        <x:v>4</x:v>
      </x:c>
      <x:c r="G2717" s="30" t="n">
        <x:v>-28.98</x:v>
      </x:c>
      <x:c r="H2717" s="30" t="n">
        <x:v>-70.16</x:v>
      </x:c>
      <x:c r="I2717" s="29" t="n">
        <x:v>108</x:v>
      </x:c>
      <x:c r="J2717" s="31" t="n">
        <x:v>4.7</x:v>
      </x:c>
      <x:c r="K2717" s="25" t="str">
        <x:f>IF(J2717&gt;=7,"Muy fuerte (&gt;=7)",IF(J2717&gt;=6,"Fuerte (6-6.9)",IF(J2717&gt;=5,"Moderado alto (5-5.9)",IF(J2717&gt;=4,"Moderado (4-4.9)","Menor a 4"))))</x:f>
        <x:v>Moderado (4-4.9)</x:v>
      </x:c>
      <x:c r="L2717" s="25" t="str">
        <x:f>IF(I2717&lt;70,"Superficial (&lt;70 km)",IF(I2717&lt;=300,"Intermedio (70-300 km)","Profundo (&gt;300 km)"))</x:f>
        <x:v>Intermedio (70-300 km)</x:v>
      </x:c>
      <x:c r="M2717" s="25" t="str">
        <x:f>IF(J2717&gt;=5,"Sí","No")</x:f>
        <x:v>No</x:v>
      </x:c>
      <x:c r="N2717" s="25" t="str">
        <x:f>IF(J2717&gt;=6,"Sí","No")</x:f>
        <x:v>No</x:v>
      </x:c>
      <x:c r="O2717" s="25" t="str">
        <x:v>Pendiente: asignar con R/sf</x:v>
      </x:c>
    </x:row>
    <x:row r="2718">
      <x:c r="A2718" s="25" t="n">
        <x:v>2717</x:v>
      </x:c>
      <x:c r="B2718" s="26" t="n">
        <x:v>42464.522731481484</x:v>
      </x:c>
      <x:c r="C2718" s="27" t="n">
        <x:f>INT(B2718)</x:f>
        <x:v>42464</x:v>
      </x:c>
      <x:c r="D2718" s="28" t="n">
        <x:f>MOD(B2718,1)</x:f>
        <x:v>0.5227314814837882</x:v>
      </x:c>
      <x:c r="E2718" s="29" t="n">
        <x:f>YEAR(B2718)</x:f>
        <x:v>2016</x:v>
      </x:c>
      <x:c r="F2718" s="29" t="n">
        <x:f>MONTH(B2718)</x:f>
        <x:v>4</x:v>
      </x:c>
      <x:c r="G2718" s="30" t="n">
        <x:v>-31.25</x:v>
      </x:c>
      <x:c r="H2718" s="30" t="n">
        <x:v>-71.84</x:v>
      </x:c>
      <x:c r="I2718" s="29" t="n">
        <x:v>36</x:v>
      </x:c>
      <x:c r="J2718" s="31" t="n">
        <x:v>5.2</x:v>
      </x:c>
      <x:c r="K2718" s="25" t="str">
        <x:f>IF(J2718&gt;=7,"Muy fuerte (&gt;=7)",IF(J2718&gt;=6,"Fuerte (6-6.9)",IF(J2718&gt;=5,"Moderado alto (5-5.9)",IF(J2718&gt;=4,"Moderado (4-4.9)","Menor a 4"))))</x:f>
        <x:v>Moderado alto (5-5.9)</x:v>
      </x:c>
      <x:c r="L2718" s="25" t="str">
        <x:f>IF(I2718&lt;70,"Superficial (&lt;70 km)",IF(I2718&lt;=300,"Intermedio (70-300 km)","Profundo (&gt;300 km)"))</x:f>
        <x:v>Superficial (&lt;70 km)</x:v>
      </x:c>
      <x:c r="M2718" s="25" t="str">
        <x:f>IF(J2718&gt;=5,"Sí","No")</x:f>
        <x:v>Sí</x:v>
      </x:c>
      <x:c r="N2718" s="25" t="str">
        <x:f>IF(J2718&gt;=6,"Sí","No")</x:f>
        <x:v>No</x:v>
      </x:c>
      <x:c r="O2718" s="25" t="str">
        <x:v>Pendiente: asignar con R/sf</x:v>
      </x:c>
    </x:row>
    <x:row r="2719">
      <x:c r="A2719" s="25" t="n">
        <x:v>2718</x:v>
      </x:c>
      <x:c r="B2719" s="26" t="n">
        <x:v>42464.96686342593</x:v>
      </x:c>
      <x:c r="C2719" s="27" t="n">
        <x:f>INT(B2719)</x:f>
        <x:v>42464</x:v>
      </x:c>
      <x:c r="D2719" s="28" t="n">
        <x:f>MOD(B2719,1)</x:f>
        <x:v>0.9668634259287501</x:v>
      </x:c>
      <x:c r="E2719" s="29" t="n">
        <x:f>YEAR(B2719)</x:f>
        <x:v>2016</x:v>
      </x:c>
      <x:c r="F2719" s="29" t="n">
        <x:f>MONTH(B2719)</x:f>
        <x:v>4</x:v>
      </x:c>
      <x:c r="G2719" s="30" t="n">
        <x:v>-30.8</x:v>
      </x:c>
      <x:c r="H2719" s="30" t="n">
        <x:v>-71.32</x:v>
      </x:c>
      <x:c r="I2719" s="29" t="n">
        <x:v>41</x:v>
      </x:c>
      <x:c r="J2719" s="31" t="n">
        <x:v>4.6</x:v>
      </x:c>
      <x:c r="K2719" s="25" t="str">
        <x:f>IF(J2719&gt;=7,"Muy fuerte (&gt;=7)",IF(J2719&gt;=6,"Fuerte (6-6.9)",IF(J2719&gt;=5,"Moderado alto (5-5.9)",IF(J2719&gt;=4,"Moderado (4-4.9)","Menor a 4"))))</x:f>
        <x:v>Moderado (4-4.9)</x:v>
      </x:c>
      <x:c r="L2719" s="25" t="str">
        <x:f>IF(I2719&lt;70,"Superficial (&lt;70 km)",IF(I2719&lt;=300,"Intermedio (70-300 km)","Profundo (&gt;300 km)"))</x:f>
        <x:v>Superficial (&lt;70 km)</x:v>
      </x:c>
      <x:c r="M2719" s="25" t="str">
        <x:f>IF(J2719&gt;=5,"Sí","No")</x:f>
        <x:v>No</x:v>
      </x:c>
      <x:c r="N2719" s="25" t="str">
        <x:f>IF(J2719&gt;=6,"Sí","No")</x:f>
        <x:v>No</x:v>
      </x:c>
      <x:c r="O2719" s="25" t="str">
        <x:v>Pendiente: asignar con R/sf</x:v>
      </x:c>
    </x:row>
    <x:row r="2720">
      <x:c r="A2720" s="25" t="n">
        <x:v>2719</x:v>
      </x:c>
      <x:c r="B2720" s="26" t="n">
        <x:v>42466.733078703706</x:v>
      </x:c>
      <x:c r="C2720" s="27" t="n">
        <x:f>INT(B2720)</x:f>
        <x:v>42466</x:v>
      </x:c>
      <x:c r="D2720" s="28" t="n">
        <x:f>MOD(B2720,1)</x:f>
        <x:v>0.7330787037062692</x:v>
      </x:c>
      <x:c r="E2720" s="29" t="n">
        <x:f>YEAR(B2720)</x:f>
        <x:v>2016</x:v>
      </x:c>
      <x:c r="F2720" s="29" t="n">
        <x:f>MONTH(B2720)</x:f>
        <x:v>4</x:v>
      </x:c>
      <x:c r="G2720" s="30" t="n">
        <x:v>-31.51</x:v>
      </x:c>
      <x:c r="H2720" s="30" t="n">
        <x:v>-71.67</x:v>
      </x:c>
      <x:c r="I2720" s="29" t="n">
        <x:v>36</x:v>
      </x:c>
      <x:c r="J2720" s="31" t="n">
        <x:v>5.2</x:v>
      </x:c>
      <x:c r="K2720" s="25" t="str">
        <x:f>IF(J2720&gt;=7,"Muy fuerte (&gt;=7)",IF(J2720&gt;=6,"Fuerte (6-6.9)",IF(J2720&gt;=5,"Moderado alto (5-5.9)",IF(J2720&gt;=4,"Moderado (4-4.9)","Menor a 4"))))</x:f>
        <x:v>Moderado alto (5-5.9)</x:v>
      </x:c>
      <x:c r="L2720" s="25" t="str">
        <x:f>IF(I2720&lt;70,"Superficial (&lt;70 km)",IF(I2720&lt;=300,"Intermedio (70-300 km)","Profundo (&gt;300 km)"))</x:f>
        <x:v>Superficial (&lt;70 km)</x:v>
      </x:c>
      <x:c r="M2720" s="25" t="str">
        <x:f>IF(J2720&gt;=5,"Sí","No")</x:f>
        <x:v>Sí</x:v>
      </x:c>
      <x:c r="N2720" s="25" t="str">
        <x:f>IF(J2720&gt;=6,"Sí","No")</x:f>
        <x:v>No</x:v>
      </x:c>
      <x:c r="O2720" s="25" t="str">
        <x:v>Pendiente: asignar con R/sf</x:v>
      </x:c>
    </x:row>
    <x:row r="2721">
      <x:c r="A2721" s="25" t="n">
        <x:v>2720</x:v>
      </x:c>
      <x:c r="B2721" s="26" t="n">
        <x:v>42474.40189814815</x:v>
      </x:c>
      <x:c r="C2721" s="27" t="n">
        <x:f>INT(B2721)</x:f>
        <x:v>42474</x:v>
      </x:c>
      <x:c r="D2721" s="28" t="n">
        <x:f>MOD(B2721,1)</x:f>
        <x:v>0.40189814814948477</x:v>
      </x:c>
      <x:c r="E2721" s="29" t="n">
        <x:f>YEAR(B2721)</x:f>
        <x:v>2016</x:v>
      </x:c>
      <x:c r="F2721" s="29" t="n">
        <x:f>MONTH(B2721)</x:f>
        <x:v>4</x:v>
      </x:c>
      <x:c r="G2721" s="30" t="n">
        <x:v>-33.86</x:v>
      </x:c>
      <x:c r="H2721" s="30" t="n">
        <x:v>-70.44</x:v>
      </x:c>
      <x:c r="I2721" s="29" t="n">
        <x:v>118</x:v>
      </x:c>
      <x:c r="J2721" s="31" t="n">
        <x:v>5.3</x:v>
      </x:c>
      <x:c r="K2721" s="25" t="str">
        <x:f>IF(J2721&gt;=7,"Muy fuerte (&gt;=7)",IF(J2721&gt;=6,"Fuerte (6-6.9)",IF(J2721&gt;=5,"Moderado alto (5-5.9)",IF(J2721&gt;=4,"Moderado (4-4.9)","Menor a 4"))))</x:f>
        <x:v>Moderado alto (5-5.9)</x:v>
      </x:c>
      <x:c r="L2721" s="25" t="str">
        <x:f>IF(I2721&lt;70,"Superficial (&lt;70 km)",IF(I2721&lt;=300,"Intermedio (70-300 km)","Profundo (&gt;300 km)"))</x:f>
        <x:v>Intermedio (70-300 km)</x:v>
      </x:c>
      <x:c r="M2721" s="25" t="str">
        <x:f>IF(J2721&gt;=5,"Sí","No")</x:f>
        <x:v>Sí</x:v>
      </x:c>
      <x:c r="N2721" s="25" t="str">
        <x:f>IF(J2721&gt;=6,"Sí","No")</x:f>
        <x:v>No</x:v>
      </x:c>
      <x:c r="O2721" s="25" t="str">
        <x:v>Pendiente: asignar con R/sf</x:v>
      </x:c>
    </x:row>
    <x:row r="2722">
      <x:c r="A2722" s="25" t="n">
        <x:v>2721</x:v>
      </x:c>
      <x:c r="B2722" s="26" t="n">
        <x:v>42474.73954861111</x:v>
      </x:c>
      <x:c r="C2722" s="27" t="n">
        <x:f>INT(B2722)</x:f>
        <x:v>42474</x:v>
      </x:c>
      <x:c r="D2722" s="28" t="n">
        <x:f>MOD(B2722,1)</x:f>
        <x:v>0.7395486111126957</x:v>
      </x:c>
      <x:c r="E2722" s="29" t="n">
        <x:f>YEAR(B2722)</x:f>
        <x:v>2016</x:v>
      </x:c>
      <x:c r="F2722" s="29" t="n">
        <x:f>MONTH(B2722)</x:f>
        <x:v>4</x:v>
      </x:c>
      <x:c r="G2722" s="30" t="n">
        <x:v>-32.17</x:v>
      </x:c>
      <x:c r="H2722" s="30" t="n">
        <x:v>-71.83</x:v>
      </x:c>
      <x:c r="I2722" s="29" t="n">
        <x:v>39</x:v>
      </x:c>
      <x:c r="J2722" s="31" t="n">
        <x:v>4.5</x:v>
      </x:c>
      <x:c r="K2722" s="25" t="str">
        <x:f>IF(J2722&gt;=7,"Muy fuerte (&gt;=7)",IF(J2722&gt;=6,"Fuerte (6-6.9)",IF(J2722&gt;=5,"Moderado alto (5-5.9)",IF(J2722&gt;=4,"Moderado (4-4.9)","Menor a 4"))))</x:f>
        <x:v>Moderado (4-4.9)</x:v>
      </x:c>
      <x:c r="L2722" s="25" t="str">
        <x:f>IF(I2722&lt;70,"Superficial (&lt;70 km)",IF(I2722&lt;=300,"Intermedio (70-300 km)","Profundo (&gt;300 km)"))</x:f>
        <x:v>Superficial (&lt;70 km)</x:v>
      </x:c>
      <x:c r="M2722" s="25" t="str">
        <x:f>IF(J2722&gt;=5,"Sí","No")</x:f>
        <x:v>No</x:v>
      </x:c>
      <x:c r="N2722" s="25" t="str">
        <x:f>IF(J2722&gt;=6,"Sí","No")</x:f>
        <x:v>No</x:v>
      </x:c>
      <x:c r="O2722" s="25" t="str">
        <x:v>Pendiente: asignar con R/sf</x:v>
      </x:c>
    </x:row>
    <x:row r="2723">
      <x:c r="A2723" s="25" t="n">
        <x:v>2722</x:v>
      </x:c>
      <x:c r="B2723" s="26" t="n">
        <x:v>42475.186064814814</x:v>
      </x:c>
      <x:c r="C2723" s="27" t="n">
        <x:f>INT(B2723)</x:f>
        <x:v>42475</x:v>
      </x:c>
      <x:c r="D2723" s="28" t="n">
        <x:f>MOD(B2723,1)</x:f>
        <x:v>0.18606481481401715</x:v>
      </x:c>
      <x:c r="E2723" s="29" t="n">
        <x:f>YEAR(B2723)</x:f>
        <x:v>2016</x:v>
      </x:c>
      <x:c r="F2723" s="29" t="n">
        <x:f>MONTH(B2723)</x:f>
        <x:v>4</x:v>
      </x:c>
      <x:c r="G2723" s="30" t="n">
        <x:v>-32.18</x:v>
      </x:c>
      <x:c r="H2723" s="30" t="n">
        <x:v>-71.84</x:v>
      </x:c>
      <x:c r="I2723" s="29" t="n">
        <x:v>32</x:v>
      </x:c>
      <x:c r="J2723" s="31" t="n">
        <x:v>4.6</x:v>
      </x:c>
      <x:c r="K2723" s="25" t="str">
        <x:f>IF(J2723&gt;=7,"Muy fuerte (&gt;=7)",IF(J2723&gt;=6,"Fuerte (6-6.9)",IF(J2723&gt;=5,"Moderado alto (5-5.9)",IF(J2723&gt;=4,"Moderado (4-4.9)","Menor a 4"))))</x:f>
        <x:v>Moderado (4-4.9)</x:v>
      </x:c>
      <x:c r="L2723" s="25" t="str">
        <x:f>IF(I2723&lt;70,"Superficial (&lt;70 km)",IF(I2723&lt;=300,"Intermedio (70-300 km)","Profundo (&gt;300 km)"))</x:f>
        <x:v>Superficial (&lt;70 km)</x:v>
      </x:c>
      <x:c r="M2723" s="25" t="str">
        <x:f>IF(J2723&gt;=5,"Sí","No")</x:f>
        <x:v>No</x:v>
      </x:c>
      <x:c r="N2723" s="25" t="str">
        <x:f>IF(J2723&gt;=6,"Sí","No")</x:f>
        <x:v>No</x:v>
      </x:c>
      <x:c r="O2723" s="25" t="str">
        <x:v>Pendiente: asignar con R/sf</x:v>
      </x:c>
    </x:row>
    <x:row r="2724">
      <x:c r="A2724" s="25" t="n">
        <x:v>2723</x:v>
      </x:c>
      <x:c r="B2724" s="26" t="n">
        <x:v>42476.25373842593</x:v>
      </x:c>
      <x:c r="C2724" s="27" t="n">
        <x:f>INT(B2724)</x:f>
        <x:v>42476</x:v>
      </x:c>
      <x:c r="D2724" s="28" t="n">
        <x:f>MOD(B2724,1)</x:f>
        <x:v>0.2537384259267128</x:v>
      </x:c>
      <x:c r="E2724" s="29" t="n">
        <x:f>YEAR(B2724)</x:f>
        <x:v>2016</x:v>
      </x:c>
      <x:c r="F2724" s="29" t="n">
        <x:f>MONTH(B2724)</x:f>
        <x:v>4</x:v>
      </x:c>
      <x:c r="G2724" s="30" t="n">
        <x:v>-26.49</x:v>
      </x:c>
      <x:c r="H2724" s="30" t="n">
        <x:v>-70.04</x:v>
      </x:c>
      <x:c r="I2724" s="29" t="n">
        <x:v>73</x:v>
      </x:c>
      <x:c r="J2724" s="31" t="n">
        <x:v>5.3</x:v>
      </x:c>
      <x:c r="K2724" s="25" t="str">
        <x:f>IF(J2724&gt;=7,"Muy fuerte (&gt;=7)",IF(J2724&gt;=6,"Fuerte (6-6.9)",IF(J2724&gt;=5,"Moderado alto (5-5.9)",IF(J2724&gt;=4,"Moderado (4-4.9)","Menor a 4"))))</x:f>
        <x:v>Moderado alto (5-5.9)</x:v>
      </x:c>
      <x:c r="L2724" s="25" t="str">
        <x:f>IF(I2724&lt;70,"Superficial (&lt;70 km)",IF(I2724&lt;=300,"Intermedio (70-300 km)","Profundo (&gt;300 km)"))</x:f>
        <x:v>Intermedio (70-300 km)</x:v>
      </x:c>
      <x:c r="M2724" s="25" t="str">
        <x:f>IF(J2724&gt;=5,"Sí","No")</x:f>
        <x:v>Sí</x:v>
      </x:c>
      <x:c r="N2724" s="25" t="str">
        <x:f>IF(J2724&gt;=6,"Sí","No")</x:f>
        <x:v>No</x:v>
      </x:c>
      <x:c r="O2724" s="25" t="str">
        <x:v>Pendiente: asignar con R/sf</x:v>
      </x:c>
    </x:row>
    <x:row r="2725">
      <x:c r="A2725" s="25" t="n">
        <x:v>2724</x:v>
      </x:c>
      <x:c r="B2725" s="26" t="n">
        <x:v>42477.62482638889</x:v>
      </x:c>
      <x:c r="C2725" s="27" t="n">
        <x:f>INT(B2725)</x:f>
        <x:v>42477</x:v>
      </x:c>
      <x:c r="D2725" s="28" t="n">
        <x:f>MOD(B2725,1)</x:f>
        <x:v>0.624826388891961</x:v>
      </x:c>
      <x:c r="E2725" s="29" t="n">
        <x:f>YEAR(B2725)</x:f>
        <x:v>2016</x:v>
      </x:c>
      <x:c r="F2725" s="29" t="n">
        <x:f>MONTH(B2725)</x:f>
        <x:v>4</x:v>
      </x:c>
      <x:c r="G2725" s="30" t="n">
        <x:v>-30.75</x:v>
      </x:c>
      <x:c r="H2725" s="30" t="n">
        <x:v>-71.35</x:v>
      </x:c>
      <x:c r="I2725" s="29" t="n">
        <x:v>47</x:v>
      </x:c>
      <x:c r="J2725" s="31" t="n">
        <x:v>4.9</x:v>
      </x:c>
      <x:c r="K2725" s="25" t="str">
        <x:f>IF(J2725&gt;=7,"Muy fuerte (&gt;=7)",IF(J2725&gt;=6,"Fuerte (6-6.9)",IF(J2725&gt;=5,"Moderado alto (5-5.9)",IF(J2725&gt;=4,"Moderado (4-4.9)","Menor a 4"))))</x:f>
        <x:v>Moderado (4-4.9)</x:v>
      </x:c>
      <x:c r="L2725" s="25" t="str">
        <x:f>IF(I2725&lt;70,"Superficial (&lt;70 km)",IF(I2725&lt;=300,"Intermedio (70-300 km)","Profundo (&gt;300 km)"))</x:f>
        <x:v>Superficial (&lt;70 km)</x:v>
      </x:c>
      <x:c r="M2725" s="25" t="str">
        <x:f>IF(J2725&gt;=5,"Sí","No")</x:f>
        <x:v>No</x:v>
      </x:c>
      <x:c r="N2725" s="25" t="str">
        <x:f>IF(J2725&gt;=6,"Sí","No")</x:f>
        <x:v>No</x:v>
      </x:c>
      <x:c r="O2725" s="25" t="str">
        <x:v>Pendiente: asignar con R/sf</x:v>
      </x:c>
    </x:row>
    <x:row r="2726">
      <x:c r="A2726" s="25" t="n">
        <x:v>2725</x:v>
      </x:c>
      <x:c r="B2726" s="26" t="n">
        <x:v>42478.18471064815</x:v>
      </x:c>
      <x:c r="C2726" s="27" t="n">
        <x:f>INT(B2726)</x:f>
        <x:v>42478</x:v>
      </x:c>
      <x:c r="D2726" s="28" t="n">
        <x:f>MOD(B2726,1)</x:f>
        <x:v>0.18471064815093996</x:v>
      </x:c>
      <x:c r="E2726" s="29" t="n">
        <x:f>YEAR(B2726)</x:f>
        <x:v>2016</x:v>
      </x:c>
      <x:c r="F2726" s="29" t="n">
        <x:f>MONTH(B2726)</x:f>
        <x:v>4</x:v>
      </x:c>
      <x:c r="G2726" s="30" t="n">
        <x:v>-29.54</x:v>
      </x:c>
      <x:c r="H2726" s="30" t="n">
        <x:v>-70.99</x:v>
      </x:c>
      <x:c r="I2726" s="29" t="n">
        <x:v>50</x:v>
      </x:c>
      <x:c r="J2726" s="31" t="n">
        <x:v>4.5</x:v>
      </x:c>
      <x:c r="K2726" s="25" t="str">
        <x:f>IF(J2726&gt;=7,"Muy fuerte (&gt;=7)",IF(J2726&gt;=6,"Fuerte (6-6.9)",IF(J2726&gt;=5,"Moderado alto (5-5.9)",IF(J2726&gt;=4,"Moderado (4-4.9)","Menor a 4"))))</x:f>
        <x:v>Moderado (4-4.9)</x:v>
      </x:c>
      <x:c r="L2726" s="25" t="str">
        <x:f>IF(I2726&lt;70,"Superficial (&lt;70 km)",IF(I2726&lt;=300,"Intermedio (70-300 km)","Profundo (&gt;300 km)"))</x:f>
        <x:v>Superficial (&lt;70 km)</x:v>
      </x:c>
      <x:c r="M2726" s="25" t="str">
        <x:f>IF(J2726&gt;=5,"Sí","No")</x:f>
        <x:v>No</x:v>
      </x:c>
      <x:c r="N2726" s="25" t="str">
        <x:f>IF(J2726&gt;=6,"Sí","No")</x:f>
        <x:v>No</x:v>
      </x:c>
      <x:c r="O2726" s="25" t="str">
        <x:v>Pendiente: asignar con R/sf</x:v>
      </x:c>
    </x:row>
    <x:row r="2727">
      <x:c r="A2727" s="25" t="n">
        <x:v>2726</x:v>
      </x:c>
      <x:c r="B2727" s="26" t="n">
        <x:v>42478.48516203704</x:v>
      </x:c>
      <x:c r="C2727" s="27" t="n">
        <x:f>INT(B2727)</x:f>
        <x:v>42478</x:v>
      </x:c>
      <x:c r="D2727" s="28" t="n">
        <x:f>MOD(B2727,1)</x:f>
        <x:v>0.4851620370391174</x:v>
      </x:c>
      <x:c r="E2727" s="29" t="n">
        <x:f>YEAR(B2727)</x:f>
        <x:v>2016</x:v>
      </x:c>
      <x:c r="F2727" s="29" t="n">
        <x:f>MONTH(B2727)</x:f>
        <x:v>4</x:v>
      </x:c>
      <x:c r="G2727" s="30" t="n">
        <x:v>-31.77</x:v>
      </x:c>
      <x:c r="H2727" s="30" t="n">
        <x:v>-71.31</x:v>
      </x:c>
      <x:c r="I2727" s="29" t="n">
        <x:v>51</x:v>
      </x:c>
      <x:c r="J2727" s="31" t="n">
        <x:v>5.5</x:v>
      </x:c>
      <x:c r="K2727" s="25" t="str">
        <x:f>IF(J2727&gt;=7,"Muy fuerte (&gt;=7)",IF(J2727&gt;=6,"Fuerte (6-6.9)",IF(J2727&gt;=5,"Moderado alto (5-5.9)",IF(J2727&gt;=4,"Moderado (4-4.9)","Menor a 4"))))</x:f>
        <x:v>Moderado alto (5-5.9)</x:v>
      </x:c>
      <x:c r="L2727" s="25" t="str">
        <x:f>IF(I2727&lt;70,"Superficial (&lt;70 km)",IF(I2727&lt;=300,"Intermedio (70-300 km)","Profundo (&gt;300 km)"))</x:f>
        <x:v>Superficial (&lt;70 km)</x:v>
      </x:c>
      <x:c r="M2727" s="25" t="str">
        <x:f>IF(J2727&gt;=5,"Sí","No")</x:f>
        <x:v>Sí</x:v>
      </x:c>
      <x:c r="N2727" s="25" t="str">
        <x:f>IF(J2727&gt;=6,"Sí","No")</x:f>
        <x:v>No</x:v>
      </x:c>
      <x:c r="O2727" s="25" t="str">
        <x:v>Pendiente: asignar con R/sf</x:v>
      </x:c>
    </x:row>
    <x:row r="2728">
      <x:c r="A2728" s="25" t="n">
        <x:v>2727</x:v>
      </x:c>
      <x:c r="B2728" s="26" t="n">
        <x:v>42485.58457175926</x:v>
      </x:c>
      <x:c r="C2728" s="27" t="n">
        <x:f>INT(B2728)</x:f>
        <x:v>42485</x:v>
      </x:c>
      <x:c r="D2728" s="28" t="n">
        <x:f>MOD(B2728,1)</x:f>
        <x:v>0.5845717592601432</x:v>
      </x:c>
      <x:c r="E2728" s="29" t="n">
        <x:f>YEAR(B2728)</x:f>
        <x:v>2016</x:v>
      </x:c>
      <x:c r="F2728" s="29" t="n">
        <x:f>MONTH(B2728)</x:f>
        <x:v>4</x:v>
      </x:c>
      <x:c r="G2728" s="30" t="n">
        <x:v>-32.14</x:v>
      </x:c>
      <x:c r="H2728" s="30" t="n">
        <x:v>-71.82</x:v>
      </x:c>
      <x:c r="I2728" s="29" t="n">
        <x:v>28</x:v>
      </x:c>
      <x:c r="J2728" s="31" t="n">
        <x:v>4.7</x:v>
      </x:c>
      <x:c r="K2728" s="25" t="str">
        <x:f>IF(J2728&gt;=7,"Muy fuerte (&gt;=7)",IF(J2728&gt;=6,"Fuerte (6-6.9)",IF(J2728&gt;=5,"Moderado alto (5-5.9)",IF(J2728&gt;=4,"Moderado (4-4.9)","Menor a 4"))))</x:f>
        <x:v>Moderado (4-4.9)</x:v>
      </x:c>
      <x:c r="L2728" s="25" t="str">
        <x:f>IF(I2728&lt;70,"Superficial (&lt;70 km)",IF(I2728&lt;=300,"Intermedio (70-300 km)","Profundo (&gt;300 km)"))</x:f>
        <x:v>Superficial (&lt;70 km)</x:v>
      </x:c>
      <x:c r="M2728" s="25" t="str">
        <x:f>IF(J2728&gt;=5,"Sí","No")</x:f>
        <x:v>No</x:v>
      </x:c>
      <x:c r="N2728" s="25" t="str">
        <x:f>IF(J2728&gt;=6,"Sí","No")</x:f>
        <x:v>No</x:v>
      </x:c>
      <x:c r="O2728" s="25" t="str">
        <x:v>Pendiente: asignar con R/sf</x:v>
      </x:c>
    </x:row>
    <x:row r="2729">
      <x:c r="A2729" s="25" t="n">
        <x:v>2728</x:v>
      </x:c>
      <x:c r="B2729" s="26" t="n">
        <x:v>42501.549675925926</x:v>
      </x:c>
      <x:c r="C2729" s="27" t="n">
        <x:f>INT(B2729)</x:f>
        <x:v>42501</x:v>
      </x:c>
      <x:c r="D2729" s="28" t="n">
        <x:f>MOD(B2729,1)</x:f>
        <x:v>0.5496759259258397</x:v>
      </x:c>
      <x:c r="E2729" s="29" t="n">
        <x:f>YEAR(B2729)</x:f>
        <x:v>2016</x:v>
      </x:c>
      <x:c r="F2729" s="29" t="n">
        <x:f>MONTH(B2729)</x:f>
        <x:v>5</x:v>
      </x:c>
      <x:c r="G2729" s="30" t="n">
        <x:v>-30.66</x:v>
      </x:c>
      <x:c r="H2729" s="30" t="n">
        <x:v>-71.89</x:v>
      </x:c>
      <x:c r="I2729" s="29" t="n">
        <x:v>37</x:v>
      </x:c>
      <x:c r="J2729" s="31" t="n">
        <x:v>5.6</x:v>
      </x:c>
      <x:c r="K2729" s="25" t="str">
        <x:f>IF(J2729&gt;=7,"Muy fuerte (&gt;=7)",IF(J2729&gt;=6,"Fuerte (6-6.9)",IF(J2729&gt;=5,"Moderado alto (5-5.9)",IF(J2729&gt;=4,"Moderado (4-4.9)","Menor a 4"))))</x:f>
        <x:v>Moderado alto (5-5.9)</x:v>
      </x:c>
      <x:c r="L2729" s="25" t="str">
        <x:f>IF(I2729&lt;70,"Superficial (&lt;70 km)",IF(I2729&lt;=300,"Intermedio (70-300 km)","Profundo (&gt;300 km)"))</x:f>
        <x:v>Superficial (&lt;70 km)</x:v>
      </x:c>
      <x:c r="M2729" s="25" t="str">
        <x:f>IF(J2729&gt;=5,"Sí","No")</x:f>
        <x:v>Sí</x:v>
      </x:c>
      <x:c r="N2729" s="25" t="str">
        <x:f>IF(J2729&gt;=6,"Sí","No")</x:f>
        <x:v>No</x:v>
      </x:c>
      <x:c r="O2729" s="25" t="str">
        <x:v>Pendiente: asignar con R/sf</x:v>
      </x:c>
    </x:row>
    <x:row r="2730">
      <x:c r="A2730" s="25" t="n">
        <x:v>2729</x:v>
      </x:c>
      <x:c r="B2730" s="26" t="n">
        <x:v>42505.40431712963</x:v>
      </x:c>
      <x:c r="C2730" s="27" t="n">
        <x:f>INT(B2730)</x:f>
        <x:v>42505</x:v>
      </x:c>
      <x:c r="D2730" s="28" t="n">
        <x:f>MOD(B2730,1)</x:f>
        <x:v>0.4043171296289074</x:v>
      </x:c>
      <x:c r="E2730" s="29" t="n">
        <x:f>YEAR(B2730)</x:f>
        <x:v>2016</x:v>
      </x:c>
      <x:c r="F2730" s="29" t="n">
        <x:f>MONTH(B2730)</x:f>
        <x:v>5</x:v>
      </x:c>
      <x:c r="G2730" s="30" t="n">
        <x:v>-29.19</x:v>
      </x:c>
      <x:c r="H2730" s="30" t="n">
        <x:v>-69.67</x:v>
      </x:c>
      <x:c r="I2730" s="29" t="n">
        <x:v>124</x:v>
      </x:c>
      <x:c r="J2730" s="31" t="n">
        <x:v>4.5</x:v>
      </x:c>
      <x:c r="K2730" s="25" t="str">
        <x:f>IF(J2730&gt;=7,"Muy fuerte (&gt;=7)",IF(J2730&gt;=6,"Fuerte (6-6.9)",IF(J2730&gt;=5,"Moderado alto (5-5.9)",IF(J2730&gt;=4,"Moderado (4-4.9)","Menor a 4"))))</x:f>
        <x:v>Moderado (4-4.9)</x:v>
      </x:c>
      <x:c r="L2730" s="25" t="str">
        <x:f>IF(I2730&lt;70,"Superficial (&lt;70 km)",IF(I2730&lt;=300,"Intermedio (70-300 km)","Profundo (&gt;300 km)"))</x:f>
        <x:v>Intermedio (70-300 km)</x:v>
      </x:c>
      <x:c r="M2730" s="25" t="str">
        <x:f>IF(J2730&gt;=5,"Sí","No")</x:f>
        <x:v>No</x:v>
      </x:c>
      <x:c r="N2730" s="25" t="str">
        <x:f>IF(J2730&gt;=6,"Sí","No")</x:f>
        <x:v>No</x:v>
      </x:c>
      <x:c r="O2730" s="25" t="str">
        <x:v>Pendiente: asignar con R/sf</x:v>
      </x:c>
    </x:row>
    <x:row r="2731">
      <x:c r="A2731" s="25" t="n">
        <x:v>2730</x:v>
      </x:c>
      <x:c r="B2731" s="26" t="n">
        <x:v>42509.769837962966</x:v>
      </x:c>
      <x:c r="C2731" s="27" t="n">
        <x:f>INT(B2731)</x:f>
        <x:v>42509</x:v>
      </x:c>
      <x:c r="D2731" s="28" t="n">
        <x:f>MOD(B2731,1)</x:f>
        <x:v>0.7698379629655392</x:v>
      </x:c>
      <x:c r="E2731" s="29" t="n">
        <x:f>YEAR(B2731)</x:f>
        <x:v>2016</x:v>
      </x:c>
      <x:c r="F2731" s="29" t="n">
        <x:f>MONTH(B2731)</x:f>
        <x:v>5</x:v>
      </x:c>
      <x:c r="G2731" s="30" t="n">
        <x:v>-30.68</x:v>
      </x:c>
      <x:c r="H2731" s="30" t="n">
        <x:v>-71.34</x:v>
      </x:c>
      <x:c r="I2731" s="29" t="n">
        <x:v>31</x:v>
      </x:c>
      <x:c r="J2731" s="31" t="n">
        <x:v>4.4</x:v>
      </x:c>
      <x:c r="K2731" s="25" t="str">
        <x:f>IF(J2731&gt;=7,"Muy fuerte (&gt;=7)",IF(J2731&gt;=6,"Fuerte (6-6.9)",IF(J2731&gt;=5,"Moderado alto (5-5.9)",IF(J2731&gt;=4,"Moderado (4-4.9)","Menor a 4"))))</x:f>
        <x:v>Moderado (4-4.9)</x:v>
      </x:c>
      <x:c r="L2731" s="25" t="str">
        <x:f>IF(I2731&lt;70,"Superficial (&lt;70 km)",IF(I2731&lt;=300,"Intermedio (70-300 km)","Profundo (&gt;300 km)"))</x:f>
        <x:v>Superficial (&lt;70 km)</x:v>
      </x:c>
      <x:c r="M2731" s="25" t="str">
        <x:f>IF(J2731&gt;=5,"Sí","No")</x:f>
        <x:v>No</x:v>
      </x:c>
      <x:c r="N2731" s="25" t="str">
        <x:f>IF(J2731&gt;=6,"Sí","No")</x:f>
        <x:v>No</x:v>
      </x:c>
      <x:c r="O2731" s="25" t="str">
        <x:v>Pendiente: asignar con R/sf</x:v>
      </x:c>
    </x:row>
    <x:row r="2732">
      <x:c r="A2732" s="25" t="n">
        <x:v>2731</x:v>
      </x:c>
      <x:c r="B2732" s="26" t="n">
        <x:v>42512.49108796296</x:v>
      </x:c>
      <x:c r="C2732" s="27" t="n">
        <x:f>INT(B2732)</x:f>
        <x:v>42512</x:v>
      </x:c>
      <x:c r="D2732" s="28" t="n">
        <x:f>MOD(B2732,1)</x:f>
        <x:v>0.49108796296059154</x:v>
      </x:c>
      <x:c r="E2732" s="29" t="n">
        <x:f>YEAR(B2732)</x:f>
        <x:v>2016</x:v>
      </x:c>
      <x:c r="F2732" s="29" t="n">
        <x:f>MONTH(B2732)</x:f>
        <x:v>5</x:v>
      </x:c>
      <x:c r="G2732" s="30" t="n">
        <x:v>-30.63</x:v>
      </x:c>
      <x:c r="H2732" s="30" t="n">
        <x:v>-71.64</x:v>
      </x:c>
      <x:c r="I2732" s="29" t="n">
        <x:v>32</x:v>
      </x:c>
      <x:c r="J2732" s="31" t="n">
        <x:v>5.1</x:v>
      </x:c>
      <x:c r="K2732" s="25" t="str">
        <x:f>IF(J2732&gt;=7,"Muy fuerte (&gt;=7)",IF(J2732&gt;=6,"Fuerte (6-6.9)",IF(J2732&gt;=5,"Moderado alto (5-5.9)",IF(J2732&gt;=4,"Moderado (4-4.9)","Menor a 4"))))</x:f>
        <x:v>Moderado alto (5-5.9)</x:v>
      </x:c>
      <x:c r="L2732" s="25" t="str">
        <x:f>IF(I2732&lt;70,"Superficial (&lt;70 km)",IF(I2732&lt;=300,"Intermedio (70-300 km)","Profundo (&gt;300 km)"))</x:f>
        <x:v>Superficial (&lt;70 km)</x:v>
      </x:c>
      <x:c r="M2732" s="25" t="str">
        <x:f>IF(J2732&gt;=5,"Sí","No")</x:f>
        <x:v>Sí</x:v>
      </x:c>
      <x:c r="N2732" s="25" t="str">
        <x:f>IF(J2732&gt;=6,"Sí","No")</x:f>
        <x:v>No</x:v>
      </x:c>
      <x:c r="O2732" s="25" t="str">
        <x:v>Pendiente: asignar con R/sf</x:v>
      </x:c>
    </x:row>
    <x:row r="2733">
      <x:c r="A2733" s="25" t="n">
        <x:v>2732</x:v>
      </x:c>
      <x:c r="B2733" s="26" t="n">
        <x:v>42526.24386574074</x:v>
      </x:c>
      <x:c r="C2733" s="27" t="n">
        <x:f>INT(B2733)</x:f>
        <x:v>42526</x:v>
      </x:c>
      <x:c r="D2733" s="28" t="n">
        <x:f>MOD(B2733,1)</x:f>
        <x:v>0.24386574074014788</x:v>
      </x:c>
      <x:c r="E2733" s="29" t="n">
        <x:f>YEAR(B2733)</x:f>
        <x:v>2016</x:v>
      </x:c>
      <x:c r="F2733" s="29" t="n">
        <x:f>MONTH(B2733)</x:f>
        <x:v>6</x:v>
      </x:c>
      <x:c r="G2733" s="30" t="n">
        <x:v>-29.32</x:v>
      </x:c>
      <x:c r="H2733" s="30" t="n">
        <x:v>-71.82</x:v>
      </x:c>
      <x:c r="I2733" s="29" t="n">
        <x:v>40</x:v>
      </x:c>
      <x:c r="J2733" s="31" t="n">
        <x:v>5.6</x:v>
      </x:c>
      <x:c r="K2733" s="25" t="str">
        <x:f>IF(J2733&gt;=7,"Muy fuerte (&gt;=7)",IF(J2733&gt;=6,"Fuerte (6-6.9)",IF(J2733&gt;=5,"Moderado alto (5-5.9)",IF(J2733&gt;=4,"Moderado (4-4.9)","Menor a 4"))))</x:f>
        <x:v>Moderado alto (5-5.9)</x:v>
      </x:c>
      <x:c r="L2733" s="25" t="str">
        <x:f>IF(I2733&lt;70,"Superficial (&lt;70 km)",IF(I2733&lt;=300,"Intermedio (70-300 km)","Profundo (&gt;300 km)"))</x:f>
        <x:v>Superficial (&lt;70 km)</x:v>
      </x:c>
      <x:c r="M2733" s="25" t="str">
        <x:f>IF(J2733&gt;=5,"Sí","No")</x:f>
        <x:v>Sí</x:v>
      </x:c>
      <x:c r="N2733" s="25" t="str">
        <x:f>IF(J2733&gt;=6,"Sí","No")</x:f>
        <x:v>No</x:v>
      </x:c>
      <x:c r="O2733" s="25" t="str">
        <x:v>Pendiente: asignar con R/sf</x:v>
      </x:c>
    </x:row>
    <x:row r="2734">
      <x:c r="A2734" s="25" t="n">
        <x:v>2733</x:v>
      </x:c>
      <x:c r="B2734" s="26" t="n">
        <x:v>42527.2869212963</x:v>
      </x:c>
      <x:c r="C2734" s="27" t="n">
        <x:f>INT(B2734)</x:f>
        <x:v>42527</x:v>
      </x:c>
      <x:c r="D2734" s="28" t="n">
        <x:f>MOD(B2734,1)</x:f>
        <x:v>0.2869212962978054</x:v>
      </x:c>
      <x:c r="E2734" s="29" t="n">
        <x:f>YEAR(B2734)</x:f>
        <x:v>2016</x:v>
      </x:c>
      <x:c r="F2734" s="29" t="n">
        <x:f>MONTH(B2734)</x:f>
        <x:v>6</x:v>
      </x:c>
      <x:c r="G2734" s="30" t="n">
        <x:v>-32.01</x:v>
      </x:c>
      <x:c r="H2734" s="30" t="n">
        <x:v>-71.54</x:v>
      </x:c>
      <x:c r="I2734" s="29" t="n">
        <x:v>40</x:v>
      </x:c>
      <x:c r="J2734" s="31" t="n">
        <x:v>4.4</x:v>
      </x:c>
      <x:c r="K2734" s="25" t="str">
        <x:f>IF(J2734&gt;=7,"Muy fuerte (&gt;=7)",IF(J2734&gt;=6,"Fuerte (6-6.9)",IF(J2734&gt;=5,"Moderado alto (5-5.9)",IF(J2734&gt;=4,"Moderado (4-4.9)","Menor a 4"))))</x:f>
        <x:v>Moderado (4-4.9)</x:v>
      </x:c>
      <x:c r="L2734" s="25" t="str">
        <x:f>IF(I2734&lt;70,"Superficial (&lt;70 km)",IF(I2734&lt;=300,"Intermedio (70-300 km)","Profundo (&gt;300 km)"))</x:f>
        <x:v>Superficial (&lt;70 km)</x:v>
      </x:c>
      <x:c r="M2734" s="25" t="str">
        <x:f>IF(J2734&gt;=5,"Sí","No")</x:f>
        <x:v>No</x:v>
      </x:c>
      <x:c r="N2734" s="25" t="str">
        <x:f>IF(J2734&gt;=6,"Sí","No")</x:f>
        <x:v>No</x:v>
      </x:c>
      <x:c r="O2734" s="25" t="str">
        <x:v>Pendiente: asignar con R/sf</x:v>
      </x:c>
    </x:row>
    <x:row r="2735">
      <x:c r="A2735" s="25" t="n">
        <x:v>2734</x:v>
      </x:c>
      <x:c r="B2735" s="26" t="n">
        <x:v>42527.55278935185</x:v>
      </x:c>
      <x:c r="C2735" s="27" t="n">
        <x:f>INT(B2735)</x:f>
        <x:v>42527</x:v>
      </x:c>
      <x:c r="D2735" s="28" t="n">
        <x:f>MOD(B2735,1)</x:f>
        <x:v>0.5527893518519704</x:v>
      </x:c>
      <x:c r="E2735" s="29" t="n">
        <x:f>YEAR(B2735)</x:f>
        <x:v>2016</x:v>
      </x:c>
      <x:c r="F2735" s="29" t="n">
        <x:f>MONTH(B2735)</x:f>
        <x:v>6</x:v>
      </x:c>
      <x:c r="G2735" s="30" t="n">
        <x:v>-30.12</x:v>
      </x:c>
      <x:c r="H2735" s="30" t="n">
        <x:v>-71.48</x:v>
      </x:c>
      <x:c r="I2735" s="29" t="n">
        <x:v>37</x:v>
      </x:c>
      <x:c r="J2735" s="31" t="n">
        <x:v>5.8</x:v>
      </x:c>
      <x:c r="K2735" s="25" t="str">
        <x:f>IF(J2735&gt;=7,"Muy fuerte (&gt;=7)",IF(J2735&gt;=6,"Fuerte (6-6.9)",IF(J2735&gt;=5,"Moderado alto (5-5.9)",IF(J2735&gt;=4,"Moderado (4-4.9)","Menor a 4"))))</x:f>
        <x:v>Moderado alto (5-5.9)</x:v>
      </x:c>
      <x:c r="L2735" s="25" t="str">
        <x:f>IF(I2735&lt;70,"Superficial (&lt;70 km)",IF(I2735&lt;=300,"Intermedio (70-300 km)","Profundo (&gt;300 km)"))</x:f>
        <x:v>Superficial (&lt;70 km)</x:v>
      </x:c>
      <x:c r="M2735" s="25" t="str">
        <x:f>IF(J2735&gt;=5,"Sí","No")</x:f>
        <x:v>Sí</x:v>
      </x:c>
      <x:c r="N2735" s="25" t="str">
        <x:f>IF(J2735&gt;=6,"Sí","No")</x:f>
        <x:v>No</x:v>
      </x:c>
      <x:c r="O2735" s="25" t="str">
        <x:v>Pendiente: asignar con R/sf</x:v>
      </x:c>
    </x:row>
    <x:row r="2736">
      <x:c r="A2736" s="25" t="n">
        <x:v>2735</x:v>
      </x:c>
      <x:c r="B2736" s="26" t="n">
        <x:v>42527.556921296295</x:v>
      </x:c>
      <x:c r="C2736" s="27" t="n">
        <x:f>INT(B2736)</x:f>
        <x:v>42527</x:v>
      </x:c>
      <x:c r="D2736" s="28" t="n">
        <x:f>MOD(B2736,1)</x:f>
        <x:v>0.556921296294604</x:v>
      </x:c>
      <x:c r="E2736" s="29" t="n">
        <x:f>YEAR(B2736)</x:f>
        <x:v>2016</x:v>
      </x:c>
      <x:c r="F2736" s="29" t="n">
        <x:f>MONTH(B2736)</x:f>
        <x:v>6</x:v>
      </x:c>
      <x:c r="G2736" s="30" t="n">
        <x:v>-30.06</x:v>
      </x:c>
      <x:c r="H2736" s="30" t="n">
        <x:v>-71.53</x:v>
      </x:c>
      <x:c r="I2736" s="29" t="n">
        <x:v>44</x:v>
      </x:c>
      <x:c r="J2736" s="31" t="n">
        <x:v>5.6</x:v>
      </x:c>
      <x:c r="K2736" s="25" t="str">
        <x:f>IF(J2736&gt;=7,"Muy fuerte (&gt;=7)",IF(J2736&gt;=6,"Fuerte (6-6.9)",IF(J2736&gt;=5,"Moderado alto (5-5.9)",IF(J2736&gt;=4,"Moderado (4-4.9)","Menor a 4"))))</x:f>
        <x:v>Moderado alto (5-5.9)</x:v>
      </x:c>
      <x:c r="L2736" s="25" t="str">
        <x:f>IF(I2736&lt;70,"Superficial (&lt;70 km)",IF(I2736&lt;=300,"Intermedio (70-300 km)","Profundo (&gt;300 km)"))</x:f>
        <x:v>Superficial (&lt;70 km)</x:v>
      </x:c>
      <x:c r="M2736" s="25" t="str">
        <x:f>IF(J2736&gt;=5,"Sí","No")</x:f>
        <x:v>Sí</x:v>
      </x:c>
      <x:c r="N2736" s="25" t="str">
        <x:f>IF(J2736&gt;=6,"Sí","No")</x:f>
        <x:v>No</x:v>
      </x:c>
      <x:c r="O2736" s="25" t="str">
        <x:v>Pendiente: asignar con R/sf</x:v>
      </x:c>
    </x:row>
    <x:row r="2737">
      <x:c r="A2737" s="25" t="n">
        <x:v>2736</x:v>
      </x:c>
      <x:c r="B2737" s="26" t="n">
        <x:v>42535.48847222222</x:v>
      </x:c>
      <x:c r="C2737" s="27" t="n">
        <x:f>INT(B2737)</x:f>
        <x:v>42535</x:v>
      </x:c>
      <x:c r="D2737" s="28" t="n">
        <x:f>MOD(B2737,1)</x:f>
        <x:v>0.48847222221957054</x:v>
      </x:c>
      <x:c r="E2737" s="29" t="n">
        <x:f>YEAR(B2737)</x:f>
        <x:v>2016</x:v>
      </x:c>
      <x:c r="F2737" s="29" t="n">
        <x:f>MONTH(B2737)</x:f>
        <x:v>6</x:v>
      </x:c>
      <x:c r="G2737" s="30" t="n">
        <x:v>-30.18</x:v>
      </x:c>
      <x:c r="H2737" s="30" t="n">
        <x:v>-71.6</x:v>
      </x:c>
      <x:c r="I2737" s="29" t="n">
        <x:v>40</x:v>
      </x:c>
      <x:c r="J2737" s="31" t="n">
        <x:v>4.6</x:v>
      </x:c>
      <x:c r="K2737" s="25" t="str">
        <x:f>IF(J2737&gt;=7,"Muy fuerte (&gt;=7)",IF(J2737&gt;=6,"Fuerte (6-6.9)",IF(J2737&gt;=5,"Moderado alto (5-5.9)",IF(J2737&gt;=4,"Moderado (4-4.9)","Menor a 4"))))</x:f>
        <x:v>Moderado (4-4.9)</x:v>
      </x:c>
      <x:c r="L2737" s="25" t="str">
        <x:f>IF(I2737&lt;70,"Superficial (&lt;70 km)",IF(I2737&lt;=300,"Intermedio (70-300 km)","Profundo (&gt;300 km)"))</x:f>
        <x:v>Superficial (&lt;70 km)</x:v>
      </x:c>
      <x:c r="M2737" s="25" t="str">
        <x:f>IF(J2737&gt;=5,"Sí","No")</x:f>
        <x:v>No</x:v>
      </x:c>
      <x:c r="N2737" s="25" t="str">
        <x:f>IF(J2737&gt;=6,"Sí","No")</x:f>
        <x:v>No</x:v>
      </x:c>
      <x:c r="O2737" s="25" t="str">
        <x:v>Pendiente: asignar con R/sf</x:v>
      </x:c>
    </x:row>
    <x:row r="2738">
      <x:c r="A2738" s="25" t="n">
        <x:v>2737</x:v>
      </x:c>
      <x:c r="B2738" s="26" t="n">
        <x:v>42537.0519212963</x:v>
      </x:c>
      <x:c r="C2738" s="27" t="n">
        <x:f>INT(B2738)</x:f>
        <x:v>42537</x:v>
      </x:c>
      <x:c r="D2738" s="28" t="n">
        <x:f>MOD(B2738,1)</x:f>
        <x:v>0.05192129629722331</x:v>
      </x:c>
      <x:c r="E2738" s="29" t="n">
        <x:f>YEAR(B2738)</x:f>
        <x:v>2016</x:v>
      </x:c>
      <x:c r="F2738" s="29" t="n">
        <x:f>MONTH(B2738)</x:f>
        <x:v>6</x:v>
      </x:c>
      <x:c r="G2738" s="30" t="n">
        <x:v>-30.65</x:v>
      </x:c>
      <x:c r="H2738" s="30" t="n">
        <x:v>-71.22</x:v>
      </x:c>
      <x:c r="I2738" s="29" t="n">
        <x:v>59</x:v>
      </x:c>
      <x:c r="J2738" s="31" t="n">
        <x:v>4.9</x:v>
      </x:c>
      <x:c r="K2738" s="25" t="str">
        <x:f>IF(J2738&gt;=7,"Muy fuerte (&gt;=7)",IF(J2738&gt;=6,"Fuerte (6-6.9)",IF(J2738&gt;=5,"Moderado alto (5-5.9)",IF(J2738&gt;=4,"Moderado (4-4.9)","Menor a 4"))))</x:f>
        <x:v>Moderado (4-4.9)</x:v>
      </x:c>
      <x:c r="L2738" s="25" t="str">
        <x:f>IF(I2738&lt;70,"Superficial (&lt;70 km)",IF(I2738&lt;=300,"Intermedio (70-300 km)","Profundo (&gt;300 km)"))</x:f>
        <x:v>Superficial (&lt;70 km)</x:v>
      </x:c>
      <x:c r="M2738" s="25" t="str">
        <x:f>IF(J2738&gt;=5,"Sí","No")</x:f>
        <x:v>No</x:v>
      </x:c>
      <x:c r="N2738" s="25" t="str">
        <x:f>IF(J2738&gt;=6,"Sí","No")</x:f>
        <x:v>No</x:v>
      </x:c>
      <x:c r="O2738" s="25" t="str">
        <x:v>Pendiente: asignar con R/sf</x:v>
      </x:c>
    </x:row>
    <x:row r="2739">
      <x:c r="A2739" s="25" t="n">
        <x:v>2738</x:v>
      </x:c>
      <x:c r="B2739" s="26" t="n">
        <x:v>42538.158784722225</x:v>
      </x:c>
      <x:c r="C2739" s="27" t="n">
        <x:f>INT(B2739)</x:f>
        <x:v>42538</x:v>
      </x:c>
      <x:c r="D2739" s="28" t="n">
        <x:f>MOD(B2739,1)</x:f>
        <x:v>0.1587847222253913</x:v>
      </x:c>
      <x:c r="E2739" s="29" t="n">
        <x:f>YEAR(B2739)</x:f>
        <x:v>2016</x:v>
      </x:c>
      <x:c r="F2739" s="29" t="n">
        <x:f>MONTH(B2739)</x:f>
        <x:v>6</x:v>
      </x:c>
      <x:c r="G2739" s="30" t="n">
        <x:v>-30.17</x:v>
      </x:c>
      <x:c r="H2739" s="30" t="n">
        <x:v>-71.44</x:v>
      </x:c>
      <x:c r="I2739" s="29" t="n">
        <x:v>20</x:v>
      </x:c>
      <x:c r="J2739" s="31" t="n">
        <x:v>4.8</x:v>
      </x:c>
      <x:c r="K2739" s="25" t="str">
        <x:f>IF(J2739&gt;=7,"Muy fuerte (&gt;=7)",IF(J2739&gt;=6,"Fuerte (6-6.9)",IF(J2739&gt;=5,"Moderado alto (5-5.9)",IF(J2739&gt;=4,"Moderado (4-4.9)","Menor a 4"))))</x:f>
        <x:v>Moderado (4-4.9)</x:v>
      </x:c>
      <x:c r="L2739" s="25" t="str">
        <x:f>IF(I2739&lt;70,"Superficial (&lt;70 km)",IF(I2739&lt;=300,"Intermedio (70-300 km)","Profundo (&gt;300 km)"))</x:f>
        <x:v>Superficial (&lt;70 km)</x:v>
      </x:c>
      <x:c r="M2739" s="25" t="str">
        <x:f>IF(J2739&gt;=5,"Sí","No")</x:f>
        <x:v>No</x:v>
      </x:c>
      <x:c r="N2739" s="25" t="str">
        <x:f>IF(J2739&gt;=6,"Sí","No")</x:f>
        <x:v>No</x:v>
      </x:c>
      <x:c r="O2739" s="25" t="str">
        <x:v>Pendiente: asignar con R/sf</x:v>
      </x:c>
    </x:row>
    <x:row r="2740">
      <x:c r="A2740" s="25" t="n">
        <x:v>2739</x:v>
      </x:c>
      <x:c r="B2740" s="26" t="n">
        <x:v>42543.16297453704</x:v>
      </x:c>
      <x:c r="C2740" s="27" t="n">
        <x:f>INT(B2740)</x:f>
        <x:v>42543</x:v>
      </x:c>
      <x:c r="D2740" s="28" t="n">
        <x:f>MOD(B2740,1)</x:f>
        <x:v>0.1629745370373712</x:v>
      </x:c>
      <x:c r="E2740" s="29" t="n">
        <x:f>YEAR(B2740)</x:f>
        <x:v>2016</x:v>
      </x:c>
      <x:c r="F2740" s="29" t="n">
        <x:f>MONTH(B2740)</x:f>
        <x:v>6</x:v>
      </x:c>
      <x:c r="G2740" s="30" t="n">
        <x:v>-30.62</x:v>
      </x:c>
      <x:c r="H2740" s="30" t="n">
        <x:v>-71.72</x:v>
      </x:c>
      <x:c r="I2740" s="29" t="n">
        <x:v>34</x:v>
      </x:c>
      <x:c r="J2740" s="31" t="n">
        <x:v>5.2</x:v>
      </x:c>
      <x:c r="K2740" s="25" t="str">
        <x:f>IF(J2740&gt;=7,"Muy fuerte (&gt;=7)",IF(J2740&gt;=6,"Fuerte (6-6.9)",IF(J2740&gt;=5,"Moderado alto (5-5.9)",IF(J2740&gt;=4,"Moderado (4-4.9)","Menor a 4"))))</x:f>
        <x:v>Moderado alto (5-5.9)</x:v>
      </x:c>
      <x:c r="L2740" s="25" t="str">
        <x:f>IF(I2740&lt;70,"Superficial (&lt;70 km)",IF(I2740&lt;=300,"Intermedio (70-300 km)","Profundo (&gt;300 km)"))</x:f>
        <x:v>Superficial (&lt;70 km)</x:v>
      </x:c>
      <x:c r="M2740" s="25" t="str">
        <x:f>IF(J2740&gt;=5,"Sí","No")</x:f>
        <x:v>Sí</x:v>
      </x:c>
      <x:c r="N2740" s="25" t="str">
        <x:f>IF(J2740&gt;=6,"Sí","No")</x:f>
        <x:v>No</x:v>
      </x:c>
      <x:c r="O2740" s="25" t="str">
        <x:v>Pendiente: asignar con R/sf</x:v>
      </x:c>
    </x:row>
    <x:row r="2741">
      <x:c r="A2741" s="25" t="n">
        <x:v>2740</x:v>
      </x:c>
      <x:c r="B2741" s="26" t="n">
        <x:v>42546.03296296296</x:v>
      </x:c>
      <x:c r="C2741" s="27" t="n">
        <x:f>INT(B2741)</x:f>
        <x:v>42546</x:v>
      </x:c>
      <x:c r="D2741" s="28" t="n">
        <x:f>MOD(B2741,1)</x:f>
        <x:v>0.032962962963210884</x:v>
      </x:c>
      <x:c r="E2741" s="29" t="n">
        <x:f>YEAR(B2741)</x:f>
        <x:v>2016</x:v>
      </x:c>
      <x:c r="F2741" s="29" t="n">
        <x:f>MONTH(B2741)</x:f>
        <x:v>6</x:v>
      </x:c>
      <x:c r="G2741" s="30" t="n">
        <x:v>-31.54</x:v>
      </x:c>
      <x:c r="H2741" s="30" t="n">
        <x:v>-71.5</x:v>
      </x:c>
      <x:c r="I2741" s="29" t="n">
        <x:v>51</x:v>
      </x:c>
      <x:c r="J2741" s="31" t="n">
        <x:v>4.7</x:v>
      </x:c>
      <x:c r="K2741" s="25" t="str">
        <x:f>IF(J2741&gt;=7,"Muy fuerte (&gt;=7)",IF(J2741&gt;=6,"Fuerte (6-6.9)",IF(J2741&gt;=5,"Moderado alto (5-5.9)",IF(J2741&gt;=4,"Moderado (4-4.9)","Menor a 4"))))</x:f>
        <x:v>Moderado (4-4.9)</x:v>
      </x:c>
      <x:c r="L2741" s="25" t="str">
        <x:f>IF(I2741&lt;70,"Superficial (&lt;70 km)",IF(I2741&lt;=300,"Intermedio (70-300 km)","Profundo (&gt;300 km)"))</x:f>
        <x:v>Superficial (&lt;70 km)</x:v>
      </x:c>
      <x:c r="M2741" s="25" t="str">
        <x:f>IF(J2741&gt;=5,"Sí","No")</x:f>
        <x:v>No</x:v>
      </x:c>
      <x:c r="N2741" s="25" t="str">
        <x:f>IF(J2741&gt;=6,"Sí","No")</x:f>
        <x:v>No</x:v>
      </x:c>
      <x:c r="O2741" s="25" t="str">
        <x:v>Pendiente: asignar con R/sf</x:v>
      </x:c>
    </x:row>
    <x:row r="2742">
      <x:c r="A2742" s="25" t="n">
        <x:v>2741</x:v>
      </x:c>
      <x:c r="B2742" s="26" t="n">
        <x:v>42548.53555555556</x:v>
      </x:c>
      <x:c r="C2742" s="27" t="n">
        <x:f>INT(B2742)</x:f>
        <x:v>42548</x:v>
      </x:c>
      <x:c r="D2742" s="28" t="n">
        <x:f>MOD(B2742,1)</x:f>
        <x:v>0.5355555555579485</x:v>
      </x:c>
      <x:c r="E2742" s="29" t="n">
        <x:f>YEAR(B2742)</x:f>
        <x:v>2016</x:v>
      </x:c>
      <x:c r="F2742" s="29" t="n">
        <x:f>MONTH(B2742)</x:f>
        <x:v>6</x:v>
      </x:c>
      <x:c r="G2742" s="30" t="n">
        <x:v>-31.77</x:v>
      </x:c>
      <x:c r="H2742" s="30" t="n">
        <x:v>-71.38</x:v>
      </x:c>
      <x:c r="I2742" s="29" t="n">
        <x:v>45</x:v>
      </x:c>
      <x:c r="J2742" s="31" t="n">
        <x:v>5.1</x:v>
      </x:c>
      <x:c r="K2742" s="25" t="str">
        <x:f>IF(J2742&gt;=7,"Muy fuerte (&gt;=7)",IF(J2742&gt;=6,"Fuerte (6-6.9)",IF(J2742&gt;=5,"Moderado alto (5-5.9)",IF(J2742&gt;=4,"Moderado (4-4.9)","Menor a 4"))))</x:f>
        <x:v>Moderado alto (5-5.9)</x:v>
      </x:c>
      <x:c r="L2742" s="25" t="str">
        <x:f>IF(I2742&lt;70,"Superficial (&lt;70 km)",IF(I2742&lt;=300,"Intermedio (70-300 km)","Profundo (&gt;300 km)"))</x:f>
        <x:v>Superficial (&lt;70 km)</x:v>
      </x:c>
      <x:c r="M2742" s="25" t="str">
        <x:f>IF(J2742&gt;=5,"Sí","No")</x:f>
        <x:v>Sí</x:v>
      </x:c>
      <x:c r="N2742" s="25" t="str">
        <x:f>IF(J2742&gt;=6,"Sí","No")</x:f>
        <x:v>No</x:v>
      </x:c>
      <x:c r="O2742" s="25" t="str">
        <x:v>Pendiente: asignar con R/sf</x:v>
      </x:c>
    </x:row>
    <x:row r="2743">
      <x:c r="A2743" s="25" t="n">
        <x:v>2742</x:v>
      </x:c>
      <x:c r="B2743" s="26" t="n">
        <x:v>42549.963541666664</x:v>
      </x:c>
      <x:c r="C2743" s="27" t="n">
        <x:f>INT(B2743)</x:f>
        <x:v>42549</x:v>
      </x:c>
      <x:c r="D2743" s="28" t="n">
        <x:f>MOD(B2743,1)</x:f>
        <x:v>0.9635416666642413</x:v>
      </x:c>
      <x:c r="E2743" s="29" t="n">
        <x:f>YEAR(B2743)</x:f>
        <x:v>2016</x:v>
      </x:c>
      <x:c r="F2743" s="29" t="n">
        <x:f>MONTH(B2743)</x:f>
        <x:v>6</x:v>
      </x:c>
      <x:c r="G2743" s="30" t="n">
        <x:v>-30.39</x:v>
      </x:c>
      <x:c r="H2743" s="30" t="n">
        <x:v>-71.62</x:v>
      </x:c>
      <x:c r="I2743" s="29" t="n">
        <x:v>28</x:v>
      </x:c>
      <x:c r="J2743" s="31" t="n">
        <x:v>5</x:v>
      </x:c>
      <x:c r="K2743" s="25" t="str">
        <x:f>IF(J2743&gt;=7,"Muy fuerte (&gt;=7)",IF(J2743&gt;=6,"Fuerte (6-6.9)",IF(J2743&gt;=5,"Moderado alto (5-5.9)",IF(J2743&gt;=4,"Moderado (4-4.9)","Menor a 4"))))</x:f>
        <x:v>Moderado alto (5-5.9)</x:v>
      </x:c>
      <x:c r="L2743" s="25" t="str">
        <x:f>IF(I2743&lt;70,"Superficial (&lt;70 km)",IF(I2743&lt;=300,"Intermedio (70-300 km)","Profundo (&gt;300 km)"))</x:f>
        <x:v>Superficial (&lt;70 km)</x:v>
      </x:c>
      <x:c r="M2743" s="25" t="str">
        <x:f>IF(J2743&gt;=5,"Sí","No")</x:f>
        <x:v>Sí</x:v>
      </x:c>
      <x:c r="N2743" s="25" t="str">
        <x:f>IF(J2743&gt;=6,"Sí","No")</x:f>
        <x:v>No</x:v>
      </x:c>
      <x:c r="O2743" s="25" t="str">
        <x:v>Pendiente: asignar con R/sf</x:v>
      </x:c>
    </x:row>
    <x:row r="2744">
      <x:c r="A2744" s="25" t="n">
        <x:v>2743</x:v>
      </x:c>
      <x:c r="B2744" s="26" t="n">
        <x:v>42552.93064814815</x:v>
      </x:c>
      <x:c r="C2744" s="27" t="n">
        <x:f>INT(B2744)</x:f>
        <x:v>42552</x:v>
      </x:c>
      <x:c r="D2744" s="28" t="n">
        <x:f>MOD(B2744,1)</x:f>
        <x:v>0.9306481481471565</x:v>
      </x:c>
      <x:c r="E2744" s="29" t="n">
        <x:f>YEAR(B2744)</x:f>
        <x:v>2016</x:v>
      </x:c>
      <x:c r="F2744" s="29" t="n">
        <x:f>MONTH(B2744)</x:f>
        <x:v>7</x:v>
      </x:c>
      <x:c r="G2744" s="30" t="n">
        <x:v>-30.8</x:v>
      </x:c>
      <x:c r="H2744" s="30" t="n">
        <x:v>-71.44</x:v>
      </x:c>
      <x:c r="I2744" s="29" t="n">
        <x:v>52</x:v>
      </x:c>
      <x:c r="J2744" s="31" t="n">
        <x:v>4.9</x:v>
      </x:c>
      <x:c r="K2744" s="25" t="str">
        <x:f>IF(J2744&gt;=7,"Muy fuerte (&gt;=7)",IF(J2744&gt;=6,"Fuerte (6-6.9)",IF(J2744&gt;=5,"Moderado alto (5-5.9)",IF(J2744&gt;=4,"Moderado (4-4.9)","Menor a 4"))))</x:f>
        <x:v>Moderado (4-4.9)</x:v>
      </x:c>
      <x:c r="L2744" s="25" t="str">
        <x:f>IF(I2744&lt;70,"Superficial (&lt;70 km)",IF(I2744&lt;=300,"Intermedio (70-300 km)","Profundo (&gt;300 km)"))</x:f>
        <x:v>Superficial (&lt;70 km)</x:v>
      </x:c>
      <x:c r="M2744" s="25" t="str">
        <x:f>IF(J2744&gt;=5,"Sí","No")</x:f>
        <x:v>No</x:v>
      </x:c>
      <x:c r="N2744" s="25" t="str">
        <x:f>IF(J2744&gt;=6,"Sí","No")</x:f>
        <x:v>No</x:v>
      </x:c>
      <x:c r="O2744" s="25" t="str">
        <x:v>Pendiente: asignar con R/sf</x:v>
      </x:c>
    </x:row>
    <x:row r="2745">
      <x:c r="A2745" s="25" t="n">
        <x:v>2744</x:v>
      </x:c>
      <x:c r="B2745" s="26" t="n">
        <x:v>42558.91255787037</x:v>
      </x:c>
      <x:c r="C2745" s="27" t="n">
        <x:f>INT(B2745)</x:f>
        <x:v>42558</x:v>
      </x:c>
      <x:c r="D2745" s="28" t="n">
        <x:f>MOD(B2745,1)</x:f>
        <x:v>0.9125578703678912</x:v>
      </x:c>
      <x:c r="E2745" s="29" t="n">
        <x:f>YEAR(B2745)</x:f>
        <x:v>2016</x:v>
      </x:c>
      <x:c r="F2745" s="29" t="n">
        <x:f>MONTH(B2745)</x:f>
        <x:v>7</x:v>
      </x:c>
      <x:c r="G2745" s="30" t="n">
        <x:v>-30.57</x:v>
      </x:c>
      <x:c r="H2745" s="30" t="n">
        <x:v>-71.42</x:v>
      </x:c>
      <x:c r="I2745" s="29" t="n">
        <x:v>49</x:v>
      </x:c>
      <x:c r="J2745" s="31" t="n">
        <x:v>4.5</x:v>
      </x:c>
      <x:c r="K2745" s="25" t="str">
        <x:f>IF(J2745&gt;=7,"Muy fuerte (&gt;=7)",IF(J2745&gt;=6,"Fuerte (6-6.9)",IF(J2745&gt;=5,"Moderado alto (5-5.9)",IF(J2745&gt;=4,"Moderado (4-4.9)","Menor a 4"))))</x:f>
        <x:v>Moderado (4-4.9)</x:v>
      </x:c>
      <x:c r="L2745" s="25" t="str">
        <x:f>IF(I2745&lt;70,"Superficial (&lt;70 km)",IF(I2745&lt;=300,"Intermedio (70-300 km)","Profundo (&gt;300 km)"))</x:f>
        <x:v>Superficial (&lt;70 km)</x:v>
      </x:c>
      <x:c r="M2745" s="25" t="str">
        <x:f>IF(J2745&gt;=5,"Sí","No")</x:f>
        <x:v>No</x:v>
      </x:c>
      <x:c r="N2745" s="25" t="str">
        <x:f>IF(J2745&gt;=6,"Sí","No")</x:f>
        <x:v>No</x:v>
      </x:c>
      <x:c r="O2745" s="25" t="str">
        <x:v>Pendiente: asignar con R/sf</x:v>
      </x:c>
    </x:row>
    <x:row r="2746">
      <x:c r="A2746" s="25" t="n">
        <x:v>2745</x:v>
      </x:c>
      <x:c r="B2746" s="26" t="n">
        <x:v>42562.56083333334</x:v>
      </x:c>
      <x:c r="C2746" s="27" t="n">
        <x:f>INT(B2746)</x:f>
        <x:v>42562</x:v>
      </x:c>
      <x:c r="D2746" s="28" t="n">
        <x:f>MOD(B2746,1)</x:f>
        <x:v>0.5608333333366318</x:v>
      </x:c>
      <x:c r="E2746" s="29" t="n">
        <x:f>YEAR(B2746)</x:f>
        <x:v>2016</x:v>
      </x:c>
      <x:c r="F2746" s="29" t="n">
        <x:f>MONTH(B2746)</x:f>
        <x:v>7</x:v>
      </x:c>
      <x:c r="G2746" s="30" t="n">
        <x:v>-30.69</x:v>
      </x:c>
      <x:c r="H2746" s="30" t="n">
        <x:v>-71.27</x:v>
      </x:c>
      <x:c r="I2746" s="29" t="n">
        <x:v>35</x:v>
      </x:c>
      <x:c r="J2746" s="31" t="n">
        <x:v>5.1</x:v>
      </x:c>
      <x:c r="K2746" s="25" t="str">
        <x:f>IF(J2746&gt;=7,"Muy fuerte (&gt;=7)",IF(J2746&gt;=6,"Fuerte (6-6.9)",IF(J2746&gt;=5,"Moderado alto (5-5.9)",IF(J2746&gt;=4,"Moderado (4-4.9)","Menor a 4"))))</x:f>
        <x:v>Moderado alto (5-5.9)</x:v>
      </x:c>
      <x:c r="L2746" s="25" t="str">
        <x:f>IF(I2746&lt;70,"Superficial (&lt;70 km)",IF(I2746&lt;=300,"Intermedio (70-300 km)","Profundo (&gt;300 km)"))</x:f>
        <x:v>Superficial (&lt;70 km)</x:v>
      </x:c>
      <x:c r="M2746" s="25" t="str">
        <x:f>IF(J2746&gt;=5,"Sí","No")</x:f>
        <x:v>Sí</x:v>
      </x:c>
      <x:c r="N2746" s="25" t="str">
        <x:f>IF(J2746&gt;=6,"Sí","No")</x:f>
        <x:v>No</x:v>
      </x:c>
      <x:c r="O2746" s="25" t="str">
        <x:v>Pendiente: asignar con R/sf</x:v>
      </x:c>
    </x:row>
    <x:row r="2747">
      <x:c r="A2747" s="25" t="n">
        <x:v>2746</x:v>
      </x:c>
      <x:c r="B2747" s="26" t="n">
        <x:v>42569.12420138889</x:v>
      </x:c>
      <x:c r="C2747" s="27" t="n">
        <x:f>INT(B2747)</x:f>
        <x:v>42569</x:v>
      </x:c>
      <x:c r="D2747" s="28" t="n">
        <x:f>MOD(B2747,1)</x:f>
        <x:v>0.12420138889137888</x:v>
      </x:c>
      <x:c r="E2747" s="29" t="n">
        <x:f>YEAR(B2747)</x:f>
        <x:v>2016</x:v>
      </x:c>
      <x:c r="F2747" s="29" t="n">
        <x:f>MONTH(B2747)</x:f>
        <x:v>7</x:v>
      </x:c>
      <x:c r="G2747" s="30" t="n">
        <x:v>-30.74</x:v>
      </x:c>
      <x:c r="H2747" s="30" t="n">
        <x:v>-71.7</x:v>
      </x:c>
      <x:c r="I2747" s="29" t="n">
        <x:v>28</x:v>
      </x:c>
      <x:c r="J2747" s="31" t="n">
        <x:v>5.2</x:v>
      </x:c>
      <x:c r="K2747" s="25" t="str">
        <x:f>IF(J2747&gt;=7,"Muy fuerte (&gt;=7)",IF(J2747&gt;=6,"Fuerte (6-6.9)",IF(J2747&gt;=5,"Moderado alto (5-5.9)",IF(J2747&gt;=4,"Moderado (4-4.9)","Menor a 4"))))</x:f>
        <x:v>Moderado alto (5-5.9)</x:v>
      </x:c>
      <x:c r="L2747" s="25" t="str">
        <x:f>IF(I2747&lt;70,"Superficial (&lt;70 km)",IF(I2747&lt;=300,"Intermedio (70-300 km)","Profundo (&gt;300 km)"))</x:f>
        <x:v>Superficial (&lt;70 km)</x:v>
      </x:c>
      <x:c r="M2747" s="25" t="str">
        <x:f>IF(J2747&gt;=5,"Sí","No")</x:f>
        <x:v>Sí</x:v>
      </x:c>
      <x:c r="N2747" s="25" t="str">
        <x:f>IF(J2747&gt;=6,"Sí","No")</x:f>
        <x:v>No</x:v>
      </x:c>
      <x:c r="O2747" s="25" t="str">
        <x:v>Pendiente: asignar con R/sf</x:v>
      </x:c>
    </x:row>
    <x:row r="2748">
      <x:c r="A2748" s="25" t="n">
        <x:v>2747</x:v>
      </x:c>
      <x:c r="B2748" s="26" t="n">
        <x:v>42569.374814814815</x:v>
      </x:c>
      <x:c r="C2748" s="27" t="n">
        <x:f>INT(B2748)</x:f>
        <x:v>42569</x:v>
      </x:c>
      <x:c r="D2748" s="28" t="n">
        <x:f>MOD(B2748,1)</x:f>
        <x:v>0.3748148148151813</x:v>
      </x:c>
      <x:c r="E2748" s="29" t="n">
        <x:f>YEAR(B2748)</x:f>
        <x:v>2016</x:v>
      </x:c>
      <x:c r="F2748" s="29" t="n">
        <x:f>MONTH(B2748)</x:f>
        <x:v>7</x:v>
      </x:c>
      <x:c r="G2748" s="30" t="n">
        <x:v>-30.43</x:v>
      </x:c>
      <x:c r="H2748" s="30" t="n">
        <x:v>-71.6</x:v>
      </x:c>
      <x:c r="I2748" s="29" t="n">
        <x:v>23</x:v>
      </x:c>
      <x:c r="J2748" s="31" t="n">
        <x:v>5.1</x:v>
      </x:c>
      <x:c r="K2748" s="25" t="str">
        <x:f>IF(J2748&gt;=7,"Muy fuerte (&gt;=7)",IF(J2748&gt;=6,"Fuerte (6-6.9)",IF(J2748&gt;=5,"Moderado alto (5-5.9)",IF(J2748&gt;=4,"Moderado (4-4.9)","Menor a 4"))))</x:f>
        <x:v>Moderado alto (5-5.9)</x:v>
      </x:c>
      <x:c r="L2748" s="25" t="str">
        <x:f>IF(I2748&lt;70,"Superficial (&lt;70 km)",IF(I2748&lt;=300,"Intermedio (70-300 km)","Profundo (&gt;300 km)"))</x:f>
        <x:v>Superficial (&lt;70 km)</x:v>
      </x:c>
      <x:c r="M2748" s="25" t="str">
        <x:f>IF(J2748&gt;=5,"Sí","No")</x:f>
        <x:v>Sí</x:v>
      </x:c>
      <x:c r="N2748" s="25" t="str">
        <x:f>IF(J2748&gt;=6,"Sí","No")</x:f>
        <x:v>No</x:v>
      </x:c>
      <x:c r="O2748" s="25" t="str">
        <x:v>Pendiente: asignar con R/sf</x:v>
      </x:c>
    </x:row>
    <x:row r="2749">
      <x:c r="A2749" s="25" t="n">
        <x:v>2748</x:v>
      </x:c>
      <x:c r="B2749" s="26" t="n">
        <x:v>42570.19016203703</x:v>
      </x:c>
      <x:c r="C2749" s="27" t="n">
        <x:f>INT(B2749)</x:f>
        <x:v>42570</x:v>
      </x:c>
      <x:c r="D2749" s="28" t="n">
        <x:f>MOD(B2749,1)</x:f>
        <x:v>0.1901620370335877</x:v>
      </x:c>
      <x:c r="E2749" s="29" t="n">
        <x:f>YEAR(B2749)</x:f>
        <x:v>2016</x:v>
      </x:c>
      <x:c r="F2749" s="29" t="n">
        <x:f>MONTH(B2749)</x:f>
        <x:v>7</x:v>
      </x:c>
      <x:c r="G2749" s="30" t="n">
        <x:v>-30.65</x:v>
      </x:c>
      <x:c r="H2749" s="30" t="n">
        <x:v>-71.59</x:v>
      </x:c>
      <x:c r="I2749" s="29" t="n">
        <x:v>28</x:v>
      </x:c>
      <x:c r="J2749" s="31" t="n">
        <x:v>4.4</x:v>
      </x:c>
      <x:c r="K2749" s="25" t="str">
        <x:f>IF(J2749&gt;=7,"Muy fuerte (&gt;=7)",IF(J2749&gt;=6,"Fuerte (6-6.9)",IF(J2749&gt;=5,"Moderado alto (5-5.9)",IF(J2749&gt;=4,"Moderado (4-4.9)","Menor a 4"))))</x:f>
        <x:v>Moderado (4-4.9)</x:v>
      </x:c>
      <x:c r="L2749" s="25" t="str">
        <x:f>IF(I2749&lt;70,"Superficial (&lt;70 km)",IF(I2749&lt;=300,"Intermedio (70-300 km)","Profundo (&gt;300 km)"))</x:f>
        <x:v>Superficial (&lt;70 km)</x:v>
      </x:c>
      <x:c r="M2749" s="25" t="str">
        <x:f>IF(J2749&gt;=5,"Sí","No")</x:f>
        <x:v>No</x:v>
      </x:c>
      <x:c r="N2749" s="25" t="str">
        <x:f>IF(J2749&gt;=6,"Sí","No")</x:f>
        <x:v>No</x:v>
      </x:c>
      <x:c r="O2749" s="25" t="str">
        <x:v>Pendiente: asignar con R/sf</x:v>
      </x:c>
    </x:row>
    <x:row r="2750">
      <x:c r="A2750" s="25" t="n">
        <x:v>2749</x:v>
      </x:c>
      <x:c r="B2750" s="26" t="n">
        <x:v>42570.22127314815</x:v>
      </x:c>
      <x:c r="C2750" s="27" t="n">
        <x:f>INT(B2750)</x:f>
        <x:v>42570</x:v>
      </x:c>
      <x:c r="D2750" s="28" t="n">
        <x:f>MOD(B2750,1)</x:f>
        <x:v>0.22127314814861165</x:v>
      </x:c>
      <x:c r="E2750" s="29" t="n">
        <x:f>YEAR(B2750)</x:f>
        <x:v>2016</x:v>
      </x:c>
      <x:c r="F2750" s="29" t="n">
        <x:f>MONTH(B2750)</x:f>
        <x:v>7</x:v>
      </x:c>
      <x:c r="G2750" s="30" t="n">
        <x:v>-30.18</x:v>
      </x:c>
      <x:c r="H2750" s="30" t="n">
        <x:v>-72.21</x:v>
      </x:c>
      <x:c r="I2750" s="29" t="n">
        <x:v>35</x:v>
      </x:c>
      <x:c r="J2750" s="31" t="n">
        <x:v>5.4</x:v>
      </x:c>
      <x:c r="K2750" s="25" t="str">
        <x:f>IF(J2750&gt;=7,"Muy fuerte (&gt;=7)",IF(J2750&gt;=6,"Fuerte (6-6.9)",IF(J2750&gt;=5,"Moderado alto (5-5.9)",IF(J2750&gt;=4,"Moderado (4-4.9)","Menor a 4"))))</x:f>
        <x:v>Moderado alto (5-5.9)</x:v>
      </x:c>
      <x:c r="L2750" s="25" t="str">
        <x:f>IF(I2750&lt;70,"Superficial (&lt;70 km)",IF(I2750&lt;=300,"Intermedio (70-300 km)","Profundo (&gt;300 km)"))</x:f>
        <x:v>Superficial (&lt;70 km)</x:v>
      </x:c>
      <x:c r="M2750" s="25" t="str">
        <x:f>IF(J2750&gt;=5,"Sí","No")</x:f>
        <x:v>Sí</x:v>
      </x:c>
      <x:c r="N2750" s="25" t="str">
        <x:f>IF(J2750&gt;=6,"Sí","No")</x:f>
        <x:v>No</x:v>
      </x:c>
      <x:c r="O2750" s="25" t="str">
        <x:v>Pendiente: asignar con R/sf</x:v>
      </x:c>
    </x:row>
    <x:row r="2751">
      <x:c r="A2751" s="25" t="n">
        <x:v>2750</x:v>
      </x:c>
      <x:c r="B2751" s="26" t="n">
        <x:v>42576.62464120371</x:v>
      </x:c>
      <x:c r="C2751" s="27" t="n">
        <x:f>INT(B2751)</x:f>
        <x:v>42576</x:v>
      </x:c>
      <x:c r="D2751" s="28" t="n">
        <x:f>MOD(B2751,1)</x:f>
        <x:v>0.6246412037071423</x:v>
      </x:c>
      <x:c r="E2751" s="29" t="n">
        <x:f>YEAR(B2751)</x:f>
        <x:v>2016</x:v>
      </x:c>
      <x:c r="F2751" s="29" t="n">
        <x:f>MONTH(B2751)</x:f>
        <x:v>7</x:v>
      </x:c>
      <x:c r="G2751" s="30" t="n">
        <x:v>-30.8</x:v>
      </x:c>
      <x:c r="H2751" s="30" t="n">
        <x:v>-71.44</x:v>
      </x:c>
      <x:c r="I2751" s="29" t="n">
        <x:v>42</x:v>
      </x:c>
      <x:c r="J2751" s="31" t="n">
        <x:v>4.8</x:v>
      </x:c>
      <x:c r="K2751" s="25" t="str">
        <x:f>IF(J2751&gt;=7,"Muy fuerte (&gt;=7)",IF(J2751&gt;=6,"Fuerte (6-6.9)",IF(J2751&gt;=5,"Moderado alto (5-5.9)",IF(J2751&gt;=4,"Moderado (4-4.9)","Menor a 4"))))</x:f>
        <x:v>Moderado (4-4.9)</x:v>
      </x:c>
      <x:c r="L2751" s="25" t="str">
        <x:f>IF(I2751&lt;70,"Superficial (&lt;70 km)",IF(I2751&lt;=300,"Intermedio (70-300 km)","Profundo (&gt;300 km)"))</x:f>
        <x:v>Superficial (&lt;70 km)</x:v>
      </x:c>
      <x:c r="M2751" s="25" t="str">
        <x:f>IF(J2751&gt;=5,"Sí","No")</x:f>
        <x:v>No</x:v>
      </x:c>
      <x:c r="N2751" s="25" t="str">
        <x:f>IF(J2751&gt;=6,"Sí","No")</x:f>
        <x:v>No</x:v>
      </x:c>
      <x:c r="O2751" s="25" t="str">
        <x:v>Pendiente: asignar con R/sf</x:v>
      </x:c>
    </x:row>
    <x:row r="2752">
      <x:c r="A2752" s="25" t="n">
        <x:v>2751</x:v>
      </x:c>
      <x:c r="B2752" s="26" t="n">
        <x:v>42576.726956018516</x:v>
      </x:c>
      <x:c r="C2752" s="27" t="n">
        <x:f>INT(B2752)</x:f>
        <x:v>42576</x:v>
      </x:c>
      <x:c r="D2752" s="28" t="n">
        <x:f>MOD(B2752,1)</x:f>
        <x:v>0.7269560185159207</x:v>
      </x:c>
      <x:c r="E2752" s="29" t="n">
        <x:f>YEAR(B2752)</x:f>
        <x:v>2016</x:v>
      </x:c>
      <x:c r="F2752" s="29" t="n">
        <x:f>MONTH(B2752)</x:f>
        <x:v>7</x:v>
      </x:c>
      <x:c r="G2752" s="30" t="n">
        <x:v>-26.11</x:v>
      </x:c>
      <x:c r="H2752" s="30" t="n">
        <x:v>-70.48</x:v>
      </x:c>
      <x:c r="I2752" s="29" t="n">
        <x:v>60</x:v>
      </x:c>
      <x:c r="J2752" s="31" t="n">
        <x:v>6</x:v>
      </x:c>
      <x:c r="K2752" s="25" t="str">
        <x:f>IF(J2752&gt;=7,"Muy fuerte (&gt;=7)",IF(J2752&gt;=6,"Fuerte (6-6.9)",IF(J2752&gt;=5,"Moderado alto (5-5.9)",IF(J2752&gt;=4,"Moderado (4-4.9)","Menor a 4"))))</x:f>
        <x:v>Fuerte (6-6.9)</x:v>
      </x:c>
      <x:c r="L2752" s="25" t="str">
        <x:f>IF(I2752&lt;70,"Superficial (&lt;70 km)",IF(I2752&lt;=300,"Intermedio (70-300 km)","Profundo (&gt;300 km)"))</x:f>
        <x:v>Superficial (&lt;70 km)</x:v>
      </x:c>
      <x:c r="M2752" s="25" t="str">
        <x:f>IF(J2752&gt;=5,"Sí","No")</x:f>
        <x:v>Sí</x:v>
      </x:c>
      <x:c r="N2752" s="25" t="str">
        <x:f>IF(J2752&gt;=6,"Sí","No")</x:f>
        <x:v>Sí</x:v>
      </x:c>
      <x:c r="O2752" s="25" t="str">
        <x:v>Pendiente: asignar con R/sf</x:v>
      </x:c>
    </x:row>
    <x:row r="2753">
      <x:c r="A2753" s="25" t="n">
        <x:v>2752</x:v>
      </x:c>
      <x:c r="B2753" s="26" t="n">
        <x:v>42577.95861111111</x:v>
      </x:c>
      <x:c r="C2753" s="27" t="n">
        <x:f>INT(B2753)</x:f>
        <x:v>42577</x:v>
      </x:c>
      <x:c r="D2753" s="28" t="n">
        <x:f>MOD(B2753,1)</x:f>
        <x:v>0.9586111111129867</x:v>
      </x:c>
      <x:c r="E2753" s="29" t="n">
        <x:f>YEAR(B2753)</x:f>
        <x:v>2016</x:v>
      </x:c>
      <x:c r="F2753" s="29" t="n">
        <x:f>MONTH(B2753)</x:f>
        <x:v>7</x:v>
      </x:c>
      <x:c r="G2753" s="30" t="n">
        <x:v>-32.7</x:v>
      </x:c>
      <x:c r="H2753" s="30" t="n">
        <x:v>-71.74</x:v>
      </x:c>
      <x:c r="I2753" s="29" t="n">
        <x:v>25</x:v>
      </x:c>
      <x:c r="J2753" s="31" t="n">
        <x:v>4.9</x:v>
      </x:c>
      <x:c r="K2753" s="25" t="str">
        <x:f>IF(J2753&gt;=7,"Muy fuerte (&gt;=7)",IF(J2753&gt;=6,"Fuerte (6-6.9)",IF(J2753&gt;=5,"Moderado alto (5-5.9)",IF(J2753&gt;=4,"Moderado (4-4.9)","Menor a 4"))))</x:f>
        <x:v>Moderado (4-4.9)</x:v>
      </x:c>
      <x:c r="L2753" s="25" t="str">
        <x:f>IF(I2753&lt;70,"Superficial (&lt;70 km)",IF(I2753&lt;=300,"Intermedio (70-300 km)","Profundo (&gt;300 km)"))</x:f>
        <x:v>Superficial (&lt;70 km)</x:v>
      </x:c>
      <x:c r="M2753" s="25" t="str">
        <x:f>IF(J2753&gt;=5,"Sí","No")</x:f>
        <x:v>No</x:v>
      </x:c>
      <x:c r="N2753" s="25" t="str">
        <x:f>IF(J2753&gt;=6,"Sí","No")</x:f>
        <x:v>No</x:v>
      </x:c>
      <x:c r="O2753" s="25" t="str">
        <x:v>Pendiente: asignar con R/sf</x:v>
      </x:c>
    </x:row>
    <x:row r="2754">
      <x:c r="A2754" s="25" t="n">
        <x:v>2753</x:v>
      </x:c>
      <x:c r="B2754" s="26" t="n">
        <x:v>42579.02384259259</x:v>
      </x:c>
      <x:c r="C2754" s="27" t="n">
        <x:f>INT(B2754)</x:f>
        <x:v>42579</x:v>
      </x:c>
      <x:c r="D2754" s="28" t="n">
        <x:f>MOD(B2754,1)</x:f>
        <x:v>0.023842592592700385</x:v>
      </x:c>
      <x:c r="E2754" s="29" t="n">
        <x:f>YEAR(B2754)</x:f>
        <x:v>2016</x:v>
      </x:c>
      <x:c r="F2754" s="29" t="n">
        <x:f>MONTH(B2754)</x:f>
        <x:v>7</x:v>
      </x:c>
      <x:c r="G2754" s="30" t="n">
        <x:v>-30.41</x:v>
      </x:c>
      <x:c r="H2754" s="30" t="n">
        <x:v>-71.63</x:v>
      </x:c>
      <x:c r="I2754" s="29" t="n">
        <x:v>36</x:v>
      </x:c>
      <x:c r="J2754" s="31" t="n">
        <x:v>4.4</x:v>
      </x:c>
      <x:c r="K2754" s="25" t="str">
        <x:f>IF(J2754&gt;=7,"Muy fuerte (&gt;=7)",IF(J2754&gt;=6,"Fuerte (6-6.9)",IF(J2754&gt;=5,"Moderado alto (5-5.9)",IF(J2754&gt;=4,"Moderado (4-4.9)","Menor a 4"))))</x:f>
        <x:v>Moderado (4-4.9)</x:v>
      </x:c>
      <x:c r="L2754" s="25" t="str">
        <x:f>IF(I2754&lt;70,"Superficial (&lt;70 km)",IF(I2754&lt;=300,"Intermedio (70-300 km)","Profundo (&gt;300 km)"))</x:f>
        <x:v>Superficial (&lt;70 km)</x:v>
      </x:c>
      <x:c r="M2754" s="25" t="str">
        <x:f>IF(J2754&gt;=5,"Sí","No")</x:f>
        <x:v>No</x:v>
      </x:c>
      <x:c r="N2754" s="25" t="str">
        <x:f>IF(J2754&gt;=6,"Sí","No")</x:f>
        <x:v>No</x:v>
      </x:c>
      <x:c r="O2754" s="25" t="str">
        <x:v>Pendiente: asignar con R/sf</x:v>
      </x:c>
    </x:row>
    <x:row r="2755">
      <x:c r="A2755" s="25" t="n">
        <x:v>2754</x:v>
      </x:c>
      <x:c r="B2755" s="26" t="n">
        <x:v>42592.2803125</x:v>
      </x:c>
      <x:c r="C2755" s="27" t="n">
        <x:f>INT(B2755)</x:f>
        <x:v>42592</x:v>
      </x:c>
      <x:c r="D2755" s="28" t="n">
        <x:f>MOD(B2755,1)</x:f>
        <x:v>0.2803124999991269</x:v>
      </x:c>
      <x:c r="E2755" s="29" t="n">
        <x:f>YEAR(B2755)</x:f>
        <x:v>2016</x:v>
      </x:c>
      <x:c r="F2755" s="29" t="n">
        <x:f>MONTH(B2755)</x:f>
        <x:v>8</x:v>
      </x:c>
      <x:c r="G2755" s="30" t="n">
        <x:v>-31.97</x:v>
      </x:c>
      <x:c r="H2755" s="30" t="n">
        <x:v>-71.54</x:v>
      </x:c>
      <x:c r="I2755" s="29" t="n">
        <x:v>25</x:v>
      </x:c>
      <x:c r="J2755" s="31" t="n">
        <x:v>4.5</x:v>
      </x:c>
      <x:c r="K2755" s="25" t="str">
        <x:f>IF(J2755&gt;=7,"Muy fuerte (&gt;=7)",IF(J2755&gt;=6,"Fuerte (6-6.9)",IF(J2755&gt;=5,"Moderado alto (5-5.9)",IF(J2755&gt;=4,"Moderado (4-4.9)","Menor a 4"))))</x:f>
        <x:v>Moderado (4-4.9)</x:v>
      </x:c>
      <x:c r="L2755" s="25" t="str">
        <x:f>IF(I2755&lt;70,"Superficial (&lt;70 km)",IF(I2755&lt;=300,"Intermedio (70-300 km)","Profundo (&gt;300 km)"))</x:f>
        <x:v>Superficial (&lt;70 km)</x:v>
      </x:c>
      <x:c r="M2755" s="25" t="str">
        <x:f>IF(J2755&gt;=5,"Sí","No")</x:f>
        <x:v>No</x:v>
      </x:c>
      <x:c r="N2755" s="25" t="str">
        <x:f>IF(J2755&gt;=6,"Sí","No")</x:f>
        <x:v>No</x:v>
      </x:c>
      <x:c r="O2755" s="25" t="str">
        <x:v>Pendiente: asignar con R/sf</x:v>
      </x:c>
    </x:row>
    <x:row r="2756">
      <x:c r="A2756" s="25" t="n">
        <x:v>2755</x:v>
      </x:c>
      <x:c r="B2756" s="26" t="n">
        <x:v>42592.34741898148</x:v>
      </x:c>
      <x:c r="C2756" s="27" t="n">
        <x:f>INT(B2756)</x:f>
        <x:v>42592</x:v>
      </x:c>
      <x:c r="D2756" s="28" t="n">
        <x:f>MOD(B2756,1)</x:f>
        <x:v>0.3474189814805868</x:v>
      </x:c>
      <x:c r="E2756" s="29" t="n">
        <x:f>YEAR(B2756)</x:f>
        <x:v>2016</x:v>
      </x:c>
      <x:c r="F2756" s="29" t="n">
        <x:f>MONTH(B2756)</x:f>
        <x:v>8</x:v>
      </x:c>
      <x:c r="G2756" s="30" t="n">
        <x:v>-32.08</x:v>
      </x:c>
      <x:c r="H2756" s="30" t="n">
        <x:v>-71.25</x:v>
      </x:c>
      <x:c r="I2756" s="29" t="n">
        <x:v>86</x:v>
      </x:c>
      <x:c r="J2756" s="31" t="n">
        <x:v>4.9</x:v>
      </x:c>
      <x:c r="K2756" s="25" t="str">
        <x:f>IF(J2756&gt;=7,"Muy fuerte (&gt;=7)",IF(J2756&gt;=6,"Fuerte (6-6.9)",IF(J2756&gt;=5,"Moderado alto (5-5.9)",IF(J2756&gt;=4,"Moderado (4-4.9)","Menor a 4"))))</x:f>
        <x:v>Moderado (4-4.9)</x:v>
      </x:c>
      <x:c r="L2756" s="25" t="str">
        <x:f>IF(I2756&lt;70,"Superficial (&lt;70 km)",IF(I2756&lt;=300,"Intermedio (70-300 km)","Profundo (&gt;300 km)"))</x:f>
        <x:v>Intermedio (70-300 km)</x:v>
      </x:c>
      <x:c r="M2756" s="25" t="str">
        <x:f>IF(J2756&gt;=5,"Sí","No")</x:f>
        <x:v>No</x:v>
      </x:c>
      <x:c r="N2756" s="25" t="str">
        <x:f>IF(J2756&gt;=6,"Sí","No")</x:f>
        <x:v>No</x:v>
      </x:c>
      <x:c r="O2756" s="25" t="str">
        <x:v>Pendiente: asignar con R/sf</x:v>
      </x:c>
    </x:row>
    <x:row r="2757">
      <x:c r="A2757" s="25" t="n">
        <x:v>2756</x:v>
      </x:c>
      <x:c r="B2757" s="26" t="n">
        <x:v>42592.7341087963</x:v>
      </x:c>
      <x:c r="C2757" s="27" t="n">
        <x:f>INT(B2757)</x:f>
        <x:v>42592</x:v>
      </x:c>
      <x:c r="D2757" s="28" t="n">
        <x:f>MOD(B2757,1)</x:f>
        <x:v>0.7341087962995516</x:v>
      </x:c>
      <x:c r="E2757" s="29" t="n">
        <x:f>YEAR(B2757)</x:f>
        <x:v>2016</x:v>
      </x:c>
      <x:c r="F2757" s="29" t="n">
        <x:f>MONTH(B2757)</x:f>
        <x:v>8</x:v>
      </x:c>
      <x:c r="G2757" s="30" t="n">
        <x:v>-30.75</x:v>
      </x:c>
      <x:c r="H2757" s="30" t="n">
        <x:v>-71.41</x:v>
      </x:c>
      <x:c r="I2757" s="29" t="n">
        <x:v>46</x:v>
      </x:c>
      <x:c r="J2757" s="31" t="n">
        <x:v>4.5</x:v>
      </x:c>
      <x:c r="K2757" s="25" t="str">
        <x:f>IF(J2757&gt;=7,"Muy fuerte (&gt;=7)",IF(J2757&gt;=6,"Fuerte (6-6.9)",IF(J2757&gt;=5,"Moderado alto (5-5.9)",IF(J2757&gt;=4,"Moderado (4-4.9)","Menor a 4"))))</x:f>
        <x:v>Moderado (4-4.9)</x:v>
      </x:c>
      <x:c r="L2757" s="25" t="str">
        <x:f>IF(I2757&lt;70,"Superficial (&lt;70 km)",IF(I2757&lt;=300,"Intermedio (70-300 km)","Profundo (&gt;300 km)"))</x:f>
        <x:v>Superficial (&lt;70 km)</x:v>
      </x:c>
      <x:c r="M2757" s="25" t="str">
        <x:f>IF(J2757&gt;=5,"Sí","No")</x:f>
        <x:v>No</x:v>
      </x:c>
      <x:c r="N2757" s="25" t="str">
        <x:f>IF(J2757&gt;=6,"Sí","No")</x:f>
        <x:v>No</x:v>
      </x:c>
      <x:c r="O2757" s="25" t="str">
        <x:v>Pendiente: asignar con R/sf</x:v>
      </x:c>
    </x:row>
    <x:row r="2758">
      <x:c r="A2758" s="25" t="n">
        <x:v>2757</x:v>
      </x:c>
      <x:c r="B2758" s="26" t="n">
        <x:v>42600.007893518516</x:v>
      </x:c>
      <x:c r="C2758" s="27" t="n">
        <x:f>INT(B2758)</x:f>
        <x:v>42600</x:v>
      </x:c>
      <x:c r="D2758" s="28" t="n">
        <x:f>MOD(B2758,1)</x:f>
        <x:v>0.007893518515629694</x:v>
      </x:c>
      <x:c r="E2758" s="29" t="n">
        <x:f>YEAR(B2758)</x:f>
        <x:v>2016</x:v>
      </x:c>
      <x:c r="F2758" s="29" t="n">
        <x:f>MONTH(B2758)</x:f>
        <x:v>8</x:v>
      </x:c>
      <x:c r="G2758" s="30" t="n">
        <x:v>-27.53</x:v>
      </x:c>
      <x:c r="H2758" s="30" t="n">
        <x:v>-70.72</x:v>
      </x:c>
      <x:c r="I2758" s="29" t="n">
        <x:v>55</x:v>
      </x:c>
      <x:c r="J2758" s="31" t="n">
        <x:v>4</x:v>
      </x:c>
      <x:c r="K2758" s="25" t="str">
        <x:f>IF(J2758&gt;=7,"Muy fuerte (&gt;=7)",IF(J2758&gt;=6,"Fuerte (6-6.9)",IF(J2758&gt;=5,"Moderado alto (5-5.9)",IF(J2758&gt;=4,"Moderado (4-4.9)","Menor a 4"))))</x:f>
        <x:v>Moderado (4-4.9)</x:v>
      </x:c>
      <x:c r="L2758" s="25" t="str">
        <x:f>IF(I2758&lt;70,"Superficial (&lt;70 km)",IF(I2758&lt;=300,"Intermedio (70-300 km)","Profundo (&gt;300 km)"))</x:f>
        <x:v>Superficial (&lt;70 km)</x:v>
      </x:c>
      <x:c r="M2758" s="25" t="str">
        <x:f>IF(J2758&gt;=5,"Sí","No")</x:f>
        <x:v>No</x:v>
      </x:c>
      <x:c r="N2758" s="25" t="str">
        <x:f>IF(J2758&gt;=6,"Sí","No")</x:f>
        <x:v>No</x:v>
      </x:c>
      <x:c r="O2758" s="25" t="str">
        <x:v>Pendiente: asignar con R/sf</x:v>
      </x:c>
    </x:row>
    <x:row r="2759">
      <x:c r="A2759" s="25" t="n">
        <x:v>2758</x:v>
      </x:c>
      <x:c r="B2759" s="26" t="n">
        <x:v>42613.668125</x:v>
      </x:c>
      <x:c r="C2759" s="27" t="n">
        <x:f>INT(B2759)</x:f>
        <x:v>42613</x:v>
      </x:c>
      <x:c r="D2759" s="28" t="n">
        <x:f>MOD(B2759,1)</x:f>
        <x:v>0.6681249999965075</x:v>
      </x:c>
      <x:c r="E2759" s="29" t="n">
        <x:f>YEAR(B2759)</x:f>
        <x:v>2016</x:v>
      </x:c>
      <x:c r="F2759" s="29" t="n">
        <x:f>MONTH(B2759)</x:f>
        <x:v>8</x:v>
      </x:c>
      <x:c r="G2759" s="30" t="n">
        <x:v>-29.61</x:v>
      </x:c>
      <x:c r="H2759" s="30" t="n">
        <x:v>-70.68</x:v>
      </x:c>
      <x:c r="I2759" s="29" t="n">
        <x:v>94</x:v>
      </x:c>
      <x:c r="J2759" s="31" t="n">
        <x:v>4.1</x:v>
      </x:c>
      <x:c r="K2759" s="25" t="str">
        <x:f>IF(J2759&gt;=7,"Muy fuerte (&gt;=7)",IF(J2759&gt;=6,"Fuerte (6-6.9)",IF(J2759&gt;=5,"Moderado alto (5-5.9)",IF(J2759&gt;=4,"Moderado (4-4.9)","Menor a 4"))))</x:f>
        <x:v>Moderado (4-4.9)</x:v>
      </x:c>
      <x:c r="L2759" s="25" t="str">
        <x:f>IF(I2759&lt;70,"Superficial (&lt;70 km)",IF(I2759&lt;=300,"Intermedio (70-300 km)","Profundo (&gt;300 km)"))</x:f>
        <x:v>Intermedio (70-300 km)</x:v>
      </x:c>
      <x:c r="M2759" s="25" t="str">
        <x:f>IF(J2759&gt;=5,"Sí","No")</x:f>
        <x:v>No</x:v>
      </x:c>
      <x:c r="N2759" s="25" t="str">
        <x:f>IF(J2759&gt;=6,"Sí","No")</x:f>
        <x:v>No</x:v>
      </x:c>
      <x:c r="O2759" s="25" t="str">
        <x:v>Pendiente: asignar con R/sf</x:v>
      </x:c>
    </x:row>
    <x:row r="2760">
      <x:c r="A2760" s="25" t="n">
        <x:v>2759</x:v>
      </x:c>
      <x:c r="B2760" s="26" t="n">
        <x:v>42620.95452546296</x:v>
      </x:c>
      <x:c r="C2760" s="27" t="n">
        <x:f>INT(B2760)</x:f>
        <x:v>42620</x:v>
      </x:c>
      <x:c r="D2760" s="28" t="n">
        <x:f>MOD(B2760,1)</x:f>
        <x:v>0.9545254629629198</x:v>
      </x:c>
      <x:c r="E2760" s="29" t="n">
        <x:f>YEAR(B2760)</x:f>
        <x:v>2016</x:v>
      </x:c>
      <x:c r="F2760" s="29" t="n">
        <x:f>MONTH(B2760)</x:f>
        <x:v>9</x:v>
      </x:c>
      <x:c r="G2760" s="30" t="n">
        <x:v>-32.31</x:v>
      </x:c>
      <x:c r="H2760" s="30" t="n">
        <x:v>-71.58</x:v>
      </x:c>
      <x:c r="I2760" s="29" t="n">
        <x:v>42</x:v>
      </x:c>
      <x:c r="J2760" s="31" t="n">
        <x:v>4.5</x:v>
      </x:c>
      <x:c r="K2760" s="25" t="str">
        <x:f>IF(J2760&gt;=7,"Muy fuerte (&gt;=7)",IF(J2760&gt;=6,"Fuerte (6-6.9)",IF(J2760&gt;=5,"Moderado alto (5-5.9)",IF(J2760&gt;=4,"Moderado (4-4.9)","Menor a 4"))))</x:f>
        <x:v>Moderado (4-4.9)</x:v>
      </x:c>
      <x:c r="L2760" s="25" t="str">
        <x:f>IF(I2760&lt;70,"Superficial (&lt;70 km)",IF(I2760&lt;=300,"Intermedio (70-300 km)","Profundo (&gt;300 km)"))</x:f>
        <x:v>Superficial (&lt;70 km)</x:v>
      </x:c>
      <x:c r="M2760" s="25" t="str">
        <x:f>IF(J2760&gt;=5,"Sí","No")</x:f>
        <x:v>No</x:v>
      </x:c>
      <x:c r="N2760" s="25" t="str">
        <x:f>IF(J2760&gt;=6,"Sí","No")</x:f>
        <x:v>No</x:v>
      </x:c>
      <x:c r="O2760" s="25" t="str">
        <x:v>Pendiente: asignar con R/sf</x:v>
      </x:c>
    </x:row>
    <x:row r="2761">
      <x:c r="A2761" s="25" t="n">
        <x:v>2760</x:v>
      </x:c>
      <x:c r="B2761" s="26" t="n">
        <x:v>42631.67150462963</x:v>
      </x:c>
      <x:c r="C2761" s="27" t="n">
        <x:f>INT(B2761)</x:f>
        <x:v>42631</x:v>
      </x:c>
      <x:c r="D2761" s="28" t="n">
        <x:f>MOD(B2761,1)</x:f>
        <x:v>0.6715046296303626</x:v>
      </x:c>
      <x:c r="E2761" s="29" t="n">
        <x:f>YEAR(B2761)</x:f>
        <x:v>2016</x:v>
      </x:c>
      <x:c r="F2761" s="29" t="n">
        <x:f>MONTH(B2761)</x:f>
        <x:v>9</x:v>
      </x:c>
      <x:c r="G2761" s="30" t="n">
        <x:v>-30.66</x:v>
      </x:c>
      <x:c r="H2761" s="30" t="n">
        <x:v>-71.37</x:v>
      </x:c>
      <x:c r="I2761" s="29" t="n">
        <x:v>50</x:v>
      </x:c>
      <x:c r="J2761" s="31" t="n">
        <x:v>4.1</x:v>
      </x:c>
      <x:c r="K2761" s="25" t="str">
        <x:f>IF(J2761&gt;=7,"Muy fuerte (&gt;=7)",IF(J2761&gt;=6,"Fuerte (6-6.9)",IF(J2761&gt;=5,"Moderado alto (5-5.9)",IF(J2761&gt;=4,"Moderado (4-4.9)","Menor a 4"))))</x:f>
        <x:v>Moderado (4-4.9)</x:v>
      </x:c>
      <x:c r="L2761" s="25" t="str">
        <x:f>IF(I2761&lt;70,"Superficial (&lt;70 km)",IF(I2761&lt;=300,"Intermedio (70-300 km)","Profundo (&gt;300 km)"))</x:f>
        <x:v>Superficial (&lt;70 km)</x:v>
      </x:c>
      <x:c r="M2761" s="25" t="str">
        <x:f>IF(J2761&gt;=5,"Sí","No")</x:f>
        <x:v>No</x:v>
      </x:c>
      <x:c r="N2761" s="25" t="str">
        <x:f>IF(J2761&gt;=6,"Sí","No")</x:f>
        <x:v>No</x:v>
      </x:c>
      <x:c r="O2761" s="25" t="str">
        <x:v>Pendiente: asignar con R/sf</x:v>
      </x:c>
    </x:row>
    <x:row r="2762">
      <x:c r="A2762" s="25" t="n">
        <x:v>2761</x:v>
      </x:c>
      <x:c r="B2762" s="26" t="n">
        <x:v>42637.83841435185</x:v>
      </x:c>
      <x:c r="C2762" s="27" t="n">
        <x:f>INT(B2762)</x:f>
        <x:v>42637</x:v>
      </x:c>
      <x:c r="D2762" s="28" t="n">
        <x:f>MOD(B2762,1)</x:f>
        <x:v>0.838414351848769</x:v>
      </x:c>
      <x:c r="E2762" s="29" t="n">
        <x:f>YEAR(B2762)</x:f>
        <x:v>2016</x:v>
      </x:c>
      <x:c r="F2762" s="29" t="n">
        <x:f>MONTH(B2762)</x:f>
        <x:v>9</x:v>
      </x:c>
      <x:c r="G2762" s="30" t="n">
        <x:v>-32.61</x:v>
      </x:c>
      <x:c r="H2762" s="30" t="n">
        <x:v>-71.57</x:v>
      </x:c>
      <x:c r="I2762" s="29" t="n">
        <x:v>32</x:v>
      </x:c>
      <x:c r="J2762" s="31" t="n">
        <x:v>4</x:v>
      </x:c>
      <x:c r="K2762" s="25" t="str">
        <x:f>IF(J2762&gt;=7,"Muy fuerte (&gt;=7)",IF(J2762&gt;=6,"Fuerte (6-6.9)",IF(J2762&gt;=5,"Moderado alto (5-5.9)",IF(J2762&gt;=4,"Moderado (4-4.9)","Menor a 4"))))</x:f>
        <x:v>Moderado (4-4.9)</x:v>
      </x:c>
      <x:c r="L2762" s="25" t="str">
        <x:f>IF(I2762&lt;70,"Superficial (&lt;70 km)",IF(I2762&lt;=300,"Intermedio (70-300 km)","Profundo (&gt;300 km)"))</x:f>
        <x:v>Superficial (&lt;70 km)</x:v>
      </x:c>
      <x:c r="M2762" s="25" t="str">
        <x:f>IF(J2762&gt;=5,"Sí","No")</x:f>
        <x:v>No</x:v>
      </x:c>
      <x:c r="N2762" s="25" t="str">
        <x:f>IF(J2762&gt;=6,"Sí","No")</x:f>
        <x:v>No</x:v>
      </x:c>
      <x:c r="O2762" s="25" t="str">
        <x:v>Pendiente: asignar con R/sf</x:v>
      </x:c>
    </x:row>
    <x:row r="2763">
      <x:c r="A2763" s="25" t="n">
        <x:v>2762</x:v>
      </x:c>
      <x:c r="B2763" s="26" t="n">
        <x:v>42638.05818287037</x:v>
      </x:c>
      <x:c r="C2763" s="27" t="n">
        <x:f>INT(B2763)</x:f>
        <x:v>42638</x:v>
      </x:c>
      <x:c r="D2763" s="28" t="n">
        <x:f>MOD(B2763,1)</x:f>
        <x:v>0.05818287037254777</x:v>
      </x:c>
      <x:c r="E2763" s="29" t="n">
        <x:f>YEAR(B2763)</x:f>
        <x:v>2016</x:v>
      </x:c>
      <x:c r="F2763" s="29" t="n">
        <x:f>MONTH(B2763)</x:f>
        <x:v>9</x:v>
      </x:c>
      <x:c r="G2763" s="30" t="n">
        <x:v>-30.36</x:v>
      </x:c>
      <x:c r="H2763" s="30" t="n">
        <x:v>-71.65</x:v>
      </x:c>
      <x:c r="I2763" s="29" t="n">
        <x:v>37</x:v>
      </x:c>
      <x:c r="J2763" s="31" t="n">
        <x:v>4.9</x:v>
      </x:c>
      <x:c r="K2763" s="25" t="str">
        <x:f>IF(J2763&gt;=7,"Muy fuerte (&gt;=7)",IF(J2763&gt;=6,"Fuerte (6-6.9)",IF(J2763&gt;=5,"Moderado alto (5-5.9)",IF(J2763&gt;=4,"Moderado (4-4.9)","Menor a 4"))))</x:f>
        <x:v>Moderado (4-4.9)</x:v>
      </x:c>
      <x:c r="L2763" s="25" t="str">
        <x:f>IF(I2763&lt;70,"Superficial (&lt;70 km)",IF(I2763&lt;=300,"Intermedio (70-300 km)","Profundo (&gt;300 km)"))</x:f>
        <x:v>Superficial (&lt;70 km)</x:v>
      </x:c>
      <x:c r="M2763" s="25" t="str">
        <x:f>IF(J2763&gt;=5,"Sí","No")</x:f>
        <x:v>No</x:v>
      </x:c>
      <x:c r="N2763" s="25" t="str">
        <x:f>IF(J2763&gt;=6,"Sí","No")</x:f>
        <x:v>No</x:v>
      </x:c>
      <x:c r="O2763" s="25" t="str">
        <x:v>Pendiente: asignar con R/sf</x:v>
      </x:c>
    </x:row>
    <x:row r="2764">
      <x:c r="A2764" s="25" t="n">
        <x:v>2763</x:v>
      </x:c>
      <x:c r="B2764" s="26" t="n">
        <x:v>42648.262094907404</x:v>
      </x:c>
      <x:c r="C2764" s="27" t="n">
        <x:f>INT(B2764)</x:f>
        <x:v>42648</x:v>
      </x:c>
      <x:c r="D2764" s="28" t="n">
        <x:f>MOD(B2764,1)</x:f>
        <x:v>0.26209490740438923</x:v>
      </x:c>
      <x:c r="E2764" s="29" t="n">
        <x:f>YEAR(B2764)</x:f>
        <x:v>2016</x:v>
      </x:c>
      <x:c r="F2764" s="29" t="n">
        <x:f>MONTH(B2764)</x:f>
        <x:v>10</x:v>
      </x:c>
      <x:c r="G2764" s="30" t="n">
        <x:v>-29.29</x:v>
      </x:c>
      <x:c r="H2764" s="30" t="n">
        <x:v>-70.31</x:v>
      </x:c>
      <x:c r="I2764" s="29" t="n">
        <x:v>108</x:v>
      </x:c>
      <x:c r="J2764" s="31" t="n">
        <x:v>4.6</x:v>
      </x:c>
      <x:c r="K2764" s="25" t="str">
        <x:f>IF(J2764&gt;=7,"Muy fuerte (&gt;=7)",IF(J2764&gt;=6,"Fuerte (6-6.9)",IF(J2764&gt;=5,"Moderado alto (5-5.9)",IF(J2764&gt;=4,"Moderado (4-4.9)","Menor a 4"))))</x:f>
        <x:v>Moderado (4-4.9)</x:v>
      </x:c>
      <x:c r="L2764" s="25" t="str">
        <x:f>IF(I2764&lt;70,"Superficial (&lt;70 km)",IF(I2764&lt;=300,"Intermedio (70-300 km)","Profundo (&gt;300 km)"))</x:f>
        <x:v>Intermedio (70-300 km)</x:v>
      </x:c>
      <x:c r="M2764" s="25" t="str">
        <x:f>IF(J2764&gt;=5,"Sí","No")</x:f>
        <x:v>No</x:v>
      </x:c>
      <x:c r="N2764" s="25" t="str">
        <x:f>IF(J2764&gt;=6,"Sí","No")</x:f>
        <x:v>No</x:v>
      </x:c>
      <x:c r="O2764" s="25" t="str">
        <x:v>Pendiente: asignar con R/sf</x:v>
      </x:c>
    </x:row>
    <x:row r="2765">
      <x:c r="A2765" s="25" t="n">
        <x:v>2764</x:v>
      </x:c>
      <x:c r="B2765" s="26" t="n">
        <x:v>42648.30739583333</x:v>
      </x:c>
      <x:c r="C2765" s="27" t="n">
        <x:f>INT(B2765)</x:f>
        <x:v>42648</x:v>
      </x:c>
      <x:c r="D2765" s="28" t="n">
        <x:f>MOD(B2765,1)</x:f>
        <x:v>0.30739583333343035</x:v>
      </x:c>
      <x:c r="E2765" s="29" t="n">
        <x:f>YEAR(B2765)</x:f>
        <x:v>2016</x:v>
      </x:c>
      <x:c r="F2765" s="29" t="n">
        <x:f>MONTH(B2765)</x:f>
        <x:v>10</x:v>
      </x:c>
      <x:c r="G2765" s="30" t="n">
        <x:v>-30.71</x:v>
      </x:c>
      <x:c r="H2765" s="30" t="n">
        <x:v>-71.37</x:v>
      </x:c>
      <x:c r="I2765" s="29" t="n">
        <x:v>48</x:v>
      </x:c>
      <x:c r="J2765" s="31" t="n">
        <x:v>4.4</x:v>
      </x:c>
      <x:c r="K2765" s="25" t="str">
        <x:f>IF(J2765&gt;=7,"Muy fuerte (&gt;=7)",IF(J2765&gt;=6,"Fuerte (6-6.9)",IF(J2765&gt;=5,"Moderado alto (5-5.9)",IF(J2765&gt;=4,"Moderado (4-4.9)","Menor a 4"))))</x:f>
        <x:v>Moderado (4-4.9)</x:v>
      </x:c>
      <x:c r="L2765" s="25" t="str">
        <x:f>IF(I2765&lt;70,"Superficial (&lt;70 km)",IF(I2765&lt;=300,"Intermedio (70-300 km)","Profundo (&gt;300 km)"))</x:f>
        <x:v>Superficial (&lt;70 km)</x:v>
      </x:c>
      <x:c r="M2765" s="25" t="str">
        <x:f>IF(J2765&gt;=5,"Sí","No")</x:f>
        <x:v>No</x:v>
      </x:c>
      <x:c r="N2765" s="25" t="str">
        <x:f>IF(J2765&gt;=6,"Sí","No")</x:f>
        <x:v>No</x:v>
      </x:c>
      <x:c r="O2765" s="25" t="str">
        <x:v>Pendiente: asignar con R/sf</x:v>
      </x:c>
    </x:row>
    <x:row r="2766">
      <x:c r="A2766" s="25" t="n">
        <x:v>2765</x:v>
      </x:c>
      <x:c r="B2766" s="26" t="n">
        <x:v>42650.99964120371</x:v>
      </x:c>
      <x:c r="C2766" s="27" t="n">
        <x:f>INT(B2766)</x:f>
        <x:v>42650</x:v>
      </x:c>
      <x:c r="D2766" s="28" t="n">
        <x:f>MOD(B2766,1)</x:f>
        <x:v>0.9996412037071423</x:v>
      </x:c>
      <x:c r="E2766" s="29" t="n">
        <x:f>YEAR(B2766)</x:f>
        <x:v>2016</x:v>
      </x:c>
      <x:c r="F2766" s="29" t="n">
        <x:f>MONTH(B2766)</x:f>
        <x:v>10</x:v>
      </x:c>
      <x:c r="G2766" s="30" t="n">
        <x:v>-31</x:v>
      </x:c>
      <x:c r="H2766" s="30" t="n">
        <x:v>-71.3</x:v>
      </x:c>
      <x:c r="I2766" s="29" t="n">
        <x:v>65</x:v>
      </x:c>
      <x:c r="J2766" s="31" t="n">
        <x:v>4.9</x:v>
      </x:c>
      <x:c r="K2766" s="25" t="str">
        <x:f>IF(J2766&gt;=7,"Muy fuerte (&gt;=7)",IF(J2766&gt;=6,"Fuerte (6-6.9)",IF(J2766&gt;=5,"Moderado alto (5-5.9)",IF(J2766&gt;=4,"Moderado (4-4.9)","Menor a 4"))))</x:f>
        <x:v>Moderado (4-4.9)</x:v>
      </x:c>
      <x:c r="L2766" s="25" t="str">
        <x:f>IF(I2766&lt;70,"Superficial (&lt;70 km)",IF(I2766&lt;=300,"Intermedio (70-300 km)","Profundo (&gt;300 km)"))</x:f>
        <x:v>Superficial (&lt;70 km)</x:v>
      </x:c>
      <x:c r="M2766" s="25" t="str">
        <x:f>IF(J2766&gt;=5,"Sí","No")</x:f>
        <x:v>No</x:v>
      </x:c>
      <x:c r="N2766" s="25" t="str">
        <x:f>IF(J2766&gt;=6,"Sí","No")</x:f>
        <x:v>No</x:v>
      </x:c>
      <x:c r="O2766" s="25" t="str">
        <x:v>Pendiente: asignar con R/sf</x:v>
      </x:c>
    </x:row>
    <x:row r="2767">
      <x:c r="A2767" s="25" t="n">
        <x:v>2766</x:v>
      </x:c>
      <x:c r="B2767" s="26" t="n">
        <x:v>42651.197060185186</x:v>
      </x:c>
      <x:c r="C2767" s="27" t="n">
        <x:f>INT(B2767)</x:f>
        <x:v>42651</x:v>
      </x:c>
      <x:c r="D2767" s="28" t="n">
        <x:f>MOD(B2767,1)</x:f>
        <x:v>0.19706018518627388</x:v>
      </x:c>
      <x:c r="E2767" s="29" t="n">
        <x:f>YEAR(B2767)</x:f>
        <x:v>2016</x:v>
      </x:c>
      <x:c r="F2767" s="29" t="n">
        <x:f>MONTH(B2767)</x:f>
        <x:v>10</x:v>
      </x:c>
      <x:c r="G2767" s="30" t="n">
        <x:v>-29.43</x:v>
      </x:c>
      <x:c r="H2767" s="30" t="n">
        <x:v>-71.07</x:v>
      </x:c>
      <x:c r="I2767" s="29" t="n">
        <x:v>62</x:v>
      </x:c>
      <x:c r="J2767" s="31" t="n">
        <x:v>4.2</x:v>
      </x:c>
      <x:c r="K2767" s="25" t="str">
        <x:f>IF(J2767&gt;=7,"Muy fuerte (&gt;=7)",IF(J2767&gt;=6,"Fuerte (6-6.9)",IF(J2767&gt;=5,"Moderado alto (5-5.9)",IF(J2767&gt;=4,"Moderado (4-4.9)","Menor a 4"))))</x:f>
        <x:v>Moderado (4-4.9)</x:v>
      </x:c>
      <x:c r="L2767" s="25" t="str">
        <x:f>IF(I2767&lt;70,"Superficial (&lt;70 km)",IF(I2767&lt;=300,"Intermedio (70-300 km)","Profundo (&gt;300 km)"))</x:f>
        <x:v>Superficial (&lt;70 km)</x:v>
      </x:c>
      <x:c r="M2767" s="25" t="str">
        <x:f>IF(J2767&gt;=5,"Sí","No")</x:f>
        <x:v>No</x:v>
      </x:c>
      <x:c r="N2767" s="25" t="str">
        <x:f>IF(J2767&gt;=6,"Sí","No")</x:f>
        <x:v>No</x:v>
      </x:c>
      <x:c r="O2767" s="25" t="str">
        <x:v>Pendiente: asignar con R/sf</x:v>
      </x:c>
    </x:row>
    <x:row r="2768">
      <x:c r="A2768" s="25" t="n">
        <x:v>2767</x:v>
      </x:c>
      <x:c r="B2768" s="26" t="n">
        <x:v>42652.04351851852</x:v>
      </x:c>
      <x:c r="C2768" s="27" t="n">
        <x:f>INT(B2768)</x:f>
        <x:v>42652</x:v>
      </x:c>
      <x:c r="D2768" s="28" t="n">
        <x:f>MOD(B2768,1)</x:f>
        <x:v>0.04351851851970423</x:v>
      </x:c>
      <x:c r="E2768" s="29" t="n">
        <x:f>YEAR(B2768)</x:f>
        <x:v>2016</x:v>
      </x:c>
      <x:c r="F2768" s="29" t="n">
        <x:f>MONTH(B2768)</x:f>
        <x:v>10</x:v>
      </x:c>
      <x:c r="G2768" s="30" t="n">
        <x:v>-31.35</x:v>
      </x:c>
      <x:c r="H2768" s="30" t="n">
        <x:v>-70.66</x:v>
      </x:c>
      <x:c r="I2768" s="29" t="n">
        <x:v>122</x:v>
      </x:c>
      <x:c r="J2768" s="31" t="n">
        <x:v>4.3</x:v>
      </x:c>
      <x:c r="K2768" s="25" t="str">
        <x:f>IF(J2768&gt;=7,"Muy fuerte (&gt;=7)",IF(J2768&gt;=6,"Fuerte (6-6.9)",IF(J2768&gt;=5,"Moderado alto (5-5.9)",IF(J2768&gt;=4,"Moderado (4-4.9)","Menor a 4"))))</x:f>
        <x:v>Moderado (4-4.9)</x:v>
      </x:c>
      <x:c r="L2768" s="25" t="str">
        <x:f>IF(I2768&lt;70,"Superficial (&lt;70 km)",IF(I2768&lt;=300,"Intermedio (70-300 km)","Profundo (&gt;300 km)"))</x:f>
        <x:v>Intermedio (70-300 km)</x:v>
      </x:c>
      <x:c r="M2768" s="25" t="str">
        <x:f>IF(J2768&gt;=5,"Sí","No")</x:f>
        <x:v>No</x:v>
      </x:c>
      <x:c r="N2768" s="25" t="str">
        <x:f>IF(J2768&gt;=6,"Sí","No")</x:f>
        <x:v>No</x:v>
      </x:c>
      <x:c r="O2768" s="25" t="str">
        <x:v>Pendiente: asignar con R/sf</x:v>
      </x:c>
    </x:row>
    <x:row r="2769">
      <x:c r="A2769" s="25" t="n">
        <x:v>2768</x:v>
      </x:c>
      <x:c r="B2769" s="26" t="n">
        <x:v>42654.53618055556</x:v>
      </x:c>
      <x:c r="C2769" s="27" t="n">
        <x:f>INT(B2769)</x:f>
        <x:v>42654</x:v>
      </x:c>
      <x:c r="D2769" s="28" t="n">
        <x:f>MOD(B2769,1)</x:f>
        <x:v>0.5361805555585306</x:v>
      </x:c>
      <x:c r="E2769" s="29" t="n">
        <x:f>YEAR(B2769)</x:f>
        <x:v>2016</x:v>
      </x:c>
      <x:c r="F2769" s="29" t="n">
        <x:f>MONTH(B2769)</x:f>
        <x:v>10</x:v>
      </x:c>
      <x:c r="G2769" s="30" t="n">
        <x:v>-28.39</x:v>
      </x:c>
      <x:c r="H2769" s="30" t="n">
        <x:v>-70.47</x:v>
      </x:c>
      <x:c r="I2769" s="29" t="n">
        <x:v>80</x:v>
      </x:c>
      <x:c r="J2769" s="31" t="n">
        <x:v>4.2</x:v>
      </x:c>
      <x:c r="K2769" s="25" t="str">
        <x:f>IF(J2769&gt;=7,"Muy fuerte (&gt;=7)",IF(J2769&gt;=6,"Fuerte (6-6.9)",IF(J2769&gt;=5,"Moderado alto (5-5.9)",IF(J2769&gt;=4,"Moderado (4-4.9)","Menor a 4"))))</x:f>
        <x:v>Moderado (4-4.9)</x:v>
      </x:c>
      <x:c r="L2769" s="25" t="str">
        <x:f>IF(I2769&lt;70,"Superficial (&lt;70 km)",IF(I2769&lt;=300,"Intermedio (70-300 km)","Profundo (&gt;300 km)"))</x:f>
        <x:v>Intermedio (70-300 km)</x:v>
      </x:c>
      <x:c r="M2769" s="25" t="str">
        <x:f>IF(J2769&gt;=5,"Sí","No")</x:f>
        <x:v>No</x:v>
      </x:c>
      <x:c r="N2769" s="25" t="str">
        <x:f>IF(J2769&gt;=6,"Sí","No")</x:f>
        <x:v>No</x:v>
      </x:c>
      <x:c r="O2769" s="25" t="str">
        <x:v>Pendiente: asignar con R/sf</x:v>
      </x:c>
    </x:row>
    <x:row r="2770">
      <x:c r="A2770" s="25" t="n">
        <x:v>2769</x:v>
      </x:c>
      <x:c r="B2770" s="26" t="n">
        <x:v>42655.08289351852</x:v>
      </x:c>
      <x:c r="C2770" s="27" t="n">
        <x:f>INT(B2770)</x:f>
        <x:v>42655</x:v>
      </x:c>
      <x:c r="D2770" s="28" t="n">
        <x:f>MOD(B2770,1)</x:f>
        <x:v>0.08289351851999527</x:v>
      </x:c>
      <x:c r="E2770" s="29" t="n">
        <x:f>YEAR(B2770)</x:f>
        <x:v>2016</x:v>
      </x:c>
      <x:c r="F2770" s="29" t="n">
        <x:f>MONTH(B2770)</x:f>
        <x:v>10</x:v>
      </x:c>
      <x:c r="G2770" s="30" t="n">
        <x:v>-30.69</x:v>
      </x:c>
      <x:c r="H2770" s="30" t="n">
        <x:v>-71.38</x:v>
      </x:c>
      <x:c r="I2770" s="29" t="n">
        <x:v>41</x:v>
      </x:c>
      <x:c r="J2770" s="31" t="n">
        <x:v>5</x:v>
      </x:c>
      <x:c r="K2770" s="25" t="str">
        <x:f>IF(J2770&gt;=7,"Muy fuerte (&gt;=7)",IF(J2770&gt;=6,"Fuerte (6-6.9)",IF(J2770&gt;=5,"Moderado alto (5-5.9)",IF(J2770&gt;=4,"Moderado (4-4.9)","Menor a 4"))))</x:f>
        <x:v>Moderado alto (5-5.9)</x:v>
      </x:c>
      <x:c r="L2770" s="25" t="str">
        <x:f>IF(I2770&lt;70,"Superficial (&lt;70 km)",IF(I2770&lt;=300,"Intermedio (70-300 km)","Profundo (&gt;300 km)"))</x:f>
        <x:v>Superficial (&lt;70 km)</x:v>
      </x:c>
      <x:c r="M2770" s="25" t="str">
        <x:f>IF(J2770&gt;=5,"Sí","No")</x:f>
        <x:v>Sí</x:v>
      </x:c>
      <x:c r="N2770" s="25" t="str">
        <x:f>IF(J2770&gt;=6,"Sí","No")</x:f>
        <x:v>No</x:v>
      </x:c>
      <x:c r="O2770" s="25" t="str">
        <x:v>Pendiente: asignar con R/sf</x:v>
      </x:c>
    </x:row>
    <x:row r="2771">
      <x:c r="A2771" s="25" t="n">
        <x:v>2770</x:v>
      </x:c>
      <x:c r="B2771" s="26" t="n">
        <x:v>42669.51253472222</x:v>
      </x:c>
      <x:c r="C2771" s="27" t="n">
        <x:f>INT(B2771)</x:f>
        <x:v>42669</x:v>
      </x:c>
      <x:c r="D2771" s="28" t="n">
        <x:f>MOD(B2771,1)</x:f>
        <x:v>0.5125347222201526</x:v>
      </x:c>
      <x:c r="E2771" s="29" t="n">
        <x:f>YEAR(B2771)</x:f>
        <x:v>2016</x:v>
      </x:c>
      <x:c r="F2771" s="29" t="n">
        <x:f>MONTH(B2771)</x:f>
        <x:v>10</x:v>
      </x:c>
      <x:c r="G2771" s="30" t="n">
        <x:v>-27.72</x:v>
      </x:c>
      <x:c r="H2771" s="30" t="n">
        <x:v>-70.16</x:v>
      </x:c>
      <x:c r="I2771" s="29" t="n">
        <x:v>88</x:v>
      </x:c>
      <x:c r="J2771" s="31" t="n">
        <x:v>4.2</x:v>
      </x:c>
      <x:c r="K2771" s="25" t="str">
        <x:f>IF(J2771&gt;=7,"Muy fuerte (&gt;=7)",IF(J2771&gt;=6,"Fuerte (6-6.9)",IF(J2771&gt;=5,"Moderado alto (5-5.9)",IF(J2771&gt;=4,"Moderado (4-4.9)","Menor a 4"))))</x:f>
        <x:v>Moderado (4-4.9)</x:v>
      </x:c>
      <x:c r="L2771" s="25" t="str">
        <x:f>IF(I2771&lt;70,"Superficial (&lt;70 km)",IF(I2771&lt;=300,"Intermedio (70-300 km)","Profundo (&gt;300 km)"))</x:f>
        <x:v>Intermedio (70-300 km)</x:v>
      </x:c>
      <x:c r="M2771" s="25" t="str">
        <x:f>IF(J2771&gt;=5,"Sí","No")</x:f>
        <x:v>No</x:v>
      </x:c>
      <x:c r="N2771" s="25" t="str">
        <x:f>IF(J2771&gt;=6,"Sí","No")</x:f>
        <x:v>No</x:v>
      </x:c>
      <x:c r="O2771" s="25" t="str">
        <x:v>Pendiente: asignar con R/sf</x:v>
      </x:c>
    </x:row>
    <x:row r="2772">
      <x:c r="A2772" s="25" t="n">
        <x:v>2771</x:v>
      </x:c>
      <x:c r="B2772" s="26" t="n">
        <x:v>42678.681076388886</x:v>
      </x:c>
      <x:c r="C2772" s="27" t="n">
        <x:f>INT(B2772)</x:f>
        <x:v>42678</x:v>
      </x:c>
      <x:c r="D2772" s="28" t="n">
        <x:f>MOD(B2772,1)</x:f>
        <x:v>0.6810763888861402</x:v>
      </x:c>
      <x:c r="E2772" s="29" t="n">
        <x:f>YEAR(B2772)</x:f>
        <x:v>2016</x:v>
      </x:c>
      <x:c r="F2772" s="29" t="n">
        <x:f>MONTH(B2772)</x:f>
        <x:v>11</x:v>
      </x:c>
      <x:c r="G2772" s="30" t="n">
        <x:v>-35.06</x:v>
      </x:c>
      <x:c r="H2772" s="30" t="n">
        <x:v>-71</x:v>
      </x:c>
      <x:c r="I2772" s="29" t="n">
        <x:v>95</x:v>
      </x:c>
      <x:c r="J2772" s="31" t="n">
        <x:v>6.4</x:v>
      </x:c>
      <x:c r="K2772" s="25" t="str">
        <x:f>IF(J2772&gt;=7,"Muy fuerte (&gt;=7)",IF(J2772&gt;=6,"Fuerte (6-6.9)",IF(J2772&gt;=5,"Moderado alto (5-5.9)",IF(J2772&gt;=4,"Moderado (4-4.9)","Menor a 4"))))</x:f>
        <x:v>Fuerte (6-6.9)</x:v>
      </x:c>
      <x:c r="L2772" s="25" t="str">
        <x:f>IF(I2772&lt;70,"Superficial (&lt;70 km)",IF(I2772&lt;=300,"Intermedio (70-300 km)","Profundo (&gt;300 km)"))</x:f>
        <x:v>Intermedio (70-300 km)</x:v>
      </x:c>
      <x:c r="M2772" s="25" t="str">
        <x:f>IF(J2772&gt;=5,"Sí","No")</x:f>
        <x:v>Sí</x:v>
      </x:c>
      <x:c r="N2772" s="25" t="str">
        <x:f>IF(J2772&gt;=6,"Sí","No")</x:f>
        <x:v>Sí</x:v>
      </x:c>
      <x:c r="O2772" s="25" t="str">
        <x:v>Pendiente: asignar con R/sf</x:v>
      </x:c>
    </x:row>
    <x:row r="2773">
      <x:c r="A2773" s="25" t="n">
        <x:v>2772</x:v>
      </x:c>
      <x:c r="B2773" s="26" t="n">
        <x:v>42688.42465277778</x:v>
      </x:c>
      <x:c r="C2773" s="27" t="n">
        <x:f>INT(B2773)</x:f>
        <x:v>42688</x:v>
      </x:c>
      <x:c r="D2773" s="28" t="n">
        <x:f>MOD(B2773,1)</x:f>
        <x:v>0.42465277777955635</x:v>
      </x:c>
      <x:c r="E2773" s="29" t="n">
        <x:f>YEAR(B2773)</x:f>
        <x:v>2016</x:v>
      </x:c>
      <x:c r="F2773" s="29" t="n">
        <x:f>MONTH(B2773)</x:f>
        <x:v>11</x:v>
      </x:c>
      <x:c r="G2773" s="30" t="n">
        <x:v>-30.04</x:v>
      </x:c>
      <x:c r="H2773" s="30" t="n">
        <x:v>-71.58</x:v>
      </x:c>
      <x:c r="I2773" s="29" t="n">
        <x:v>44</x:v>
      </x:c>
      <x:c r="J2773" s="31" t="n">
        <x:v>4.5</x:v>
      </x:c>
      <x:c r="K2773" s="25" t="str">
        <x:f>IF(J2773&gt;=7,"Muy fuerte (&gt;=7)",IF(J2773&gt;=6,"Fuerte (6-6.9)",IF(J2773&gt;=5,"Moderado alto (5-5.9)",IF(J2773&gt;=4,"Moderado (4-4.9)","Menor a 4"))))</x:f>
        <x:v>Moderado (4-4.9)</x:v>
      </x:c>
      <x:c r="L2773" s="25" t="str">
        <x:f>IF(I2773&lt;70,"Superficial (&lt;70 km)",IF(I2773&lt;=300,"Intermedio (70-300 km)","Profundo (&gt;300 km)"))</x:f>
        <x:v>Superficial (&lt;70 km)</x:v>
      </x:c>
      <x:c r="M2773" s="25" t="str">
        <x:f>IF(J2773&gt;=5,"Sí","No")</x:f>
        <x:v>No</x:v>
      </x:c>
      <x:c r="N2773" s="25" t="str">
        <x:f>IF(J2773&gt;=6,"Sí","No")</x:f>
        <x:v>No</x:v>
      </x:c>
      <x:c r="O2773" s="25" t="str">
        <x:v>Pendiente: asignar con R/sf</x:v>
      </x:c>
    </x:row>
    <x:row r="2774">
      <x:c r="A2774" s="25" t="n">
        <x:v>2773</x:v>
      </x:c>
      <x:c r="B2774" s="26" t="n">
        <x:v>42694.873402777775</x:v>
      </x:c>
      <x:c r="C2774" s="27" t="n">
        <x:f>INT(B2774)</x:f>
        <x:v>42694</x:v>
      </x:c>
      <x:c r="D2774" s="28" t="n">
        <x:f>MOD(B2774,1)</x:f>
        <x:v>0.8734027777754818</x:v>
      </x:c>
      <x:c r="E2774" s="29" t="n">
        <x:f>YEAR(B2774)</x:f>
        <x:v>2016</x:v>
      </x:c>
      <x:c r="F2774" s="29" t="n">
        <x:f>MONTH(B2774)</x:f>
        <x:v>11</x:v>
      </x:c>
      <x:c r="G2774" s="30" t="n">
        <x:v>-31.65</x:v>
      </x:c>
      <x:c r="H2774" s="30" t="n">
        <x:v>-68.66</x:v>
      </x:c>
      <x:c r="I2774" s="29" t="n">
        <x:v>90</x:v>
      </x:c>
      <x:c r="J2774" s="31" t="n">
        <x:v>6.6</x:v>
      </x:c>
      <x:c r="K2774" s="25" t="str">
        <x:f>IF(J2774&gt;=7,"Muy fuerte (&gt;=7)",IF(J2774&gt;=6,"Fuerte (6-6.9)",IF(J2774&gt;=5,"Moderado alto (5-5.9)",IF(J2774&gt;=4,"Moderado (4-4.9)","Menor a 4"))))</x:f>
        <x:v>Fuerte (6-6.9)</x:v>
      </x:c>
      <x:c r="L2774" s="25" t="str">
        <x:f>IF(I2774&lt;70,"Superficial (&lt;70 km)",IF(I2774&lt;=300,"Intermedio (70-300 km)","Profundo (&gt;300 km)"))</x:f>
        <x:v>Intermedio (70-300 km)</x:v>
      </x:c>
      <x:c r="M2774" s="25" t="str">
        <x:f>IF(J2774&gt;=5,"Sí","No")</x:f>
        <x:v>Sí</x:v>
      </x:c>
      <x:c r="N2774" s="25" t="str">
        <x:f>IF(J2774&gt;=6,"Sí","No")</x:f>
        <x:v>Sí</x:v>
      </x:c>
      <x:c r="O2774" s="25" t="str">
        <x:v>Pendiente: asignar con R/sf</x:v>
      </x:c>
    </x:row>
    <x:row r="2775">
      <x:c r="A2775" s="25" t="n">
        <x:v>2774</x:v>
      </x:c>
      <x:c r="B2775" s="26" t="n">
        <x:v>42697.696909722225</x:v>
      </x:c>
      <x:c r="C2775" s="27" t="n">
        <x:f>INT(B2775)</x:f>
        <x:v>42697</x:v>
      </x:c>
      <x:c r="D2775" s="28" t="n">
        <x:f>MOD(B2775,1)</x:f>
        <x:v>0.6969097222245182</x:v>
      </x:c>
      <x:c r="E2775" s="29" t="n">
        <x:f>YEAR(B2775)</x:f>
        <x:v>2016</x:v>
      </x:c>
      <x:c r="F2775" s="29" t="n">
        <x:f>MONTH(B2775)</x:f>
        <x:v>11</x:v>
      </x:c>
      <x:c r="G2775" s="30" t="n">
        <x:v>-29.95</x:v>
      </x:c>
      <x:c r="H2775" s="30" t="n">
        <x:v>-71.38</x:v>
      </x:c>
      <x:c r="I2775" s="29" t="n">
        <x:v>47</x:v>
      </x:c>
      <x:c r="J2775" s="31" t="n">
        <x:v>4.5</x:v>
      </x:c>
      <x:c r="K2775" s="25" t="str">
        <x:f>IF(J2775&gt;=7,"Muy fuerte (&gt;=7)",IF(J2775&gt;=6,"Fuerte (6-6.9)",IF(J2775&gt;=5,"Moderado alto (5-5.9)",IF(J2775&gt;=4,"Moderado (4-4.9)","Menor a 4"))))</x:f>
        <x:v>Moderado (4-4.9)</x:v>
      </x:c>
      <x:c r="L2775" s="25" t="str">
        <x:f>IF(I2775&lt;70,"Superficial (&lt;70 km)",IF(I2775&lt;=300,"Intermedio (70-300 km)","Profundo (&gt;300 km)"))</x:f>
        <x:v>Superficial (&lt;70 km)</x:v>
      </x:c>
      <x:c r="M2775" s="25" t="str">
        <x:f>IF(J2775&gt;=5,"Sí","No")</x:f>
        <x:v>No</x:v>
      </x:c>
      <x:c r="N2775" s="25" t="str">
        <x:f>IF(J2775&gt;=6,"Sí","No")</x:f>
        <x:v>No</x:v>
      </x:c>
      <x:c r="O2775" s="25" t="str">
        <x:v>Pendiente: asignar con R/sf</x:v>
      </x:c>
    </x:row>
    <x:row r="2776">
      <x:c r="A2776" s="25" t="n">
        <x:v>2775</x:v>
      </x:c>
      <x:c r="B2776" s="26" t="n">
        <x:v>42704.74407407407</x:v>
      </x:c>
      <x:c r="C2776" s="27" t="n">
        <x:f>INT(B2776)</x:f>
        <x:v>42704</x:v>
      </x:c>
      <x:c r="D2776" s="28" t="n">
        <x:f>MOD(B2776,1)</x:f>
        <x:v>0.7440740740712499</x:v>
      </x:c>
      <x:c r="E2776" s="29" t="n">
        <x:f>YEAR(B2776)</x:f>
        <x:v>2016</x:v>
      </x:c>
      <x:c r="F2776" s="29" t="n">
        <x:f>MONTH(B2776)</x:f>
        <x:v>11</x:v>
      </x:c>
      <x:c r="G2776" s="30" t="n">
        <x:v>-28.74</x:v>
      </x:c>
      <x:c r="H2776" s="30" t="n">
        <x:v>-70.5</x:v>
      </x:c>
      <x:c r="I2776" s="29" t="n">
        <x:v>89</x:v>
      </x:c>
      <x:c r="J2776" s="31" t="n">
        <x:v>4.1</x:v>
      </x:c>
      <x:c r="K2776" s="25" t="str">
        <x:f>IF(J2776&gt;=7,"Muy fuerte (&gt;=7)",IF(J2776&gt;=6,"Fuerte (6-6.9)",IF(J2776&gt;=5,"Moderado alto (5-5.9)",IF(J2776&gt;=4,"Moderado (4-4.9)","Menor a 4"))))</x:f>
        <x:v>Moderado (4-4.9)</x:v>
      </x:c>
      <x:c r="L2776" s="25" t="str">
        <x:f>IF(I2776&lt;70,"Superficial (&lt;70 km)",IF(I2776&lt;=300,"Intermedio (70-300 km)","Profundo (&gt;300 km)"))</x:f>
        <x:v>Intermedio (70-300 km)</x:v>
      </x:c>
      <x:c r="M2776" s="25" t="str">
        <x:f>IF(J2776&gt;=5,"Sí","No")</x:f>
        <x:v>No</x:v>
      </x:c>
      <x:c r="N2776" s="25" t="str">
        <x:f>IF(J2776&gt;=6,"Sí","No")</x:f>
        <x:v>No</x:v>
      </x:c>
      <x:c r="O2776" s="25" t="str">
        <x:v>Pendiente: asignar con R/sf</x:v>
      </x:c>
    </x:row>
    <x:row r="2777">
      <x:c r="A2777" s="25" t="n">
        <x:v>2776</x:v>
      </x:c>
      <x:c r="B2777" s="26" t="n">
        <x:v>42706.1596875</x:v>
      </x:c>
      <x:c r="C2777" s="27" t="n">
        <x:f>INT(B2777)</x:f>
        <x:v>42706</x:v>
      </x:c>
      <x:c r="D2777" s="28" t="n">
        <x:f>MOD(B2777,1)</x:f>
        <x:v>0.15968750000320142</x:v>
      </x:c>
      <x:c r="E2777" s="29" t="n">
        <x:f>YEAR(B2777)</x:f>
        <x:v>2016</x:v>
      </x:c>
      <x:c r="F2777" s="29" t="n">
        <x:f>MONTH(B2777)</x:f>
        <x:v>12</x:v>
      </x:c>
      <x:c r="G2777" s="30" t="n">
        <x:v>-30.92</x:v>
      </x:c>
      <x:c r="H2777" s="30" t="n">
        <x:v>-71.38</x:v>
      </x:c>
      <x:c r="I2777" s="29" t="n">
        <x:v>57</x:v>
      </x:c>
      <x:c r="J2777" s="31" t="n">
        <x:v>4.5</x:v>
      </x:c>
      <x:c r="K2777" s="25" t="str">
        <x:f>IF(J2777&gt;=7,"Muy fuerte (&gt;=7)",IF(J2777&gt;=6,"Fuerte (6-6.9)",IF(J2777&gt;=5,"Moderado alto (5-5.9)",IF(J2777&gt;=4,"Moderado (4-4.9)","Menor a 4"))))</x:f>
        <x:v>Moderado (4-4.9)</x:v>
      </x:c>
      <x:c r="L2777" s="25" t="str">
        <x:f>IF(I2777&lt;70,"Superficial (&lt;70 km)",IF(I2777&lt;=300,"Intermedio (70-300 km)","Profundo (&gt;300 km)"))</x:f>
        <x:v>Superficial (&lt;70 km)</x:v>
      </x:c>
      <x:c r="M2777" s="25" t="str">
        <x:f>IF(J2777&gt;=5,"Sí","No")</x:f>
        <x:v>No</x:v>
      </x:c>
      <x:c r="N2777" s="25" t="str">
        <x:f>IF(J2777&gt;=6,"Sí","No")</x:f>
        <x:v>No</x:v>
      </x:c>
      <x:c r="O2777" s="25" t="str">
        <x:v>Pendiente: asignar con R/sf</x:v>
      </x:c>
    </x:row>
    <x:row r="2778">
      <x:c r="A2778" s="25" t="n">
        <x:v>2777</x:v>
      </x:c>
      <x:c r="B2778" s="26" t="n">
        <x:v>42707.18817129629</x:v>
      </x:c>
      <x:c r="C2778" s="27" t="n">
        <x:f>INT(B2778)</x:f>
        <x:v>42707</x:v>
      </x:c>
      <x:c r="D2778" s="28" t="n">
        <x:f>MOD(B2778,1)</x:f>
        <x:v>0.18817129629314877</x:v>
      </x:c>
      <x:c r="E2778" s="29" t="n">
        <x:f>YEAR(B2778)</x:f>
        <x:v>2016</x:v>
      </x:c>
      <x:c r="F2778" s="29" t="n">
        <x:f>MONTH(B2778)</x:f>
        <x:v>12</x:v>
      </x:c>
      <x:c r="G2778" s="30" t="n">
        <x:v>-32.16</x:v>
      </x:c>
      <x:c r="H2778" s="30" t="n">
        <x:v>-71.88</x:v>
      </x:c>
      <x:c r="I2778" s="29" t="n">
        <x:v>47</x:v>
      </x:c>
      <x:c r="J2778" s="31" t="n">
        <x:v>4.8</x:v>
      </x:c>
      <x:c r="K2778" s="25" t="str">
        <x:f>IF(J2778&gt;=7,"Muy fuerte (&gt;=7)",IF(J2778&gt;=6,"Fuerte (6-6.9)",IF(J2778&gt;=5,"Moderado alto (5-5.9)",IF(J2778&gt;=4,"Moderado (4-4.9)","Menor a 4"))))</x:f>
        <x:v>Moderado (4-4.9)</x:v>
      </x:c>
      <x:c r="L2778" s="25" t="str">
        <x:f>IF(I2778&lt;70,"Superficial (&lt;70 km)",IF(I2778&lt;=300,"Intermedio (70-300 km)","Profundo (&gt;300 km)"))</x:f>
        <x:v>Superficial (&lt;70 km)</x:v>
      </x:c>
      <x:c r="M2778" s="25" t="str">
        <x:f>IF(J2778&gt;=5,"Sí","No")</x:f>
        <x:v>No</x:v>
      </x:c>
      <x:c r="N2778" s="25" t="str">
        <x:f>IF(J2778&gt;=6,"Sí","No")</x:f>
        <x:v>No</x:v>
      </x:c>
      <x:c r="O2778" s="25" t="str">
        <x:v>Pendiente: asignar con R/sf</x:v>
      </x:c>
    </x:row>
    <x:row r="2779">
      <x:c r="A2779" s="25" t="n">
        <x:v>2778</x:v>
      </x:c>
      <x:c r="B2779" s="26" t="n">
        <x:v>42712.862916666665</x:v>
      </x:c>
      <x:c r="C2779" s="27" t="n">
        <x:f>INT(B2779)</x:f>
        <x:v>42712</x:v>
      </x:c>
      <x:c r="D2779" s="28" t="n">
        <x:f>MOD(B2779,1)</x:f>
        <x:v>0.8629166666651145</x:v>
      </x:c>
      <x:c r="E2779" s="29" t="n">
        <x:f>YEAR(B2779)</x:f>
        <x:v>2016</x:v>
      </x:c>
      <x:c r="F2779" s="29" t="n">
        <x:f>MONTH(B2779)</x:f>
        <x:v>12</x:v>
      </x:c>
      <x:c r="G2779" s="30" t="n">
        <x:v>-31.55</x:v>
      </x:c>
      <x:c r="H2779" s="30" t="n">
        <x:v>-71.8</x:v>
      </x:c>
      <x:c r="I2779" s="29" t="n">
        <x:v>41</x:v>
      </x:c>
      <x:c r="J2779" s="31" t="n">
        <x:v>5.5</x:v>
      </x:c>
      <x:c r="K2779" s="25" t="str">
        <x:f>IF(J2779&gt;=7,"Muy fuerte (&gt;=7)",IF(J2779&gt;=6,"Fuerte (6-6.9)",IF(J2779&gt;=5,"Moderado alto (5-5.9)",IF(J2779&gt;=4,"Moderado (4-4.9)","Menor a 4"))))</x:f>
        <x:v>Moderado alto (5-5.9)</x:v>
      </x:c>
      <x:c r="L2779" s="25" t="str">
        <x:f>IF(I2779&lt;70,"Superficial (&lt;70 km)",IF(I2779&lt;=300,"Intermedio (70-300 km)","Profundo (&gt;300 km)"))</x:f>
        <x:v>Superficial (&lt;70 km)</x:v>
      </x:c>
      <x:c r="M2779" s="25" t="str">
        <x:f>IF(J2779&gt;=5,"Sí","No")</x:f>
        <x:v>Sí</x:v>
      </x:c>
      <x:c r="N2779" s="25" t="str">
        <x:f>IF(J2779&gt;=6,"Sí","No")</x:f>
        <x:v>No</x:v>
      </x:c>
      <x:c r="O2779" s="25" t="str">
        <x:v>Pendiente: asignar con R/sf</x:v>
      </x:c>
    </x:row>
    <x:row r="2780">
      <x:c r="A2780" s="25" t="n">
        <x:v>2779</x:v>
      </x:c>
      <x:c r="B2780" s="26" t="n">
        <x:v>42716.0697337963</x:v>
      </x:c>
      <x:c r="C2780" s="27" t="n">
        <x:f>INT(B2780)</x:f>
        <x:v>42716</x:v>
      </x:c>
      <x:c r="D2780" s="28" t="n">
        <x:f>MOD(B2780,1)</x:f>
        <x:v>0.06973379629926058</x:v>
      </x:c>
      <x:c r="E2780" s="29" t="n">
        <x:f>YEAR(B2780)</x:f>
        <x:v>2016</x:v>
      </x:c>
      <x:c r="F2780" s="29" t="n">
        <x:f>MONTH(B2780)</x:f>
        <x:v>12</x:v>
      </x:c>
      <x:c r="G2780" s="30" t="n">
        <x:v>-30.94</x:v>
      </x:c>
      <x:c r="H2780" s="30" t="n">
        <x:v>-71.34</x:v>
      </x:c>
      <x:c r="I2780" s="29" t="n">
        <x:v>52</x:v>
      </x:c>
      <x:c r="J2780" s="31" t="n">
        <x:v>5.3</x:v>
      </x:c>
      <x:c r="K2780" s="25" t="str">
        <x:f>IF(J2780&gt;=7,"Muy fuerte (&gt;=7)",IF(J2780&gt;=6,"Fuerte (6-6.9)",IF(J2780&gt;=5,"Moderado alto (5-5.9)",IF(J2780&gt;=4,"Moderado (4-4.9)","Menor a 4"))))</x:f>
        <x:v>Moderado alto (5-5.9)</x:v>
      </x:c>
      <x:c r="L2780" s="25" t="str">
        <x:f>IF(I2780&lt;70,"Superficial (&lt;70 km)",IF(I2780&lt;=300,"Intermedio (70-300 km)","Profundo (&gt;300 km)"))</x:f>
        <x:v>Superficial (&lt;70 km)</x:v>
      </x:c>
      <x:c r="M2780" s="25" t="str">
        <x:f>IF(J2780&gt;=5,"Sí","No")</x:f>
        <x:v>Sí</x:v>
      </x:c>
      <x:c r="N2780" s="25" t="str">
        <x:f>IF(J2780&gt;=6,"Sí","No")</x:f>
        <x:v>No</x:v>
      </x:c>
      <x:c r="O2780" s="25" t="str">
        <x:v>Pendiente: asignar con R/sf</x:v>
      </x:c>
    </x:row>
    <x:row r="2781">
      <x:c r="A2781" s="25" t="n">
        <x:v>2780</x:v>
      </x:c>
      <x:c r="B2781" s="26" t="n">
        <x:v>42720.966458333336</x:v>
      </x:c>
      <x:c r="C2781" s="27" t="n">
        <x:f>INT(B2781)</x:f>
        <x:v>42720</x:v>
      </x:c>
      <x:c r="D2781" s="28" t="n">
        <x:f>MOD(B2781,1)</x:f>
        <x:v>0.9664583333360497</x:v>
      </x:c>
      <x:c r="E2781" s="29" t="n">
        <x:f>YEAR(B2781)</x:f>
        <x:v>2016</x:v>
      </x:c>
      <x:c r="F2781" s="29" t="n">
        <x:f>MONTH(B2781)</x:f>
        <x:v>12</x:v>
      </x:c>
      <x:c r="G2781" s="30" t="n">
        <x:v>-30.4</x:v>
      </x:c>
      <x:c r="H2781" s="30" t="n">
        <x:v>-71.65</x:v>
      </x:c>
      <x:c r="I2781" s="29" t="n">
        <x:v>24</x:v>
      </x:c>
      <x:c r="J2781" s="31" t="n">
        <x:v>5.2</x:v>
      </x:c>
      <x:c r="K2781" s="25" t="str">
        <x:f>IF(J2781&gt;=7,"Muy fuerte (&gt;=7)",IF(J2781&gt;=6,"Fuerte (6-6.9)",IF(J2781&gt;=5,"Moderado alto (5-5.9)",IF(J2781&gt;=4,"Moderado (4-4.9)","Menor a 4"))))</x:f>
        <x:v>Moderado alto (5-5.9)</x:v>
      </x:c>
      <x:c r="L2781" s="25" t="str">
        <x:f>IF(I2781&lt;70,"Superficial (&lt;70 km)",IF(I2781&lt;=300,"Intermedio (70-300 km)","Profundo (&gt;300 km)"))</x:f>
        <x:v>Superficial (&lt;70 km)</x:v>
      </x:c>
      <x:c r="M2781" s="25" t="str">
        <x:f>IF(J2781&gt;=5,"Sí","No")</x:f>
        <x:v>Sí</x:v>
      </x:c>
      <x:c r="N2781" s="25" t="str">
        <x:f>IF(J2781&gt;=6,"Sí","No")</x:f>
        <x:v>No</x:v>
      </x:c>
      <x:c r="O2781" s="25" t="str">
        <x:v>Pendiente: asignar con R/sf</x:v>
      </x:c>
    </x:row>
    <x:row r="2782">
      <x:c r="A2782" s="25" t="n">
        <x:v>2781</x:v>
      </x:c>
      <x:c r="B2782" s="26" t="n">
        <x:v>42723.65053240741</x:v>
      </x:c>
      <x:c r="C2782" s="27" t="n">
        <x:f>INT(B2782)</x:f>
        <x:v>42723</x:v>
      </x:c>
      <x:c r="D2782" s="28" t="n">
        <x:f>MOD(B2782,1)</x:f>
        <x:v>0.6505324074096279</x:v>
      </x:c>
      <x:c r="E2782" s="29" t="n">
        <x:f>YEAR(B2782)</x:f>
        <x:v>2016</x:v>
      </x:c>
      <x:c r="F2782" s="29" t="n">
        <x:f>MONTH(B2782)</x:f>
        <x:v>12</x:v>
      </x:c>
      <x:c r="G2782" s="30" t="n">
        <x:v>-30.8</x:v>
      </x:c>
      <x:c r="H2782" s="30" t="n">
        <x:v>-71.44</x:v>
      </x:c>
      <x:c r="I2782" s="29" t="n">
        <x:v>47</x:v>
      </x:c>
      <x:c r="J2782" s="31" t="n">
        <x:v>4.9</x:v>
      </x:c>
      <x:c r="K2782" s="25" t="str">
        <x:f>IF(J2782&gt;=7,"Muy fuerte (&gt;=7)",IF(J2782&gt;=6,"Fuerte (6-6.9)",IF(J2782&gt;=5,"Moderado alto (5-5.9)",IF(J2782&gt;=4,"Moderado (4-4.9)","Menor a 4"))))</x:f>
        <x:v>Moderado (4-4.9)</x:v>
      </x:c>
      <x:c r="L2782" s="25" t="str">
        <x:f>IF(I2782&lt;70,"Superficial (&lt;70 km)",IF(I2782&lt;=300,"Intermedio (70-300 km)","Profundo (&gt;300 km)"))</x:f>
        <x:v>Superficial (&lt;70 km)</x:v>
      </x:c>
      <x:c r="M2782" s="25" t="str">
        <x:f>IF(J2782&gt;=5,"Sí","No")</x:f>
        <x:v>No</x:v>
      </x:c>
      <x:c r="N2782" s="25" t="str">
        <x:f>IF(J2782&gt;=6,"Sí","No")</x:f>
        <x:v>No</x:v>
      </x:c>
      <x:c r="O2782" s="25" t="str">
        <x:v>Pendiente: asignar con R/sf</x:v>
      </x:c>
    </x:row>
    <x:row r="2783">
      <x:c r="A2783" s="25" t="n">
        <x:v>2782</x:v>
      </x:c>
      <x:c r="B2783" s="26" t="n">
        <x:v>42771.79068287037</x:v>
      </x:c>
      <x:c r="C2783" s="27" t="n">
        <x:f>INT(B2783)</x:f>
        <x:v>42771</x:v>
      </x:c>
      <x:c r="D2783" s="28" t="n">
        <x:f>MOD(B2783,1)</x:f>
        <x:v>0.7906828703708015</x:v>
      </x:c>
      <x:c r="E2783" s="29" t="n">
        <x:f>YEAR(B2783)</x:f>
        <x:v>2017</x:v>
      </x:c>
      <x:c r="F2783" s="29" t="n">
        <x:f>MONTH(B2783)</x:f>
        <x:v>2</x:v>
      </x:c>
      <x:c r="G2783" s="30" t="n">
        <x:v>-21.2</x:v>
      </x:c>
      <x:c r="H2783" s="30" t="n">
        <x:v>-68.72</x:v>
      </x:c>
      <x:c r="I2783" s="29" t="n">
        <x:v>124</x:v>
      </x:c>
      <x:c r="J2783" s="31" t="n">
        <x:v>4.6</x:v>
      </x:c>
      <x:c r="K2783" s="25" t="str">
        <x:f>IF(J2783&gt;=7,"Muy fuerte (&gt;=7)",IF(J2783&gt;=6,"Fuerte (6-6.9)",IF(J2783&gt;=5,"Moderado alto (5-5.9)",IF(J2783&gt;=4,"Moderado (4-4.9)","Menor a 4"))))</x:f>
        <x:v>Moderado (4-4.9)</x:v>
      </x:c>
      <x:c r="L2783" s="25" t="str">
        <x:f>IF(I2783&lt;70,"Superficial (&lt;70 km)",IF(I2783&lt;=300,"Intermedio (70-300 km)","Profundo (&gt;300 km)"))</x:f>
        <x:v>Intermedio (70-300 km)</x:v>
      </x:c>
      <x:c r="M2783" s="25" t="str">
        <x:f>IF(J2783&gt;=5,"Sí","No")</x:f>
        <x:v>No</x:v>
      </x:c>
      <x:c r="N2783" s="25" t="str">
        <x:f>IF(J2783&gt;=6,"Sí","No")</x:f>
        <x:v>No</x:v>
      </x:c>
      <x:c r="O2783" s="25" t="str">
        <x:v>Pendiente: asignar con R/sf</x:v>
      </x:c>
    </x:row>
    <x:row r="2784">
      <x:c r="A2784" s="25" t="n">
        <x:v>2783</x:v>
      </x:c>
      <x:c r="B2784" s="26" t="n">
        <x:v>42860.28537037037</x:v>
      </x:c>
      <x:c r="C2784" s="27" t="n">
        <x:f>INT(B2784)</x:f>
        <x:v>42860</x:v>
      </x:c>
      <x:c r="D2784" s="28" t="n">
        <x:f>MOD(B2784,1)</x:f>
        <x:v>0.28537037037312984</x:v>
      </x:c>
      <x:c r="E2784" s="29" t="n">
        <x:f>YEAR(B2784)</x:f>
        <x:v>2017</x:v>
      </x:c>
      <x:c r="F2784" s="29" t="n">
        <x:f>MONTH(B2784)</x:f>
        <x:v>5</x:v>
      </x:c>
      <x:c r="G2784" s="30" t="n">
        <x:v>-28.72</x:v>
      </x:c>
      <x:c r="H2784" s="30" t="n">
        <x:v>-71.55</x:v>
      </x:c>
      <x:c r="I2784" s="29" t="n">
        <x:v>36</x:v>
      </x:c>
      <x:c r="J2784" s="31" t="n">
        <x:v>4.8</x:v>
      </x:c>
      <x:c r="K2784" s="25" t="str">
        <x:f>IF(J2784&gt;=7,"Muy fuerte (&gt;=7)",IF(J2784&gt;=6,"Fuerte (6-6.9)",IF(J2784&gt;=5,"Moderado alto (5-5.9)",IF(J2784&gt;=4,"Moderado (4-4.9)","Menor a 4"))))</x:f>
        <x:v>Moderado (4-4.9)</x:v>
      </x:c>
      <x:c r="L2784" s="25" t="str">
        <x:f>IF(I2784&lt;70,"Superficial (&lt;70 km)",IF(I2784&lt;=300,"Intermedio (70-300 km)","Profundo (&gt;300 km)"))</x:f>
        <x:v>Superficial (&lt;70 km)</x:v>
      </x:c>
      <x:c r="M2784" s="25" t="str">
        <x:f>IF(J2784&gt;=5,"Sí","No")</x:f>
        <x:v>No</x:v>
      </x:c>
      <x:c r="N2784" s="25" t="str">
        <x:f>IF(J2784&gt;=6,"Sí","No")</x:f>
        <x:v>No</x:v>
      </x:c>
      <x:c r="O2784" s="25" t="str">
        <x:v>Pendiente: asignar con R/sf</x:v>
      </x:c>
    </x:row>
    <x:row r="2785">
      <x:c r="A2785" s="25" t="n">
        <x:v>2784</x:v>
      </x:c>
      <x:c r="B2785" s="26" t="n">
        <x:v>42824.29893518519</x:v>
      </x:c>
      <x:c r="C2785" s="27" t="n">
        <x:f>INT(B2785)</x:f>
        <x:v>42824</x:v>
      </x:c>
      <x:c r="D2785" s="28" t="n">
        <x:f>MOD(B2785,1)</x:f>
        <x:v>0.2989351851865649</x:v>
      </x:c>
      <x:c r="E2785" s="29" t="n">
        <x:f>YEAR(B2785)</x:f>
        <x:v>2017</x:v>
      </x:c>
      <x:c r="F2785" s="29" t="n">
        <x:f>MONTH(B2785)</x:f>
        <x:v>3</x:v>
      </x:c>
      <x:c r="G2785" s="30" t="n">
        <x:v>-19.17</x:v>
      </x:c>
      <x:c r="H2785" s="30" t="n">
        <x:v>-69.96</x:v>
      </x:c>
      <x:c r="I2785" s="29" t="n">
        <x:v>70</x:v>
      </x:c>
      <x:c r="J2785" s="31" t="n">
        <x:v>4.1</x:v>
      </x:c>
      <x:c r="K2785" s="25" t="str">
        <x:f>IF(J2785&gt;=7,"Muy fuerte (&gt;=7)",IF(J2785&gt;=6,"Fuerte (6-6.9)",IF(J2785&gt;=5,"Moderado alto (5-5.9)",IF(J2785&gt;=4,"Moderado (4-4.9)","Menor a 4"))))</x:f>
        <x:v>Moderado (4-4.9)</x:v>
      </x:c>
      <x:c r="L2785" s="25" t="str">
        <x:f>IF(I2785&lt;70,"Superficial (&lt;70 km)",IF(I2785&lt;=300,"Intermedio (70-300 km)","Profundo (&gt;300 km)"))</x:f>
        <x:v>Intermedio (70-300 km)</x:v>
      </x:c>
      <x:c r="M2785" s="25" t="str">
        <x:f>IF(J2785&gt;=5,"Sí","No")</x:f>
        <x:v>No</x:v>
      </x:c>
      <x:c r="N2785" s="25" t="str">
        <x:f>IF(J2785&gt;=6,"Sí","No")</x:f>
        <x:v>No</x:v>
      </x:c>
      <x:c r="O2785" s="25" t="str">
        <x:v>Pendiente: asignar con R/sf</x:v>
      </x:c>
    </x:row>
    <x:row r="2786">
      <x:c r="A2786" s="25" t="n">
        <x:v>2785</x:v>
      </x:c>
      <x:c r="B2786" s="26" t="n">
        <x:v>42744.028182870374</x:v>
      </x:c>
      <x:c r="C2786" s="27" t="n">
        <x:f>INT(B2786)</x:f>
        <x:v>42744</x:v>
      </x:c>
      <x:c r="D2786" s="28" t="n">
        <x:f>MOD(B2786,1)</x:f>
        <x:v>0.02818287037371192</x:v>
      </x:c>
      <x:c r="E2786" s="29" t="n">
        <x:f>YEAR(B2786)</x:f>
        <x:v>2017</x:v>
      </x:c>
      <x:c r="F2786" s="29" t="n">
        <x:f>MONTH(B2786)</x:f>
        <x:v>1</x:v>
      </x:c>
      <x:c r="G2786" s="30" t="n">
        <x:v>-29.69</x:v>
      </x:c>
      <x:c r="H2786" s="30" t="n">
        <x:v>-71.18</x:v>
      </x:c>
      <x:c r="I2786" s="29" t="n">
        <x:v>45</x:v>
      </x:c>
      <x:c r="J2786" s="31" t="n">
        <x:v>4.1</x:v>
      </x:c>
      <x:c r="K2786" s="25" t="str">
        <x:f>IF(J2786&gt;=7,"Muy fuerte (&gt;=7)",IF(J2786&gt;=6,"Fuerte (6-6.9)",IF(J2786&gt;=5,"Moderado alto (5-5.9)",IF(J2786&gt;=4,"Moderado (4-4.9)","Menor a 4"))))</x:f>
        <x:v>Moderado (4-4.9)</x:v>
      </x:c>
      <x:c r="L2786" s="25" t="str">
        <x:f>IF(I2786&lt;70,"Superficial (&lt;70 km)",IF(I2786&lt;=300,"Intermedio (70-300 km)","Profundo (&gt;300 km)"))</x:f>
        <x:v>Superficial (&lt;70 km)</x:v>
      </x:c>
      <x:c r="M2786" s="25" t="str">
        <x:f>IF(J2786&gt;=5,"Sí","No")</x:f>
        <x:v>No</x:v>
      </x:c>
      <x:c r="N2786" s="25" t="str">
        <x:f>IF(J2786&gt;=6,"Sí","No")</x:f>
        <x:v>No</x:v>
      </x:c>
      <x:c r="O2786" s="25" t="str">
        <x:v>Pendiente: asignar con R/sf</x:v>
      </x:c>
    </x:row>
    <x:row r="2787">
      <x:c r="A2787" s="25" t="n">
        <x:v>2786</x:v>
      </x:c>
      <x:c r="B2787" s="26" t="n">
        <x:v>42848.12658564815</x:v>
      </x:c>
      <x:c r="C2787" s="27" t="n">
        <x:f>INT(B2787)</x:f>
        <x:v>42848</x:v>
      </x:c>
      <x:c r="D2787" s="28" t="n">
        <x:f>MOD(B2787,1)</x:f>
        <x:v>0.12658564814773854</x:v>
      </x:c>
      <x:c r="E2787" s="29" t="n">
        <x:f>YEAR(B2787)</x:f>
        <x:v>2017</x:v>
      </x:c>
      <x:c r="F2787" s="29" t="n">
        <x:f>MONTH(B2787)</x:f>
        <x:v>4</x:v>
      </x:c>
      <x:c r="G2787" s="30" t="n">
        <x:v>-33.07</x:v>
      </x:c>
      <x:c r="H2787" s="30" t="n">
        <x:v>-72.02</x:v>
      </x:c>
      <x:c r="I2787" s="29" t="n">
        <x:v>24</x:v>
      </x:c>
      <x:c r="J2787" s="31" t="n">
        <x:v>4.7</x:v>
      </x:c>
      <x:c r="K2787" s="25" t="str">
        <x:f>IF(J2787&gt;=7,"Muy fuerte (&gt;=7)",IF(J2787&gt;=6,"Fuerte (6-6.9)",IF(J2787&gt;=5,"Moderado alto (5-5.9)",IF(J2787&gt;=4,"Moderado (4-4.9)","Menor a 4"))))</x:f>
        <x:v>Moderado (4-4.9)</x:v>
      </x:c>
      <x:c r="L2787" s="25" t="str">
        <x:f>IF(I2787&lt;70,"Superficial (&lt;70 km)",IF(I2787&lt;=300,"Intermedio (70-300 km)","Profundo (&gt;300 km)"))</x:f>
        <x:v>Superficial (&lt;70 km)</x:v>
      </x:c>
      <x:c r="M2787" s="25" t="str">
        <x:f>IF(J2787&gt;=5,"Sí","No")</x:f>
        <x:v>No</x:v>
      </x:c>
      <x:c r="N2787" s="25" t="str">
        <x:f>IF(J2787&gt;=6,"Sí","No")</x:f>
        <x:v>No</x:v>
      </x:c>
      <x:c r="O2787" s="25" t="str">
        <x:v>Pendiente: asignar con R/sf</x:v>
      </x:c>
    </x:row>
    <x:row r="2788">
      <x:c r="A2788" s="25" t="n">
        <x:v>2787</x:v>
      </x:c>
      <x:c r="B2788" s="26" t="n">
        <x:v>42883.78277777778</x:v>
      </x:c>
      <x:c r="C2788" s="27" t="n">
        <x:f>INT(B2788)</x:f>
        <x:v>42883</x:v>
      </x:c>
      <x:c r="D2788" s="28" t="n">
        <x:f>MOD(B2788,1)</x:f>
        <x:v>0.7827777777783922</x:v>
      </x:c>
      <x:c r="E2788" s="29" t="n">
        <x:f>YEAR(B2788)</x:f>
        <x:v>2017</x:v>
      </x:c>
      <x:c r="F2788" s="29" t="n">
        <x:f>MONTH(B2788)</x:f>
        <x:v>5</x:v>
      </x:c>
      <x:c r="G2788" s="30" t="n">
        <x:v>-21.14</x:v>
      </x:c>
      <x:c r="H2788" s="30" t="n">
        <x:v>-68.57</x:v>
      </x:c>
      <x:c r="I2788" s="29" t="n">
        <x:v>131</x:v>
      </x:c>
      <x:c r="J2788" s="31" t="n">
        <x:v>4.9</x:v>
      </x:c>
      <x:c r="K2788" s="25" t="str">
        <x:f>IF(J2788&gt;=7,"Muy fuerte (&gt;=7)",IF(J2788&gt;=6,"Fuerte (6-6.9)",IF(J2788&gt;=5,"Moderado alto (5-5.9)",IF(J2788&gt;=4,"Moderado (4-4.9)","Menor a 4"))))</x:f>
        <x:v>Moderado (4-4.9)</x:v>
      </x:c>
      <x:c r="L2788" s="25" t="str">
        <x:f>IF(I2788&lt;70,"Superficial (&lt;70 km)",IF(I2788&lt;=300,"Intermedio (70-300 km)","Profundo (&gt;300 km)"))</x:f>
        <x:v>Intermedio (70-300 km)</x:v>
      </x:c>
      <x:c r="M2788" s="25" t="str">
        <x:f>IF(J2788&gt;=5,"Sí","No")</x:f>
        <x:v>No</x:v>
      </x:c>
      <x:c r="N2788" s="25" t="str">
        <x:f>IF(J2788&gt;=6,"Sí","No")</x:f>
        <x:v>No</x:v>
      </x:c>
      <x:c r="O2788" s="25" t="str">
        <x:v>Pendiente: asignar con R/sf</x:v>
      </x:c>
    </x:row>
    <x:row r="2789">
      <x:c r="A2789" s="25" t="n">
        <x:v>2788</x:v>
      </x:c>
      <x:c r="B2789" s="26" t="n">
        <x:v>42863.01025462963</x:v>
      </x:c>
      <x:c r="C2789" s="27" t="n">
        <x:f>INT(B2789)</x:f>
        <x:v>42863</x:v>
      </x:c>
      <x:c r="D2789" s="28" t="n">
        <x:f>MOD(B2789,1)</x:f>
        <x:v>0.01025462963298196</x:v>
      </x:c>
      <x:c r="E2789" s="29" t="n">
        <x:f>YEAR(B2789)</x:f>
        <x:v>2017</x:v>
      </x:c>
      <x:c r="F2789" s="29" t="n">
        <x:f>MONTH(B2789)</x:f>
        <x:v>5</x:v>
      </x:c>
      <x:c r="G2789" s="30" t="n">
        <x:v>-21.34</x:v>
      </x:c>
      <x:c r="H2789" s="30" t="n">
        <x:v>-68.89</x:v>
      </x:c>
      <x:c r="I2789" s="29" t="n">
        <x:v>115</x:v>
      </x:c>
      <x:c r="J2789" s="31" t="n">
        <x:v>4.4</x:v>
      </x:c>
      <x:c r="K2789" s="25" t="str">
        <x:f>IF(J2789&gt;=7,"Muy fuerte (&gt;=7)",IF(J2789&gt;=6,"Fuerte (6-6.9)",IF(J2789&gt;=5,"Moderado alto (5-5.9)",IF(J2789&gt;=4,"Moderado (4-4.9)","Menor a 4"))))</x:f>
        <x:v>Moderado (4-4.9)</x:v>
      </x:c>
      <x:c r="L2789" s="25" t="str">
        <x:f>IF(I2789&lt;70,"Superficial (&lt;70 km)",IF(I2789&lt;=300,"Intermedio (70-300 km)","Profundo (&gt;300 km)"))</x:f>
        <x:v>Intermedio (70-300 km)</x:v>
      </x:c>
      <x:c r="M2789" s="25" t="str">
        <x:f>IF(J2789&gt;=5,"Sí","No")</x:f>
        <x:v>No</x:v>
      </x:c>
      <x:c r="N2789" s="25" t="str">
        <x:f>IF(J2789&gt;=6,"Sí","No")</x:f>
        <x:v>No</x:v>
      </x:c>
      <x:c r="O2789" s="25" t="str">
        <x:v>Pendiente: asignar con R/sf</x:v>
      </x:c>
    </x:row>
    <x:row r="2790">
      <x:c r="A2790" s="25" t="n">
        <x:v>2789</x:v>
      </x:c>
      <x:c r="B2790" s="26" t="n">
        <x:v>42860.15362268518</x:v>
      </x:c>
      <x:c r="C2790" s="27" t="n">
        <x:f>INT(B2790)</x:f>
        <x:v>42860</x:v>
      </x:c>
      <x:c r="D2790" s="28" t="n">
        <x:f>MOD(B2790,1)</x:f>
        <x:v>0.15362268518219935</x:v>
      </x:c>
      <x:c r="E2790" s="29" t="n">
        <x:f>YEAR(B2790)</x:f>
        <x:v>2017</x:v>
      </x:c>
      <x:c r="F2790" s="29" t="n">
        <x:f>MONTH(B2790)</x:f>
        <x:v>5</x:v>
      </x:c>
      <x:c r="G2790" s="30" t="n">
        <x:v>-28.71</x:v>
      </x:c>
      <x:c r="H2790" s="30" t="n">
        <x:v>-71.49</x:v>
      </x:c>
      <x:c r="I2790" s="29" t="n">
        <x:v>20</x:v>
      </x:c>
      <x:c r="J2790" s="31" t="n">
        <x:v>4.7</x:v>
      </x:c>
      <x:c r="K2790" s="25" t="str">
        <x:f>IF(J2790&gt;=7,"Muy fuerte (&gt;=7)",IF(J2790&gt;=6,"Fuerte (6-6.9)",IF(J2790&gt;=5,"Moderado alto (5-5.9)",IF(J2790&gt;=4,"Moderado (4-4.9)","Menor a 4"))))</x:f>
        <x:v>Moderado (4-4.9)</x:v>
      </x:c>
      <x:c r="L2790" s="25" t="str">
        <x:f>IF(I2790&lt;70,"Superficial (&lt;70 km)",IF(I2790&lt;=300,"Intermedio (70-300 km)","Profundo (&gt;300 km)"))</x:f>
        <x:v>Superficial (&lt;70 km)</x:v>
      </x:c>
      <x:c r="M2790" s="25" t="str">
        <x:f>IF(J2790&gt;=5,"Sí","No")</x:f>
        <x:v>No</x:v>
      </x:c>
      <x:c r="N2790" s="25" t="str">
        <x:f>IF(J2790&gt;=6,"Sí","No")</x:f>
        <x:v>No</x:v>
      </x:c>
      <x:c r="O2790" s="25" t="str">
        <x:v>Pendiente: asignar con R/sf</x:v>
      </x:c>
    </x:row>
    <x:row r="2791">
      <x:c r="A2791" s="25" t="n">
        <x:v>2790</x:v>
      </x:c>
      <x:c r="B2791" s="26" t="n">
        <x:v>42810.17506944444</x:v>
      </x:c>
      <x:c r="C2791" s="27" t="n">
        <x:f>INT(B2791)</x:f>
        <x:v>42810</x:v>
      </x:c>
      <x:c r="D2791" s="28" t="n">
        <x:f>MOD(B2791,1)</x:f>
        <x:v>0.17506944444176042</x:v>
      </x:c>
      <x:c r="E2791" s="29" t="n">
        <x:f>YEAR(B2791)</x:f>
        <x:v>2017</x:v>
      </x:c>
      <x:c r="F2791" s="29" t="n">
        <x:f>MONTH(B2791)</x:f>
        <x:v>3</x:v>
      </x:c>
      <x:c r="G2791" s="30" t="n">
        <x:v>-21.52</x:v>
      </x:c>
      <x:c r="H2791" s="30" t="n">
        <x:v>-68.39</x:v>
      </x:c>
      <x:c r="I2791" s="29" t="n">
        <x:v>123</x:v>
      </x:c>
      <x:c r="J2791" s="31" t="n">
        <x:v>4.5</x:v>
      </x:c>
      <x:c r="K2791" s="25" t="str">
        <x:f>IF(J2791&gt;=7,"Muy fuerte (&gt;=7)",IF(J2791&gt;=6,"Fuerte (6-6.9)",IF(J2791&gt;=5,"Moderado alto (5-5.9)",IF(J2791&gt;=4,"Moderado (4-4.9)","Menor a 4"))))</x:f>
        <x:v>Moderado (4-4.9)</x:v>
      </x:c>
      <x:c r="L2791" s="25" t="str">
        <x:f>IF(I2791&lt;70,"Superficial (&lt;70 km)",IF(I2791&lt;=300,"Intermedio (70-300 km)","Profundo (&gt;300 km)"))</x:f>
        <x:v>Intermedio (70-300 km)</x:v>
      </x:c>
      <x:c r="M2791" s="25" t="str">
        <x:f>IF(J2791&gt;=5,"Sí","No")</x:f>
        <x:v>No</x:v>
      </x:c>
      <x:c r="N2791" s="25" t="str">
        <x:f>IF(J2791&gt;=6,"Sí","No")</x:f>
        <x:v>No</x:v>
      </x:c>
      <x:c r="O2791" s="25" t="str">
        <x:v>Pendiente: asignar con R/sf</x:v>
      </x:c>
    </x:row>
    <x:row r="2792">
      <x:c r="A2792" s="25" t="n">
        <x:v>2791</x:v>
      </x:c>
      <x:c r="B2792" s="26" t="n">
        <x:v>42839.413831018515</x:v>
      </x:c>
      <x:c r="C2792" s="27" t="n">
        <x:f>INT(B2792)</x:f>
        <x:v>42839</x:v>
      </x:c>
      <x:c r="D2792" s="28" t="n">
        <x:f>MOD(B2792,1)</x:f>
        <x:v>0.41383101851533866</x:v>
      </x:c>
      <x:c r="E2792" s="29" t="n">
        <x:f>YEAR(B2792)</x:f>
        <x:v>2017</x:v>
      </x:c>
      <x:c r="F2792" s="29" t="n">
        <x:f>MONTH(B2792)</x:f>
        <x:v>4</x:v>
      </x:c>
      <x:c r="G2792" s="30" t="n">
        <x:v>-19.8</x:v>
      </x:c>
      <x:c r="H2792" s="30" t="n">
        <x:v>-69.21</x:v>
      </x:c>
      <x:c r="I2792" s="29" t="n">
        <x:v>99</x:v>
      </x:c>
      <x:c r="J2792" s="31" t="n">
        <x:v>4.4</x:v>
      </x:c>
      <x:c r="K2792" s="25" t="str">
        <x:f>IF(J2792&gt;=7,"Muy fuerte (&gt;=7)",IF(J2792&gt;=6,"Fuerte (6-6.9)",IF(J2792&gt;=5,"Moderado alto (5-5.9)",IF(J2792&gt;=4,"Moderado (4-4.9)","Menor a 4"))))</x:f>
        <x:v>Moderado (4-4.9)</x:v>
      </x:c>
      <x:c r="L2792" s="25" t="str">
        <x:f>IF(I2792&lt;70,"Superficial (&lt;70 km)",IF(I2792&lt;=300,"Intermedio (70-300 km)","Profundo (&gt;300 km)"))</x:f>
        <x:v>Intermedio (70-300 km)</x:v>
      </x:c>
      <x:c r="M2792" s="25" t="str">
        <x:f>IF(J2792&gt;=5,"Sí","No")</x:f>
        <x:v>No</x:v>
      </x:c>
      <x:c r="N2792" s="25" t="str">
        <x:f>IF(J2792&gt;=6,"Sí","No")</x:f>
        <x:v>No</x:v>
      </x:c>
      <x:c r="O2792" s="25" t="str">
        <x:v>Pendiente: asignar con R/sf</x:v>
      </x:c>
    </x:row>
    <x:row r="2793">
      <x:c r="A2793" s="25" t="n">
        <x:v>2792</x:v>
      </x:c>
      <x:c r="B2793" s="26" t="n">
        <x:v>42850.006574074076</x:v>
      </x:c>
      <x:c r="C2793" s="27" t="n">
        <x:f>INT(B2793)</x:f>
        <x:v>42850</x:v>
      </x:c>
      <x:c r="D2793" s="28" t="n">
        <x:f>MOD(B2793,1)</x:f>
        <x:v>0.006574074075615499</x:v>
      </x:c>
      <x:c r="E2793" s="29" t="n">
        <x:f>YEAR(B2793)</x:f>
        <x:v>2017</x:v>
      </x:c>
      <x:c r="F2793" s="29" t="n">
        <x:f>MONTH(B2793)</x:f>
        <x:v>4</x:v>
      </x:c>
      <x:c r="G2793" s="30" t="n">
        <x:v>-33.18</x:v>
      </x:c>
      <x:c r="H2793" s="30" t="n">
        <x:v>-71.79</x:v>
      </x:c>
      <x:c r="I2793" s="29" t="n">
        <x:v>29</x:v>
      </x:c>
      <x:c r="J2793" s="31" t="n">
        <x:v>4</x:v>
      </x:c>
      <x:c r="K2793" s="25" t="str">
        <x:f>IF(J2793&gt;=7,"Muy fuerte (&gt;=7)",IF(J2793&gt;=6,"Fuerte (6-6.9)",IF(J2793&gt;=5,"Moderado alto (5-5.9)",IF(J2793&gt;=4,"Moderado (4-4.9)","Menor a 4"))))</x:f>
        <x:v>Moderado (4-4.9)</x:v>
      </x:c>
      <x:c r="L2793" s="25" t="str">
        <x:f>IF(I2793&lt;70,"Superficial (&lt;70 km)",IF(I2793&lt;=300,"Intermedio (70-300 km)","Profundo (&gt;300 km)"))</x:f>
        <x:v>Superficial (&lt;70 km)</x:v>
      </x:c>
      <x:c r="M2793" s="25" t="str">
        <x:f>IF(J2793&gt;=5,"Sí","No")</x:f>
        <x:v>No</x:v>
      </x:c>
      <x:c r="N2793" s="25" t="str">
        <x:f>IF(J2793&gt;=6,"Sí","No")</x:f>
        <x:v>No</x:v>
      </x:c>
      <x:c r="O2793" s="25" t="str">
        <x:v>Pendiente: asignar con R/sf</x:v>
      </x:c>
    </x:row>
    <x:row r="2794">
      <x:c r="A2794" s="25" t="n">
        <x:v>2793</x:v>
      </x:c>
      <x:c r="B2794" s="26" t="n">
        <x:v>42848.11988425926</x:v>
      </x:c>
      <x:c r="C2794" s="27" t="n">
        <x:f>INT(B2794)</x:f>
        <x:v>42848</x:v>
      </x:c>
      <x:c r="D2794" s="28" t="n">
        <x:f>MOD(B2794,1)</x:f>
        <x:v>0.1198842592566507</x:v>
      </x:c>
      <x:c r="E2794" s="29" t="n">
        <x:f>YEAR(B2794)</x:f>
        <x:v>2017</x:v>
      </x:c>
      <x:c r="F2794" s="29" t="n">
        <x:f>MONTH(B2794)</x:f>
        <x:v>4</x:v>
      </x:c>
      <x:c r="G2794" s="30" t="n">
        <x:v>-33.05</x:v>
      </x:c>
      <x:c r="H2794" s="30" t="n">
        <x:v>-72</x:v>
      </x:c>
      <x:c r="I2794" s="29" t="n">
        <x:v>25</x:v>
      </x:c>
      <x:c r="J2794" s="31" t="n">
        <x:v>4.7</x:v>
      </x:c>
      <x:c r="K2794" s="25" t="str">
        <x:f>IF(J2794&gt;=7,"Muy fuerte (&gt;=7)",IF(J2794&gt;=6,"Fuerte (6-6.9)",IF(J2794&gt;=5,"Moderado alto (5-5.9)",IF(J2794&gt;=4,"Moderado (4-4.9)","Menor a 4"))))</x:f>
        <x:v>Moderado (4-4.9)</x:v>
      </x:c>
      <x:c r="L2794" s="25" t="str">
        <x:f>IF(I2794&lt;70,"Superficial (&lt;70 km)",IF(I2794&lt;=300,"Intermedio (70-300 km)","Profundo (&gt;300 km)"))</x:f>
        <x:v>Superficial (&lt;70 km)</x:v>
      </x:c>
      <x:c r="M2794" s="25" t="str">
        <x:f>IF(J2794&gt;=5,"Sí","No")</x:f>
        <x:v>No</x:v>
      </x:c>
      <x:c r="N2794" s="25" t="str">
        <x:f>IF(J2794&gt;=6,"Sí","No")</x:f>
        <x:v>No</x:v>
      </x:c>
      <x:c r="O2794" s="25" t="str">
        <x:v>Pendiente: asignar con R/sf</x:v>
      </x:c>
    </x:row>
    <x:row r="2795">
      <x:c r="A2795" s="25" t="n">
        <x:v>2794</x:v>
      </x:c>
      <x:c r="B2795" s="26" t="n">
        <x:v>42738.570752314816</x:v>
      </x:c>
      <x:c r="C2795" s="27" t="n">
        <x:f>INT(B2795)</x:f>
        <x:v>42738</x:v>
      </x:c>
      <x:c r="D2795" s="28" t="n">
        <x:f>MOD(B2795,1)</x:f>
        <x:v>0.5707523148157634</x:v>
      </x:c>
      <x:c r="E2795" s="29" t="n">
        <x:f>YEAR(B2795)</x:f>
        <x:v>2017</x:v>
      </x:c>
      <x:c r="F2795" s="29" t="n">
        <x:f>MONTH(B2795)</x:f>
        <x:v>1</x:v>
      </x:c>
      <x:c r="G2795" s="30" t="n">
        <x:v>-19.91</x:v>
      </x:c>
      <x:c r="H2795" s="30" t="n">
        <x:v>-70.45</x:v>
      </x:c>
      <x:c r="I2795" s="29" t="n">
        <x:v>56</x:v>
      </x:c>
      <x:c r="J2795" s="31" t="n">
        <x:v>5.1</x:v>
      </x:c>
      <x:c r="K2795" s="25" t="str">
        <x:f>IF(J2795&gt;=7,"Muy fuerte (&gt;=7)",IF(J2795&gt;=6,"Fuerte (6-6.9)",IF(J2795&gt;=5,"Moderado alto (5-5.9)",IF(J2795&gt;=4,"Moderado (4-4.9)","Menor a 4"))))</x:f>
        <x:v>Moderado alto (5-5.9)</x:v>
      </x:c>
      <x:c r="L2795" s="25" t="str">
        <x:f>IF(I2795&lt;70,"Superficial (&lt;70 km)",IF(I2795&lt;=300,"Intermedio (70-300 km)","Profundo (&gt;300 km)"))</x:f>
        <x:v>Superficial (&lt;70 km)</x:v>
      </x:c>
      <x:c r="M2795" s="25" t="str">
        <x:f>IF(J2795&gt;=5,"Sí","No")</x:f>
        <x:v>Sí</x:v>
      </x:c>
      <x:c r="N2795" s="25" t="str">
        <x:f>IF(J2795&gt;=6,"Sí","No")</x:f>
        <x:v>No</x:v>
      </x:c>
      <x:c r="O2795" s="25" t="str">
        <x:v>Pendiente: asignar con R/sf</x:v>
      </x:c>
    </x:row>
    <x:row r="2796">
      <x:c r="A2796" s="25" t="n">
        <x:v>2795</x:v>
      </x:c>
      <x:c r="B2796" s="26" t="n">
        <x:v>42861.67407407407</x:v>
      </x:c>
      <x:c r="C2796" s="27" t="n">
        <x:f>INT(B2796)</x:f>
        <x:v>42861</x:v>
      </x:c>
      <x:c r="D2796" s="28" t="n">
        <x:f>MOD(B2796,1)</x:f>
        <x:v>0.674074074071541</x:v>
      </x:c>
      <x:c r="E2796" s="29" t="n">
        <x:f>YEAR(B2796)</x:f>
        <x:v>2017</x:v>
      </x:c>
      <x:c r="F2796" s="29" t="n">
        <x:f>MONTH(B2796)</x:f>
        <x:v>5</x:v>
      </x:c>
      <x:c r="G2796" s="30" t="n">
        <x:v>-20.01</x:v>
      </x:c>
      <x:c r="H2796" s="30" t="n">
        <x:v>-69.2</x:v>
      </x:c>
      <x:c r="I2796" s="29" t="n">
        <x:v>94</x:v>
      </x:c>
      <x:c r="J2796" s="31" t="n">
        <x:v>4.5</x:v>
      </x:c>
      <x:c r="K2796" s="25" t="str">
        <x:f>IF(J2796&gt;=7,"Muy fuerte (&gt;=7)",IF(J2796&gt;=6,"Fuerte (6-6.9)",IF(J2796&gt;=5,"Moderado alto (5-5.9)",IF(J2796&gt;=4,"Moderado (4-4.9)","Menor a 4"))))</x:f>
        <x:v>Moderado (4-4.9)</x:v>
      </x:c>
      <x:c r="L2796" s="25" t="str">
        <x:f>IF(I2796&lt;70,"Superficial (&lt;70 km)",IF(I2796&lt;=300,"Intermedio (70-300 km)","Profundo (&gt;300 km)"))</x:f>
        <x:v>Intermedio (70-300 km)</x:v>
      </x:c>
      <x:c r="M2796" s="25" t="str">
        <x:f>IF(J2796&gt;=5,"Sí","No")</x:f>
        <x:v>No</x:v>
      </x:c>
      <x:c r="N2796" s="25" t="str">
        <x:f>IF(J2796&gt;=6,"Sí","No")</x:f>
        <x:v>No</x:v>
      </x:c>
      <x:c r="O2796" s="25" t="str">
        <x:v>Pendiente: asignar con R/sf</x:v>
      </x:c>
    </x:row>
    <x:row r="2797">
      <x:c r="A2797" s="25" t="n">
        <x:v>2796</x:v>
      </x:c>
      <x:c r="B2797" s="26" t="n">
        <x:v>42854.0675462963</x:v>
      </x:c>
      <x:c r="C2797" s="27" t="n">
        <x:f>INT(B2797)</x:f>
        <x:v>42854</x:v>
      </x:c>
      <x:c r="D2797" s="28" t="n">
        <x:f>MOD(B2797,1)</x:f>
        <x:v>0.06754629629722331</x:v>
      </x:c>
      <x:c r="E2797" s="29" t="n">
        <x:f>YEAR(B2797)</x:f>
        <x:v>2017</x:v>
      </x:c>
      <x:c r="F2797" s="29" t="n">
        <x:f>MONTH(B2797)</x:f>
        <x:v>4</x:v>
      </x:c>
      <x:c r="G2797" s="30" t="n">
        <x:v>-33.23</x:v>
      </x:c>
      <x:c r="H2797" s="30" t="n">
        <x:v>-72.07</x:v>
      </x:c>
      <x:c r="I2797" s="29" t="n">
        <x:v>20</x:v>
      </x:c>
      <x:c r="J2797" s="31" t="n">
        <x:v>4.3</x:v>
      </x:c>
      <x:c r="K2797" s="25" t="str">
        <x:f>IF(J2797&gt;=7,"Muy fuerte (&gt;=7)",IF(J2797&gt;=6,"Fuerte (6-6.9)",IF(J2797&gt;=5,"Moderado alto (5-5.9)",IF(J2797&gt;=4,"Moderado (4-4.9)","Menor a 4"))))</x:f>
        <x:v>Moderado (4-4.9)</x:v>
      </x:c>
      <x:c r="L2797" s="25" t="str">
        <x:f>IF(I2797&lt;70,"Superficial (&lt;70 km)",IF(I2797&lt;=300,"Intermedio (70-300 km)","Profundo (&gt;300 km)"))</x:f>
        <x:v>Superficial (&lt;70 km)</x:v>
      </x:c>
      <x:c r="M2797" s="25" t="str">
        <x:f>IF(J2797&gt;=5,"Sí","No")</x:f>
        <x:v>No</x:v>
      </x:c>
      <x:c r="N2797" s="25" t="str">
        <x:f>IF(J2797&gt;=6,"Sí","No")</x:f>
        <x:v>No</x:v>
      </x:c>
      <x:c r="O2797" s="25" t="str">
        <x:v>Pendiente: asignar con R/sf</x:v>
      </x:c>
    </x:row>
    <x:row r="2798">
      <x:c r="A2798" s="25" t="n">
        <x:v>2797</x:v>
      </x:c>
      <x:c r="B2798" s="26" t="n">
        <x:v>42850.01222222222</x:v>
      </x:c>
      <x:c r="C2798" s="27" t="n">
        <x:f>INT(B2798)</x:f>
        <x:v>42850</x:v>
      </x:c>
      <x:c r="D2798" s="28" t="n">
        <x:f>MOD(B2798,1)</x:f>
        <x:v>0.012222222219861578</x:v>
      </x:c>
      <x:c r="E2798" s="29" t="n">
        <x:f>YEAR(B2798)</x:f>
        <x:v>2017</x:v>
      </x:c>
      <x:c r="F2798" s="29" t="n">
        <x:f>MONTH(B2798)</x:f>
        <x:v>4</x:v>
      </x:c>
      <x:c r="G2798" s="30" t="n">
        <x:v>-33.17</x:v>
      </x:c>
      <x:c r="H2798" s="30" t="n">
        <x:v>-72.04</x:v>
      </x:c>
      <x:c r="I2798" s="29" t="n">
        <x:v>24</x:v>
      </x:c>
      <x:c r="J2798" s="31" t="n">
        <x:v>4.6</x:v>
      </x:c>
      <x:c r="K2798" s="25" t="str">
        <x:f>IF(J2798&gt;=7,"Muy fuerte (&gt;=7)",IF(J2798&gt;=6,"Fuerte (6-6.9)",IF(J2798&gt;=5,"Moderado alto (5-5.9)",IF(J2798&gt;=4,"Moderado (4-4.9)","Menor a 4"))))</x:f>
        <x:v>Moderado (4-4.9)</x:v>
      </x:c>
      <x:c r="L2798" s="25" t="str">
        <x:f>IF(I2798&lt;70,"Superficial (&lt;70 km)",IF(I2798&lt;=300,"Intermedio (70-300 km)","Profundo (&gt;300 km)"))</x:f>
        <x:v>Superficial (&lt;70 km)</x:v>
      </x:c>
      <x:c r="M2798" s="25" t="str">
        <x:f>IF(J2798&gt;=5,"Sí","No")</x:f>
        <x:v>No</x:v>
      </x:c>
      <x:c r="N2798" s="25" t="str">
        <x:f>IF(J2798&gt;=6,"Sí","No")</x:f>
        <x:v>No</x:v>
      </x:c>
      <x:c r="O2798" s="25" t="str">
        <x:v>Pendiente: asignar con R/sf</x:v>
      </x:c>
    </x:row>
    <x:row r="2799">
      <x:c r="A2799" s="25" t="n">
        <x:v>2798</x:v>
      </x:c>
      <x:c r="B2799" s="26" t="n">
        <x:v>42932.34688657407</x:v>
      </x:c>
      <x:c r="C2799" s="27" t="n">
        <x:f>INT(B2799)</x:f>
        <x:v>42932</x:v>
      </x:c>
      <x:c r="D2799" s="28" t="n">
        <x:f>MOD(B2799,1)</x:f>
        <x:v>0.3468865740724141</x:v>
      </x:c>
      <x:c r="E2799" s="29" t="n">
        <x:f>YEAR(B2799)</x:f>
        <x:v>2017</x:v>
      </x:c>
      <x:c r="F2799" s="29" t="n">
        <x:f>MONTH(B2799)</x:f>
        <x:v>7</x:v>
      </x:c>
      <x:c r="G2799" s="30" t="n">
        <x:v>-33.9</x:v>
      </x:c>
      <x:c r="H2799" s="30" t="n">
        <x:v>-71.28</x:v>
      </x:c>
      <x:c r="I2799" s="29" t="n">
        <x:v>52</x:v>
      </x:c>
      <x:c r="J2799" s="31" t="n">
        <x:v>4</x:v>
      </x:c>
      <x:c r="K2799" s="25" t="str">
        <x:f>IF(J2799&gt;=7,"Muy fuerte (&gt;=7)",IF(J2799&gt;=6,"Fuerte (6-6.9)",IF(J2799&gt;=5,"Moderado alto (5-5.9)",IF(J2799&gt;=4,"Moderado (4-4.9)","Menor a 4"))))</x:f>
        <x:v>Moderado (4-4.9)</x:v>
      </x:c>
      <x:c r="L2799" s="25" t="str">
        <x:f>IF(I2799&lt;70,"Superficial (&lt;70 km)",IF(I2799&lt;=300,"Intermedio (70-300 km)","Profundo (&gt;300 km)"))</x:f>
        <x:v>Superficial (&lt;70 km)</x:v>
      </x:c>
      <x:c r="M2799" s="25" t="str">
        <x:f>IF(J2799&gt;=5,"Sí","No")</x:f>
        <x:v>No</x:v>
      </x:c>
      <x:c r="N2799" s="25" t="str">
        <x:f>IF(J2799&gt;=6,"Sí","No")</x:f>
        <x:v>No</x:v>
      </x:c>
      <x:c r="O2799" s="25" t="str">
        <x:v>Pendiente: asignar con R/sf</x:v>
      </x:c>
    </x:row>
    <x:row r="2800">
      <x:c r="A2800" s="25" t="n">
        <x:v>2799</x:v>
      </x:c>
      <x:c r="B2800" s="26" t="n">
        <x:v>42971.38431712963</x:v>
      </x:c>
      <x:c r="C2800" s="27" t="n">
        <x:f>INT(B2800)</x:f>
        <x:v>42971</x:v>
      </x:c>
      <x:c r="D2800" s="28" t="n">
        <x:f>MOD(B2800,1)</x:f>
        <x:v>0.38431712963210884</x:v>
      </x:c>
      <x:c r="E2800" s="29" t="n">
        <x:f>YEAR(B2800)</x:f>
        <x:v>2017</x:v>
      </x:c>
      <x:c r="F2800" s="29" t="n">
        <x:f>MONTH(B2800)</x:f>
        <x:v>8</x:v>
      </x:c>
      <x:c r="G2800" s="30" t="n">
        <x:v>-28.5</x:v>
      </x:c>
      <x:c r="H2800" s="30" t="n">
        <x:v>-71.2</x:v>
      </x:c>
      <x:c r="I2800" s="29" t="n">
        <x:v>35</x:v>
      </x:c>
      <x:c r="J2800" s="31" t="n">
        <x:v>4.1</x:v>
      </x:c>
      <x:c r="K2800" s="25" t="str">
        <x:f>IF(J2800&gt;=7,"Muy fuerte (&gt;=7)",IF(J2800&gt;=6,"Fuerte (6-6.9)",IF(J2800&gt;=5,"Moderado alto (5-5.9)",IF(J2800&gt;=4,"Moderado (4-4.9)","Menor a 4"))))</x:f>
        <x:v>Moderado (4-4.9)</x:v>
      </x:c>
      <x:c r="L2800" s="25" t="str">
        <x:f>IF(I2800&lt;70,"Superficial (&lt;70 km)",IF(I2800&lt;=300,"Intermedio (70-300 km)","Profundo (&gt;300 km)"))</x:f>
        <x:v>Superficial (&lt;70 km)</x:v>
      </x:c>
      <x:c r="M2800" s="25" t="str">
        <x:f>IF(J2800&gt;=5,"Sí","No")</x:f>
        <x:v>No</x:v>
      </x:c>
      <x:c r="N2800" s="25" t="str">
        <x:f>IF(J2800&gt;=6,"Sí","No")</x:f>
        <x:v>No</x:v>
      </x:c>
      <x:c r="O2800" s="25" t="str">
        <x:v>Pendiente: asignar con R/sf</x:v>
      </x:c>
    </x:row>
    <x:row r="2801">
      <x:c r="A2801" s="25" t="n">
        <x:v>2800</x:v>
      </x:c>
      <x:c r="B2801" s="26" t="n">
        <x:v>42959.81791666667</x:v>
      </x:c>
      <x:c r="C2801" s="27" t="n">
        <x:f>INT(B2801)</x:f>
        <x:v>42959</x:v>
      </x:c>
      <x:c r="D2801" s="28" t="n">
        <x:f>MOD(B2801,1)</x:f>
        <x:v>0.8179166666668607</x:v>
      </x:c>
      <x:c r="E2801" s="29" t="n">
        <x:f>YEAR(B2801)</x:f>
        <x:v>2017</x:v>
      </x:c>
      <x:c r="F2801" s="29" t="n">
        <x:f>MONTH(B2801)</x:f>
        <x:v>8</x:v>
      </x:c>
      <x:c r="G2801" s="30" t="n">
        <x:v>-20</x:v>
      </x:c>
      <x:c r="H2801" s="30" t="n">
        <x:v>-71.06</x:v>
      </x:c>
      <x:c r="I2801" s="29" t="n">
        <x:v>30</x:v>
      </x:c>
      <x:c r="J2801" s="31" t="n">
        <x:v>4.6</x:v>
      </x:c>
      <x:c r="K2801" s="25" t="str">
        <x:f>IF(J2801&gt;=7,"Muy fuerte (&gt;=7)",IF(J2801&gt;=6,"Fuerte (6-6.9)",IF(J2801&gt;=5,"Moderado alto (5-5.9)",IF(J2801&gt;=4,"Moderado (4-4.9)","Menor a 4"))))</x:f>
        <x:v>Moderado (4-4.9)</x:v>
      </x:c>
      <x:c r="L2801" s="25" t="str">
        <x:f>IF(I2801&lt;70,"Superficial (&lt;70 km)",IF(I2801&lt;=300,"Intermedio (70-300 km)","Profundo (&gt;300 km)"))</x:f>
        <x:v>Superficial (&lt;70 km)</x:v>
      </x:c>
      <x:c r="M2801" s="25" t="str">
        <x:f>IF(J2801&gt;=5,"Sí","No")</x:f>
        <x:v>No</x:v>
      </x:c>
      <x:c r="N2801" s="25" t="str">
        <x:f>IF(J2801&gt;=6,"Sí","No")</x:f>
        <x:v>No</x:v>
      </x:c>
      <x:c r="O2801" s="25" t="str">
        <x:v>Pendiente: asignar con R/sf</x:v>
      </x:c>
    </x:row>
    <x:row r="2802">
      <x:c r="A2802" s="25" t="n">
        <x:v>2801</x:v>
      </x:c>
      <x:c r="B2802" s="26" t="n">
        <x:v>43057.68491898148</x:v>
      </x:c>
      <x:c r="C2802" s="27" t="n">
        <x:f>INT(B2802)</x:f>
        <x:v>43057</x:v>
      </x:c>
      <x:c r="D2802" s="28" t="n">
        <x:f>MOD(B2802,1)</x:f>
        <x:v>0.684918981482042</x:v>
      </x:c>
      <x:c r="E2802" s="29" t="n">
        <x:f>YEAR(B2802)</x:f>
        <x:v>2017</x:v>
      </x:c>
      <x:c r="F2802" s="29" t="n">
        <x:f>MONTH(B2802)</x:f>
        <x:v>11</x:v>
      </x:c>
      <x:c r="G2802" s="30" t="n">
        <x:v>-21.97</x:v>
      </x:c>
      <x:c r="H2802" s="30" t="n">
        <x:v>-68.68</x:v>
      </x:c>
      <x:c r="I2802" s="29" t="n">
        <x:v>98</x:v>
      </x:c>
      <x:c r="J2802" s="31" t="n">
        <x:v>4.5</x:v>
      </x:c>
      <x:c r="K2802" s="25" t="str">
        <x:f>IF(J2802&gt;=7,"Muy fuerte (&gt;=7)",IF(J2802&gt;=6,"Fuerte (6-6.9)",IF(J2802&gt;=5,"Moderado alto (5-5.9)",IF(J2802&gt;=4,"Moderado (4-4.9)","Menor a 4"))))</x:f>
        <x:v>Moderado (4-4.9)</x:v>
      </x:c>
      <x:c r="L2802" s="25" t="str">
        <x:f>IF(I2802&lt;70,"Superficial (&lt;70 km)",IF(I2802&lt;=300,"Intermedio (70-300 km)","Profundo (&gt;300 km)"))</x:f>
        <x:v>Intermedio (70-300 km)</x:v>
      </x:c>
      <x:c r="M2802" s="25" t="str">
        <x:f>IF(J2802&gt;=5,"Sí","No")</x:f>
        <x:v>No</x:v>
      </x:c>
      <x:c r="N2802" s="25" t="str">
        <x:f>IF(J2802&gt;=6,"Sí","No")</x:f>
        <x:v>No</x:v>
      </x:c>
      <x:c r="O2802" s="25" t="str">
        <x:v>Pendiente: asignar con R/sf</x:v>
      </x:c>
    </x:row>
    <x:row r="2803">
      <x:c r="A2803" s="25" t="n">
        <x:v>2802</x:v>
      </x:c>
      <x:c r="B2803" s="26" t="n">
        <x:v>42853.665671296294</x:v>
      </x:c>
      <x:c r="C2803" s="27" t="n">
        <x:f>INT(B2803)</x:f>
        <x:v>42853</x:v>
      </x:c>
      <x:c r="D2803" s="28" t="n">
        <x:f>MOD(B2803,1)</x:f>
        <x:v>0.6656712962940219</x:v>
      </x:c>
      <x:c r="E2803" s="29" t="n">
        <x:f>YEAR(B2803)</x:f>
        <x:v>2017</x:v>
      </x:c>
      <x:c r="F2803" s="29" t="n">
        <x:f>MONTH(B2803)</x:f>
        <x:v>4</x:v>
      </x:c>
      <x:c r="G2803" s="30" t="n">
        <x:v>-33.26</x:v>
      </x:c>
      <x:c r="H2803" s="30" t="n">
        <x:v>-72.05</x:v>
      </x:c>
      <x:c r="I2803" s="29" t="n">
        <x:v>23</x:v>
      </x:c>
      <x:c r="J2803" s="31" t="n">
        <x:v>5.1</x:v>
      </x:c>
      <x:c r="K2803" s="25" t="str">
        <x:f>IF(J2803&gt;=7,"Muy fuerte (&gt;=7)",IF(J2803&gt;=6,"Fuerte (6-6.9)",IF(J2803&gt;=5,"Moderado alto (5-5.9)",IF(J2803&gt;=4,"Moderado (4-4.9)","Menor a 4"))))</x:f>
        <x:v>Moderado alto (5-5.9)</x:v>
      </x:c>
      <x:c r="L2803" s="25" t="str">
        <x:f>IF(I2803&lt;70,"Superficial (&lt;70 km)",IF(I2803&lt;=300,"Intermedio (70-300 km)","Profundo (&gt;300 km)"))</x:f>
        <x:v>Superficial (&lt;70 km)</x:v>
      </x:c>
      <x:c r="M2803" s="25" t="str">
        <x:f>IF(J2803&gt;=5,"Sí","No")</x:f>
        <x:v>Sí</x:v>
      </x:c>
      <x:c r="N2803" s="25" t="str">
        <x:f>IF(J2803&gt;=6,"Sí","No")</x:f>
        <x:v>No</x:v>
      </x:c>
      <x:c r="O2803" s="25" t="str">
        <x:v>Pendiente: asignar con R/sf</x:v>
      </x:c>
    </x:row>
    <x:row r="2804">
      <x:c r="A2804" s="25" t="n">
        <x:v>2803</x:v>
      </x:c>
      <x:c r="B2804" s="26" t="n">
        <x:v>42850.106307870374</x:v>
      </x:c>
      <x:c r="C2804" s="27" t="n">
        <x:f>INT(B2804)</x:f>
        <x:v>42850</x:v>
      </x:c>
      <x:c r="D2804" s="28" t="n">
        <x:f>MOD(B2804,1)</x:f>
        <x:v>0.10630787037371192</x:v>
      </x:c>
      <x:c r="E2804" s="29" t="n">
        <x:f>YEAR(B2804)</x:f>
        <x:v>2017</x:v>
      </x:c>
      <x:c r="F2804" s="29" t="n">
        <x:f>MONTH(B2804)</x:f>
        <x:v>4</x:v>
      </x:c>
      <x:c r="G2804" s="30" t="n">
        <x:v>-32.98</x:v>
      </x:c>
      <x:c r="H2804" s="30" t="n">
        <x:v>-71.92</x:v>
      </x:c>
      <x:c r="I2804" s="29" t="n">
        <x:v>29</x:v>
      </x:c>
      <x:c r="J2804" s="31" t="n">
        <x:v>4.1</x:v>
      </x:c>
      <x:c r="K2804" s="25" t="str">
        <x:f>IF(J2804&gt;=7,"Muy fuerte (&gt;=7)",IF(J2804&gt;=6,"Fuerte (6-6.9)",IF(J2804&gt;=5,"Moderado alto (5-5.9)",IF(J2804&gt;=4,"Moderado (4-4.9)","Menor a 4"))))</x:f>
        <x:v>Moderado (4-4.9)</x:v>
      </x:c>
      <x:c r="L2804" s="25" t="str">
        <x:f>IF(I2804&lt;70,"Superficial (&lt;70 km)",IF(I2804&lt;=300,"Intermedio (70-300 km)","Profundo (&gt;300 km)"))</x:f>
        <x:v>Superficial (&lt;70 km)</x:v>
      </x:c>
      <x:c r="M2804" s="25" t="str">
        <x:f>IF(J2804&gt;=5,"Sí","No")</x:f>
        <x:v>No</x:v>
      </x:c>
      <x:c r="N2804" s="25" t="str">
        <x:f>IF(J2804&gt;=6,"Sí","No")</x:f>
        <x:v>No</x:v>
      </x:c>
      <x:c r="O2804" s="25" t="str">
        <x:v>Pendiente: asignar con R/sf</x:v>
      </x:c>
    </x:row>
    <x:row r="2805">
      <x:c r="A2805" s="25" t="n">
        <x:v>2804</x:v>
      </x:c>
      <x:c r="B2805" s="26" t="n">
        <x:v>42854.370844907404</x:v>
      </x:c>
      <x:c r="C2805" s="27" t="n">
        <x:f>INT(B2805)</x:f>
        <x:v>42854</x:v>
      </x:c>
      <x:c r="D2805" s="28" t="n">
        <x:f>MOD(B2805,1)</x:f>
        <x:v>0.37084490740380716</x:v>
      </x:c>
      <x:c r="E2805" s="29" t="n">
        <x:f>YEAR(B2805)</x:f>
        <x:v>2017</x:v>
      </x:c>
      <x:c r="F2805" s="29" t="n">
        <x:f>MONTH(B2805)</x:f>
        <x:v>4</x:v>
      </x:c>
      <x:c r="G2805" s="30" t="n">
        <x:v>-33.23</x:v>
      </x:c>
      <x:c r="H2805" s="30" t="n">
        <x:v>-72.11</x:v>
      </x:c>
      <x:c r="I2805" s="29" t="n">
        <x:v>20</x:v>
      </x:c>
      <x:c r="J2805" s="31" t="n">
        <x:v>4.1</x:v>
      </x:c>
      <x:c r="K2805" s="25" t="str">
        <x:f>IF(J2805&gt;=7,"Muy fuerte (&gt;=7)",IF(J2805&gt;=6,"Fuerte (6-6.9)",IF(J2805&gt;=5,"Moderado alto (5-5.9)",IF(J2805&gt;=4,"Moderado (4-4.9)","Menor a 4"))))</x:f>
        <x:v>Moderado (4-4.9)</x:v>
      </x:c>
      <x:c r="L2805" s="25" t="str">
        <x:f>IF(I2805&lt;70,"Superficial (&lt;70 km)",IF(I2805&lt;=300,"Intermedio (70-300 km)","Profundo (&gt;300 km)"))</x:f>
        <x:v>Superficial (&lt;70 km)</x:v>
      </x:c>
      <x:c r="M2805" s="25" t="str">
        <x:f>IF(J2805&gt;=5,"Sí","No")</x:f>
        <x:v>No</x:v>
      </x:c>
      <x:c r="N2805" s="25" t="str">
        <x:f>IF(J2805&gt;=6,"Sí","No")</x:f>
        <x:v>No</x:v>
      </x:c>
      <x:c r="O2805" s="25" t="str">
        <x:v>Pendiente: asignar con R/sf</x:v>
      </x:c>
    </x:row>
    <x:row r="2806">
      <x:c r="A2806" s="25" t="n">
        <x:v>2805</x:v>
      </x:c>
      <x:c r="B2806" s="26" t="n">
        <x:v>42761.070439814815</x:v>
      </x:c>
      <x:c r="C2806" s="27" t="n">
        <x:f>INT(B2806)</x:f>
        <x:v>42761</x:v>
      </x:c>
      <x:c r="D2806" s="28" t="n">
        <x:f>MOD(B2806,1)</x:f>
        <x:v>0.07043981481547235</x:v>
      </x:c>
      <x:c r="E2806" s="29" t="n">
        <x:f>YEAR(B2806)</x:f>
        <x:v>2017</x:v>
      </x:c>
      <x:c r="F2806" s="29" t="n">
        <x:f>MONTH(B2806)</x:f>
        <x:v>1</x:v>
      </x:c>
      <x:c r="G2806" s="30" t="n">
        <x:v>-25.73</x:v>
      </x:c>
      <x:c r="H2806" s="30" t="n">
        <x:v>-69.45</x:v>
      </x:c>
      <x:c r="I2806" s="29" t="n">
        <x:v>87</x:v>
      </x:c>
      <x:c r="J2806" s="31" t="n">
        <x:v>4.4</x:v>
      </x:c>
      <x:c r="K2806" s="25" t="str">
        <x:f>IF(J2806&gt;=7,"Muy fuerte (&gt;=7)",IF(J2806&gt;=6,"Fuerte (6-6.9)",IF(J2806&gt;=5,"Moderado alto (5-5.9)",IF(J2806&gt;=4,"Moderado (4-4.9)","Menor a 4"))))</x:f>
        <x:v>Moderado (4-4.9)</x:v>
      </x:c>
      <x:c r="L2806" s="25" t="str">
        <x:f>IF(I2806&lt;70,"Superficial (&lt;70 km)",IF(I2806&lt;=300,"Intermedio (70-300 km)","Profundo (&gt;300 km)"))</x:f>
        <x:v>Intermedio (70-300 km)</x:v>
      </x:c>
      <x:c r="M2806" s="25" t="str">
        <x:f>IF(J2806&gt;=5,"Sí","No")</x:f>
        <x:v>No</x:v>
      </x:c>
      <x:c r="N2806" s="25" t="str">
        <x:f>IF(J2806&gt;=6,"Sí","No")</x:f>
        <x:v>No</x:v>
      </x:c>
      <x:c r="O2806" s="25" t="str">
        <x:v>Pendiente: asignar con R/sf</x:v>
      </x:c>
    </x:row>
    <x:row r="2807">
      <x:c r="A2807" s="25" t="n">
        <x:v>2806</x:v>
      </x:c>
      <x:c r="B2807" s="26" t="n">
        <x:v>42849.996354166666</x:v>
      </x:c>
      <x:c r="C2807" s="27" t="n">
        <x:f>INT(B2807)</x:f>
        <x:v>42849</x:v>
      </x:c>
      <x:c r="D2807" s="28" t="n">
        <x:f>MOD(B2807,1)</x:f>
        <x:v>0.9963541666656965</x:v>
      </x:c>
      <x:c r="E2807" s="29" t="n">
        <x:f>YEAR(B2807)</x:f>
        <x:v>2017</x:v>
      </x:c>
      <x:c r="F2807" s="29" t="n">
        <x:f>MONTH(B2807)</x:f>
        <x:v>4</x:v>
      </x:c>
      <x:c r="G2807" s="30" t="n">
        <x:v>-33.29</x:v>
      </x:c>
      <x:c r="H2807" s="30" t="n">
        <x:v>-71.93</x:v>
      </x:c>
      <x:c r="I2807" s="29" t="n">
        <x:v>28</x:v>
      </x:c>
      <x:c r="J2807" s="31" t="n">
        <x:v>4.8</x:v>
      </x:c>
      <x:c r="K2807" s="25" t="str">
        <x:f>IF(J2807&gt;=7,"Muy fuerte (&gt;=7)",IF(J2807&gt;=6,"Fuerte (6-6.9)",IF(J2807&gt;=5,"Moderado alto (5-5.9)",IF(J2807&gt;=4,"Moderado (4-4.9)","Menor a 4"))))</x:f>
        <x:v>Moderado (4-4.9)</x:v>
      </x:c>
      <x:c r="L2807" s="25" t="str">
        <x:f>IF(I2807&lt;70,"Superficial (&lt;70 km)",IF(I2807&lt;=300,"Intermedio (70-300 km)","Profundo (&gt;300 km)"))</x:f>
        <x:v>Superficial (&lt;70 km)</x:v>
      </x:c>
      <x:c r="M2807" s="25" t="str">
        <x:f>IF(J2807&gt;=5,"Sí","No")</x:f>
        <x:v>No</x:v>
      </x:c>
      <x:c r="N2807" s="25" t="str">
        <x:f>IF(J2807&gt;=6,"Sí","No")</x:f>
        <x:v>No</x:v>
      </x:c>
      <x:c r="O2807" s="25" t="str">
        <x:v>Pendiente: asignar con R/sf</x:v>
      </x:c>
    </x:row>
    <x:row r="2808">
      <x:c r="A2808" s="25" t="n">
        <x:v>2807</x:v>
      </x:c>
      <x:c r="B2808" s="26" t="n">
        <x:v>42849.16030092593</x:v>
      </x:c>
      <x:c r="C2808" s="27" t="n">
        <x:f>INT(B2808)</x:f>
        <x:v>42849</x:v>
      </x:c>
      <x:c r="D2808" s="28" t="n">
        <x:f>MOD(B2808,1)</x:f>
        <x:v>0.16030092592700385</x:v>
      </x:c>
      <x:c r="E2808" s="29" t="n">
        <x:f>YEAR(B2808)</x:f>
        <x:v>2017</x:v>
      </x:c>
      <x:c r="F2808" s="29" t="n">
        <x:f>MONTH(B2808)</x:f>
        <x:v>4</x:v>
      </x:c>
      <x:c r="G2808" s="30" t="n">
        <x:v>-33.09</x:v>
      </x:c>
      <x:c r="H2808" s="30" t="n">
        <x:v>-72.14</x:v>
      </x:c>
      <x:c r="I2808" s="29" t="n">
        <x:v>32</x:v>
      </x:c>
      <x:c r="J2808" s="31" t="n">
        <x:v>4.5</x:v>
      </x:c>
      <x:c r="K2808" s="25" t="str">
        <x:f>IF(J2808&gt;=7,"Muy fuerte (&gt;=7)",IF(J2808&gt;=6,"Fuerte (6-6.9)",IF(J2808&gt;=5,"Moderado alto (5-5.9)",IF(J2808&gt;=4,"Moderado (4-4.9)","Menor a 4"))))</x:f>
        <x:v>Moderado (4-4.9)</x:v>
      </x:c>
      <x:c r="L2808" s="25" t="str">
        <x:f>IF(I2808&lt;70,"Superficial (&lt;70 km)",IF(I2808&lt;=300,"Intermedio (70-300 km)","Profundo (&gt;300 km)"))</x:f>
        <x:v>Superficial (&lt;70 km)</x:v>
      </x:c>
      <x:c r="M2808" s="25" t="str">
        <x:f>IF(J2808&gt;=5,"Sí","No")</x:f>
        <x:v>No</x:v>
      </x:c>
      <x:c r="N2808" s="25" t="str">
        <x:f>IF(J2808&gt;=6,"Sí","No")</x:f>
        <x:v>No</x:v>
      </x:c>
      <x:c r="O2808" s="25" t="str">
        <x:v>Pendiente: asignar con R/sf</x:v>
      </x:c>
    </x:row>
    <x:row r="2809">
      <x:c r="A2809" s="25" t="n">
        <x:v>2808</x:v>
      </x:c>
      <x:c r="B2809" s="26" t="n">
        <x:v>42848.675625</x:v>
      </x:c>
      <x:c r="C2809" s="27" t="n">
        <x:f>INT(B2809)</x:f>
        <x:v>42848</x:v>
      </x:c>
      <x:c r="D2809" s="28" t="n">
        <x:f>MOD(B2809,1)</x:f>
        <x:v>0.6756250000034925</x:v>
      </x:c>
      <x:c r="E2809" s="29" t="n">
        <x:f>YEAR(B2809)</x:f>
        <x:v>2017</x:v>
      </x:c>
      <x:c r="F2809" s="29" t="n">
        <x:f>MONTH(B2809)</x:f>
        <x:v>4</x:v>
      </x:c>
      <x:c r="G2809" s="30" t="n">
        <x:v>-32.99</x:v>
      </x:c>
      <x:c r="H2809" s="30" t="n">
        <x:v>-71.96</x:v>
      </x:c>
      <x:c r="I2809" s="29" t="n">
        <x:v>27</x:v>
      </x:c>
      <x:c r="J2809" s="31" t="n">
        <x:v>4.3</x:v>
      </x:c>
      <x:c r="K2809" s="25" t="str">
        <x:f>IF(J2809&gt;=7,"Muy fuerte (&gt;=7)",IF(J2809&gt;=6,"Fuerte (6-6.9)",IF(J2809&gt;=5,"Moderado alto (5-5.9)",IF(J2809&gt;=4,"Moderado (4-4.9)","Menor a 4"))))</x:f>
        <x:v>Moderado (4-4.9)</x:v>
      </x:c>
      <x:c r="L2809" s="25" t="str">
        <x:f>IF(I2809&lt;70,"Superficial (&lt;70 km)",IF(I2809&lt;=300,"Intermedio (70-300 km)","Profundo (&gt;300 km)"))</x:f>
        <x:v>Superficial (&lt;70 km)</x:v>
      </x:c>
      <x:c r="M2809" s="25" t="str">
        <x:f>IF(J2809&gt;=5,"Sí","No")</x:f>
        <x:v>No</x:v>
      </x:c>
      <x:c r="N2809" s="25" t="str">
        <x:f>IF(J2809&gt;=6,"Sí","No")</x:f>
        <x:v>No</x:v>
      </x:c>
      <x:c r="O2809" s="25" t="str">
        <x:v>Pendiente: asignar con R/sf</x:v>
      </x:c>
    </x:row>
    <x:row r="2810">
      <x:c r="A2810" s="25" t="n">
        <x:v>2809</x:v>
      </x:c>
      <x:c r="B2810" s="26" t="n">
        <x:v>43015.442662037036</x:v>
      </x:c>
      <x:c r="C2810" s="27" t="n">
        <x:f>INT(B2810)</x:f>
        <x:v>43015</x:v>
      </x:c>
      <x:c r="D2810" s="28" t="n">
        <x:f>MOD(B2810,1)</x:f>
        <x:v>0.442662037035916</x:v>
      </x:c>
      <x:c r="E2810" s="29" t="n">
        <x:f>YEAR(B2810)</x:f>
        <x:v>2017</x:v>
      </x:c>
      <x:c r="F2810" s="29" t="n">
        <x:f>MONTH(B2810)</x:f>
        <x:v>10</x:v>
      </x:c>
      <x:c r="G2810" s="30" t="n">
        <x:v>-32.47</x:v>
      </x:c>
      <x:c r="H2810" s="30" t="n">
        <x:v>-71.76</x:v>
      </x:c>
      <x:c r="I2810" s="29" t="n">
        <x:v>15</x:v>
      </x:c>
      <x:c r="J2810" s="31" t="n">
        <x:v>4</x:v>
      </x:c>
      <x:c r="K2810" s="25" t="str">
        <x:f>IF(J2810&gt;=7,"Muy fuerte (&gt;=7)",IF(J2810&gt;=6,"Fuerte (6-6.9)",IF(J2810&gt;=5,"Moderado alto (5-5.9)",IF(J2810&gt;=4,"Moderado (4-4.9)","Menor a 4"))))</x:f>
        <x:v>Moderado (4-4.9)</x:v>
      </x:c>
      <x:c r="L2810" s="25" t="str">
        <x:f>IF(I2810&lt;70,"Superficial (&lt;70 km)",IF(I2810&lt;=300,"Intermedio (70-300 km)","Profundo (&gt;300 km)"))</x:f>
        <x:v>Superficial (&lt;70 km)</x:v>
      </x:c>
      <x:c r="M2810" s="25" t="str">
        <x:f>IF(J2810&gt;=5,"Sí","No")</x:f>
        <x:v>No</x:v>
      </x:c>
      <x:c r="N2810" s="25" t="str">
        <x:f>IF(J2810&gt;=6,"Sí","No")</x:f>
        <x:v>No</x:v>
      </x:c>
      <x:c r="O2810" s="25" t="str">
        <x:v>Pendiente: asignar con R/sf</x:v>
      </x:c>
    </x:row>
    <x:row r="2811">
      <x:c r="A2811" s="25" t="n">
        <x:v>2810</x:v>
      </x:c>
      <x:c r="B2811" s="26" t="n">
        <x:v>42829.54293981481</x:v>
      </x:c>
      <x:c r="C2811" s="27" t="n">
        <x:f>INT(B2811)</x:f>
        <x:v>42829</x:v>
      </x:c>
      <x:c r="D2811" s="28" t="n">
        <x:f>MOD(B2811,1)</x:f>
        <x:v>0.5429398148116888</x:v>
      </x:c>
      <x:c r="E2811" s="29" t="n">
        <x:f>YEAR(B2811)</x:f>
        <x:v>2017</x:v>
      </x:c>
      <x:c r="F2811" s="29" t="n">
        <x:f>MONTH(B2811)</x:f>
        <x:v>4</x:v>
      </x:c>
      <x:c r="G2811" s="30" t="n">
        <x:v>-20.31</x:v>
      </x:c>
      <x:c r="H2811" s="30" t="n">
        <x:v>-70.2</x:v>
      </x:c>
      <x:c r="I2811" s="29" t="n">
        <x:v>40</x:v>
      </x:c>
      <x:c r="J2811" s="31" t="n">
        <x:v>4.1</x:v>
      </x:c>
      <x:c r="K2811" s="25" t="str">
        <x:f>IF(J2811&gt;=7,"Muy fuerte (&gt;=7)",IF(J2811&gt;=6,"Fuerte (6-6.9)",IF(J2811&gt;=5,"Moderado alto (5-5.9)",IF(J2811&gt;=4,"Moderado (4-4.9)","Menor a 4"))))</x:f>
        <x:v>Moderado (4-4.9)</x:v>
      </x:c>
      <x:c r="L2811" s="25" t="str">
        <x:f>IF(I2811&lt;70,"Superficial (&lt;70 km)",IF(I2811&lt;=300,"Intermedio (70-300 km)","Profundo (&gt;300 km)"))</x:f>
        <x:v>Superficial (&lt;70 km)</x:v>
      </x:c>
      <x:c r="M2811" s="25" t="str">
        <x:f>IF(J2811&gt;=5,"Sí","No")</x:f>
        <x:v>No</x:v>
      </x:c>
      <x:c r="N2811" s="25" t="str">
        <x:f>IF(J2811&gt;=6,"Sí","No")</x:f>
        <x:v>No</x:v>
      </x:c>
      <x:c r="O2811" s="25" t="str">
        <x:v>Pendiente: asignar con R/sf</x:v>
      </x:c>
    </x:row>
    <x:row r="2812">
      <x:c r="A2812" s="25" t="n">
        <x:v>2811</x:v>
      </x:c>
      <x:c r="B2812" s="26" t="n">
        <x:v>42853.72347222222</x:v>
      </x:c>
      <x:c r="C2812" s="27" t="n">
        <x:f>INT(B2812)</x:f>
        <x:v>42853</x:v>
      </x:c>
      <x:c r="D2812" s="28" t="n">
        <x:f>MOD(B2812,1)</x:f>
        <x:v>0.7234722222201526</x:v>
      </x:c>
      <x:c r="E2812" s="29" t="n">
        <x:f>YEAR(B2812)</x:f>
        <x:v>2017</x:v>
      </x:c>
      <x:c r="F2812" s="29" t="n">
        <x:f>MONTH(B2812)</x:f>
        <x:v>4</x:v>
      </x:c>
      <x:c r="G2812" s="30" t="n">
        <x:v>-33.23</x:v>
      </x:c>
      <x:c r="H2812" s="30" t="n">
        <x:v>-72.06</x:v>
      </x:c>
      <x:c r="I2812" s="29" t="n">
        <x:v>24</x:v>
      </x:c>
      <x:c r="J2812" s="31" t="n">
        <x:v>4.3</x:v>
      </x:c>
      <x:c r="K2812" s="25" t="str">
        <x:f>IF(J2812&gt;=7,"Muy fuerte (&gt;=7)",IF(J2812&gt;=6,"Fuerte (6-6.9)",IF(J2812&gt;=5,"Moderado alto (5-5.9)",IF(J2812&gt;=4,"Moderado (4-4.9)","Menor a 4"))))</x:f>
        <x:v>Moderado (4-4.9)</x:v>
      </x:c>
      <x:c r="L2812" s="25" t="str">
        <x:f>IF(I2812&lt;70,"Superficial (&lt;70 km)",IF(I2812&lt;=300,"Intermedio (70-300 km)","Profundo (&gt;300 km)"))</x:f>
        <x:v>Superficial (&lt;70 km)</x:v>
      </x:c>
      <x:c r="M2812" s="25" t="str">
        <x:f>IF(J2812&gt;=5,"Sí","No")</x:f>
        <x:v>No</x:v>
      </x:c>
      <x:c r="N2812" s="25" t="str">
        <x:f>IF(J2812&gt;=6,"Sí","No")</x:f>
        <x:v>No</x:v>
      </x:c>
      <x:c r="O2812" s="25" t="str">
        <x:v>Pendiente: asignar con R/sf</x:v>
      </x:c>
    </x:row>
    <x:row r="2813">
      <x:c r="A2813" s="25" t="n">
        <x:v>2812</x:v>
      </x:c>
      <x:c r="B2813" s="26" t="n">
        <x:v>42850.99873842593</x:v>
      </x:c>
      <x:c r="C2813" s="27" t="n">
        <x:f>INT(B2813)</x:f>
        <x:v>42850</x:v>
      </x:c>
      <x:c r="D2813" s="28" t="n">
        <x:f>MOD(B2813,1)</x:f>
        <x:v>0.9987384259293322</x:v>
      </x:c>
      <x:c r="E2813" s="29" t="n">
        <x:f>YEAR(B2813)</x:f>
        <x:v>2017</x:v>
      </x:c>
      <x:c r="F2813" s="29" t="n">
        <x:f>MONTH(B2813)</x:f>
        <x:v>4</x:v>
      </x:c>
      <x:c r="G2813" s="30" t="n">
        <x:v>-32.95</x:v>
      </x:c>
      <x:c r="H2813" s="30" t="n">
        <x:v>-71.98</x:v>
      </x:c>
      <x:c r="I2813" s="29" t="n">
        <x:v>33</x:v>
      </x:c>
      <x:c r="J2813" s="31" t="n">
        <x:v>4.2</x:v>
      </x:c>
      <x:c r="K2813" s="25" t="str">
        <x:f>IF(J2813&gt;=7,"Muy fuerte (&gt;=7)",IF(J2813&gt;=6,"Fuerte (6-6.9)",IF(J2813&gt;=5,"Moderado alto (5-5.9)",IF(J2813&gt;=4,"Moderado (4-4.9)","Menor a 4"))))</x:f>
        <x:v>Moderado (4-4.9)</x:v>
      </x:c>
      <x:c r="L2813" s="25" t="str">
        <x:f>IF(I2813&lt;70,"Superficial (&lt;70 km)",IF(I2813&lt;=300,"Intermedio (70-300 km)","Profundo (&gt;300 km)"))</x:f>
        <x:v>Superficial (&lt;70 km)</x:v>
      </x:c>
      <x:c r="M2813" s="25" t="str">
        <x:f>IF(J2813&gt;=5,"Sí","No")</x:f>
        <x:v>No</x:v>
      </x:c>
      <x:c r="N2813" s="25" t="str">
        <x:f>IF(J2813&gt;=6,"Sí","No")</x:f>
        <x:v>No</x:v>
      </x:c>
      <x:c r="O2813" s="25" t="str">
        <x:v>Pendiente: asignar con R/sf</x:v>
      </x:c>
    </x:row>
    <x:row r="2814">
      <x:c r="A2814" s="25" t="n">
        <x:v>2813</x:v>
      </x:c>
      <x:c r="B2814" s="26" t="n">
        <x:v>43048.2403587963</x:v>
      </x:c>
      <x:c r="C2814" s="27" t="n">
        <x:f>INT(B2814)</x:f>
        <x:v>43048</x:v>
      </x:c>
      <x:c r="D2814" s="28" t="n">
        <x:f>MOD(B2814,1)</x:f>
        <x:v>0.24035879629809642</x:v>
      </x:c>
      <x:c r="E2814" s="29" t="n">
        <x:f>YEAR(B2814)</x:f>
        <x:v>2017</x:v>
      </x:c>
      <x:c r="F2814" s="29" t="n">
        <x:f>MONTH(B2814)</x:f>
        <x:v>11</x:v>
      </x:c>
      <x:c r="G2814" s="30" t="n">
        <x:v>-28.32</x:v>
      </x:c>
      <x:c r="H2814" s="30" t="n">
        <x:v>-71.23</x:v>
      </x:c>
      <x:c r="I2814" s="29" t="n">
        <x:v>54</x:v>
      </x:c>
      <x:c r="J2814" s="31" t="n">
        <x:v>4.3</x:v>
      </x:c>
      <x:c r="K2814" s="25" t="str">
        <x:f>IF(J2814&gt;=7,"Muy fuerte (&gt;=7)",IF(J2814&gt;=6,"Fuerte (6-6.9)",IF(J2814&gt;=5,"Moderado alto (5-5.9)",IF(J2814&gt;=4,"Moderado (4-4.9)","Menor a 4"))))</x:f>
        <x:v>Moderado (4-4.9)</x:v>
      </x:c>
      <x:c r="L2814" s="25" t="str">
        <x:f>IF(I2814&lt;70,"Superficial (&lt;70 km)",IF(I2814&lt;=300,"Intermedio (70-300 km)","Profundo (&gt;300 km)"))</x:f>
        <x:v>Superficial (&lt;70 km)</x:v>
      </x:c>
      <x:c r="M2814" s="25" t="str">
        <x:f>IF(J2814&gt;=5,"Sí","No")</x:f>
        <x:v>No</x:v>
      </x:c>
      <x:c r="N2814" s="25" t="str">
        <x:f>IF(J2814&gt;=6,"Sí","No")</x:f>
        <x:v>No</x:v>
      </x:c>
      <x:c r="O2814" s="25" t="str">
        <x:v>Pendiente: asignar con R/sf</x:v>
      </x:c>
    </x:row>
    <x:row r="2815">
      <x:c r="A2815" s="25" t="n">
        <x:v>2814</x:v>
      </x:c>
      <x:c r="B2815" s="26" t="n">
        <x:v>42877.04912037037</x:v>
      </x:c>
      <x:c r="C2815" s="27" t="n">
        <x:f>INT(B2815)</x:f>
        <x:v>42877</x:v>
      </x:c>
      <x:c r="D2815" s="28" t="n">
        <x:f>MOD(B2815,1)</x:f>
        <x:v>0.049120370371383615</x:v>
      </x:c>
      <x:c r="E2815" s="29" t="n">
        <x:f>YEAR(B2815)</x:f>
        <x:v>2017</x:v>
      </x:c>
      <x:c r="F2815" s="29" t="n">
        <x:f>MONTH(B2815)</x:f>
        <x:v>5</x:v>
      </x:c>
      <x:c r="G2815" s="30" t="n">
        <x:v>-20.37</x:v>
      </x:c>
      <x:c r="H2815" s="30" t="n">
        <x:v>-68.97</x:v>
      </x:c>
      <x:c r="I2815" s="29" t="n">
        <x:v>110</x:v>
      </x:c>
      <x:c r="J2815" s="31" t="n">
        <x:v>4.3</x:v>
      </x:c>
      <x:c r="K2815" s="25" t="str">
        <x:f>IF(J2815&gt;=7,"Muy fuerte (&gt;=7)",IF(J2815&gt;=6,"Fuerte (6-6.9)",IF(J2815&gt;=5,"Moderado alto (5-5.9)",IF(J2815&gt;=4,"Moderado (4-4.9)","Menor a 4"))))</x:f>
        <x:v>Moderado (4-4.9)</x:v>
      </x:c>
      <x:c r="L2815" s="25" t="str">
        <x:f>IF(I2815&lt;70,"Superficial (&lt;70 km)",IF(I2815&lt;=300,"Intermedio (70-300 km)","Profundo (&gt;300 km)"))</x:f>
        <x:v>Intermedio (70-300 km)</x:v>
      </x:c>
      <x:c r="M2815" s="25" t="str">
        <x:f>IF(J2815&gt;=5,"Sí","No")</x:f>
        <x:v>No</x:v>
      </x:c>
      <x:c r="N2815" s="25" t="str">
        <x:f>IF(J2815&gt;=6,"Sí","No")</x:f>
        <x:v>No</x:v>
      </x:c>
      <x:c r="O2815" s="25" t="str">
        <x:v>Pendiente: asignar con R/sf</x:v>
      </x:c>
    </x:row>
    <x:row r="2816">
      <x:c r="A2816" s="25" t="n">
        <x:v>2815</x:v>
      </x:c>
      <x:c r="B2816" s="26" t="n">
        <x:v>43004.5884375</x:v>
      </x:c>
      <x:c r="C2816" s="27" t="n">
        <x:f>INT(B2816)</x:f>
        <x:v>43004</x:v>
      </x:c>
      <x:c r="D2816" s="28" t="n">
        <x:f>MOD(B2816,1)</x:f>
        <x:v>0.5884375000023283</x:v>
      </x:c>
      <x:c r="E2816" s="29" t="n">
        <x:f>YEAR(B2816)</x:f>
        <x:v>2017</x:v>
      </x:c>
      <x:c r="F2816" s="29" t="n">
        <x:f>MONTH(B2816)</x:f>
        <x:v>9</x:v>
      </x:c>
      <x:c r="G2816" s="30" t="n">
        <x:v>-28.38</x:v>
      </x:c>
      <x:c r="H2816" s="30" t="n">
        <x:v>-71.2</x:v>
      </x:c>
      <x:c r="I2816" s="29" t="n">
        <x:v>32</x:v>
      </x:c>
      <x:c r="J2816" s="31" t="n">
        <x:v>4.1</x:v>
      </x:c>
      <x:c r="K2816" s="25" t="str">
        <x:f>IF(J2816&gt;=7,"Muy fuerte (&gt;=7)",IF(J2816&gt;=6,"Fuerte (6-6.9)",IF(J2816&gt;=5,"Moderado alto (5-5.9)",IF(J2816&gt;=4,"Moderado (4-4.9)","Menor a 4"))))</x:f>
        <x:v>Moderado (4-4.9)</x:v>
      </x:c>
      <x:c r="L2816" s="25" t="str">
        <x:f>IF(I2816&lt;70,"Superficial (&lt;70 km)",IF(I2816&lt;=300,"Intermedio (70-300 km)","Profundo (&gt;300 km)"))</x:f>
        <x:v>Superficial (&lt;70 km)</x:v>
      </x:c>
      <x:c r="M2816" s="25" t="str">
        <x:f>IF(J2816&gt;=5,"Sí","No")</x:f>
        <x:v>No</x:v>
      </x:c>
      <x:c r="N2816" s="25" t="str">
        <x:f>IF(J2816&gt;=6,"Sí","No")</x:f>
        <x:v>No</x:v>
      </x:c>
      <x:c r="O2816" s="25" t="str">
        <x:v>Pendiente: asignar con R/sf</x:v>
      </x:c>
    </x:row>
    <x:row r="2817">
      <x:c r="A2817" s="25" t="n">
        <x:v>2816</x:v>
      </x:c>
      <x:c r="B2817" s="26" t="n">
        <x:v>42778.68138888889</x:v>
      </x:c>
      <x:c r="C2817" s="27" t="n">
        <x:f>INT(B2817)</x:f>
        <x:v>42778</x:v>
      </x:c>
      <x:c r="D2817" s="28" t="n">
        <x:f>MOD(B2817,1)</x:f>
        <x:v>0.6813888888864312</x:v>
      </x:c>
      <x:c r="E2817" s="29" t="n">
        <x:f>YEAR(B2817)</x:f>
        <x:v>2017</x:v>
      </x:c>
      <x:c r="F2817" s="29" t="n">
        <x:f>MONTH(B2817)</x:f>
        <x:v>2</x:v>
      </x:c>
      <x:c r="G2817" s="30" t="n">
        <x:v>-27.95</x:v>
      </x:c>
      <x:c r="H2817" s="30" t="n">
        <x:v>-71.24</x:v>
      </x:c>
      <x:c r="I2817" s="29" t="n">
        <x:v>34</x:v>
      </x:c>
      <x:c r="J2817" s="31" t="n">
        <x:v>5.1</x:v>
      </x:c>
      <x:c r="K2817" s="25" t="str">
        <x:f>IF(J2817&gt;=7,"Muy fuerte (&gt;=7)",IF(J2817&gt;=6,"Fuerte (6-6.9)",IF(J2817&gt;=5,"Moderado alto (5-5.9)",IF(J2817&gt;=4,"Moderado (4-4.9)","Menor a 4"))))</x:f>
        <x:v>Moderado alto (5-5.9)</x:v>
      </x:c>
      <x:c r="L2817" s="25" t="str">
        <x:f>IF(I2817&lt;70,"Superficial (&lt;70 km)",IF(I2817&lt;=300,"Intermedio (70-300 km)","Profundo (&gt;300 km)"))</x:f>
        <x:v>Superficial (&lt;70 km)</x:v>
      </x:c>
      <x:c r="M2817" s="25" t="str">
        <x:f>IF(J2817&gt;=5,"Sí","No")</x:f>
        <x:v>Sí</x:v>
      </x:c>
      <x:c r="N2817" s="25" t="str">
        <x:f>IF(J2817&gt;=6,"Sí","No")</x:f>
        <x:v>No</x:v>
      </x:c>
      <x:c r="O2817" s="25" t="str">
        <x:v>Pendiente: asignar con R/sf</x:v>
      </x:c>
    </x:row>
    <x:row r="2818">
      <x:c r="A2818" s="25" t="n">
        <x:v>2817</x:v>
      </x:c>
      <x:c r="B2818" s="26" t="n">
        <x:v>43016.52533564815</x:v>
      </x:c>
      <x:c r="C2818" s="27" t="n">
        <x:f>INT(B2818)</x:f>
        <x:v>43016</x:v>
      </x:c>
      <x:c r="D2818" s="28" t="n">
        <x:f>MOD(B2818,1)</x:f>
        <x:v>0.5253356481480296</x:v>
      </x:c>
      <x:c r="E2818" s="29" t="n">
        <x:f>YEAR(B2818)</x:f>
        <x:v>2017</x:v>
      </x:c>
      <x:c r="F2818" s="29" t="n">
        <x:f>MONTH(B2818)</x:f>
        <x:v>10</x:v>
      </x:c>
      <x:c r="G2818" s="30" t="n">
        <x:v>-20.39</x:v>
      </x:c>
      <x:c r="H2818" s="30" t="n">
        <x:v>-68.89</x:v>
      </x:c>
      <x:c r="I2818" s="29" t="n">
        <x:v>104</x:v>
      </x:c>
      <x:c r="J2818" s="31" t="n">
        <x:v>4</x:v>
      </x:c>
      <x:c r="K2818" s="25" t="str">
        <x:f>IF(J2818&gt;=7,"Muy fuerte (&gt;=7)",IF(J2818&gt;=6,"Fuerte (6-6.9)",IF(J2818&gt;=5,"Moderado alto (5-5.9)",IF(J2818&gt;=4,"Moderado (4-4.9)","Menor a 4"))))</x:f>
        <x:v>Moderado (4-4.9)</x:v>
      </x:c>
      <x:c r="L2818" s="25" t="str">
        <x:f>IF(I2818&lt;70,"Superficial (&lt;70 km)",IF(I2818&lt;=300,"Intermedio (70-300 km)","Profundo (&gt;300 km)"))</x:f>
        <x:v>Intermedio (70-300 km)</x:v>
      </x:c>
      <x:c r="M2818" s="25" t="str">
        <x:f>IF(J2818&gt;=5,"Sí","No")</x:f>
        <x:v>No</x:v>
      </x:c>
      <x:c r="N2818" s="25" t="str">
        <x:f>IF(J2818&gt;=6,"Sí","No")</x:f>
        <x:v>No</x:v>
      </x:c>
      <x:c r="O2818" s="25" t="str">
        <x:v>Pendiente: asignar con R/sf</x:v>
      </x:c>
    </x:row>
    <x:row r="2819">
      <x:c r="A2819" s="25" t="n">
        <x:v>2818</x:v>
      </x:c>
      <x:c r="B2819" s="26" t="n">
        <x:v>42760.38271990741</x:v>
      </x:c>
      <x:c r="C2819" s="27" t="n">
        <x:f>INT(B2819)</x:f>
        <x:v>42760</x:v>
      </x:c>
      <x:c r="D2819" s="28" t="n">
        <x:f>MOD(B2819,1)</x:f>
        <x:v>0.38271990740759065</x:v>
      </x:c>
      <x:c r="E2819" s="29" t="n">
        <x:f>YEAR(B2819)</x:f>
        <x:v>2017</x:v>
      </x:c>
      <x:c r="F2819" s="29" t="n">
        <x:f>MONTH(B2819)</x:f>
        <x:v>1</x:v>
      </x:c>
      <x:c r="G2819" s="30" t="n">
        <x:v>-21.23</x:v>
      </x:c>
      <x:c r="H2819" s="30" t="n">
        <x:v>-68.66</x:v>
      </x:c>
      <x:c r="I2819" s="29" t="n">
        <x:v>121</x:v>
      </x:c>
      <x:c r="J2819" s="31" t="n">
        <x:v>4</x:v>
      </x:c>
      <x:c r="K2819" s="25" t="str">
        <x:f>IF(J2819&gt;=7,"Muy fuerte (&gt;=7)",IF(J2819&gt;=6,"Fuerte (6-6.9)",IF(J2819&gt;=5,"Moderado alto (5-5.9)",IF(J2819&gt;=4,"Moderado (4-4.9)","Menor a 4"))))</x:f>
        <x:v>Moderado (4-4.9)</x:v>
      </x:c>
      <x:c r="L2819" s="25" t="str">
        <x:f>IF(I2819&lt;70,"Superficial (&lt;70 km)",IF(I2819&lt;=300,"Intermedio (70-300 km)","Profundo (&gt;300 km)"))</x:f>
        <x:v>Intermedio (70-300 km)</x:v>
      </x:c>
      <x:c r="M2819" s="25" t="str">
        <x:f>IF(J2819&gt;=5,"Sí","No")</x:f>
        <x:v>No</x:v>
      </x:c>
      <x:c r="N2819" s="25" t="str">
        <x:f>IF(J2819&gt;=6,"Sí","No")</x:f>
        <x:v>No</x:v>
      </x:c>
      <x:c r="O2819" s="25" t="str">
        <x:v>Pendiente: asignar con R/sf</x:v>
      </x:c>
    </x:row>
    <x:row r="2820">
      <x:c r="A2820" s="25" t="n">
        <x:v>2819</x:v>
      </x:c>
      <x:c r="B2820" s="26" t="n">
        <x:v>42747.375069444446</x:v>
      </x:c>
      <x:c r="C2820" s="27" t="n">
        <x:f>INT(B2820)</x:f>
        <x:v>42747</x:v>
      </x:c>
      <x:c r="D2820" s="28" t="n">
        <x:f>MOD(B2820,1)</x:f>
        <x:v>0.375069444446126</x:v>
      </x:c>
      <x:c r="E2820" s="29" t="n">
        <x:f>YEAR(B2820)</x:f>
        <x:v>2017</x:v>
      </x:c>
      <x:c r="F2820" s="29" t="n">
        <x:f>MONTH(B2820)</x:f>
        <x:v>1</x:v>
      </x:c>
      <x:c r="G2820" s="30" t="n">
        <x:v>-18.08</x:v>
      </x:c>
      <x:c r="H2820" s="30" t="n">
        <x:v>-69.23</x:v>
      </x:c>
      <x:c r="I2820" s="29" t="n">
        <x:v>142</x:v>
      </x:c>
      <x:c r="J2820" s="31" t="n">
        <x:v>4.9</x:v>
      </x:c>
      <x:c r="K2820" s="25" t="str">
        <x:f>IF(J2820&gt;=7,"Muy fuerte (&gt;=7)",IF(J2820&gt;=6,"Fuerte (6-6.9)",IF(J2820&gt;=5,"Moderado alto (5-5.9)",IF(J2820&gt;=4,"Moderado (4-4.9)","Menor a 4"))))</x:f>
        <x:v>Moderado (4-4.9)</x:v>
      </x:c>
      <x:c r="L2820" s="25" t="str">
        <x:f>IF(I2820&lt;70,"Superficial (&lt;70 km)",IF(I2820&lt;=300,"Intermedio (70-300 km)","Profundo (&gt;300 km)"))</x:f>
        <x:v>Intermedio (70-300 km)</x:v>
      </x:c>
      <x:c r="M2820" s="25" t="str">
        <x:f>IF(J2820&gt;=5,"Sí","No")</x:f>
        <x:v>No</x:v>
      </x:c>
      <x:c r="N2820" s="25" t="str">
        <x:f>IF(J2820&gt;=6,"Sí","No")</x:f>
        <x:v>No</x:v>
      </x:c>
      <x:c r="O2820" s="25" t="str">
        <x:v>Pendiente: asignar con R/sf</x:v>
      </x:c>
    </x:row>
    <x:row r="2821">
      <x:c r="A2821" s="25" t="n">
        <x:v>2820</x:v>
      </x:c>
      <x:c r="B2821" s="26" t="n">
        <x:v>42840.89350694444</x:v>
      </x:c>
      <x:c r="C2821" s="27" t="n">
        <x:f>INT(B2821)</x:f>
        <x:v>42840</x:v>
      </x:c>
      <x:c r="D2821" s="28" t="n">
        <x:f>MOD(B2821,1)</x:f>
        <x:v>0.8935069444414694</x:v>
      </x:c>
      <x:c r="E2821" s="29" t="n">
        <x:f>YEAR(B2821)</x:f>
        <x:v>2017</x:v>
      </x:c>
      <x:c r="F2821" s="29" t="n">
        <x:f>MONTH(B2821)</x:f>
        <x:v>4</x:v>
      </x:c>
      <x:c r="G2821" s="30" t="n">
        <x:v>-28.43</x:v>
      </x:c>
      <x:c r="H2821" s="30" t="n">
        <x:v>-71.31</x:v>
      </x:c>
      <x:c r="I2821" s="29" t="n">
        <x:v>44</x:v>
      </x:c>
      <x:c r="J2821" s="31" t="n">
        <x:v>4.3</x:v>
      </x:c>
      <x:c r="K2821" s="25" t="str">
        <x:f>IF(J2821&gt;=7,"Muy fuerte (&gt;=7)",IF(J2821&gt;=6,"Fuerte (6-6.9)",IF(J2821&gt;=5,"Moderado alto (5-5.9)",IF(J2821&gt;=4,"Moderado (4-4.9)","Menor a 4"))))</x:f>
        <x:v>Moderado (4-4.9)</x:v>
      </x:c>
      <x:c r="L2821" s="25" t="str">
        <x:f>IF(I2821&lt;70,"Superficial (&lt;70 km)",IF(I2821&lt;=300,"Intermedio (70-300 km)","Profundo (&gt;300 km)"))</x:f>
        <x:v>Superficial (&lt;70 km)</x:v>
      </x:c>
      <x:c r="M2821" s="25" t="str">
        <x:f>IF(J2821&gt;=5,"Sí","No")</x:f>
        <x:v>No</x:v>
      </x:c>
      <x:c r="N2821" s="25" t="str">
        <x:f>IF(J2821&gt;=6,"Sí","No")</x:f>
        <x:v>No</x:v>
      </x:c>
      <x:c r="O2821" s="25" t="str">
        <x:v>Pendiente: asignar con R/sf</x:v>
      </x:c>
    </x:row>
    <x:row r="2822">
      <x:c r="A2822" s="25" t="n">
        <x:v>2821</x:v>
      </x:c>
      <x:c r="B2822" s="26" t="n">
        <x:v>42850.70041666667</x:v>
      </x:c>
      <x:c r="C2822" s="27" t="n">
        <x:f>INT(B2822)</x:f>
        <x:v>42850</x:v>
      </x:c>
      <x:c r="D2822" s="28" t="n">
        <x:f>MOD(B2822,1)</x:f>
        <x:v>0.7004166666665697</x:v>
      </x:c>
      <x:c r="E2822" s="29" t="n">
        <x:f>YEAR(B2822)</x:f>
        <x:v>2017</x:v>
      </x:c>
      <x:c r="F2822" s="29" t="n">
        <x:f>MONTH(B2822)</x:f>
        <x:v>4</x:v>
      </x:c>
      <x:c r="G2822" s="30" t="n">
        <x:v>-33.31</x:v>
      </x:c>
      <x:c r="H2822" s="30" t="n">
        <x:v>-72.01</x:v>
      </x:c>
      <x:c r="I2822" s="29" t="n">
        <x:v>18</x:v>
      </x:c>
      <x:c r="J2822" s="31" t="n">
        <x:v>4.2</x:v>
      </x:c>
      <x:c r="K2822" s="25" t="str">
        <x:f>IF(J2822&gt;=7,"Muy fuerte (&gt;=7)",IF(J2822&gt;=6,"Fuerte (6-6.9)",IF(J2822&gt;=5,"Moderado alto (5-5.9)",IF(J2822&gt;=4,"Moderado (4-4.9)","Menor a 4"))))</x:f>
        <x:v>Moderado (4-4.9)</x:v>
      </x:c>
      <x:c r="L2822" s="25" t="str">
        <x:f>IF(I2822&lt;70,"Superficial (&lt;70 km)",IF(I2822&lt;=300,"Intermedio (70-300 km)","Profundo (&gt;300 km)"))</x:f>
        <x:v>Superficial (&lt;70 km)</x:v>
      </x:c>
      <x:c r="M2822" s="25" t="str">
        <x:f>IF(J2822&gt;=5,"Sí","No")</x:f>
        <x:v>No</x:v>
      </x:c>
      <x:c r="N2822" s="25" t="str">
        <x:f>IF(J2822&gt;=6,"Sí","No")</x:f>
        <x:v>No</x:v>
      </x:c>
      <x:c r="O2822" s="25" t="str">
        <x:v>Pendiente: asignar con R/sf</x:v>
      </x:c>
    </x:row>
    <x:row r="2823">
      <x:c r="A2823" s="25" t="n">
        <x:v>2822</x:v>
      </x:c>
      <x:c r="B2823" s="26" t="n">
        <x:v>42849.97840277778</x:v>
      </x:c>
      <x:c r="C2823" s="27" t="n">
        <x:f>INT(B2823)</x:f>
        <x:v>42849</x:v>
      </x:c>
      <x:c r="D2823" s="28" t="n">
        <x:f>MOD(B2823,1)</x:f>
        <x:v>0.9784027777786832</x:v>
      </x:c>
      <x:c r="E2823" s="29" t="n">
        <x:f>YEAR(B2823)</x:f>
        <x:v>2017</x:v>
      </x:c>
      <x:c r="F2823" s="29" t="n">
        <x:f>MONTH(B2823)</x:f>
        <x:v>4</x:v>
      </x:c>
      <x:c r="G2823" s="30" t="n">
        <x:v>-33.18</x:v>
      </x:c>
      <x:c r="H2823" s="30" t="n">
        <x:v>-71.82</x:v>
      </x:c>
      <x:c r="I2823" s="29" t="n">
        <x:v>32</x:v>
      </x:c>
      <x:c r="J2823" s="31" t="n">
        <x:v>4.3</x:v>
      </x:c>
      <x:c r="K2823" s="25" t="str">
        <x:f>IF(J2823&gt;=7,"Muy fuerte (&gt;=7)",IF(J2823&gt;=6,"Fuerte (6-6.9)",IF(J2823&gt;=5,"Moderado alto (5-5.9)",IF(J2823&gt;=4,"Moderado (4-4.9)","Menor a 4"))))</x:f>
        <x:v>Moderado (4-4.9)</x:v>
      </x:c>
      <x:c r="L2823" s="25" t="str">
        <x:f>IF(I2823&lt;70,"Superficial (&lt;70 km)",IF(I2823&lt;=300,"Intermedio (70-300 km)","Profundo (&gt;300 km)"))</x:f>
        <x:v>Superficial (&lt;70 km)</x:v>
      </x:c>
      <x:c r="M2823" s="25" t="str">
        <x:f>IF(J2823&gt;=5,"Sí","No")</x:f>
        <x:v>No</x:v>
      </x:c>
      <x:c r="N2823" s="25" t="str">
        <x:f>IF(J2823&gt;=6,"Sí","No")</x:f>
        <x:v>No</x:v>
      </x:c>
      <x:c r="O2823" s="25" t="str">
        <x:v>Pendiente: asignar con R/sf</x:v>
      </x:c>
    </x:row>
    <x:row r="2824">
      <x:c r="A2824" s="25" t="n">
        <x:v>2823</x:v>
      </x:c>
      <x:c r="B2824" s="26" t="n">
        <x:v>42869.82251157407</x:v>
      </x:c>
      <x:c r="C2824" s="27" t="n">
        <x:f>INT(B2824)</x:f>
        <x:v>42869</x:v>
      </x:c>
      <x:c r="D2824" s="28" t="n">
        <x:f>MOD(B2824,1)</x:f>
        <x:v>0.822511574071541</x:v>
      </x:c>
      <x:c r="E2824" s="29" t="n">
        <x:f>YEAR(B2824)</x:f>
        <x:v>2017</x:v>
      </x:c>
      <x:c r="F2824" s="29" t="n">
        <x:f>MONTH(B2824)</x:f>
        <x:v>5</x:v>
      </x:c>
      <x:c r="G2824" s="30" t="n">
        <x:v>-20.84</x:v>
      </x:c>
      <x:c r="H2824" s="30" t="n">
        <x:v>-68.73</x:v>
      </x:c>
      <x:c r="I2824" s="29" t="n">
        <x:v>115</x:v>
      </x:c>
      <x:c r="J2824" s="31" t="n">
        <x:v>5.9</x:v>
      </x:c>
      <x:c r="K2824" s="25" t="str">
        <x:f>IF(J2824&gt;=7,"Muy fuerte (&gt;=7)",IF(J2824&gt;=6,"Fuerte (6-6.9)",IF(J2824&gt;=5,"Moderado alto (5-5.9)",IF(J2824&gt;=4,"Moderado (4-4.9)","Menor a 4"))))</x:f>
        <x:v>Moderado alto (5-5.9)</x:v>
      </x:c>
      <x:c r="L2824" s="25" t="str">
        <x:f>IF(I2824&lt;70,"Superficial (&lt;70 km)",IF(I2824&lt;=300,"Intermedio (70-300 km)","Profundo (&gt;300 km)"))</x:f>
        <x:v>Intermedio (70-300 km)</x:v>
      </x:c>
      <x:c r="M2824" s="25" t="str">
        <x:f>IF(J2824&gt;=5,"Sí","No")</x:f>
        <x:v>Sí</x:v>
      </x:c>
      <x:c r="N2824" s="25" t="str">
        <x:f>IF(J2824&gt;=6,"Sí","No")</x:f>
        <x:v>No</x:v>
      </x:c>
      <x:c r="O2824" s="25" t="str">
        <x:v>Pendiente: asignar con R/sf</x:v>
      </x:c>
    </x:row>
    <x:row r="2825">
      <x:c r="A2825" s="25" t="n">
        <x:v>2824</x:v>
      </x:c>
      <x:c r="B2825" s="26" t="n">
        <x:v>42894.57560185185</x:v>
      </x:c>
      <x:c r="C2825" s="27" t="n">
        <x:f>INT(B2825)</x:f>
        <x:v>42894</x:v>
      </x:c>
      <x:c r="D2825" s="28" t="n">
        <x:f>MOD(B2825,1)</x:f>
        <x:v>0.5756018518513883</x:v>
      </x:c>
      <x:c r="E2825" s="29" t="n">
        <x:f>YEAR(B2825)</x:f>
        <x:v>2017</x:v>
      </x:c>
      <x:c r="F2825" s="29" t="n">
        <x:f>MONTH(B2825)</x:f>
        <x:v>6</x:v>
      </x:c>
      <x:c r="G2825" s="30" t="n">
        <x:v>-22.09</x:v>
      </x:c>
      <x:c r="H2825" s="30" t="n">
        <x:v>-70.11</x:v>
      </x:c>
      <x:c r="I2825" s="29" t="n">
        <x:v>67</x:v>
      </x:c>
      <x:c r="J2825" s="31" t="n">
        <x:v>5</x:v>
      </x:c>
      <x:c r="K2825" s="25" t="str">
        <x:f>IF(J2825&gt;=7,"Muy fuerte (&gt;=7)",IF(J2825&gt;=6,"Fuerte (6-6.9)",IF(J2825&gt;=5,"Moderado alto (5-5.9)",IF(J2825&gt;=4,"Moderado (4-4.9)","Menor a 4"))))</x:f>
        <x:v>Moderado alto (5-5.9)</x:v>
      </x:c>
      <x:c r="L2825" s="25" t="str">
        <x:f>IF(I2825&lt;70,"Superficial (&lt;70 km)",IF(I2825&lt;=300,"Intermedio (70-300 km)","Profundo (&gt;300 km)"))</x:f>
        <x:v>Superficial (&lt;70 km)</x:v>
      </x:c>
      <x:c r="M2825" s="25" t="str">
        <x:f>IF(J2825&gt;=5,"Sí","No")</x:f>
        <x:v>Sí</x:v>
      </x:c>
      <x:c r="N2825" s="25" t="str">
        <x:f>IF(J2825&gt;=6,"Sí","No")</x:f>
        <x:v>No</x:v>
      </x:c>
      <x:c r="O2825" s="25" t="str">
        <x:v>Pendiente: asignar con R/sf</x:v>
      </x:c>
    </x:row>
    <x:row r="2826">
      <x:c r="A2826" s="25" t="n">
        <x:v>2825</x:v>
      </x:c>
      <x:c r="B2826" s="26" t="n">
        <x:v>42763.060752314814</x:v>
      </x:c>
      <x:c r="C2826" s="27" t="n">
        <x:f>INT(B2826)</x:f>
        <x:v>42763</x:v>
      </x:c>
      <x:c r="D2826" s="28" t="n">
        <x:f>MOD(B2826,1)</x:f>
        <x:v>0.060752314813726116</x:v>
      </x:c>
      <x:c r="E2826" s="29" t="n">
        <x:f>YEAR(B2826)</x:f>
        <x:v>2017</x:v>
      </x:c>
      <x:c r="F2826" s="29" t="n">
        <x:f>MONTH(B2826)</x:f>
        <x:v>1</x:v>
      </x:c>
      <x:c r="G2826" s="30" t="n">
        <x:v>-19.95</x:v>
      </x:c>
      <x:c r="H2826" s="30" t="n">
        <x:v>-70.01</x:v>
      </x:c>
      <x:c r="I2826" s="29" t="n">
        <x:v>54</x:v>
      </x:c>
      <x:c r="J2826" s="31" t="n">
        <x:v>5</x:v>
      </x:c>
      <x:c r="K2826" s="25" t="str">
        <x:f>IF(J2826&gt;=7,"Muy fuerte (&gt;=7)",IF(J2826&gt;=6,"Fuerte (6-6.9)",IF(J2826&gt;=5,"Moderado alto (5-5.9)",IF(J2826&gt;=4,"Moderado (4-4.9)","Menor a 4"))))</x:f>
        <x:v>Moderado alto (5-5.9)</x:v>
      </x:c>
      <x:c r="L2826" s="25" t="str">
        <x:f>IF(I2826&lt;70,"Superficial (&lt;70 km)",IF(I2826&lt;=300,"Intermedio (70-300 km)","Profundo (&gt;300 km)"))</x:f>
        <x:v>Superficial (&lt;70 km)</x:v>
      </x:c>
      <x:c r="M2826" s="25" t="str">
        <x:f>IF(J2826&gt;=5,"Sí","No")</x:f>
        <x:v>Sí</x:v>
      </x:c>
      <x:c r="N2826" s="25" t="str">
        <x:f>IF(J2826&gt;=6,"Sí","No")</x:f>
        <x:v>No</x:v>
      </x:c>
      <x:c r="O2826" s="25" t="str">
        <x:v>Pendiente: asignar con R/sf</x:v>
      </x:c>
    </x:row>
    <x:row r="2827">
      <x:c r="A2827" s="25" t="n">
        <x:v>2826</x:v>
      </x:c>
      <x:c r="B2827" s="26" t="n">
        <x:v>42920.67071759259</x:v>
      </x:c>
      <x:c r="C2827" s="27" t="n">
        <x:f>INT(B2827)</x:f>
        <x:v>42920</x:v>
      </x:c>
      <x:c r="D2827" s="28" t="n">
        <x:f>MOD(B2827,1)</x:f>
        <x:v>0.6707175925912452</x:v>
      </x:c>
      <x:c r="E2827" s="29" t="n">
        <x:f>YEAR(B2827)</x:f>
        <x:v>2017</x:v>
      </x:c>
      <x:c r="F2827" s="29" t="n">
        <x:f>MONTH(B2827)</x:f>
        <x:v>7</x:v>
      </x:c>
      <x:c r="G2827" s="30" t="n">
        <x:v>-35.57</x:v>
      </x:c>
      <x:c r="H2827" s="30" t="n">
        <x:v>-73.94</x:v>
      </x:c>
      <x:c r="I2827" s="29" t="n">
        <x:v>15</x:v>
      </x:c>
      <x:c r="J2827" s="31" t="n">
        <x:v>5.1</x:v>
      </x:c>
      <x:c r="K2827" s="25" t="str">
        <x:f>IF(J2827&gt;=7,"Muy fuerte (&gt;=7)",IF(J2827&gt;=6,"Fuerte (6-6.9)",IF(J2827&gt;=5,"Moderado alto (5-5.9)",IF(J2827&gt;=4,"Moderado (4-4.9)","Menor a 4"))))</x:f>
        <x:v>Moderado alto (5-5.9)</x:v>
      </x:c>
      <x:c r="L2827" s="25" t="str">
        <x:f>IF(I2827&lt;70,"Superficial (&lt;70 km)",IF(I2827&lt;=300,"Intermedio (70-300 km)","Profundo (&gt;300 km)"))</x:f>
        <x:v>Superficial (&lt;70 km)</x:v>
      </x:c>
      <x:c r="M2827" s="25" t="str">
        <x:f>IF(J2827&gt;=5,"Sí","No")</x:f>
        <x:v>Sí</x:v>
      </x:c>
      <x:c r="N2827" s="25" t="str">
        <x:f>IF(J2827&gt;=6,"Sí","No")</x:f>
        <x:v>No</x:v>
      </x:c>
      <x:c r="O2827" s="25" t="str">
        <x:v>Pendiente: asignar con R/sf</x:v>
      </x:c>
    </x:row>
    <x:row r="2828">
      <x:c r="A2828" s="25" t="n">
        <x:v>2827</x:v>
      </x:c>
      <x:c r="B2828" s="26" t="n">
        <x:v>42850.06475694444</x:v>
      </x:c>
      <x:c r="C2828" s="27" t="n">
        <x:f>INT(B2828)</x:f>
        <x:v>42850</x:v>
      </x:c>
      <x:c r="D2828" s="28" t="n">
        <x:f>MOD(B2828,1)</x:f>
        <x:v>0.06475694444088731</x:v>
      </x:c>
      <x:c r="E2828" s="29" t="n">
        <x:f>YEAR(B2828)</x:f>
        <x:v>2017</x:v>
      </x:c>
      <x:c r="F2828" s="29" t="n">
        <x:f>MONTH(B2828)</x:f>
        <x:v>4</x:v>
      </x:c>
      <x:c r="G2828" s="30" t="n">
        <x:v>-33.16</x:v>
      </x:c>
      <x:c r="H2828" s="30" t="n">
        <x:v>-72.04</x:v>
      </x:c>
      <x:c r="I2828" s="29" t="n">
        <x:v>25</x:v>
      </x:c>
      <x:c r="J2828" s="31" t="n">
        <x:v>4.5</x:v>
      </x:c>
      <x:c r="K2828" s="25" t="str">
        <x:f>IF(J2828&gt;=7,"Muy fuerte (&gt;=7)",IF(J2828&gt;=6,"Fuerte (6-6.9)",IF(J2828&gt;=5,"Moderado alto (5-5.9)",IF(J2828&gt;=4,"Moderado (4-4.9)","Menor a 4"))))</x:f>
        <x:v>Moderado (4-4.9)</x:v>
      </x:c>
      <x:c r="L2828" s="25" t="str">
        <x:f>IF(I2828&lt;70,"Superficial (&lt;70 km)",IF(I2828&lt;=300,"Intermedio (70-300 km)","Profundo (&gt;300 km)"))</x:f>
        <x:v>Superficial (&lt;70 km)</x:v>
      </x:c>
      <x:c r="M2828" s="25" t="str">
        <x:f>IF(J2828&gt;=5,"Sí","No")</x:f>
        <x:v>No</x:v>
      </x:c>
      <x:c r="N2828" s="25" t="str">
        <x:f>IF(J2828&gt;=6,"Sí","No")</x:f>
        <x:v>No</x:v>
      </x:c>
      <x:c r="O2828" s="25" t="str">
        <x:v>Pendiente: asignar con R/sf</x:v>
      </x:c>
    </x:row>
    <x:row r="2829">
      <x:c r="A2829" s="25" t="n">
        <x:v>2828</x:v>
      </x:c>
      <x:c r="B2829" s="26" t="n">
        <x:v>42890.60899305555</x:v>
      </x:c>
      <x:c r="C2829" s="27" t="n">
        <x:f>INT(B2829)</x:f>
        <x:v>42890</x:v>
      </x:c>
      <x:c r="D2829" s="28" t="n">
        <x:f>MOD(B2829,1)</x:f>
        <x:v>0.608993055553583</x:v>
      </x:c>
      <x:c r="E2829" s="29" t="n">
        <x:f>YEAR(B2829)</x:f>
        <x:v>2017</x:v>
      </x:c>
      <x:c r="F2829" s="29" t="n">
        <x:f>MONTH(B2829)</x:f>
        <x:v>6</x:v>
      </x:c>
      <x:c r="G2829" s="30" t="n">
        <x:v>-19.54</x:v>
      </x:c>
      <x:c r="H2829" s="30" t="n">
        <x:v>-70.09</x:v>
      </x:c>
      <x:c r="I2829" s="29" t="n">
        <x:v>53</x:v>
      </x:c>
      <x:c r="J2829" s="31" t="n">
        <x:v>4.5</x:v>
      </x:c>
      <x:c r="K2829" s="25" t="str">
        <x:f>IF(J2829&gt;=7,"Muy fuerte (&gt;=7)",IF(J2829&gt;=6,"Fuerte (6-6.9)",IF(J2829&gt;=5,"Moderado alto (5-5.9)",IF(J2829&gt;=4,"Moderado (4-4.9)","Menor a 4"))))</x:f>
        <x:v>Moderado (4-4.9)</x:v>
      </x:c>
      <x:c r="L2829" s="25" t="str">
        <x:f>IF(I2829&lt;70,"Superficial (&lt;70 km)",IF(I2829&lt;=300,"Intermedio (70-300 km)","Profundo (&gt;300 km)"))</x:f>
        <x:v>Superficial (&lt;70 km)</x:v>
      </x:c>
      <x:c r="M2829" s="25" t="str">
        <x:f>IF(J2829&gt;=5,"Sí","No")</x:f>
        <x:v>No</x:v>
      </x:c>
      <x:c r="N2829" s="25" t="str">
        <x:f>IF(J2829&gt;=6,"Sí","No")</x:f>
        <x:v>No</x:v>
      </x:c>
      <x:c r="O2829" s="25" t="str">
        <x:v>Pendiente: asignar con R/sf</x:v>
      </x:c>
    </x:row>
    <x:row r="2830">
      <x:c r="A2830" s="25" t="n">
        <x:v>2829</x:v>
      </x:c>
      <x:c r="B2830" s="26" t="n">
        <x:v>42855.400034722225</x:v>
      </x:c>
      <x:c r="C2830" s="27" t="n">
        <x:f>INT(B2830)</x:f>
        <x:v>42855</x:v>
      </x:c>
      <x:c r="D2830" s="28" t="n">
        <x:f>MOD(B2830,1)</x:f>
        <x:v>0.4000347222245182</x:v>
      </x:c>
      <x:c r="E2830" s="29" t="n">
        <x:f>YEAR(B2830)</x:f>
        <x:v>2017</x:v>
      </x:c>
      <x:c r="F2830" s="29" t="n">
        <x:f>MONTH(B2830)</x:f>
        <x:v>4</x:v>
      </x:c>
      <x:c r="G2830" s="30" t="n">
        <x:v>-19.99</x:v>
      </x:c>
      <x:c r="H2830" s="30" t="n">
        <x:v>-70.97</x:v>
      </x:c>
      <x:c r="I2830" s="29" t="n">
        <x:v>36</x:v>
      </x:c>
      <x:c r="J2830" s="31" t="n">
        <x:v>4.8</x:v>
      </x:c>
      <x:c r="K2830" s="25" t="str">
        <x:f>IF(J2830&gt;=7,"Muy fuerte (&gt;=7)",IF(J2830&gt;=6,"Fuerte (6-6.9)",IF(J2830&gt;=5,"Moderado alto (5-5.9)",IF(J2830&gt;=4,"Moderado (4-4.9)","Menor a 4"))))</x:f>
        <x:v>Moderado (4-4.9)</x:v>
      </x:c>
      <x:c r="L2830" s="25" t="str">
        <x:f>IF(I2830&lt;70,"Superficial (&lt;70 km)",IF(I2830&lt;=300,"Intermedio (70-300 km)","Profundo (&gt;300 km)"))</x:f>
        <x:v>Superficial (&lt;70 km)</x:v>
      </x:c>
      <x:c r="M2830" s="25" t="str">
        <x:f>IF(J2830&gt;=5,"Sí","No")</x:f>
        <x:v>No</x:v>
      </x:c>
      <x:c r="N2830" s="25" t="str">
        <x:f>IF(J2830&gt;=6,"Sí","No")</x:f>
        <x:v>No</x:v>
      </x:c>
      <x:c r="O2830" s="25" t="str">
        <x:v>Pendiente: asignar con R/sf</x:v>
      </x:c>
    </x:row>
    <x:row r="2831">
      <x:c r="A2831" s="25" t="n">
        <x:v>2830</x:v>
      </x:c>
      <x:c r="B2831" s="26" t="n">
        <x:v>42784.50712962963</x:v>
      </x:c>
      <x:c r="C2831" s="27" t="n">
        <x:f>INT(B2831)</x:f>
        <x:v>42784</x:v>
      </x:c>
      <x:c r="D2831" s="28" t="n">
        <x:f>MOD(B2831,1)</x:f>
        <x:v>0.5071296296300716</x:v>
      </x:c>
      <x:c r="E2831" s="29" t="n">
        <x:f>YEAR(B2831)</x:f>
        <x:v>2017</x:v>
      </x:c>
      <x:c r="F2831" s="29" t="n">
        <x:f>MONTH(B2831)</x:f>
        <x:v>2</x:v>
      </x:c>
      <x:c r="G2831" s="30" t="n">
        <x:v>-23.91</x:v>
      </x:c>
      <x:c r="H2831" s="30" t="n">
        <x:v>-67.26</x:v>
      </x:c>
      <x:c r="I2831" s="29" t="n">
        <x:v>266</x:v>
      </x:c>
      <x:c r="J2831" s="31" t="n">
        <x:v>6.5</x:v>
      </x:c>
      <x:c r="K2831" s="25" t="str">
        <x:f>IF(J2831&gt;=7,"Muy fuerte (&gt;=7)",IF(J2831&gt;=6,"Fuerte (6-6.9)",IF(J2831&gt;=5,"Moderado alto (5-5.9)",IF(J2831&gt;=4,"Moderado (4-4.9)","Menor a 4"))))</x:f>
        <x:v>Fuerte (6-6.9)</x:v>
      </x:c>
      <x:c r="L2831" s="25" t="str">
        <x:f>IF(I2831&lt;70,"Superficial (&lt;70 km)",IF(I2831&lt;=300,"Intermedio (70-300 km)","Profundo (&gt;300 km)"))</x:f>
        <x:v>Intermedio (70-300 km)</x:v>
      </x:c>
      <x:c r="M2831" s="25" t="str">
        <x:f>IF(J2831&gt;=5,"Sí","No")</x:f>
        <x:v>Sí</x:v>
      </x:c>
      <x:c r="N2831" s="25" t="str">
        <x:f>IF(J2831&gt;=6,"Sí","No")</x:f>
        <x:v>Sí</x:v>
      </x:c>
      <x:c r="O2831" s="25" t="str">
        <x:v>Pendiente: asignar con R/sf</x:v>
      </x:c>
    </x:row>
    <x:row r="2832">
      <x:c r="A2832" s="25" t="n">
        <x:v>2831</x:v>
      </x:c>
      <x:c r="B2832" s="26" t="n">
        <x:v>42969.49728009259</x:v>
      </x:c>
      <x:c r="C2832" s="27" t="n">
        <x:f>INT(B2832)</x:f>
        <x:v>42969</x:v>
      </x:c>
      <x:c r="D2832" s="28" t="n">
        <x:f>MOD(B2832,1)</x:f>
        <x:v>0.49728009258979</x:v>
      </x:c>
      <x:c r="E2832" s="29" t="n">
        <x:f>YEAR(B2832)</x:f>
        <x:v>2017</x:v>
      </x:c>
      <x:c r="F2832" s="29" t="n">
        <x:f>MONTH(B2832)</x:f>
        <x:v>8</x:v>
      </x:c>
      <x:c r="G2832" s="30" t="n">
        <x:v>-19.97</x:v>
      </x:c>
      <x:c r="H2832" s="30" t="n">
        <x:v>-70.11</x:v>
      </x:c>
      <x:c r="I2832" s="29" t="n">
        <x:v>47</x:v>
      </x:c>
      <x:c r="J2832" s="31" t="n">
        <x:v>4</x:v>
      </x:c>
      <x:c r="K2832" s="25" t="str">
        <x:f>IF(J2832&gt;=7,"Muy fuerte (&gt;=7)",IF(J2832&gt;=6,"Fuerte (6-6.9)",IF(J2832&gt;=5,"Moderado alto (5-5.9)",IF(J2832&gt;=4,"Moderado (4-4.9)","Menor a 4"))))</x:f>
        <x:v>Moderado (4-4.9)</x:v>
      </x:c>
      <x:c r="L2832" s="25" t="str">
        <x:f>IF(I2832&lt;70,"Superficial (&lt;70 km)",IF(I2832&lt;=300,"Intermedio (70-300 km)","Profundo (&gt;300 km)"))</x:f>
        <x:v>Superficial (&lt;70 km)</x:v>
      </x:c>
      <x:c r="M2832" s="25" t="str">
        <x:f>IF(J2832&gt;=5,"Sí","No")</x:f>
        <x:v>No</x:v>
      </x:c>
      <x:c r="N2832" s="25" t="str">
        <x:f>IF(J2832&gt;=6,"Sí","No")</x:f>
        <x:v>No</x:v>
      </x:c>
      <x:c r="O2832" s="25" t="str">
        <x:v>Pendiente: asignar con R/sf</x:v>
      </x:c>
    </x:row>
    <x:row r="2833">
      <x:c r="A2833" s="25" t="n">
        <x:v>2832</x:v>
      </x:c>
      <x:c r="B2833" s="26" t="n">
        <x:v>42761.99563657407</x:v>
      </x:c>
      <x:c r="C2833" s="27" t="n">
        <x:f>INT(B2833)</x:f>
        <x:v>42761</x:v>
      </x:c>
      <x:c r="D2833" s="28" t="n">
        <x:f>MOD(B2833,1)</x:f>
        <x:v>0.9956365740727051</x:v>
      </x:c>
      <x:c r="E2833" s="29" t="n">
        <x:f>YEAR(B2833)</x:f>
        <x:v>2017</x:v>
      </x:c>
      <x:c r="F2833" s="29" t="n">
        <x:f>MONTH(B2833)</x:f>
        <x:v>1</x:v>
      </x:c>
      <x:c r="G2833" s="30" t="n">
        <x:v>-20.32</x:v>
      </x:c>
      <x:c r="H2833" s="30" t="n">
        <x:v>-68.99</x:v>
      </x:c>
      <x:c r="I2833" s="29" t="n">
        <x:v>107</x:v>
      </x:c>
      <x:c r="J2833" s="31" t="n">
        <x:v>4.3</x:v>
      </x:c>
      <x:c r="K2833" s="25" t="str">
        <x:f>IF(J2833&gt;=7,"Muy fuerte (&gt;=7)",IF(J2833&gt;=6,"Fuerte (6-6.9)",IF(J2833&gt;=5,"Moderado alto (5-5.9)",IF(J2833&gt;=4,"Moderado (4-4.9)","Menor a 4"))))</x:f>
        <x:v>Moderado (4-4.9)</x:v>
      </x:c>
      <x:c r="L2833" s="25" t="str">
        <x:f>IF(I2833&lt;70,"Superficial (&lt;70 km)",IF(I2833&lt;=300,"Intermedio (70-300 km)","Profundo (&gt;300 km)"))</x:f>
        <x:v>Intermedio (70-300 km)</x:v>
      </x:c>
      <x:c r="M2833" s="25" t="str">
        <x:f>IF(J2833&gt;=5,"Sí","No")</x:f>
        <x:v>No</x:v>
      </x:c>
      <x:c r="N2833" s="25" t="str">
        <x:f>IF(J2833&gt;=6,"Sí","No")</x:f>
        <x:v>No</x:v>
      </x:c>
      <x:c r="O2833" s="25" t="str">
        <x:v>Pendiente: asignar con R/sf</x:v>
      </x:c>
    </x:row>
    <x:row r="2834">
      <x:c r="A2834" s="25" t="n">
        <x:v>2833</x:v>
      </x:c>
      <x:c r="B2834" s="26" t="n">
        <x:v>42928.380740740744</x:v>
      </x:c>
      <x:c r="C2834" s="27" t="n">
        <x:f>INT(B2834)</x:f>
        <x:v>42928</x:v>
      </x:c>
      <x:c r="D2834" s="28" t="n">
        <x:f>MOD(B2834,1)</x:f>
        <x:v>0.3807407407439314</x:v>
      </x:c>
      <x:c r="E2834" s="29" t="n">
        <x:f>YEAR(B2834)</x:f>
        <x:v>2017</x:v>
      </x:c>
      <x:c r="F2834" s="29" t="n">
        <x:f>MONTH(B2834)</x:f>
        <x:v>7</x:v>
      </x:c>
      <x:c r="G2834" s="30" t="n">
        <x:v>-35.3</x:v>
      </x:c>
      <x:c r="H2834" s="30" t="n">
        <x:v>-73.38</x:v>
      </x:c>
      <x:c r="I2834" s="29" t="n">
        <x:v>22</x:v>
      </x:c>
      <x:c r="J2834" s="31" t="n">
        <x:v>5.1</x:v>
      </x:c>
      <x:c r="K2834" s="25" t="str">
        <x:f>IF(J2834&gt;=7,"Muy fuerte (&gt;=7)",IF(J2834&gt;=6,"Fuerte (6-6.9)",IF(J2834&gt;=5,"Moderado alto (5-5.9)",IF(J2834&gt;=4,"Moderado (4-4.9)","Menor a 4"))))</x:f>
        <x:v>Moderado alto (5-5.9)</x:v>
      </x:c>
      <x:c r="L2834" s="25" t="str">
        <x:f>IF(I2834&lt;70,"Superficial (&lt;70 km)",IF(I2834&lt;=300,"Intermedio (70-300 km)","Profundo (&gt;300 km)"))</x:f>
        <x:v>Superficial (&lt;70 km)</x:v>
      </x:c>
      <x:c r="M2834" s="25" t="str">
        <x:f>IF(J2834&gt;=5,"Sí","No")</x:f>
        <x:v>Sí</x:v>
      </x:c>
      <x:c r="N2834" s="25" t="str">
        <x:f>IF(J2834&gt;=6,"Sí","No")</x:f>
        <x:v>No</x:v>
      </x:c>
      <x:c r="O2834" s="25" t="str">
        <x:v>Pendiente: asignar con R/sf</x:v>
      </x:c>
    </x:row>
    <x:row r="2835">
      <x:c r="A2835" s="25" t="n">
        <x:v>2834</x:v>
      </x:c>
      <x:c r="B2835" s="26" t="n">
        <x:v>42851.915972222225</x:v>
      </x:c>
      <x:c r="C2835" s="27" t="n">
        <x:f>INT(B2835)</x:f>
        <x:v>42851</x:v>
      </x:c>
      <x:c r="D2835" s="28" t="n">
        <x:f>MOD(B2835,1)</x:f>
        <x:v>0.9159722222248092</x:v>
      </x:c>
      <x:c r="E2835" s="29" t="n">
        <x:f>YEAR(B2835)</x:f>
        <x:v>2017</x:v>
      </x:c>
      <x:c r="F2835" s="29" t="n">
        <x:f>MONTH(B2835)</x:f>
        <x:v>4</x:v>
      </x:c>
      <x:c r="G2835" s="30" t="n">
        <x:v>-20.95</x:v>
      </x:c>
      <x:c r="H2835" s="30" t="n">
        <x:v>-69.04</x:v>
      </x:c>
      <x:c r="I2835" s="29" t="n">
        <x:v>103</x:v>
      </x:c>
      <x:c r="J2835" s="31" t="n">
        <x:v>4.3</x:v>
      </x:c>
      <x:c r="K2835" s="25" t="str">
        <x:f>IF(J2835&gt;=7,"Muy fuerte (&gt;=7)",IF(J2835&gt;=6,"Fuerte (6-6.9)",IF(J2835&gt;=5,"Moderado alto (5-5.9)",IF(J2835&gt;=4,"Moderado (4-4.9)","Menor a 4"))))</x:f>
        <x:v>Moderado (4-4.9)</x:v>
      </x:c>
      <x:c r="L2835" s="25" t="str">
        <x:f>IF(I2835&lt;70,"Superficial (&lt;70 km)",IF(I2835&lt;=300,"Intermedio (70-300 km)","Profundo (&gt;300 km)"))</x:f>
        <x:v>Intermedio (70-300 km)</x:v>
      </x:c>
      <x:c r="M2835" s="25" t="str">
        <x:f>IF(J2835&gt;=5,"Sí","No")</x:f>
        <x:v>No</x:v>
      </x:c>
      <x:c r="N2835" s="25" t="str">
        <x:f>IF(J2835&gt;=6,"Sí","No")</x:f>
        <x:v>No</x:v>
      </x:c>
      <x:c r="O2835" s="25" t="str">
        <x:v>Pendiente: asignar con R/sf</x:v>
      </x:c>
    </x:row>
    <x:row r="2836">
      <x:c r="A2836" s="25" t="n">
        <x:v>2835</x:v>
      </x:c>
      <x:c r="B2836" s="26" t="n">
        <x:v>42853.64826388889</x:v>
      </x:c>
      <x:c r="C2836" s="27" t="n">
        <x:f>INT(B2836)</x:f>
        <x:v>42853</x:v>
      </x:c>
      <x:c r="D2836" s="28" t="n">
        <x:f>MOD(B2836,1)</x:f>
        <x:v>0.648263888891961</x:v>
      </x:c>
      <x:c r="E2836" s="29" t="n">
        <x:f>YEAR(B2836)</x:f>
        <x:v>2017</x:v>
      </x:c>
      <x:c r="F2836" s="29" t="n">
        <x:f>MONTH(B2836)</x:f>
        <x:v>4</x:v>
      </x:c>
      <x:c r="G2836" s="30" t="n">
        <x:v>-33.32</x:v>
      </x:c>
      <x:c r="H2836" s="30" t="n">
        <x:v>-71.96</x:v>
      </x:c>
      <x:c r="I2836" s="29" t="n">
        <x:v>24</x:v>
      </x:c>
      <x:c r="J2836" s="31" t="n">
        <x:v>4.7</x:v>
      </x:c>
      <x:c r="K2836" s="25" t="str">
        <x:f>IF(J2836&gt;=7,"Muy fuerte (&gt;=7)",IF(J2836&gt;=6,"Fuerte (6-6.9)",IF(J2836&gt;=5,"Moderado alto (5-5.9)",IF(J2836&gt;=4,"Moderado (4-4.9)","Menor a 4"))))</x:f>
        <x:v>Moderado (4-4.9)</x:v>
      </x:c>
      <x:c r="L2836" s="25" t="str">
        <x:f>IF(I2836&lt;70,"Superficial (&lt;70 km)",IF(I2836&lt;=300,"Intermedio (70-300 km)","Profundo (&gt;300 km)"))</x:f>
        <x:v>Superficial (&lt;70 km)</x:v>
      </x:c>
      <x:c r="M2836" s="25" t="str">
        <x:f>IF(J2836&gt;=5,"Sí","No")</x:f>
        <x:v>No</x:v>
      </x:c>
      <x:c r="N2836" s="25" t="str">
        <x:f>IF(J2836&gt;=6,"Sí","No")</x:f>
        <x:v>No</x:v>
      </x:c>
      <x:c r="O2836" s="25" t="str">
        <x:v>Pendiente: asignar con R/sf</x:v>
      </x:c>
    </x:row>
    <x:row r="2837">
      <x:c r="A2837" s="25" t="n">
        <x:v>2836</x:v>
      </x:c>
      <x:c r="B2837" s="26" t="n">
        <x:v>42854.07362268519</x:v>
      </x:c>
      <x:c r="C2837" s="27" t="n">
        <x:f>INT(B2837)</x:f>
        <x:v>42854</x:v>
      </x:c>
      <x:c r="D2837" s="28" t="n">
        <x:f>MOD(B2837,1)</x:f>
        <x:v>0.07362268518772908</x:v>
      </x:c>
      <x:c r="E2837" s="29" t="n">
        <x:f>YEAR(B2837)</x:f>
        <x:v>2017</x:v>
      </x:c>
      <x:c r="F2837" s="29" t="n">
        <x:f>MONTH(B2837)</x:f>
        <x:v>4</x:v>
      </x:c>
      <x:c r="G2837" s="30" t="n">
        <x:v>-33.23</x:v>
      </x:c>
      <x:c r="H2837" s="30" t="n">
        <x:v>-71.98</x:v>
      </x:c>
      <x:c r="I2837" s="29" t="n">
        <x:v>26</x:v>
      </x:c>
      <x:c r="J2837" s="31" t="n">
        <x:v>4.7</x:v>
      </x:c>
      <x:c r="K2837" s="25" t="str">
        <x:f>IF(J2837&gt;=7,"Muy fuerte (&gt;=7)",IF(J2837&gt;=6,"Fuerte (6-6.9)",IF(J2837&gt;=5,"Moderado alto (5-5.9)",IF(J2837&gt;=4,"Moderado (4-4.9)","Menor a 4"))))</x:f>
        <x:v>Moderado (4-4.9)</x:v>
      </x:c>
      <x:c r="L2837" s="25" t="str">
        <x:f>IF(I2837&lt;70,"Superficial (&lt;70 km)",IF(I2837&lt;=300,"Intermedio (70-300 km)","Profundo (&gt;300 km)"))</x:f>
        <x:v>Superficial (&lt;70 km)</x:v>
      </x:c>
      <x:c r="M2837" s="25" t="str">
        <x:f>IF(J2837&gt;=5,"Sí","No")</x:f>
        <x:v>No</x:v>
      </x:c>
      <x:c r="N2837" s="25" t="str">
        <x:f>IF(J2837&gt;=6,"Sí","No")</x:f>
        <x:v>No</x:v>
      </x:c>
      <x:c r="O2837" s="25" t="str">
        <x:v>Pendiente: asignar con R/sf</x:v>
      </x:c>
    </x:row>
    <x:row r="2838">
      <x:c r="A2838" s="25" t="n">
        <x:v>2837</x:v>
      </x:c>
      <x:c r="B2838" s="26" t="n">
        <x:v>42926.34909722222</x:v>
      </x:c>
      <x:c r="C2838" s="27" t="n">
        <x:f>INT(B2838)</x:f>
        <x:v>42926</x:v>
      </x:c>
      <x:c r="D2838" s="28" t="n">
        <x:f>MOD(B2838,1)</x:f>
        <x:v>0.3490972222207347</x:v>
      </x:c>
      <x:c r="E2838" s="29" t="n">
        <x:f>YEAR(B2838)</x:f>
        <x:v>2017</x:v>
      </x:c>
      <x:c r="F2838" s="29" t="n">
        <x:f>MONTH(B2838)</x:f>
        <x:v>7</x:v>
      </x:c>
      <x:c r="G2838" s="30" t="n">
        <x:v>-32.69</x:v>
      </x:c>
      <x:c r="H2838" s="30" t="n">
        <x:v>-71.79</x:v>
      </x:c>
      <x:c r="I2838" s="29" t="n">
        <x:v>36</x:v>
      </x:c>
      <x:c r="J2838" s="31" t="n">
        <x:v>4</x:v>
      </x:c>
      <x:c r="K2838" s="25" t="str">
        <x:f>IF(J2838&gt;=7,"Muy fuerte (&gt;=7)",IF(J2838&gt;=6,"Fuerte (6-6.9)",IF(J2838&gt;=5,"Moderado alto (5-5.9)",IF(J2838&gt;=4,"Moderado (4-4.9)","Menor a 4"))))</x:f>
        <x:v>Moderado (4-4.9)</x:v>
      </x:c>
      <x:c r="L2838" s="25" t="str">
        <x:f>IF(I2838&lt;70,"Superficial (&lt;70 km)",IF(I2838&lt;=300,"Intermedio (70-300 km)","Profundo (&gt;300 km)"))</x:f>
        <x:v>Superficial (&lt;70 km)</x:v>
      </x:c>
      <x:c r="M2838" s="25" t="str">
        <x:f>IF(J2838&gt;=5,"Sí","No")</x:f>
        <x:v>No</x:v>
      </x:c>
      <x:c r="N2838" s="25" t="str">
        <x:f>IF(J2838&gt;=6,"Sí","No")</x:f>
        <x:v>No</x:v>
      </x:c>
      <x:c r="O2838" s="25" t="str">
        <x:v>Pendiente: asignar con R/sf</x:v>
      </x:c>
    </x:row>
    <x:row r="2839">
      <x:c r="A2839" s="25" t="n">
        <x:v>2838</x:v>
      </x:c>
      <x:c r="B2839" s="26" t="n">
        <x:v>42819.291238425925</x:v>
      </x:c>
      <x:c r="C2839" s="27" t="n">
        <x:f>INT(B2839)</x:f>
        <x:v>42819</x:v>
      </x:c>
      <x:c r="D2839" s="28" t="n">
        <x:f>MOD(B2839,1)</x:f>
        <x:v>0.2912384259252576</x:v>
      </x:c>
      <x:c r="E2839" s="29" t="n">
        <x:f>YEAR(B2839)</x:f>
        <x:v>2017</x:v>
      </x:c>
      <x:c r="F2839" s="29" t="n">
        <x:f>MONTH(B2839)</x:f>
        <x:v>3</x:v>
      </x:c>
      <x:c r="G2839" s="30" t="n">
        <x:v>-19.85</x:v>
      </x:c>
      <x:c r="H2839" s="30" t="n">
        <x:v>-69</x:v>
      </x:c>
      <x:c r="I2839" s="29" t="n">
        <x:v>109</x:v>
      </x:c>
      <x:c r="J2839" s="31" t="n">
        <x:v>5</x:v>
      </x:c>
      <x:c r="K2839" s="25" t="str">
        <x:f>IF(J2839&gt;=7,"Muy fuerte (&gt;=7)",IF(J2839&gt;=6,"Fuerte (6-6.9)",IF(J2839&gt;=5,"Moderado alto (5-5.9)",IF(J2839&gt;=4,"Moderado (4-4.9)","Menor a 4"))))</x:f>
        <x:v>Moderado alto (5-5.9)</x:v>
      </x:c>
      <x:c r="L2839" s="25" t="str">
        <x:f>IF(I2839&lt;70,"Superficial (&lt;70 km)",IF(I2839&lt;=300,"Intermedio (70-300 km)","Profundo (&gt;300 km)"))</x:f>
        <x:v>Intermedio (70-300 km)</x:v>
      </x:c>
      <x:c r="M2839" s="25" t="str">
        <x:f>IF(J2839&gt;=5,"Sí","No")</x:f>
        <x:v>Sí</x:v>
      </x:c>
      <x:c r="N2839" s="25" t="str">
        <x:f>IF(J2839&gt;=6,"Sí","No")</x:f>
        <x:v>No</x:v>
      </x:c>
      <x:c r="O2839" s="25" t="str">
        <x:v>Pendiente: asignar con R/sf</x:v>
      </x:c>
    </x:row>
    <x:row r="2840">
      <x:c r="A2840" s="25" t="n">
        <x:v>2839</x:v>
      </x:c>
      <x:c r="B2840" s="26" t="n">
        <x:v>42850.50929398148</x:v>
      </x:c>
      <x:c r="C2840" s="27" t="n">
        <x:f>INT(B2840)</x:f>
        <x:v>42850</x:v>
      </x:c>
      <x:c r="D2840" s="28" t="n">
        <x:f>MOD(B2840,1)</x:f>
        <x:v>0.5092939814785495</x:v>
      </x:c>
      <x:c r="E2840" s="29" t="n">
        <x:f>YEAR(B2840)</x:f>
        <x:v>2017</x:v>
      </x:c>
      <x:c r="F2840" s="29" t="n">
        <x:f>MONTH(B2840)</x:f>
        <x:v>4</x:v>
      </x:c>
      <x:c r="G2840" s="30" t="n">
        <x:v>-33.12</x:v>
      </x:c>
      <x:c r="H2840" s="30" t="n">
        <x:v>-72.21</x:v>
      </x:c>
      <x:c r="I2840" s="29" t="n">
        <x:v>31</x:v>
      </x:c>
      <x:c r="J2840" s="31" t="n">
        <x:v>4.7</x:v>
      </x:c>
      <x:c r="K2840" s="25" t="str">
        <x:f>IF(J2840&gt;=7,"Muy fuerte (&gt;=7)",IF(J2840&gt;=6,"Fuerte (6-6.9)",IF(J2840&gt;=5,"Moderado alto (5-5.9)",IF(J2840&gt;=4,"Moderado (4-4.9)","Menor a 4"))))</x:f>
        <x:v>Moderado (4-4.9)</x:v>
      </x:c>
      <x:c r="L2840" s="25" t="str">
        <x:f>IF(I2840&lt;70,"Superficial (&lt;70 km)",IF(I2840&lt;=300,"Intermedio (70-300 km)","Profundo (&gt;300 km)"))</x:f>
        <x:v>Superficial (&lt;70 km)</x:v>
      </x:c>
      <x:c r="M2840" s="25" t="str">
        <x:f>IF(J2840&gt;=5,"Sí","No")</x:f>
        <x:v>No</x:v>
      </x:c>
      <x:c r="N2840" s="25" t="str">
        <x:f>IF(J2840&gt;=6,"Sí","No")</x:f>
        <x:v>No</x:v>
      </x:c>
      <x:c r="O2840" s="25" t="str">
        <x:v>Pendiente: asignar con R/sf</x:v>
      </x:c>
    </x:row>
    <x:row r="2841">
      <x:c r="A2841" s="25" t="n">
        <x:v>2840</x:v>
      </x:c>
      <x:c r="B2841" s="26" t="n">
        <x:v>42853.76971064815</x:v>
      </x:c>
      <x:c r="C2841" s="27" t="n">
        <x:f>INT(B2841)</x:f>
        <x:v>42853</x:v>
      </x:c>
      <x:c r="D2841" s="28" t="n">
        <x:f>MOD(B2841,1)</x:f>
        <x:v>0.7697106481500668</x:v>
      </x:c>
      <x:c r="E2841" s="29" t="n">
        <x:f>YEAR(B2841)</x:f>
        <x:v>2017</x:v>
      </x:c>
      <x:c r="F2841" s="29" t="n">
        <x:f>MONTH(B2841)</x:f>
        <x:v>4</x:v>
      </x:c>
      <x:c r="G2841" s="30" t="n">
        <x:v>-33.28</x:v>
      </x:c>
      <x:c r="H2841" s="30" t="n">
        <x:v>-71.96</x:v>
      </x:c>
      <x:c r="I2841" s="29" t="n">
        <x:v>24</x:v>
      </x:c>
      <x:c r="J2841" s="31" t="n">
        <x:v>4.2</x:v>
      </x:c>
      <x:c r="K2841" s="25" t="str">
        <x:f>IF(J2841&gt;=7,"Muy fuerte (&gt;=7)",IF(J2841&gt;=6,"Fuerte (6-6.9)",IF(J2841&gt;=5,"Moderado alto (5-5.9)",IF(J2841&gt;=4,"Moderado (4-4.9)","Menor a 4"))))</x:f>
        <x:v>Moderado (4-4.9)</x:v>
      </x:c>
      <x:c r="L2841" s="25" t="str">
        <x:f>IF(I2841&lt;70,"Superficial (&lt;70 km)",IF(I2841&lt;=300,"Intermedio (70-300 km)","Profundo (&gt;300 km)"))</x:f>
        <x:v>Superficial (&lt;70 km)</x:v>
      </x:c>
      <x:c r="M2841" s="25" t="str">
        <x:f>IF(J2841&gt;=5,"Sí","No")</x:f>
        <x:v>No</x:v>
      </x:c>
      <x:c r="N2841" s="25" t="str">
        <x:f>IF(J2841&gt;=6,"Sí","No")</x:f>
        <x:v>No</x:v>
      </x:c>
      <x:c r="O2841" s="25" t="str">
        <x:v>Pendiente: asignar con R/sf</x:v>
      </x:c>
    </x:row>
    <x:row r="2842">
      <x:c r="A2842" s="25" t="n">
        <x:v>2841</x:v>
      </x:c>
      <x:c r="B2842" s="26" t="n">
        <x:v>42869.48119212963</x:v>
      </x:c>
      <x:c r="C2842" s="27" t="n">
        <x:f>INT(B2842)</x:f>
        <x:v>42869</x:v>
      </x:c>
      <x:c r="D2842" s="28" t="n">
        <x:f>MOD(B2842,1)</x:f>
        <x:v>0.48119212962774327</x:v>
      </x:c>
      <x:c r="E2842" s="29" t="n">
        <x:f>YEAR(B2842)</x:f>
        <x:v>2017</x:v>
      </x:c>
      <x:c r="F2842" s="29" t="n">
        <x:f>MONTH(B2842)</x:f>
        <x:v>5</x:v>
      </x:c>
      <x:c r="G2842" s="30" t="n">
        <x:v>-33.13</x:v>
      </x:c>
      <x:c r="H2842" s="30" t="n">
        <x:v>-71.62</x:v>
      </x:c>
      <x:c r="I2842" s="29" t="n">
        <x:v>29</x:v>
      </x:c>
      <x:c r="J2842" s="31" t="n">
        <x:v>4</x:v>
      </x:c>
      <x:c r="K2842" s="25" t="str">
        <x:f>IF(J2842&gt;=7,"Muy fuerte (&gt;=7)",IF(J2842&gt;=6,"Fuerte (6-6.9)",IF(J2842&gt;=5,"Moderado alto (5-5.9)",IF(J2842&gt;=4,"Moderado (4-4.9)","Menor a 4"))))</x:f>
        <x:v>Moderado (4-4.9)</x:v>
      </x:c>
      <x:c r="L2842" s="25" t="str">
        <x:f>IF(I2842&lt;70,"Superficial (&lt;70 km)",IF(I2842&lt;=300,"Intermedio (70-300 km)","Profundo (&gt;300 km)"))</x:f>
        <x:v>Superficial (&lt;70 km)</x:v>
      </x:c>
      <x:c r="M2842" s="25" t="str">
        <x:f>IF(J2842&gt;=5,"Sí","No")</x:f>
        <x:v>No</x:v>
      </x:c>
      <x:c r="N2842" s="25" t="str">
        <x:f>IF(J2842&gt;=6,"Sí","No")</x:f>
        <x:v>No</x:v>
      </x:c>
      <x:c r="O2842" s="25" t="str">
        <x:v>Pendiente: asignar con R/sf</x:v>
      </x:c>
    </x:row>
    <x:row r="2843">
      <x:c r="A2843" s="25" t="n">
        <x:v>2842</x:v>
      </x:c>
      <x:c r="B2843" s="26" t="n">
        <x:v>42763.5687962963</x:v>
      </x:c>
      <x:c r="C2843" s="27" t="n">
        <x:f>INT(B2843)</x:f>
        <x:v>42763</x:v>
      </x:c>
      <x:c r="D2843" s="28" t="n">
        <x:f>MOD(B2843,1)</x:f>
        <x:v>0.5687962962983875</x:v>
      </x:c>
      <x:c r="E2843" s="29" t="n">
        <x:f>YEAR(B2843)</x:f>
        <x:v>2017</x:v>
      </x:c>
      <x:c r="F2843" s="29" t="n">
        <x:f>MONTH(B2843)</x:f>
        <x:v>1</x:v>
      </x:c>
      <x:c r="G2843" s="30" t="n">
        <x:v>-26.66</x:v>
      </x:c>
      <x:c r="H2843" s="30" t="n">
        <x:v>-70.96</x:v>
      </x:c>
      <x:c r="I2843" s="29" t="n">
        <x:v>55</x:v>
      </x:c>
      <x:c r="J2843" s="31" t="n">
        <x:v>4.7</x:v>
      </x:c>
      <x:c r="K2843" s="25" t="str">
        <x:f>IF(J2843&gt;=7,"Muy fuerte (&gt;=7)",IF(J2843&gt;=6,"Fuerte (6-6.9)",IF(J2843&gt;=5,"Moderado alto (5-5.9)",IF(J2843&gt;=4,"Moderado (4-4.9)","Menor a 4"))))</x:f>
        <x:v>Moderado (4-4.9)</x:v>
      </x:c>
      <x:c r="L2843" s="25" t="str">
        <x:f>IF(I2843&lt;70,"Superficial (&lt;70 km)",IF(I2843&lt;=300,"Intermedio (70-300 km)","Profundo (&gt;300 km)"))</x:f>
        <x:v>Superficial (&lt;70 km)</x:v>
      </x:c>
      <x:c r="M2843" s="25" t="str">
        <x:f>IF(J2843&gt;=5,"Sí","No")</x:f>
        <x:v>No</x:v>
      </x:c>
      <x:c r="N2843" s="25" t="str">
        <x:f>IF(J2843&gt;=6,"Sí","No")</x:f>
        <x:v>No</x:v>
      </x:c>
      <x:c r="O2843" s="25" t="str">
        <x:v>Pendiente: asignar con R/sf</x:v>
      </x:c>
    </x:row>
    <x:row r="2844">
      <x:c r="A2844" s="25" t="n">
        <x:v>2843</x:v>
      </x:c>
      <x:c r="B2844" s="26" t="n">
        <x:v>43003.51724537037</x:v>
      </x:c>
      <x:c r="C2844" s="27" t="n">
        <x:f>INT(B2844)</x:f>
        <x:v>43003</x:v>
      </x:c>
      <x:c r="D2844" s="28" t="n">
        <x:f>MOD(B2844,1)</x:f>
        <x:v>0.5172453703708015</x:v>
      </x:c>
      <x:c r="E2844" s="29" t="n">
        <x:f>YEAR(B2844)</x:f>
        <x:v>2017</x:v>
      </x:c>
      <x:c r="F2844" s="29" t="n">
        <x:f>MONTH(B2844)</x:f>
        <x:v>9</x:v>
      </x:c>
      <x:c r="G2844" s="30" t="n">
        <x:v>-28.37</x:v>
      </x:c>
      <x:c r="H2844" s="30" t="n">
        <x:v>-71.18</x:v>
      </x:c>
      <x:c r="I2844" s="29" t="n">
        <x:v>32</x:v>
      </x:c>
      <x:c r="J2844" s="31" t="n">
        <x:v>4.6</x:v>
      </x:c>
      <x:c r="K2844" s="25" t="str">
        <x:f>IF(J2844&gt;=7,"Muy fuerte (&gt;=7)",IF(J2844&gt;=6,"Fuerte (6-6.9)",IF(J2844&gt;=5,"Moderado alto (5-5.9)",IF(J2844&gt;=4,"Moderado (4-4.9)","Menor a 4"))))</x:f>
        <x:v>Moderado (4-4.9)</x:v>
      </x:c>
      <x:c r="L2844" s="25" t="str">
        <x:f>IF(I2844&lt;70,"Superficial (&lt;70 km)",IF(I2844&lt;=300,"Intermedio (70-300 km)","Profundo (&gt;300 km)"))</x:f>
        <x:v>Superficial (&lt;70 km)</x:v>
      </x:c>
      <x:c r="M2844" s="25" t="str">
        <x:f>IF(J2844&gt;=5,"Sí","No")</x:f>
        <x:v>No</x:v>
      </x:c>
      <x:c r="N2844" s="25" t="str">
        <x:f>IF(J2844&gt;=6,"Sí","No")</x:f>
        <x:v>No</x:v>
      </x:c>
      <x:c r="O2844" s="25" t="str">
        <x:v>Pendiente: asignar con R/sf</x:v>
      </x:c>
    </x:row>
    <x:row r="2845">
      <x:c r="A2845" s="25" t="n">
        <x:v>2844</x:v>
      </x:c>
      <x:c r="B2845" s="26" t="n">
        <x:v>42854.35466435185</x:v>
      </x:c>
      <x:c r="C2845" s="27" t="n">
        <x:f>INT(B2845)</x:f>
        <x:v>42854</x:v>
      </x:c>
      <x:c r="D2845" s="28" t="n">
        <x:f>MOD(B2845,1)</x:f>
        <x:v>0.3546643518493511</x:v>
      </x:c>
      <x:c r="E2845" s="29" t="n">
        <x:f>YEAR(B2845)</x:f>
        <x:v>2017</x:v>
      </x:c>
      <x:c r="F2845" s="29" t="n">
        <x:f>MONTH(B2845)</x:f>
        <x:v>4</x:v>
      </x:c>
      <x:c r="G2845" s="30" t="n">
        <x:v>-33.25</x:v>
      </x:c>
      <x:c r="H2845" s="30" t="n">
        <x:v>-72.05</x:v>
      </x:c>
      <x:c r="I2845" s="29" t="n">
        <x:v>24</x:v>
      </x:c>
      <x:c r="J2845" s="31" t="n">
        <x:v>4.2</x:v>
      </x:c>
      <x:c r="K2845" s="25" t="str">
        <x:f>IF(J2845&gt;=7,"Muy fuerte (&gt;=7)",IF(J2845&gt;=6,"Fuerte (6-6.9)",IF(J2845&gt;=5,"Moderado alto (5-5.9)",IF(J2845&gt;=4,"Moderado (4-4.9)","Menor a 4"))))</x:f>
        <x:v>Moderado (4-4.9)</x:v>
      </x:c>
      <x:c r="L2845" s="25" t="str">
        <x:f>IF(I2845&lt;70,"Superficial (&lt;70 km)",IF(I2845&lt;=300,"Intermedio (70-300 km)","Profundo (&gt;300 km)"))</x:f>
        <x:v>Superficial (&lt;70 km)</x:v>
      </x:c>
      <x:c r="M2845" s="25" t="str">
        <x:f>IF(J2845&gt;=5,"Sí","No")</x:f>
        <x:v>No</x:v>
      </x:c>
      <x:c r="N2845" s="25" t="str">
        <x:f>IF(J2845&gt;=6,"Sí","No")</x:f>
        <x:v>No</x:v>
      </x:c>
      <x:c r="O2845" s="25" t="str">
        <x:v>Pendiente: asignar con R/sf</x:v>
      </x:c>
    </x:row>
    <x:row r="2846">
      <x:c r="A2846" s="25" t="n">
        <x:v>2845</x:v>
      </x:c>
      <x:c r="B2846" s="26" t="n">
        <x:v>42843.2999537037</x:v>
      </x:c>
      <x:c r="C2846" s="27" t="n">
        <x:f>INT(B2846)</x:f>
        <x:v>42843</x:v>
      </x:c>
      <x:c r="D2846" s="28" t="n">
        <x:f>MOD(B2846,1)</x:f>
        <x:v>0.29995370370306773</x:v>
      </x:c>
      <x:c r="E2846" s="29" t="n">
        <x:f>YEAR(B2846)</x:f>
        <x:v>2017</x:v>
      </x:c>
      <x:c r="F2846" s="29" t="n">
        <x:f>MONTH(B2846)</x:f>
        <x:v>4</x:v>
      </x:c>
      <x:c r="G2846" s="30" t="n">
        <x:v>-19.19</x:v>
      </x:c>
      <x:c r="H2846" s="30" t="n">
        <x:v>-69.98</x:v>
      </x:c>
      <x:c r="I2846" s="29" t="n">
        <x:v>63</x:v>
      </x:c>
      <x:c r="J2846" s="31" t="n">
        <x:v>4.5</x:v>
      </x:c>
      <x:c r="K2846" s="25" t="str">
        <x:f>IF(J2846&gt;=7,"Muy fuerte (&gt;=7)",IF(J2846&gt;=6,"Fuerte (6-6.9)",IF(J2846&gt;=5,"Moderado alto (5-5.9)",IF(J2846&gt;=4,"Moderado (4-4.9)","Menor a 4"))))</x:f>
        <x:v>Moderado (4-4.9)</x:v>
      </x:c>
      <x:c r="L2846" s="25" t="str">
        <x:f>IF(I2846&lt;70,"Superficial (&lt;70 km)",IF(I2846&lt;=300,"Intermedio (70-300 km)","Profundo (&gt;300 km)"))</x:f>
        <x:v>Superficial (&lt;70 km)</x:v>
      </x:c>
      <x:c r="M2846" s="25" t="str">
        <x:f>IF(J2846&gt;=5,"Sí","No")</x:f>
        <x:v>No</x:v>
      </x:c>
      <x:c r="N2846" s="25" t="str">
        <x:f>IF(J2846&gt;=6,"Sí","No")</x:f>
        <x:v>No</x:v>
      </x:c>
      <x:c r="O2846" s="25" t="str">
        <x:v>Pendiente: asignar con R/sf</x:v>
      </x:c>
    </x:row>
    <x:row r="2847">
      <x:c r="A2847" s="25" t="n">
        <x:v>2846</x:v>
      </x:c>
      <x:c r="B2847" s="26" t="n">
        <x:v>42868.82271990741</x:v>
      </x:c>
      <x:c r="C2847" s="27" t="n">
        <x:f>INT(B2847)</x:f>
        <x:v>42868</x:v>
      </x:c>
      <x:c r="D2847" s="28" t="n">
        <x:f>MOD(B2847,1)</x:f>
        <x:v>0.822719907409919</x:v>
      </x:c>
      <x:c r="E2847" s="29" t="n">
        <x:f>YEAR(B2847)</x:f>
        <x:v>2017</x:v>
      </x:c>
      <x:c r="F2847" s="29" t="n">
        <x:f>MONTH(B2847)</x:f>
        <x:v>5</x:v>
      </x:c>
      <x:c r="G2847" s="30" t="n">
        <x:v>-21.76</x:v>
      </x:c>
      <x:c r="H2847" s="30" t="n">
        <x:v>-70.36</x:v>
      </x:c>
      <x:c r="I2847" s="29" t="n">
        <x:v>40</x:v>
      </x:c>
      <x:c r="J2847" s="31" t="n">
        <x:v>4</x:v>
      </x:c>
      <x:c r="K2847" s="25" t="str">
        <x:f>IF(J2847&gt;=7,"Muy fuerte (&gt;=7)",IF(J2847&gt;=6,"Fuerte (6-6.9)",IF(J2847&gt;=5,"Moderado alto (5-5.9)",IF(J2847&gt;=4,"Moderado (4-4.9)","Menor a 4"))))</x:f>
        <x:v>Moderado (4-4.9)</x:v>
      </x:c>
      <x:c r="L2847" s="25" t="str">
        <x:f>IF(I2847&lt;70,"Superficial (&lt;70 km)",IF(I2847&lt;=300,"Intermedio (70-300 km)","Profundo (&gt;300 km)"))</x:f>
        <x:v>Superficial (&lt;70 km)</x:v>
      </x:c>
      <x:c r="M2847" s="25" t="str">
        <x:f>IF(J2847&gt;=5,"Sí","No")</x:f>
        <x:v>No</x:v>
      </x:c>
      <x:c r="N2847" s="25" t="str">
        <x:f>IF(J2847&gt;=6,"Sí","No")</x:f>
        <x:v>No</x:v>
      </x:c>
      <x:c r="O2847" s="25" t="str">
        <x:v>Pendiente: asignar con R/sf</x:v>
      </x:c>
    </x:row>
    <x:row r="2848">
      <x:c r="A2848" s="25" t="n">
        <x:v>2847</x:v>
      </x:c>
      <x:c r="B2848" s="26" t="n">
        <x:v>42875.59240740741</x:v>
      </x:c>
      <x:c r="C2848" s="27" t="n">
        <x:f>INT(B2848)</x:f>
        <x:v>42875</x:v>
      </x:c>
      <x:c r="D2848" s="28" t="n">
        <x:f>MOD(B2848,1)</x:f>
        <x:v>0.5924074074064265</x:v>
      </x:c>
      <x:c r="E2848" s="29" t="n">
        <x:f>YEAR(B2848)</x:f>
        <x:v>2017</x:v>
      </x:c>
      <x:c r="F2848" s="29" t="n">
        <x:f>MONTH(B2848)</x:f>
        <x:v>5</x:v>
      </x:c>
      <x:c r="G2848" s="30" t="n">
        <x:v>-38.98</x:v>
      </x:c>
      <x:c r="H2848" s="30" t="n">
        <x:v>-73.47</x:v>
      </x:c>
      <x:c r="I2848" s="29" t="n">
        <x:v>12</x:v>
      </x:c>
      <x:c r="J2848" s="31" t="n">
        <x:v>4.5</x:v>
      </x:c>
      <x:c r="K2848" s="25" t="str">
        <x:f>IF(J2848&gt;=7,"Muy fuerte (&gt;=7)",IF(J2848&gt;=6,"Fuerte (6-6.9)",IF(J2848&gt;=5,"Moderado alto (5-5.9)",IF(J2848&gt;=4,"Moderado (4-4.9)","Menor a 4"))))</x:f>
        <x:v>Moderado (4-4.9)</x:v>
      </x:c>
      <x:c r="L2848" s="25" t="str">
        <x:f>IF(I2848&lt;70,"Superficial (&lt;70 km)",IF(I2848&lt;=300,"Intermedio (70-300 km)","Profundo (&gt;300 km)"))</x:f>
        <x:v>Superficial (&lt;70 km)</x:v>
      </x:c>
      <x:c r="M2848" s="25" t="str">
        <x:f>IF(J2848&gt;=5,"Sí","No")</x:f>
        <x:v>No</x:v>
      </x:c>
      <x:c r="N2848" s="25" t="str">
        <x:f>IF(J2848&gt;=6,"Sí","No")</x:f>
        <x:v>No</x:v>
      </x:c>
      <x:c r="O2848" s="25" t="str">
        <x:v>Pendiente: asignar con R/sf</x:v>
      </x:c>
    </x:row>
    <x:row r="2849">
      <x:c r="A2849" s="25" t="n">
        <x:v>2848</x:v>
      </x:c>
      <x:c r="B2849" s="26" t="n">
        <x:v>42811.25760416667</x:v>
      </x:c>
      <x:c r="C2849" s="27" t="n">
        <x:f>INT(B2849)</x:f>
        <x:v>42811</x:v>
      </x:c>
      <x:c r="D2849" s="28" t="n">
        <x:f>MOD(B2849,1)</x:f>
        <x:v>0.25760416666889796</x:v>
      </x:c>
      <x:c r="E2849" s="29" t="n">
        <x:f>YEAR(B2849)</x:f>
        <x:v>2017</x:v>
      </x:c>
      <x:c r="F2849" s="29" t="n">
        <x:f>MONTH(B2849)</x:f>
        <x:v>3</x:v>
      </x:c>
      <x:c r="G2849" s="30" t="n">
        <x:v>-22.32</x:v>
      </x:c>
      <x:c r="H2849" s="30" t="n">
        <x:v>-67.76</x:v>
      </x:c>
      <x:c r="I2849" s="29" t="n">
        <x:v>175</x:v>
      </x:c>
      <x:c r="J2849" s="31" t="n">
        <x:v>5.1</x:v>
      </x:c>
      <x:c r="K2849" s="25" t="str">
        <x:f>IF(J2849&gt;=7,"Muy fuerte (&gt;=7)",IF(J2849&gt;=6,"Fuerte (6-6.9)",IF(J2849&gt;=5,"Moderado alto (5-5.9)",IF(J2849&gt;=4,"Moderado (4-4.9)","Menor a 4"))))</x:f>
        <x:v>Moderado alto (5-5.9)</x:v>
      </x:c>
      <x:c r="L2849" s="25" t="str">
        <x:f>IF(I2849&lt;70,"Superficial (&lt;70 km)",IF(I2849&lt;=300,"Intermedio (70-300 km)","Profundo (&gt;300 km)"))</x:f>
        <x:v>Intermedio (70-300 km)</x:v>
      </x:c>
      <x:c r="M2849" s="25" t="str">
        <x:f>IF(J2849&gt;=5,"Sí","No")</x:f>
        <x:v>Sí</x:v>
      </x:c>
      <x:c r="N2849" s="25" t="str">
        <x:f>IF(J2849&gt;=6,"Sí","No")</x:f>
        <x:v>No</x:v>
      </x:c>
      <x:c r="O2849" s="25" t="str">
        <x:v>Pendiente: asignar con R/sf</x:v>
      </x:c>
    </x:row>
    <x:row r="2850">
      <x:c r="A2850" s="25" t="n">
        <x:v>2849</x:v>
      </x:c>
      <x:c r="B2850" s="26" t="n">
        <x:v>42800.018483796295</x:v>
      </x:c>
      <x:c r="C2850" s="27" t="n">
        <x:f>INT(B2850)</x:f>
        <x:v>42800</x:v>
      </x:c>
      <x:c r="D2850" s="28" t="n">
        <x:f>MOD(B2850,1)</x:f>
        <x:v>0.01848379629518604</x:v>
      </x:c>
      <x:c r="E2850" s="29" t="n">
        <x:f>YEAR(B2850)</x:f>
        <x:v>2017</x:v>
      </x:c>
      <x:c r="F2850" s="29" t="n">
        <x:f>MONTH(B2850)</x:f>
        <x:v>3</x:v>
      </x:c>
      <x:c r="G2850" s="30" t="n">
        <x:v>-18.18</x:v>
      </x:c>
      <x:c r="H2850" s="30" t="n">
        <x:v>-69.87</x:v>
      </x:c>
      <x:c r="I2850" s="29" t="n">
        <x:v>96</x:v>
      </x:c>
      <x:c r="J2850" s="31" t="n">
        <x:v>4.3</x:v>
      </x:c>
      <x:c r="K2850" s="25" t="str">
        <x:f>IF(J2850&gt;=7,"Muy fuerte (&gt;=7)",IF(J2850&gt;=6,"Fuerte (6-6.9)",IF(J2850&gt;=5,"Moderado alto (5-5.9)",IF(J2850&gt;=4,"Moderado (4-4.9)","Menor a 4"))))</x:f>
        <x:v>Moderado (4-4.9)</x:v>
      </x:c>
      <x:c r="L2850" s="25" t="str">
        <x:f>IF(I2850&lt;70,"Superficial (&lt;70 km)",IF(I2850&lt;=300,"Intermedio (70-300 km)","Profundo (&gt;300 km)"))</x:f>
        <x:v>Intermedio (70-300 km)</x:v>
      </x:c>
      <x:c r="M2850" s="25" t="str">
        <x:f>IF(J2850&gt;=5,"Sí","No")</x:f>
        <x:v>No</x:v>
      </x:c>
      <x:c r="N2850" s="25" t="str">
        <x:f>IF(J2850&gt;=6,"Sí","No")</x:f>
        <x:v>No</x:v>
      </x:c>
      <x:c r="O2850" s="25" t="str">
        <x:v>Pendiente: asignar con R/sf</x:v>
      </x:c>
    </x:row>
    <x:row r="2851">
      <x:c r="A2851" s="25" t="n">
        <x:v>2850</x:v>
      </x:c>
      <x:c r="B2851" s="26" t="n">
        <x:v>42849.951736111114</x:v>
      </x:c>
      <x:c r="C2851" s="27" t="n">
        <x:f>INT(B2851)</x:f>
        <x:v>42849</x:v>
      </x:c>
      <x:c r="D2851" s="28" t="n">
        <x:f>MOD(B2851,1)</x:f>
        <x:v>0.9517361111138598</x:v>
      </x:c>
      <x:c r="E2851" s="29" t="n">
        <x:f>YEAR(B2851)</x:f>
        <x:v>2017</x:v>
      </x:c>
      <x:c r="F2851" s="29" t="n">
        <x:f>MONTH(B2851)</x:f>
        <x:v>4</x:v>
      </x:c>
      <x:c r="G2851" s="30" t="n">
        <x:v>-33.11</x:v>
      </x:c>
      <x:c r="H2851" s="30" t="n">
        <x:v>-72.03</x:v>
      </x:c>
      <x:c r="I2851" s="29" t="n">
        <x:v>27</x:v>
      </x:c>
      <x:c r="J2851" s="31" t="n">
        <x:v>4.6</x:v>
      </x:c>
      <x:c r="K2851" s="25" t="str">
        <x:f>IF(J2851&gt;=7,"Muy fuerte (&gt;=7)",IF(J2851&gt;=6,"Fuerte (6-6.9)",IF(J2851&gt;=5,"Moderado alto (5-5.9)",IF(J2851&gt;=4,"Moderado (4-4.9)","Menor a 4"))))</x:f>
        <x:v>Moderado (4-4.9)</x:v>
      </x:c>
      <x:c r="L2851" s="25" t="str">
        <x:f>IF(I2851&lt;70,"Superficial (&lt;70 km)",IF(I2851&lt;=300,"Intermedio (70-300 km)","Profundo (&gt;300 km)"))</x:f>
        <x:v>Superficial (&lt;70 km)</x:v>
      </x:c>
      <x:c r="M2851" s="25" t="str">
        <x:f>IF(J2851&gt;=5,"Sí","No")</x:f>
        <x:v>No</x:v>
      </x:c>
      <x:c r="N2851" s="25" t="str">
        <x:f>IF(J2851&gt;=6,"Sí","No")</x:f>
        <x:v>No</x:v>
      </x:c>
      <x:c r="O2851" s="25" t="str">
        <x:v>Pendiente: asignar con R/sf</x:v>
      </x:c>
    </x:row>
    <x:row r="2852">
      <x:c r="A2852" s="25" t="n">
        <x:v>2851</x:v>
      </x:c>
      <x:c r="B2852" s="26" t="n">
        <x:v>42924.86796296296</x:v>
      </x:c>
      <x:c r="C2852" s="27" t="n">
        <x:f>INT(B2852)</x:f>
        <x:v>42924</x:v>
      </x:c>
      <x:c r="D2852" s="28" t="n">
        <x:f>MOD(B2852,1)</x:f>
        <x:v>0.8679629629623378</x:v>
      </x:c>
      <x:c r="E2852" s="29" t="n">
        <x:f>YEAR(B2852)</x:f>
        <x:v>2017</x:v>
      </x:c>
      <x:c r="F2852" s="29" t="n">
        <x:f>MONTH(B2852)</x:f>
        <x:v>7</x:v>
      </x:c>
      <x:c r="G2852" s="30" t="n">
        <x:v>-35.2</x:v>
      </x:c>
      <x:c r="H2852" s="30" t="n">
        <x:v>-70.63</x:v>
      </x:c>
      <x:c r="I2852" s="29" t="n">
        <x:v>20</x:v>
      </x:c>
      <x:c r="J2852" s="31" t="n">
        <x:v>4.1</x:v>
      </x:c>
      <x:c r="K2852" s="25" t="str">
        <x:f>IF(J2852&gt;=7,"Muy fuerte (&gt;=7)",IF(J2852&gt;=6,"Fuerte (6-6.9)",IF(J2852&gt;=5,"Moderado alto (5-5.9)",IF(J2852&gt;=4,"Moderado (4-4.9)","Menor a 4"))))</x:f>
        <x:v>Moderado (4-4.9)</x:v>
      </x:c>
      <x:c r="L2852" s="25" t="str">
        <x:f>IF(I2852&lt;70,"Superficial (&lt;70 km)",IF(I2852&lt;=300,"Intermedio (70-300 km)","Profundo (&gt;300 km)"))</x:f>
        <x:v>Superficial (&lt;70 km)</x:v>
      </x:c>
      <x:c r="M2852" s="25" t="str">
        <x:f>IF(J2852&gt;=5,"Sí","No")</x:f>
        <x:v>No</x:v>
      </x:c>
      <x:c r="N2852" s="25" t="str">
        <x:f>IF(J2852&gt;=6,"Sí","No")</x:f>
        <x:v>No</x:v>
      </x:c>
      <x:c r="O2852" s="25" t="str">
        <x:v>Pendiente: asignar con R/sf</x:v>
      </x:c>
    </x:row>
    <x:row r="2853">
      <x:c r="A2853" s="25" t="n">
        <x:v>2852</x:v>
      </x:c>
      <x:c r="B2853" s="26" t="n">
        <x:v>42851.634733796294</x:v>
      </x:c>
      <x:c r="C2853" s="27" t="n">
        <x:f>INT(B2853)</x:f>
        <x:v>42851</x:v>
      </x:c>
      <x:c r="D2853" s="28" t="n">
        <x:f>MOD(B2853,1)</x:f>
        <x:v>0.6347337962943129</x:v>
      </x:c>
      <x:c r="E2853" s="29" t="n">
        <x:f>YEAR(B2853)</x:f>
        <x:v>2017</x:v>
      </x:c>
      <x:c r="F2853" s="29" t="n">
        <x:f>MONTH(B2853)</x:f>
        <x:v>4</x:v>
      </x:c>
      <x:c r="G2853" s="30" t="n">
        <x:v>-33.3</x:v>
      </x:c>
      <x:c r="H2853" s="30" t="n">
        <x:v>-71.99</x:v>
      </x:c>
      <x:c r="I2853" s="29" t="n">
        <x:v>27</x:v>
      </x:c>
      <x:c r="J2853" s="31" t="n">
        <x:v>4.5</x:v>
      </x:c>
      <x:c r="K2853" s="25" t="str">
        <x:f>IF(J2853&gt;=7,"Muy fuerte (&gt;=7)",IF(J2853&gt;=6,"Fuerte (6-6.9)",IF(J2853&gt;=5,"Moderado alto (5-5.9)",IF(J2853&gt;=4,"Moderado (4-4.9)","Menor a 4"))))</x:f>
        <x:v>Moderado (4-4.9)</x:v>
      </x:c>
      <x:c r="L2853" s="25" t="str">
        <x:f>IF(I2853&lt;70,"Superficial (&lt;70 km)",IF(I2853&lt;=300,"Intermedio (70-300 km)","Profundo (&gt;300 km)"))</x:f>
        <x:v>Superficial (&lt;70 km)</x:v>
      </x:c>
      <x:c r="M2853" s="25" t="str">
        <x:f>IF(J2853&gt;=5,"Sí","No")</x:f>
        <x:v>No</x:v>
      </x:c>
      <x:c r="N2853" s="25" t="str">
        <x:f>IF(J2853&gt;=6,"Sí","No")</x:f>
        <x:v>No</x:v>
      </x:c>
      <x:c r="O2853" s="25" t="str">
        <x:v>Pendiente: asignar con R/sf</x:v>
      </x:c>
    </x:row>
    <x:row r="2854">
      <x:c r="A2854" s="25" t="n">
        <x:v>2853</x:v>
      </x:c>
      <x:c r="B2854" s="26" t="n">
        <x:v>42917.72027777778</x:v>
      </x:c>
      <x:c r="C2854" s="27" t="n">
        <x:f>INT(B2854)</x:f>
        <x:v>42917</x:v>
      </x:c>
      <x:c r="D2854" s="28" t="n">
        <x:f>MOD(B2854,1)</x:f>
        <x:v>0.7202777777783922</x:v>
      </x:c>
      <x:c r="E2854" s="29" t="n">
        <x:f>YEAR(B2854)</x:f>
        <x:v>2017</x:v>
      </x:c>
      <x:c r="F2854" s="29" t="n">
        <x:f>MONTH(B2854)</x:f>
        <x:v>7</x:v>
      </x:c>
      <x:c r="G2854" s="30" t="n">
        <x:v>-32.95</x:v>
      </x:c>
      <x:c r="H2854" s="30" t="n">
        <x:v>-72</x:v>
      </x:c>
      <x:c r="I2854" s="29" t="n">
        <x:v>28</x:v>
      </x:c>
      <x:c r="J2854" s="31" t="n">
        <x:v>4.5</x:v>
      </x:c>
      <x:c r="K2854" s="25" t="str">
        <x:f>IF(J2854&gt;=7,"Muy fuerte (&gt;=7)",IF(J2854&gt;=6,"Fuerte (6-6.9)",IF(J2854&gt;=5,"Moderado alto (5-5.9)",IF(J2854&gt;=4,"Moderado (4-4.9)","Menor a 4"))))</x:f>
        <x:v>Moderado (4-4.9)</x:v>
      </x:c>
      <x:c r="L2854" s="25" t="str">
        <x:f>IF(I2854&lt;70,"Superficial (&lt;70 km)",IF(I2854&lt;=300,"Intermedio (70-300 km)","Profundo (&gt;300 km)"))</x:f>
        <x:v>Superficial (&lt;70 km)</x:v>
      </x:c>
      <x:c r="M2854" s="25" t="str">
        <x:f>IF(J2854&gt;=5,"Sí","No")</x:f>
        <x:v>No</x:v>
      </x:c>
      <x:c r="N2854" s="25" t="str">
        <x:f>IF(J2854&gt;=6,"Sí","No")</x:f>
        <x:v>No</x:v>
      </x:c>
      <x:c r="O2854" s="25" t="str">
        <x:v>Pendiente: asignar con R/sf</x:v>
      </x:c>
    </x:row>
    <x:row r="2855">
      <x:c r="A2855" s="25" t="n">
        <x:v>2854</x:v>
      </x:c>
      <x:c r="B2855" s="26" t="n">
        <x:v>42852.3656712963</x:v>
      </x:c>
      <x:c r="C2855" s="27" t="n">
        <x:f>INT(B2855)</x:f>
        <x:v>42852</x:v>
      </x:c>
      <x:c r="D2855" s="28" t="n">
        <x:f>MOD(B2855,1)</x:f>
        <x:v>0.36567129629838746</x:v>
      </x:c>
      <x:c r="E2855" s="29" t="n">
        <x:f>YEAR(B2855)</x:f>
        <x:v>2017</x:v>
      </x:c>
      <x:c r="F2855" s="29" t="n">
        <x:f>MONTH(B2855)</x:f>
        <x:v>4</x:v>
      </x:c>
      <x:c r="G2855" s="30" t="n">
        <x:v>-33.1</x:v>
      </x:c>
      <x:c r="H2855" s="30" t="n">
        <x:v>-72.06</x:v>
      </x:c>
      <x:c r="I2855" s="29" t="n">
        <x:v>18</x:v>
      </x:c>
      <x:c r="J2855" s="31" t="n">
        <x:v>4.1</x:v>
      </x:c>
      <x:c r="K2855" s="25" t="str">
        <x:f>IF(J2855&gt;=7,"Muy fuerte (&gt;=7)",IF(J2855&gt;=6,"Fuerte (6-6.9)",IF(J2855&gt;=5,"Moderado alto (5-5.9)",IF(J2855&gt;=4,"Moderado (4-4.9)","Menor a 4"))))</x:f>
        <x:v>Moderado (4-4.9)</x:v>
      </x:c>
      <x:c r="L2855" s="25" t="str">
        <x:f>IF(I2855&lt;70,"Superficial (&lt;70 km)",IF(I2855&lt;=300,"Intermedio (70-300 km)","Profundo (&gt;300 km)"))</x:f>
        <x:v>Superficial (&lt;70 km)</x:v>
      </x:c>
      <x:c r="M2855" s="25" t="str">
        <x:f>IF(J2855&gt;=5,"Sí","No")</x:f>
        <x:v>No</x:v>
      </x:c>
      <x:c r="N2855" s="25" t="str">
        <x:f>IF(J2855&gt;=6,"Sí","No")</x:f>
        <x:v>No</x:v>
      </x:c>
      <x:c r="O2855" s="25" t="str">
        <x:v>Pendiente: asignar con R/sf</x:v>
      </x:c>
    </x:row>
    <x:row r="2856">
      <x:c r="A2856" s="25" t="n">
        <x:v>2855</x:v>
      </x:c>
      <x:c r="B2856" s="26" t="n">
        <x:v>43011.35223379629</x:v>
      </x:c>
      <x:c r="C2856" s="27" t="n">
        <x:f>INT(B2856)</x:f>
        <x:v>43011</x:v>
      </x:c>
      <x:c r="D2856" s="28" t="n">
        <x:f>MOD(B2856,1)</x:f>
        <x:v>0.35223379629314877</x:v>
      </x:c>
      <x:c r="E2856" s="29" t="n">
        <x:f>YEAR(B2856)</x:f>
        <x:v>2017</x:v>
      </x:c>
      <x:c r="F2856" s="29" t="n">
        <x:f>MONTH(B2856)</x:f>
        <x:v>10</x:v>
      </x:c>
      <x:c r="G2856" s="30" t="n">
        <x:v>-33.02</x:v>
      </x:c>
      <x:c r="H2856" s="30" t="n">
        <x:v>-72</x:v>
      </x:c>
      <x:c r="I2856" s="29" t="n">
        <x:v>31</x:v>
      </x:c>
      <x:c r="J2856" s="31" t="n">
        <x:v>4.4</x:v>
      </x:c>
      <x:c r="K2856" s="25" t="str">
        <x:f>IF(J2856&gt;=7,"Muy fuerte (&gt;=7)",IF(J2856&gt;=6,"Fuerte (6-6.9)",IF(J2856&gt;=5,"Moderado alto (5-5.9)",IF(J2856&gt;=4,"Moderado (4-4.9)","Menor a 4"))))</x:f>
        <x:v>Moderado (4-4.9)</x:v>
      </x:c>
      <x:c r="L2856" s="25" t="str">
        <x:f>IF(I2856&lt;70,"Superficial (&lt;70 km)",IF(I2856&lt;=300,"Intermedio (70-300 km)","Profundo (&gt;300 km)"))</x:f>
        <x:v>Superficial (&lt;70 km)</x:v>
      </x:c>
      <x:c r="M2856" s="25" t="str">
        <x:f>IF(J2856&gt;=5,"Sí","No")</x:f>
        <x:v>No</x:v>
      </x:c>
      <x:c r="N2856" s="25" t="str">
        <x:f>IF(J2856&gt;=6,"Sí","No")</x:f>
        <x:v>No</x:v>
      </x:c>
      <x:c r="O2856" s="25" t="str">
        <x:v>Pendiente: asignar con R/sf</x:v>
      </x:c>
    </x:row>
    <x:row r="2857">
      <x:c r="A2857" s="25" t="n">
        <x:v>2856</x:v>
      </x:c>
      <x:c r="B2857" s="26" t="n">
        <x:v>42852.28871527778</x:v>
      </x:c>
      <x:c r="C2857" s="27" t="n">
        <x:f>INT(B2857)</x:f>
        <x:v>42852</x:v>
      </x:c>
      <x:c r="D2857" s="28" t="n">
        <x:f>MOD(B2857,1)</x:f>
        <x:v>0.28871527777664596</x:v>
      </x:c>
      <x:c r="E2857" s="29" t="n">
        <x:f>YEAR(B2857)</x:f>
        <x:v>2017</x:v>
      </x:c>
      <x:c r="F2857" s="29" t="n">
        <x:f>MONTH(B2857)</x:f>
        <x:v>4</x:v>
      </x:c>
      <x:c r="G2857" s="30" t="n">
        <x:v>-33.29</x:v>
      </x:c>
      <x:c r="H2857" s="30" t="n">
        <x:v>-71.88</x:v>
      </x:c>
      <x:c r="I2857" s="29" t="n">
        <x:v>29</x:v>
      </x:c>
      <x:c r="J2857" s="31" t="n">
        <x:v>4.1</x:v>
      </x:c>
      <x:c r="K2857" s="25" t="str">
        <x:f>IF(J2857&gt;=7,"Muy fuerte (&gt;=7)",IF(J2857&gt;=6,"Fuerte (6-6.9)",IF(J2857&gt;=5,"Moderado alto (5-5.9)",IF(J2857&gt;=4,"Moderado (4-4.9)","Menor a 4"))))</x:f>
        <x:v>Moderado (4-4.9)</x:v>
      </x:c>
      <x:c r="L2857" s="25" t="str">
        <x:f>IF(I2857&lt;70,"Superficial (&lt;70 km)",IF(I2857&lt;=300,"Intermedio (70-300 km)","Profundo (&gt;300 km)"))</x:f>
        <x:v>Superficial (&lt;70 km)</x:v>
      </x:c>
      <x:c r="M2857" s="25" t="str">
        <x:f>IF(J2857&gt;=5,"Sí","No")</x:f>
        <x:v>No</x:v>
      </x:c>
      <x:c r="N2857" s="25" t="str">
        <x:f>IF(J2857&gt;=6,"Sí","No")</x:f>
        <x:v>No</x:v>
      </x:c>
      <x:c r="O2857" s="25" t="str">
        <x:v>Pendiente: asignar con R/sf</x:v>
      </x:c>
    </x:row>
    <x:row r="2858">
      <x:c r="A2858" s="25" t="n">
        <x:v>2857</x:v>
      </x:c>
      <x:c r="B2858" s="26" t="n">
        <x:v>42901.99177083333</x:v>
      </x:c>
      <x:c r="C2858" s="27" t="n">
        <x:f>INT(B2858)</x:f>
        <x:v>42901</x:v>
      </x:c>
      <x:c r="D2858" s="28" t="n">
        <x:f>MOD(B2858,1)</x:f>
        <x:v>0.99177083333052</x:v>
      </x:c>
      <x:c r="E2858" s="29" t="n">
        <x:f>YEAR(B2858)</x:f>
        <x:v>2017</x:v>
      </x:c>
      <x:c r="F2858" s="29" t="n">
        <x:f>MONTH(B2858)</x:f>
        <x:v>6</x:v>
      </x:c>
      <x:c r="G2858" s="30" t="n">
        <x:v>-21.16</x:v>
      </x:c>
      <x:c r="H2858" s="30" t="n">
        <x:v>-68.88</x:v>
      </x:c>
      <x:c r="I2858" s="29" t="n">
        <x:v>111</x:v>
      </x:c>
      <x:c r="J2858" s="31" t="n">
        <x:v>4</x:v>
      </x:c>
      <x:c r="K2858" s="25" t="str">
        <x:f>IF(J2858&gt;=7,"Muy fuerte (&gt;=7)",IF(J2858&gt;=6,"Fuerte (6-6.9)",IF(J2858&gt;=5,"Moderado alto (5-5.9)",IF(J2858&gt;=4,"Moderado (4-4.9)","Menor a 4"))))</x:f>
        <x:v>Moderado (4-4.9)</x:v>
      </x:c>
      <x:c r="L2858" s="25" t="str">
        <x:f>IF(I2858&lt;70,"Superficial (&lt;70 km)",IF(I2858&lt;=300,"Intermedio (70-300 km)","Profundo (&gt;300 km)"))</x:f>
        <x:v>Intermedio (70-300 km)</x:v>
      </x:c>
      <x:c r="M2858" s="25" t="str">
        <x:f>IF(J2858&gt;=5,"Sí","No")</x:f>
        <x:v>No</x:v>
      </x:c>
      <x:c r="N2858" s="25" t="str">
        <x:f>IF(J2858&gt;=6,"Sí","No")</x:f>
        <x:v>No</x:v>
      </x:c>
      <x:c r="O2858" s="25" t="str">
        <x:v>Pendiente: asignar con R/sf</x:v>
      </x:c>
    </x:row>
    <x:row r="2859">
      <x:c r="A2859" s="25" t="n">
        <x:v>2858</x:v>
      </x:c>
      <x:c r="B2859" s="26" t="n">
        <x:v>42922.30978009259</x:v>
      </x:c>
      <x:c r="C2859" s="27" t="n">
        <x:f>INT(B2859)</x:f>
        <x:v>42922</x:v>
      </x:c>
      <x:c r="D2859" s="28" t="n">
        <x:f>MOD(B2859,1)</x:f>
        <x:v>0.30978009258979</x:v>
      </x:c>
      <x:c r="E2859" s="29" t="n">
        <x:f>YEAR(B2859)</x:f>
        <x:v>2017</x:v>
      </x:c>
      <x:c r="F2859" s="29" t="n">
        <x:f>MONTH(B2859)</x:f>
        <x:v>7</x:v>
      </x:c>
      <x:c r="G2859" s="30" t="n">
        <x:v>-34.82</x:v>
      </x:c>
      <x:c r="H2859" s="30" t="n">
        <x:v>-71.77</x:v>
      </x:c>
      <x:c r="I2859" s="29" t="n">
        <x:v>47</x:v>
      </x:c>
      <x:c r="J2859" s="31" t="n">
        <x:v>4.5</x:v>
      </x:c>
      <x:c r="K2859" s="25" t="str">
        <x:f>IF(J2859&gt;=7,"Muy fuerte (&gt;=7)",IF(J2859&gt;=6,"Fuerte (6-6.9)",IF(J2859&gt;=5,"Moderado alto (5-5.9)",IF(J2859&gt;=4,"Moderado (4-4.9)","Menor a 4"))))</x:f>
        <x:v>Moderado (4-4.9)</x:v>
      </x:c>
      <x:c r="L2859" s="25" t="str">
        <x:f>IF(I2859&lt;70,"Superficial (&lt;70 km)",IF(I2859&lt;=300,"Intermedio (70-300 km)","Profundo (&gt;300 km)"))</x:f>
        <x:v>Superficial (&lt;70 km)</x:v>
      </x:c>
      <x:c r="M2859" s="25" t="str">
        <x:f>IF(J2859&gt;=5,"Sí","No")</x:f>
        <x:v>No</x:v>
      </x:c>
      <x:c r="N2859" s="25" t="str">
        <x:f>IF(J2859&gt;=6,"Sí","No")</x:f>
        <x:v>No</x:v>
      </x:c>
      <x:c r="O2859" s="25" t="str">
        <x:v>Pendiente: asignar con R/sf</x:v>
      </x:c>
    </x:row>
    <x:row r="2860">
      <x:c r="A2860" s="25" t="n">
        <x:v>2859</x:v>
      </x:c>
      <x:c r="B2860" s="26" t="n">
        <x:v>42938.32252314815</x:v>
      </x:c>
      <x:c r="C2860" s="27" t="n">
        <x:f>INT(B2860)</x:f>
        <x:v>42938</x:v>
      </x:c>
      <x:c r="D2860" s="28" t="n">
        <x:f>MOD(B2860,1)</x:f>
        <x:v>0.3225231481483206</x:v>
      </x:c>
      <x:c r="E2860" s="29" t="n">
        <x:f>YEAR(B2860)</x:f>
        <x:v>2017</x:v>
      </x:c>
      <x:c r="F2860" s="29" t="n">
        <x:f>MONTH(B2860)</x:f>
        <x:v>7</x:v>
      </x:c>
      <x:c r="G2860" s="30" t="n">
        <x:v>-33.11</x:v>
      </x:c>
      <x:c r="H2860" s="30" t="n">
        <x:v>-71.79</x:v>
      </x:c>
      <x:c r="I2860" s="29" t="n">
        <x:v>26</x:v>
      </x:c>
      <x:c r="J2860" s="31" t="n">
        <x:v>4.4</x:v>
      </x:c>
      <x:c r="K2860" s="25" t="str">
        <x:f>IF(J2860&gt;=7,"Muy fuerte (&gt;=7)",IF(J2860&gt;=6,"Fuerte (6-6.9)",IF(J2860&gt;=5,"Moderado alto (5-5.9)",IF(J2860&gt;=4,"Moderado (4-4.9)","Menor a 4"))))</x:f>
        <x:v>Moderado (4-4.9)</x:v>
      </x:c>
      <x:c r="L2860" s="25" t="str">
        <x:f>IF(I2860&lt;70,"Superficial (&lt;70 km)",IF(I2860&lt;=300,"Intermedio (70-300 km)","Profundo (&gt;300 km)"))</x:f>
        <x:v>Superficial (&lt;70 km)</x:v>
      </x:c>
      <x:c r="M2860" s="25" t="str">
        <x:f>IF(J2860&gt;=5,"Sí","No")</x:f>
        <x:v>No</x:v>
      </x:c>
      <x:c r="N2860" s="25" t="str">
        <x:f>IF(J2860&gt;=6,"Sí","No")</x:f>
        <x:v>No</x:v>
      </x:c>
      <x:c r="O2860" s="25" t="str">
        <x:v>Pendiente: asignar con R/sf</x:v>
      </x:c>
    </x:row>
    <x:row r="2861">
      <x:c r="A2861" s="25" t="n">
        <x:v>2860</x:v>
      </x:c>
      <x:c r="B2861" s="26" t="n">
        <x:v>43068.41868055556</x:v>
      </x:c>
      <x:c r="C2861" s="27" t="n">
        <x:f>INT(B2861)</x:f>
        <x:v>43068</x:v>
      </x:c>
      <x:c r="D2861" s="28" t="n">
        <x:f>MOD(B2861,1)</x:f>
        <x:v>0.4186805555582396</x:v>
      </x:c>
      <x:c r="E2861" s="29" t="n">
        <x:f>YEAR(B2861)</x:f>
        <x:v>2017</x:v>
      </x:c>
      <x:c r="F2861" s="29" t="n">
        <x:f>MONTH(B2861)</x:f>
        <x:v>11</x:v>
      </x:c>
      <x:c r="G2861" s="30" t="n">
        <x:v>-33.54</x:v>
      </x:c>
      <x:c r="H2861" s="30" t="n">
        <x:v>-70.01</x:v>
      </x:c>
      <x:c r="I2861" s="29" t="n">
        <x:v>116</x:v>
      </x:c>
      <x:c r="J2861" s="31" t="n">
        <x:v>4.4</x:v>
      </x:c>
      <x:c r="K2861" s="25" t="str">
        <x:f>IF(J2861&gt;=7,"Muy fuerte (&gt;=7)",IF(J2861&gt;=6,"Fuerte (6-6.9)",IF(J2861&gt;=5,"Moderado alto (5-5.9)",IF(J2861&gt;=4,"Moderado (4-4.9)","Menor a 4"))))</x:f>
        <x:v>Moderado (4-4.9)</x:v>
      </x:c>
      <x:c r="L2861" s="25" t="str">
        <x:f>IF(I2861&lt;70,"Superficial (&lt;70 km)",IF(I2861&lt;=300,"Intermedio (70-300 km)","Profundo (&gt;300 km)"))</x:f>
        <x:v>Intermedio (70-300 km)</x:v>
      </x:c>
      <x:c r="M2861" s="25" t="str">
        <x:f>IF(J2861&gt;=5,"Sí","No")</x:f>
        <x:v>No</x:v>
      </x:c>
      <x:c r="N2861" s="25" t="str">
        <x:f>IF(J2861&gt;=6,"Sí","No")</x:f>
        <x:v>No</x:v>
      </x:c>
      <x:c r="O2861" s="25" t="str">
        <x:v>Pendiente: asignar con R/sf</x:v>
      </x:c>
    </x:row>
    <x:row r="2862">
      <x:c r="A2862" s="25" t="n">
        <x:v>2861</x:v>
      </x:c>
      <x:c r="B2862" s="26" t="n">
        <x:v>42850.126655092594</x:v>
      </x:c>
      <x:c r="C2862" s="27" t="n">
        <x:f>INT(B2862)</x:f>
        <x:v>42850</x:v>
      </x:c>
      <x:c r="D2862" s="28" t="n">
        <x:f>MOD(B2862,1)</x:f>
        <x:v>0.12665509259386454</x:v>
      </x:c>
      <x:c r="E2862" s="29" t="n">
        <x:f>YEAR(B2862)</x:f>
        <x:v>2017</x:v>
      </x:c>
      <x:c r="F2862" s="29" t="n">
        <x:f>MONTH(B2862)</x:f>
        <x:v>4</x:v>
      </x:c>
      <x:c r="G2862" s="30" t="n">
        <x:v>-33.16</x:v>
      </x:c>
      <x:c r="H2862" s="30" t="n">
        <x:v>-72.08</x:v>
      </x:c>
      <x:c r="I2862" s="29" t="n">
        <x:v>27</x:v>
      </x:c>
      <x:c r="J2862" s="31" t="n">
        <x:v>4.9</x:v>
      </x:c>
      <x:c r="K2862" s="25" t="str">
        <x:f>IF(J2862&gt;=7,"Muy fuerte (&gt;=7)",IF(J2862&gt;=6,"Fuerte (6-6.9)",IF(J2862&gt;=5,"Moderado alto (5-5.9)",IF(J2862&gt;=4,"Moderado (4-4.9)","Menor a 4"))))</x:f>
        <x:v>Moderado (4-4.9)</x:v>
      </x:c>
      <x:c r="L2862" s="25" t="str">
        <x:f>IF(I2862&lt;70,"Superficial (&lt;70 km)",IF(I2862&lt;=300,"Intermedio (70-300 km)","Profundo (&gt;300 km)"))</x:f>
        <x:v>Superficial (&lt;70 km)</x:v>
      </x:c>
      <x:c r="M2862" s="25" t="str">
        <x:f>IF(J2862&gt;=5,"Sí","No")</x:f>
        <x:v>No</x:v>
      </x:c>
      <x:c r="N2862" s="25" t="str">
        <x:f>IF(J2862&gt;=6,"Sí","No")</x:f>
        <x:v>No</x:v>
      </x:c>
      <x:c r="O2862" s="25" t="str">
        <x:v>Pendiente: asignar con R/sf</x:v>
      </x:c>
    </x:row>
    <x:row r="2863">
      <x:c r="A2863" s="25" t="n">
        <x:v>2862</x:v>
      </x:c>
      <x:c r="B2863" s="26" t="n">
        <x:v>42772.33552083333</x:v>
      </x:c>
      <x:c r="C2863" s="27" t="n">
        <x:f>INT(B2863)</x:f>
        <x:v>42772</x:v>
      </x:c>
      <x:c r="D2863" s="28" t="n">
        <x:f>MOD(B2863,1)</x:f>
        <x:v>0.33552083333051996</x:v>
      </x:c>
      <x:c r="E2863" s="29" t="n">
        <x:f>YEAR(B2863)</x:f>
        <x:v>2017</x:v>
      </x:c>
      <x:c r="F2863" s="29" t="n">
        <x:f>MONTH(B2863)</x:f>
        <x:v>2</x:v>
      </x:c>
      <x:c r="G2863" s="30" t="n">
        <x:v>-20.94</x:v>
      </x:c>
      <x:c r="H2863" s="30" t="n">
        <x:v>-69.01</x:v>
      </x:c>
      <x:c r="I2863" s="29" t="n">
        <x:v>95</x:v>
      </x:c>
      <x:c r="J2863" s="31" t="n">
        <x:v>4.7</x:v>
      </x:c>
      <x:c r="K2863" s="25" t="str">
        <x:f>IF(J2863&gt;=7,"Muy fuerte (&gt;=7)",IF(J2863&gt;=6,"Fuerte (6-6.9)",IF(J2863&gt;=5,"Moderado alto (5-5.9)",IF(J2863&gt;=4,"Moderado (4-4.9)","Menor a 4"))))</x:f>
        <x:v>Moderado (4-4.9)</x:v>
      </x:c>
      <x:c r="L2863" s="25" t="str">
        <x:f>IF(I2863&lt;70,"Superficial (&lt;70 km)",IF(I2863&lt;=300,"Intermedio (70-300 km)","Profundo (&gt;300 km)"))</x:f>
        <x:v>Intermedio (70-300 km)</x:v>
      </x:c>
      <x:c r="M2863" s="25" t="str">
        <x:f>IF(J2863&gt;=5,"Sí","No")</x:f>
        <x:v>No</x:v>
      </x:c>
      <x:c r="N2863" s="25" t="str">
        <x:f>IF(J2863&gt;=6,"Sí","No")</x:f>
        <x:v>No</x:v>
      </x:c>
      <x:c r="O2863" s="25" t="str">
        <x:v>Pendiente: asignar con R/sf</x:v>
      </x:c>
    </x:row>
    <x:row r="2864">
      <x:c r="A2864" s="25" t="n">
        <x:v>2863</x:v>
      </x:c>
      <x:c r="B2864" s="26" t="n">
        <x:v>42909.41726851852</x:v>
      </x:c>
      <x:c r="C2864" s="27" t="n">
        <x:f>INT(B2864)</x:f>
        <x:v>42909</x:v>
      </x:c>
      <x:c r="D2864" s="28" t="n">
        <x:f>MOD(B2864,1)</x:f>
        <x:v>0.4172685185185401</x:v>
      </x:c>
      <x:c r="E2864" s="29" t="n">
        <x:f>YEAR(B2864)</x:f>
        <x:v>2017</x:v>
      </x:c>
      <x:c r="F2864" s="29" t="n">
        <x:f>MONTH(B2864)</x:f>
        <x:v>6</x:v>
      </x:c>
      <x:c r="G2864" s="30" t="n">
        <x:v>-39.41</x:v>
      </x:c>
      <x:c r="H2864" s="30" t="n">
        <x:v>-71.82</x:v>
      </x:c>
      <x:c r="I2864" s="29" t="n">
        <x:v>122</x:v>
      </x:c>
      <x:c r="J2864" s="31" t="n">
        <x:v>5</x:v>
      </x:c>
      <x:c r="K2864" s="25" t="str">
        <x:f>IF(J2864&gt;=7,"Muy fuerte (&gt;=7)",IF(J2864&gt;=6,"Fuerte (6-6.9)",IF(J2864&gt;=5,"Moderado alto (5-5.9)",IF(J2864&gt;=4,"Moderado (4-4.9)","Menor a 4"))))</x:f>
        <x:v>Moderado alto (5-5.9)</x:v>
      </x:c>
      <x:c r="L2864" s="25" t="str">
        <x:f>IF(I2864&lt;70,"Superficial (&lt;70 km)",IF(I2864&lt;=300,"Intermedio (70-300 km)","Profundo (&gt;300 km)"))</x:f>
        <x:v>Intermedio (70-300 km)</x:v>
      </x:c>
      <x:c r="M2864" s="25" t="str">
        <x:f>IF(J2864&gt;=5,"Sí","No")</x:f>
        <x:v>Sí</x:v>
      </x:c>
      <x:c r="N2864" s="25" t="str">
        <x:f>IF(J2864&gt;=6,"Sí","No")</x:f>
        <x:v>No</x:v>
      </x:c>
      <x:c r="O2864" s="25" t="str">
        <x:v>Pendiente: asignar con R/sf</x:v>
      </x:c>
    </x:row>
    <x:row r="2865">
      <x:c r="A2865" s="25" t="n">
        <x:v>2864</x:v>
      </x:c>
      <x:c r="B2865" s="26" t="n">
        <x:v>42923.12834490741</x:v>
      </x:c>
      <x:c r="C2865" s="27" t="n">
        <x:f>INT(B2865)</x:f>
        <x:v>42923</x:v>
      </x:c>
      <x:c r="D2865" s="28" t="n">
        <x:f>MOD(B2865,1)</x:f>
        <x:v>0.12834490741079208</x:v>
      </x:c>
      <x:c r="E2865" s="29" t="n">
        <x:f>YEAR(B2865)</x:f>
        <x:v>2017</x:v>
      </x:c>
      <x:c r="F2865" s="29" t="n">
        <x:f>MONTH(B2865)</x:f>
        <x:v>7</x:v>
      </x:c>
      <x:c r="G2865" s="30" t="n">
        <x:v>-33.77</x:v>
      </x:c>
      <x:c r="H2865" s="30" t="n">
        <x:v>-72.15</x:v>
      </x:c>
      <x:c r="I2865" s="29" t="n">
        <x:v>30</x:v>
      </x:c>
      <x:c r="J2865" s="31" t="n">
        <x:v>5.1</x:v>
      </x:c>
      <x:c r="K2865" s="25" t="str">
        <x:f>IF(J2865&gt;=7,"Muy fuerte (&gt;=7)",IF(J2865&gt;=6,"Fuerte (6-6.9)",IF(J2865&gt;=5,"Moderado alto (5-5.9)",IF(J2865&gt;=4,"Moderado (4-4.9)","Menor a 4"))))</x:f>
        <x:v>Moderado alto (5-5.9)</x:v>
      </x:c>
      <x:c r="L2865" s="25" t="str">
        <x:f>IF(I2865&lt;70,"Superficial (&lt;70 km)",IF(I2865&lt;=300,"Intermedio (70-300 km)","Profundo (&gt;300 km)"))</x:f>
        <x:v>Superficial (&lt;70 km)</x:v>
      </x:c>
      <x:c r="M2865" s="25" t="str">
        <x:f>IF(J2865&gt;=5,"Sí","No")</x:f>
        <x:v>Sí</x:v>
      </x:c>
      <x:c r="N2865" s="25" t="str">
        <x:f>IF(J2865&gt;=6,"Sí","No")</x:f>
        <x:v>No</x:v>
      </x:c>
      <x:c r="O2865" s="25" t="str">
        <x:v>Pendiente: asignar con R/sf</x:v>
      </x:c>
    </x:row>
    <x:row r="2866">
      <x:c r="A2866" s="25" t="n">
        <x:v>2865</x:v>
      </x:c>
      <x:c r="B2866" s="26" t="n">
        <x:v>42834.12880787037</x:v>
      </x:c>
      <x:c r="C2866" s="27" t="n">
        <x:f>INT(B2866)</x:f>
        <x:v>42834</x:v>
      </x:c>
      <x:c r="D2866" s="28" t="n">
        <x:f>MOD(B2866,1)</x:f>
        <x:v>0.1288078703728388</x:v>
      </x:c>
      <x:c r="E2866" s="29" t="n">
        <x:f>YEAR(B2866)</x:f>
        <x:v>2017</x:v>
      </x:c>
      <x:c r="F2866" s="29" t="n">
        <x:f>MONTH(B2866)</x:f>
        <x:v>4</x:v>
      </x:c>
      <x:c r="G2866" s="30" t="n">
        <x:v>-25.78</x:v>
      </x:c>
      <x:c r="H2866" s="30" t="n">
        <x:v>-69.56</x:v>
      </x:c>
      <x:c r="I2866" s="29" t="n">
        <x:v>109</x:v>
      </x:c>
      <x:c r="J2866" s="31" t="n">
        <x:v>5.2</x:v>
      </x:c>
      <x:c r="K2866" s="25" t="str">
        <x:f>IF(J2866&gt;=7,"Muy fuerte (&gt;=7)",IF(J2866&gt;=6,"Fuerte (6-6.9)",IF(J2866&gt;=5,"Moderado alto (5-5.9)",IF(J2866&gt;=4,"Moderado (4-4.9)","Menor a 4"))))</x:f>
        <x:v>Moderado alto (5-5.9)</x:v>
      </x:c>
      <x:c r="L2866" s="25" t="str">
        <x:f>IF(I2866&lt;70,"Superficial (&lt;70 km)",IF(I2866&lt;=300,"Intermedio (70-300 km)","Profundo (&gt;300 km)"))</x:f>
        <x:v>Intermedio (70-300 km)</x:v>
      </x:c>
      <x:c r="M2866" s="25" t="str">
        <x:f>IF(J2866&gt;=5,"Sí","No")</x:f>
        <x:v>Sí</x:v>
      </x:c>
      <x:c r="N2866" s="25" t="str">
        <x:f>IF(J2866&gt;=6,"Sí","No")</x:f>
        <x:v>No</x:v>
      </x:c>
      <x:c r="O2866" s="25" t="str">
        <x:v>Pendiente: asignar con R/sf</x:v>
      </x:c>
    </x:row>
    <x:row r="2867">
      <x:c r="A2867" s="25" t="n">
        <x:v>2866</x:v>
      </x:c>
      <x:c r="B2867" s="26" t="n">
        <x:v>42766.26420138889</x:v>
      </x:c>
      <x:c r="C2867" s="27" t="n">
        <x:f>INT(B2867)</x:f>
        <x:v>42766</x:v>
      </x:c>
      <x:c r="D2867" s="28" t="n">
        <x:f>MOD(B2867,1)</x:f>
        <x:v>0.2642013888907968</x:v>
      </x:c>
      <x:c r="E2867" s="29" t="n">
        <x:f>YEAR(B2867)</x:f>
        <x:v>2017</x:v>
      </x:c>
      <x:c r="F2867" s="29" t="n">
        <x:f>MONTH(B2867)</x:f>
        <x:v>1</x:v>
      </x:c>
      <x:c r="G2867" s="30" t="n">
        <x:v>-25.22</x:v>
      </x:c>
      <x:c r="H2867" s="30" t="n">
        <x:v>-70.36</x:v>
      </x:c>
      <x:c r="I2867" s="29" t="n">
        <x:v>56</x:v>
      </x:c>
      <x:c r="J2867" s="31" t="n">
        <x:v>4</x:v>
      </x:c>
      <x:c r="K2867" s="25" t="str">
        <x:f>IF(J2867&gt;=7,"Muy fuerte (&gt;=7)",IF(J2867&gt;=6,"Fuerte (6-6.9)",IF(J2867&gt;=5,"Moderado alto (5-5.9)",IF(J2867&gt;=4,"Moderado (4-4.9)","Menor a 4"))))</x:f>
        <x:v>Moderado (4-4.9)</x:v>
      </x:c>
      <x:c r="L2867" s="25" t="str">
        <x:f>IF(I2867&lt;70,"Superficial (&lt;70 km)",IF(I2867&lt;=300,"Intermedio (70-300 km)","Profundo (&gt;300 km)"))</x:f>
        <x:v>Superficial (&lt;70 km)</x:v>
      </x:c>
      <x:c r="M2867" s="25" t="str">
        <x:f>IF(J2867&gt;=5,"Sí","No")</x:f>
        <x:v>No</x:v>
      </x:c>
      <x:c r="N2867" s="25" t="str">
        <x:f>IF(J2867&gt;=6,"Sí","No")</x:f>
        <x:v>No</x:v>
      </x:c>
      <x:c r="O2867" s="25" t="str">
        <x:v>Pendiente: asignar con R/sf</x:v>
      </x:c>
    </x:row>
    <x:row r="2868">
      <x:c r="A2868" s="25" t="n">
        <x:v>2867</x:v>
      </x:c>
      <x:c r="B2868" s="26" t="n">
        <x:v>42967.26096064815</x:v>
      </x:c>
      <x:c r="C2868" s="27" t="n">
        <x:f>INT(B2868)</x:f>
        <x:v>42967</x:v>
      </x:c>
      <x:c r="D2868" s="28" t="n">
        <x:f>MOD(B2868,1)</x:f>
        <x:v>0.26096064814919373</x:v>
      </x:c>
      <x:c r="E2868" s="29" t="n">
        <x:f>YEAR(B2868)</x:f>
        <x:v>2017</x:v>
      </x:c>
      <x:c r="F2868" s="29" t="n">
        <x:f>MONTH(B2868)</x:f>
        <x:v>8</x:v>
      </x:c>
      <x:c r="G2868" s="30" t="n">
        <x:v>-25.53</x:v>
      </x:c>
      <x:c r="H2868" s="30" t="n">
        <x:v>-70.66</x:v>
      </x:c>
      <x:c r="I2868" s="29" t="n">
        <x:v>51</x:v>
      </x:c>
      <x:c r="J2868" s="31" t="n">
        <x:v>4.2</x:v>
      </x:c>
      <x:c r="K2868" s="25" t="str">
        <x:f>IF(J2868&gt;=7,"Muy fuerte (&gt;=7)",IF(J2868&gt;=6,"Fuerte (6-6.9)",IF(J2868&gt;=5,"Moderado alto (5-5.9)",IF(J2868&gt;=4,"Moderado (4-4.9)","Menor a 4"))))</x:f>
        <x:v>Moderado (4-4.9)</x:v>
      </x:c>
      <x:c r="L2868" s="25" t="str">
        <x:f>IF(I2868&lt;70,"Superficial (&lt;70 km)",IF(I2868&lt;=300,"Intermedio (70-300 km)","Profundo (&gt;300 km)"))</x:f>
        <x:v>Superficial (&lt;70 km)</x:v>
      </x:c>
      <x:c r="M2868" s="25" t="str">
        <x:f>IF(J2868&gt;=5,"Sí","No")</x:f>
        <x:v>No</x:v>
      </x:c>
      <x:c r="N2868" s="25" t="str">
        <x:f>IF(J2868&gt;=6,"Sí","No")</x:f>
        <x:v>No</x:v>
      </x:c>
      <x:c r="O2868" s="25" t="str">
        <x:v>Pendiente: asignar con R/sf</x:v>
      </x:c>
    </x:row>
    <x:row r="2869">
      <x:c r="A2869" s="25" t="n">
        <x:v>2868</x:v>
      </x:c>
      <x:c r="B2869" s="26" t="n">
        <x:v>42904.19515046296</x:v>
      </x:c>
      <x:c r="C2869" s="27" t="n">
        <x:f>INT(B2869)</x:f>
        <x:v>42904</x:v>
      </x:c>
      <x:c r="D2869" s="28" t="n">
        <x:f>MOD(B2869,1)</x:f>
        <x:v>0.19515046296146465</x:v>
      </x:c>
      <x:c r="E2869" s="29" t="n">
        <x:f>YEAR(B2869)</x:f>
        <x:v>2017</x:v>
      </x:c>
      <x:c r="F2869" s="29" t="n">
        <x:f>MONTH(B2869)</x:f>
        <x:v>6</x:v>
      </x:c>
      <x:c r="G2869" s="30" t="n">
        <x:v>-32.13</x:v>
      </x:c>
      <x:c r="H2869" s="30" t="n">
        <x:v>-71.84</x:v>
      </x:c>
      <x:c r="I2869" s="29" t="n">
        <x:v>34</x:v>
      </x:c>
      <x:c r="J2869" s="31" t="n">
        <x:v>4.4</x:v>
      </x:c>
      <x:c r="K2869" s="25" t="str">
        <x:f>IF(J2869&gt;=7,"Muy fuerte (&gt;=7)",IF(J2869&gt;=6,"Fuerte (6-6.9)",IF(J2869&gt;=5,"Moderado alto (5-5.9)",IF(J2869&gt;=4,"Moderado (4-4.9)","Menor a 4"))))</x:f>
        <x:v>Moderado (4-4.9)</x:v>
      </x:c>
      <x:c r="L2869" s="25" t="str">
        <x:f>IF(I2869&lt;70,"Superficial (&lt;70 km)",IF(I2869&lt;=300,"Intermedio (70-300 km)","Profundo (&gt;300 km)"))</x:f>
        <x:v>Superficial (&lt;70 km)</x:v>
      </x:c>
      <x:c r="M2869" s="25" t="str">
        <x:f>IF(J2869&gt;=5,"Sí","No")</x:f>
        <x:v>No</x:v>
      </x:c>
      <x:c r="N2869" s="25" t="str">
        <x:f>IF(J2869&gt;=6,"Sí","No")</x:f>
        <x:v>No</x:v>
      </x:c>
      <x:c r="O2869" s="25" t="str">
        <x:v>Pendiente: asignar con R/sf</x:v>
      </x:c>
    </x:row>
    <x:row r="2870">
      <x:c r="A2870" s="25" t="n">
        <x:v>2869</x:v>
      </x:c>
      <x:c r="B2870" s="26" t="n">
        <x:v>42898.47715277778</x:v>
      </x:c>
      <x:c r="C2870" s="27" t="n">
        <x:f>INT(B2870)</x:f>
        <x:v>42898</x:v>
      </x:c>
      <x:c r="D2870" s="28" t="n">
        <x:f>MOD(B2870,1)</x:f>
        <x:v>0.4771527777775191</x:v>
      </x:c>
      <x:c r="E2870" s="29" t="n">
        <x:f>YEAR(B2870)</x:f>
        <x:v>2017</x:v>
      </x:c>
      <x:c r="F2870" s="29" t="n">
        <x:f>MONTH(B2870)</x:f>
        <x:v>6</x:v>
      </x:c>
      <x:c r="G2870" s="30" t="n">
        <x:v>-33.08</x:v>
      </x:c>
      <x:c r="H2870" s="30" t="n">
        <x:v>-71.76</x:v>
      </x:c>
      <x:c r="I2870" s="29" t="n">
        <x:v>30</x:v>
      </x:c>
      <x:c r="J2870" s="31" t="n">
        <x:v>4.6</x:v>
      </x:c>
      <x:c r="K2870" s="25" t="str">
        <x:f>IF(J2870&gt;=7,"Muy fuerte (&gt;=7)",IF(J2870&gt;=6,"Fuerte (6-6.9)",IF(J2870&gt;=5,"Moderado alto (5-5.9)",IF(J2870&gt;=4,"Moderado (4-4.9)","Menor a 4"))))</x:f>
        <x:v>Moderado (4-4.9)</x:v>
      </x:c>
      <x:c r="L2870" s="25" t="str">
        <x:f>IF(I2870&lt;70,"Superficial (&lt;70 km)",IF(I2870&lt;=300,"Intermedio (70-300 km)","Profundo (&gt;300 km)"))</x:f>
        <x:v>Superficial (&lt;70 km)</x:v>
      </x:c>
      <x:c r="M2870" s="25" t="str">
        <x:f>IF(J2870&gt;=5,"Sí","No")</x:f>
        <x:v>No</x:v>
      </x:c>
      <x:c r="N2870" s="25" t="str">
        <x:f>IF(J2870&gt;=6,"Sí","No")</x:f>
        <x:v>No</x:v>
      </x:c>
      <x:c r="O2870" s="25" t="str">
        <x:v>Pendiente: asignar con R/sf</x:v>
      </x:c>
    </x:row>
    <x:row r="2871">
      <x:c r="A2871" s="25" t="n">
        <x:v>2870</x:v>
      </x:c>
      <x:c r="B2871" s="26" t="n">
        <x:v>42905.62211805556</x:v>
      </x:c>
      <x:c r="C2871" s="27" t="n">
        <x:f>INT(B2871)</x:f>
        <x:v>42905</x:v>
      </x:c>
      <x:c r="D2871" s="28" t="n">
        <x:f>MOD(B2871,1)</x:f>
        <x:v>0.6221180555585306</x:v>
      </x:c>
      <x:c r="E2871" s="29" t="n">
        <x:f>YEAR(B2871)</x:f>
        <x:v>2017</x:v>
      </x:c>
      <x:c r="F2871" s="29" t="n">
        <x:f>MONTH(B2871)</x:f>
        <x:v>6</x:v>
      </x:c>
      <x:c r="G2871" s="30" t="n">
        <x:v>-19.13</x:v>
      </x:c>
      <x:c r="H2871" s="30" t="n">
        <x:v>-69.32</x:v>
      </x:c>
      <x:c r="I2871" s="29" t="n">
        <x:v>111</x:v>
      </x:c>
      <x:c r="J2871" s="31" t="n">
        <x:v>4.5</x:v>
      </x:c>
      <x:c r="K2871" s="25" t="str">
        <x:f>IF(J2871&gt;=7,"Muy fuerte (&gt;=7)",IF(J2871&gt;=6,"Fuerte (6-6.9)",IF(J2871&gt;=5,"Moderado alto (5-5.9)",IF(J2871&gt;=4,"Moderado (4-4.9)","Menor a 4"))))</x:f>
        <x:v>Moderado (4-4.9)</x:v>
      </x:c>
      <x:c r="L2871" s="25" t="str">
        <x:f>IF(I2871&lt;70,"Superficial (&lt;70 km)",IF(I2871&lt;=300,"Intermedio (70-300 km)","Profundo (&gt;300 km)"))</x:f>
        <x:v>Intermedio (70-300 km)</x:v>
      </x:c>
      <x:c r="M2871" s="25" t="str">
        <x:f>IF(J2871&gt;=5,"Sí","No")</x:f>
        <x:v>No</x:v>
      </x:c>
      <x:c r="N2871" s="25" t="str">
        <x:f>IF(J2871&gt;=6,"Sí","No")</x:f>
        <x:v>No</x:v>
      </x:c>
      <x:c r="O2871" s="25" t="str">
        <x:v>Pendiente: asignar con R/sf</x:v>
      </x:c>
    </x:row>
    <x:row r="2872">
      <x:c r="A2872" s="25" t="n">
        <x:v>2871</x:v>
      </x:c>
      <x:c r="B2872" s="26" t="n">
        <x:v>43007.756203703706</x:v>
      </x:c>
      <x:c r="C2872" s="27" t="n">
        <x:f>INT(B2872)</x:f>
        <x:v>43007</x:v>
      </x:c>
      <x:c r="D2872" s="28" t="n">
        <x:f>MOD(B2872,1)</x:f>
        <x:v>0.7562037037059781</x:v>
      </x:c>
      <x:c r="E2872" s="29" t="n">
        <x:f>YEAR(B2872)</x:f>
        <x:v>2017</x:v>
      </x:c>
      <x:c r="F2872" s="29" t="n">
        <x:f>MONTH(B2872)</x:f>
        <x:v>9</x:v>
      </x:c>
      <x:c r="G2872" s="30" t="n">
        <x:v>-29.94</x:v>
      </x:c>
      <x:c r="H2872" s="30" t="n">
        <x:v>-71.58</x:v>
      </x:c>
      <x:c r="I2872" s="29" t="n">
        <x:v>38</x:v>
      </x:c>
      <x:c r="J2872" s="31" t="n">
        <x:v>4.2</x:v>
      </x:c>
      <x:c r="K2872" s="25" t="str">
        <x:f>IF(J2872&gt;=7,"Muy fuerte (&gt;=7)",IF(J2872&gt;=6,"Fuerte (6-6.9)",IF(J2872&gt;=5,"Moderado alto (5-5.9)",IF(J2872&gt;=4,"Moderado (4-4.9)","Menor a 4"))))</x:f>
        <x:v>Moderado (4-4.9)</x:v>
      </x:c>
      <x:c r="L2872" s="25" t="str">
        <x:f>IF(I2872&lt;70,"Superficial (&lt;70 km)",IF(I2872&lt;=300,"Intermedio (70-300 km)","Profundo (&gt;300 km)"))</x:f>
        <x:v>Superficial (&lt;70 km)</x:v>
      </x:c>
      <x:c r="M2872" s="25" t="str">
        <x:f>IF(J2872&gt;=5,"Sí","No")</x:f>
        <x:v>No</x:v>
      </x:c>
      <x:c r="N2872" s="25" t="str">
        <x:f>IF(J2872&gt;=6,"Sí","No")</x:f>
        <x:v>No</x:v>
      </x:c>
      <x:c r="O2872" s="25" t="str">
        <x:v>Pendiente: asignar con R/sf</x:v>
      </x:c>
    </x:row>
    <x:row r="2873">
      <x:c r="A2873" s="25" t="n">
        <x:v>2872</x:v>
      </x:c>
      <x:c r="B2873" s="26" t="n">
        <x:v>42871.5809375</x:v>
      </x:c>
      <x:c r="C2873" s="27" t="n">
        <x:f>INT(B2873)</x:f>
        <x:v>42871</x:v>
      </x:c>
      <x:c r="D2873" s="28" t="n">
        <x:f>MOD(B2873,1)</x:f>
        <x:v>0.5809375000026193</x:v>
      </x:c>
      <x:c r="E2873" s="29" t="n">
        <x:f>YEAR(B2873)</x:f>
        <x:v>2017</x:v>
      </x:c>
      <x:c r="F2873" s="29" t="n">
        <x:f>MONTH(B2873)</x:f>
        <x:v>5</x:v>
      </x:c>
      <x:c r="G2873" s="30" t="n">
        <x:v>-18.89</x:v>
      </x:c>
      <x:c r="H2873" s="30" t="n">
        <x:v>-70.12</x:v>
      </x:c>
      <x:c r="I2873" s="29" t="n">
        <x:v>31</x:v>
      </x:c>
      <x:c r="J2873" s="31" t="n">
        <x:v>4.2</x:v>
      </x:c>
      <x:c r="K2873" s="25" t="str">
        <x:f>IF(J2873&gt;=7,"Muy fuerte (&gt;=7)",IF(J2873&gt;=6,"Fuerte (6-6.9)",IF(J2873&gt;=5,"Moderado alto (5-5.9)",IF(J2873&gt;=4,"Moderado (4-4.9)","Menor a 4"))))</x:f>
        <x:v>Moderado (4-4.9)</x:v>
      </x:c>
      <x:c r="L2873" s="25" t="str">
        <x:f>IF(I2873&lt;70,"Superficial (&lt;70 km)",IF(I2873&lt;=300,"Intermedio (70-300 km)","Profundo (&gt;300 km)"))</x:f>
        <x:v>Superficial (&lt;70 km)</x:v>
      </x:c>
      <x:c r="M2873" s="25" t="str">
        <x:f>IF(J2873&gt;=5,"Sí","No")</x:f>
        <x:v>No</x:v>
      </x:c>
      <x:c r="N2873" s="25" t="str">
        <x:f>IF(J2873&gt;=6,"Sí","No")</x:f>
        <x:v>No</x:v>
      </x:c>
      <x:c r="O2873" s="25" t="str">
        <x:v>Pendiente: asignar con R/sf</x:v>
      </x:c>
    </x:row>
    <x:row r="2874">
      <x:c r="A2874" s="25" t="n">
        <x:v>2873</x:v>
      </x:c>
      <x:c r="B2874" s="26" t="n">
        <x:v>42849.99862268518</x:v>
      </x:c>
      <x:c r="C2874" s="27" t="n">
        <x:f>INT(B2874)</x:f>
        <x:v>42849</x:v>
      </x:c>
      <x:c r="D2874" s="28" t="n">
        <x:f>MOD(B2874,1)</x:f>
        <x:v>0.9986226851833635</x:v>
      </x:c>
      <x:c r="E2874" s="29" t="n">
        <x:f>YEAR(B2874)</x:f>
        <x:v>2017</x:v>
      </x:c>
      <x:c r="F2874" s="29" t="n">
        <x:f>MONTH(B2874)</x:f>
        <x:v>4</x:v>
      </x:c>
      <x:c r="G2874" s="30" t="n">
        <x:v>-33.31</x:v>
      </x:c>
      <x:c r="H2874" s="30" t="n">
        <x:v>-71.77</x:v>
      </x:c>
      <x:c r="I2874" s="29" t="n">
        <x:v>21</x:v>
      </x:c>
      <x:c r="J2874" s="31" t="n">
        <x:v>4.3</x:v>
      </x:c>
      <x:c r="K2874" s="25" t="str">
        <x:f>IF(J2874&gt;=7,"Muy fuerte (&gt;=7)",IF(J2874&gt;=6,"Fuerte (6-6.9)",IF(J2874&gt;=5,"Moderado alto (5-5.9)",IF(J2874&gt;=4,"Moderado (4-4.9)","Menor a 4"))))</x:f>
        <x:v>Moderado (4-4.9)</x:v>
      </x:c>
      <x:c r="L2874" s="25" t="str">
        <x:f>IF(I2874&lt;70,"Superficial (&lt;70 km)",IF(I2874&lt;=300,"Intermedio (70-300 km)","Profundo (&gt;300 km)"))</x:f>
        <x:v>Superficial (&lt;70 km)</x:v>
      </x:c>
      <x:c r="M2874" s="25" t="str">
        <x:f>IF(J2874&gt;=5,"Sí","No")</x:f>
        <x:v>No</x:v>
      </x:c>
      <x:c r="N2874" s="25" t="str">
        <x:f>IF(J2874&gt;=6,"Sí","No")</x:f>
        <x:v>No</x:v>
      </x:c>
      <x:c r="O2874" s="25" t="str">
        <x:v>Pendiente: asignar con R/sf</x:v>
      </x:c>
    </x:row>
    <x:row r="2875">
      <x:c r="A2875" s="25" t="n">
        <x:v>2874</x:v>
      </x:c>
      <x:c r="B2875" s="26" t="n">
        <x:v>42800.12247685185</x:v>
      </x:c>
      <x:c r="C2875" s="27" t="n">
        <x:f>INT(B2875)</x:f>
        <x:v>42800</x:v>
      </x:c>
      <x:c r="D2875" s="28" t="n">
        <x:f>MOD(B2875,1)</x:f>
        <x:v>0.12247685185138835</x:v>
      </x:c>
      <x:c r="E2875" s="29" t="n">
        <x:f>YEAR(B2875)</x:f>
        <x:v>2017</x:v>
      </x:c>
      <x:c r="F2875" s="29" t="n">
        <x:f>MONTH(B2875)</x:f>
        <x:v>3</x:v>
      </x:c>
      <x:c r="G2875" s="30" t="n">
        <x:v>-40.38</x:v>
      </x:c>
      <x:c r="H2875" s="30" t="n">
        <x:v>-71.95</x:v>
      </x:c>
      <x:c r="I2875" s="29" t="n">
        <x:v>149</x:v>
      </x:c>
      <x:c r="J2875" s="31" t="n">
        <x:v>4.2</x:v>
      </x:c>
      <x:c r="K2875" s="25" t="str">
        <x:f>IF(J2875&gt;=7,"Muy fuerte (&gt;=7)",IF(J2875&gt;=6,"Fuerte (6-6.9)",IF(J2875&gt;=5,"Moderado alto (5-5.9)",IF(J2875&gt;=4,"Moderado (4-4.9)","Menor a 4"))))</x:f>
        <x:v>Moderado (4-4.9)</x:v>
      </x:c>
      <x:c r="L2875" s="25" t="str">
        <x:f>IF(I2875&lt;70,"Superficial (&lt;70 km)",IF(I2875&lt;=300,"Intermedio (70-300 km)","Profundo (&gt;300 km)"))</x:f>
        <x:v>Intermedio (70-300 km)</x:v>
      </x:c>
      <x:c r="M2875" s="25" t="str">
        <x:f>IF(J2875&gt;=5,"Sí","No")</x:f>
        <x:v>No</x:v>
      </x:c>
      <x:c r="N2875" s="25" t="str">
        <x:f>IF(J2875&gt;=6,"Sí","No")</x:f>
        <x:v>No</x:v>
      </x:c>
      <x:c r="O2875" s="25" t="str">
        <x:v>Pendiente: asignar con R/sf</x:v>
      </x:c>
    </x:row>
    <x:row r="2876">
      <x:c r="A2876" s="25" t="n">
        <x:v>2875</x:v>
      </x:c>
      <x:c r="B2876" s="26" t="n">
        <x:v>42842.88505787037</x:v>
      </x:c>
      <x:c r="C2876" s="27" t="n">
        <x:f>INT(B2876)</x:f>
        <x:v>42842</x:v>
      </x:c>
      <x:c r="D2876" s="28" t="n">
        <x:f>MOD(B2876,1)</x:f>
        <x:v>0.8850578703713836</x:v>
      </x:c>
      <x:c r="E2876" s="29" t="n">
        <x:f>YEAR(B2876)</x:f>
        <x:v>2017</x:v>
      </x:c>
      <x:c r="F2876" s="29" t="n">
        <x:f>MONTH(B2876)</x:f>
        <x:v>4</x:v>
      </x:c>
      <x:c r="G2876" s="30" t="n">
        <x:v>-22.38</x:v>
      </x:c>
      <x:c r="H2876" s="30" t="n">
        <x:v>-69.79</x:v>
      </x:c>
      <x:c r="I2876" s="29" t="n">
        <x:v>62</x:v>
      </x:c>
      <x:c r="J2876" s="31" t="n">
        <x:v>4.8</x:v>
      </x:c>
      <x:c r="K2876" s="25" t="str">
        <x:f>IF(J2876&gt;=7,"Muy fuerte (&gt;=7)",IF(J2876&gt;=6,"Fuerte (6-6.9)",IF(J2876&gt;=5,"Moderado alto (5-5.9)",IF(J2876&gt;=4,"Moderado (4-4.9)","Menor a 4"))))</x:f>
        <x:v>Moderado (4-4.9)</x:v>
      </x:c>
      <x:c r="L2876" s="25" t="str">
        <x:f>IF(I2876&lt;70,"Superficial (&lt;70 km)",IF(I2876&lt;=300,"Intermedio (70-300 km)","Profundo (&gt;300 km)"))</x:f>
        <x:v>Superficial (&lt;70 km)</x:v>
      </x:c>
      <x:c r="M2876" s="25" t="str">
        <x:f>IF(J2876&gt;=5,"Sí","No")</x:f>
        <x:v>No</x:v>
      </x:c>
      <x:c r="N2876" s="25" t="str">
        <x:f>IF(J2876&gt;=6,"Sí","No")</x:f>
        <x:v>No</x:v>
      </x:c>
      <x:c r="O2876" s="25" t="str">
        <x:v>Pendiente: asignar con R/sf</x:v>
      </x:c>
    </x:row>
    <x:row r="2877">
      <x:c r="A2877" s="25" t="n">
        <x:v>2876</x:v>
      </x:c>
      <x:c r="B2877" s="26" t="n">
        <x:v>43071.396099537036</x:v>
      </x:c>
      <x:c r="C2877" s="27" t="n">
        <x:f>INT(B2877)</x:f>
        <x:v>43071</x:v>
      </x:c>
      <x:c r="D2877" s="28" t="n">
        <x:f>MOD(B2877,1)</x:f>
        <x:v>0.39609953703620704</x:v>
      </x:c>
      <x:c r="E2877" s="29" t="n">
        <x:f>YEAR(B2877)</x:f>
        <x:v>2017</x:v>
      </x:c>
      <x:c r="F2877" s="29" t="n">
        <x:f>MONTH(B2877)</x:f>
        <x:v>12</x:v>
      </x:c>
      <x:c r="G2877" s="30" t="n">
        <x:v>-28.41</x:v>
      </x:c>
      <x:c r="H2877" s="30" t="n">
        <x:v>-70.19</x:v>
      </x:c>
      <x:c r="I2877" s="29" t="n">
        <x:v>112</x:v>
      </x:c>
      <x:c r="J2877" s="31" t="n">
        <x:v>4.2</x:v>
      </x:c>
      <x:c r="K2877" s="25" t="str">
        <x:f>IF(J2877&gt;=7,"Muy fuerte (&gt;=7)",IF(J2877&gt;=6,"Fuerte (6-6.9)",IF(J2877&gt;=5,"Moderado alto (5-5.9)",IF(J2877&gt;=4,"Moderado (4-4.9)","Menor a 4"))))</x:f>
        <x:v>Moderado (4-4.9)</x:v>
      </x:c>
      <x:c r="L2877" s="25" t="str">
        <x:f>IF(I2877&lt;70,"Superficial (&lt;70 km)",IF(I2877&lt;=300,"Intermedio (70-300 km)","Profundo (&gt;300 km)"))</x:f>
        <x:v>Intermedio (70-300 km)</x:v>
      </x:c>
      <x:c r="M2877" s="25" t="str">
        <x:f>IF(J2877&gt;=5,"Sí","No")</x:f>
        <x:v>No</x:v>
      </x:c>
      <x:c r="N2877" s="25" t="str">
        <x:f>IF(J2877&gt;=6,"Sí","No")</x:f>
        <x:v>No</x:v>
      </x:c>
      <x:c r="O2877" s="25" t="str">
        <x:v>Pendiente: asignar con R/sf</x:v>
      </x:c>
    </x:row>
    <x:row r="2878">
      <x:c r="A2878" s="25" t="n">
        <x:v>2877</x:v>
      </x:c>
      <x:c r="B2878" s="26" t="n">
        <x:v>42982.424108796295</x:v>
      </x:c>
      <x:c r="C2878" s="27" t="n">
        <x:f>INT(B2878)</x:f>
        <x:v>42982</x:v>
      </x:c>
      <x:c r="D2878" s="28" t="n">
        <x:f>MOD(B2878,1)</x:f>
        <x:v>0.42410879629460396</x:v>
      </x:c>
      <x:c r="E2878" s="29" t="n">
        <x:f>YEAR(B2878)</x:f>
        <x:v>2017</x:v>
      </x:c>
      <x:c r="F2878" s="29" t="n">
        <x:f>MONTH(B2878)</x:f>
        <x:v>9</x:v>
      </x:c>
      <x:c r="G2878" s="30" t="n">
        <x:v>-29.22</x:v>
      </x:c>
      <x:c r="H2878" s="30" t="n">
        <x:v>-71.32</x:v>
      </x:c>
      <x:c r="I2878" s="29" t="n">
        <x:v>63</x:v>
      </x:c>
      <x:c r="J2878" s="31" t="n">
        <x:v>4.1</x:v>
      </x:c>
      <x:c r="K2878" s="25" t="str">
        <x:f>IF(J2878&gt;=7,"Muy fuerte (&gt;=7)",IF(J2878&gt;=6,"Fuerte (6-6.9)",IF(J2878&gt;=5,"Moderado alto (5-5.9)",IF(J2878&gt;=4,"Moderado (4-4.9)","Menor a 4"))))</x:f>
        <x:v>Moderado (4-4.9)</x:v>
      </x:c>
      <x:c r="L2878" s="25" t="str">
        <x:f>IF(I2878&lt;70,"Superficial (&lt;70 km)",IF(I2878&lt;=300,"Intermedio (70-300 km)","Profundo (&gt;300 km)"))</x:f>
        <x:v>Superficial (&lt;70 km)</x:v>
      </x:c>
      <x:c r="M2878" s="25" t="str">
        <x:f>IF(J2878&gt;=5,"Sí","No")</x:f>
        <x:v>No</x:v>
      </x:c>
      <x:c r="N2878" s="25" t="str">
        <x:f>IF(J2878&gt;=6,"Sí","No")</x:f>
        <x:v>No</x:v>
      </x:c>
      <x:c r="O2878" s="25" t="str">
        <x:v>Pendiente: asignar con R/sf</x:v>
      </x:c>
    </x:row>
    <x:row r="2879">
      <x:c r="A2879" s="25" t="n">
        <x:v>2878</x:v>
      </x:c>
      <x:c r="B2879" s="26" t="n">
        <x:v>42840.34278935185</x:v>
      </x:c>
      <x:c r="C2879" s="27" t="n">
        <x:f>INT(B2879)</x:f>
        <x:v>42840</x:v>
      </x:c>
      <x:c r="D2879" s="28" t="n">
        <x:f>MOD(B2879,1)</x:f>
        <x:v>0.34278935185284354</x:v>
      </x:c>
      <x:c r="E2879" s="29" t="n">
        <x:f>YEAR(B2879)</x:f>
        <x:v>2017</x:v>
      </x:c>
      <x:c r="F2879" s="29" t="n">
        <x:f>MONTH(B2879)</x:f>
        <x:v>4</x:v>
      </x:c>
      <x:c r="G2879" s="30" t="n">
        <x:v>-19.41</x:v>
      </x:c>
      <x:c r="H2879" s="30" t="n">
        <x:v>-70.37</x:v>
      </x:c>
      <x:c r="I2879" s="29" t="n">
        <x:v>70</x:v>
      </x:c>
      <x:c r="J2879" s="31" t="n">
        <x:v>4.2</x:v>
      </x:c>
      <x:c r="K2879" s="25" t="str">
        <x:f>IF(J2879&gt;=7,"Muy fuerte (&gt;=7)",IF(J2879&gt;=6,"Fuerte (6-6.9)",IF(J2879&gt;=5,"Moderado alto (5-5.9)",IF(J2879&gt;=4,"Moderado (4-4.9)","Menor a 4"))))</x:f>
        <x:v>Moderado (4-4.9)</x:v>
      </x:c>
      <x:c r="L2879" s="25" t="str">
        <x:f>IF(I2879&lt;70,"Superficial (&lt;70 km)",IF(I2879&lt;=300,"Intermedio (70-300 km)","Profundo (&gt;300 km)"))</x:f>
        <x:v>Intermedio (70-300 km)</x:v>
      </x:c>
      <x:c r="M2879" s="25" t="str">
        <x:f>IF(J2879&gt;=5,"Sí","No")</x:f>
        <x:v>No</x:v>
      </x:c>
      <x:c r="N2879" s="25" t="str">
        <x:f>IF(J2879&gt;=6,"Sí","No")</x:f>
        <x:v>No</x:v>
      </x:c>
      <x:c r="O2879" s="25" t="str">
        <x:v>Pendiente: asignar con R/sf</x:v>
      </x:c>
    </x:row>
    <x:row r="2880">
      <x:c r="A2880" s="25" t="n">
        <x:v>2879</x:v>
      </x:c>
      <x:c r="B2880" s="26" t="n">
        <x:v>43003.58017361111</x:v>
      </x:c>
      <x:c r="C2880" s="27" t="n">
        <x:f>INT(B2880)</x:f>
        <x:v>43003</x:v>
      </x:c>
      <x:c r="D2880" s="28" t="n">
        <x:f>MOD(B2880,1)</x:f>
        <x:v>0.5801736111097853</x:v>
      </x:c>
      <x:c r="E2880" s="29" t="n">
        <x:f>YEAR(B2880)</x:f>
        <x:v>2017</x:v>
      </x:c>
      <x:c r="F2880" s="29" t="n">
        <x:f>MONTH(B2880)</x:f>
        <x:v>9</x:v>
      </x:c>
      <x:c r="G2880" s="30" t="n">
        <x:v>-32.68</x:v>
      </x:c>
      <x:c r="H2880" s="30" t="n">
        <x:v>-71.99</x:v>
      </x:c>
      <x:c r="I2880" s="29" t="n">
        <x:v>24</x:v>
      </x:c>
      <x:c r="J2880" s="31" t="n">
        <x:v>4.6</x:v>
      </x:c>
      <x:c r="K2880" s="25" t="str">
        <x:f>IF(J2880&gt;=7,"Muy fuerte (&gt;=7)",IF(J2880&gt;=6,"Fuerte (6-6.9)",IF(J2880&gt;=5,"Moderado alto (5-5.9)",IF(J2880&gt;=4,"Moderado (4-4.9)","Menor a 4"))))</x:f>
        <x:v>Moderado (4-4.9)</x:v>
      </x:c>
      <x:c r="L2880" s="25" t="str">
        <x:f>IF(I2880&lt;70,"Superficial (&lt;70 km)",IF(I2880&lt;=300,"Intermedio (70-300 km)","Profundo (&gt;300 km)"))</x:f>
        <x:v>Superficial (&lt;70 km)</x:v>
      </x:c>
      <x:c r="M2880" s="25" t="str">
        <x:f>IF(J2880&gt;=5,"Sí","No")</x:f>
        <x:v>No</x:v>
      </x:c>
      <x:c r="N2880" s="25" t="str">
        <x:f>IF(J2880&gt;=6,"Sí","No")</x:f>
        <x:v>No</x:v>
      </x:c>
      <x:c r="O2880" s="25" t="str">
        <x:v>Pendiente: asignar con R/sf</x:v>
      </x:c>
    </x:row>
    <x:row r="2881">
      <x:c r="A2881" s="25" t="n">
        <x:v>2880</x:v>
      </x:c>
      <x:c r="B2881" s="26" t="n">
        <x:v>42949.89613425926</x:v>
      </x:c>
      <x:c r="C2881" s="27" t="n">
        <x:f>INT(B2881)</x:f>
        <x:v>42949</x:v>
      </x:c>
      <x:c r="D2881" s="28" t="n">
        <x:f>MOD(B2881,1)</x:f>
        <x:v>0.89613425925927</x:v>
      </x:c>
      <x:c r="E2881" s="29" t="n">
        <x:f>YEAR(B2881)</x:f>
        <x:v>2017</x:v>
      </x:c>
      <x:c r="F2881" s="29" t="n">
        <x:f>MONTH(B2881)</x:f>
        <x:v>8</x:v>
      </x:c>
      <x:c r="G2881" s="30" t="n">
        <x:v>-28.49</x:v>
      </x:c>
      <x:c r="H2881" s="30" t="n">
        <x:v>-71.22</x:v>
      </x:c>
      <x:c r="I2881" s="29" t="n">
        <x:v>49</x:v>
      </x:c>
      <x:c r="J2881" s="31" t="n">
        <x:v>4.5</x:v>
      </x:c>
      <x:c r="K2881" s="25" t="str">
        <x:f>IF(J2881&gt;=7,"Muy fuerte (&gt;=7)",IF(J2881&gt;=6,"Fuerte (6-6.9)",IF(J2881&gt;=5,"Moderado alto (5-5.9)",IF(J2881&gt;=4,"Moderado (4-4.9)","Menor a 4"))))</x:f>
        <x:v>Moderado (4-4.9)</x:v>
      </x:c>
      <x:c r="L2881" s="25" t="str">
        <x:f>IF(I2881&lt;70,"Superficial (&lt;70 km)",IF(I2881&lt;=300,"Intermedio (70-300 km)","Profundo (&gt;300 km)"))</x:f>
        <x:v>Superficial (&lt;70 km)</x:v>
      </x:c>
      <x:c r="M2881" s="25" t="str">
        <x:f>IF(J2881&gt;=5,"Sí","No")</x:f>
        <x:v>No</x:v>
      </x:c>
      <x:c r="N2881" s="25" t="str">
        <x:f>IF(J2881&gt;=6,"Sí","No")</x:f>
        <x:v>No</x:v>
      </x:c>
      <x:c r="O2881" s="25" t="str">
        <x:v>Pendiente: asignar con R/sf</x:v>
      </x:c>
    </x:row>
    <x:row r="2882">
      <x:c r="A2882" s="25" t="n">
        <x:v>2881</x:v>
      </x:c>
      <x:c r="B2882" s="26" t="n">
        <x:v>42812.935266203705</x:v>
      </x:c>
      <x:c r="C2882" s="27" t="n">
        <x:f>INT(B2882)</x:f>
        <x:v>42812</x:v>
      </x:c>
      <x:c r="D2882" s="28" t="n">
        <x:f>MOD(B2882,1)</x:f>
        <x:v>0.935266203705396</x:v>
      </x:c>
      <x:c r="E2882" s="29" t="n">
        <x:f>YEAR(B2882)</x:f>
        <x:v>2017</x:v>
      </x:c>
      <x:c r="F2882" s="29" t="n">
        <x:f>MONTH(B2882)</x:f>
        <x:v>3</x:v>
      </x:c>
      <x:c r="G2882" s="30" t="n">
        <x:v>-20.29</x:v>
      </x:c>
      <x:c r="H2882" s="30" t="n">
        <x:v>-68.72</x:v>
      </x:c>
      <x:c r="I2882" s="29" t="n">
        <x:v>117</x:v>
      </x:c>
      <x:c r="J2882" s="31" t="n">
        <x:v>4.6</x:v>
      </x:c>
      <x:c r="K2882" s="25" t="str">
        <x:f>IF(J2882&gt;=7,"Muy fuerte (&gt;=7)",IF(J2882&gt;=6,"Fuerte (6-6.9)",IF(J2882&gt;=5,"Moderado alto (5-5.9)",IF(J2882&gt;=4,"Moderado (4-4.9)","Menor a 4"))))</x:f>
        <x:v>Moderado (4-4.9)</x:v>
      </x:c>
      <x:c r="L2882" s="25" t="str">
        <x:f>IF(I2882&lt;70,"Superficial (&lt;70 km)",IF(I2882&lt;=300,"Intermedio (70-300 km)","Profundo (&gt;300 km)"))</x:f>
        <x:v>Intermedio (70-300 km)</x:v>
      </x:c>
      <x:c r="M2882" s="25" t="str">
        <x:f>IF(J2882&gt;=5,"Sí","No")</x:f>
        <x:v>No</x:v>
      </x:c>
      <x:c r="N2882" s="25" t="str">
        <x:f>IF(J2882&gt;=6,"Sí","No")</x:f>
        <x:v>No</x:v>
      </x:c>
      <x:c r="O2882" s="25" t="str">
        <x:v>Pendiente: asignar con R/sf</x:v>
      </x:c>
    </x:row>
    <x:row r="2883">
      <x:c r="A2883" s="25" t="n">
        <x:v>2882</x:v>
      </x:c>
      <x:c r="B2883" s="26" t="n">
        <x:v>42967.63427083333</x:v>
      </x:c>
      <x:c r="C2883" s="27" t="n">
        <x:f>INT(B2883)</x:f>
        <x:v>42967</x:v>
      </x:c>
      <x:c r="D2883" s="28" t="n">
        <x:f>MOD(B2883,1)</x:f>
        <x:v>0.6342708333322662</x:v>
      </x:c>
      <x:c r="E2883" s="29" t="n">
        <x:f>YEAR(B2883)</x:f>
        <x:v>2017</x:v>
      </x:c>
      <x:c r="F2883" s="29" t="n">
        <x:f>MONTH(B2883)</x:f>
        <x:v>8</x:v>
      </x:c>
      <x:c r="G2883" s="30" t="n">
        <x:v>-20.31</x:v>
      </x:c>
      <x:c r="H2883" s="30" t="n">
        <x:v>-69.04</x:v>
      </x:c>
      <x:c r="I2883" s="29" t="n">
        <x:v>105</x:v>
      </x:c>
      <x:c r="J2883" s="31" t="n">
        <x:v>4.6</x:v>
      </x:c>
      <x:c r="K2883" s="25" t="str">
        <x:f>IF(J2883&gt;=7,"Muy fuerte (&gt;=7)",IF(J2883&gt;=6,"Fuerte (6-6.9)",IF(J2883&gt;=5,"Moderado alto (5-5.9)",IF(J2883&gt;=4,"Moderado (4-4.9)","Menor a 4"))))</x:f>
        <x:v>Moderado (4-4.9)</x:v>
      </x:c>
      <x:c r="L2883" s="25" t="str">
        <x:f>IF(I2883&lt;70,"Superficial (&lt;70 km)",IF(I2883&lt;=300,"Intermedio (70-300 km)","Profundo (&gt;300 km)"))</x:f>
        <x:v>Intermedio (70-300 km)</x:v>
      </x:c>
      <x:c r="M2883" s="25" t="str">
        <x:f>IF(J2883&gt;=5,"Sí","No")</x:f>
        <x:v>No</x:v>
      </x:c>
      <x:c r="N2883" s="25" t="str">
        <x:f>IF(J2883&gt;=6,"Sí","No")</x:f>
        <x:v>No</x:v>
      </x:c>
      <x:c r="O2883" s="25" t="str">
        <x:v>Pendiente: asignar con R/sf</x:v>
      </x:c>
    </x:row>
    <x:row r="2884">
      <x:c r="A2884" s="25" t="n">
        <x:v>2883</x:v>
      </x:c>
      <x:c r="B2884" s="26" t="n">
        <x:v>42848.12513888889</x:v>
      </x:c>
      <x:c r="C2884" s="27" t="n">
        <x:f>INT(B2884)</x:f>
        <x:v>42848</x:v>
      </x:c>
      <x:c r="D2884" s="28" t="n">
        <x:f>MOD(B2884,1)</x:f>
        <x:v>0.125138888892252</x:v>
      </x:c>
      <x:c r="E2884" s="29" t="n">
        <x:f>YEAR(B2884)</x:f>
        <x:v>2017</x:v>
      </x:c>
      <x:c r="F2884" s="29" t="n">
        <x:f>MONTH(B2884)</x:f>
        <x:v>4</x:v>
      </x:c>
      <x:c r="G2884" s="30" t="n">
        <x:v>-33.06</x:v>
      </x:c>
      <x:c r="H2884" s="30" t="n">
        <x:v>-71.97</x:v>
      </x:c>
      <x:c r="I2884" s="29" t="n">
        <x:v>18</x:v>
      </x:c>
      <x:c r="J2884" s="31" t="n">
        <x:v>4.5</x:v>
      </x:c>
      <x:c r="K2884" s="25" t="str">
        <x:f>IF(J2884&gt;=7,"Muy fuerte (&gt;=7)",IF(J2884&gt;=6,"Fuerte (6-6.9)",IF(J2884&gt;=5,"Moderado alto (5-5.9)",IF(J2884&gt;=4,"Moderado (4-4.9)","Menor a 4"))))</x:f>
        <x:v>Moderado (4-4.9)</x:v>
      </x:c>
      <x:c r="L2884" s="25" t="str">
        <x:f>IF(I2884&lt;70,"Superficial (&lt;70 km)",IF(I2884&lt;=300,"Intermedio (70-300 km)","Profundo (&gt;300 km)"))</x:f>
        <x:v>Superficial (&lt;70 km)</x:v>
      </x:c>
      <x:c r="M2884" s="25" t="str">
        <x:f>IF(J2884&gt;=5,"Sí","No")</x:f>
        <x:v>No</x:v>
      </x:c>
      <x:c r="N2884" s="25" t="str">
        <x:f>IF(J2884&gt;=6,"Sí","No")</x:f>
        <x:v>No</x:v>
      </x:c>
      <x:c r="O2884" s="25" t="str">
        <x:v>Pendiente: asignar con R/sf</x:v>
      </x:c>
    </x:row>
    <x:row r="2885">
      <x:c r="A2885" s="25" t="n">
        <x:v>2884</x:v>
      </x:c>
      <x:c r="B2885" s="26" t="n">
        <x:v>42815.62637731482</x:v>
      </x:c>
      <x:c r="C2885" s="27" t="n">
        <x:f>INT(B2885)</x:f>
        <x:v>42815</x:v>
      </x:c>
      <x:c r="D2885" s="28" t="n">
        <x:f>MOD(B2885,1)</x:f>
        <x:v>0.6263773148166365</x:v>
      </x:c>
      <x:c r="E2885" s="29" t="n">
        <x:f>YEAR(B2885)</x:f>
        <x:v>2017</x:v>
      </x:c>
      <x:c r="F2885" s="29" t="n">
        <x:f>MONTH(B2885)</x:f>
        <x:v>3</x:v>
      </x:c>
      <x:c r="G2885" s="30" t="n">
        <x:v>-21.62</x:v>
      </x:c>
      <x:c r="H2885" s="30" t="n">
        <x:v>-68.48</x:v>
      </x:c>
      <x:c r="I2885" s="29" t="n">
        <x:v>127</x:v>
      </x:c>
      <x:c r="J2885" s="31" t="n">
        <x:v>5.1</x:v>
      </x:c>
      <x:c r="K2885" s="25" t="str">
        <x:f>IF(J2885&gt;=7,"Muy fuerte (&gt;=7)",IF(J2885&gt;=6,"Fuerte (6-6.9)",IF(J2885&gt;=5,"Moderado alto (5-5.9)",IF(J2885&gt;=4,"Moderado (4-4.9)","Menor a 4"))))</x:f>
        <x:v>Moderado alto (5-5.9)</x:v>
      </x:c>
      <x:c r="L2885" s="25" t="str">
        <x:f>IF(I2885&lt;70,"Superficial (&lt;70 km)",IF(I2885&lt;=300,"Intermedio (70-300 km)","Profundo (&gt;300 km)"))</x:f>
        <x:v>Intermedio (70-300 km)</x:v>
      </x:c>
      <x:c r="M2885" s="25" t="str">
        <x:f>IF(J2885&gt;=5,"Sí","No")</x:f>
        <x:v>Sí</x:v>
      </x:c>
      <x:c r="N2885" s="25" t="str">
        <x:f>IF(J2885&gt;=6,"Sí","No")</x:f>
        <x:v>No</x:v>
      </x:c>
      <x:c r="O2885" s="25" t="str">
        <x:v>Pendiente: asignar con R/sf</x:v>
      </x:c>
    </x:row>
    <x:row r="2886">
      <x:c r="A2886" s="25" t="n">
        <x:v>2885</x:v>
      </x:c>
      <x:c r="B2886" s="26" t="n">
        <x:v>42872.029398148145</x:v>
      </x:c>
      <x:c r="C2886" s="27" t="n">
        <x:f>INT(B2886)</x:f>
        <x:v>42872</x:v>
      </x:c>
      <x:c r="D2886" s="28" t="n">
        <x:f>MOD(B2886,1)</x:f>
        <x:v>0.029398148144537117</x:v>
      </x:c>
      <x:c r="E2886" s="29" t="n">
        <x:f>YEAR(B2886)</x:f>
        <x:v>2017</x:v>
      </x:c>
      <x:c r="F2886" s="29" t="n">
        <x:f>MONTH(B2886)</x:f>
        <x:v>5</x:v>
      </x:c>
      <x:c r="G2886" s="30" t="n">
        <x:v>-22.02</x:v>
      </x:c>
      <x:c r="H2886" s="30" t="n">
        <x:v>-70.02</x:v>
      </x:c>
      <x:c r="I2886" s="29" t="n">
        <x:v>51</x:v>
      </x:c>
      <x:c r="J2886" s="31" t="n">
        <x:v>4.3</x:v>
      </x:c>
      <x:c r="K2886" s="25" t="str">
        <x:f>IF(J2886&gt;=7,"Muy fuerte (&gt;=7)",IF(J2886&gt;=6,"Fuerte (6-6.9)",IF(J2886&gt;=5,"Moderado alto (5-5.9)",IF(J2886&gt;=4,"Moderado (4-4.9)","Menor a 4"))))</x:f>
        <x:v>Moderado (4-4.9)</x:v>
      </x:c>
      <x:c r="L2886" s="25" t="str">
        <x:f>IF(I2886&lt;70,"Superficial (&lt;70 km)",IF(I2886&lt;=300,"Intermedio (70-300 km)","Profundo (&gt;300 km)"))</x:f>
        <x:v>Superficial (&lt;70 km)</x:v>
      </x:c>
      <x:c r="M2886" s="25" t="str">
        <x:f>IF(J2886&gt;=5,"Sí","No")</x:f>
        <x:v>No</x:v>
      </x:c>
      <x:c r="N2886" s="25" t="str">
        <x:f>IF(J2886&gt;=6,"Sí","No")</x:f>
        <x:v>No</x:v>
      </x:c>
      <x:c r="O2886" s="25" t="str">
        <x:v>Pendiente: asignar con R/sf</x:v>
      </x:c>
    </x:row>
    <x:row r="2887">
      <x:c r="A2887" s="25" t="n">
        <x:v>2886</x:v>
      </x:c>
      <x:c r="B2887" s="26" t="n">
        <x:v>42842.562210648146</x:v>
      </x:c>
      <x:c r="C2887" s="27" t="n">
        <x:f>INT(B2887)</x:f>
        <x:v>42842</x:v>
      </x:c>
      <x:c r="D2887" s="28" t="n">
        <x:f>MOD(B2887,1)</x:f>
        <x:v>0.5622106481459923</x:v>
      </x:c>
      <x:c r="E2887" s="29" t="n">
        <x:f>YEAR(B2887)</x:f>
        <x:v>2017</x:v>
      </x:c>
      <x:c r="F2887" s="29" t="n">
        <x:f>MONTH(B2887)</x:f>
        <x:v>4</x:v>
      </x:c>
      <x:c r="G2887" s="30" t="n">
        <x:v>-19.18</x:v>
      </x:c>
      <x:c r="H2887" s="30" t="n">
        <x:v>-70.12</x:v>
      </x:c>
      <x:c r="I2887" s="29" t="n">
        <x:v>58</x:v>
      </x:c>
      <x:c r="J2887" s="31" t="n">
        <x:v>4.4</x:v>
      </x:c>
      <x:c r="K2887" s="25" t="str">
        <x:f>IF(J2887&gt;=7,"Muy fuerte (&gt;=7)",IF(J2887&gt;=6,"Fuerte (6-6.9)",IF(J2887&gt;=5,"Moderado alto (5-5.9)",IF(J2887&gt;=4,"Moderado (4-4.9)","Menor a 4"))))</x:f>
        <x:v>Moderado (4-4.9)</x:v>
      </x:c>
      <x:c r="L2887" s="25" t="str">
        <x:f>IF(I2887&lt;70,"Superficial (&lt;70 km)",IF(I2887&lt;=300,"Intermedio (70-300 km)","Profundo (&gt;300 km)"))</x:f>
        <x:v>Superficial (&lt;70 km)</x:v>
      </x:c>
      <x:c r="M2887" s="25" t="str">
        <x:f>IF(J2887&gt;=5,"Sí","No")</x:f>
        <x:v>No</x:v>
      </x:c>
      <x:c r="N2887" s="25" t="str">
        <x:f>IF(J2887&gt;=6,"Sí","No")</x:f>
        <x:v>No</x:v>
      </x:c>
      <x:c r="O2887" s="25" t="str">
        <x:v>Pendiente: asignar con R/sf</x:v>
      </x:c>
    </x:row>
    <x:row r="2888">
      <x:c r="A2888" s="25" t="n">
        <x:v>2887</x:v>
      </x:c>
      <x:c r="B2888" s="26" t="n">
        <x:v>42850.0715625</x:v>
      </x:c>
      <x:c r="C2888" s="27" t="n">
        <x:f>INT(B2888)</x:f>
        <x:v>42850</x:v>
      </x:c>
      <x:c r="D2888" s="28" t="n">
        <x:f>MOD(B2888,1)</x:f>
        <x:v>0.07156250000116415</x:v>
      </x:c>
      <x:c r="E2888" s="29" t="n">
        <x:f>YEAR(B2888)</x:f>
        <x:v>2017</x:v>
      </x:c>
      <x:c r="F2888" s="29" t="n">
        <x:f>MONTH(B2888)</x:f>
        <x:v>4</x:v>
      </x:c>
      <x:c r="G2888" s="30" t="n">
        <x:v>-33.16</x:v>
      </x:c>
      <x:c r="H2888" s="30" t="n">
        <x:v>-72.09</x:v>
      </x:c>
      <x:c r="I2888" s="29" t="n">
        <x:v>24</x:v>
      </x:c>
      <x:c r="J2888" s="31" t="n">
        <x:v>5.1</x:v>
      </x:c>
      <x:c r="K2888" s="25" t="str">
        <x:f>IF(J2888&gt;=7,"Muy fuerte (&gt;=7)",IF(J2888&gt;=6,"Fuerte (6-6.9)",IF(J2888&gt;=5,"Moderado alto (5-5.9)",IF(J2888&gt;=4,"Moderado (4-4.9)","Menor a 4"))))</x:f>
        <x:v>Moderado alto (5-5.9)</x:v>
      </x:c>
      <x:c r="L2888" s="25" t="str">
        <x:f>IF(I2888&lt;70,"Superficial (&lt;70 km)",IF(I2888&lt;=300,"Intermedio (70-300 km)","Profundo (&gt;300 km)"))</x:f>
        <x:v>Superficial (&lt;70 km)</x:v>
      </x:c>
      <x:c r="M2888" s="25" t="str">
        <x:f>IF(J2888&gt;=5,"Sí","No")</x:f>
        <x:v>Sí</x:v>
      </x:c>
      <x:c r="N2888" s="25" t="str">
        <x:f>IF(J2888&gt;=6,"Sí","No")</x:f>
        <x:v>No</x:v>
      </x:c>
      <x:c r="O2888" s="25" t="str">
        <x:v>Pendiente: asignar con R/sf</x:v>
      </x:c>
    </x:row>
    <x:row r="2889">
      <x:c r="A2889" s="25" t="n">
        <x:v>2888</x:v>
      </x:c>
      <x:c r="B2889" s="26" t="n">
        <x:v>42942.4243287037</x:v>
      </x:c>
      <x:c r="C2889" s="27" t="n">
        <x:f>INT(B2889)</x:f>
        <x:v>42942</x:v>
      </x:c>
      <x:c r="D2889" s="28" t="n">
        <x:f>MOD(B2889,1)</x:f>
        <x:v>0.42432870370248565</x:v>
      </x:c>
      <x:c r="E2889" s="29" t="n">
        <x:f>YEAR(B2889)</x:f>
        <x:v>2017</x:v>
      </x:c>
      <x:c r="F2889" s="29" t="n">
        <x:f>MONTH(B2889)</x:f>
        <x:v>7</x:v>
      </x:c>
      <x:c r="G2889" s="30" t="n">
        <x:v>-23.99</x:v>
      </x:c>
      <x:c r="H2889" s="30" t="n">
        <x:v>-69.52</x:v>
      </x:c>
      <x:c r="I2889" s="29" t="n">
        <x:v>77</x:v>
      </x:c>
      <x:c r="J2889" s="31" t="n">
        <x:v>4.9</x:v>
      </x:c>
      <x:c r="K2889" s="25" t="str">
        <x:f>IF(J2889&gt;=7,"Muy fuerte (&gt;=7)",IF(J2889&gt;=6,"Fuerte (6-6.9)",IF(J2889&gt;=5,"Moderado alto (5-5.9)",IF(J2889&gt;=4,"Moderado (4-4.9)","Menor a 4"))))</x:f>
        <x:v>Moderado (4-4.9)</x:v>
      </x:c>
      <x:c r="L2889" s="25" t="str">
        <x:f>IF(I2889&lt;70,"Superficial (&lt;70 km)",IF(I2889&lt;=300,"Intermedio (70-300 km)","Profundo (&gt;300 km)"))</x:f>
        <x:v>Intermedio (70-300 km)</x:v>
      </x:c>
      <x:c r="M2889" s="25" t="str">
        <x:f>IF(J2889&gt;=5,"Sí","No")</x:f>
        <x:v>No</x:v>
      </x:c>
      <x:c r="N2889" s="25" t="str">
        <x:f>IF(J2889&gt;=6,"Sí","No")</x:f>
        <x:v>No</x:v>
      </x:c>
      <x:c r="O2889" s="25" t="str">
        <x:v>Pendiente: asignar con R/sf</x:v>
      </x:c>
    </x:row>
    <x:row r="2890">
      <x:c r="A2890" s="25" t="n">
        <x:v>2889</x:v>
      </x:c>
      <x:c r="B2890" s="26" t="n">
        <x:v>42853.74799768518</x:v>
      </x:c>
      <x:c r="C2890" s="27" t="n">
        <x:f>INT(B2890)</x:f>
        <x:v>42853</x:v>
      </x:c>
      <x:c r="D2890" s="28" t="n">
        <x:f>MOD(B2890,1)</x:f>
        <x:v>0.7479976851827814</x:v>
      </x:c>
      <x:c r="E2890" s="29" t="n">
        <x:f>YEAR(B2890)</x:f>
        <x:v>2017</x:v>
      </x:c>
      <x:c r="F2890" s="29" t="n">
        <x:f>MONTH(B2890)</x:f>
        <x:v>4</x:v>
      </x:c>
      <x:c r="G2890" s="30" t="n">
        <x:v>-33.36</x:v>
      </x:c>
      <x:c r="H2890" s="30" t="n">
        <x:v>-71.94</x:v>
      </x:c>
      <x:c r="I2890" s="29" t="n">
        <x:v>25</x:v>
      </x:c>
      <x:c r="J2890" s="31" t="n">
        <x:v>4.3</x:v>
      </x:c>
      <x:c r="K2890" s="25" t="str">
        <x:f>IF(J2890&gt;=7,"Muy fuerte (&gt;=7)",IF(J2890&gt;=6,"Fuerte (6-6.9)",IF(J2890&gt;=5,"Moderado alto (5-5.9)",IF(J2890&gt;=4,"Moderado (4-4.9)","Menor a 4"))))</x:f>
        <x:v>Moderado (4-4.9)</x:v>
      </x:c>
      <x:c r="L2890" s="25" t="str">
        <x:f>IF(I2890&lt;70,"Superficial (&lt;70 km)",IF(I2890&lt;=300,"Intermedio (70-300 km)","Profundo (&gt;300 km)"))</x:f>
        <x:v>Superficial (&lt;70 km)</x:v>
      </x:c>
      <x:c r="M2890" s="25" t="str">
        <x:f>IF(J2890&gt;=5,"Sí","No")</x:f>
        <x:v>No</x:v>
      </x:c>
      <x:c r="N2890" s="25" t="str">
        <x:f>IF(J2890&gt;=6,"Sí","No")</x:f>
        <x:v>No</x:v>
      </x:c>
      <x:c r="O2890" s="25" t="str">
        <x:v>Pendiente: asignar con R/sf</x:v>
      </x:c>
    </x:row>
    <x:row r="2891">
      <x:c r="A2891" s="25" t="n">
        <x:v>2890</x:v>
      </x:c>
      <x:c r="B2891" s="26" t="n">
        <x:v>42851.340208333335</x:v>
      </x:c>
      <x:c r="C2891" s="27" t="n">
        <x:f>INT(B2891)</x:f>
        <x:v>42851</x:v>
      </x:c>
      <x:c r="D2891" s="28" t="n">
        <x:f>MOD(B2891,1)</x:f>
        <x:v>0.34020833333488554</x:v>
      </x:c>
      <x:c r="E2891" s="29" t="n">
        <x:f>YEAR(B2891)</x:f>
        <x:v>2017</x:v>
      </x:c>
      <x:c r="F2891" s="29" t="n">
        <x:f>MONTH(B2891)</x:f>
        <x:v>4</x:v>
      </x:c>
      <x:c r="G2891" s="30" t="n">
        <x:v>-20.44</x:v>
      </x:c>
      <x:c r="H2891" s="30" t="n">
        <x:v>-69.12</x:v>
      </x:c>
      <x:c r="I2891" s="29" t="n">
        <x:v>93</x:v>
      </x:c>
      <x:c r="J2891" s="31" t="n">
        <x:v>4.5</x:v>
      </x:c>
      <x:c r="K2891" s="25" t="str">
        <x:f>IF(J2891&gt;=7,"Muy fuerte (&gt;=7)",IF(J2891&gt;=6,"Fuerte (6-6.9)",IF(J2891&gt;=5,"Moderado alto (5-5.9)",IF(J2891&gt;=4,"Moderado (4-4.9)","Menor a 4"))))</x:f>
        <x:v>Moderado (4-4.9)</x:v>
      </x:c>
      <x:c r="L2891" s="25" t="str">
        <x:f>IF(I2891&lt;70,"Superficial (&lt;70 km)",IF(I2891&lt;=300,"Intermedio (70-300 km)","Profundo (&gt;300 km)"))</x:f>
        <x:v>Intermedio (70-300 km)</x:v>
      </x:c>
      <x:c r="M2891" s="25" t="str">
        <x:f>IF(J2891&gt;=5,"Sí","No")</x:f>
        <x:v>No</x:v>
      </x:c>
      <x:c r="N2891" s="25" t="str">
        <x:f>IF(J2891&gt;=6,"Sí","No")</x:f>
        <x:v>No</x:v>
      </x:c>
      <x:c r="O2891" s="25" t="str">
        <x:v>Pendiente: asignar con R/sf</x:v>
      </x:c>
    </x:row>
    <x:row r="2892">
      <x:c r="A2892" s="25" t="n">
        <x:v>2891</x:v>
      </x:c>
      <x:c r="B2892" s="26" t="n">
        <x:v>42851.02987268518</x:v>
      </x:c>
      <x:c r="C2892" s="27" t="n">
        <x:f>INT(B2892)</x:f>
        <x:v>42851</x:v>
      </x:c>
      <x:c r="D2892" s="28" t="n">
        <x:f>MOD(B2892,1)</x:f>
        <x:v>0.0298726851833635</x:v>
      </x:c>
      <x:c r="E2892" s="29" t="n">
        <x:f>YEAR(B2892)</x:f>
        <x:v>2017</x:v>
      </x:c>
      <x:c r="F2892" s="29" t="n">
        <x:f>MONTH(B2892)</x:f>
        <x:v>4</x:v>
      </x:c>
      <x:c r="G2892" s="30" t="n">
        <x:v>-32.96</x:v>
      </x:c>
      <x:c r="H2892" s="30" t="n">
        <x:v>-71.92</x:v>
      </x:c>
      <x:c r="I2892" s="29" t="n">
        <x:v>28</x:v>
      </x:c>
      <x:c r="J2892" s="31" t="n">
        <x:v>4</x:v>
      </x:c>
      <x:c r="K2892" s="25" t="str">
        <x:f>IF(J2892&gt;=7,"Muy fuerte (&gt;=7)",IF(J2892&gt;=6,"Fuerte (6-6.9)",IF(J2892&gt;=5,"Moderado alto (5-5.9)",IF(J2892&gt;=4,"Moderado (4-4.9)","Menor a 4"))))</x:f>
        <x:v>Moderado (4-4.9)</x:v>
      </x:c>
      <x:c r="L2892" s="25" t="str">
        <x:f>IF(I2892&lt;70,"Superficial (&lt;70 km)",IF(I2892&lt;=300,"Intermedio (70-300 km)","Profundo (&gt;300 km)"))</x:f>
        <x:v>Superficial (&lt;70 km)</x:v>
      </x:c>
      <x:c r="M2892" s="25" t="str">
        <x:f>IF(J2892&gt;=5,"Sí","No")</x:f>
        <x:v>No</x:v>
      </x:c>
      <x:c r="N2892" s="25" t="str">
        <x:f>IF(J2892&gt;=6,"Sí","No")</x:f>
        <x:v>No</x:v>
      </x:c>
      <x:c r="O2892" s="25" t="str">
        <x:v>Pendiente: asignar con R/sf</x:v>
      </x:c>
    </x:row>
    <x:row r="2893">
      <x:c r="A2893" s="25" t="n">
        <x:v>2892</x:v>
      </x:c>
      <x:c r="B2893" s="26" t="n">
        <x:v>42742.7312962963</x:v>
      </x:c>
      <x:c r="C2893" s="27" t="n">
        <x:f>INT(B2893)</x:f>
        <x:v>42742</x:v>
      </x:c>
      <x:c r="D2893" s="28" t="n">
        <x:f>MOD(B2893,1)</x:f>
        <x:v>0.7312962962969323</x:v>
      </x:c>
      <x:c r="E2893" s="29" t="n">
        <x:f>YEAR(B2893)</x:f>
        <x:v>2017</x:v>
      </x:c>
      <x:c r="F2893" s="29" t="n">
        <x:f>MONTH(B2893)</x:f>
        <x:v>1</x:v>
      </x:c>
      <x:c r="G2893" s="30" t="n">
        <x:v>-19.52</x:v>
      </x:c>
      <x:c r="H2893" s="30" t="n">
        <x:v>-70.11</x:v>
      </x:c>
      <x:c r="I2893" s="29" t="n">
        <x:v>32</x:v>
      </x:c>
      <x:c r="J2893" s="31" t="n">
        <x:v>4</x:v>
      </x:c>
      <x:c r="K2893" s="25" t="str">
        <x:f>IF(J2893&gt;=7,"Muy fuerte (&gt;=7)",IF(J2893&gt;=6,"Fuerte (6-6.9)",IF(J2893&gt;=5,"Moderado alto (5-5.9)",IF(J2893&gt;=4,"Moderado (4-4.9)","Menor a 4"))))</x:f>
        <x:v>Moderado (4-4.9)</x:v>
      </x:c>
      <x:c r="L2893" s="25" t="str">
        <x:f>IF(I2893&lt;70,"Superficial (&lt;70 km)",IF(I2893&lt;=300,"Intermedio (70-300 km)","Profundo (&gt;300 km)"))</x:f>
        <x:v>Superficial (&lt;70 km)</x:v>
      </x:c>
      <x:c r="M2893" s="25" t="str">
        <x:f>IF(J2893&gt;=5,"Sí","No")</x:f>
        <x:v>No</x:v>
      </x:c>
      <x:c r="N2893" s="25" t="str">
        <x:f>IF(J2893&gt;=6,"Sí","No")</x:f>
        <x:v>No</x:v>
      </x:c>
      <x:c r="O2893" s="25" t="str">
        <x:v>Pendiente: asignar con R/sf</x:v>
      </x:c>
    </x:row>
    <x:row r="2894">
      <x:c r="A2894" s="25" t="n">
        <x:v>2893</x:v>
      </x:c>
      <x:c r="B2894" s="26" t="n">
        <x:v>42851.615219907406</x:v>
      </x:c>
      <x:c r="C2894" s="27" t="n">
        <x:f>INT(B2894)</x:f>
        <x:v>42851</x:v>
      </x:c>
      <x:c r="D2894" s="28" t="n">
        <x:f>MOD(B2894,1)</x:f>
        <x:v>0.6152199074058444</x:v>
      </x:c>
      <x:c r="E2894" s="29" t="n">
        <x:f>YEAR(B2894)</x:f>
        <x:v>2017</x:v>
      </x:c>
      <x:c r="F2894" s="29" t="n">
        <x:f>MONTH(B2894)</x:f>
        <x:v>4</x:v>
      </x:c>
      <x:c r="G2894" s="30" t="n">
        <x:v>-33.29</x:v>
      </x:c>
      <x:c r="H2894" s="30" t="n">
        <x:v>-71.85</x:v>
      </x:c>
      <x:c r="I2894" s="29" t="n">
        <x:v>26</x:v>
      </x:c>
      <x:c r="J2894" s="31" t="n">
        <x:v>4.4</x:v>
      </x:c>
      <x:c r="K2894" s="25" t="str">
        <x:f>IF(J2894&gt;=7,"Muy fuerte (&gt;=7)",IF(J2894&gt;=6,"Fuerte (6-6.9)",IF(J2894&gt;=5,"Moderado alto (5-5.9)",IF(J2894&gt;=4,"Moderado (4-4.9)","Menor a 4"))))</x:f>
        <x:v>Moderado (4-4.9)</x:v>
      </x:c>
      <x:c r="L2894" s="25" t="str">
        <x:f>IF(I2894&lt;70,"Superficial (&lt;70 km)",IF(I2894&lt;=300,"Intermedio (70-300 km)","Profundo (&gt;300 km)"))</x:f>
        <x:v>Superficial (&lt;70 km)</x:v>
      </x:c>
      <x:c r="M2894" s="25" t="str">
        <x:f>IF(J2894&gt;=5,"Sí","No")</x:f>
        <x:v>No</x:v>
      </x:c>
      <x:c r="N2894" s="25" t="str">
        <x:f>IF(J2894&gt;=6,"Sí","No")</x:f>
        <x:v>No</x:v>
      </x:c>
      <x:c r="O2894" s="25" t="str">
        <x:v>Pendiente: asignar con R/sf</x:v>
      </x:c>
    </x:row>
    <x:row r="2895">
      <x:c r="A2895" s="25" t="n">
        <x:v>2894</x:v>
      </x:c>
      <x:c r="B2895" s="26" t="n">
        <x:v>42769.03642361111</x:v>
      </x:c>
      <x:c r="C2895" s="27" t="n">
        <x:f>INT(B2895)</x:f>
        <x:v>42769</x:v>
      </x:c>
      <x:c r="D2895" s="28" t="n">
        <x:f>MOD(B2895,1)</x:f>
        <x:v>0.03642361111269565</x:v>
      </x:c>
      <x:c r="E2895" s="29" t="n">
        <x:f>YEAR(B2895)</x:f>
        <x:v>2017</x:v>
      </x:c>
      <x:c r="F2895" s="29" t="n">
        <x:f>MONTH(B2895)</x:f>
        <x:v>2</x:v>
      </x:c>
      <x:c r="G2895" s="30" t="n">
        <x:v>-33.15</x:v>
      </x:c>
      <x:c r="H2895" s="30" t="n">
        <x:v>-69.81</x:v>
      </x:c>
      <x:c r="I2895" s="29" t="n">
        <x:v>8</x:v>
      </x:c>
      <x:c r="J2895" s="31" t="n">
        <x:v>5</x:v>
      </x:c>
      <x:c r="K2895" s="25" t="str">
        <x:f>IF(J2895&gt;=7,"Muy fuerte (&gt;=7)",IF(J2895&gt;=6,"Fuerte (6-6.9)",IF(J2895&gt;=5,"Moderado alto (5-5.9)",IF(J2895&gt;=4,"Moderado (4-4.9)","Menor a 4"))))</x:f>
        <x:v>Moderado alto (5-5.9)</x:v>
      </x:c>
      <x:c r="L2895" s="25" t="str">
        <x:f>IF(I2895&lt;70,"Superficial (&lt;70 km)",IF(I2895&lt;=300,"Intermedio (70-300 km)","Profundo (&gt;300 km)"))</x:f>
        <x:v>Superficial (&lt;70 km)</x:v>
      </x:c>
      <x:c r="M2895" s="25" t="str">
        <x:f>IF(J2895&gt;=5,"Sí","No")</x:f>
        <x:v>Sí</x:v>
      </x:c>
      <x:c r="N2895" s="25" t="str">
        <x:f>IF(J2895&gt;=6,"Sí","No")</x:f>
        <x:v>No</x:v>
      </x:c>
      <x:c r="O2895" s="25" t="str">
        <x:v>Pendiente: asignar con R/sf</x:v>
      </x:c>
    </x:row>
    <x:row r="2896">
      <x:c r="A2896" s="25" t="n">
        <x:v>2895</x:v>
      </x:c>
      <x:c r="B2896" s="26" t="n">
        <x:v>43046.51225694444</x:v>
      </x:c>
      <x:c r="C2896" s="27" t="n">
        <x:f>INT(B2896)</x:f>
        <x:v>43046</x:v>
      </x:c>
      <x:c r="D2896" s="28" t="n">
        <x:f>MOD(B2896,1)</x:f>
        <x:v>0.5122569444429246</x:v>
      </x:c>
      <x:c r="E2896" s="29" t="n">
        <x:f>YEAR(B2896)</x:f>
        <x:v>2017</x:v>
      </x:c>
      <x:c r="F2896" s="29" t="n">
        <x:f>MONTH(B2896)</x:f>
        <x:v>11</x:v>
      </x:c>
      <x:c r="G2896" s="30" t="n">
        <x:v>-29.46</x:v>
      </x:c>
      <x:c r="H2896" s="30" t="n">
        <x:v>-71.29</x:v>
      </x:c>
      <x:c r="I2896" s="29" t="n">
        <x:v>45</x:v>
      </x:c>
      <x:c r="J2896" s="31" t="n">
        <x:v>4.1</x:v>
      </x:c>
      <x:c r="K2896" s="25" t="str">
        <x:f>IF(J2896&gt;=7,"Muy fuerte (&gt;=7)",IF(J2896&gt;=6,"Fuerte (6-6.9)",IF(J2896&gt;=5,"Moderado alto (5-5.9)",IF(J2896&gt;=4,"Moderado (4-4.9)","Menor a 4"))))</x:f>
        <x:v>Moderado (4-4.9)</x:v>
      </x:c>
      <x:c r="L2896" s="25" t="str">
        <x:f>IF(I2896&lt;70,"Superficial (&lt;70 km)",IF(I2896&lt;=300,"Intermedio (70-300 km)","Profundo (&gt;300 km)"))</x:f>
        <x:v>Superficial (&lt;70 km)</x:v>
      </x:c>
      <x:c r="M2896" s="25" t="str">
        <x:f>IF(J2896&gt;=5,"Sí","No")</x:f>
        <x:v>No</x:v>
      </x:c>
      <x:c r="N2896" s="25" t="str">
        <x:f>IF(J2896&gt;=6,"Sí","No")</x:f>
        <x:v>No</x:v>
      </x:c>
      <x:c r="O2896" s="25" t="str">
        <x:v>Pendiente: asignar con R/sf</x:v>
      </x:c>
    </x:row>
    <x:row r="2897">
      <x:c r="A2897" s="25" t="n">
        <x:v>2896</x:v>
      </x:c>
      <x:c r="B2897" s="26" t="n">
        <x:v>42915.345034722224</x:v>
      </x:c>
      <x:c r="C2897" s="27" t="n">
        <x:f>INT(B2897)</x:f>
        <x:v>42915</x:v>
      </x:c>
      <x:c r="D2897" s="28" t="n">
        <x:f>MOD(B2897,1)</x:f>
        <x:v>0.34503472222422715</x:v>
      </x:c>
      <x:c r="E2897" s="29" t="n">
        <x:f>YEAR(B2897)</x:f>
        <x:v>2017</x:v>
      </x:c>
      <x:c r="F2897" s="29" t="n">
        <x:f>MONTH(B2897)</x:f>
        <x:v>6</x:v>
      </x:c>
      <x:c r="G2897" s="30" t="n">
        <x:v>-34.75</x:v>
      </x:c>
      <x:c r="H2897" s="30" t="n">
        <x:v>-71.77</x:v>
      </x:c>
      <x:c r="I2897" s="29" t="n">
        <x:v>41</x:v>
      </x:c>
      <x:c r="J2897" s="31" t="n">
        <x:v>4.8</x:v>
      </x:c>
      <x:c r="K2897" s="25" t="str">
        <x:f>IF(J2897&gt;=7,"Muy fuerte (&gt;=7)",IF(J2897&gt;=6,"Fuerte (6-6.9)",IF(J2897&gt;=5,"Moderado alto (5-5.9)",IF(J2897&gt;=4,"Moderado (4-4.9)","Menor a 4"))))</x:f>
        <x:v>Moderado (4-4.9)</x:v>
      </x:c>
      <x:c r="L2897" s="25" t="str">
        <x:f>IF(I2897&lt;70,"Superficial (&lt;70 km)",IF(I2897&lt;=300,"Intermedio (70-300 km)","Profundo (&gt;300 km)"))</x:f>
        <x:v>Superficial (&lt;70 km)</x:v>
      </x:c>
      <x:c r="M2897" s="25" t="str">
        <x:f>IF(J2897&gt;=5,"Sí","No")</x:f>
        <x:v>No</x:v>
      </x:c>
      <x:c r="N2897" s="25" t="str">
        <x:f>IF(J2897&gt;=6,"Sí","No")</x:f>
        <x:v>No</x:v>
      </x:c>
      <x:c r="O2897" s="25" t="str">
        <x:v>Pendiente: asignar con R/sf</x:v>
      </x:c>
    </x:row>
    <x:row r="2898">
      <x:c r="A2898" s="25" t="n">
        <x:v>2897</x:v>
      </x:c>
      <x:c r="B2898" s="26" t="n">
        <x:v>42748.5715625</x:v>
      </x:c>
      <x:c r="C2898" s="27" t="n">
        <x:f>INT(B2898)</x:f>
        <x:v>42748</x:v>
      </x:c>
      <x:c r="D2898" s="28" t="n">
        <x:f>MOD(B2898,1)</x:f>
        <x:v>0.5715625000011642</x:v>
      </x:c>
      <x:c r="E2898" s="29" t="n">
        <x:f>YEAR(B2898)</x:f>
        <x:v>2017</x:v>
      </x:c>
      <x:c r="F2898" s="29" t="n">
        <x:f>MONTH(B2898)</x:f>
        <x:v>1</x:v>
      </x:c>
      <x:c r="G2898" s="30" t="n">
        <x:v>-30.71</x:v>
      </x:c>
      <x:c r="H2898" s="30" t="n">
        <x:v>-71.39</x:v>
      </x:c>
      <x:c r="I2898" s="29" t="n">
        <x:v>48</x:v>
      </x:c>
      <x:c r="J2898" s="31" t="n">
        <x:v>4</x:v>
      </x:c>
      <x:c r="K2898" s="25" t="str">
        <x:f>IF(J2898&gt;=7,"Muy fuerte (&gt;=7)",IF(J2898&gt;=6,"Fuerte (6-6.9)",IF(J2898&gt;=5,"Moderado alto (5-5.9)",IF(J2898&gt;=4,"Moderado (4-4.9)","Menor a 4"))))</x:f>
        <x:v>Moderado (4-4.9)</x:v>
      </x:c>
      <x:c r="L2898" s="25" t="str">
        <x:f>IF(I2898&lt;70,"Superficial (&lt;70 km)",IF(I2898&lt;=300,"Intermedio (70-300 km)","Profundo (&gt;300 km)"))</x:f>
        <x:v>Superficial (&lt;70 km)</x:v>
      </x:c>
      <x:c r="M2898" s="25" t="str">
        <x:f>IF(J2898&gt;=5,"Sí","No")</x:f>
        <x:v>No</x:v>
      </x:c>
      <x:c r="N2898" s="25" t="str">
        <x:f>IF(J2898&gt;=6,"Sí","No")</x:f>
        <x:v>No</x:v>
      </x:c>
      <x:c r="O2898" s="25" t="str">
        <x:v>Pendiente: asignar con R/sf</x:v>
      </x:c>
    </x:row>
    <x:row r="2899">
      <x:c r="A2899" s="25" t="n">
        <x:v>2898</x:v>
      </x:c>
      <x:c r="B2899" s="26" t="n">
        <x:v>42853.67969907408</x:v>
      </x:c>
      <x:c r="C2899" s="27" t="n">
        <x:f>INT(B2899)</x:f>
        <x:v>42853</x:v>
      </x:c>
      <x:c r="D2899" s="28" t="n">
        <x:f>MOD(B2899,1)</x:f>
        <x:v>0.6796990740767797</x:v>
      </x:c>
      <x:c r="E2899" s="29" t="n">
        <x:f>YEAR(B2899)</x:f>
        <x:v>2017</x:v>
      </x:c>
      <x:c r="F2899" s="29" t="n">
        <x:f>MONTH(B2899)</x:f>
        <x:v>4</x:v>
      </x:c>
      <x:c r="G2899" s="30" t="n">
        <x:v>-33.24</x:v>
      </x:c>
      <x:c r="H2899" s="30" t="n">
        <x:v>-71.9</x:v>
      </x:c>
      <x:c r="I2899" s="29" t="n">
        <x:v>30</x:v>
      </x:c>
      <x:c r="J2899" s="31" t="n">
        <x:v>4</x:v>
      </x:c>
      <x:c r="K2899" s="25" t="str">
        <x:f>IF(J2899&gt;=7,"Muy fuerte (&gt;=7)",IF(J2899&gt;=6,"Fuerte (6-6.9)",IF(J2899&gt;=5,"Moderado alto (5-5.9)",IF(J2899&gt;=4,"Moderado (4-4.9)","Menor a 4"))))</x:f>
        <x:v>Moderado (4-4.9)</x:v>
      </x:c>
      <x:c r="L2899" s="25" t="str">
        <x:f>IF(I2899&lt;70,"Superficial (&lt;70 km)",IF(I2899&lt;=300,"Intermedio (70-300 km)","Profundo (&gt;300 km)"))</x:f>
        <x:v>Superficial (&lt;70 km)</x:v>
      </x:c>
      <x:c r="M2899" s="25" t="str">
        <x:f>IF(J2899&gt;=5,"Sí","No")</x:f>
        <x:v>No</x:v>
      </x:c>
      <x:c r="N2899" s="25" t="str">
        <x:f>IF(J2899&gt;=6,"Sí","No")</x:f>
        <x:v>No</x:v>
      </x:c>
      <x:c r="O2899" s="25" t="str">
        <x:v>Pendiente: asignar con R/sf</x:v>
      </x:c>
    </x:row>
    <x:row r="2900">
      <x:c r="A2900" s="25" t="n">
        <x:v>2899</x:v>
      </x:c>
      <x:c r="B2900" s="26" t="n">
        <x:v>42817.35628472222</x:v>
      </x:c>
      <x:c r="C2900" s="27" t="n">
        <x:f>INT(B2900)</x:f>
        <x:v>42817</x:v>
      </x:c>
      <x:c r="D2900" s="28" t="n">
        <x:f>MOD(B2900,1)</x:f>
        <x:v>0.3562847222201526</x:v>
      </x:c>
      <x:c r="E2900" s="29" t="n">
        <x:f>YEAR(B2900)</x:f>
        <x:v>2017</x:v>
      </x:c>
      <x:c r="F2900" s="29" t="n">
        <x:f>MONTH(B2900)</x:f>
        <x:v>3</x:v>
      </x:c>
      <x:c r="G2900" s="30" t="n">
        <x:v>-20.83</x:v>
      </x:c>
      <x:c r="H2900" s="30" t="n">
        <x:v>-69.02</x:v>
      </x:c>
      <x:c r="I2900" s="29" t="n">
        <x:v>105</x:v>
      </x:c>
      <x:c r="J2900" s="31" t="n">
        <x:v>4</x:v>
      </x:c>
      <x:c r="K2900" s="25" t="str">
        <x:f>IF(J2900&gt;=7,"Muy fuerte (&gt;=7)",IF(J2900&gt;=6,"Fuerte (6-6.9)",IF(J2900&gt;=5,"Moderado alto (5-5.9)",IF(J2900&gt;=4,"Moderado (4-4.9)","Menor a 4"))))</x:f>
        <x:v>Moderado (4-4.9)</x:v>
      </x:c>
      <x:c r="L2900" s="25" t="str">
        <x:f>IF(I2900&lt;70,"Superficial (&lt;70 km)",IF(I2900&lt;=300,"Intermedio (70-300 km)","Profundo (&gt;300 km)"))</x:f>
        <x:v>Intermedio (70-300 km)</x:v>
      </x:c>
      <x:c r="M2900" s="25" t="str">
        <x:f>IF(J2900&gt;=5,"Sí","No")</x:f>
        <x:v>No</x:v>
      </x:c>
      <x:c r="N2900" s="25" t="str">
        <x:f>IF(J2900&gt;=6,"Sí","No")</x:f>
        <x:v>No</x:v>
      </x:c>
      <x:c r="O2900" s="25" t="str">
        <x:v>Pendiente: asignar con R/sf</x:v>
      </x:c>
    </x:row>
    <x:row r="2901">
      <x:c r="A2901" s="25" t="n">
        <x:v>2900</x:v>
      </x:c>
      <x:c r="B2901" s="26" t="n">
        <x:v>42918.730671296296</x:v>
      </x:c>
      <x:c r="C2901" s="27" t="n">
        <x:f>INT(B2901)</x:f>
        <x:v>42918</x:v>
      </x:c>
      <x:c r="D2901" s="28" t="n">
        <x:f>MOD(B2901,1)</x:f>
        <x:v>0.7306712962963502</x:v>
      </x:c>
      <x:c r="E2901" s="29" t="n">
        <x:f>YEAR(B2901)</x:f>
        <x:v>2017</x:v>
      </x:c>
      <x:c r="F2901" s="29" t="n">
        <x:f>MONTH(B2901)</x:f>
        <x:v>7</x:v>
      </x:c>
      <x:c r="G2901" s="30" t="n">
        <x:v>-19.23</x:v>
      </x:c>
      <x:c r="H2901" s="30" t="n">
        <x:v>-70.17</x:v>
      </x:c>
      <x:c r="I2901" s="29" t="n">
        <x:v>49</x:v>
      </x:c>
      <x:c r="J2901" s="31" t="n">
        <x:v>4.1</x:v>
      </x:c>
      <x:c r="K2901" s="25" t="str">
        <x:f>IF(J2901&gt;=7,"Muy fuerte (&gt;=7)",IF(J2901&gt;=6,"Fuerte (6-6.9)",IF(J2901&gt;=5,"Moderado alto (5-5.9)",IF(J2901&gt;=4,"Moderado (4-4.9)","Menor a 4"))))</x:f>
        <x:v>Moderado (4-4.9)</x:v>
      </x:c>
      <x:c r="L2901" s="25" t="str">
        <x:f>IF(I2901&lt;70,"Superficial (&lt;70 km)",IF(I2901&lt;=300,"Intermedio (70-300 km)","Profundo (&gt;300 km)"))</x:f>
        <x:v>Superficial (&lt;70 km)</x:v>
      </x:c>
      <x:c r="M2901" s="25" t="str">
        <x:f>IF(J2901&gt;=5,"Sí","No")</x:f>
        <x:v>No</x:v>
      </x:c>
      <x:c r="N2901" s="25" t="str">
        <x:f>IF(J2901&gt;=6,"Sí","No")</x:f>
        <x:v>No</x:v>
      </x:c>
      <x:c r="O2901" s="25" t="str">
        <x:v>Pendiente: asignar con R/sf</x:v>
      </x:c>
    </x:row>
    <x:row r="2902">
      <x:c r="A2902" s="25" t="n">
        <x:v>2901</x:v>
      </x:c>
      <x:c r="B2902" s="26" t="n">
        <x:v>42849.90692129629</x:v>
      </x:c>
      <x:c r="C2902" s="27" t="n">
        <x:f>INT(B2902)</x:f>
        <x:v>42849</x:v>
      </x:c>
      <x:c r="D2902" s="28" t="n">
        <x:f>MOD(B2902,1)</x:f>
        <x:v>0.9069212962931488</x:v>
      </x:c>
      <x:c r="E2902" s="29" t="n">
        <x:f>YEAR(B2902)</x:f>
        <x:v>2017</x:v>
      </x:c>
      <x:c r="F2902" s="29" t="n">
        <x:f>MONTH(B2902)</x:f>
        <x:v>4</x:v>
      </x:c>
      <x:c r="G2902" s="30" t="n">
        <x:v>-32.42</x:v>
      </x:c>
      <x:c r="H2902" s="30" t="n">
        <x:v>-72.66</x:v>
      </x:c>
      <x:c r="I2902" s="29" t="n">
        <x:v>26</x:v>
      </x:c>
      <x:c r="J2902" s="31" t="n">
        <x:v>5.5</x:v>
      </x:c>
      <x:c r="K2902" s="25" t="str">
        <x:f>IF(J2902&gt;=7,"Muy fuerte (&gt;=7)",IF(J2902&gt;=6,"Fuerte (6-6.9)",IF(J2902&gt;=5,"Moderado alto (5-5.9)",IF(J2902&gt;=4,"Moderado (4-4.9)","Menor a 4"))))</x:f>
        <x:v>Moderado alto (5-5.9)</x:v>
      </x:c>
      <x:c r="L2902" s="25" t="str">
        <x:f>IF(I2902&lt;70,"Superficial (&lt;70 km)",IF(I2902&lt;=300,"Intermedio (70-300 km)","Profundo (&gt;300 km)"))</x:f>
        <x:v>Superficial (&lt;70 km)</x:v>
      </x:c>
      <x:c r="M2902" s="25" t="str">
        <x:f>IF(J2902&gt;=5,"Sí","No")</x:f>
        <x:v>Sí</x:v>
      </x:c>
      <x:c r="N2902" s="25" t="str">
        <x:f>IF(J2902&gt;=6,"Sí","No")</x:f>
        <x:v>No</x:v>
      </x:c>
      <x:c r="O2902" s="25" t="str">
        <x:v>Pendiente: asignar con R/sf</x:v>
      </x:c>
    </x:row>
    <x:row r="2903">
      <x:c r="A2903" s="25" t="n">
        <x:v>2902</x:v>
      </x:c>
      <x:c r="B2903" s="26" t="n">
        <x:v>42906.832766203705</x:v>
      </x:c>
      <x:c r="C2903" s="27" t="n">
        <x:f>INT(B2903)</x:f>
        <x:v>42906</x:v>
      </x:c>
      <x:c r="D2903" s="28" t="n">
        <x:f>MOD(B2903,1)</x:f>
        <x:v>0.8327662037045229</x:v>
      </x:c>
      <x:c r="E2903" s="29" t="n">
        <x:f>YEAR(B2903)</x:f>
        <x:v>2017</x:v>
      </x:c>
      <x:c r="F2903" s="29" t="n">
        <x:f>MONTH(B2903)</x:f>
        <x:v>6</x:v>
      </x:c>
      <x:c r="G2903" s="30" t="n">
        <x:v>-20.66</x:v>
      </x:c>
      <x:c r="H2903" s="30" t="n">
        <x:v>-69.83</x:v>
      </x:c>
      <x:c r="I2903" s="29" t="n">
        <x:v>57</x:v>
      </x:c>
      <x:c r="J2903" s="31" t="n">
        <x:v>4.2</x:v>
      </x:c>
      <x:c r="K2903" s="25" t="str">
        <x:f>IF(J2903&gt;=7,"Muy fuerte (&gt;=7)",IF(J2903&gt;=6,"Fuerte (6-6.9)",IF(J2903&gt;=5,"Moderado alto (5-5.9)",IF(J2903&gt;=4,"Moderado (4-4.9)","Menor a 4"))))</x:f>
        <x:v>Moderado (4-4.9)</x:v>
      </x:c>
      <x:c r="L2903" s="25" t="str">
        <x:f>IF(I2903&lt;70,"Superficial (&lt;70 km)",IF(I2903&lt;=300,"Intermedio (70-300 km)","Profundo (&gt;300 km)"))</x:f>
        <x:v>Superficial (&lt;70 km)</x:v>
      </x:c>
      <x:c r="M2903" s="25" t="str">
        <x:f>IF(J2903&gt;=5,"Sí","No")</x:f>
        <x:v>No</x:v>
      </x:c>
      <x:c r="N2903" s="25" t="str">
        <x:f>IF(J2903&gt;=6,"Sí","No")</x:f>
        <x:v>No</x:v>
      </x:c>
      <x:c r="O2903" s="25" t="str">
        <x:v>Pendiente: asignar con R/sf</x:v>
      </x:c>
    </x:row>
    <x:row r="2904">
      <x:c r="A2904" s="25" t="n">
        <x:v>2903</x:v>
      </x:c>
      <x:c r="B2904" s="26" t="n">
        <x:v>42747.53965277778</x:v>
      </x:c>
      <x:c r="C2904" s="27" t="n">
        <x:f>INT(B2904)</x:f>
        <x:v>42747</x:v>
      </x:c>
      <x:c r="D2904" s="28" t="n">
        <x:f>MOD(B2904,1)</x:f>
        <x:v>0.5396527777775191</x:v>
      </x:c>
      <x:c r="E2904" s="29" t="n">
        <x:f>YEAR(B2904)</x:f>
        <x:v>2017</x:v>
      </x:c>
      <x:c r="F2904" s="29" t="n">
        <x:f>MONTH(B2904)</x:f>
        <x:v>1</x:v>
      </x:c>
      <x:c r="G2904" s="30" t="n">
        <x:v>-33.68</x:v>
      </x:c>
      <x:c r="H2904" s="30" t="n">
        <x:v>-70.53</x:v>
      </x:c>
      <x:c r="I2904" s="29" t="n">
        <x:v>97</x:v>
      </x:c>
      <x:c r="J2904" s="31" t="n">
        <x:v>4.1</x:v>
      </x:c>
      <x:c r="K2904" s="25" t="str">
        <x:f>IF(J2904&gt;=7,"Muy fuerte (&gt;=7)",IF(J2904&gt;=6,"Fuerte (6-6.9)",IF(J2904&gt;=5,"Moderado alto (5-5.9)",IF(J2904&gt;=4,"Moderado (4-4.9)","Menor a 4"))))</x:f>
        <x:v>Moderado (4-4.9)</x:v>
      </x:c>
      <x:c r="L2904" s="25" t="str">
        <x:f>IF(I2904&lt;70,"Superficial (&lt;70 km)",IF(I2904&lt;=300,"Intermedio (70-300 km)","Profundo (&gt;300 km)"))</x:f>
        <x:v>Intermedio (70-300 km)</x:v>
      </x:c>
      <x:c r="M2904" s="25" t="str">
        <x:f>IF(J2904&gt;=5,"Sí","No")</x:f>
        <x:v>No</x:v>
      </x:c>
      <x:c r="N2904" s="25" t="str">
        <x:f>IF(J2904&gt;=6,"Sí","No")</x:f>
        <x:v>No</x:v>
      </x:c>
      <x:c r="O2904" s="25" t="str">
        <x:v>Pendiente: asignar con R/sf</x:v>
      </x:c>
    </x:row>
    <x:row r="2905">
      <x:c r="A2905" s="25" t="n">
        <x:v>2904</x:v>
      </x:c>
      <x:c r="B2905" s="26" t="n">
        <x:v>43062.582453703704</x:v>
      </x:c>
      <x:c r="C2905" s="27" t="n">
        <x:f>INT(B2905)</x:f>
        <x:v>43062</x:v>
      </x:c>
      <x:c r="D2905" s="28" t="n">
        <x:f>MOD(B2905,1)</x:f>
        <x:v>0.5824537037042319</x:v>
      </x:c>
      <x:c r="E2905" s="29" t="n">
        <x:f>YEAR(B2905)</x:f>
        <x:v>2017</x:v>
      </x:c>
      <x:c r="F2905" s="29" t="n">
        <x:f>MONTH(B2905)</x:f>
        <x:v>11</x:v>
      </x:c>
      <x:c r="G2905" s="30" t="n">
        <x:v>-21.25</x:v>
      </x:c>
      <x:c r="H2905" s="30" t="n">
        <x:v>-68.42</x:v>
      </x:c>
      <x:c r="I2905" s="29" t="n">
        <x:v>124</x:v>
      </x:c>
      <x:c r="J2905" s="31" t="n">
        <x:v>4.3</x:v>
      </x:c>
      <x:c r="K2905" s="25" t="str">
        <x:f>IF(J2905&gt;=7,"Muy fuerte (&gt;=7)",IF(J2905&gt;=6,"Fuerte (6-6.9)",IF(J2905&gt;=5,"Moderado alto (5-5.9)",IF(J2905&gt;=4,"Moderado (4-4.9)","Menor a 4"))))</x:f>
        <x:v>Moderado (4-4.9)</x:v>
      </x:c>
      <x:c r="L2905" s="25" t="str">
        <x:f>IF(I2905&lt;70,"Superficial (&lt;70 km)",IF(I2905&lt;=300,"Intermedio (70-300 km)","Profundo (&gt;300 km)"))</x:f>
        <x:v>Intermedio (70-300 km)</x:v>
      </x:c>
      <x:c r="M2905" s="25" t="str">
        <x:f>IF(J2905&gt;=5,"Sí","No")</x:f>
        <x:v>No</x:v>
      </x:c>
      <x:c r="N2905" s="25" t="str">
        <x:f>IF(J2905&gt;=6,"Sí","No")</x:f>
        <x:v>No</x:v>
      </x:c>
      <x:c r="O2905" s="25" t="str">
        <x:v>Pendiente: asignar con R/sf</x:v>
      </x:c>
    </x:row>
    <x:row r="2906">
      <x:c r="A2906" s="25" t="n">
        <x:v>2905</x:v>
      </x:c>
      <x:c r="B2906" s="26" t="n">
        <x:v>43005.37577546296</x:v>
      </x:c>
      <x:c r="C2906" s="27" t="n">
        <x:f>INT(B2906)</x:f>
        <x:v>43005</x:v>
      </x:c>
      <x:c r="D2906" s="28" t="n">
        <x:f>MOD(B2906,1)</x:f>
        <x:v>0.37577546296233777</x:v>
      </x:c>
      <x:c r="E2906" s="29" t="n">
        <x:f>YEAR(B2906)</x:f>
        <x:v>2017</x:v>
      </x:c>
      <x:c r="F2906" s="29" t="n">
        <x:f>MONTH(B2906)</x:f>
        <x:v>9</x:v>
      </x:c>
      <x:c r="G2906" s="30" t="n">
        <x:v>-29.43</x:v>
      </x:c>
      <x:c r="H2906" s="30" t="n">
        <x:v>-71.27</x:v>
      </x:c>
      <x:c r="I2906" s="29" t="n">
        <x:v>40</x:v>
      </x:c>
      <x:c r="J2906" s="31" t="n">
        <x:v>4.1</x:v>
      </x:c>
      <x:c r="K2906" s="25" t="str">
        <x:f>IF(J2906&gt;=7,"Muy fuerte (&gt;=7)",IF(J2906&gt;=6,"Fuerte (6-6.9)",IF(J2906&gt;=5,"Moderado alto (5-5.9)",IF(J2906&gt;=4,"Moderado (4-4.9)","Menor a 4"))))</x:f>
        <x:v>Moderado (4-4.9)</x:v>
      </x:c>
      <x:c r="L2906" s="25" t="str">
        <x:f>IF(I2906&lt;70,"Superficial (&lt;70 km)",IF(I2906&lt;=300,"Intermedio (70-300 km)","Profundo (&gt;300 km)"))</x:f>
        <x:v>Superficial (&lt;70 km)</x:v>
      </x:c>
      <x:c r="M2906" s="25" t="str">
        <x:f>IF(J2906&gt;=5,"Sí","No")</x:f>
        <x:v>No</x:v>
      </x:c>
      <x:c r="N2906" s="25" t="str">
        <x:f>IF(J2906&gt;=6,"Sí","No")</x:f>
        <x:v>No</x:v>
      </x:c>
      <x:c r="O2906" s="25" t="str">
        <x:v>Pendiente: asignar con R/sf</x:v>
      </x:c>
    </x:row>
    <x:row r="2907">
      <x:c r="A2907" s="25" t="n">
        <x:v>2906</x:v>
      </x:c>
      <x:c r="B2907" s="26" t="n">
        <x:v>42957.52988425926</x:v>
      </x:c>
      <x:c r="C2907" s="27" t="n">
        <x:f>INT(B2907)</x:f>
        <x:v>42957</x:v>
      </x:c>
      <x:c r="D2907" s="28" t="n">
        <x:f>MOD(B2907,1)</x:f>
        <x:v>0.5298842592601432</x:v>
      </x:c>
      <x:c r="E2907" s="29" t="n">
        <x:f>YEAR(B2907)</x:f>
        <x:v>2017</x:v>
      </x:c>
      <x:c r="F2907" s="29" t="n">
        <x:f>MONTH(B2907)</x:f>
        <x:v>8</x:v>
      </x:c>
      <x:c r="G2907" s="30" t="n">
        <x:v>-20.79</x:v>
      </x:c>
      <x:c r="H2907" s="30" t="n">
        <x:v>-68.93</x:v>
      </x:c>
      <x:c r="I2907" s="29" t="n">
        <x:v>102</x:v>
      </x:c>
      <x:c r="J2907" s="31" t="n">
        <x:v>4</x:v>
      </x:c>
      <x:c r="K2907" s="25" t="str">
        <x:f>IF(J2907&gt;=7,"Muy fuerte (&gt;=7)",IF(J2907&gt;=6,"Fuerte (6-6.9)",IF(J2907&gt;=5,"Moderado alto (5-5.9)",IF(J2907&gt;=4,"Moderado (4-4.9)","Menor a 4"))))</x:f>
        <x:v>Moderado (4-4.9)</x:v>
      </x:c>
      <x:c r="L2907" s="25" t="str">
        <x:f>IF(I2907&lt;70,"Superficial (&lt;70 km)",IF(I2907&lt;=300,"Intermedio (70-300 km)","Profundo (&gt;300 km)"))</x:f>
        <x:v>Intermedio (70-300 km)</x:v>
      </x:c>
      <x:c r="M2907" s="25" t="str">
        <x:f>IF(J2907&gt;=5,"Sí","No")</x:f>
        <x:v>No</x:v>
      </x:c>
      <x:c r="N2907" s="25" t="str">
        <x:f>IF(J2907&gt;=6,"Sí","No")</x:f>
        <x:v>No</x:v>
      </x:c>
      <x:c r="O2907" s="25" t="str">
        <x:v>Pendiente: asignar con R/sf</x:v>
      </x:c>
    </x:row>
    <x:row r="2908">
      <x:c r="A2908" s="25" t="n">
        <x:v>2907</x:v>
      </x:c>
      <x:c r="B2908" s="26" t="n">
        <x:v>43089.25576388889</x:v>
      </x:c>
      <x:c r="C2908" s="27" t="n">
        <x:f>INT(B2908)</x:f>
        <x:v>43089</x:v>
      </x:c>
      <x:c r="D2908" s="28" t="n">
        <x:f>MOD(B2908,1)</x:f>
        <x:v>0.25576388889021473</x:v>
      </x:c>
      <x:c r="E2908" s="29" t="n">
        <x:f>YEAR(B2908)</x:f>
        <x:v>2017</x:v>
      </x:c>
      <x:c r="F2908" s="29" t="n">
        <x:f>MONTH(B2908)</x:f>
        <x:v>12</x:v>
      </x:c>
      <x:c r="G2908" s="30" t="n">
        <x:v>-32.49</x:v>
      </x:c>
      <x:c r="H2908" s="30" t="n">
        <x:v>-71.71</x:v>
      </x:c>
      <x:c r="I2908" s="29" t="n">
        <x:v>33</x:v>
      </x:c>
      <x:c r="J2908" s="31" t="n">
        <x:v>4.3</x:v>
      </x:c>
      <x:c r="K2908" s="25" t="str">
        <x:f>IF(J2908&gt;=7,"Muy fuerte (&gt;=7)",IF(J2908&gt;=6,"Fuerte (6-6.9)",IF(J2908&gt;=5,"Moderado alto (5-5.9)",IF(J2908&gt;=4,"Moderado (4-4.9)","Menor a 4"))))</x:f>
        <x:v>Moderado (4-4.9)</x:v>
      </x:c>
      <x:c r="L2908" s="25" t="str">
        <x:f>IF(I2908&lt;70,"Superficial (&lt;70 km)",IF(I2908&lt;=300,"Intermedio (70-300 km)","Profundo (&gt;300 km)"))</x:f>
        <x:v>Superficial (&lt;70 km)</x:v>
      </x:c>
      <x:c r="M2908" s="25" t="str">
        <x:f>IF(J2908&gt;=5,"Sí","No")</x:f>
        <x:v>No</x:v>
      </x:c>
      <x:c r="N2908" s="25" t="str">
        <x:f>IF(J2908&gt;=6,"Sí","No")</x:f>
        <x:v>No</x:v>
      </x:c>
      <x:c r="O2908" s="25" t="str">
        <x:v>Pendiente: asignar con R/sf</x:v>
      </x:c>
    </x:row>
    <x:row r="2909">
      <x:c r="A2909" s="25" t="n">
        <x:v>2908</x:v>
      </x:c>
      <x:c r="B2909" s="26" t="n">
        <x:v>42968.50166666666</x:v>
      </x:c>
      <x:c r="C2909" s="27" t="n">
        <x:f>INT(B2909)</x:f>
        <x:v>42968</x:v>
      </x:c>
      <x:c r="D2909" s="28" t="n">
        <x:f>MOD(B2909,1)</x:f>
        <x:v>0.5016666666633682</x:v>
      </x:c>
      <x:c r="E2909" s="29" t="n">
        <x:f>YEAR(B2909)</x:f>
        <x:v>2017</x:v>
      </x:c>
      <x:c r="F2909" s="29" t="n">
        <x:f>MONTH(B2909)</x:f>
        <x:v>8</x:v>
      </x:c>
      <x:c r="G2909" s="30" t="n">
        <x:v>-33.14</x:v>
      </x:c>
      <x:c r="H2909" s="30" t="n">
        <x:v>-70.34</x:v>
      </x:c>
      <x:c r="I2909" s="29" t="n">
        <x:v>98</x:v>
      </x:c>
      <x:c r="J2909" s="31" t="n">
        <x:v>4.7</x:v>
      </x:c>
      <x:c r="K2909" s="25" t="str">
        <x:f>IF(J2909&gt;=7,"Muy fuerte (&gt;=7)",IF(J2909&gt;=6,"Fuerte (6-6.9)",IF(J2909&gt;=5,"Moderado alto (5-5.9)",IF(J2909&gt;=4,"Moderado (4-4.9)","Menor a 4"))))</x:f>
        <x:v>Moderado (4-4.9)</x:v>
      </x:c>
      <x:c r="L2909" s="25" t="str">
        <x:f>IF(I2909&lt;70,"Superficial (&lt;70 km)",IF(I2909&lt;=300,"Intermedio (70-300 km)","Profundo (&gt;300 km)"))</x:f>
        <x:v>Intermedio (70-300 km)</x:v>
      </x:c>
      <x:c r="M2909" s="25" t="str">
        <x:f>IF(J2909&gt;=5,"Sí","No")</x:f>
        <x:v>No</x:v>
      </x:c>
      <x:c r="N2909" s="25" t="str">
        <x:f>IF(J2909&gt;=6,"Sí","No")</x:f>
        <x:v>No</x:v>
      </x:c>
      <x:c r="O2909" s="25" t="str">
        <x:v>Pendiente: asignar con R/sf</x:v>
      </x:c>
    </x:row>
    <x:row r="2910">
      <x:c r="A2910" s="25" t="n">
        <x:v>2909</x:v>
      </x:c>
      <x:c r="B2910" s="26" t="n">
        <x:v>42825.79877314815</x:v>
      </x:c>
      <x:c r="C2910" s="27" t="n">
        <x:f>INT(B2910)</x:f>
        <x:v>42825</x:v>
      </x:c>
      <x:c r="D2910" s="28" t="n">
        <x:f>MOD(B2910,1)</x:f>
        <x:v>0.7987731481480296</x:v>
      </x:c>
      <x:c r="E2910" s="29" t="n">
        <x:f>YEAR(B2910)</x:f>
        <x:v>2017</x:v>
      </x:c>
      <x:c r="F2910" s="29" t="n">
        <x:f>MONTH(B2910)</x:f>
        <x:v>3</x:v>
      </x:c>
      <x:c r="G2910" s="30" t="n">
        <x:v>-30.77</x:v>
      </x:c>
      <x:c r="H2910" s="30" t="n">
        <x:v>-71.4</x:v>
      </x:c>
      <x:c r="I2910" s="29" t="n">
        <x:v>47</x:v>
      </x:c>
      <x:c r="J2910" s="31" t="n">
        <x:v>4.2</x:v>
      </x:c>
      <x:c r="K2910" s="25" t="str">
        <x:f>IF(J2910&gt;=7,"Muy fuerte (&gt;=7)",IF(J2910&gt;=6,"Fuerte (6-6.9)",IF(J2910&gt;=5,"Moderado alto (5-5.9)",IF(J2910&gt;=4,"Moderado (4-4.9)","Menor a 4"))))</x:f>
        <x:v>Moderado (4-4.9)</x:v>
      </x:c>
      <x:c r="L2910" s="25" t="str">
        <x:f>IF(I2910&lt;70,"Superficial (&lt;70 km)",IF(I2910&lt;=300,"Intermedio (70-300 km)","Profundo (&gt;300 km)"))</x:f>
        <x:v>Superficial (&lt;70 km)</x:v>
      </x:c>
      <x:c r="M2910" s="25" t="str">
        <x:f>IF(J2910&gt;=5,"Sí","No")</x:f>
        <x:v>No</x:v>
      </x:c>
      <x:c r="N2910" s="25" t="str">
        <x:f>IF(J2910&gt;=6,"Sí","No")</x:f>
        <x:v>No</x:v>
      </x:c>
      <x:c r="O2910" s="25" t="str">
        <x:v>Pendiente: asignar con R/sf</x:v>
      </x:c>
    </x:row>
    <x:row r="2911">
      <x:c r="A2911" s="25" t="n">
        <x:v>2910</x:v>
      </x:c>
      <x:c r="B2911" s="26" t="n">
        <x:v>42956.07403935185</x:v>
      </x:c>
      <x:c r="C2911" s="27" t="n">
        <x:f>INT(B2911)</x:f>
        <x:v>42956</x:v>
      </x:c>
      <x:c r="D2911" s="28" t="n">
        <x:f>MOD(B2911,1)</x:f>
        <x:v>0.07403935184993315</x:v>
      </x:c>
      <x:c r="E2911" s="29" t="n">
        <x:f>YEAR(B2911)</x:f>
        <x:v>2017</x:v>
      </x:c>
      <x:c r="F2911" s="29" t="n">
        <x:f>MONTH(B2911)</x:f>
        <x:v>8</x:v>
      </x:c>
      <x:c r="G2911" s="30" t="n">
        <x:v>-35.12</x:v>
      </x:c>
      <x:c r="H2911" s="30" t="n">
        <x:v>-71.86</x:v>
      </x:c>
      <x:c r="I2911" s="29" t="n">
        <x:v>48</x:v>
      </x:c>
      <x:c r="J2911" s="31" t="n">
        <x:v>4.8</x:v>
      </x:c>
      <x:c r="K2911" s="25" t="str">
        <x:f>IF(J2911&gt;=7,"Muy fuerte (&gt;=7)",IF(J2911&gt;=6,"Fuerte (6-6.9)",IF(J2911&gt;=5,"Moderado alto (5-5.9)",IF(J2911&gt;=4,"Moderado (4-4.9)","Menor a 4"))))</x:f>
        <x:v>Moderado (4-4.9)</x:v>
      </x:c>
      <x:c r="L2911" s="25" t="str">
        <x:f>IF(I2911&lt;70,"Superficial (&lt;70 km)",IF(I2911&lt;=300,"Intermedio (70-300 km)","Profundo (&gt;300 km)"))</x:f>
        <x:v>Superficial (&lt;70 km)</x:v>
      </x:c>
      <x:c r="M2911" s="25" t="str">
        <x:f>IF(J2911&gt;=5,"Sí","No")</x:f>
        <x:v>No</x:v>
      </x:c>
      <x:c r="N2911" s="25" t="str">
        <x:f>IF(J2911&gt;=6,"Sí","No")</x:f>
        <x:v>No</x:v>
      </x:c>
      <x:c r="O2911" s="25" t="str">
        <x:v>Pendiente: asignar con R/sf</x:v>
      </x:c>
    </x:row>
    <x:row r="2912">
      <x:c r="A2912" s="25" t="n">
        <x:v>2911</x:v>
      </x:c>
      <x:c r="B2912" s="26" t="n">
        <x:v>42849.915659722225</x:v>
      </x:c>
      <x:c r="C2912" s="27" t="n">
        <x:f>INT(B2912)</x:f>
        <x:v>42849</x:v>
      </x:c>
      <x:c r="D2912" s="28" t="n">
        <x:f>MOD(B2912,1)</x:f>
        <x:v>0.9156597222245182</x:v>
      </x:c>
      <x:c r="E2912" s="29" t="n">
        <x:f>YEAR(B2912)</x:f>
        <x:v>2017</x:v>
      </x:c>
      <x:c r="F2912" s="29" t="n">
        <x:f>MONTH(B2912)</x:f>
        <x:v>4</x:v>
      </x:c>
      <x:c r="G2912" s="30" t="n">
        <x:v>-33.16</x:v>
      </x:c>
      <x:c r="H2912" s="30" t="n">
        <x:v>-71.92</x:v>
      </x:c>
      <x:c r="I2912" s="29" t="n">
        <x:v>29</x:v>
      </x:c>
      <x:c r="J2912" s="31" t="n">
        <x:v>4.5</x:v>
      </x:c>
      <x:c r="K2912" s="25" t="str">
        <x:f>IF(J2912&gt;=7,"Muy fuerte (&gt;=7)",IF(J2912&gt;=6,"Fuerte (6-6.9)",IF(J2912&gt;=5,"Moderado alto (5-5.9)",IF(J2912&gt;=4,"Moderado (4-4.9)","Menor a 4"))))</x:f>
        <x:v>Moderado (4-4.9)</x:v>
      </x:c>
      <x:c r="L2912" s="25" t="str">
        <x:f>IF(I2912&lt;70,"Superficial (&lt;70 km)",IF(I2912&lt;=300,"Intermedio (70-300 km)","Profundo (&gt;300 km)"))</x:f>
        <x:v>Superficial (&lt;70 km)</x:v>
      </x:c>
      <x:c r="M2912" s="25" t="str">
        <x:f>IF(J2912&gt;=5,"Sí","No")</x:f>
        <x:v>No</x:v>
      </x:c>
      <x:c r="N2912" s="25" t="str">
        <x:f>IF(J2912&gt;=6,"Sí","No")</x:f>
        <x:v>No</x:v>
      </x:c>
      <x:c r="O2912" s="25" t="str">
        <x:v>Pendiente: asignar con R/sf</x:v>
      </x:c>
    </x:row>
    <x:row r="2913">
      <x:c r="A2913" s="25" t="n">
        <x:v>2912</x:v>
      </x:c>
      <x:c r="B2913" s="26" t="n">
        <x:v>42853.66459490741</x:v>
      </x:c>
      <x:c r="C2913" s="27" t="n">
        <x:f>INT(B2913)</x:f>
        <x:v>42853</x:v>
      </x:c>
      <x:c r="D2913" s="28" t="n">
        <x:f>MOD(B2913,1)</x:f>
        <x:v>0.6645949074081727</x:v>
      </x:c>
      <x:c r="E2913" s="29" t="n">
        <x:f>YEAR(B2913)</x:f>
        <x:v>2017</x:v>
      </x:c>
      <x:c r="F2913" s="29" t="n">
        <x:f>MONTH(B2913)</x:f>
        <x:v>4</x:v>
      </x:c>
      <x:c r="G2913" s="30" t="n">
        <x:v>-33.28</x:v>
      </x:c>
      <x:c r="H2913" s="30" t="n">
        <x:v>-71.97</x:v>
      </x:c>
      <x:c r="I2913" s="29" t="n">
        <x:v>28</x:v>
      </x:c>
      <x:c r="J2913" s="31" t="n">
        <x:v>4.3</x:v>
      </x:c>
      <x:c r="K2913" s="25" t="str">
        <x:f>IF(J2913&gt;=7,"Muy fuerte (&gt;=7)",IF(J2913&gt;=6,"Fuerte (6-6.9)",IF(J2913&gt;=5,"Moderado alto (5-5.9)",IF(J2913&gt;=4,"Moderado (4-4.9)","Menor a 4"))))</x:f>
        <x:v>Moderado (4-4.9)</x:v>
      </x:c>
      <x:c r="L2913" s="25" t="str">
        <x:f>IF(I2913&lt;70,"Superficial (&lt;70 km)",IF(I2913&lt;=300,"Intermedio (70-300 km)","Profundo (&gt;300 km)"))</x:f>
        <x:v>Superficial (&lt;70 km)</x:v>
      </x:c>
      <x:c r="M2913" s="25" t="str">
        <x:f>IF(J2913&gt;=5,"Sí","No")</x:f>
        <x:v>No</x:v>
      </x:c>
      <x:c r="N2913" s="25" t="str">
        <x:f>IF(J2913&gt;=6,"Sí","No")</x:f>
        <x:v>No</x:v>
      </x:c>
      <x:c r="O2913" s="25" t="str">
        <x:v>Pendiente: asignar con R/sf</x:v>
      </x:c>
    </x:row>
    <x:row r="2914">
      <x:c r="A2914" s="25" t="n">
        <x:v>2913</x:v>
      </x:c>
      <x:c r="B2914" s="26" t="n">
        <x:v>43001.918078703704</x:v>
      </x:c>
      <x:c r="C2914" s="27" t="n">
        <x:f>INT(B2914)</x:f>
        <x:v>43001</x:v>
      </x:c>
      <x:c r="D2914" s="28" t="n">
        <x:f>MOD(B2914,1)</x:f>
        <x:v>0.9180787037039408</x:v>
      </x:c>
      <x:c r="E2914" s="29" t="n">
        <x:f>YEAR(B2914)</x:f>
        <x:v>2017</x:v>
      </x:c>
      <x:c r="F2914" s="29" t="n">
        <x:f>MONTH(B2914)</x:f>
        <x:v>9</x:v>
      </x:c>
      <x:c r="G2914" s="30" t="n">
        <x:v>-33.78</x:v>
      </x:c>
      <x:c r="H2914" s="30" t="n">
        <x:v>-71.5</x:v>
      </x:c>
      <x:c r="I2914" s="29" t="n">
        <x:v>52</x:v>
      </x:c>
      <x:c r="J2914" s="31" t="n">
        <x:v>4.9</x:v>
      </x:c>
      <x:c r="K2914" s="25" t="str">
        <x:f>IF(J2914&gt;=7,"Muy fuerte (&gt;=7)",IF(J2914&gt;=6,"Fuerte (6-6.9)",IF(J2914&gt;=5,"Moderado alto (5-5.9)",IF(J2914&gt;=4,"Moderado (4-4.9)","Menor a 4"))))</x:f>
        <x:v>Moderado (4-4.9)</x:v>
      </x:c>
      <x:c r="L2914" s="25" t="str">
        <x:f>IF(I2914&lt;70,"Superficial (&lt;70 km)",IF(I2914&lt;=300,"Intermedio (70-300 km)","Profundo (&gt;300 km)"))</x:f>
        <x:v>Superficial (&lt;70 km)</x:v>
      </x:c>
      <x:c r="M2914" s="25" t="str">
        <x:f>IF(J2914&gt;=5,"Sí","No")</x:f>
        <x:v>No</x:v>
      </x:c>
      <x:c r="N2914" s="25" t="str">
        <x:f>IF(J2914&gt;=6,"Sí","No")</x:f>
        <x:v>No</x:v>
      </x:c>
      <x:c r="O2914" s="25" t="str">
        <x:v>Pendiente: asignar con R/sf</x:v>
      </x:c>
    </x:row>
    <x:row r="2915">
      <x:c r="A2915" s="25" t="n">
        <x:v>2914</x:v>
      </x:c>
      <x:c r="B2915" s="26" t="n">
        <x:v>42783.38743055556</x:v>
      </x:c>
      <x:c r="C2915" s="27" t="n">
        <x:f>INT(B2915)</x:f>
        <x:v>42783</x:v>
      </x:c>
      <x:c r="D2915" s="28" t="n">
        <x:f>MOD(B2915,1)</x:f>
        <x:v>0.3874305555582396</x:v>
      </x:c>
      <x:c r="E2915" s="29" t="n">
        <x:f>YEAR(B2915)</x:f>
        <x:v>2017</x:v>
      </x:c>
      <x:c r="F2915" s="29" t="n">
        <x:f>MONTH(B2915)</x:f>
        <x:v>2</x:v>
      </x:c>
      <x:c r="G2915" s="30" t="n">
        <x:v>-23.32</x:v>
      </x:c>
      <x:c r="H2915" s="30" t="n">
        <x:v>-70.4</x:v>
      </x:c>
      <x:c r="I2915" s="29" t="n">
        <x:v>54</x:v>
      </x:c>
      <x:c r="J2915" s="31" t="n">
        <x:v>4.4</x:v>
      </x:c>
      <x:c r="K2915" s="25" t="str">
        <x:f>IF(J2915&gt;=7,"Muy fuerte (&gt;=7)",IF(J2915&gt;=6,"Fuerte (6-6.9)",IF(J2915&gt;=5,"Moderado alto (5-5.9)",IF(J2915&gt;=4,"Moderado (4-4.9)","Menor a 4"))))</x:f>
        <x:v>Moderado (4-4.9)</x:v>
      </x:c>
      <x:c r="L2915" s="25" t="str">
        <x:f>IF(I2915&lt;70,"Superficial (&lt;70 km)",IF(I2915&lt;=300,"Intermedio (70-300 km)","Profundo (&gt;300 km)"))</x:f>
        <x:v>Superficial (&lt;70 km)</x:v>
      </x:c>
      <x:c r="M2915" s="25" t="str">
        <x:f>IF(J2915&gt;=5,"Sí","No")</x:f>
        <x:v>No</x:v>
      </x:c>
      <x:c r="N2915" s="25" t="str">
        <x:f>IF(J2915&gt;=6,"Sí","No")</x:f>
        <x:v>No</x:v>
      </x:c>
      <x:c r="O2915" s="25" t="str">
        <x:v>Pendiente: asignar con R/sf</x:v>
      </x:c>
    </x:row>
    <x:row r="2916">
      <x:c r="A2916" s="25" t="n">
        <x:v>2915</x:v>
      </x:c>
      <x:c r="B2916" s="26" t="n">
        <x:v>42850.39827546296</x:v>
      </x:c>
      <x:c r="C2916" s="27" t="n">
        <x:f>INT(B2916)</x:f>
        <x:v>42850</x:v>
      </x:c>
      <x:c r="D2916" s="28" t="n">
        <x:f>MOD(B2916,1)</x:f>
        <x:v>0.39827546296146465</x:v>
      </x:c>
      <x:c r="E2916" s="29" t="n">
        <x:f>YEAR(B2916)</x:f>
        <x:v>2017</x:v>
      </x:c>
      <x:c r="F2916" s="29" t="n">
        <x:f>MONTH(B2916)</x:f>
        <x:v>4</x:v>
      </x:c>
      <x:c r="G2916" s="30" t="n">
        <x:v>-33.1</x:v>
      </x:c>
      <x:c r="H2916" s="30" t="n">
        <x:v>-72</x:v>
      </x:c>
      <x:c r="I2916" s="29" t="n">
        <x:v>28</x:v>
      </x:c>
      <x:c r="J2916" s="31" t="n">
        <x:v>4.3</x:v>
      </x:c>
      <x:c r="K2916" s="25" t="str">
        <x:f>IF(J2916&gt;=7,"Muy fuerte (&gt;=7)",IF(J2916&gt;=6,"Fuerte (6-6.9)",IF(J2916&gt;=5,"Moderado alto (5-5.9)",IF(J2916&gt;=4,"Moderado (4-4.9)","Menor a 4"))))</x:f>
        <x:v>Moderado (4-4.9)</x:v>
      </x:c>
      <x:c r="L2916" s="25" t="str">
        <x:f>IF(I2916&lt;70,"Superficial (&lt;70 km)",IF(I2916&lt;=300,"Intermedio (70-300 km)","Profundo (&gt;300 km)"))</x:f>
        <x:v>Superficial (&lt;70 km)</x:v>
      </x:c>
      <x:c r="M2916" s="25" t="str">
        <x:f>IF(J2916&gt;=5,"Sí","No")</x:f>
        <x:v>No</x:v>
      </x:c>
      <x:c r="N2916" s="25" t="str">
        <x:f>IF(J2916&gt;=6,"Sí","No")</x:f>
        <x:v>No</x:v>
      </x:c>
      <x:c r="O2916" s="25" t="str">
        <x:v>Pendiente: asignar con R/sf</x:v>
      </x:c>
    </x:row>
    <x:row r="2917">
      <x:c r="A2917" s="25" t="n">
        <x:v>2916</x:v>
      </x:c>
      <x:c r="B2917" s="26" t="n">
        <x:v>42741.271215277775</x:v>
      </x:c>
      <x:c r="C2917" s="27" t="n">
        <x:f>INT(B2917)</x:f>
        <x:v>42741</x:v>
      </x:c>
      <x:c r="D2917" s="28" t="n">
        <x:f>MOD(B2917,1)</x:f>
        <x:v>0.27121527777489973</x:v>
      </x:c>
      <x:c r="E2917" s="29" t="n">
        <x:f>YEAR(B2917)</x:f>
        <x:v>2017</x:v>
      </x:c>
      <x:c r="F2917" s="29" t="n">
        <x:f>MONTH(B2917)</x:f>
        <x:v>1</x:v>
      </x:c>
      <x:c r="G2917" s="30" t="n">
        <x:v>-22.31</x:v>
      </x:c>
      <x:c r="H2917" s="30" t="n">
        <x:v>-67.92</x:v>
      </x:c>
      <x:c r="I2917" s="29" t="n">
        <x:v>177</x:v>
      </x:c>
      <x:c r="J2917" s="31" t="n">
        <x:v>6.1</x:v>
      </x:c>
      <x:c r="K2917" s="25" t="str">
        <x:f>IF(J2917&gt;=7,"Muy fuerte (&gt;=7)",IF(J2917&gt;=6,"Fuerte (6-6.9)",IF(J2917&gt;=5,"Moderado alto (5-5.9)",IF(J2917&gt;=4,"Moderado (4-4.9)","Menor a 4"))))</x:f>
        <x:v>Fuerte (6-6.9)</x:v>
      </x:c>
      <x:c r="L2917" s="25" t="str">
        <x:f>IF(I2917&lt;70,"Superficial (&lt;70 km)",IF(I2917&lt;=300,"Intermedio (70-300 km)","Profundo (&gt;300 km)"))</x:f>
        <x:v>Intermedio (70-300 km)</x:v>
      </x:c>
      <x:c r="M2917" s="25" t="str">
        <x:f>IF(J2917&gt;=5,"Sí","No")</x:f>
        <x:v>Sí</x:v>
      </x:c>
      <x:c r="N2917" s="25" t="str">
        <x:f>IF(J2917&gt;=6,"Sí","No")</x:f>
        <x:v>Sí</x:v>
      </x:c>
      <x:c r="O2917" s="25" t="str">
        <x:v>Pendiente: asignar con R/sf</x:v>
      </x:c>
    </x:row>
    <x:row r="2918">
      <x:c r="A2918" s="25" t="n">
        <x:v>2917</x:v>
      </x:c>
      <x:c r="B2918" s="26" t="n">
        <x:v>42854.047627314816</x:v>
      </x:c>
      <x:c r="C2918" s="27" t="n">
        <x:f>INT(B2918)</x:f>
        <x:v>42854</x:v>
      </x:c>
      <x:c r="D2918" s="28" t="n">
        <x:f>MOD(B2918,1)</x:f>
        <x:v>0.04762731481605442</x:v>
      </x:c>
      <x:c r="E2918" s="29" t="n">
        <x:f>YEAR(B2918)</x:f>
        <x:v>2017</x:v>
      </x:c>
      <x:c r="F2918" s="29" t="n">
        <x:f>MONTH(B2918)</x:f>
        <x:v>4</x:v>
      </x:c>
      <x:c r="G2918" s="30" t="n">
        <x:v>-33.37</x:v>
      </x:c>
      <x:c r="H2918" s="30" t="n">
        <x:v>-71.99</x:v>
      </x:c>
      <x:c r="I2918" s="29" t="n">
        <x:v>24</x:v>
      </x:c>
      <x:c r="J2918" s="31" t="n">
        <x:v>4.4</x:v>
      </x:c>
      <x:c r="K2918" s="25" t="str">
        <x:f>IF(J2918&gt;=7,"Muy fuerte (&gt;=7)",IF(J2918&gt;=6,"Fuerte (6-6.9)",IF(J2918&gt;=5,"Moderado alto (5-5.9)",IF(J2918&gt;=4,"Moderado (4-4.9)","Menor a 4"))))</x:f>
        <x:v>Moderado (4-4.9)</x:v>
      </x:c>
      <x:c r="L2918" s="25" t="str">
        <x:f>IF(I2918&lt;70,"Superficial (&lt;70 km)",IF(I2918&lt;=300,"Intermedio (70-300 km)","Profundo (&gt;300 km)"))</x:f>
        <x:v>Superficial (&lt;70 km)</x:v>
      </x:c>
      <x:c r="M2918" s="25" t="str">
        <x:f>IF(J2918&gt;=5,"Sí","No")</x:f>
        <x:v>No</x:v>
      </x:c>
      <x:c r="N2918" s="25" t="str">
        <x:f>IF(J2918&gt;=6,"Sí","No")</x:f>
        <x:v>No</x:v>
      </x:c>
      <x:c r="O2918" s="25" t="str">
        <x:v>Pendiente: asignar con R/sf</x:v>
      </x:c>
    </x:row>
    <x:row r="2919">
      <x:c r="A2919" s="25" t="n">
        <x:v>2918</x:v>
      </x:c>
      <x:c r="B2919" s="26" t="n">
        <x:v>42854.20179398148</x:v>
      </x:c>
      <x:c r="C2919" s="27" t="n">
        <x:f>INT(B2919)</x:f>
        <x:v>42854</x:v>
      </x:c>
      <x:c r="D2919" s="28" t="n">
        <x:f>MOD(B2919,1)</x:f>
        <x:v>0.20179398148320615</x:v>
      </x:c>
      <x:c r="E2919" s="29" t="n">
        <x:f>YEAR(B2919)</x:f>
        <x:v>2017</x:v>
      </x:c>
      <x:c r="F2919" s="29" t="n">
        <x:f>MONTH(B2919)</x:f>
        <x:v>4</x:v>
      </x:c>
      <x:c r="G2919" s="30" t="n">
        <x:v>-33.24</x:v>
      </x:c>
      <x:c r="H2919" s="30" t="n">
        <x:v>-71.97</x:v>
      </x:c>
      <x:c r="I2919" s="29" t="n">
        <x:v>26</x:v>
      </x:c>
      <x:c r="J2919" s="31" t="n">
        <x:v>4</x:v>
      </x:c>
      <x:c r="K2919" s="25" t="str">
        <x:f>IF(J2919&gt;=7,"Muy fuerte (&gt;=7)",IF(J2919&gt;=6,"Fuerte (6-6.9)",IF(J2919&gt;=5,"Moderado alto (5-5.9)",IF(J2919&gt;=4,"Moderado (4-4.9)","Menor a 4"))))</x:f>
        <x:v>Moderado (4-4.9)</x:v>
      </x:c>
      <x:c r="L2919" s="25" t="str">
        <x:f>IF(I2919&lt;70,"Superficial (&lt;70 km)",IF(I2919&lt;=300,"Intermedio (70-300 km)","Profundo (&gt;300 km)"))</x:f>
        <x:v>Superficial (&lt;70 km)</x:v>
      </x:c>
      <x:c r="M2919" s="25" t="str">
        <x:f>IF(J2919&gt;=5,"Sí","No")</x:f>
        <x:v>No</x:v>
      </x:c>
      <x:c r="N2919" s="25" t="str">
        <x:f>IF(J2919&gt;=6,"Sí","No")</x:f>
        <x:v>No</x:v>
      </x:c>
      <x:c r="O2919" s="25" t="str">
        <x:v>Pendiente: asignar con R/sf</x:v>
      </x:c>
    </x:row>
    <x:row r="2920">
      <x:c r="A2920" s="25" t="n">
        <x:v>2919</x:v>
      </x:c>
      <x:c r="B2920" s="26" t="n">
        <x:v>42848.075833333336</x:v>
      </x:c>
      <x:c r="C2920" s="27" t="n">
        <x:f>INT(B2920)</x:f>
        <x:v>42848</x:v>
      </x:c>
      <x:c r="D2920" s="28" t="n">
        <x:f>MOD(B2920,1)</x:f>
        <x:v>0.07583333333604969</x:v>
      </x:c>
      <x:c r="E2920" s="29" t="n">
        <x:f>YEAR(B2920)</x:f>
        <x:v>2017</x:v>
      </x:c>
      <x:c r="F2920" s="29" t="n">
        <x:f>MONTH(B2920)</x:f>
        <x:v>4</x:v>
      </x:c>
      <x:c r="G2920" s="30" t="n">
        <x:v>-33.03</x:v>
      </x:c>
      <x:c r="H2920" s="30" t="n">
        <x:v>-72.06</x:v>
      </x:c>
      <x:c r="I2920" s="29" t="n">
        <x:v>22</x:v>
      </x:c>
      <x:c r="J2920" s="31" t="n">
        <x:v>4.6</x:v>
      </x:c>
      <x:c r="K2920" s="25" t="str">
        <x:f>IF(J2920&gt;=7,"Muy fuerte (&gt;=7)",IF(J2920&gt;=6,"Fuerte (6-6.9)",IF(J2920&gt;=5,"Moderado alto (5-5.9)",IF(J2920&gt;=4,"Moderado (4-4.9)","Menor a 4"))))</x:f>
        <x:v>Moderado (4-4.9)</x:v>
      </x:c>
      <x:c r="L2920" s="25" t="str">
        <x:f>IF(I2920&lt;70,"Superficial (&lt;70 km)",IF(I2920&lt;=300,"Intermedio (70-300 km)","Profundo (&gt;300 km)"))</x:f>
        <x:v>Superficial (&lt;70 km)</x:v>
      </x:c>
      <x:c r="M2920" s="25" t="str">
        <x:f>IF(J2920&gt;=5,"Sí","No")</x:f>
        <x:v>No</x:v>
      </x:c>
      <x:c r="N2920" s="25" t="str">
        <x:f>IF(J2920&gt;=6,"Sí","No")</x:f>
        <x:v>No</x:v>
      </x:c>
      <x:c r="O2920" s="25" t="str">
        <x:v>Pendiente: asignar con R/sf</x:v>
      </x:c>
    </x:row>
    <x:row r="2921">
      <x:c r="A2921" s="25" t="n">
        <x:v>2920</x:v>
      </x:c>
      <x:c r="B2921" s="26" t="n">
        <x:v>42791.105150462965</x:v>
      </x:c>
      <x:c r="C2921" s="27" t="n">
        <x:f>INT(B2921)</x:f>
        <x:v>42791</x:v>
      </x:c>
      <x:c r="D2921" s="28" t="n">
        <x:f>MOD(B2921,1)</x:f>
        <x:v>0.10515046296495711</x:v>
      </x:c>
      <x:c r="E2921" s="29" t="n">
        <x:f>YEAR(B2921)</x:f>
        <x:v>2017</x:v>
      </x:c>
      <x:c r="F2921" s="29" t="n">
        <x:f>MONTH(B2921)</x:f>
        <x:v>2</x:v>
      </x:c>
      <x:c r="G2921" s="30" t="n">
        <x:v>-19.46</x:v>
      </x:c>
      <x:c r="H2921" s="30" t="n">
        <x:v>-69.15</x:v>
      </x:c>
      <x:c r="I2921" s="29" t="n">
        <x:v>114</x:v>
      </x:c>
      <x:c r="J2921" s="31" t="n">
        <x:v>5.4</x:v>
      </x:c>
      <x:c r="K2921" s="25" t="str">
        <x:f>IF(J2921&gt;=7,"Muy fuerte (&gt;=7)",IF(J2921&gt;=6,"Fuerte (6-6.9)",IF(J2921&gt;=5,"Moderado alto (5-5.9)",IF(J2921&gt;=4,"Moderado (4-4.9)","Menor a 4"))))</x:f>
        <x:v>Moderado alto (5-5.9)</x:v>
      </x:c>
      <x:c r="L2921" s="25" t="str">
        <x:f>IF(I2921&lt;70,"Superficial (&lt;70 km)",IF(I2921&lt;=300,"Intermedio (70-300 km)","Profundo (&gt;300 km)"))</x:f>
        <x:v>Intermedio (70-300 km)</x:v>
      </x:c>
      <x:c r="M2921" s="25" t="str">
        <x:f>IF(J2921&gt;=5,"Sí","No")</x:f>
        <x:v>Sí</x:v>
      </x:c>
      <x:c r="N2921" s="25" t="str">
        <x:f>IF(J2921&gt;=6,"Sí","No")</x:f>
        <x:v>No</x:v>
      </x:c>
      <x:c r="O2921" s="25" t="str">
        <x:v>Pendiente: asignar con R/sf</x:v>
      </x:c>
    </x:row>
    <x:row r="2922">
      <x:c r="A2922" s="25" t="n">
        <x:v>2921</x:v>
      </x:c>
      <x:c r="B2922" s="26" t="n">
        <x:v>42848.11269675926</x:v>
      </x:c>
      <x:c r="C2922" s="27" t="n">
        <x:f>INT(B2922)</x:f>
        <x:v>42848</x:v>
      </x:c>
      <x:c r="D2922" s="28" t="n">
        <x:f>MOD(B2922,1)</x:f>
        <x:v>0.11269675925723277</x:v>
      </x:c>
      <x:c r="E2922" s="29" t="n">
        <x:f>YEAR(B2922)</x:f>
        <x:v>2017</x:v>
      </x:c>
      <x:c r="F2922" s="29" t="n">
        <x:f>MONTH(B2922)</x:f>
        <x:v>4</x:v>
      </x:c>
      <x:c r="G2922" s="30" t="n">
        <x:v>-33.09</x:v>
      </x:c>
      <x:c r="H2922" s="30" t="n">
        <x:v>-71.89</x:v>
      </x:c>
      <x:c r="I2922" s="29" t="n">
        <x:v>26</x:v>
      </x:c>
      <x:c r="J2922" s="31" t="n">
        <x:v>4.7</x:v>
      </x:c>
      <x:c r="K2922" s="25" t="str">
        <x:f>IF(J2922&gt;=7,"Muy fuerte (&gt;=7)",IF(J2922&gt;=6,"Fuerte (6-6.9)",IF(J2922&gt;=5,"Moderado alto (5-5.9)",IF(J2922&gt;=4,"Moderado (4-4.9)","Menor a 4"))))</x:f>
        <x:v>Moderado (4-4.9)</x:v>
      </x:c>
      <x:c r="L2922" s="25" t="str">
        <x:f>IF(I2922&lt;70,"Superficial (&lt;70 km)",IF(I2922&lt;=300,"Intermedio (70-300 km)","Profundo (&gt;300 km)"))</x:f>
        <x:v>Superficial (&lt;70 km)</x:v>
      </x:c>
      <x:c r="M2922" s="25" t="str">
        <x:f>IF(J2922&gt;=5,"Sí","No")</x:f>
        <x:v>No</x:v>
      </x:c>
      <x:c r="N2922" s="25" t="str">
        <x:f>IF(J2922&gt;=6,"Sí","No")</x:f>
        <x:v>No</x:v>
      </x:c>
      <x:c r="O2922" s="25" t="str">
        <x:v>Pendiente: asignar con R/sf</x:v>
      </x:c>
    </x:row>
    <x:row r="2923">
      <x:c r="A2923" s="25" t="n">
        <x:v>2922</x:v>
      </x:c>
      <x:c r="B2923" s="26" t="n">
        <x:v>42847.94912037037</x:v>
      </x:c>
      <x:c r="C2923" s="27" t="n">
        <x:f>INT(B2923)</x:f>
        <x:v>42847</x:v>
      </x:c>
      <x:c r="D2923" s="28" t="n">
        <x:f>MOD(B2923,1)</x:f>
        <x:v>0.9491203703728388</x:v>
      </x:c>
      <x:c r="E2923" s="29" t="n">
        <x:f>YEAR(B2923)</x:f>
        <x:v>2017</x:v>
      </x:c>
      <x:c r="F2923" s="29" t="n">
        <x:f>MONTH(B2923)</x:f>
        <x:v>4</x:v>
      </x:c>
      <x:c r="G2923" s="30" t="n">
        <x:v>-33.04</x:v>
      </x:c>
      <x:c r="H2923" s="30" t="n">
        <x:v>-71.96</x:v>
      </x:c>
      <x:c r="I2923" s="29" t="n">
        <x:v>28</x:v>
      </x:c>
      <x:c r="J2923" s="31" t="n">
        <x:v>4.5</x:v>
      </x:c>
      <x:c r="K2923" s="25" t="str">
        <x:f>IF(J2923&gt;=7,"Muy fuerte (&gt;=7)",IF(J2923&gt;=6,"Fuerte (6-6.9)",IF(J2923&gt;=5,"Moderado alto (5-5.9)",IF(J2923&gt;=4,"Moderado (4-4.9)","Menor a 4"))))</x:f>
        <x:v>Moderado (4-4.9)</x:v>
      </x:c>
      <x:c r="L2923" s="25" t="str">
        <x:f>IF(I2923&lt;70,"Superficial (&lt;70 km)",IF(I2923&lt;=300,"Intermedio (70-300 km)","Profundo (&gt;300 km)"))</x:f>
        <x:v>Superficial (&lt;70 km)</x:v>
      </x:c>
      <x:c r="M2923" s="25" t="str">
        <x:f>IF(J2923&gt;=5,"Sí","No")</x:f>
        <x:v>No</x:v>
      </x:c>
      <x:c r="N2923" s="25" t="str">
        <x:f>IF(J2923&gt;=6,"Sí","No")</x:f>
        <x:v>No</x:v>
      </x:c>
      <x:c r="O2923" s="25" t="str">
        <x:v>Pendiente: asignar con R/sf</x:v>
      </x:c>
    </x:row>
    <x:row r="2924">
      <x:c r="A2924" s="25" t="n">
        <x:v>2923</x:v>
      </x:c>
      <x:c r="B2924" s="26" t="n">
        <x:v>42849.91923611111</x:v>
      </x:c>
      <x:c r="C2924" s="27" t="n">
        <x:f>INT(B2924)</x:f>
        <x:v>42849</x:v>
      </x:c>
      <x:c r="D2924" s="28" t="n">
        <x:f>MOD(B2924,1)</x:f>
        <x:v>0.9192361111126957</x:v>
      </x:c>
      <x:c r="E2924" s="29" t="n">
        <x:f>YEAR(B2924)</x:f>
        <x:v>2017</x:v>
      </x:c>
      <x:c r="F2924" s="29" t="n">
        <x:f>MONTH(B2924)</x:f>
        <x:v>4</x:v>
      </x:c>
      <x:c r="G2924" s="30" t="n">
        <x:v>-33.06</x:v>
      </x:c>
      <x:c r="H2924" s="30" t="n">
        <x:v>-71.88</x:v>
      </x:c>
      <x:c r="I2924" s="29" t="n">
        <x:v>30</x:v>
      </x:c>
      <x:c r="J2924" s="31" t="n">
        <x:v>4.4</x:v>
      </x:c>
      <x:c r="K2924" s="25" t="str">
        <x:f>IF(J2924&gt;=7,"Muy fuerte (&gt;=7)",IF(J2924&gt;=6,"Fuerte (6-6.9)",IF(J2924&gt;=5,"Moderado alto (5-5.9)",IF(J2924&gt;=4,"Moderado (4-4.9)","Menor a 4"))))</x:f>
        <x:v>Moderado (4-4.9)</x:v>
      </x:c>
      <x:c r="L2924" s="25" t="str">
        <x:f>IF(I2924&lt;70,"Superficial (&lt;70 km)",IF(I2924&lt;=300,"Intermedio (70-300 km)","Profundo (&gt;300 km)"))</x:f>
        <x:v>Superficial (&lt;70 km)</x:v>
      </x:c>
      <x:c r="M2924" s="25" t="str">
        <x:f>IF(J2924&gt;=5,"Sí","No")</x:f>
        <x:v>No</x:v>
      </x:c>
      <x:c r="N2924" s="25" t="str">
        <x:f>IF(J2924&gt;=6,"Sí","No")</x:f>
        <x:v>No</x:v>
      </x:c>
      <x:c r="O2924" s="25" t="str">
        <x:v>Pendiente: asignar con R/sf</x:v>
      </x:c>
    </x:row>
    <x:row r="2925">
      <x:c r="A2925" s="25" t="n">
        <x:v>2924</x:v>
      </x:c>
      <x:c r="B2925" s="26" t="n">
        <x:v>42889.931759259256</x:v>
      </x:c>
      <x:c r="C2925" s="27" t="n">
        <x:f>INT(B2925)</x:f>
        <x:v>42889</x:v>
      </x:c>
      <x:c r="D2925" s="28" t="n">
        <x:f>MOD(B2925,1)</x:f>
        <x:v>0.9317592592560686</x:v>
      </x:c>
      <x:c r="E2925" s="29" t="n">
        <x:f>YEAR(B2925)</x:f>
        <x:v>2017</x:v>
      </x:c>
      <x:c r="F2925" s="29" t="n">
        <x:f>MONTH(B2925)</x:f>
        <x:v>6</x:v>
      </x:c>
      <x:c r="G2925" s="30" t="n">
        <x:v>-21.87</x:v>
      </x:c>
      <x:c r="H2925" s="30" t="n">
        <x:v>-68.77</x:v>
      </x:c>
      <x:c r="I2925" s="29" t="n">
        <x:v>120</x:v>
      </x:c>
      <x:c r="J2925" s="31" t="n">
        <x:v>5.2</x:v>
      </x:c>
      <x:c r="K2925" s="25" t="str">
        <x:f>IF(J2925&gt;=7,"Muy fuerte (&gt;=7)",IF(J2925&gt;=6,"Fuerte (6-6.9)",IF(J2925&gt;=5,"Moderado alto (5-5.9)",IF(J2925&gt;=4,"Moderado (4-4.9)","Menor a 4"))))</x:f>
        <x:v>Moderado alto (5-5.9)</x:v>
      </x:c>
      <x:c r="L2925" s="25" t="str">
        <x:f>IF(I2925&lt;70,"Superficial (&lt;70 km)",IF(I2925&lt;=300,"Intermedio (70-300 km)","Profundo (&gt;300 km)"))</x:f>
        <x:v>Intermedio (70-300 km)</x:v>
      </x:c>
      <x:c r="M2925" s="25" t="str">
        <x:f>IF(J2925&gt;=5,"Sí","No")</x:f>
        <x:v>Sí</x:v>
      </x:c>
      <x:c r="N2925" s="25" t="str">
        <x:f>IF(J2925&gt;=6,"Sí","No")</x:f>
        <x:v>No</x:v>
      </x:c>
      <x:c r="O2925" s="25" t="str">
        <x:v>Pendiente: asignar con R/sf</x:v>
      </x:c>
    </x:row>
    <x:row r="2926">
      <x:c r="A2926" s="25" t="n">
        <x:v>2925</x:v>
      </x:c>
      <x:c r="B2926" s="26" t="n">
        <x:v>42824.81649305556</x:v>
      </x:c>
      <x:c r="C2926" s="27" t="n">
        <x:f>INT(B2926)</x:f>
        <x:v>42824</x:v>
      </x:c>
      <x:c r="D2926" s="28" t="n">
        <x:f>MOD(B2926,1)</x:f>
        <x:v>0.8164930555576575</x:v>
      </x:c>
      <x:c r="E2926" s="29" t="n">
        <x:f>YEAR(B2926)</x:f>
        <x:v>2017</x:v>
      </x:c>
      <x:c r="F2926" s="29" t="n">
        <x:f>MONTH(B2926)</x:f>
        <x:v>3</x:v>
      </x:c>
      <x:c r="G2926" s="30" t="n">
        <x:v>-20.41</x:v>
      </x:c>
      <x:c r="H2926" s="30" t="n">
        <x:v>-69.13</x:v>
      </x:c>
      <x:c r="I2926" s="29" t="n">
        <x:v>109</x:v>
      </x:c>
      <x:c r="J2926" s="31" t="n">
        <x:v>4.4</x:v>
      </x:c>
      <x:c r="K2926" s="25" t="str">
        <x:f>IF(J2926&gt;=7,"Muy fuerte (&gt;=7)",IF(J2926&gt;=6,"Fuerte (6-6.9)",IF(J2926&gt;=5,"Moderado alto (5-5.9)",IF(J2926&gt;=4,"Moderado (4-4.9)","Menor a 4"))))</x:f>
        <x:v>Moderado (4-4.9)</x:v>
      </x:c>
      <x:c r="L2926" s="25" t="str">
        <x:f>IF(I2926&lt;70,"Superficial (&lt;70 km)",IF(I2926&lt;=300,"Intermedio (70-300 km)","Profundo (&gt;300 km)"))</x:f>
        <x:v>Intermedio (70-300 km)</x:v>
      </x:c>
      <x:c r="M2926" s="25" t="str">
        <x:f>IF(J2926&gt;=5,"Sí","No")</x:f>
        <x:v>No</x:v>
      </x:c>
      <x:c r="N2926" s="25" t="str">
        <x:f>IF(J2926&gt;=6,"Sí","No")</x:f>
        <x:v>No</x:v>
      </x:c>
      <x:c r="O2926" s="25" t="str">
        <x:v>Pendiente: asignar con R/sf</x:v>
      </x:c>
    </x:row>
    <x:row r="2927">
      <x:c r="A2927" s="25" t="n">
        <x:v>2926</x:v>
      </x:c>
      <x:c r="B2927" s="26" t="n">
        <x:v>42740.68383101852</x:v>
      </x:c>
      <x:c r="C2927" s="27" t="n">
        <x:f>INT(B2927)</x:f>
        <x:v>42740</x:v>
      </x:c>
      <x:c r="D2927" s="28" t="n">
        <x:f>MOD(B2927,1)</x:f>
        <x:v>0.6838310185194132</x:v>
      </x:c>
      <x:c r="E2927" s="29" t="n">
        <x:f>YEAR(B2927)</x:f>
        <x:v>2017</x:v>
      </x:c>
      <x:c r="F2927" s="29" t="n">
        <x:f>MONTH(B2927)</x:f>
        <x:v>1</x:v>
      </x:c>
      <x:c r="G2927" s="30" t="n">
        <x:v>-22.06</x:v>
      </x:c>
      <x:c r="H2927" s="30" t="n">
        <x:v>-70.28</x:v>
      </x:c>
      <x:c r="I2927" s="29" t="n">
        <x:v>35</x:v>
      </x:c>
      <x:c r="J2927" s="31" t="n">
        <x:v>4.1</x:v>
      </x:c>
      <x:c r="K2927" s="25" t="str">
        <x:f>IF(J2927&gt;=7,"Muy fuerte (&gt;=7)",IF(J2927&gt;=6,"Fuerte (6-6.9)",IF(J2927&gt;=5,"Moderado alto (5-5.9)",IF(J2927&gt;=4,"Moderado (4-4.9)","Menor a 4"))))</x:f>
        <x:v>Moderado (4-4.9)</x:v>
      </x:c>
      <x:c r="L2927" s="25" t="str">
        <x:f>IF(I2927&lt;70,"Superficial (&lt;70 km)",IF(I2927&lt;=300,"Intermedio (70-300 km)","Profundo (&gt;300 km)"))</x:f>
        <x:v>Superficial (&lt;70 km)</x:v>
      </x:c>
      <x:c r="M2927" s="25" t="str">
        <x:f>IF(J2927&gt;=5,"Sí","No")</x:f>
        <x:v>No</x:v>
      </x:c>
      <x:c r="N2927" s="25" t="str">
        <x:f>IF(J2927&gt;=6,"Sí","No")</x:f>
        <x:v>No</x:v>
      </x:c>
      <x:c r="O2927" s="25" t="str">
        <x:v>Pendiente: asignar con R/sf</x:v>
      </x:c>
    </x:row>
    <x:row r="2928">
      <x:c r="A2928" s="25" t="n">
        <x:v>2927</x:v>
      </x:c>
      <x:c r="B2928" s="26" t="n">
        <x:v>42852.88719907407</x:v>
      </x:c>
      <x:c r="C2928" s="27" t="n">
        <x:f>INT(B2928)</x:f>
        <x:v>42852</x:v>
      </x:c>
      <x:c r="D2928" s="28" t="n">
        <x:f>MOD(B2928,1)</x:f>
        <x:v>0.8871990740735782</x:v>
      </x:c>
      <x:c r="E2928" s="29" t="n">
        <x:f>YEAR(B2928)</x:f>
        <x:v>2017</x:v>
      </x:c>
      <x:c r="F2928" s="29" t="n">
        <x:f>MONTH(B2928)</x:f>
        <x:v>4</x:v>
      </x:c>
      <x:c r="G2928" s="30" t="n">
        <x:v>-33.3</x:v>
      </x:c>
      <x:c r="H2928" s="30" t="n">
        <x:v>-71.73</x:v>
      </x:c>
      <x:c r="I2928" s="29" t="n">
        <x:v>21</x:v>
      </x:c>
      <x:c r="J2928" s="31" t="n">
        <x:v>4.1</x:v>
      </x:c>
      <x:c r="K2928" s="25" t="str">
        <x:f>IF(J2928&gt;=7,"Muy fuerte (&gt;=7)",IF(J2928&gt;=6,"Fuerte (6-6.9)",IF(J2928&gt;=5,"Moderado alto (5-5.9)",IF(J2928&gt;=4,"Moderado (4-4.9)","Menor a 4"))))</x:f>
        <x:v>Moderado (4-4.9)</x:v>
      </x:c>
      <x:c r="L2928" s="25" t="str">
        <x:f>IF(I2928&lt;70,"Superficial (&lt;70 km)",IF(I2928&lt;=300,"Intermedio (70-300 km)","Profundo (&gt;300 km)"))</x:f>
        <x:v>Superficial (&lt;70 km)</x:v>
      </x:c>
      <x:c r="M2928" s="25" t="str">
        <x:f>IF(J2928&gt;=5,"Sí","No")</x:f>
        <x:v>No</x:v>
      </x:c>
      <x:c r="N2928" s="25" t="str">
        <x:f>IF(J2928&gt;=6,"Sí","No")</x:f>
        <x:v>No</x:v>
      </x:c>
      <x:c r="O2928" s="25" t="str">
        <x:v>Pendiente: asignar con R/sf</x:v>
      </x:c>
    </x:row>
    <x:row r="2929">
      <x:c r="A2929" s="25" t="n">
        <x:v>2928</x:v>
      </x:c>
      <x:c r="B2929" s="26" t="n">
        <x:v>42929.65149305556</x:v>
      </x:c>
      <x:c r="C2929" s="27" t="n">
        <x:f>INT(B2929)</x:f>
        <x:v>42929</x:v>
      </x:c>
      <x:c r="D2929" s="28" t="n">
        <x:f>MOD(B2929,1)</x:f>
        <x:v>0.6514930555567844</x:v>
      </x:c>
      <x:c r="E2929" s="29" t="n">
        <x:f>YEAR(B2929)</x:f>
        <x:v>2017</x:v>
      </x:c>
      <x:c r="F2929" s="29" t="n">
        <x:f>MONTH(B2929)</x:f>
        <x:v>7</x:v>
      </x:c>
      <x:c r="G2929" s="30" t="n">
        <x:v>-21.38</x:v>
      </x:c>
      <x:c r="H2929" s="30" t="n">
        <x:v>-68.64</x:v>
      </x:c>
      <x:c r="I2929" s="29" t="n">
        <x:v>124</x:v>
      </x:c>
      <x:c r="J2929" s="31" t="n">
        <x:v>4.8</x:v>
      </x:c>
      <x:c r="K2929" s="25" t="str">
        <x:f>IF(J2929&gt;=7,"Muy fuerte (&gt;=7)",IF(J2929&gt;=6,"Fuerte (6-6.9)",IF(J2929&gt;=5,"Moderado alto (5-5.9)",IF(J2929&gt;=4,"Moderado (4-4.9)","Menor a 4"))))</x:f>
        <x:v>Moderado (4-4.9)</x:v>
      </x:c>
      <x:c r="L2929" s="25" t="str">
        <x:f>IF(I2929&lt;70,"Superficial (&lt;70 km)",IF(I2929&lt;=300,"Intermedio (70-300 km)","Profundo (&gt;300 km)"))</x:f>
        <x:v>Intermedio (70-300 km)</x:v>
      </x:c>
      <x:c r="M2929" s="25" t="str">
        <x:f>IF(J2929&gt;=5,"Sí","No")</x:f>
        <x:v>No</x:v>
      </x:c>
      <x:c r="N2929" s="25" t="str">
        <x:f>IF(J2929&gt;=6,"Sí","No")</x:f>
        <x:v>No</x:v>
      </x:c>
      <x:c r="O2929" s="25" t="str">
        <x:v>Pendiente: asignar con R/sf</x:v>
      </x:c>
    </x:row>
    <x:row r="2930">
      <x:c r="A2930" s="25" t="n">
        <x:v>2929</x:v>
      </x:c>
      <x:c r="B2930" s="26" t="n">
        <x:v>42853.68572916667</x:v>
      </x:c>
      <x:c r="C2930" s="27" t="n">
        <x:f>INT(B2930)</x:f>
        <x:v>42853</x:v>
      </x:c>
      <x:c r="D2930" s="28" t="n">
        <x:f>MOD(B2930,1)</x:f>
        <x:v>0.6857291666674428</x:v>
      </x:c>
      <x:c r="E2930" s="29" t="n">
        <x:f>YEAR(B2930)</x:f>
        <x:v>2017</x:v>
      </x:c>
      <x:c r="F2930" s="29" t="n">
        <x:f>MONTH(B2930)</x:f>
        <x:v>4</x:v>
      </x:c>
      <x:c r="G2930" s="30" t="n">
        <x:v>-33.33</x:v>
      </x:c>
      <x:c r="H2930" s="30" t="n">
        <x:v>-71.93</x:v>
      </x:c>
      <x:c r="I2930" s="29" t="n">
        <x:v>28</x:v>
      </x:c>
      <x:c r="J2930" s="31" t="n">
        <x:v>4</x:v>
      </x:c>
      <x:c r="K2930" s="25" t="str">
        <x:f>IF(J2930&gt;=7,"Muy fuerte (&gt;=7)",IF(J2930&gt;=6,"Fuerte (6-6.9)",IF(J2930&gt;=5,"Moderado alto (5-5.9)",IF(J2930&gt;=4,"Moderado (4-4.9)","Menor a 4"))))</x:f>
        <x:v>Moderado (4-4.9)</x:v>
      </x:c>
      <x:c r="L2930" s="25" t="str">
        <x:f>IF(I2930&lt;70,"Superficial (&lt;70 km)",IF(I2930&lt;=300,"Intermedio (70-300 km)","Profundo (&gt;300 km)"))</x:f>
        <x:v>Superficial (&lt;70 km)</x:v>
      </x:c>
      <x:c r="M2930" s="25" t="str">
        <x:f>IF(J2930&gt;=5,"Sí","No")</x:f>
        <x:v>No</x:v>
      </x:c>
      <x:c r="N2930" s="25" t="str">
        <x:f>IF(J2930&gt;=6,"Sí","No")</x:f>
        <x:v>No</x:v>
      </x:c>
      <x:c r="O2930" s="25" t="str">
        <x:v>Pendiente: asignar con R/sf</x:v>
      </x:c>
    </x:row>
    <x:row r="2931">
      <x:c r="A2931" s="25" t="n">
        <x:v>2930</x:v>
      </x:c>
      <x:c r="B2931" s="26" t="n">
        <x:v>42918.661782407406</x:v>
      </x:c>
      <x:c r="C2931" s="27" t="n">
        <x:f>INT(B2931)</x:f>
        <x:v>42918</x:v>
      </x:c>
      <x:c r="D2931" s="28" t="n">
        <x:f>MOD(B2931,1)</x:f>
        <x:v>0.6617824074055534</x:v>
      </x:c>
      <x:c r="E2931" s="29" t="n">
        <x:f>YEAR(B2931)</x:f>
        <x:v>2017</x:v>
      </x:c>
      <x:c r="F2931" s="29" t="n">
        <x:f>MONTH(B2931)</x:f>
        <x:v>7</x:v>
      </x:c>
      <x:c r="G2931" s="30" t="n">
        <x:v>-21.89</x:v>
      </x:c>
      <x:c r="H2931" s="30" t="n">
        <x:v>-68.64</x:v>
      </x:c>
      <x:c r="I2931" s="29" t="n">
        <x:v>112</x:v>
      </x:c>
      <x:c r="J2931" s="31" t="n">
        <x:v>5.5</x:v>
      </x:c>
      <x:c r="K2931" s="25" t="str">
        <x:f>IF(J2931&gt;=7,"Muy fuerte (&gt;=7)",IF(J2931&gt;=6,"Fuerte (6-6.9)",IF(J2931&gt;=5,"Moderado alto (5-5.9)",IF(J2931&gt;=4,"Moderado (4-4.9)","Menor a 4"))))</x:f>
        <x:v>Moderado alto (5-5.9)</x:v>
      </x:c>
      <x:c r="L2931" s="25" t="str">
        <x:f>IF(I2931&lt;70,"Superficial (&lt;70 km)",IF(I2931&lt;=300,"Intermedio (70-300 km)","Profundo (&gt;300 km)"))</x:f>
        <x:v>Intermedio (70-300 km)</x:v>
      </x:c>
      <x:c r="M2931" s="25" t="str">
        <x:f>IF(J2931&gt;=5,"Sí","No")</x:f>
        <x:v>Sí</x:v>
      </x:c>
      <x:c r="N2931" s="25" t="str">
        <x:f>IF(J2931&gt;=6,"Sí","No")</x:f>
        <x:v>No</x:v>
      </x:c>
      <x:c r="O2931" s="25" t="str">
        <x:v>Pendiente: asignar con R/sf</x:v>
      </x:c>
    </x:row>
    <x:row r="2932">
      <x:c r="A2932" s="25" t="n">
        <x:v>2931</x:v>
      </x:c>
      <x:c r="B2932" s="26" t="n">
        <x:v>42896.50832175926</x:v>
      </x:c>
      <x:c r="C2932" s="27" t="n">
        <x:f>INT(B2932)</x:f>
        <x:v>42896</x:v>
      </x:c>
      <x:c r="D2932" s="28" t="n">
        <x:f>MOD(B2932,1)</x:f>
        <x:v>0.5083217592618894</x:v>
      </x:c>
      <x:c r="E2932" s="29" t="n">
        <x:f>YEAR(B2932)</x:f>
        <x:v>2017</x:v>
      </x:c>
      <x:c r="F2932" s="29" t="n">
        <x:f>MONTH(B2932)</x:f>
        <x:v>6</x:v>
      </x:c>
      <x:c r="G2932" s="30" t="n">
        <x:v>-20.85</x:v>
      </x:c>
      <x:c r="H2932" s="30" t="n">
        <x:v>-69.12</x:v>
      </x:c>
      <x:c r="I2932" s="29" t="n">
        <x:v>105</x:v>
      </x:c>
      <x:c r="J2932" s="31" t="n">
        <x:v>4</x:v>
      </x:c>
      <x:c r="K2932" s="25" t="str">
        <x:f>IF(J2932&gt;=7,"Muy fuerte (&gt;=7)",IF(J2932&gt;=6,"Fuerte (6-6.9)",IF(J2932&gt;=5,"Moderado alto (5-5.9)",IF(J2932&gt;=4,"Moderado (4-4.9)","Menor a 4"))))</x:f>
        <x:v>Moderado (4-4.9)</x:v>
      </x:c>
      <x:c r="L2932" s="25" t="str">
        <x:f>IF(I2932&lt;70,"Superficial (&lt;70 km)",IF(I2932&lt;=300,"Intermedio (70-300 km)","Profundo (&gt;300 km)"))</x:f>
        <x:v>Intermedio (70-300 km)</x:v>
      </x:c>
      <x:c r="M2932" s="25" t="str">
        <x:f>IF(J2932&gt;=5,"Sí","No")</x:f>
        <x:v>No</x:v>
      </x:c>
      <x:c r="N2932" s="25" t="str">
        <x:f>IF(J2932&gt;=6,"Sí","No")</x:f>
        <x:v>No</x:v>
      </x:c>
      <x:c r="O2932" s="25" t="str">
        <x:v>Pendiente: asignar con R/sf</x:v>
      </x:c>
    </x:row>
    <x:row r="2933">
      <x:c r="A2933" s="25" t="n">
        <x:v>2932</x:v>
      </x:c>
      <x:c r="B2933" s="26" t="n">
        <x:v>42852.079930555556</x:v>
      </x:c>
      <x:c r="C2933" s="27" t="n">
        <x:f>INT(B2933)</x:f>
        <x:v>42852</x:v>
      </x:c>
      <x:c r="D2933" s="28" t="n">
        <x:f>MOD(B2933,1)</x:f>
        <x:v>0.07993055555562023</x:v>
      </x:c>
      <x:c r="E2933" s="29" t="n">
        <x:f>YEAR(B2933)</x:f>
        <x:v>2017</x:v>
      </x:c>
      <x:c r="F2933" s="29" t="n">
        <x:f>MONTH(B2933)</x:f>
        <x:v>4</x:v>
      </x:c>
      <x:c r="G2933" s="30" t="n">
        <x:v>-33.16</x:v>
      </x:c>
      <x:c r="H2933" s="30" t="n">
        <x:v>-71.63</x:v>
      </x:c>
      <x:c r="I2933" s="29" t="n">
        <x:v>23</x:v>
      </x:c>
      <x:c r="J2933" s="31" t="n">
        <x:v>4</x:v>
      </x:c>
      <x:c r="K2933" s="25" t="str">
        <x:f>IF(J2933&gt;=7,"Muy fuerte (&gt;=7)",IF(J2933&gt;=6,"Fuerte (6-6.9)",IF(J2933&gt;=5,"Moderado alto (5-5.9)",IF(J2933&gt;=4,"Moderado (4-4.9)","Menor a 4"))))</x:f>
        <x:v>Moderado (4-4.9)</x:v>
      </x:c>
      <x:c r="L2933" s="25" t="str">
        <x:f>IF(I2933&lt;70,"Superficial (&lt;70 km)",IF(I2933&lt;=300,"Intermedio (70-300 km)","Profundo (&gt;300 km)"))</x:f>
        <x:v>Superficial (&lt;70 km)</x:v>
      </x:c>
      <x:c r="M2933" s="25" t="str">
        <x:f>IF(J2933&gt;=5,"Sí","No")</x:f>
        <x:v>No</x:v>
      </x:c>
      <x:c r="N2933" s="25" t="str">
        <x:f>IF(J2933&gt;=6,"Sí","No")</x:f>
        <x:v>No</x:v>
      </x:c>
      <x:c r="O2933" s="25" t="str">
        <x:v>Pendiente: asignar con R/sf</x:v>
      </x:c>
    </x:row>
    <x:row r="2934">
      <x:c r="A2934" s="25" t="n">
        <x:v>2933</x:v>
      </x:c>
      <x:c r="B2934" s="26" t="n">
        <x:v>42851.7587037037</x:v>
      </x:c>
      <x:c r="C2934" s="27" t="n">
        <x:f>INT(B2934)</x:f>
        <x:v>42851</x:v>
      </x:c>
      <x:c r="D2934" s="28" t="n">
        <x:f>MOD(B2934,1)</x:f>
        <x:v>0.7587037037010305</x:v>
      </x:c>
      <x:c r="E2934" s="29" t="n">
        <x:f>YEAR(B2934)</x:f>
        <x:v>2017</x:v>
      </x:c>
      <x:c r="F2934" s="29" t="n">
        <x:f>MONTH(B2934)</x:f>
        <x:v>4</x:v>
      </x:c>
      <x:c r="G2934" s="30" t="n">
        <x:v>-19.69</x:v>
      </x:c>
      <x:c r="H2934" s="30" t="n">
        <x:v>-69.3</x:v>
      </x:c>
      <x:c r="I2934" s="29" t="n">
        <x:v>107</x:v>
      </x:c>
      <x:c r="J2934" s="31" t="n">
        <x:v>5.3</x:v>
      </x:c>
      <x:c r="K2934" s="25" t="str">
        <x:f>IF(J2934&gt;=7,"Muy fuerte (&gt;=7)",IF(J2934&gt;=6,"Fuerte (6-6.9)",IF(J2934&gt;=5,"Moderado alto (5-5.9)",IF(J2934&gt;=4,"Moderado (4-4.9)","Menor a 4"))))</x:f>
        <x:v>Moderado alto (5-5.9)</x:v>
      </x:c>
      <x:c r="L2934" s="25" t="str">
        <x:f>IF(I2934&lt;70,"Superficial (&lt;70 km)",IF(I2934&lt;=300,"Intermedio (70-300 km)","Profundo (&gt;300 km)"))</x:f>
        <x:v>Intermedio (70-300 km)</x:v>
      </x:c>
      <x:c r="M2934" s="25" t="str">
        <x:f>IF(J2934&gt;=5,"Sí","No")</x:f>
        <x:v>Sí</x:v>
      </x:c>
      <x:c r="N2934" s="25" t="str">
        <x:f>IF(J2934&gt;=6,"Sí","No")</x:f>
        <x:v>No</x:v>
      </x:c>
      <x:c r="O2934" s="25" t="str">
        <x:v>Pendiente: asignar con R/sf</x:v>
      </x:c>
    </x:row>
    <x:row r="2935">
      <x:c r="A2935" s="25" t="n">
        <x:v>2934</x:v>
      </x:c>
      <x:c r="B2935" s="26" t="n">
        <x:v>42853.65591435185</x:v>
      </x:c>
      <x:c r="C2935" s="27" t="n">
        <x:f>INT(B2935)</x:f>
        <x:v>42853</x:v>
      </x:c>
      <x:c r="D2935" s="28" t="n">
        <x:f>MOD(B2935,1)</x:f>
        <x:v>0.6559143518534256</x:v>
      </x:c>
      <x:c r="E2935" s="29" t="n">
        <x:f>YEAR(B2935)</x:f>
        <x:v>2017</x:v>
      </x:c>
      <x:c r="F2935" s="29" t="n">
        <x:f>MONTH(B2935)</x:f>
        <x:v>4</x:v>
      </x:c>
      <x:c r="G2935" s="30" t="n">
        <x:v>-33.24</x:v>
      </x:c>
      <x:c r="H2935" s="30" t="n">
        <x:v>-72.02</x:v>
      </x:c>
      <x:c r="I2935" s="29" t="n">
        <x:v>21</x:v>
      </x:c>
      <x:c r="J2935" s="31" t="n">
        <x:v>4.3</x:v>
      </x:c>
      <x:c r="K2935" s="25" t="str">
        <x:f>IF(J2935&gt;=7,"Muy fuerte (&gt;=7)",IF(J2935&gt;=6,"Fuerte (6-6.9)",IF(J2935&gt;=5,"Moderado alto (5-5.9)",IF(J2935&gt;=4,"Moderado (4-4.9)","Menor a 4"))))</x:f>
        <x:v>Moderado (4-4.9)</x:v>
      </x:c>
      <x:c r="L2935" s="25" t="str">
        <x:f>IF(I2935&lt;70,"Superficial (&lt;70 km)",IF(I2935&lt;=300,"Intermedio (70-300 km)","Profundo (&gt;300 km)"))</x:f>
        <x:v>Superficial (&lt;70 km)</x:v>
      </x:c>
      <x:c r="M2935" s="25" t="str">
        <x:f>IF(J2935&gt;=5,"Sí","No")</x:f>
        <x:v>No</x:v>
      </x:c>
      <x:c r="N2935" s="25" t="str">
        <x:f>IF(J2935&gt;=6,"Sí","No")</x:f>
        <x:v>No</x:v>
      </x:c>
      <x:c r="O2935" s="25" t="str">
        <x:v>Pendiente: asignar con R/sf</x:v>
      </x:c>
    </x:row>
    <x:row r="2936">
      <x:c r="A2936" s="25" t="n">
        <x:v>2935</x:v>
      </x:c>
      <x:c r="B2936" s="26" t="n">
        <x:v>42936.30609953704</x:v>
      </x:c>
      <x:c r="C2936" s="27" t="n">
        <x:f>INT(B2936)</x:f>
        <x:v>42936</x:v>
      </x:c>
      <x:c r="D2936" s="28" t="n">
        <x:f>MOD(B2936,1)</x:f>
        <x:v>0.3060995370396995</x:v>
      </x:c>
      <x:c r="E2936" s="29" t="n">
        <x:f>YEAR(B2936)</x:f>
        <x:v>2017</x:v>
      </x:c>
      <x:c r="F2936" s="29" t="n">
        <x:f>MONTH(B2936)</x:f>
        <x:v>7</x:v>
      </x:c>
      <x:c r="G2936" s="30" t="n">
        <x:v>-22.01</x:v>
      </x:c>
      <x:c r="H2936" s="30" t="n">
        <x:v>-70.39</x:v>
      </x:c>
      <x:c r="I2936" s="29" t="n">
        <x:v>45</x:v>
      </x:c>
      <x:c r="J2936" s="31" t="n">
        <x:v>4.1</x:v>
      </x:c>
      <x:c r="K2936" s="25" t="str">
        <x:f>IF(J2936&gt;=7,"Muy fuerte (&gt;=7)",IF(J2936&gt;=6,"Fuerte (6-6.9)",IF(J2936&gt;=5,"Moderado alto (5-5.9)",IF(J2936&gt;=4,"Moderado (4-4.9)","Menor a 4"))))</x:f>
        <x:v>Moderado (4-4.9)</x:v>
      </x:c>
      <x:c r="L2936" s="25" t="str">
        <x:f>IF(I2936&lt;70,"Superficial (&lt;70 km)",IF(I2936&lt;=300,"Intermedio (70-300 km)","Profundo (&gt;300 km)"))</x:f>
        <x:v>Superficial (&lt;70 km)</x:v>
      </x:c>
      <x:c r="M2936" s="25" t="str">
        <x:f>IF(J2936&gt;=5,"Sí","No")</x:f>
        <x:v>No</x:v>
      </x:c>
      <x:c r="N2936" s="25" t="str">
        <x:f>IF(J2936&gt;=6,"Sí","No")</x:f>
        <x:v>No</x:v>
      </x:c>
      <x:c r="O2936" s="25" t="str">
        <x:v>Pendiente: asignar con R/sf</x:v>
      </x:c>
    </x:row>
    <x:row r="2937">
      <x:c r="A2937" s="25" t="n">
        <x:v>2936</x:v>
      </x:c>
      <x:c r="B2937" s="26" t="n">
        <x:v>42738.888287037036</x:v>
      </x:c>
      <x:c r="C2937" s="27" t="n">
        <x:f>INT(B2937)</x:f>
        <x:v>42738</x:v>
      </x:c>
      <x:c r="D2937" s="28" t="n">
        <x:f>MOD(B2937,1)</x:f>
        <x:v>0.888287037036207</x:v>
      </x:c>
      <x:c r="E2937" s="29" t="n">
        <x:f>YEAR(B2937)</x:f>
        <x:v>2017</x:v>
      </x:c>
      <x:c r="F2937" s="29" t="n">
        <x:f>MONTH(B2937)</x:f>
        <x:v>1</x:v>
      </x:c>
      <x:c r="G2937" s="30" t="n">
        <x:v>-43.41</x:v>
      </x:c>
      <x:c r="H2937" s="30" t="n">
        <x:v>-74.56</x:v>
      </x:c>
      <x:c r="I2937" s="29" t="n">
        <x:v>38</x:v>
      </x:c>
      <x:c r="J2937" s="31" t="n">
        <x:v>5.7</x:v>
      </x:c>
      <x:c r="K2937" s="25" t="str">
        <x:f>IF(J2937&gt;=7,"Muy fuerte (&gt;=7)",IF(J2937&gt;=6,"Fuerte (6-6.9)",IF(J2937&gt;=5,"Moderado alto (5-5.9)",IF(J2937&gt;=4,"Moderado (4-4.9)","Menor a 4"))))</x:f>
        <x:v>Moderado alto (5-5.9)</x:v>
      </x:c>
      <x:c r="L2937" s="25" t="str">
        <x:f>IF(I2937&lt;70,"Superficial (&lt;70 km)",IF(I2937&lt;=300,"Intermedio (70-300 km)","Profundo (&gt;300 km)"))</x:f>
        <x:v>Superficial (&lt;70 km)</x:v>
      </x:c>
      <x:c r="M2937" s="25" t="str">
        <x:f>IF(J2937&gt;=5,"Sí","No")</x:f>
        <x:v>Sí</x:v>
      </x:c>
      <x:c r="N2937" s="25" t="str">
        <x:f>IF(J2937&gt;=6,"Sí","No")</x:f>
        <x:v>No</x:v>
      </x:c>
      <x:c r="O2937" s="25" t="str">
        <x:v>Pendiente: asignar con R/sf</x:v>
      </x:c>
    </x:row>
    <x:row r="2938">
      <x:c r="A2938" s="25" t="n">
        <x:v>2937</x:v>
      </x:c>
      <x:c r="B2938" s="26" t="n">
        <x:v>42737.45564814815</x:v>
      </x:c>
      <x:c r="C2938" s="27" t="n">
        <x:f>INT(B2938)</x:f>
        <x:v>42737</x:v>
      </x:c>
      <x:c r="D2938" s="28" t="n">
        <x:f>MOD(B2938,1)</x:f>
        <x:v>0.45564814814861165</x:v>
      </x:c>
      <x:c r="E2938" s="29" t="n">
        <x:f>YEAR(B2938)</x:f>
        <x:v>2017</x:v>
      </x:c>
      <x:c r="F2938" s="29" t="n">
        <x:f>MONTH(B2938)</x:f>
        <x:v>1</x:v>
      </x:c>
      <x:c r="G2938" s="30" t="n">
        <x:v>-21.24</x:v>
      </x:c>
      <x:c r="H2938" s="30" t="n">
        <x:v>-70.22</x:v>
      </x:c>
      <x:c r="I2938" s="29" t="n">
        <x:v>66</x:v>
      </x:c>
      <x:c r="J2938" s="31" t="n">
        <x:v>4.4</x:v>
      </x:c>
      <x:c r="K2938" s="25" t="str">
        <x:f>IF(J2938&gt;=7,"Muy fuerte (&gt;=7)",IF(J2938&gt;=6,"Fuerte (6-6.9)",IF(J2938&gt;=5,"Moderado alto (5-5.9)",IF(J2938&gt;=4,"Moderado (4-4.9)","Menor a 4"))))</x:f>
        <x:v>Moderado (4-4.9)</x:v>
      </x:c>
      <x:c r="L2938" s="25" t="str">
        <x:f>IF(I2938&lt;70,"Superficial (&lt;70 km)",IF(I2938&lt;=300,"Intermedio (70-300 km)","Profundo (&gt;300 km)"))</x:f>
        <x:v>Superficial (&lt;70 km)</x:v>
      </x:c>
      <x:c r="M2938" s="25" t="str">
        <x:f>IF(J2938&gt;=5,"Sí","No")</x:f>
        <x:v>No</x:v>
      </x:c>
      <x:c r="N2938" s="25" t="str">
        <x:f>IF(J2938&gt;=6,"Sí","No")</x:f>
        <x:v>No</x:v>
      </x:c>
      <x:c r="O2938" s="25" t="str">
        <x:v>Pendiente: asignar con R/sf</x:v>
      </x:c>
    </x:row>
    <x:row r="2939">
      <x:c r="A2939" s="25" t="n">
        <x:v>2938</x:v>
      </x:c>
      <x:c r="B2939" s="26" t="n">
        <x:v>42853.715046296296</x:v>
      </x:c>
      <x:c r="C2939" s="27" t="n">
        <x:f>INT(B2939)</x:f>
        <x:v>42853</x:v>
      </x:c>
      <x:c r="D2939" s="28" t="n">
        <x:f>MOD(B2939,1)</x:f>
        <x:v>0.7150462962963502</x:v>
      </x:c>
      <x:c r="E2939" s="29" t="n">
        <x:f>YEAR(B2939)</x:f>
        <x:v>2017</x:v>
      </x:c>
      <x:c r="F2939" s="29" t="n">
        <x:f>MONTH(B2939)</x:f>
        <x:v>4</x:v>
      </x:c>
      <x:c r="G2939" s="30" t="n">
        <x:v>-33.25</x:v>
      </x:c>
      <x:c r="H2939" s="30" t="n">
        <x:v>-71.93</x:v>
      </x:c>
      <x:c r="I2939" s="29" t="n">
        <x:v>24</x:v>
      </x:c>
      <x:c r="J2939" s="31" t="n">
        <x:v>4.3</x:v>
      </x:c>
      <x:c r="K2939" s="25" t="str">
        <x:f>IF(J2939&gt;=7,"Muy fuerte (&gt;=7)",IF(J2939&gt;=6,"Fuerte (6-6.9)",IF(J2939&gt;=5,"Moderado alto (5-5.9)",IF(J2939&gt;=4,"Moderado (4-4.9)","Menor a 4"))))</x:f>
        <x:v>Moderado (4-4.9)</x:v>
      </x:c>
      <x:c r="L2939" s="25" t="str">
        <x:f>IF(I2939&lt;70,"Superficial (&lt;70 km)",IF(I2939&lt;=300,"Intermedio (70-300 km)","Profundo (&gt;300 km)"))</x:f>
        <x:v>Superficial (&lt;70 km)</x:v>
      </x:c>
      <x:c r="M2939" s="25" t="str">
        <x:f>IF(J2939&gt;=5,"Sí","No")</x:f>
        <x:v>No</x:v>
      </x:c>
      <x:c r="N2939" s="25" t="str">
        <x:f>IF(J2939&gt;=6,"Sí","No")</x:f>
        <x:v>No</x:v>
      </x:c>
      <x:c r="O2939" s="25" t="str">
        <x:v>Pendiente: asignar con R/sf</x:v>
      </x:c>
    </x:row>
    <x:row r="2940">
      <x:c r="A2940" s="25" t="n">
        <x:v>2939</x:v>
      </x:c>
      <x:c r="B2940" s="26" t="n">
        <x:v>42808.632835648146</x:v>
      </x:c>
      <x:c r="C2940" s="27" t="n">
        <x:f>INT(B2940)</x:f>
        <x:v>42808</x:v>
      </x:c>
      <x:c r="D2940" s="28" t="n">
        <x:f>MOD(B2940,1)</x:f>
        <x:v>0.6328356481462833</x:v>
      </x:c>
      <x:c r="E2940" s="29" t="n">
        <x:f>YEAR(B2940)</x:f>
        <x:v>2017</x:v>
      </x:c>
      <x:c r="F2940" s="29" t="n">
        <x:f>MONTH(B2940)</x:f>
        <x:v>3</x:v>
      </x:c>
      <x:c r="G2940" s="30" t="n">
        <x:v>-33.58</x:v>
      </x:c>
      <x:c r="H2940" s="30" t="n">
        <x:v>-71.32</x:v>
      </x:c>
      <x:c r="I2940" s="29" t="n">
        <x:v>52</x:v>
      </x:c>
      <x:c r="J2940" s="31" t="n">
        <x:v>4.1</x:v>
      </x:c>
      <x:c r="K2940" s="25" t="str">
        <x:f>IF(J2940&gt;=7,"Muy fuerte (&gt;=7)",IF(J2940&gt;=6,"Fuerte (6-6.9)",IF(J2940&gt;=5,"Moderado alto (5-5.9)",IF(J2940&gt;=4,"Moderado (4-4.9)","Menor a 4"))))</x:f>
        <x:v>Moderado (4-4.9)</x:v>
      </x:c>
      <x:c r="L2940" s="25" t="str">
        <x:f>IF(I2940&lt;70,"Superficial (&lt;70 km)",IF(I2940&lt;=300,"Intermedio (70-300 km)","Profundo (&gt;300 km)"))</x:f>
        <x:v>Superficial (&lt;70 km)</x:v>
      </x:c>
      <x:c r="M2940" s="25" t="str">
        <x:f>IF(J2940&gt;=5,"Sí","No")</x:f>
        <x:v>No</x:v>
      </x:c>
      <x:c r="N2940" s="25" t="str">
        <x:f>IF(J2940&gt;=6,"Sí","No")</x:f>
        <x:v>No</x:v>
      </x:c>
      <x:c r="O2940" s="25" t="str">
        <x:v>Pendiente: asignar con R/sf</x:v>
      </x:c>
    </x:row>
    <x:row r="2941">
      <x:c r="A2941" s="25" t="n">
        <x:v>2940</x:v>
      </x:c>
      <x:c r="B2941" s="26" t="n">
        <x:v>42852.214837962965</x:v>
      </x:c>
      <x:c r="C2941" s="27" t="n">
        <x:f>INT(B2941)</x:f>
        <x:v>42852</x:v>
      </x:c>
      <x:c r="D2941" s="28" t="n">
        <x:f>MOD(B2941,1)</x:f>
        <x:v>0.21483796296524815</x:v>
      </x:c>
      <x:c r="E2941" s="29" t="n">
        <x:f>YEAR(B2941)</x:f>
        <x:v>2017</x:v>
      </x:c>
      <x:c r="F2941" s="29" t="n">
        <x:f>MONTH(B2941)</x:f>
        <x:v>4</x:v>
      </x:c>
      <x:c r="G2941" s="30" t="n">
        <x:v>-33.31</x:v>
      </x:c>
      <x:c r="H2941" s="30" t="n">
        <x:v>-71.9</x:v>
      </x:c>
      <x:c r="I2941" s="29" t="n">
        <x:v>28</x:v>
      </x:c>
      <x:c r="J2941" s="31" t="n">
        <x:v>4.8</x:v>
      </x:c>
      <x:c r="K2941" s="25" t="str">
        <x:f>IF(J2941&gt;=7,"Muy fuerte (&gt;=7)",IF(J2941&gt;=6,"Fuerte (6-6.9)",IF(J2941&gt;=5,"Moderado alto (5-5.9)",IF(J2941&gt;=4,"Moderado (4-4.9)","Menor a 4"))))</x:f>
        <x:v>Moderado (4-4.9)</x:v>
      </x:c>
      <x:c r="L2941" s="25" t="str">
        <x:f>IF(I2941&lt;70,"Superficial (&lt;70 km)",IF(I2941&lt;=300,"Intermedio (70-300 km)","Profundo (&gt;300 km)"))</x:f>
        <x:v>Superficial (&lt;70 km)</x:v>
      </x:c>
      <x:c r="M2941" s="25" t="str">
        <x:f>IF(J2941&gt;=5,"Sí","No")</x:f>
        <x:v>No</x:v>
      </x:c>
      <x:c r="N2941" s="25" t="str">
        <x:f>IF(J2941&gt;=6,"Sí","No")</x:f>
        <x:v>No</x:v>
      </x:c>
      <x:c r="O2941" s="25" t="str">
        <x:v>Pendiente: asignar con R/sf</x:v>
      </x:c>
    </x:row>
    <x:row r="2942">
      <x:c r="A2942" s="25" t="n">
        <x:v>2941</x:v>
      </x:c>
      <x:c r="B2942" s="26" t="n">
        <x:v>42852.35047453704</x:v>
      </x:c>
      <x:c r="C2942" s="27" t="n">
        <x:f>INT(B2942)</x:f>
        <x:v>42852</x:v>
      </x:c>
      <x:c r="D2942" s="28" t="n">
        <x:f>MOD(B2942,1)</x:f>
        <x:v>0.3504745370373712</x:v>
      </x:c>
      <x:c r="E2942" s="29" t="n">
        <x:f>YEAR(B2942)</x:f>
        <x:v>2017</x:v>
      </x:c>
      <x:c r="F2942" s="29" t="n">
        <x:f>MONTH(B2942)</x:f>
        <x:v>4</x:v>
      </x:c>
      <x:c r="G2942" s="30" t="n">
        <x:v>-33.28</x:v>
      </x:c>
      <x:c r="H2942" s="30" t="n">
        <x:v>-71.89</x:v>
      </x:c>
      <x:c r="I2942" s="29" t="n">
        <x:v>27</x:v>
      </x:c>
      <x:c r="J2942" s="31" t="n">
        <x:v>4.7</x:v>
      </x:c>
      <x:c r="K2942" s="25" t="str">
        <x:f>IF(J2942&gt;=7,"Muy fuerte (&gt;=7)",IF(J2942&gt;=6,"Fuerte (6-6.9)",IF(J2942&gt;=5,"Moderado alto (5-5.9)",IF(J2942&gt;=4,"Moderado (4-4.9)","Menor a 4"))))</x:f>
        <x:v>Moderado (4-4.9)</x:v>
      </x:c>
      <x:c r="L2942" s="25" t="str">
        <x:f>IF(I2942&lt;70,"Superficial (&lt;70 km)",IF(I2942&lt;=300,"Intermedio (70-300 km)","Profundo (&gt;300 km)"))</x:f>
        <x:v>Superficial (&lt;70 km)</x:v>
      </x:c>
      <x:c r="M2942" s="25" t="str">
        <x:f>IF(J2942&gt;=5,"Sí","No")</x:f>
        <x:v>No</x:v>
      </x:c>
      <x:c r="N2942" s="25" t="str">
        <x:f>IF(J2942&gt;=6,"Sí","No")</x:f>
        <x:v>No</x:v>
      </x:c>
      <x:c r="O2942" s="25" t="str">
        <x:v>Pendiente: asignar con R/sf</x:v>
      </x:c>
    </x:row>
    <x:row r="2943">
      <x:c r="A2943" s="25" t="n">
        <x:v>2942</x:v>
      </x:c>
      <x:c r="B2943" s="26" t="n">
        <x:v>42843.07549768518</x:v>
      </x:c>
      <x:c r="C2943" s="27" t="n">
        <x:f>INT(B2943)</x:f>
        <x:v>42843</x:v>
      </x:c>
      <x:c r="D2943" s="28" t="n">
        <x:f>MOD(B2943,1)</x:f>
        <x:v>0.07549768518219935</x:v>
      </x:c>
      <x:c r="E2943" s="29" t="n">
        <x:f>YEAR(B2943)</x:f>
        <x:v>2017</x:v>
      </x:c>
      <x:c r="F2943" s="29" t="n">
        <x:f>MONTH(B2943)</x:f>
        <x:v>4</x:v>
      </x:c>
      <x:c r="G2943" s="30" t="n">
        <x:v>-21.82</x:v>
      </x:c>
      <x:c r="H2943" s="30" t="n">
        <x:v>-68.41</x:v>
      </x:c>
      <x:c r="I2943" s="29" t="n">
        <x:v>124</x:v>
      </x:c>
      <x:c r="J2943" s="31" t="n">
        <x:v>4.8</x:v>
      </x:c>
      <x:c r="K2943" s="25" t="str">
        <x:f>IF(J2943&gt;=7,"Muy fuerte (&gt;=7)",IF(J2943&gt;=6,"Fuerte (6-6.9)",IF(J2943&gt;=5,"Moderado alto (5-5.9)",IF(J2943&gt;=4,"Moderado (4-4.9)","Menor a 4"))))</x:f>
        <x:v>Moderado (4-4.9)</x:v>
      </x:c>
      <x:c r="L2943" s="25" t="str">
        <x:f>IF(I2943&lt;70,"Superficial (&lt;70 km)",IF(I2943&lt;=300,"Intermedio (70-300 km)","Profundo (&gt;300 km)"))</x:f>
        <x:v>Intermedio (70-300 km)</x:v>
      </x:c>
      <x:c r="M2943" s="25" t="str">
        <x:f>IF(J2943&gt;=5,"Sí","No")</x:f>
        <x:v>No</x:v>
      </x:c>
      <x:c r="N2943" s="25" t="str">
        <x:f>IF(J2943&gt;=6,"Sí","No")</x:f>
        <x:v>No</x:v>
      </x:c>
      <x:c r="O2943" s="25" t="str">
        <x:v>Pendiente: asignar con R/sf</x:v>
      </x:c>
    </x:row>
    <x:row r="2944">
      <x:c r="A2944" s="25" t="n">
        <x:v>2943</x:v>
      </x:c>
      <x:c r="B2944" s="26" t="n">
        <x:v>42952.45612268519</x:v>
      </x:c>
      <x:c r="C2944" s="27" t="n">
        <x:f>INT(B2944)</x:f>
        <x:v>42952</x:v>
      </x:c>
      <x:c r="D2944" s="28" t="n">
        <x:f>MOD(B2944,1)</x:f>
        <x:v>0.45612268518743804</x:v>
      </x:c>
      <x:c r="E2944" s="29" t="n">
        <x:f>YEAR(B2944)</x:f>
        <x:v>2017</x:v>
      </x:c>
      <x:c r="F2944" s="29" t="n">
        <x:f>MONTH(B2944)</x:f>
        <x:v>8</x:v>
      </x:c>
      <x:c r="G2944" s="30" t="n">
        <x:v>-39.56</x:v>
      </x:c>
      <x:c r="H2944" s="30" t="n">
        <x:v>-72.34</x:v>
      </x:c>
      <x:c r="I2944" s="29" t="n">
        <x:v>98</x:v>
      </x:c>
      <x:c r="J2944" s="31" t="n">
        <x:v>4.1</x:v>
      </x:c>
      <x:c r="K2944" s="25" t="str">
        <x:f>IF(J2944&gt;=7,"Muy fuerte (&gt;=7)",IF(J2944&gt;=6,"Fuerte (6-6.9)",IF(J2944&gt;=5,"Moderado alto (5-5.9)",IF(J2944&gt;=4,"Moderado (4-4.9)","Menor a 4"))))</x:f>
        <x:v>Moderado (4-4.9)</x:v>
      </x:c>
      <x:c r="L2944" s="25" t="str">
        <x:f>IF(I2944&lt;70,"Superficial (&lt;70 km)",IF(I2944&lt;=300,"Intermedio (70-300 km)","Profundo (&gt;300 km)"))</x:f>
        <x:v>Intermedio (70-300 km)</x:v>
      </x:c>
      <x:c r="M2944" s="25" t="str">
        <x:f>IF(J2944&gt;=5,"Sí","No")</x:f>
        <x:v>No</x:v>
      </x:c>
      <x:c r="N2944" s="25" t="str">
        <x:f>IF(J2944&gt;=6,"Sí","No")</x:f>
        <x:v>No</x:v>
      </x:c>
      <x:c r="O2944" s="25" t="str">
        <x:v>Pendiente: asignar con R/sf</x:v>
      </x:c>
    </x:row>
    <x:row r="2945">
      <x:c r="A2945" s="25" t="n">
        <x:v>2944</x:v>
      </x:c>
      <x:c r="B2945" s="26" t="n">
        <x:v>42853.65305555556</x:v>
      </x:c>
      <x:c r="C2945" s="27" t="n">
        <x:f>INT(B2945)</x:f>
        <x:v>42853</x:v>
      </x:c>
      <x:c r="D2945" s="28" t="n">
        <x:f>MOD(B2945,1)</x:f>
        <x:v>0.6530555555582396</x:v>
      </x:c>
      <x:c r="E2945" s="29" t="n">
        <x:f>YEAR(B2945)</x:f>
        <x:v>2017</x:v>
      </x:c>
      <x:c r="F2945" s="29" t="n">
        <x:f>MONTH(B2945)</x:f>
        <x:v>4</x:v>
      </x:c>
      <x:c r="G2945" s="30" t="n">
        <x:v>-33.26</x:v>
      </x:c>
      <x:c r="H2945" s="30" t="n">
        <x:v>-71.91</x:v>
      </x:c>
      <x:c r="I2945" s="29" t="n">
        <x:v>29</x:v>
      </x:c>
      <x:c r="J2945" s="31" t="n">
        <x:v>4.5</x:v>
      </x:c>
      <x:c r="K2945" s="25" t="str">
        <x:f>IF(J2945&gt;=7,"Muy fuerte (&gt;=7)",IF(J2945&gt;=6,"Fuerte (6-6.9)",IF(J2945&gt;=5,"Moderado alto (5-5.9)",IF(J2945&gt;=4,"Moderado (4-4.9)","Menor a 4"))))</x:f>
        <x:v>Moderado (4-4.9)</x:v>
      </x:c>
      <x:c r="L2945" s="25" t="str">
        <x:f>IF(I2945&lt;70,"Superficial (&lt;70 km)",IF(I2945&lt;=300,"Intermedio (70-300 km)","Profundo (&gt;300 km)"))</x:f>
        <x:v>Superficial (&lt;70 km)</x:v>
      </x:c>
      <x:c r="M2945" s="25" t="str">
        <x:f>IF(J2945&gt;=5,"Sí","No")</x:f>
        <x:v>No</x:v>
      </x:c>
      <x:c r="N2945" s="25" t="str">
        <x:f>IF(J2945&gt;=6,"Sí","No")</x:f>
        <x:v>No</x:v>
      </x:c>
      <x:c r="O2945" s="25" t="str">
        <x:v>Pendiente: asignar con R/sf</x:v>
      </x:c>
    </x:row>
    <x:row r="2946">
      <x:c r="A2946" s="25" t="n">
        <x:v>2945</x:v>
      </x:c>
      <x:c r="B2946" s="26" t="n">
        <x:v>42853.659537037034</x:v>
      </x:c>
      <x:c r="C2946" s="27" t="n">
        <x:f>INT(B2946)</x:f>
        <x:v>42853</x:v>
      </x:c>
      <x:c r="D2946" s="28" t="n">
        <x:f>MOD(B2946,1)</x:f>
        <x:v>0.6595370370341698</x:v>
      </x:c>
      <x:c r="E2946" s="29" t="n">
        <x:f>YEAR(B2946)</x:f>
        <x:v>2017</x:v>
      </x:c>
      <x:c r="F2946" s="29" t="n">
        <x:f>MONTH(B2946)</x:f>
        <x:v>4</x:v>
      </x:c>
      <x:c r="G2946" s="30" t="n">
        <x:v>-33.31</x:v>
      </x:c>
      <x:c r="H2946" s="30" t="n">
        <x:v>-71.91</x:v>
      </x:c>
      <x:c r="I2946" s="29" t="n">
        <x:v>26</x:v>
      </x:c>
      <x:c r="J2946" s="31" t="n">
        <x:v>4.7</x:v>
      </x:c>
      <x:c r="K2946" s="25" t="str">
        <x:f>IF(J2946&gt;=7,"Muy fuerte (&gt;=7)",IF(J2946&gt;=6,"Fuerte (6-6.9)",IF(J2946&gt;=5,"Moderado alto (5-5.9)",IF(J2946&gt;=4,"Moderado (4-4.9)","Menor a 4"))))</x:f>
        <x:v>Moderado (4-4.9)</x:v>
      </x:c>
      <x:c r="L2946" s="25" t="str">
        <x:f>IF(I2946&lt;70,"Superficial (&lt;70 km)",IF(I2946&lt;=300,"Intermedio (70-300 km)","Profundo (&gt;300 km)"))</x:f>
        <x:v>Superficial (&lt;70 km)</x:v>
      </x:c>
      <x:c r="M2946" s="25" t="str">
        <x:f>IF(J2946&gt;=5,"Sí","No")</x:f>
        <x:v>No</x:v>
      </x:c>
      <x:c r="N2946" s="25" t="str">
        <x:f>IF(J2946&gt;=6,"Sí","No")</x:f>
        <x:v>No</x:v>
      </x:c>
      <x:c r="O2946" s="25" t="str">
        <x:v>Pendiente: asignar con R/sf</x:v>
      </x:c>
    </x:row>
    <x:row r="2947">
      <x:c r="A2947" s="25" t="n">
        <x:v>2946</x:v>
      </x:c>
      <x:c r="B2947" s="26" t="n">
        <x:v>42853.73738425926</x:v>
      </x:c>
      <x:c r="C2947" s="27" t="n">
        <x:f>INT(B2947)</x:f>
        <x:v>42853</x:v>
      </x:c>
      <x:c r="D2947" s="28" t="n">
        <x:f>MOD(B2947,1)</x:f>
        <x:v>0.7373842592569417</x:v>
      </x:c>
      <x:c r="E2947" s="29" t="n">
        <x:f>YEAR(B2947)</x:f>
        <x:v>2017</x:v>
      </x:c>
      <x:c r="F2947" s="29" t="n">
        <x:f>MONTH(B2947)</x:f>
        <x:v>4</x:v>
      </x:c>
      <x:c r="G2947" s="30" t="n">
        <x:v>-33.3</x:v>
      </x:c>
      <x:c r="H2947" s="30" t="n">
        <x:v>-71.98</x:v>
      </x:c>
      <x:c r="I2947" s="29" t="n">
        <x:v>22</x:v>
      </x:c>
      <x:c r="J2947" s="31" t="n">
        <x:v>5</x:v>
      </x:c>
      <x:c r="K2947" s="25" t="str">
        <x:f>IF(J2947&gt;=7,"Muy fuerte (&gt;=7)",IF(J2947&gt;=6,"Fuerte (6-6.9)",IF(J2947&gt;=5,"Moderado alto (5-5.9)",IF(J2947&gt;=4,"Moderado (4-4.9)","Menor a 4"))))</x:f>
        <x:v>Moderado alto (5-5.9)</x:v>
      </x:c>
      <x:c r="L2947" s="25" t="str">
        <x:f>IF(I2947&lt;70,"Superficial (&lt;70 km)",IF(I2947&lt;=300,"Intermedio (70-300 km)","Profundo (&gt;300 km)"))</x:f>
        <x:v>Superficial (&lt;70 km)</x:v>
      </x:c>
      <x:c r="M2947" s="25" t="str">
        <x:f>IF(J2947&gt;=5,"Sí","No")</x:f>
        <x:v>Sí</x:v>
      </x:c>
      <x:c r="N2947" s="25" t="str">
        <x:f>IF(J2947&gt;=6,"Sí","No")</x:f>
        <x:v>No</x:v>
      </x:c>
      <x:c r="O2947" s="25" t="str">
        <x:v>Pendiente: asignar con R/sf</x:v>
      </x:c>
    </x:row>
    <x:row r="2948">
      <x:c r="A2948" s="25" t="n">
        <x:v>2947</x:v>
      </x:c>
      <x:c r="B2948" s="26" t="n">
        <x:v>42785.169120370374</x:v>
      </x:c>
      <x:c r="C2948" s="27" t="n">
        <x:f>INT(B2948)</x:f>
        <x:v>42785</x:v>
      </x:c>
      <x:c r="D2948" s="28" t="n">
        <x:f>MOD(B2948,1)</x:f>
        <x:v>0.16912037037400296</x:v>
      </x:c>
      <x:c r="E2948" s="29" t="n">
        <x:f>YEAR(B2948)</x:f>
        <x:v>2017</x:v>
      </x:c>
      <x:c r="F2948" s="29" t="n">
        <x:f>MONTH(B2948)</x:f>
        <x:v>2</x:v>
      </x:c>
      <x:c r="G2948" s="30" t="n">
        <x:v>-37.52</x:v>
      </x:c>
      <x:c r="H2948" s="30" t="n">
        <x:v>-74.08</x:v>
      </x:c>
      <x:c r="I2948" s="29" t="n">
        <x:v>36</x:v>
      </x:c>
      <x:c r="J2948" s="31" t="n">
        <x:v>4.8</x:v>
      </x:c>
      <x:c r="K2948" s="25" t="str">
        <x:f>IF(J2948&gt;=7,"Muy fuerte (&gt;=7)",IF(J2948&gt;=6,"Fuerte (6-6.9)",IF(J2948&gt;=5,"Moderado alto (5-5.9)",IF(J2948&gt;=4,"Moderado (4-4.9)","Menor a 4"))))</x:f>
        <x:v>Moderado (4-4.9)</x:v>
      </x:c>
      <x:c r="L2948" s="25" t="str">
        <x:f>IF(I2948&lt;70,"Superficial (&lt;70 km)",IF(I2948&lt;=300,"Intermedio (70-300 km)","Profundo (&gt;300 km)"))</x:f>
        <x:v>Superficial (&lt;70 km)</x:v>
      </x:c>
      <x:c r="M2948" s="25" t="str">
        <x:f>IF(J2948&gt;=5,"Sí","No")</x:f>
        <x:v>No</x:v>
      </x:c>
      <x:c r="N2948" s="25" t="str">
        <x:f>IF(J2948&gt;=6,"Sí","No")</x:f>
        <x:v>No</x:v>
      </x:c>
      <x:c r="O2948" s="25" t="str">
        <x:v>Pendiente: asignar con R/sf</x:v>
      </x:c>
    </x:row>
    <x:row r="2949">
      <x:c r="A2949" s="25" t="n">
        <x:v>2948</x:v>
      </x:c>
      <x:c r="B2949" s="26" t="n">
        <x:v>42802.61277777778</x:v>
      </x:c>
      <x:c r="C2949" s="27" t="n">
        <x:f>INT(B2949)</x:f>
        <x:v>42802</x:v>
      </x:c>
      <x:c r="D2949" s="28" t="n">
        <x:f>MOD(B2949,1)</x:f>
        <x:v>0.6127777777801384</x:v>
      </x:c>
      <x:c r="E2949" s="29" t="n">
        <x:f>YEAR(B2949)</x:f>
        <x:v>2017</x:v>
      </x:c>
      <x:c r="F2949" s="29" t="n">
        <x:f>MONTH(B2949)</x:f>
        <x:v>3</x:v>
      </x:c>
      <x:c r="G2949" s="30" t="n">
        <x:v>-38.16</x:v>
      </x:c>
      <x:c r="H2949" s="30" t="n">
        <x:v>-73.7</x:v>
      </x:c>
      <x:c r="I2949" s="29" t="n">
        <x:v>37</x:v>
      </x:c>
      <x:c r="J2949" s="31" t="n">
        <x:v>4.4</x:v>
      </x:c>
      <x:c r="K2949" s="25" t="str">
        <x:f>IF(J2949&gt;=7,"Muy fuerte (&gt;=7)",IF(J2949&gt;=6,"Fuerte (6-6.9)",IF(J2949&gt;=5,"Moderado alto (5-5.9)",IF(J2949&gt;=4,"Moderado (4-4.9)","Menor a 4"))))</x:f>
        <x:v>Moderado (4-4.9)</x:v>
      </x:c>
      <x:c r="L2949" s="25" t="str">
        <x:f>IF(I2949&lt;70,"Superficial (&lt;70 km)",IF(I2949&lt;=300,"Intermedio (70-300 km)","Profundo (&gt;300 km)"))</x:f>
        <x:v>Superficial (&lt;70 km)</x:v>
      </x:c>
      <x:c r="M2949" s="25" t="str">
        <x:f>IF(J2949&gt;=5,"Sí","No")</x:f>
        <x:v>No</x:v>
      </x:c>
      <x:c r="N2949" s="25" t="str">
        <x:f>IF(J2949&gt;=6,"Sí","No")</x:f>
        <x:v>No</x:v>
      </x:c>
      <x:c r="O2949" s="25" t="str">
        <x:v>Pendiente: asignar con R/sf</x:v>
      </x:c>
    </x:row>
    <x:row r="2950">
      <x:c r="A2950" s="25" t="n">
        <x:v>2949</x:v>
      </x:c>
      <x:c r="B2950" s="26" t="n">
        <x:v>42915.901458333334</x:v>
      </x:c>
      <x:c r="C2950" s="27" t="n">
        <x:f>INT(B2950)</x:f>
        <x:v>42915</x:v>
      </x:c>
      <x:c r="D2950" s="28" t="n">
        <x:f>MOD(B2950,1)</x:f>
        <x:v>0.9014583333337214</x:v>
      </x:c>
      <x:c r="E2950" s="29" t="n">
        <x:f>YEAR(B2950)</x:f>
        <x:v>2017</x:v>
      </x:c>
      <x:c r="F2950" s="29" t="n">
        <x:f>MONTH(B2950)</x:f>
        <x:v>6</x:v>
      </x:c>
      <x:c r="G2950" s="30" t="n">
        <x:v>-37.33</x:v>
      </x:c>
      <x:c r="H2950" s="30" t="n">
        <x:v>-72.15</x:v>
      </x:c>
      <x:c r="I2950" s="29" t="n">
        <x:v>127</x:v>
      </x:c>
      <x:c r="J2950" s="31" t="n">
        <x:v>4.1</x:v>
      </x:c>
      <x:c r="K2950" s="25" t="str">
        <x:f>IF(J2950&gt;=7,"Muy fuerte (&gt;=7)",IF(J2950&gt;=6,"Fuerte (6-6.9)",IF(J2950&gt;=5,"Moderado alto (5-5.9)",IF(J2950&gt;=4,"Moderado (4-4.9)","Menor a 4"))))</x:f>
        <x:v>Moderado (4-4.9)</x:v>
      </x:c>
      <x:c r="L2950" s="25" t="str">
        <x:f>IF(I2950&lt;70,"Superficial (&lt;70 km)",IF(I2950&lt;=300,"Intermedio (70-300 km)","Profundo (&gt;300 km)"))</x:f>
        <x:v>Intermedio (70-300 km)</x:v>
      </x:c>
      <x:c r="M2950" s="25" t="str">
        <x:f>IF(J2950&gt;=5,"Sí","No")</x:f>
        <x:v>No</x:v>
      </x:c>
      <x:c r="N2950" s="25" t="str">
        <x:f>IF(J2950&gt;=6,"Sí","No")</x:f>
        <x:v>No</x:v>
      </x:c>
      <x:c r="O2950" s="25" t="str">
        <x:v>Pendiente: asignar con R/sf</x:v>
      </x:c>
    </x:row>
    <x:row r="2951">
      <x:c r="A2951" s="25" t="n">
        <x:v>2950</x:v>
      </x:c>
      <x:c r="B2951" s="26" t="n">
        <x:v>43079.08993055556</x:v>
      </x:c>
      <x:c r="C2951" s="27" t="n">
        <x:f>INT(B2951)</x:f>
        <x:v>43079</x:v>
      </x:c>
      <x:c r="D2951" s="28" t="n">
        <x:f>MOD(B2951,1)</x:f>
        <x:v>0.0899305555576575</x:v>
      </x:c>
      <x:c r="E2951" s="29" t="n">
        <x:f>YEAR(B2951)</x:f>
        <x:v>2017</x:v>
      </x:c>
      <x:c r="F2951" s="29" t="n">
        <x:f>MONTH(B2951)</x:f>
        <x:v>12</x:v>
      </x:c>
      <x:c r="G2951" s="30" t="n">
        <x:v>-36.05</x:v>
      </x:c>
      <x:c r="H2951" s="30" t="n">
        <x:v>-73.06</x:v>
      </x:c>
      <x:c r="I2951" s="29" t="n">
        <x:v>51</x:v>
      </x:c>
      <x:c r="J2951" s="31" t="n">
        <x:v>5</x:v>
      </x:c>
      <x:c r="K2951" s="25" t="str">
        <x:f>IF(J2951&gt;=7,"Muy fuerte (&gt;=7)",IF(J2951&gt;=6,"Fuerte (6-6.9)",IF(J2951&gt;=5,"Moderado alto (5-5.9)",IF(J2951&gt;=4,"Moderado (4-4.9)","Menor a 4"))))</x:f>
        <x:v>Moderado alto (5-5.9)</x:v>
      </x:c>
      <x:c r="L2951" s="25" t="str">
        <x:f>IF(I2951&lt;70,"Superficial (&lt;70 km)",IF(I2951&lt;=300,"Intermedio (70-300 km)","Profundo (&gt;300 km)"))</x:f>
        <x:v>Superficial (&lt;70 km)</x:v>
      </x:c>
      <x:c r="M2951" s="25" t="str">
        <x:f>IF(J2951&gt;=5,"Sí","No")</x:f>
        <x:v>Sí</x:v>
      </x:c>
      <x:c r="N2951" s="25" t="str">
        <x:f>IF(J2951&gt;=6,"Sí","No")</x:f>
        <x:v>No</x:v>
      </x:c>
      <x:c r="O2951" s="25" t="str">
        <x:v>Pendiente: asignar con R/sf</x:v>
      </x:c>
    </x:row>
    <x:row r="2952">
      <x:c r="A2952" s="25" t="n">
        <x:v>2951</x:v>
      </x:c>
      <x:c r="B2952" s="26" t="n">
        <x:v>42785.796851851854</x:v>
      </x:c>
      <x:c r="C2952" s="27" t="n">
        <x:f>INT(B2952)</x:f>
        <x:v>42785</x:v>
      </x:c>
      <x:c r="D2952" s="28" t="n">
        <x:f>MOD(B2952,1)</x:f>
        <x:v>0.7968518518537167</x:v>
      </x:c>
      <x:c r="E2952" s="29" t="n">
        <x:f>YEAR(B2952)</x:f>
        <x:v>2017</x:v>
      </x:c>
      <x:c r="F2952" s="29" t="n">
        <x:f>MONTH(B2952)</x:f>
        <x:v>2</x:v>
      </x:c>
      <x:c r="G2952" s="30" t="n">
        <x:v>-37.59</x:v>
      </x:c>
      <x:c r="H2952" s="30" t="n">
        <x:v>-73.66</x:v>
      </x:c>
      <x:c r="I2952" s="29" t="n">
        <x:v>31</x:v>
      </x:c>
      <x:c r="J2952" s="31" t="n">
        <x:v>4.8</x:v>
      </x:c>
      <x:c r="K2952" s="25" t="str">
        <x:f>IF(J2952&gt;=7,"Muy fuerte (&gt;=7)",IF(J2952&gt;=6,"Fuerte (6-6.9)",IF(J2952&gt;=5,"Moderado alto (5-5.9)",IF(J2952&gt;=4,"Moderado (4-4.9)","Menor a 4"))))</x:f>
        <x:v>Moderado (4-4.9)</x:v>
      </x:c>
      <x:c r="L2952" s="25" t="str">
        <x:f>IF(I2952&lt;70,"Superficial (&lt;70 km)",IF(I2952&lt;=300,"Intermedio (70-300 km)","Profundo (&gt;300 km)"))</x:f>
        <x:v>Superficial (&lt;70 km)</x:v>
      </x:c>
      <x:c r="M2952" s="25" t="str">
        <x:f>IF(J2952&gt;=5,"Sí","No")</x:f>
        <x:v>No</x:v>
      </x:c>
      <x:c r="N2952" s="25" t="str">
        <x:f>IF(J2952&gt;=6,"Sí","No")</x:f>
        <x:v>No</x:v>
      </x:c>
      <x:c r="O2952" s="25" t="str">
        <x:v>Pendiente: asignar con R/sf</x:v>
      </x:c>
    </x:row>
    <x:row r="2953">
      <x:c r="A2953" s="25" t="n">
        <x:v>2952</x:v>
      </x:c>
      <x:c r="B2953" s="26" t="n">
        <x:v>42821.1274537037</x:v>
      </x:c>
      <x:c r="C2953" s="27" t="n">
        <x:f>INT(B2953)</x:f>
        <x:v>42821</x:v>
      </x:c>
      <x:c r="D2953" s="28" t="n">
        <x:f>MOD(B2953,1)</x:f>
        <x:v>0.12745370370248565</x:v>
      </x:c>
      <x:c r="E2953" s="29" t="n">
        <x:f>YEAR(B2953)</x:f>
        <x:v>2017</x:v>
      </x:c>
      <x:c r="F2953" s="29" t="n">
        <x:f>MONTH(B2953)</x:f>
        <x:v>3</x:v>
      </x:c>
      <x:c r="G2953" s="30" t="n">
        <x:v>-36.16</x:v>
      </x:c>
      <x:c r="H2953" s="30" t="n">
        <x:v>-72.05</x:v>
      </x:c>
      <x:c r="I2953" s="29" t="n">
        <x:v>71</x:v>
      </x:c>
      <x:c r="J2953" s="31" t="n">
        <x:v>5.1</x:v>
      </x:c>
      <x:c r="K2953" s="25" t="str">
        <x:f>IF(J2953&gt;=7,"Muy fuerte (&gt;=7)",IF(J2953&gt;=6,"Fuerte (6-6.9)",IF(J2953&gt;=5,"Moderado alto (5-5.9)",IF(J2953&gt;=4,"Moderado (4-4.9)","Menor a 4"))))</x:f>
        <x:v>Moderado alto (5-5.9)</x:v>
      </x:c>
      <x:c r="L2953" s="25" t="str">
        <x:f>IF(I2953&lt;70,"Superficial (&lt;70 km)",IF(I2953&lt;=300,"Intermedio (70-300 km)","Profundo (&gt;300 km)"))</x:f>
        <x:v>Intermedio (70-300 km)</x:v>
      </x:c>
      <x:c r="M2953" s="25" t="str">
        <x:f>IF(J2953&gt;=5,"Sí","No")</x:f>
        <x:v>Sí</x:v>
      </x:c>
      <x:c r="N2953" s="25" t="str">
        <x:f>IF(J2953&gt;=6,"Sí","No")</x:f>
        <x:v>No</x:v>
      </x:c>
      <x:c r="O2953" s="25" t="str">
        <x:v>Pendiente: asignar con R/sf</x:v>
      </x:c>
    </x:row>
    <x:row r="2954">
      <x:c r="A2954" s="25" t="n">
        <x:v>2953</x:v>
      </x:c>
      <x:c r="B2954" s="26" t="n">
        <x:v>42869.84212962963</x:v>
      </x:c>
      <x:c r="C2954" s="27" t="n">
        <x:f>INT(B2954)</x:f>
        <x:v>42869</x:v>
      </x:c>
      <x:c r="D2954" s="28" t="n">
        <x:f>MOD(B2954,1)</x:f>
        <x:v>0.8421296296291985</x:v>
      </x:c>
      <x:c r="E2954" s="29" t="n">
        <x:f>YEAR(B2954)</x:f>
        <x:v>2017</x:v>
      </x:c>
      <x:c r="F2954" s="29" t="n">
        <x:f>MONTH(B2954)</x:f>
        <x:v>5</x:v>
      </x:c>
      <x:c r="G2954" s="30" t="n">
        <x:v>-36.84</x:v>
      </x:c>
      <x:c r="H2954" s="30" t="n">
        <x:v>-73.85</x:v>
      </x:c>
      <x:c r="I2954" s="29" t="n">
        <x:v>18</x:v>
      </x:c>
      <x:c r="J2954" s="31" t="n">
        <x:v>4.7</x:v>
      </x:c>
      <x:c r="K2954" s="25" t="str">
        <x:f>IF(J2954&gt;=7,"Muy fuerte (&gt;=7)",IF(J2954&gt;=6,"Fuerte (6-6.9)",IF(J2954&gt;=5,"Moderado alto (5-5.9)",IF(J2954&gt;=4,"Moderado (4-4.9)","Menor a 4"))))</x:f>
        <x:v>Moderado (4-4.9)</x:v>
      </x:c>
      <x:c r="L2954" s="25" t="str">
        <x:f>IF(I2954&lt;70,"Superficial (&lt;70 km)",IF(I2954&lt;=300,"Intermedio (70-300 km)","Profundo (&gt;300 km)"))</x:f>
        <x:v>Superficial (&lt;70 km)</x:v>
      </x:c>
      <x:c r="M2954" s="25" t="str">
        <x:f>IF(J2954&gt;=5,"Sí","No")</x:f>
        <x:v>No</x:v>
      </x:c>
      <x:c r="N2954" s="25" t="str">
        <x:f>IF(J2954&gt;=6,"Sí","No")</x:f>
        <x:v>No</x:v>
      </x:c>
      <x:c r="O2954" s="25" t="str">
        <x:v>Pendiente: asignar con R/sf</x:v>
      </x:c>
    </x:row>
    <x:row r="2955">
      <x:c r="A2955" s="25" t="n">
        <x:v>2954</x:v>
      </x:c>
      <x:c r="B2955" s="26" t="n">
        <x:v>42884.62355324074</x:v>
      </x:c>
      <x:c r="C2955" s="27" t="n">
        <x:f>INT(B2955)</x:f>
        <x:v>42884</x:v>
      </x:c>
      <x:c r="D2955" s="28" t="n">
        <x:f>MOD(B2955,1)</x:f>
        <x:v>0.6235532407372375</x:v>
      </x:c>
      <x:c r="E2955" s="29" t="n">
        <x:f>YEAR(B2955)</x:f>
        <x:v>2017</x:v>
      </x:c>
      <x:c r="F2955" s="29" t="n">
        <x:f>MONTH(B2955)</x:f>
        <x:v>5</x:v>
      </x:c>
      <x:c r="G2955" s="30" t="n">
        <x:v>-37.34</x:v>
      </x:c>
      <x:c r="H2955" s="30" t="n">
        <x:v>-71.8</x:v>
      </x:c>
      <x:c r="I2955" s="29" t="n">
        <x:v>87</x:v>
      </x:c>
      <x:c r="J2955" s="31" t="n">
        <x:v>5.8</x:v>
      </x:c>
      <x:c r="K2955" s="25" t="str">
        <x:f>IF(J2955&gt;=7,"Muy fuerte (&gt;=7)",IF(J2955&gt;=6,"Fuerte (6-6.9)",IF(J2955&gt;=5,"Moderado alto (5-5.9)",IF(J2955&gt;=4,"Moderado (4-4.9)","Menor a 4"))))</x:f>
        <x:v>Moderado alto (5-5.9)</x:v>
      </x:c>
      <x:c r="L2955" s="25" t="str">
        <x:f>IF(I2955&lt;70,"Superficial (&lt;70 km)",IF(I2955&lt;=300,"Intermedio (70-300 km)","Profundo (&gt;300 km)"))</x:f>
        <x:v>Intermedio (70-300 km)</x:v>
      </x:c>
      <x:c r="M2955" s="25" t="str">
        <x:f>IF(J2955&gt;=5,"Sí","No")</x:f>
        <x:v>Sí</x:v>
      </x:c>
      <x:c r="N2955" s="25" t="str">
        <x:f>IF(J2955&gt;=6,"Sí","No")</x:f>
        <x:v>No</x:v>
      </x:c>
      <x:c r="O2955" s="25" t="str">
        <x:v>Pendiente: asignar con R/sf</x:v>
      </x:c>
    </x:row>
    <x:row r="2956">
      <x:c r="A2956" s="25" t="n">
        <x:v>2955</x:v>
      </x:c>
      <x:c r="B2956" s="26" t="n">
        <x:v>42977.13584490741</x:v>
      </x:c>
      <x:c r="C2956" s="27" t="n">
        <x:f>INT(B2956)</x:f>
        <x:v>42977</x:v>
      </x:c>
      <x:c r="D2956" s="28" t="n">
        <x:f>MOD(B2956,1)</x:f>
        <x:v>0.13584490741050104</x:v>
      </x:c>
      <x:c r="E2956" s="29" t="n">
        <x:f>YEAR(B2956)</x:f>
        <x:v>2017</x:v>
      </x:c>
      <x:c r="F2956" s="29" t="n">
        <x:f>MONTH(B2956)</x:f>
        <x:v>8</x:v>
      </x:c>
      <x:c r="G2956" s="30" t="n">
        <x:v>-37.47</x:v>
      </x:c>
      <x:c r="H2956" s="30" t="n">
        <x:v>-73.35</x:v>
      </x:c>
      <x:c r="I2956" s="29" t="n">
        <x:v>29</x:v>
      </x:c>
      <x:c r="J2956" s="31" t="n">
        <x:v>5</x:v>
      </x:c>
      <x:c r="K2956" s="25" t="str">
        <x:f>IF(J2956&gt;=7,"Muy fuerte (&gt;=7)",IF(J2956&gt;=6,"Fuerte (6-6.9)",IF(J2956&gt;=5,"Moderado alto (5-5.9)",IF(J2956&gt;=4,"Moderado (4-4.9)","Menor a 4"))))</x:f>
        <x:v>Moderado alto (5-5.9)</x:v>
      </x:c>
      <x:c r="L2956" s="25" t="str">
        <x:f>IF(I2956&lt;70,"Superficial (&lt;70 km)",IF(I2956&lt;=300,"Intermedio (70-300 km)","Profundo (&gt;300 km)"))</x:f>
        <x:v>Superficial (&lt;70 km)</x:v>
      </x:c>
      <x:c r="M2956" s="25" t="str">
        <x:f>IF(J2956&gt;=5,"Sí","No")</x:f>
        <x:v>Sí</x:v>
      </x:c>
      <x:c r="N2956" s="25" t="str">
        <x:f>IF(J2956&gt;=6,"Sí","No")</x:f>
        <x:v>No</x:v>
      </x:c>
      <x:c r="O2956" s="25" t="str">
        <x:v>Pendiente: asignar con R/sf</x:v>
      </x:c>
    </x:row>
    <x:row r="2957">
      <x:c r="A2957" s="25" t="n">
        <x:v>2956</x:v>
      </x:c>
      <x:c r="B2957" s="26" t="n">
        <x:v>42746.92634259259</x:v>
      </x:c>
      <x:c r="C2957" s="27" t="n">
        <x:f>INT(B2957)</x:f>
        <x:v>42746</x:v>
      </x:c>
      <x:c r="D2957" s="28" t="n">
        <x:f>MOD(B2957,1)</x:f>
        <x:v>0.9263425925892079</x:v>
      </x:c>
      <x:c r="E2957" s="29" t="n">
        <x:f>YEAR(B2957)</x:f>
        <x:v>2017</x:v>
      </x:c>
      <x:c r="F2957" s="29" t="n">
        <x:f>MONTH(B2957)</x:f>
        <x:v>1</x:v>
      </x:c>
      <x:c r="G2957" s="30" t="n">
        <x:v>-22.8</x:v>
      </x:c>
      <x:c r="H2957" s="30" t="n">
        <x:v>-69.78</x:v>
      </x:c>
      <x:c r="I2957" s="29" t="n">
        <x:v>69</x:v>
      </x:c>
      <x:c r="J2957" s="31" t="n">
        <x:v>4.3</x:v>
      </x:c>
      <x:c r="K2957" s="25" t="str">
        <x:f>IF(J2957&gt;=7,"Muy fuerte (&gt;=7)",IF(J2957&gt;=6,"Fuerte (6-6.9)",IF(J2957&gt;=5,"Moderado alto (5-5.9)",IF(J2957&gt;=4,"Moderado (4-4.9)","Menor a 4"))))</x:f>
        <x:v>Moderado (4-4.9)</x:v>
      </x:c>
      <x:c r="L2957" s="25" t="str">
        <x:f>IF(I2957&lt;70,"Superficial (&lt;70 km)",IF(I2957&lt;=300,"Intermedio (70-300 km)","Profundo (&gt;300 km)"))</x:f>
        <x:v>Superficial (&lt;70 km)</x:v>
      </x:c>
      <x:c r="M2957" s="25" t="str">
        <x:f>IF(J2957&gt;=5,"Sí","No")</x:f>
        <x:v>No</x:v>
      </x:c>
      <x:c r="N2957" s="25" t="str">
        <x:f>IF(J2957&gt;=6,"Sí","No")</x:f>
        <x:v>No</x:v>
      </x:c>
      <x:c r="O2957" s="25" t="str">
        <x:v>Pendiente: asignar con R/sf</x:v>
      </x:c>
    </x:row>
    <x:row r="2958">
      <x:c r="A2958" s="25" t="n">
        <x:v>2957</x:v>
      </x:c>
      <x:c r="B2958" s="26" t="n">
        <x:v>42750.36696759259</x:v>
      </x:c>
      <x:c r="C2958" s="27" t="n">
        <x:f>INT(B2958)</x:f>
        <x:v>42750</x:v>
      </x:c>
      <x:c r="D2958" s="28" t="n">
        <x:f>MOD(B2958,1)</x:f>
        <x:v>0.3669675925921183</x:v>
      </x:c>
      <x:c r="E2958" s="29" t="n">
        <x:f>YEAR(B2958)</x:f>
        <x:v>2017</x:v>
      </x:c>
      <x:c r="F2958" s="29" t="n">
        <x:f>MONTH(B2958)</x:f>
        <x:v>1</x:v>
      </x:c>
      <x:c r="G2958" s="30" t="n">
        <x:v>-22.5</x:v>
      </x:c>
      <x:c r="H2958" s="30" t="n">
        <x:v>-68.75</x:v>
      </x:c>
      <x:c r="I2958" s="29" t="n">
        <x:v>115</x:v>
      </x:c>
      <x:c r="J2958" s="31" t="n">
        <x:v>4.9</x:v>
      </x:c>
      <x:c r="K2958" s="25" t="str">
        <x:f>IF(J2958&gt;=7,"Muy fuerte (&gt;=7)",IF(J2958&gt;=6,"Fuerte (6-6.9)",IF(J2958&gt;=5,"Moderado alto (5-5.9)",IF(J2958&gt;=4,"Moderado (4-4.9)","Menor a 4"))))</x:f>
        <x:v>Moderado (4-4.9)</x:v>
      </x:c>
      <x:c r="L2958" s="25" t="str">
        <x:f>IF(I2958&lt;70,"Superficial (&lt;70 km)",IF(I2958&lt;=300,"Intermedio (70-300 km)","Profundo (&gt;300 km)"))</x:f>
        <x:v>Intermedio (70-300 km)</x:v>
      </x:c>
      <x:c r="M2958" s="25" t="str">
        <x:f>IF(J2958&gt;=5,"Sí","No")</x:f>
        <x:v>No</x:v>
      </x:c>
      <x:c r="N2958" s="25" t="str">
        <x:f>IF(J2958&gt;=6,"Sí","No")</x:f>
        <x:v>No</x:v>
      </x:c>
      <x:c r="O2958" s="25" t="str">
        <x:v>Pendiente: asignar con R/sf</x:v>
      </x:c>
    </x:row>
    <x:row r="2959">
      <x:c r="A2959" s="25" t="n">
        <x:v>2958</x:v>
      </x:c>
      <x:c r="B2959" s="26" t="n">
        <x:v>42762.55799768519</x:v>
      </x:c>
      <x:c r="C2959" s="27" t="n">
        <x:f>INT(B2959)</x:f>
        <x:v>42762</x:v>
      </x:c>
      <x:c r="D2959" s="28" t="n">
        <x:f>MOD(B2959,1)</x:f>
        <x:v>0.5579976851877291</x:v>
      </x:c>
      <x:c r="E2959" s="29" t="n">
        <x:f>YEAR(B2959)</x:f>
        <x:v>2017</x:v>
      </x:c>
      <x:c r="F2959" s="29" t="n">
        <x:f>MONTH(B2959)</x:f>
        <x:v>1</x:v>
      </x:c>
      <x:c r="G2959" s="30" t="n">
        <x:v>-22.48</x:v>
      </x:c>
      <x:c r="H2959" s="30" t="n">
        <x:v>-68.67</x:v>
      </x:c>
      <x:c r="I2959" s="29" t="n">
        <x:v>110</x:v>
      </x:c>
      <x:c r="J2959" s="31" t="n">
        <x:v>4.9</x:v>
      </x:c>
      <x:c r="K2959" s="25" t="str">
        <x:f>IF(J2959&gt;=7,"Muy fuerte (&gt;=7)",IF(J2959&gt;=6,"Fuerte (6-6.9)",IF(J2959&gt;=5,"Moderado alto (5-5.9)",IF(J2959&gt;=4,"Moderado (4-4.9)","Menor a 4"))))</x:f>
        <x:v>Moderado (4-4.9)</x:v>
      </x:c>
      <x:c r="L2959" s="25" t="str">
        <x:f>IF(I2959&lt;70,"Superficial (&lt;70 km)",IF(I2959&lt;=300,"Intermedio (70-300 km)","Profundo (&gt;300 km)"))</x:f>
        <x:v>Intermedio (70-300 km)</x:v>
      </x:c>
      <x:c r="M2959" s="25" t="str">
        <x:f>IF(J2959&gt;=5,"Sí","No")</x:f>
        <x:v>No</x:v>
      </x:c>
      <x:c r="N2959" s="25" t="str">
        <x:f>IF(J2959&gt;=6,"Sí","No")</x:f>
        <x:v>No</x:v>
      </x:c>
      <x:c r="O2959" s="25" t="str">
        <x:v>Pendiente: asignar con R/sf</x:v>
      </x:c>
    </x:row>
    <x:row r="2960">
      <x:c r="A2960" s="25" t="n">
        <x:v>2959</x:v>
      </x:c>
      <x:c r="B2960" s="26" t="n">
        <x:v>42784.79052083333</x:v>
      </x:c>
      <x:c r="C2960" s="27" t="n">
        <x:f>INT(B2960)</x:f>
        <x:v>42784</x:v>
      </x:c>
      <x:c r="D2960" s="28" t="n">
        <x:f>MOD(B2960,1)</x:f>
        <x:v>0.7905208333322662</x:v>
      </x:c>
      <x:c r="E2960" s="29" t="n">
        <x:f>YEAR(B2960)</x:f>
        <x:v>2017</x:v>
      </x:c>
      <x:c r="F2960" s="29" t="n">
        <x:f>MONTH(B2960)</x:f>
        <x:v>2</x:v>
      </x:c>
      <x:c r="G2960" s="30" t="n">
        <x:v>-22.11</x:v>
      </x:c>
      <x:c r="H2960" s="30" t="n">
        <x:v>-68.74</x:v>
      </x:c>
      <x:c r="I2960" s="29" t="n">
        <x:v>97</x:v>
      </x:c>
      <x:c r="J2960" s="31" t="n">
        <x:v>4.3</x:v>
      </x:c>
      <x:c r="K2960" s="25" t="str">
        <x:f>IF(J2960&gt;=7,"Muy fuerte (&gt;=7)",IF(J2960&gt;=6,"Fuerte (6-6.9)",IF(J2960&gt;=5,"Moderado alto (5-5.9)",IF(J2960&gt;=4,"Moderado (4-4.9)","Menor a 4"))))</x:f>
        <x:v>Moderado (4-4.9)</x:v>
      </x:c>
      <x:c r="L2960" s="25" t="str">
        <x:f>IF(I2960&lt;70,"Superficial (&lt;70 km)",IF(I2960&lt;=300,"Intermedio (70-300 km)","Profundo (&gt;300 km)"))</x:f>
        <x:v>Intermedio (70-300 km)</x:v>
      </x:c>
      <x:c r="M2960" s="25" t="str">
        <x:f>IF(J2960&gt;=5,"Sí","No")</x:f>
        <x:v>No</x:v>
      </x:c>
      <x:c r="N2960" s="25" t="str">
        <x:f>IF(J2960&gt;=6,"Sí","No")</x:f>
        <x:v>No</x:v>
      </x:c>
      <x:c r="O2960" s="25" t="str">
        <x:v>Pendiente: asignar con R/sf</x:v>
      </x:c>
    </x:row>
    <x:row r="2961">
      <x:c r="A2961" s="25" t="n">
        <x:v>2960</x:v>
      </x:c>
      <x:c r="B2961" s="26" t="n">
        <x:v>42844.152708333335</x:v>
      </x:c>
      <x:c r="C2961" s="27" t="n">
        <x:f>INT(B2961)</x:f>
        <x:v>42844</x:v>
      </x:c>
      <x:c r="D2961" s="28" t="n">
        <x:f>MOD(B2961,1)</x:f>
        <x:v>0.15270833333488554</x:v>
      </x:c>
      <x:c r="E2961" s="29" t="n">
        <x:f>YEAR(B2961)</x:f>
        <x:v>2017</x:v>
      </x:c>
      <x:c r="F2961" s="29" t="n">
        <x:f>MONTH(B2961)</x:f>
        <x:v>4</x:v>
      </x:c>
      <x:c r="G2961" s="30" t="n">
        <x:v>-22.33</x:v>
      </x:c>
      <x:c r="H2961" s="30" t="n">
        <x:v>-68.82</x:v>
      </x:c>
      <x:c r="I2961" s="29" t="n">
        <x:v>117</x:v>
      </x:c>
      <x:c r="J2961" s="31" t="n">
        <x:v>4.2</x:v>
      </x:c>
      <x:c r="K2961" s="25" t="str">
        <x:f>IF(J2961&gt;=7,"Muy fuerte (&gt;=7)",IF(J2961&gt;=6,"Fuerte (6-6.9)",IF(J2961&gt;=5,"Moderado alto (5-5.9)",IF(J2961&gt;=4,"Moderado (4-4.9)","Menor a 4"))))</x:f>
        <x:v>Moderado (4-4.9)</x:v>
      </x:c>
      <x:c r="L2961" s="25" t="str">
        <x:f>IF(I2961&lt;70,"Superficial (&lt;70 km)",IF(I2961&lt;=300,"Intermedio (70-300 km)","Profundo (&gt;300 km)"))</x:f>
        <x:v>Intermedio (70-300 km)</x:v>
      </x:c>
      <x:c r="M2961" s="25" t="str">
        <x:f>IF(J2961&gt;=5,"Sí","No")</x:f>
        <x:v>No</x:v>
      </x:c>
      <x:c r="N2961" s="25" t="str">
        <x:f>IF(J2961&gt;=6,"Sí","No")</x:f>
        <x:v>No</x:v>
      </x:c>
      <x:c r="O2961" s="25" t="str">
        <x:v>Pendiente: asignar con R/sf</x:v>
      </x:c>
    </x:row>
    <x:row r="2962">
      <x:c r="A2962" s="25" t="n">
        <x:v>2961</x:v>
      </x:c>
      <x:c r="B2962" s="26" t="n">
        <x:v>42886.7353125</x:v>
      </x:c>
      <x:c r="C2962" s="27" t="n">
        <x:f>INT(B2962)</x:f>
        <x:v>42886</x:v>
      </x:c>
      <x:c r="D2962" s="28" t="n">
        <x:f>MOD(B2962,1)</x:f>
        <x:v>0.7353125000008731</x:v>
      </x:c>
      <x:c r="E2962" s="29" t="n">
        <x:f>YEAR(B2962)</x:f>
        <x:v>2017</x:v>
      </x:c>
      <x:c r="F2962" s="29" t="n">
        <x:f>MONTH(B2962)</x:f>
        <x:v>5</x:v>
      </x:c>
      <x:c r="G2962" s="30" t="n">
        <x:v>-22.7</x:v>
      </x:c>
      <x:c r="H2962" s="30" t="n">
        <x:v>-68.53</x:v>
      </x:c>
      <x:c r="I2962" s="29" t="n">
        <x:v>127</x:v>
      </x:c>
      <x:c r="J2962" s="31" t="n">
        <x:v>4.9</x:v>
      </x:c>
      <x:c r="K2962" s="25" t="str">
        <x:f>IF(J2962&gt;=7,"Muy fuerte (&gt;=7)",IF(J2962&gt;=6,"Fuerte (6-6.9)",IF(J2962&gt;=5,"Moderado alto (5-5.9)",IF(J2962&gt;=4,"Moderado (4-4.9)","Menor a 4"))))</x:f>
        <x:v>Moderado (4-4.9)</x:v>
      </x:c>
      <x:c r="L2962" s="25" t="str">
        <x:f>IF(I2962&lt;70,"Superficial (&lt;70 km)",IF(I2962&lt;=300,"Intermedio (70-300 km)","Profundo (&gt;300 km)"))</x:f>
        <x:v>Intermedio (70-300 km)</x:v>
      </x:c>
      <x:c r="M2962" s="25" t="str">
        <x:f>IF(J2962&gt;=5,"Sí","No")</x:f>
        <x:v>No</x:v>
      </x:c>
      <x:c r="N2962" s="25" t="str">
        <x:f>IF(J2962&gt;=6,"Sí","No")</x:f>
        <x:v>No</x:v>
      </x:c>
      <x:c r="O2962" s="25" t="str">
        <x:v>Pendiente: asignar con R/sf</x:v>
      </x:c>
    </x:row>
    <x:row r="2963">
      <x:c r="A2963" s="25" t="n">
        <x:v>2962</x:v>
      </x:c>
      <x:c r="B2963" s="26" t="n">
        <x:v>42895.180763888886</x:v>
      </x:c>
      <x:c r="C2963" s="27" t="n">
        <x:f>INT(B2963)</x:f>
        <x:v>42895</x:v>
      </x:c>
      <x:c r="D2963" s="28" t="n">
        <x:f>MOD(B2963,1)</x:f>
        <x:v>0.18076388888584916</x:v>
      </x:c>
      <x:c r="E2963" s="29" t="n">
        <x:f>YEAR(B2963)</x:f>
        <x:v>2017</x:v>
      </x:c>
      <x:c r="F2963" s="29" t="n">
        <x:f>MONTH(B2963)</x:f>
        <x:v>6</x:v>
      </x:c>
      <x:c r="G2963" s="30" t="n">
        <x:v>-22.57</x:v>
      </x:c>
      <x:c r="H2963" s="30" t="n">
        <x:v>-68.9</x:v>
      </x:c>
      <x:c r="I2963" s="29" t="n">
        <x:v>126</x:v>
      </x:c>
      <x:c r="J2963" s="31" t="n">
        <x:v>4.2</x:v>
      </x:c>
      <x:c r="K2963" s="25" t="str">
        <x:f>IF(J2963&gt;=7,"Muy fuerte (&gt;=7)",IF(J2963&gt;=6,"Fuerte (6-6.9)",IF(J2963&gt;=5,"Moderado alto (5-5.9)",IF(J2963&gt;=4,"Moderado (4-4.9)","Menor a 4"))))</x:f>
        <x:v>Moderado (4-4.9)</x:v>
      </x:c>
      <x:c r="L2963" s="25" t="str">
        <x:f>IF(I2963&lt;70,"Superficial (&lt;70 km)",IF(I2963&lt;=300,"Intermedio (70-300 km)","Profundo (&gt;300 km)"))</x:f>
        <x:v>Intermedio (70-300 km)</x:v>
      </x:c>
      <x:c r="M2963" s="25" t="str">
        <x:f>IF(J2963&gt;=5,"Sí","No")</x:f>
        <x:v>No</x:v>
      </x:c>
      <x:c r="N2963" s="25" t="str">
        <x:f>IF(J2963&gt;=6,"Sí","No")</x:f>
        <x:v>No</x:v>
      </x:c>
      <x:c r="O2963" s="25" t="str">
        <x:v>Pendiente: asignar con R/sf</x:v>
      </x:c>
    </x:row>
    <x:row r="2964">
      <x:c r="A2964" s="25" t="n">
        <x:v>2963</x:v>
      </x:c>
      <x:c r="B2964" s="26" t="n">
        <x:v>42903.65</x:v>
      </x:c>
      <x:c r="C2964" s="27" t="n">
        <x:f>INT(B2964)</x:f>
        <x:v>42903</x:v>
      </x:c>
      <x:c r="D2964" s="28" t="n">
        <x:f>MOD(B2964,1)</x:f>
        <x:v>0.6500000000014552</x:v>
      </x:c>
      <x:c r="E2964" s="29" t="n">
        <x:f>YEAR(B2964)</x:f>
        <x:v>2017</x:v>
      </x:c>
      <x:c r="F2964" s="29" t="n">
        <x:f>MONTH(B2964)</x:f>
        <x:v>6</x:v>
      </x:c>
      <x:c r="G2964" s="30" t="n">
        <x:v>-22.75</x:v>
      </x:c>
      <x:c r="H2964" s="30" t="n">
        <x:v>-68.85</x:v>
      </x:c>
      <x:c r="I2964" s="29" t="n">
        <x:v>100</x:v>
      </x:c>
      <x:c r="J2964" s="31" t="n">
        <x:v>4.6</x:v>
      </x:c>
      <x:c r="K2964" s="25" t="str">
        <x:f>IF(J2964&gt;=7,"Muy fuerte (&gt;=7)",IF(J2964&gt;=6,"Fuerte (6-6.9)",IF(J2964&gt;=5,"Moderado alto (5-5.9)",IF(J2964&gt;=4,"Moderado (4-4.9)","Menor a 4"))))</x:f>
        <x:v>Moderado (4-4.9)</x:v>
      </x:c>
      <x:c r="L2964" s="25" t="str">
        <x:f>IF(I2964&lt;70,"Superficial (&lt;70 km)",IF(I2964&lt;=300,"Intermedio (70-300 km)","Profundo (&gt;300 km)"))</x:f>
        <x:v>Intermedio (70-300 km)</x:v>
      </x:c>
      <x:c r="M2964" s="25" t="str">
        <x:f>IF(J2964&gt;=5,"Sí","No")</x:f>
        <x:v>No</x:v>
      </x:c>
      <x:c r="N2964" s="25" t="str">
        <x:f>IF(J2964&gt;=6,"Sí","No")</x:f>
        <x:v>No</x:v>
      </x:c>
      <x:c r="O2964" s="25" t="str">
        <x:v>Pendiente: asignar con R/sf</x:v>
      </x:c>
    </x:row>
    <x:row r="2965">
      <x:c r="A2965" s="25" t="n">
        <x:v>2964</x:v>
      </x:c>
      <x:c r="B2965" s="26" t="n">
        <x:v>42911.593125</x:v>
      </x:c>
      <x:c r="C2965" s="27" t="n">
        <x:f>INT(B2965)</x:f>
        <x:v>42911</x:v>
      </x:c>
      <x:c r="D2965" s="28" t="n">
        <x:f>MOD(B2965,1)</x:f>
        <x:v>0.5931249999994179</x:v>
      </x:c>
      <x:c r="E2965" s="29" t="n">
        <x:f>YEAR(B2965)</x:f>
        <x:v>2017</x:v>
      </x:c>
      <x:c r="F2965" s="29" t="n">
        <x:f>MONTH(B2965)</x:f>
        <x:v>6</x:v>
      </x:c>
      <x:c r="G2965" s="30" t="n">
        <x:v>-22.37</x:v>
      </x:c>
      <x:c r="H2965" s="30" t="n">
        <x:v>-68.8</x:v>
      </x:c>
      <x:c r="I2965" s="29" t="n">
        <x:v>101</x:v>
      </x:c>
      <x:c r="J2965" s="31" t="n">
        <x:v>4.6</x:v>
      </x:c>
      <x:c r="K2965" s="25" t="str">
        <x:f>IF(J2965&gt;=7,"Muy fuerte (&gt;=7)",IF(J2965&gt;=6,"Fuerte (6-6.9)",IF(J2965&gt;=5,"Moderado alto (5-5.9)",IF(J2965&gt;=4,"Moderado (4-4.9)","Menor a 4"))))</x:f>
        <x:v>Moderado (4-4.9)</x:v>
      </x:c>
      <x:c r="L2965" s="25" t="str">
        <x:f>IF(I2965&lt;70,"Superficial (&lt;70 km)",IF(I2965&lt;=300,"Intermedio (70-300 km)","Profundo (&gt;300 km)"))</x:f>
        <x:v>Intermedio (70-300 km)</x:v>
      </x:c>
      <x:c r="M2965" s="25" t="str">
        <x:f>IF(J2965&gt;=5,"Sí","No")</x:f>
        <x:v>No</x:v>
      </x:c>
      <x:c r="N2965" s="25" t="str">
        <x:f>IF(J2965&gt;=6,"Sí","No")</x:f>
        <x:v>No</x:v>
      </x:c>
      <x:c r="O2965" s="25" t="str">
        <x:v>Pendiente: asignar con R/sf</x:v>
      </x:c>
    </x:row>
    <x:row r="2966">
      <x:c r="A2966" s="25" t="n">
        <x:v>2965</x:v>
      </x:c>
      <x:c r="B2966" s="26" t="n">
        <x:v>42940.181759259256</x:v>
      </x:c>
      <x:c r="C2966" s="27" t="n">
        <x:f>INT(B2966)</x:f>
        <x:v>42940</x:v>
      </x:c>
      <x:c r="D2966" s="28" t="n">
        <x:f>MOD(B2966,1)</x:f>
        <x:v>0.18175925925606862</x:v>
      </x:c>
      <x:c r="E2966" s="29" t="n">
        <x:f>YEAR(B2966)</x:f>
        <x:v>2017</x:v>
      </x:c>
      <x:c r="F2966" s="29" t="n">
        <x:f>MONTH(B2966)</x:f>
        <x:v>7</x:v>
      </x:c>
      <x:c r="G2966" s="30" t="n">
        <x:v>-21.91</x:v>
      </x:c>
      <x:c r="H2966" s="30" t="n">
        <x:v>-68.58</x:v>
      </x:c>
      <x:c r="I2966" s="29" t="n">
        <x:v>110</x:v>
      </x:c>
      <x:c r="J2966" s="31" t="n">
        <x:v>4.8</x:v>
      </x:c>
      <x:c r="K2966" s="25" t="str">
        <x:f>IF(J2966&gt;=7,"Muy fuerte (&gt;=7)",IF(J2966&gt;=6,"Fuerte (6-6.9)",IF(J2966&gt;=5,"Moderado alto (5-5.9)",IF(J2966&gt;=4,"Moderado (4-4.9)","Menor a 4"))))</x:f>
        <x:v>Moderado (4-4.9)</x:v>
      </x:c>
      <x:c r="L2966" s="25" t="str">
        <x:f>IF(I2966&lt;70,"Superficial (&lt;70 km)",IF(I2966&lt;=300,"Intermedio (70-300 km)","Profundo (&gt;300 km)"))</x:f>
        <x:v>Intermedio (70-300 km)</x:v>
      </x:c>
      <x:c r="M2966" s="25" t="str">
        <x:f>IF(J2966&gt;=5,"Sí","No")</x:f>
        <x:v>No</x:v>
      </x:c>
      <x:c r="N2966" s="25" t="str">
        <x:f>IF(J2966&gt;=6,"Sí","No")</x:f>
        <x:v>No</x:v>
      </x:c>
      <x:c r="O2966" s="25" t="str">
        <x:v>Pendiente: asignar con R/sf</x:v>
      </x:c>
    </x:row>
    <x:row r="2967">
      <x:c r="A2967" s="25" t="n">
        <x:v>2966</x:v>
      </x:c>
      <x:c r="B2967" s="26" t="n">
        <x:v>42941.13791666667</x:v>
      </x:c>
      <x:c r="C2967" s="27" t="n">
        <x:f>INT(B2967)</x:f>
        <x:v>42941</x:v>
      </x:c>
      <x:c r="D2967" s="28" t="n">
        <x:f>MOD(B2967,1)</x:f>
        <x:v>0.13791666666656965</x:v>
      </x:c>
      <x:c r="E2967" s="29" t="n">
        <x:f>YEAR(B2967)</x:f>
        <x:v>2017</x:v>
      </x:c>
      <x:c r="F2967" s="29" t="n">
        <x:f>MONTH(B2967)</x:f>
        <x:v>7</x:v>
      </x:c>
      <x:c r="G2967" s="30" t="n">
        <x:v>-22.74</x:v>
      </x:c>
      <x:c r="H2967" s="30" t="n">
        <x:v>-69.15</x:v>
      </x:c>
      <x:c r="I2967" s="29" t="n">
        <x:v>91</x:v>
      </x:c>
      <x:c r="J2967" s="31" t="n">
        <x:v>4.4</x:v>
      </x:c>
      <x:c r="K2967" s="25" t="str">
        <x:f>IF(J2967&gt;=7,"Muy fuerte (&gt;=7)",IF(J2967&gt;=6,"Fuerte (6-6.9)",IF(J2967&gt;=5,"Moderado alto (5-5.9)",IF(J2967&gt;=4,"Moderado (4-4.9)","Menor a 4"))))</x:f>
        <x:v>Moderado (4-4.9)</x:v>
      </x:c>
      <x:c r="L2967" s="25" t="str">
        <x:f>IF(I2967&lt;70,"Superficial (&lt;70 km)",IF(I2967&lt;=300,"Intermedio (70-300 km)","Profundo (&gt;300 km)"))</x:f>
        <x:v>Intermedio (70-300 km)</x:v>
      </x:c>
      <x:c r="M2967" s="25" t="str">
        <x:f>IF(J2967&gt;=5,"Sí","No")</x:f>
        <x:v>No</x:v>
      </x:c>
      <x:c r="N2967" s="25" t="str">
        <x:f>IF(J2967&gt;=6,"Sí","No")</x:f>
        <x:v>No</x:v>
      </x:c>
      <x:c r="O2967" s="25" t="str">
        <x:v>Pendiente: asignar con R/sf</x:v>
      </x:c>
    </x:row>
    <x:row r="2968">
      <x:c r="A2968" s="25" t="n">
        <x:v>2967</x:v>
      </x:c>
      <x:c r="B2968" s="26" t="n">
        <x:v>42959.053923611114</x:v>
      </x:c>
      <x:c r="C2968" s="27" t="n">
        <x:f>INT(B2968)</x:f>
        <x:v>42959</x:v>
      </x:c>
      <x:c r="D2968" s="28" t="n">
        <x:f>MOD(B2968,1)</x:f>
        <x:v>0.05392361111444188</x:v>
      </x:c>
      <x:c r="E2968" s="29" t="n">
        <x:f>YEAR(B2968)</x:f>
        <x:v>2017</x:v>
      </x:c>
      <x:c r="F2968" s="29" t="n">
        <x:f>MONTH(B2968)</x:f>
        <x:v>8</x:v>
      </x:c>
      <x:c r="G2968" s="30" t="n">
        <x:v>-22.55</x:v>
      </x:c>
      <x:c r="H2968" s="30" t="n">
        <x:v>-68.88</x:v>
      </x:c>
      <x:c r="I2968" s="29" t="n">
        <x:v>91</x:v>
      </x:c>
      <x:c r="J2968" s="31" t="n">
        <x:v>4.7</x:v>
      </x:c>
      <x:c r="K2968" s="25" t="str">
        <x:f>IF(J2968&gt;=7,"Muy fuerte (&gt;=7)",IF(J2968&gt;=6,"Fuerte (6-6.9)",IF(J2968&gt;=5,"Moderado alto (5-5.9)",IF(J2968&gt;=4,"Moderado (4-4.9)","Menor a 4"))))</x:f>
        <x:v>Moderado (4-4.9)</x:v>
      </x:c>
      <x:c r="L2968" s="25" t="str">
        <x:f>IF(I2968&lt;70,"Superficial (&lt;70 km)",IF(I2968&lt;=300,"Intermedio (70-300 km)","Profundo (&gt;300 km)"))</x:f>
        <x:v>Intermedio (70-300 km)</x:v>
      </x:c>
      <x:c r="M2968" s="25" t="str">
        <x:f>IF(J2968&gt;=5,"Sí","No")</x:f>
        <x:v>No</x:v>
      </x:c>
      <x:c r="N2968" s="25" t="str">
        <x:f>IF(J2968&gt;=6,"Sí","No")</x:f>
        <x:v>No</x:v>
      </x:c>
      <x:c r="O2968" s="25" t="str">
        <x:v>Pendiente: asignar con R/sf</x:v>
      </x:c>
    </x:row>
    <x:row r="2969">
      <x:c r="A2969" s="25" t="n">
        <x:v>2968</x:v>
      </x:c>
      <x:c r="B2969" s="26" t="n">
        <x:v>43010.92215277778</x:v>
      </x:c>
      <x:c r="C2969" s="27" t="n">
        <x:f>INT(B2969)</x:f>
        <x:v>43010</x:v>
      </x:c>
      <x:c r="D2969" s="28" t="n">
        <x:f>MOD(B2969,1)</x:f>
        <x:v>0.922152777777228</x:v>
      </x:c>
      <x:c r="E2969" s="29" t="n">
        <x:f>YEAR(B2969)</x:f>
        <x:v>2017</x:v>
      </x:c>
      <x:c r="F2969" s="29" t="n">
        <x:f>MONTH(B2969)</x:f>
        <x:v>10</x:v>
      </x:c>
      <x:c r="G2969" s="30" t="n">
        <x:v>-22.21</x:v>
      </x:c>
      <x:c r="H2969" s="30" t="n">
        <x:v>-68.73</x:v>
      </x:c>
      <x:c r="I2969" s="29" t="n">
        <x:v>112</x:v>
      </x:c>
      <x:c r="J2969" s="31" t="n">
        <x:v>4.6</x:v>
      </x:c>
      <x:c r="K2969" s="25" t="str">
        <x:f>IF(J2969&gt;=7,"Muy fuerte (&gt;=7)",IF(J2969&gt;=6,"Fuerte (6-6.9)",IF(J2969&gt;=5,"Moderado alto (5-5.9)",IF(J2969&gt;=4,"Moderado (4-4.9)","Menor a 4"))))</x:f>
        <x:v>Moderado (4-4.9)</x:v>
      </x:c>
      <x:c r="L2969" s="25" t="str">
        <x:f>IF(I2969&lt;70,"Superficial (&lt;70 km)",IF(I2969&lt;=300,"Intermedio (70-300 km)","Profundo (&gt;300 km)"))</x:f>
        <x:v>Intermedio (70-300 km)</x:v>
      </x:c>
      <x:c r="M2969" s="25" t="str">
        <x:f>IF(J2969&gt;=5,"Sí","No")</x:f>
        <x:v>No</x:v>
      </x:c>
      <x:c r="N2969" s="25" t="str">
        <x:f>IF(J2969&gt;=6,"Sí","No")</x:f>
        <x:v>No</x:v>
      </x:c>
      <x:c r="O2969" s="25" t="str">
        <x:v>Pendiente: asignar con R/sf</x:v>
      </x:c>
    </x:row>
    <x:row r="2970">
      <x:c r="A2970" s="25" t="n">
        <x:v>2969</x:v>
      </x:c>
      <x:c r="B2970" s="26" t="n">
        <x:v>42998.74421296296</x:v>
      </x:c>
      <x:c r="C2970" s="27" t="n">
        <x:f>INT(B2970)</x:f>
        <x:v>42998</x:v>
      </x:c>
      <x:c r="D2970" s="28" t="n">
        <x:f>MOD(B2970,1)</x:f>
        <x:v>0.7442129629635019</x:v>
      </x:c>
      <x:c r="E2970" s="29" t="n">
        <x:f>YEAR(B2970)</x:f>
        <x:v>2017</x:v>
      </x:c>
      <x:c r="F2970" s="29" t="n">
        <x:f>MONTH(B2970)</x:f>
        <x:v>9</x:v>
      </x:c>
      <x:c r="G2970" s="30" t="n">
        <x:v>-18.05</x:v>
      </x:c>
      <x:c r="H2970" s="30" t="n">
        <x:v>-69.93</x:v>
      </x:c>
      <x:c r="I2970" s="29" t="n">
        <x:v>105</x:v>
      </x:c>
      <x:c r="J2970" s="31" t="n">
        <x:v>4.7</x:v>
      </x:c>
      <x:c r="K2970" s="25" t="str">
        <x:f>IF(J2970&gt;=7,"Muy fuerte (&gt;=7)",IF(J2970&gt;=6,"Fuerte (6-6.9)",IF(J2970&gt;=5,"Moderado alto (5-5.9)",IF(J2970&gt;=4,"Moderado (4-4.9)","Menor a 4"))))</x:f>
        <x:v>Moderado (4-4.9)</x:v>
      </x:c>
      <x:c r="L2970" s="25" t="str">
        <x:f>IF(I2970&lt;70,"Superficial (&lt;70 km)",IF(I2970&lt;=300,"Intermedio (70-300 km)","Profundo (&gt;300 km)"))</x:f>
        <x:v>Intermedio (70-300 km)</x:v>
      </x:c>
      <x:c r="M2970" s="25" t="str">
        <x:f>IF(J2970&gt;=5,"Sí","No")</x:f>
        <x:v>No</x:v>
      </x:c>
      <x:c r="N2970" s="25" t="str">
        <x:f>IF(J2970&gt;=6,"Sí","No")</x:f>
        <x:v>No</x:v>
      </x:c>
      <x:c r="O2970" s="25" t="str">
        <x:v>Pendiente: asignar con R/sf</x:v>
      </x:c>
    </x:row>
    <x:row r="2971">
      <x:c r="A2971" s="25" t="n">
        <x:v>2970</x:v>
      </x:c>
      <x:c r="B2971" s="26" t="n">
        <x:v>43018.29498842593</x:v>
      </x:c>
      <x:c r="C2971" s="27" t="n">
        <x:f>INT(B2971)</x:f>
        <x:v>43018</x:v>
      </x:c>
      <x:c r="D2971" s="28" t="n">
        <x:f>MOD(B2971,1)</x:f>
        <x:v>0.2949884259287501</x:v>
      </x:c>
      <x:c r="E2971" s="29" t="n">
        <x:f>YEAR(B2971)</x:f>
        <x:v>2017</x:v>
      </x:c>
      <x:c r="F2971" s="29" t="n">
        <x:f>MONTH(B2971)</x:f>
        <x:v>10</x:v>
      </x:c>
      <x:c r="G2971" s="30" t="n">
        <x:v>-18.62</x:v>
      </x:c>
      <x:c r="H2971" s="30" t="n">
        <x:v>-69.78</x:v>
      </x:c>
      <x:c r="I2971" s="29" t="n">
        <x:v>75</x:v>
      </x:c>
      <x:c r="J2971" s="31" t="n">
        <x:v>4.5</x:v>
      </x:c>
      <x:c r="K2971" s="25" t="str">
        <x:f>IF(J2971&gt;=7,"Muy fuerte (&gt;=7)",IF(J2971&gt;=6,"Fuerte (6-6.9)",IF(J2971&gt;=5,"Moderado alto (5-5.9)",IF(J2971&gt;=4,"Moderado (4-4.9)","Menor a 4"))))</x:f>
        <x:v>Moderado (4-4.9)</x:v>
      </x:c>
      <x:c r="L2971" s="25" t="str">
        <x:f>IF(I2971&lt;70,"Superficial (&lt;70 km)",IF(I2971&lt;=300,"Intermedio (70-300 km)","Profundo (&gt;300 km)"))</x:f>
        <x:v>Intermedio (70-300 km)</x:v>
      </x:c>
      <x:c r="M2971" s="25" t="str">
        <x:f>IF(J2971&gt;=5,"Sí","No")</x:f>
        <x:v>No</x:v>
      </x:c>
      <x:c r="N2971" s="25" t="str">
        <x:f>IF(J2971&gt;=6,"Sí","No")</x:f>
        <x:v>No</x:v>
      </x:c>
      <x:c r="O2971" s="25" t="str">
        <x:v>Pendiente: asignar con R/sf</x:v>
      </x:c>
    </x:row>
    <x:row r="2972">
      <x:c r="A2972" s="25" t="n">
        <x:v>2971</x:v>
      </x:c>
      <x:c r="B2972" s="26" t="n">
        <x:v>43084.5931712963</x:v>
      </x:c>
      <x:c r="C2972" s="27" t="n">
        <x:f>INT(B2972)</x:f>
        <x:v>43084</x:v>
      </x:c>
      <x:c r="D2972" s="28" t="n">
        <x:f>MOD(B2972,1)</x:f>
        <x:v>0.5931712962992606</x:v>
      </x:c>
      <x:c r="E2972" s="29" t="n">
        <x:f>YEAR(B2972)</x:f>
        <x:v>2017</x:v>
      </x:c>
      <x:c r="F2972" s="29" t="n">
        <x:f>MONTH(B2972)</x:f>
        <x:v>12</x:v>
      </x:c>
      <x:c r="G2972" s="30" t="n">
        <x:v>-18.01</x:v>
      </x:c>
      <x:c r="H2972" s="30" t="n">
        <x:v>-70.08</x:v>
      </x:c>
      <x:c r="I2972" s="29" t="n">
        <x:v>84</x:v>
      </x:c>
      <x:c r="J2972" s="31" t="n">
        <x:v>4.5</x:v>
      </x:c>
      <x:c r="K2972" s="25" t="str">
        <x:f>IF(J2972&gt;=7,"Muy fuerte (&gt;=7)",IF(J2972&gt;=6,"Fuerte (6-6.9)",IF(J2972&gt;=5,"Moderado alto (5-5.9)",IF(J2972&gt;=4,"Moderado (4-4.9)","Menor a 4"))))</x:f>
        <x:v>Moderado (4-4.9)</x:v>
      </x:c>
      <x:c r="L2972" s="25" t="str">
        <x:f>IF(I2972&lt;70,"Superficial (&lt;70 km)",IF(I2972&lt;=300,"Intermedio (70-300 km)","Profundo (&gt;300 km)"))</x:f>
        <x:v>Intermedio (70-300 km)</x:v>
      </x:c>
      <x:c r="M2972" s="25" t="str">
        <x:f>IF(J2972&gt;=5,"Sí","No")</x:f>
        <x:v>No</x:v>
      </x:c>
      <x:c r="N2972" s="25" t="str">
        <x:f>IF(J2972&gt;=6,"Sí","No")</x:f>
        <x:v>No</x:v>
      </x:c>
      <x:c r="O2972" s="25" t="str">
        <x:v>Pendiente: asignar con R/sf</x:v>
      </x:c>
    </x:row>
    <x:row r="2973">
      <x:c r="A2973" s="25" t="n">
        <x:v>2972</x:v>
      </x:c>
      <x:c r="B2973" s="26" t="n">
        <x:v>42985.337430555555</x:v>
      </x:c>
      <x:c r="C2973" s="27" t="n">
        <x:f>INT(B2973)</x:f>
        <x:v>42985</x:v>
      </x:c>
      <x:c r="D2973" s="28" t="n">
        <x:f>MOD(B2973,1)</x:f>
        <x:v>0.3374305555553292</x:v>
      </x:c>
      <x:c r="E2973" s="29" t="n">
        <x:f>YEAR(B2973)</x:f>
        <x:v>2017</x:v>
      </x:c>
      <x:c r="F2973" s="29" t="n">
        <x:f>MONTH(B2973)</x:f>
        <x:v>9</x:v>
      </x:c>
      <x:c r="G2973" s="30" t="n">
        <x:v>-20.84</x:v>
      </x:c>
      <x:c r="H2973" s="30" t="n">
        <x:v>-69.11</x:v>
      </x:c>
      <x:c r="I2973" s="29" t="n">
        <x:v>112</x:v>
      </x:c>
      <x:c r="J2973" s="31" t="n">
        <x:v>4</x:v>
      </x:c>
      <x:c r="K2973" s="25" t="str">
        <x:f>IF(J2973&gt;=7,"Muy fuerte (&gt;=7)",IF(J2973&gt;=6,"Fuerte (6-6.9)",IF(J2973&gt;=5,"Moderado alto (5-5.9)",IF(J2973&gt;=4,"Moderado (4-4.9)","Menor a 4"))))</x:f>
        <x:v>Moderado (4-4.9)</x:v>
      </x:c>
      <x:c r="L2973" s="25" t="str">
        <x:f>IF(I2973&lt;70,"Superficial (&lt;70 km)",IF(I2973&lt;=300,"Intermedio (70-300 km)","Profundo (&gt;300 km)"))</x:f>
        <x:v>Intermedio (70-300 km)</x:v>
      </x:c>
      <x:c r="M2973" s="25" t="str">
        <x:f>IF(J2973&gt;=5,"Sí","No")</x:f>
        <x:v>No</x:v>
      </x:c>
      <x:c r="N2973" s="25" t="str">
        <x:f>IF(J2973&gt;=6,"Sí","No")</x:f>
        <x:v>No</x:v>
      </x:c>
      <x:c r="O2973" s="25" t="str">
        <x:v>Pendiente: asignar con R/sf</x:v>
      </x:c>
    </x:row>
    <x:row r="2974">
      <x:c r="A2974" s="25" t="n">
        <x:v>2973</x:v>
      </x:c>
      <x:c r="B2974" s="26" t="n">
        <x:v>42998.956712962965</x:v>
      </x:c>
      <x:c r="C2974" s="27" t="n">
        <x:f>INT(B2974)</x:f>
        <x:v>42998</x:v>
      </x:c>
      <x:c r="D2974" s="28" t="n">
        <x:f>MOD(B2974,1)</x:f>
        <x:v>0.9567129629649571</x:v>
      </x:c>
      <x:c r="E2974" s="29" t="n">
        <x:f>YEAR(B2974)</x:f>
        <x:v>2017</x:v>
      </x:c>
      <x:c r="F2974" s="29" t="n">
        <x:f>MONTH(B2974)</x:f>
        <x:v>9</x:v>
      </x:c>
      <x:c r="G2974" s="30" t="n">
        <x:v>-19.96</x:v>
      </x:c>
      <x:c r="H2974" s="30" t="n">
        <x:v>-70.96</x:v>
      </x:c>
      <x:c r="I2974" s="29" t="n">
        <x:v>32</x:v>
      </x:c>
      <x:c r="J2974" s="31" t="n">
        <x:v>4.4</x:v>
      </x:c>
      <x:c r="K2974" s="25" t="str">
        <x:f>IF(J2974&gt;=7,"Muy fuerte (&gt;=7)",IF(J2974&gt;=6,"Fuerte (6-6.9)",IF(J2974&gt;=5,"Moderado alto (5-5.9)",IF(J2974&gt;=4,"Moderado (4-4.9)","Menor a 4"))))</x:f>
        <x:v>Moderado (4-4.9)</x:v>
      </x:c>
      <x:c r="L2974" s="25" t="str">
        <x:f>IF(I2974&lt;70,"Superficial (&lt;70 km)",IF(I2974&lt;=300,"Intermedio (70-300 km)","Profundo (&gt;300 km)"))</x:f>
        <x:v>Superficial (&lt;70 km)</x:v>
      </x:c>
      <x:c r="M2974" s="25" t="str">
        <x:f>IF(J2974&gt;=5,"Sí","No")</x:f>
        <x:v>No</x:v>
      </x:c>
      <x:c r="N2974" s="25" t="str">
        <x:f>IF(J2974&gt;=6,"Sí","No")</x:f>
        <x:v>No</x:v>
      </x:c>
      <x:c r="O2974" s="25" t="str">
        <x:v>Pendiente: asignar con R/sf</x:v>
      </x:c>
    </x:row>
    <x:row r="2975">
      <x:c r="A2975" s="25" t="n">
        <x:v>2974</x:v>
      </x:c>
      <x:c r="B2975" s="26" t="n">
        <x:v>43004.239270833335</x:v>
      </x:c>
      <x:c r="C2975" s="27" t="n">
        <x:f>INT(B2975)</x:f>
        <x:v>43004</x:v>
      </x:c>
      <x:c r="D2975" s="28" t="n">
        <x:f>MOD(B2975,1)</x:f>
        <x:v>0.23927083333546761</x:v>
      </x:c>
      <x:c r="E2975" s="29" t="n">
        <x:f>YEAR(B2975)</x:f>
        <x:v>2017</x:v>
      </x:c>
      <x:c r="F2975" s="29" t="n">
        <x:f>MONTH(B2975)</x:f>
        <x:v>9</x:v>
      </x:c>
      <x:c r="G2975" s="30" t="n">
        <x:v>-21.35</x:v>
      </x:c>
      <x:c r="H2975" s="30" t="n">
        <x:v>-66.95</x:v>
      </x:c>
      <x:c r="I2975" s="29" t="n">
        <x:v>279</x:v>
      </x:c>
      <x:c r="J2975" s="31" t="n">
        <x:v>5.2</x:v>
      </x:c>
      <x:c r="K2975" s="25" t="str">
        <x:f>IF(J2975&gt;=7,"Muy fuerte (&gt;=7)",IF(J2975&gt;=6,"Fuerte (6-6.9)",IF(J2975&gt;=5,"Moderado alto (5-5.9)",IF(J2975&gt;=4,"Moderado (4-4.9)","Menor a 4"))))</x:f>
        <x:v>Moderado alto (5-5.9)</x:v>
      </x:c>
      <x:c r="L2975" s="25" t="str">
        <x:f>IF(I2975&lt;70,"Superficial (&lt;70 km)",IF(I2975&lt;=300,"Intermedio (70-300 km)","Profundo (&gt;300 km)"))</x:f>
        <x:v>Intermedio (70-300 km)</x:v>
      </x:c>
      <x:c r="M2975" s="25" t="str">
        <x:f>IF(J2975&gt;=5,"Sí","No")</x:f>
        <x:v>Sí</x:v>
      </x:c>
      <x:c r="N2975" s="25" t="str">
        <x:f>IF(J2975&gt;=6,"Sí","No")</x:f>
        <x:v>No</x:v>
      </x:c>
      <x:c r="O2975" s="25" t="str">
        <x:v>Pendiente: asignar con R/sf</x:v>
      </x:c>
    </x:row>
    <x:row r="2976">
      <x:c r="A2976" s="25" t="n">
        <x:v>2975</x:v>
      </x:c>
      <x:c r="B2976" s="26" t="n">
        <x:v>43022.992106481484</x:v>
      </x:c>
      <x:c r="C2976" s="27" t="n">
        <x:f>INT(B2976)</x:f>
        <x:v>43022</x:v>
      </x:c>
      <x:c r="D2976" s="28" t="n">
        <x:f>MOD(B2976,1)</x:f>
        <x:v>0.9921064814843703</x:v>
      </x:c>
      <x:c r="E2976" s="29" t="n">
        <x:f>YEAR(B2976)</x:f>
        <x:v>2017</x:v>
      </x:c>
      <x:c r="F2976" s="29" t="n">
        <x:f>MONTH(B2976)</x:f>
        <x:v>10</x:v>
      </x:c>
      <x:c r="G2976" s="30" t="n">
        <x:v>-21.07</x:v>
      </x:c>
      <x:c r="H2976" s="30" t="n">
        <x:v>-68.75</x:v>
      </x:c>
      <x:c r="I2976" s="29" t="n">
        <x:v>116</x:v>
      </x:c>
      <x:c r="J2976" s="31" t="n">
        <x:v>4.2</x:v>
      </x:c>
      <x:c r="K2976" s="25" t="str">
        <x:f>IF(J2976&gt;=7,"Muy fuerte (&gt;=7)",IF(J2976&gt;=6,"Fuerte (6-6.9)",IF(J2976&gt;=5,"Moderado alto (5-5.9)",IF(J2976&gt;=4,"Moderado (4-4.9)","Menor a 4"))))</x:f>
        <x:v>Moderado (4-4.9)</x:v>
      </x:c>
      <x:c r="L2976" s="25" t="str">
        <x:f>IF(I2976&lt;70,"Superficial (&lt;70 km)",IF(I2976&lt;=300,"Intermedio (70-300 km)","Profundo (&gt;300 km)"))</x:f>
        <x:v>Intermedio (70-300 km)</x:v>
      </x:c>
      <x:c r="M2976" s="25" t="str">
        <x:f>IF(J2976&gt;=5,"Sí","No")</x:f>
        <x:v>No</x:v>
      </x:c>
      <x:c r="N2976" s="25" t="str">
        <x:f>IF(J2976&gt;=6,"Sí","No")</x:f>
        <x:v>No</x:v>
      </x:c>
      <x:c r="O2976" s="25" t="str">
        <x:v>Pendiente: asignar con R/sf</x:v>
      </x:c>
    </x:row>
    <x:row r="2977">
      <x:c r="A2977" s="25" t="n">
        <x:v>2976</x:v>
      </x:c>
      <x:c r="B2977" s="26" t="n">
        <x:v>43025.49895833333</x:v>
      </x:c>
      <x:c r="C2977" s="27" t="n">
        <x:f>INT(B2977)</x:f>
        <x:v>43025</x:v>
      </x:c>
      <x:c r="D2977" s="28" t="n">
        <x:f>MOD(B2977,1)</x:f>
        <x:v>0.4989583333299379</x:v>
      </x:c>
      <x:c r="E2977" s="29" t="n">
        <x:f>YEAR(B2977)</x:f>
        <x:v>2017</x:v>
      </x:c>
      <x:c r="F2977" s="29" t="n">
        <x:f>MONTH(B2977)</x:f>
        <x:v>10</x:v>
      </x:c>
      <x:c r="G2977" s="30" t="n">
        <x:v>-22.63</x:v>
      </x:c>
      <x:c r="H2977" s="30" t="n">
        <x:v>-67.72</x:v>
      </x:c>
      <x:c r="I2977" s="29" t="n">
        <x:v>169</x:v>
      </x:c>
      <x:c r="J2977" s="31" t="n">
        <x:v>5.4</x:v>
      </x:c>
      <x:c r="K2977" s="25" t="str">
        <x:f>IF(J2977&gt;=7,"Muy fuerte (&gt;=7)",IF(J2977&gt;=6,"Fuerte (6-6.9)",IF(J2977&gt;=5,"Moderado alto (5-5.9)",IF(J2977&gt;=4,"Moderado (4-4.9)","Menor a 4"))))</x:f>
        <x:v>Moderado alto (5-5.9)</x:v>
      </x:c>
      <x:c r="L2977" s="25" t="str">
        <x:f>IF(I2977&lt;70,"Superficial (&lt;70 km)",IF(I2977&lt;=300,"Intermedio (70-300 km)","Profundo (&gt;300 km)"))</x:f>
        <x:v>Intermedio (70-300 km)</x:v>
      </x:c>
      <x:c r="M2977" s="25" t="str">
        <x:f>IF(J2977&gt;=5,"Sí","No")</x:f>
        <x:v>Sí</x:v>
      </x:c>
      <x:c r="N2977" s="25" t="str">
        <x:f>IF(J2977&gt;=6,"Sí","No")</x:f>
        <x:v>No</x:v>
      </x:c>
      <x:c r="O2977" s="25" t="str">
        <x:v>Pendiente: asignar con R/sf</x:v>
      </x:c>
    </x:row>
    <x:row r="2978">
      <x:c r="A2978" s="25" t="n">
        <x:v>2977</x:v>
      </x:c>
      <x:c r="B2978" s="26" t="n">
        <x:v>43041.53221064815</x:v>
      </x:c>
      <x:c r="C2978" s="27" t="n">
        <x:f>INT(B2978)</x:f>
        <x:v>43041</x:v>
      </x:c>
      <x:c r="D2978" s="28" t="n">
        <x:f>MOD(B2978,1)</x:f>
        <x:v>0.5322106481471565</x:v>
      </x:c>
      <x:c r="E2978" s="29" t="n">
        <x:f>YEAR(B2978)</x:f>
        <x:v>2017</x:v>
      </x:c>
      <x:c r="F2978" s="29" t="n">
        <x:f>MONTH(B2978)</x:f>
        <x:v>11</x:v>
      </x:c>
      <x:c r="G2978" s="30" t="n">
        <x:v>-19.67</x:v>
      </x:c>
      <x:c r="H2978" s="30" t="n">
        <x:v>-69.3</x:v>
      </x:c>
      <x:c r="I2978" s="29" t="n">
        <x:v>100</x:v>
      </x:c>
      <x:c r="J2978" s="31" t="n">
        <x:v>4.1</x:v>
      </x:c>
      <x:c r="K2978" s="25" t="str">
        <x:f>IF(J2978&gt;=7,"Muy fuerte (&gt;=7)",IF(J2978&gt;=6,"Fuerte (6-6.9)",IF(J2978&gt;=5,"Moderado alto (5-5.9)",IF(J2978&gt;=4,"Moderado (4-4.9)","Menor a 4"))))</x:f>
        <x:v>Moderado (4-4.9)</x:v>
      </x:c>
      <x:c r="L2978" s="25" t="str">
        <x:f>IF(I2978&lt;70,"Superficial (&lt;70 km)",IF(I2978&lt;=300,"Intermedio (70-300 km)","Profundo (&gt;300 km)"))</x:f>
        <x:v>Intermedio (70-300 km)</x:v>
      </x:c>
      <x:c r="M2978" s="25" t="str">
        <x:f>IF(J2978&gt;=5,"Sí","No")</x:f>
        <x:v>No</x:v>
      </x:c>
      <x:c r="N2978" s="25" t="str">
        <x:f>IF(J2978&gt;=6,"Sí","No")</x:f>
        <x:v>No</x:v>
      </x:c>
      <x:c r="O2978" s="25" t="str">
        <x:v>Pendiente: asignar con R/sf</x:v>
      </x:c>
    </x:row>
    <x:row r="2979">
      <x:c r="A2979" s="25" t="n">
        <x:v>2978</x:v>
      </x:c>
      <x:c r="B2979" s="26" t="n">
        <x:v>43041.792129629626</x:v>
      </x:c>
      <x:c r="C2979" s="27" t="n">
        <x:f>INT(B2979)</x:f>
        <x:v>43041</x:v>
      </x:c>
      <x:c r="D2979" s="28" t="n">
        <x:f>MOD(B2979,1)</x:f>
        <x:v>0.7921296296262881</x:v>
      </x:c>
      <x:c r="E2979" s="29" t="n">
        <x:f>YEAR(B2979)</x:f>
        <x:v>2017</x:v>
      </x:c>
      <x:c r="F2979" s="29" t="n">
        <x:f>MONTH(B2979)</x:f>
        <x:v>11</x:v>
      </x:c>
      <x:c r="G2979" s="30" t="n">
        <x:v>-23.16</x:v>
      </x:c>
      <x:c r="H2979" s="30" t="n">
        <x:v>-69.93</x:v>
      </x:c>
      <x:c r="I2979" s="29" t="n">
        <x:v>54</x:v>
      </x:c>
      <x:c r="J2979" s="31" t="n">
        <x:v>4.4</x:v>
      </x:c>
      <x:c r="K2979" s="25" t="str">
        <x:f>IF(J2979&gt;=7,"Muy fuerte (&gt;=7)",IF(J2979&gt;=6,"Fuerte (6-6.9)",IF(J2979&gt;=5,"Moderado alto (5-5.9)",IF(J2979&gt;=4,"Moderado (4-4.9)","Menor a 4"))))</x:f>
        <x:v>Moderado (4-4.9)</x:v>
      </x:c>
      <x:c r="L2979" s="25" t="str">
        <x:f>IF(I2979&lt;70,"Superficial (&lt;70 km)",IF(I2979&lt;=300,"Intermedio (70-300 km)","Profundo (&gt;300 km)"))</x:f>
        <x:v>Superficial (&lt;70 km)</x:v>
      </x:c>
      <x:c r="M2979" s="25" t="str">
        <x:f>IF(J2979&gt;=5,"Sí","No")</x:f>
        <x:v>No</x:v>
      </x:c>
      <x:c r="N2979" s="25" t="str">
        <x:f>IF(J2979&gt;=6,"Sí","No")</x:f>
        <x:v>No</x:v>
      </x:c>
      <x:c r="O2979" s="25" t="str">
        <x:v>Pendiente: asignar con R/sf</x:v>
      </x:c>
    </x:row>
    <x:row r="2980">
      <x:c r="A2980" s="25" t="n">
        <x:v>2979</x:v>
      </x:c>
      <x:c r="B2980" s="26" t="n">
        <x:v>43047.493252314816</x:v>
      </x:c>
      <x:c r="C2980" s="27" t="n">
        <x:f>INT(B2980)</x:f>
        <x:v>43047</x:v>
      </x:c>
      <x:c r="D2980" s="28" t="n">
        <x:f>MOD(B2980,1)</x:f>
        <x:v>0.49325231481634546</x:v>
      </x:c>
      <x:c r="E2980" s="29" t="n">
        <x:f>YEAR(B2980)</x:f>
        <x:v>2017</x:v>
      </x:c>
      <x:c r="F2980" s="29" t="n">
        <x:f>MONTH(B2980)</x:f>
        <x:v>11</x:v>
      </x:c>
      <x:c r="G2980" s="30" t="n">
        <x:v>-24</x:v>
      </x:c>
      <x:c r="H2980" s="30" t="n">
        <x:v>-69.29</x:v>
      </x:c>
      <x:c r="I2980" s="29" t="n">
        <x:v>94</x:v>
      </x:c>
      <x:c r="J2980" s="31" t="n">
        <x:v>4.3</x:v>
      </x:c>
      <x:c r="K2980" s="25" t="str">
        <x:f>IF(J2980&gt;=7,"Muy fuerte (&gt;=7)",IF(J2980&gt;=6,"Fuerte (6-6.9)",IF(J2980&gt;=5,"Moderado alto (5-5.9)",IF(J2980&gt;=4,"Moderado (4-4.9)","Menor a 4"))))</x:f>
        <x:v>Moderado (4-4.9)</x:v>
      </x:c>
      <x:c r="L2980" s="25" t="str">
        <x:f>IF(I2980&lt;70,"Superficial (&lt;70 km)",IF(I2980&lt;=300,"Intermedio (70-300 km)","Profundo (&gt;300 km)"))</x:f>
        <x:v>Intermedio (70-300 km)</x:v>
      </x:c>
      <x:c r="M2980" s="25" t="str">
        <x:f>IF(J2980&gt;=5,"Sí","No")</x:f>
        <x:v>No</x:v>
      </x:c>
      <x:c r="N2980" s="25" t="str">
        <x:f>IF(J2980&gt;=6,"Sí","No")</x:f>
        <x:v>No</x:v>
      </x:c>
      <x:c r="O2980" s="25" t="str">
        <x:v>Pendiente: asignar con R/sf</x:v>
      </x:c>
    </x:row>
    <x:row r="2981">
      <x:c r="A2981" s="25" t="n">
        <x:v>2980</x:v>
      </x:c>
      <x:c r="B2981" s="26" t="n">
        <x:v>43053.16601851852</x:v>
      </x:c>
      <x:c r="C2981" s="27" t="n">
        <x:f>INT(B2981)</x:f>
        <x:v>43053</x:v>
      </x:c>
      <x:c r="D2981" s="28" t="n">
        <x:f>MOD(B2981,1)</x:f>
        <x:v>0.16601851851737592</x:v>
      </x:c>
      <x:c r="E2981" s="29" t="n">
        <x:f>YEAR(B2981)</x:f>
        <x:v>2017</x:v>
      </x:c>
      <x:c r="F2981" s="29" t="n">
        <x:f>MONTH(B2981)</x:f>
        <x:v>11</x:v>
      </x:c>
      <x:c r="G2981" s="30" t="n">
        <x:v>-20.2</x:v>
      </x:c>
      <x:c r="H2981" s="30" t="n">
        <x:v>-69.21</x:v>
      </x:c>
      <x:c r="I2981" s="29" t="n">
        <x:v>91</x:v>
      </x:c>
      <x:c r="J2981" s="31" t="n">
        <x:v>4.3</x:v>
      </x:c>
      <x:c r="K2981" s="25" t="str">
        <x:f>IF(J2981&gt;=7,"Muy fuerte (&gt;=7)",IF(J2981&gt;=6,"Fuerte (6-6.9)",IF(J2981&gt;=5,"Moderado alto (5-5.9)",IF(J2981&gt;=4,"Moderado (4-4.9)","Menor a 4"))))</x:f>
        <x:v>Moderado (4-4.9)</x:v>
      </x:c>
      <x:c r="L2981" s="25" t="str">
        <x:f>IF(I2981&lt;70,"Superficial (&lt;70 km)",IF(I2981&lt;=300,"Intermedio (70-300 km)","Profundo (&gt;300 km)"))</x:f>
        <x:v>Intermedio (70-300 km)</x:v>
      </x:c>
      <x:c r="M2981" s="25" t="str">
        <x:f>IF(J2981&gt;=5,"Sí","No")</x:f>
        <x:v>No</x:v>
      </x:c>
      <x:c r="N2981" s="25" t="str">
        <x:f>IF(J2981&gt;=6,"Sí","No")</x:f>
        <x:v>No</x:v>
      </x:c>
      <x:c r="O2981" s="25" t="str">
        <x:v>Pendiente: asignar con R/sf</x:v>
      </x:c>
    </x:row>
    <x:row r="2982">
      <x:c r="A2982" s="25" t="n">
        <x:v>2981</x:v>
      </x:c>
      <x:c r="B2982" s="26" t="n">
        <x:v>43095.00363425926</x:v>
      </x:c>
      <x:c r="C2982" s="27" t="n">
        <x:f>INT(B2982)</x:f>
        <x:v>43095</x:v>
      </x:c>
      <x:c r="D2982" s="28" t="n">
        <x:f>MOD(B2982,1)</x:f>
        <x:v>0.0036342592575238086</x:v>
      </x:c>
      <x:c r="E2982" s="29" t="n">
        <x:f>YEAR(B2982)</x:f>
        <x:v>2017</x:v>
      </x:c>
      <x:c r="F2982" s="29" t="n">
        <x:f>MONTH(B2982)</x:f>
        <x:v>12</x:v>
      </x:c>
      <x:c r="G2982" s="30" t="n">
        <x:v>-23.98</x:v>
      </x:c>
      <x:c r="H2982" s="30" t="n">
        <x:v>-69.35</x:v>
      </x:c>
      <x:c r="I2982" s="29" t="n">
        <x:v>95</x:v>
      </x:c>
      <x:c r="J2982" s="31" t="n">
        <x:v>4.6</x:v>
      </x:c>
      <x:c r="K2982" s="25" t="str">
        <x:f>IF(J2982&gt;=7,"Muy fuerte (&gt;=7)",IF(J2982&gt;=6,"Fuerte (6-6.9)",IF(J2982&gt;=5,"Moderado alto (5-5.9)",IF(J2982&gt;=4,"Moderado (4-4.9)","Menor a 4"))))</x:f>
        <x:v>Moderado (4-4.9)</x:v>
      </x:c>
      <x:c r="L2982" s="25" t="str">
        <x:f>IF(I2982&lt;70,"Superficial (&lt;70 km)",IF(I2982&lt;=300,"Intermedio (70-300 km)","Profundo (&gt;300 km)"))</x:f>
        <x:v>Intermedio (70-300 km)</x:v>
      </x:c>
      <x:c r="M2982" s="25" t="str">
        <x:f>IF(J2982&gt;=5,"Sí","No")</x:f>
        <x:v>No</x:v>
      </x:c>
      <x:c r="N2982" s="25" t="str">
        <x:f>IF(J2982&gt;=6,"Sí","No")</x:f>
        <x:v>No</x:v>
      </x:c>
      <x:c r="O2982" s="25" t="str">
        <x:v>Pendiente: asignar con R/sf</x:v>
      </x:c>
    </x:row>
    <x:row r="2983">
      <x:c r="A2983" s="25" t="n">
        <x:v>2982</x:v>
      </x:c>
      <x:c r="B2983" s="26" t="n">
        <x:v>43099.679502314815</x:v>
      </x:c>
      <x:c r="C2983" s="27" t="n">
        <x:f>INT(B2983)</x:f>
        <x:v>43099</x:v>
      </x:c>
      <x:c r="D2983" s="28" t="n">
        <x:f>MOD(B2983,1)</x:f>
        <x:v>0.6795023148151813</x:v>
      </x:c>
      <x:c r="E2983" s="29" t="n">
        <x:f>YEAR(B2983)</x:f>
        <x:v>2017</x:v>
      </x:c>
      <x:c r="F2983" s="29" t="n">
        <x:f>MONTH(B2983)</x:f>
        <x:v>12</x:v>
      </x:c>
      <x:c r="G2983" s="30" t="n">
        <x:v>-21.23</x:v>
      </x:c>
      <x:c r="H2983" s="30" t="n">
        <x:v>-68.68</x:v>
      </x:c>
      <x:c r="I2983" s="29" t="n">
        <x:v>119</x:v>
      </x:c>
      <x:c r="J2983" s="31" t="n">
        <x:v>4.2</x:v>
      </x:c>
      <x:c r="K2983" s="25" t="str">
        <x:f>IF(J2983&gt;=7,"Muy fuerte (&gt;=7)",IF(J2983&gt;=6,"Fuerte (6-6.9)",IF(J2983&gt;=5,"Moderado alto (5-5.9)",IF(J2983&gt;=4,"Moderado (4-4.9)","Menor a 4"))))</x:f>
        <x:v>Moderado (4-4.9)</x:v>
      </x:c>
      <x:c r="L2983" s="25" t="str">
        <x:f>IF(I2983&lt;70,"Superficial (&lt;70 km)",IF(I2983&lt;=300,"Intermedio (70-300 km)","Profundo (&gt;300 km)"))</x:f>
        <x:v>Intermedio (70-300 km)</x:v>
      </x:c>
      <x:c r="M2983" s="25" t="str">
        <x:f>IF(J2983&gt;=5,"Sí","No")</x:f>
        <x:v>No</x:v>
      </x:c>
      <x:c r="N2983" s="25" t="str">
        <x:f>IF(J2983&gt;=6,"Sí","No")</x:f>
        <x:v>No</x:v>
      </x:c>
      <x:c r="O2983" s="25" t="str">
        <x:v>Pendiente: asignar con R/sf</x:v>
      </x:c>
    </x:row>
    <x:row r="2984">
      <x:c r="A2984" s="25" t="n">
        <x:v>2983</x:v>
      </x:c>
      <x:c r="B2984" s="26" t="n">
        <x:v>42746.91548611111</x:v>
      </x:c>
      <x:c r="C2984" s="27" t="n">
        <x:f>INT(B2984)</x:f>
        <x:v>42746</x:v>
      </x:c>
      <x:c r="D2984" s="28" t="n">
        <x:f>MOD(B2984,1)</x:f>
        <x:v>0.9154861111092032</x:v>
      </x:c>
      <x:c r="E2984" s="29" t="n">
        <x:f>YEAR(B2984)</x:f>
        <x:v>2017</x:v>
      </x:c>
      <x:c r="F2984" s="29" t="n">
        <x:f>MONTH(B2984)</x:f>
        <x:v>1</x:v>
      </x:c>
      <x:c r="G2984" s="30" t="n">
        <x:v>-22.79</x:v>
      </x:c>
      <x:c r="H2984" s="30" t="n">
        <x:v>-69.83</x:v>
      </x:c>
      <x:c r="I2984" s="29" t="n">
        <x:v>73</x:v>
      </x:c>
      <x:c r="J2984" s="31" t="n">
        <x:v>5.8</x:v>
      </x:c>
      <x:c r="K2984" s="25" t="str">
        <x:f>IF(J2984&gt;=7,"Muy fuerte (&gt;=7)",IF(J2984&gt;=6,"Fuerte (6-6.9)",IF(J2984&gt;=5,"Moderado alto (5-5.9)",IF(J2984&gt;=4,"Moderado (4-4.9)","Menor a 4"))))</x:f>
        <x:v>Moderado alto (5-5.9)</x:v>
      </x:c>
      <x:c r="L2984" s="25" t="str">
        <x:f>IF(I2984&lt;70,"Superficial (&lt;70 km)",IF(I2984&lt;=300,"Intermedio (70-300 km)","Profundo (&gt;300 km)"))</x:f>
        <x:v>Intermedio (70-300 km)</x:v>
      </x:c>
      <x:c r="M2984" s="25" t="str">
        <x:f>IF(J2984&gt;=5,"Sí","No")</x:f>
        <x:v>Sí</x:v>
      </x:c>
      <x:c r="N2984" s="25" t="str">
        <x:f>IF(J2984&gt;=6,"Sí","No")</x:f>
        <x:v>No</x:v>
      </x:c>
      <x:c r="O2984" s="25" t="str">
        <x:v>Pendiente: asignar con R/sf</x:v>
      </x:c>
    </x:row>
    <x:row r="2985">
      <x:c r="A2985" s="25" t="n">
        <x:v>2984</x:v>
      </x:c>
      <x:c r="B2985" s="26" t="n">
        <x:v>42839.75236111111</x:v>
      </x:c>
      <x:c r="C2985" s="27" t="n">
        <x:f>INT(B2985)</x:f>
        <x:v>42839</x:v>
      </x:c>
      <x:c r="D2985" s="28" t="n">
        <x:f>MOD(B2985,1)</x:f>
        <x:v>0.7523611111100763</x:v>
      </x:c>
      <x:c r="E2985" s="29" t="n">
        <x:f>YEAR(B2985)</x:f>
        <x:v>2017</x:v>
      </x:c>
      <x:c r="F2985" s="29" t="n">
        <x:f>MONTH(B2985)</x:f>
        <x:v>4</x:v>
      </x:c>
      <x:c r="G2985" s="30" t="n">
        <x:v>-22.49</x:v>
      </x:c>
      <x:c r="H2985" s="30" t="n">
        <x:v>-68.82</x:v>
      </x:c>
      <x:c r="I2985" s="29" t="n">
        <x:v>122</x:v>
      </x:c>
      <x:c r="J2985" s="31" t="n">
        <x:v>5.2</x:v>
      </x:c>
      <x:c r="K2985" s="25" t="str">
        <x:f>IF(J2985&gt;=7,"Muy fuerte (&gt;=7)",IF(J2985&gt;=6,"Fuerte (6-6.9)",IF(J2985&gt;=5,"Moderado alto (5-5.9)",IF(J2985&gt;=4,"Moderado (4-4.9)","Menor a 4"))))</x:f>
        <x:v>Moderado alto (5-5.9)</x:v>
      </x:c>
      <x:c r="L2985" s="25" t="str">
        <x:f>IF(I2985&lt;70,"Superficial (&lt;70 km)",IF(I2985&lt;=300,"Intermedio (70-300 km)","Profundo (&gt;300 km)"))</x:f>
        <x:v>Intermedio (70-300 km)</x:v>
      </x:c>
      <x:c r="M2985" s="25" t="str">
        <x:f>IF(J2985&gt;=5,"Sí","No")</x:f>
        <x:v>Sí</x:v>
      </x:c>
      <x:c r="N2985" s="25" t="str">
        <x:f>IF(J2985&gt;=6,"Sí","No")</x:f>
        <x:v>No</x:v>
      </x:c>
      <x:c r="O2985" s="25" t="str">
        <x:v>Pendiente: asignar con R/sf</x:v>
      </x:c>
    </x:row>
    <x:row r="2986">
      <x:c r="A2986" s="25" t="n">
        <x:v>2985</x:v>
      </x:c>
      <x:c r="B2986" s="26" t="n">
        <x:v>42840.347025462965</x:v>
      </x:c>
      <x:c r="C2986" s="27" t="n">
        <x:f>INT(B2986)</x:f>
        <x:v>42840</x:v>
      </x:c>
      <x:c r="D2986" s="28" t="n">
        <x:f>MOD(B2986,1)</x:f>
        <x:v>0.3470254629646661</x:v>
      </x:c>
      <x:c r="E2986" s="29" t="n">
        <x:f>YEAR(B2986)</x:f>
        <x:v>2017</x:v>
      </x:c>
      <x:c r="F2986" s="29" t="n">
        <x:f>MONTH(B2986)</x:f>
        <x:v>4</x:v>
      </x:c>
      <x:c r="G2986" s="30" t="n">
        <x:v>-23.24</x:v>
      </x:c>
      <x:c r="H2986" s="30" t="n">
        <x:v>-68.05</x:v>
      </x:c>
      <x:c r="I2986" s="29" t="n">
        <x:v>156</x:v>
      </x:c>
      <x:c r="J2986" s="31" t="n">
        <x:v>6.2</x:v>
      </x:c>
      <x:c r="K2986" s="25" t="str">
        <x:f>IF(J2986&gt;=7,"Muy fuerte (&gt;=7)",IF(J2986&gt;=6,"Fuerte (6-6.9)",IF(J2986&gt;=5,"Moderado alto (5-5.9)",IF(J2986&gt;=4,"Moderado (4-4.9)","Menor a 4"))))</x:f>
        <x:v>Fuerte (6-6.9)</x:v>
      </x:c>
      <x:c r="L2986" s="25" t="str">
        <x:f>IF(I2986&lt;70,"Superficial (&lt;70 km)",IF(I2986&lt;=300,"Intermedio (70-300 km)","Profundo (&gt;300 km)"))</x:f>
        <x:v>Intermedio (70-300 km)</x:v>
      </x:c>
      <x:c r="M2986" s="25" t="str">
        <x:f>IF(J2986&gt;=5,"Sí","No")</x:f>
        <x:v>Sí</x:v>
      </x:c>
      <x:c r="N2986" s="25" t="str">
        <x:f>IF(J2986&gt;=6,"Sí","No")</x:f>
        <x:v>Sí</x:v>
      </x:c>
      <x:c r="O2986" s="25" t="str">
        <x:v>Pendiente: asignar con R/sf</x:v>
      </x:c>
    </x:row>
    <x:row r="2987">
      <x:c r="A2987" s="25" t="n">
        <x:v>2986</x:v>
      </x:c>
      <x:c r="B2987" s="26" t="n">
        <x:v>42892.73275462963</x:v>
      </x:c>
      <x:c r="C2987" s="27" t="n">
        <x:f>INT(B2987)</x:f>
        <x:v>42892</x:v>
      </x:c>
      <x:c r="D2987" s="28" t="n">
        <x:f>MOD(B2987,1)</x:f>
        <x:v>0.7327546296291985</x:v>
      </x:c>
      <x:c r="E2987" s="29" t="n">
        <x:f>YEAR(B2987)</x:f>
        <x:v>2017</x:v>
      </x:c>
      <x:c r="F2987" s="29" t="n">
        <x:f>MONTH(B2987)</x:f>
        <x:v>6</x:v>
      </x:c>
      <x:c r="G2987" s="30" t="n">
        <x:v>-22.93</x:v>
      </x:c>
      <x:c r="H2987" s="30" t="n">
        <x:v>-68.75</x:v>
      </x:c>
      <x:c r="I2987" s="29" t="n">
        <x:v>98</x:v>
      </x:c>
      <x:c r="J2987" s="31" t="n">
        <x:v>5.5</x:v>
      </x:c>
      <x:c r="K2987" s="25" t="str">
        <x:f>IF(J2987&gt;=7,"Muy fuerte (&gt;=7)",IF(J2987&gt;=6,"Fuerte (6-6.9)",IF(J2987&gt;=5,"Moderado alto (5-5.9)",IF(J2987&gt;=4,"Moderado (4-4.9)","Menor a 4"))))</x:f>
        <x:v>Moderado alto (5-5.9)</x:v>
      </x:c>
      <x:c r="L2987" s="25" t="str">
        <x:f>IF(I2987&lt;70,"Superficial (&lt;70 km)",IF(I2987&lt;=300,"Intermedio (70-300 km)","Profundo (&gt;300 km)"))</x:f>
        <x:v>Intermedio (70-300 km)</x:v>
      </x:c>
      <x:c r="M2987" s="25" t="str">
        <x:f>IF(J2987&gt;=5,"Sí","No")</x:f>
        <x:v>Sí</x:v>
      </x:c>
      <x:c r="N2987" s="25" t="str">
        <x:f>IF(J2987&gt;=6,"Sí","No")</x:f>
        <x:v>No</x:v>
      </x:c>
      <x:c r="O2987" s="25" t="str">
        <x:v>Pendiente: asignar con R/sf</x:v>
      </x:c>
    </x:row>
    <x:row r="2988">
      <x:c r="A2988" s="25" t="n">
        <x:v>2987</x:v>
      </x:c>
      <x:c r="B2988" s="26" t="n">
        <x:v>42920.10099537037</x:v>
      </x:c>
      <x:c r="C2988" s="27" t="n">
        <x:f>INT(B2988)</x:f>
        <x:v>42920</x:v>
      </x:c>
      <x:c r="D2988" s="28" t="n">
        <x:f>MOD(B2988,1)</x:f>
        <x:v>0.10099537036876427</x:v>
      </x:c>
      <x:c r="E2988" s="29" t="n">
        <x:f>YEAR(B2988)</x:f>
        <x:v>2017</x:v>
      </x:c>
      <x:c r="F2988" s="29" t="n">
        <x:f>MONTH(B2988)</x:f>
        <x:v>7</x:v>
      </x:c>
      <x:c r="G2988" s="30" t="n">
        <x:v>-19.4</x:v>
      </x:c>
      <x:c r="H2988" s="30" t="n">
        <x:v>-69.58</x:v>
      </x:c>
      <x:c r="I2988" s="29" t="n">
        <x:v>92</x:v>
      </x:c>
      <x:c r="J2988" s="31" t="n">
        <x:v>5</x:v>
      </x:c>
      <x:c r="K2988" s="25" t="str">
        <x:f>IF(J2988&gt;=7,"Muy fuerte (&gt;=7)",IF(J2988&gt;=6,"Fuerte (6-6.9)",IF(J2988&gt;=5,"Moderado alto (5-5.9)",IF(J2988&gt;=4,"Moderado (4-4.9)","Menor a 4"))))</x:f>
        <x:v>Moderado alto (5-5.9)</x:v>
      </x:c>
      <x:c r="L2988" s="25" t="str">
        <x:f>IF(I2988&lt;70,"Superficial (&lt;70 km)",IF(I2988&lt;=300,"Intermedio (70-300 km)","Profundo (&gt;300 km)"))</x:f>
        <x:v>Intermedio (70-300 km)</x:v>
      </x:c>
      <x:c r="M2988" s="25" t="str">
        <x:f>IF(J2988&gt;=5,"Sí","No")</x:f>
        <x:v>Sí</x:v>
      </x:c>
      <x:c r="N2988" s="25" t="str">
        <x:f>IF(J2988&gt;=6,"Sí","No")</x:f>
        <x:v>No</x:v>
      </x:c>
      <x:c r="O2988" s="25" t="str">
        <x:v>Pendiente: asignar con R/sf</x:v>
      </x:c>
    </x:row>
    <x:row r="2989">
      <x:c r="A2989" s="25" t="n">
        <x:v>2988</x:v>
      </x:c>
      <x:c r="B2989" s="26" t="n">
        <x:v>42935.97393518518</x:v>
      </x:c>
      <x:c r="C2989" s="27" t="n">
        <x:f>INT(B2989)</x:f>
        <x:v>42935</x:v>
      </x:c>
      <x:c r="D2989" s="28" t="n">
        <x:f>MOD(B2989,1)</x:f>
        <x:v>0.9739351851821993</x:v>
      </x:c>
      <x:c r="E2989" s="29" t="n">
        <x:f>YEAR(B2989)</x:f>
        <x:v>2017</x:v>
      </x:c>
      <x:c r="F2989" s="29" t="n">
        <x:f>MONTH(B2989)</x:f>
        <x:v>7</x:v>
      </x:c>
      <x:c r="G2989" s="30" t="n">
        <x:v>-23.84</x:v>
      </x:c>
      <x:c r="H2989" s="30" t="n">
        <x:v>-69.2</x:v>
      </x:c>
      <x:c r="I2989" s="29" t="n">
        <x:v>95</x:v>
      </x:c>
      <x:c r="J2989" s="31" t="n">
        <x:v>5.4</x:v>
      </x:c>
      <x:c r="K2989" s="25" t="str">
        <x:f>IF(J2989&gt;=7,"Muy fuerte (&gt;=7)",IF(J2989&gt;=6,"Fuerte (6-6.9)",IF(J2989&gt;=5,"Moderado alto (5-5.9)",IF(J2989&gt;=4,"Moderado (4-4.9)","Menor a 4"))))</x:f>
        <x:v>Moderado alto (5-5.9)</x:v>
      </x:c>
      <x:c r="L2989" s="25" t="str">
        <x:f>IF(I2989&lt;70,"Superficial (&lt;70 km)",IF(I2989&lt;=300,"Intermedio (70-300 km)","Profundo (&gt;300 km)"))</x:f>
        <x:v>Intermedio (70-300 km)</x:v>
      </x:c>
      <x:c r="M2989" s="25" t="str">
        <x:f>IF(J2989&gt;=5,"Sí","No")</x:f>
        <x:v>Sí</x:v>
      </x:c>
      <x:c r="N2989" s="25" t="str">
        <x:f>IF(J2989&gt;=6,"Sí","No")</x:f>
        <x:v>No</x:v>
      </x:c>
      <x:c r="O2989" s="25" t="str">
        <x:v>Pendiente: asignar con R/sf</x:v>
      </x:c>
    </x:row>
    <x:row r="2990">
      <x:c r="A2990" s="25" t="n">
        <x:v>2989</x:v>
      </x:c>
      <x:c r="B2990" s="26" t="n">
        <x:v>42938.27071759259</x:v>
      </x:c>
      <x:c r="C2990" s="27" t="n">
        <x:f>INT(B2990)</x:f>
        <x:v>42938</x:v>
      </x:c>
      <x:c r="D2990" s="28" t="n">
        <x:f>MOD(B2990,1)</x:f>
        <x:v>0.27071759258979</x:v>
      </x:c>
      <x:c r="E2990" s="29" t="n">
        <x:f>YEAR(B2990)</x:f>
        <x:v>2017</x:v>
      </x:c>
      <x:c r="F2990" s="29" t="n">
        <x:f>MONTH(B2990)</x:f>
        <x:v>7</x:v>
      </x:c>
      <x:c r="G2990" s="30" t="n">
        <x:v>-21.18</x:v>
      </x:c>
      <x:c r="H2990" s="30" t="n">
        <x:v>-69.15</x:v>
      </x:c>
      <x:c r="I2990" s="29" t="n">
        <x:v>44</x:v>
      </x:c>
      <x:c r="J2990" s="31" t="n">
        <x:v>5.4</x:v>
      </x:c>
      <x:c r="K2990" s="25" t="str">
        <x:f>IF(J2990&gt;=7,"Muy fuerte (&gt;=7)",IF(J2990&gt;=6,"Fuerte (6-6.9)",IF(J2990&gt;=5,"Moderado alto (5-5.9)",IF(J2990&gt;=4,"Moderado (4-4.9)","Menor a 4"))))</x:f>
        <x:v>Moderado alto (5-5.9)</x:v>
      </x:c>
      <x:c r="L2990" s="25" t="str">
        <x:f>IF(I2990&lt;70,"Superficial (&lt;70 km)",IF(I2990&lt;=300,"Intermedio (70-300 km)","Profundo (&gt;300 km)"))</x:f>
        <x:v>Superficial (&lt;70 km)</x:v>
      </x:c>
      <x:c r="M2990" s="25" t="str">
        <x:f>IF(J2990&gt;=5,"Sí","No")</x:f>
        <x:v>Sí</x:v>
      </x:c>
      <x:c r="N2990" s="25" t="str">
        <x:f>IF(J2990&gt;=6,"Sí","No")</x:f>
        <x:v>No</x:v>
      </x:c>
      <x:c r="O2990" s="25" t="str">
        <x:v>Pendiente: asignar con R/sf</x:v>
      </x:c>
    </x:row>
    <x:row r="2991">
      <x:c r="A2991" s="25" t="n">
        <x:v>2990</x:v>
      </x:c>
      <x:c r="B2991" s="26" t="n">
        <x:v>42959.66633101852</x:v>
      </x:c>
      <x:c r="C2991" s="27" t="n">
        <x:f>INT(B2991)</x:f>
        <x:v>42959</x:v>
      </x:c>
      <x:c r="D2991" s="28" t="n">
        <x:f>MOD(B2991,1)</x:f>
        <x:v>0.666331018517667</x:v>
      </x:c>
      <x:c r="E2991" s="29" t="n">
        <x:f>YEAR(B2991)</x:f>
        <x:v>2017</x:v>
      </x:c>
      <x:c r="F2991" s="29" t="n">
        <x:f>MONTH(B2991)</x:f>
        <x:v>8</x:v>
      </x:c>
      <x:c r="G2991" s="30" t="n">
        <x:v>-19.99</x:v>
      </x:c>
      <x:c r="H2991" s="30" t="n">
        <x:v>-70.99</x:v>
      </x:c>
      <x:c r="I2991" s="29" t="n">
        <x:v>31</x:v>
      </x:c>
      <x:c r="J2991" s="31" t="n">
        <x:v>5</x:v>
      </x:c>
      <x:c r="K2991" s="25" t="str">
        <x:f>IF(J2991&gt;=7,"Muy fuerte (&gt;=7)",IF(J2991&gt;=6,"Fuerte (6-6.9)",IF(J2991&gt;=5,"Moderado alto (5-5.9)",IF(J2991&gt;=4,"Moderado (4-4.9)","Menor a 4"))))</x:f>
        <x:v>Moderado alto (5-5.9)</x:v>
      </x:c>
      <x:c r="L2991" s="25" t="str">
        <x:f>IF(I2991&lt;70,"Superficial (&lt;70 km)",IF(I2991&lt;=300,"Intermedio (70-300 km)","Profundo (&gt;300 km)"))</x:f>
        <x:v>Superficial (&lt;70 km)</x:v>
      </x:c>
      <x:c r="M2991" s="25" t="str">
        <x:f>IF(J2991&gt;=5,"Sí","No")</x:f>
        <x:v>Sí</x:v>
      </x:c>
      <x:c r="N2991" s="25" t="str">
        <x:f>IF(J2991&gt;=6,"Sí","No")</x:f>
        <x:v>No</x:v>
      </x:c>
      <x:c r="O2991" s="25" t="str">
        <x:v>Pendiente: asignar con R/sf</x:v>
      </x:c>
    </x:row>
    <x:row r="2992">
      <x:c r="A2992" s="25" t="n">
        <x:v>2991</x:v>
      </x:c>
      <x:c r="B2992" s="26" t="n">
        <x:v>43017.07077546296</x:v>
      </x:c>
      <x:c r="C2992" s="27" t="n">
        <x:f>INT(B2992)</x:f>
        <x:v>43017</x:v>
      </x:c>
      <x:c r="D2992" s="28" t="n">
        <x:f>MOD(B2992,1)</x:f>
        <x:v>0.07077546296204673</x:v>
      </x:c>
      <x:c r="E2992" s="29" t="n">
        <x:f>YEAR(B2992)</x:f>
        <x:v>2017</x:v>
      </x:c>
      <x:c r="F2992" s="29" t="n">
        <x:f>MONTH(B2992)</x:f>
        <x:v>10</x:v>
      </x:c>
      <x:c r="G2992" s="30" t="n">
        <x:v>-21.23</x:v>
      </x:c>
      <x:c r="H2992" s="30" t="n">
        <x:v>-68.74</x:v>
      </x:c>
      <x:c r="I2992" s="29" t="n">
        <x:v>118</x:v>
      </x:c>
      <x:c r="J2992" s="31" t="n">
        <x:v>4.5</x:v>
      </x:c>
      <x:c r="K2992" s="25" t="str">
        <x:f>IF(J2992&gt;=7,"Muy fuerte (&gt;=7)",IF(J2992&gt;=6,"Fuerte (6-6.9)",IF(J2992&gt;=5,"Moderado alto (5-5.9)",IF(J2992&gt;=4,"Moderado (4-4.9)","Menor a 4"))))</x:f>
        <x:v>Moderado (4-4.9)</x:v>
      </x:c>
      <x:c r="L2992" s="25" t="str">
        <x:f>IF(I2992&lt;70,"Superficial (&lt;70 km)",IF(I2992&lt;=300,"Intermedio (70-300 km)","Profundo (&gt;300 km)"))</x:f>
        <x:v>Intermedio (70-300 km)</x:v>
      </x:c>
      <x:c r="M2992" s="25" t="str">
        <x:f>IF(J2992&gt;=5,"Sí","No")</x:f>
        <x:v>No</x:v>
      </x:c>
      <x:c r="N2992" s="25" t="str">
        <x:f>IF(J2992&gt;=6,"Sí","No")</x:f>
        <x:v>No</x:v>
      </x:c>
      <x:c r="O2992" s="25" t="str">
        <x:v>Pendiente: asignar con R/sf</x:v>
      </x:c>
    </x:row>
    <x:row r="2993">
      <x:c r="A2993" s="25" t="n">
        <x:v>2992</x:v>
      </x:c>
      <x:c r="B2993" s="26" t="n">
        <x:v>43023.12150462963</x:v>
      </x:c>
      <x:c r="C2993" s="27" t="n">
        <x:f>INT(B2993)</x:f>
        <x:v>43023</x:v>
      </x:c>
      <x:c r="D2993" s="28" t="n">
        <x:f>MOD(B2993,1)</x:f>
        <x:v>0.12150462962745223</x:v>
      </x:c>
      <x:c r="E2993" s="29" t="n">
        <x:f>YEAR(B2993)</x:f>
        <x:v>2017</x:v>
      </x:c>
      <x:c r="F2993" s="29" t="n">
        <x:f>MONTH(B2993)</x:f>
        <x:v>10</x:v>
      </x:c>
      <x:c r="G2993" s="30" t="n">
        <x:v>-22.76</x:v>
      </x:c>
      <x:c r="H2993" s="30" t="n">
        <x:v>-68.94</x:v>
      </x:c>
      <x:c r="I2993" s="29" t="n">
        <x:v>107</x:v>
      </x:c>
      <x:c r="J2993" s="31" t="n">
        <x:v>4.9</x:v>
      </x:c>
      <x:c r="K2993" s="25" t="str">
        <x:f>IF(J2993&gt;=7,"Muy fuerte (&gt;=7)",IF(J2993&gt;=6,"Fuerte (6-6.9)",IF(J2993&gt;=5,"Moderado alto (5-5.9)",IF(J2993&gt;=4,"Moderado (4-4.9)","Menor a 4"))))</x:f>
        <x:v>Moderado (4-4.9)</x:v>
      </x:c>
      <x:c r="L2993" s="25" t="str">
        <x:f>IF(I2993&lt;70,"Superficial (&lt;70 km)",IF(I2993&lt;=300,"Intermedio (70-300 km)","Profundo (&gt;300 km)"))</x:f>
        <x:v>Intermedio (70-300 km)</x:v>
      </x:c>
      <x:c r="M2993" s="25" t="str">
        <x:f>IF(J2993&gt;=5,"Sí","No")</x:f>
        <x:v>No</x:v>
      </x:c>
      <x:c r="N2993" s="25" t="str">
        <x:f>IF(J2993&gt;=6,"Sí","No")</x:f>
        <x:v>No</x:v>
      </x:c>
      <x:c r="O2993" s="25" t="str">
        <x:v>Pendiente: asignar con R/sf</x:v>
      </x:c>
    </x:row>
    <x:row r="2994">
      <x:c r="A2994" s="25" t="n">
        <x:v>2993</x:v>
      </x:c>
      <x:c r="B2994" s="26" t="n">
        <x:v>43046.34116898148</x:v>
      </x:c>
      <x:c r="C2994" s="27" t="n">
        <x:f>INT(B2994)</x:f>
        <x:v>43046</x:v>
      </x:c>
      <x:c r="D2994" s="28" t="n">
        <x:f>MOD(B2994,1)</x:f>
        <x:v>0.341168981482042</x:v>
      </x:c>
      <x:c r="E2994" s="29" t="n">
        <x:f>YEAR(B2994)</x:f>
        <x:v>2017</x:v>
      </x:c>
      <x:c r="F2994" s="29" t="n">
        <x:f>MONTH(B2994)</x:f>
        <x:v>11</x:v>
      </x:c>
      <x:c r="G2994" s="30" t="n">
        <x:v>-22.14</x:v>
      </x:c>
      <x:c r="H2994" s="30" t="n">
        <x:v>-68.66</x:v>
      </x:c>
      <x:c r="I2994" s="29" t="n">
        <x:v>129</x:v>
      </x:c>
      <x:c r="J2994" s="31" t="n">
        <x:v>5.1</x:v>
      </x:c>
      <x:c r="K2994" s="25" t="str">
        <x:f>IF(J2994&gt;=7,"Muy fuerte (&gt;=7)",IF(J2994&gt;=6,"Fuerte (6-6.9)",IF(J2994&gt;=5,"Moderado alto (5-5.9)",IF(J2994&gt;=4,"Moderado (4-4.9)","Menor a 4"))))</x:f>
        <x:v>Moderado alto (5-5.9)</x:v>
      </x:c>
      <x:c r="L2994" s="25" t="str">
        <x:f>IF(I2994&lt;70,"Superficial (&lt;70 km)",IF(I2994&lt;=300,"Intermedio (70-300 km)","Profundo (&gt;300 km)"))</x:f>
        <x:v>Intermedio (70-300 km)</x:v>
      </x:c>
      <x:c r="M2994" s="25" t="str">
        <x:f>IF(J2994&gt;=5,"Sí","No")</x:f>
        <x:v>Sí</x:v>
      </x:c>
      <x:c r="N2994" s="25" t="str">
        <x:f>IF(J2994&gt;=6,"Sí","No")</x:f>
        <x:v>No</x:v>
      </x:c>
      <x:c r="O2994" s="25" t="str">
        <x:v>Pendiente: asignar con R/sf</x:v>
      </x:c>
    </x:row>
    <x:row r="2995">
      <x:c r="A2995" s="25" t="n">
        <x:v>2994</x:v>
      </x:c>
      <x:c r="B2995" s="26" t="n">
        <x:v>43066.181446759256</x:v>
      </x:c>
      <x:c r="C2995" s="27" t="n">
        <x:f>INT(B2995)</x:f>
        <x:v>43066</x:v>
      </x:c>
      <x:c r="D2995" s="28" t="n">
        <x:f>MOD(B2995,1)</x:f>
        <x:v>0.18144675925577758</x:v>
      </x:c>
      <x:c r="E2995" s="29" t="n">
        <x:f>YEAR(B2995)</x:f>
        <x:v>2017</x:v>
      </x:c>
      <x:c r="F2995" s="29" t="n">
        <x:f>MONTH(B2995)</x:f>
        <x:v>11</x:v>
      </x:c>
      <x:c r="G2995" s="30" t="n">
        <x:v>-22.51</x:v>
      </x:c>
      <x:c r="H2995" s="30" t="n">
        <x:v>-70.54</x:v>
      </x:c>
      <x:c r="I2995" s="29" t="n">
        <x:v>28</x:v>
      </x:c>
      <x:c r="J2995" s="31" t="n">
        <x:v>4.2</x:v>
      </x:c>
      <x:c r="K2995" s="25" t="str">
        <x:f>IF(J2995&gt;=7,"Muy fuerte (&gt;=7)",IF(J2995&gt;=6,"Fuerte (6-6.9)",IF(J2995&gt;=5,"Moderado alto (5-5.9)",IF(J2995&gt;=4,"Moderado (4-4.9)","Menor a 4"))))</x:f>
        <x:v>Moderado (4-4.9)</x:v>
      </x:c>
      <x:c r="L2995" s="25" t="str">
        <x:f>IF(I2995&lt;70,"Superficial (&lt;70 km)",IF(I2995&lt;=300,"Intermedio (70-300 km)","Profundo (&gt;300 km)"))</x:f>
        <x:v>Superficial (&lt;70 km)</x:v>
      </x:c>
      <x:c r="M2995" s="25" t="str">
        <x:f>IF(J2995&gt;=5,"Sí","No")</x:f>
        <x:v>No</x:v>
      </x:c>
      <x:c r="N2995" s="25" t="str">
        <x:f>IF(J2995&gt;=6,"Sí","No")</x:f>
        <x:v>No</x:v>
      </x:c>
      <x:c r="O2995" s="25" t="str">
        <x:v>Pendiente: asignar con R/sf</x:v>
      </x:c>
    </x:row>
    <x:row r="2996">
      <x:c r="A2996" s="25" t="n">
        <x:v>2995</x:v>
      </x:c>
      <x:c r="B2996" s="26" t="n">
        <x:v>43080.79232638889</x:v>
      </x:c>
      <x:c r="C2996" s="27" t="n">
        <x:f>INT(B2996)</x:f>
        <x:v>43080</x:v>
      </x:c>
      <x:c r="D2996" s="28" t="n">
        <x:f>MOD(B2996,1)</x:f>
        <x:v>0.7923263888878864</x:v>
      </x:c>
      <x:c r="E2996" s="29" t="n">
        <x:f>YEAR(B2996)</x:f>
        <x:v>2017</x:v>
      </x:c>
      <x:c r="F2996" s="29" t="n">
        <x:f>MONTH(B2996)</x:f>
        <x:v>12</x:v>
      </x:c>
      <x:c r="G2996" s="30" t="n">
        <x:v>-19.66</x:v>
      </x:c>
      <x:c r="H2996" s="30" t="n">
        <x:v>-71.15</x:v>
      </x:c>
      <x:c r="I2996" s="29" t="n">
        <x:v>35</x:v>
      </x:c>
      <x:c r="J2996" s="31" t="n">
        <x:v>5.3</x:v>
      </x:c>
      <x:c r="K2996" s="25" t="str">
        <x:f>IF(J2996&gt;=7,"Muy fuerte (&gt;=7)",IF(J2996&gt;=6,"Fuerte (6-6.9)",IF(J2996&gt;=5,"Moderado alto (5-5.9)",IF(J2996&gt;=4,"Moderado (4-4.9)","Menor a 4"))))</x:f>
        <x:v>Moderado alto (5-5.9)</x:v>
      </x:c>
      <x:c r="L2996" s="25" t="str">
        <x:f>IF(I2996&lt;70,"Superficial (&lt;70 km)",IF(I2996&lt;=300,"Intermedio (70-300 km)","Profundo (&gt;300 km)"))</x:f>
        <x:v>Superficial (&lt;70 km)</x:v>
      </x:c>
      <x:c r="M2996" s="25" t="str">
        <x:f>IF(J2996&gt;=5,"Sí","No")</x:f>
        <x:v>Sí</x:v>
      </x:c>
      <x:c r="N2996" s="25" t="str">
        <x:f>IF(J2996&gt;=6,"Sí","No")</x:f>
        <x:v>No</x:v>
      </x:c>
      <x:c r="O2996" s="25" t="str">
        <x:v>Pendiente: asignar con R/sf</x:v>
      </x:c>
    </x:row>
    <x:row r="2997">
      <x:c r="A2997" s="25" t="n">
        <x:v>2996</x:v>
      </x:c>
      <x:c r="B2997" s="26" t="n">
        <x:v>43083.75733796296</x:v>
      </x:c>
      <x:c r="C2997" s="27" t="n">
        <x:f>INT(B2997)</x:f>
        <x:v>43083</x:v>
      </x:c>
      <x:c r="D2997" s="28" t="n">
        <x:f>MOD(B2997,1)</x:f>
        <x:v>0.7573379629611736</x:v>
      </x:c>
      <x:c r="E2997" s="29" t="n">
        <x:f>YEAR(B2997)</x:f>
        <x:v>2017</x:v>
      </x:c>
      <x:c r="F2997" s="29" t="n">
        <x:f>MONTH(B2997)</x:f>
        <x:v>12</x:v>
      </x:c>
      <x:c r="G2997" s="30" t="n">
        <x:v>-19.84</x:v>
      </x:c>
      <x:c r="H2997" s="30" t="n">
        <x:v>-70.24</x:v>
      </x:c>
      <x:c r="I2997" s="29" t="n">
        <x:v>23</x:v>
      </x:c>
      <x:c r="J2997" s="31" t="n">
        <x:v>4.6</x:v>
      </x:c>
      <x:c r="K2997" s="25" t="str">
        <x:f>IF(J2997&gt;=7,"Muy fuerte (&gt;=7)",IF(J2997&gt;=6,"Fuerte (6-6.9)",IF(J2997&gt;=5,"Moderado alto (5-5.9)",IF(J2997&gt;=4,"Moderado (4-4.9)","Menor a 4"))))</x:f>
        <x:v>Moderado (4-4.9)</x:v>
      </x:c>
      <x:c r="L2997" s="25" t="str">
        <x:f>IF(I2997&lt;70,"Superficial (&lt;70 km)",IF(I2997&lt;=300,"Intermedio (70-300 km)","Profundo (&gt;300 km)"))</x:f>
        <x:v>Superficial (&lt;70 km)</x:v>
      </x:c>
      <x:c r="M2997" s="25" t="str">
        <x:f>IF(J2997&gt;=5,"Sí","No")</x:f>
        <x:v>No</x:v>
      </x:c>
      <x:c r="N2997" s="25" t="str">
        <x:f>IF(J2997&gt;=6,"Sí","No")</x:f>
        <x:v>No</x:v>
      </x:c>
      <x:c r="O2997" s="25" t="str">
        <x:v>Pendiente: asignar con R/sf</x:v>
      </x:c>
    </x:row>
    <x:row r="2998">
      <x:c r="A2998" s="25" t="n">
        <x:v>2997</x:v>
      </x:c>
      <x:c r="B2998" s="26" t="n">
        <x:v>42996.01497685185</x:v>
      </x:c>
      <x:c r="C2998" s="27" t="n">
        <x:f>INT(B2998)</x:f>
        <x:v>42996</x:v>
      </x:c>
      <x:c r="D2998" s="28" t="n">
        <x:f>MOD(B2998,1)</x:f>
        <x:v>0.014976851853134576</x:v>
      </x:c>
      <x:c r="E2998" s="29" t="n">
        <x:f>YEAR(B2998)</x:f>
        <x:v>2017</x:v>
      </x:c>
      <x:c r="F2998" s="29" t="n">
        <x:f>MONTH(B2998)</x:f>
        <x:v>9</x:v>
      </x:c>
      <x:c r="G2998" s="30" t="n">
        <x:v>-19.88</x:v>
      </x:c>
      <x:c r="H2998" s="30" t="n">
        <x:v>-69.07</x:v>
      </x:c>
      <x:c r="I2998" s="29" t="n">
        <x:v>105</x:v>
      </x:c>
      <x:c r="J2998" s="31" t="n">
        <x:v>4.1</x:v>
      </x:c>
      <x:c r="K2998" s="25" t="str">
        <x:f>IF(J2998&gt;=7,"Muy fuerte (&gt;=7)",IF(J2998&gt;=6,"Fuerte (6-6.9)",IF(J2998&gt;=5,"Moderado alto (5-5.9)",IF(J2998&gt;=4,"Moderado (4-4.9)","Menor a 4"))))</x:f>
        <x:v>Moderado (4-4.9)</x:v>
      </x:c>
      <x:c r="L2998" s="25" t="str">
        <x:f>IF(I2998&lt;70,"Superficial (&lt;70 km)",IF(I2998&lt;=300,"Intermedio (70-300 km)","Profundo (&gt;300 km)"))</x:f>
        <x:v>Intermedio (70-300 km)</x:v>
      </x:c>
      <x:c r="M2998" s="25" t="str">
        <x:f>IF(J2998&gt;=5,"Sí","No")</x:f>
        <x:v>No</x:v>
      </x:c>
      <x:c r="N2998" s="25" t="str">
        <x:f>IF(J2998&gt;=6,"Sí","No")</x:f>
        <x:v>No</x:v>
      </x:c>
      <x:c r="O2998" s="25" t="str">
        <x:v>Pendiente: asignar con R/sf</x:v>
      </x:c>
    </x:row>
    <x:row r="2999">
      <x:c r="A2999" s="25" t="n">
        <x:v>2998</x:v>
      </x:c>
      <x:c r="B2999" s="26" t="n">
        <x:v>42982.91342592592</x:v>
      </x:c>
      <x:c r="C2999" s="27" t="n">
        <x:f>INT(B2999)</x:f>
        <x:v>42982</x:v>
      </x:c>
      <x:c r="D2999" s="28" t="n">
        <x:f>MOD(B2999,1)</x:f>
        <x:v>0.9134259259226383</x:v>
      </x:c>
      <x:c r="E2999" s="29" t="n">
        <x:f>YEAR(B2999)</x:f>
        <x:v>2017</x:v>
      </x:c>
      <x:c r="F2999" s="29" t="n">
        <x:f>MONTH(B2999)</x:f>
        <x:v>9</x:v>
      </x:c>
      <x:c r="G2999" s="30" t="n">
        <x:v>-19.29</x:v>
      </x:c>
      <x:c r="H2999" s="30" t="n">
        <x:v>-70.08</x:v>
      </x:c>
      <x:c r="I2999" s="29" t="n">
        <x:v>71</x:v>
      </x:c>
      <x:c r="J2999" s="31" t="n">
        <x:v>5.2</x:v>
      </x:c>
      <x:c r="K2999" s="25" t="str">
        <x:f>IF(J2999&gt;=7,"Muy fuerte (&gt;=7)",IF(J2999&gt;=6,"Fuerte (6-6.9)",IF(J2999&gt;=5,"Moderado alto (5-5.9)",IF(J2999&gt;=4,"Moderado (4-4.9)","Menor a 4"))))</x:f>
        <x:v>Moderado alto (5-5.9)</x:v>
      </x:c>
      <x:c r="L2999" s="25" t="str">
        <x:f>IF(I2999&lt;70,"Superficial (&lt;70 km)",IF(I2999&lt;=300,"Intermedio (70-300 km)","Profundo (&gt;300 km)"))</x:f>
        <x:v>Intermedio (70-300 km)</x:v>
      </x:c>
      <x:c r="M2999" s="25" t="str">
        <x:f>IF(J2999&gt;=5,"Sí","No")</x:f>
        <x:v>Sí</x:v>
      </x:c>
      <x:c r="N2999" s="25" t="str">
        <x:f>IF(J2999&gt;=6,"Sí","No")</x:f>
        <x:v>No</x:v>
      </x:c>
      <x:c r="O2999" s="25" t="str">
        <x:v>Pendiente: asignar con R/sf</x:v>
      </x:c>
    </x:row>
    <x:row r="3000">
      <x:c r="A3000" s="25" t="n">
        <x:v>2999</x:v>
      </x:c>
      <x:c r="B3000" s="26" t="n">
        <x:v>42987.50256944444</x:v>
      </x:c>
      <x:c r="C3000" s="27" t="n">
        <x:f>INT(B3000)</x:f>
        <x:v>42987</x:v>
      </x:c>
      <x:c r="D3000" s="28" t="n">
        <x:f>MOD(B3000,1)</x:f>
        <x:v>0.5025694444411783</x:v>
      </x:c>
      <x:c r="E3000" s="29" t="n">
        <x:f>YEAR(B3000)</x:f>
        <x:v>2017</x:v>
      </x:c>
      <x:c r="F3000" s="29" t="n">
        <x:f>MONTH(B3000)</x:f>
        <x:v>9</x:v>
      </x:c>
      <x:c r="G3000" s="30" t="n">
        <x:v>-22.46</x:v>
      </x:c>
      <x:c r="H3000" s="30" t="n">
        <x:v>-66.82</x:v>
      </x:c>
      <x:c r="I3000" s="29" t="n">
        <x:v>278</x:v>
      </x:c>
      <x:c r="J3000" s="31" t="n">
        <x:v>5.3</x:v>
      </x:c>
      <x:c r="K3000" s="25" t="str">
        <x:f>IF(J3000&gt;=7,"Muy fuerte (&gt;=7)",IF(J3000&gt;=6,"Fuerte (6-6.9)",IF(J3000&gt;=5,"Moderado alto (5-5.9)",IF(J3000&gt;=4,"Moderado (4-4.9)","Menor a 4"))))</x:f>
        <x:v>Moderado alto (5-5.9)</x:v>
      </x:c>
      <x:c r="L3000" s="25" t="str">
        <x:f>IF(I3000&lt;70,"Superficial (&lt;70 km)",IF(I3000&lt;=300,"Intermedio (70-300 km)","Profundo (&gt;300 km)"))</x:f>
        <x:v>Intermedio (70-300 km)</x:v>
      </x:c>
      <x:c r="M3000" s="25" t="str">
        <x:f>IF(J3000&gt;=5,"Sí","No")</x:f>
        <x:v>Sí</x:v>
      </x:c>
      <x:c r="N3000" s="25" t="str">
        <x:f>IF(J3000&gt;=6,"Sí","No")</x:f>
        <x:v>No</x:v>
      </x:c>
      <x:c r="O3000" s="25" t="str">
        <x:v>Pendiente: asignar con R/sf</x:v>
      </x:c>
    </x:row>
    <x:row r="3001">
      <x:c r="A3001" s="25" t="n">
        <x:v>3000</x:v>
      </x:c>
      <x:c r="B3001" s="26" t="n">
        <x:v>42995.890011574076</x:v>
      </x:c>
      <x:c r="C3001" s="27" t="n">
        <x:f>INT(B3001)</x:f>
        <x:v>42995</x:v>
      </x:c>
      <x:c r="D3001" s="28" t="n">
        <x:f>MOD(B3001,1)</x:f>
        <x:v>0.8900115740761976</x:v>
      </x:c>
      <x:c r="E3001" s="29" t="n">
        <x:f>YEAR(B3001)</x:f>
        <x:v>2017</x:v>
      </x:c>
      <x:c r="F3001" s="29" t="n">
        <x:f>MONTH(B3001)</x:f>
        <x:v>9</x:v>
      </x:c>
      <x:c r="G3001" s="30" t="n">
        <x:v>-20.24</x:v>
      </x:c>
      <x:c r="H3001" s="30" t="n">
        <x:v>-69.25</x:v>
      </x:c>
      <x:c r="I3001" s="29" t="n">
        <x:v>96</x:v>
      </x:c>
      <x:c r="J3001" s="31" t="n">
        <x:v>4.1</x:v>
      </x:c>
      <x:c r="K3001" s="25" t="str">
        <x:f>IF(J3001&gt;=7,"Muy fuerte (&gt;=7)",IF(J3001&gt;=6,"Fuerte (6-6.9)",IF(J3001&gt;=5,"Moderado alto (5-5.9)",IF(J3001&gt;=4,"Moderado (4-4.9)","Menor a 4"))))</x:f>
        <x:v>Moderado (4-4.9)</x:v>
      </x:c>
      <x:c r="L3001" s="25" t="str">
        <x:f>IF(I3001&lt;70,"Superficial (&lt;70 km)",IF(I3001&lt;=300,"Intermedio (70-300 km)","Profundo (&gt;300 km)"))</x:f>
        <x:v>Intermedio (70-300 km)</x:v>
      </x:c>
      <x:c r="M3001" s="25" t="str">
        <x:f>IF(J3001&gt;=5,"Sí","No")</x:f>
        <x:v>No</x:v>
      </x:c>
      <x:c r="N3001" s="25" t="str">
        <x:f>IF(J3001&gt;=6,"Sí","No")</x:f>
        <x:v>No</x:v>
      </x:c>
      <x:c r="O3001" s="25" t="str">
        <x:v>Pendiente: asignar con R/sf</x:v>
      </x:c>
    </x:row>
    <x:row r="3002">
      <x:c r="A3002" s="25" t="n">
        <x:v>3001</x:v>
      </x:c>
      <x:c r="B3002" s="26" t="n">
        <x:v>43013.34140046296</x:v>
      </x:c>
      <x:c r="C3002" s="27" t="n">
        <x:f>INT(B3002)</x:f>
        <x:v>43013</x:v>
      </x:c>
      <x:c r="D3002" s="28" t="n">
        <x:f>MOD(B3002,1)</x:f>
        <x:v>0.3414004629594274</x:v>
      </x:c>
      <x:c r="E3002" s="29" t="n">
        <x:f>YEAR(B3002)</x:f>
        <x:v>2017</x:v>
      </x:c>
      <x:c r="F3002" s="29" t="n">
        <x:f>MONTH(B3002)</x:f>
        <x:v>10</x:v>
      </x:c>
      <x:c r="G3002" s="30" t="n">
        <x:v>-22.37</x:v>
      </x:c>
      <x:c r="H3002" s="30" t="n">
        <x:v>-68.54</x:v>
      </x:c>
      <x:c r="I3002" s="29" t="n">
        <x:v>115</x:v>
      </x:c>
      <x:c r="J3002" s="31" t="n">
        <x:v>5.8</x:v>
      </x:c>
      <x:c r="K3002" s="25" t="str">
        <x:f>IF(J3002&gt;=7,"Muy fuerte (&gt;=7)",IF(J3002&gt;=6,"Fuerte (6-6.9)",IF(J3002&gt;=5,"Moderado alto (5-5.9)",IF(J3002&gt;=4,"Moderado (4-4.9)","Menor a 4"))))</x:f>
        <x:v>Moderado alto (5-5.9)</x:v>
      </x:c>
      <x:c r="L3002" s="25" t="str">
        <x:f>IF(I3002&lt;70,"Superficial (&lt;70 km)",IF(I3002&lt;=300,"Intermedio (70-300 km)","Profundo (&gt;300 km)"))</x:f>
        <x:v>Intermedio (70-300 km)</x:v>
      </x:c>
      <x:c r="M3002" s="25" t="str">
        <x:f>IF(J3002&gt;=5,"Sí","No")</x:f>
        <x:v>Sí</x:v>
      </x:c>
      <x:c r="N3002" s="25" t="str">
        <x:f>IF(J3002&gt;=6,"Sí","No")</x:f>
        <x:v>No</x:v>
      </x:c>
      <x:c r="O3002" s="25" t="str">
        <x:v>Pendiente: asignar con R/sf</x:v>
      </x:c>
    </x:row>
    <x:row r="3003">
      <x:c r="A3003" s="25" t="n">
        <x:v>3002</x:v>
      </x:c>
      <x:c r="B3003" s="26" t="n">
        <x:v>43018.27245370371</x:v>
      </x:c>
      <x:c r="C3003" s="27" t="n">
        <x:f>INT(B3003)</x:f>
        <x:v>43018</x:v>
      </x:c>
      <x:c r="D3003" s="28" t="n">
        <x:f>MOD(B3003,1)</x:f>
        <x:v>0.2724537037065602</x:v>
      </x:c>
      <x:c r="E3003" s="29" t="n">
        <x:f>YEAR(B3003)</x:f>
        <x:v>2017</x:v>
      </x:c>
      <x:c r="F3003" s="29" t="n">
        <x:f>MONTH(B3003)</x:f>
        <x:v>10</x:v>
      </x:c>
      <x:c r="G3003" s="30" t="n">
        <x:v>-18.49</x:v>
      </x:c>
      <x:c r="H3003" s="30" t="n">
        <x:v>-69.74</x:v>
      </x:c>
      <x:c r="I3003" s="29" t="n">
        <x:v>100</x:v>
      </x:c>
      <x:c r="J3003" s="31" t="n">
        <x:v>6.3</x:v>
      </x:c>
      <x:c r="K3003" s="25" t="str">
        <x:f>IF(J3003&gt;=7,"Muy fuerte (&gt;=7)",IF(J3003&gt;=6,"Fuerte (6-6.9)",IF(J3003&gt;=5,"Moderado alto (5-5.9)",IF(J3003&gt;=4,"Moderado (4-4.9)","Menor a 4"))))</x:f>
        <x:v>Fuerte (6-6.9)</x:v>
      </x:c>
      <x:c r="L3003" s="25" t="str">
        <x:f>IF(I3003&lt;70,"Superficial (&lt;70 km)",IF(I3003&lt;=300,"Intermedio (70-300 km)","Profundo (&gt;300 km)"))</x:f>
        <x:v>Intermedio (70-300 km)</x:v>
      </x:c>
      <x:c r="M3003" s="25" t="str">
        <x:f>IF(J3003&gt;=5,"Sí","No")</x:f>
        <x:v>Sí</x:v>
      </x:c>
      <x:c r="N3003" s="25" t="str">
        <x:f>IF(J3003&gt;=6,"Sí","No")</x:f>
        <x:v>Sí</x:v>
      </x:c>
      <x:c r="O3003" s="25" t="str">
        <x:v>Pendiente: asignar con R/sf</x:v>
      </x:c>
    </x:row>
    <x:row r="3004">
      <x:c r="A3004" s="25" t="n">
        <x:v>3003</x:v>
      </x:c>
      <x:c r="B3004" s="26" t="n">
        <x:v>43018.30674768519</x:v>
      </x:c>
      <x:c r="C3004" s="27" t="n">
        <x:f>INT(B3004)</x:f>
        <x:v>43018</x:v>
      </x:c>
      <x:c r="D3004" s="28" t="n">
        <x:f>MOD(B3004,1)</x:f>
        <x:v>0.3067476851865649</x:v>
      </x:c>
      <x:c r="E3004" s="29" t="n">
        <x:f>YEAR(B3004)</x:f>
        <x:v>2017</x:v>
      </x:c>
      <x:c r="F3004" s="29" t="n">
        <x:f>MONTH(B3004)</x:f>
        <x:v>10</x:v>
      </x:c>
      <x:c r="G3004" s="30" t="n">
        <x:v>-18.57</x:v>
      </x:c>
      <x:c r="H3004" s="30" t="n">
        <x:v>-69.77</x:v>
      </x:c>
      <x:c r="I3004" s="29" t="n">
        <x:v>90</x:v>
      </x:c>
      <x:c r="J3004" s="31" t="n">
        <x:v>4.9</x:v>
      </x:c>
      <x:c r="K3004" s="25" t="str">
        <x:f>IF(J3004&gt;=7,"Muy fuerte (&gt;=7)",IF(J3004&gt;=6,"Fuerte (6-6.9)",IF(J3004&gt;=5,"Moderado alto (5-5.9)",IF(J3004&gt;=4,"Moderado (4-4.9)","Menor a 4"))))</x:f>
        <x:v>Moderado (4-4.9)</x:v>
      </x:c>
      <x:c r="L3004" s="25" t="str">
        <x:f>IF(I3004&lt;70,"Superficial (&lt;70 km)",IF(I3004&lt;=300,"Intermedio (70-300 km)","Profundo (&gt;300 km)"))</x:f>
        <x:v>Intermedio (70-300 km)</x:v>
      </x:c>
      <x:c r="M3004" s="25" t="str">
        <x:f>IF(J3004&gt;=5,"Sí","No")</x:f>
        <x:v>No</x:v>
      </x:c>
      <x:c r="N3004" s="25" t="str">
        <x:f>IF(J3004&gt;=6,"Sí","No")</x:f>
        <x:v>No</x:v>
      </x:c>
      <x:c r="O3004" s="25" t="str">
        <x:v>Pendiente: asignar con R/sf</x:v>
      </x:c>
    </x:row>
    <x:row r="3005">
      <x:c r="A3005" s="25" t="n">
        <x:v>3004</x:v>
      </x:c>
      <x:c r="B3005" s="26" t="n">
        <x:v>43020.723020833335</x:v>
      </x:c>
      <x:c r="C3005" s="27" t="n">
        <x:f>INT(B3005)</x:f>
        <x:v>43020</x:v>
      </x:c>
      <x:c r="D3005" s="28" t="n">
        <x:f>MOD(B3005,1)</x:f>
        <x:v>0.7230208333348855</x:v>
      </x:c>
      <x:c r="E3005" s="29" t="n">
        <x:f>YEAR(B3005)</x:f>
        <x:v>2017</x:v>
      </x:c>
      <x:c r="F3005" s="29" t="n">
        <x:f>MONTH(B3005)</x:f>
        <x:v>10</x:v>
      </x:c>
      <x:c r="G3005" s="30" t="n">
        <x:v>-19.67</x:v>
      </x:c>
      <x:c r="H3005" s="30" t="n">
        <x:v>-69.18</x:v>
      </x:c>
      <x:c r="I3005" s="29" t="n">
        <x:v>99</x:v>
      </x:c>
      <x:c r="J3005" s="31" t="n">
        <x:v>4.3</x:v>
      </x:c>
      <x:c r="K3005" s="25" t="str">
        <x:f>IF(J3005&gt;=7,"Muy fuerte (&gt;=7)",IF(J3005&gt;=6,"Fuerte (6-6.9)",IF(J3005&gt;=5,"Moderado alto (5-5.9)",IF(J3005&gt;=4,"Moderado (4-4.9)","Menor a 4"))))</x:f>
        <x:v>Moderado (4-4.9)</x:v>
      </x:c>
      <x:c r="L3005" s="25" t="str">
        <x:f>IF(I3005&lt;70,"Superficial (&lt;70 km)",IF(I3005&lt;=300,"Intermedio (70-300 km)","Profundo (&gt;300 km)"))</x:f>
        <x:v>Intermedio (70-300 km)</x:v>
      </x:c>
      <x:c r="M3005" s="25" t="str">
        <x:f>IF(J3005&gt;=5,"Sí","No")</x:f>
        <x:v>No</x:v>
      </x:c>
      <x:c r="N3005" s="25" t="str">
        <x:f>IF(J3005&gt;=6,"Sí","No")</x:f>
        <x:v>No</x:v>
      </x:c>
      <x:c r="O3005" s="25" t="str">
        <x:v>Pendiente: asignar con R/sf</x:v>
      </x:c>
    </x:row>
    <x:row r="3006">
      <x:c r="A3006" s="25" t="n">
        <x:v>3005</x:v>
      </x:c>
      <x:c r="B3006" s="26" t="n">
        <x:v>43021.099652777775</x:v>
      </x:c>
      <x:c r="C3006" s="27" t="n">
        <x:f>INT(B3006)</x:f>
        <x:v>43021</x:v>
      </x:c>
      <x:c r="D3006" s="28" t="n">
        <x:f>MOD(B3006,1)</x:f>
        <x:v>0.09965277777519077</x:v>
      </x:c>
      <x:c r="E3006" s="29" t="n">
        <x:f>YEAR(B3006)</x:f>
        <x:v>2017</x:v>
      </x:c>
      <x:c r="F3006" s="29" t="n">
        <x:f>MONTH(B3006)</x:f>
        <x:v>10</x:v>
      </x:c>
      <x:c r="G3006" s="30" t="n">
        <x:v>-20.29</x:v>
      </x:c>
      <x:c r="H3006" s="30" t="n">
        <x:v>-69.14</x:v>
      </x:c>
      <x:c r="I3006" s="29" t="n">
        <x:v>91</x:v>
      </x:c>
      <x:c r="J3006" s="31" t="n">
        <x:v>4</x:v>
      </x:c>
      <x:c r="K3006" s="25" t="str">
        <x:f>IF(J3006&gt;=7,"Muy fuerte (&gt;=7)",IF(J3006&gt;=6,"Fuerte (6-6.9)",IF(J3006&gt;=5,"Moderado alto (5-5.9)",IF(J3006&gt;=4,"Moderado (4-4.9)","Menor a 4"))))</x:f>
        <x:v>Moderado (4-4.9)</x:v>
      </x:c>
      <x:c r="L3006" s="25" t="str">
        <x:f>IF(I3006&lt;70,"Superficial (&lt;70 km)",IF(I3006&lt;=300,"Intermedio (70-300 km)","Profundo (&gt;300 km)"))</x:f>
        <x:v>Intermedio (70-300 km)</x:v>
      </x:c>
      <x:c r="M3006" s="25" t="str">
        <x:f>IF(J3006&gt;=5,"Sí","No")</x:f>
        <x:v>No</x:v>
      </x:c>
      <x:c r="N3006" s="25" t="str">
        <x:f>IF(J3006&gt;=6,"Sí","No")</x:f>
        <x:v>No</x:v>
      </x:c>
      <x:c r="O3006" s="25" t="str">
        <x:v>Pendiente: asignar con R/sf</x:v>
      </x:c>
    </x:row>
    <x:row r="3007">
      <x:c r="A3007" s="25" t="n">
        <x:v>3006</x:v>
      </x:c>
      <x:c r="B3007" s="26" t="n">
        <x:v>43029.67989583333</x:v>
      </x:c>
      <x:c r="C3007" s="27" t="n">
        <x:f>INT(B3007)</x:f>
        <x:v>43029</x:v>
      </x:c>
      <x:c r="D3007" s="28" t="n">
        <x:f>MOD(B3007,1)</x:f>
        <x:v>0.679895833331102</x:v>
      </x:c>
      <x:c r="E3007" s="29" t="n">
        <x:f>YEAR(B3007)</x:f>
        <x:v>2017</x:v>
      </x:c>
      <x:c r="F3007" s="29" t="n">
        <x:f>MONTH(B3007)</x:f>
        <x:v>10</x:v>
      </x:c>
      <x:c r="G3007" s="30" t="n">
        <x:v>-20.76</x:v>
      </x:c>
      <x:c r="H3007" s="30" t="n">
        <x:v>-69.69</x:v>
      </x:c>
      <x:c r="I3007" s="29" t="n">
        <x:v>55</x:v>
      </x:c>
      <x:c r="J3007" s="31" t="n">
        <x:v>4</x:v>
      </x:c>
      <x:c r="K3007" s="25" t="str">
        <x:f>IF(J3007&gt;=7,"Muy fuerte (&gt;=7)",IF(J3007&gt;=6,"Fuerte (6-6.9)",IF(J3007&gt;=5,"Moderado alto (5-5.9)",IF(J3007&gt;=4,"Moderado (4-4.9)","Menor a 4"))))</x:f>
        <x:v>Moderado (4-4.9)</x:v>
      </x:c>
      <x:c r="L3007" s="25" t="str">
        <x:f>IF(I3007&lt;70,"Superficial (&lt;70 km)",IF(I3007&lt;=300,"Intermedio (70-300 km)","Profundo (&gt;300 km)"))</x:f>
        <x:v>Superficial (&lt;70 km)</x:v>
      </x:c>
      <x:c r="M3007" s="25" t="str">
        <x:f>IF(J3007&gt;=5,"Sí","No")</x:f>
        <x:v>No</x:v>
      </x:c>
      <x:c r="N3007" s="25" t="str">
        <x:f>IF(J3007&gt;=6,"Sí","No")</x:f>
        <x:v>No</x:v>
      </x:c>
      <x:c r="O3007" s="25" t="str">
        <x:v>Pendiente: asignar con R/sf</x:v>
      </x:c>
    </x:row>
    <x:row r="3008">
      <x:c r="A3008" s="25" t="n">
        <x:v>3007</x:v>
      </x:c>
      <x:c r="B3008" s="26" t="n">
        <x:v>43043.7940625</x:v>
      </x:c>
      <x:c r="C3008" s="27" t="n">
        <x:f>INT(B3008)</x:f>
        <x:v>43043</x:v>
      </x:c>
      <x:c r="D3008" s="28" t="n">
        <x:f>MOD(B3008,1)</x:f>
        <x:v>0.7940624999973807</x:v>
      </x:c>
      <x:c r="E3008" s="29" t="n">
        <x:f>YEAR(B3008)</x:f>
        <x:v>2017</x:v>
      </x:c>
      <x:c r="F3008" s="29" t="n">
        <x:f>MONTH(B3008)</x:f>
        <x:v>11</x:v>
      </x:c>
      <x:c r="G3008" s="30" t="n">
        <x:v>-20</x:v>
      </x:c>
      <x:c r="H3008" s="30" t="n">
        <x:v>-69.13</x:v>
      </x:c>
      <x:c r="I3008" s="29" t="n">
        <x:v>98</x:v>
      </x:c>
      <x:c r="J3008" s="31" t="n">
        <x:v>4.1</x:v>
      </x:c>
      <x:c r="K3008" s="25" t="str">
        <x:f>IF(J3008&gt;=7,"Muy fuerte (&gt;=7)",IF(J3008&gt;=6,"Fuerte (6-6.9)",IF(J3008&gt;=5,"Moderado alto (5-5.9)",IF(J3008&gt;=4,"Moderado (4-4.9)","Menor a 4"))))</x:f>
        <x:v>Moderado (4-4.9)</x:v>
      </x:c>
      <x:c r="L3008" s="25" t="str">
        <x:f>IF(I3008&lt;70,"Superficial (&lt;70 km)",IF(I3008&lt;=300,"Intermedio (70-300 km)","Profundo (&gt;300 km)"))</x:f>
        <x:v>Intermedio (70-300 km)</x:v>
      </x:c>
      <x:c r="M3008" s="25" t="str">
        <x:f>IF(J3008&gt;=5,"Sí","No")</x:f>
        <x:v>No</x:v>
      </x:c>
      <x:c r="N3008" s="25" t="str">
        <x:f>IF(J3008&gt;=6,"Sí","No")</x:f>
        <x:v>No</x:v>
      </x:c>
      <x:c r="O3008" s="25" t="str">
        <x:v>Pendiente: asignar con R/sf</x:v>
      </x:c>
    </x:row>
    <x:row r="3009">
      <x:c r="A3009" s="25" t="n">
        <x:v>3008</x:v>
      </x:c>
      <x:c r="B3009" s="26" t="n">
        <x:v>43056.69846064815</x:v>
      </x:c>
      <x:c r="C3009" s="27" t="n">
        <x:f>INT(B3009)</x:f>
        <x:v>43056</x:v>
      </x:c>
      <x:c r="D3009" s="28" t="n">
        <x:f>MOD(B3009,1)</x:f>
        <x:v>0.6984606481491937</x:v>
      </x:c>
      <x:c r="E3009" s="29" t="n">
        <x:f>YEAR(B3009)</x:f>
        <x:v>2017</x:v>
      </x:c>
      <x:c r="F3009" s="29" t="n">
        <x:f>MONTH(B3009)</x:f>
        <x:v>11</x:v>
      </x:c>
      <x:c r="G3009" s="30" t="n">
        <x:v>-19.79</x:v>
      </x:c>
      <x:c r="H3009" s="30" t="n">
        <x:v>-69.28</x:v>
      </x:c>
      <x:c r="I3009" s="29" t="n">
        <x:v>105</x:v>
      </x:c>
      <x:c r="J3009" s="31" t="n">
        <x:v>5.3</x:v>
      </x:c>
      <x:c r="K3009" s="25" t="str">
        <x:f>IF(J3009&gt;=7,"Muy fuerte (&gt;=7)",IF(J3009&gt;=6,"Fuerte (6-6.9)",IF(J3009&gt;=5,"Moderado alto (5-5.9)",IF(J3009&gt;=4,"Moderado (4-4.9)","Menor a 4"))))</x:f>
        <x:v>Moderado alto (5-5.9)</x:v>
      </x:c>
      <x:c r="L3009" s="25" t="str">
        <x:f>IF(I3009&lt;70,"Superficial (&lt;70 km)",IF(I3009&lt;=300,"Intermedio (70-300 km)","Profundo (&gt;300 km)"))</x:f>
        <x:v>Intermedio (70-300 km)</x:v>
      </x:c>
      <x:c r="M3009" s="25" t="str">
        <x:f>IF(J3009&gt;=5,"Sí","No")</x:f>
        <x:v>Sí</x:v>
      </x:c>
      <x:c r="N3009" s="25" t="str">
        <x:f>IF(J3009&gt;=6,"Sí","No")</x:f>
        <x:v>No</x:v>
      </x:c>
      <x:c r="O3009" s="25" t="str">
        <x:v>Pendiente: asignar con R/sf</x:v>
      </x:c>
    </x:row>
    <x:row r="3010">
      <x:c r="A3010" s="25" t="n">
        <x:v>3009</x:v>
      </x:c>
      <x:c r="B3010" s="26" t="n">
        <x:v>43057.41768518519</x:v>
      </x:c>
      <x:c r="C3010" s="27" t="n">
        <x:f>INT(B3010)</x:f>
        <x:v>43057</x:v>
      </x:c>
      <x:c r="D3010" s="28" t="n">
        <x:f>MOD(B3010,1)</x:f>
        <x:v>0.4176851851880201</x:v>
      </x:c>
      <x:c r="E3010" s="29" t="n">
        <x:f>YEAR(B3010)</x:f>
        <x:v>2017</x:v>
      </x:c>
      <x:c r="F3010" s="29" t="n">
        <x:f>MONTH(B3010)</x:f>
        <x:v>11</x:v>
      </x:c>
      <x:c r="G3010" s="30" t="n">
        <x:v>-20.75</x:v>
      </x:c>
      <x:c r="H3010" s="30" t="n">
        <x:v>-69.13</x:v>
      </x:c>
      <x:c r="I3010" s="29" t="n">
        <x:v>108</x:v>
      </x:c>
      <x:c r="J3010" s="31" t="n">
        <x:v>5</x:v>
      </x:c>
      <x:c r="K3010" s="25" t="str">
        <x:f>IF(J3010&gt;=7,"Muy fuerte (&gt;=7)",IF(J3010&gt;=6,"Fuerte (6-6.9)",IF(J3010&gt;=5,"Moderado alto (5-5.9)",IF(J3010&gt;=4,"Moderado (4-4.9)","Menor a 4"))))</x:f>
        <x:v>Moderado alto (5-5.9)</x:v>
      </x:c>
      <x:c r="L3010" s="25" t="str">
        <x:f>IF(I3010&lt;70,"Superficial (&lt;70 km)",IF(I3010&lt;=300,"Intermedio (70-300 km)","Profundo (&gt;300 km)"))</x:f>
        <x:v>Intermedio (70-300 km)</x:v>
      </x:c>
      <x:c r="M3010" s="25" t="str">
        <x:f>IF(J3010&gt;=5,"Sí","No")</x:f>
        <x:v>Sí</x:v>
      </x:c>
      <x:c r="N3010" s="25" t="str">
        <x:f>IF(J3010&gt;=6,"Sí","No")</x:f>
        <x:v>No</x:v>
      </x:c>
      <x:c r="O3010" s="25" t="str">
        <x:v>Pendiente: asignar con R/sf</x:v>
      </x:c>
    </x:row>
    <x:row r="3011">
      <x:c r="A3011" s="25" t="n">
        <x:v>3010</x:v>
      </x:c>
      <x:c r="B3011" s="26" t="n">
        <x:v>43061.166979166665</x:v>
      </x:c>
      <x:c r="C3011" s="27" t="n">
        <x:f>INT(B3011)</x:f>
        <x:v>43061</x:v>
      </x:c>
      <x:c r="D3011" s="28" t="n">
        <x:f>MOD(B3011,1)</x:f>
        <x:v>0.16697916666453239</x:v>
      </x:c>
      <x:c r="E3011" s="29" t="n">
        <x:f>YEAR(B3011)</x:f>
        <x:v>2017</x:v>
      </x:c>
      <x:c r="F3011" s="29" t="n">
        <x:f>MONTH(B3011)</x:f>
        <x:v>11</x:v>
      </x:c>
      <x:c r="G3011" s="30" t="n">
        <x:v>-20.5</x:v>
      </x:c>
      <x:c r="H3011" s="30" t="n">
        <x:v>-68.92</x:v>
      </x:c>
      <x:c r="I3011" s="29" t="n">
        <x:v>103</x:v>
      </x:c>
      <x:c r="J3011" s="31" t="n">
        <x:v>4.3</x:v>
      </x:c>
      <x:c r="K3011" s="25" t="str">
        <x:f>IF(J3011&gt;=7,"Muy fuerte (&gt;=7)",IF(J3011&gt;=6,"Fuerte (6-6.9)",IF(J3011&gt;=5,"Moderado alto (5-5.9)",IF(J3011&gt;=4,"Moderado (4-4.9)","Menor a 4"))))</x:f>
        <x:v>Moderado (4-4.9)</x:v>
      </x:c>
      <x:c r="L3011" s="25" t="str">
        <x:f>IF(I3011&lt;70,"Superficial (&lt;70 km)",IF(I3011&lt;=300,"Intermedio (70-300 km)","Profundo (&gt;300 km)"))</x:f>
        <x:v>Intermedio (70-300 km)</x:v>
      </x:c>
      <x:c r="M3011" s="25" t="str">
        <x:f>IF(J3011&gt;=5,"Sí","No")</x:f>
        <x:v>No</x:v>
      </x:c>
      <x:c r="N3011" s="25" t="str">
        <x:f>IF(J3011&gt;=6,"Sí","No")</x:f>
        <x:v>No</x:v>
      </x:c>
      <x:c r="O3011" s="25" t="str">
        <x:v>Pendiente: asignar con R/sf</x:v>
      </x:c>
    </x:row>
    <x:row r="3012">
      <x:c r="A3012" s="25" t="n">
        <x:v>3011</x:v>
      </x:c>
      <x:c r="B3012" s="26" t="n">
        <x:v>43064.88780092593</x:v>
      </x:c>
      <x:c r="C3012" s="27" t="n">
        <x:f>INT(B3012)</x:f>
        <x:v>43064</x:v>
      </x:c>
      <x:c r="D3012" s="28" t="n">
        <x:f>MOD(B3012,1)</x:f>
        <x:v>0.887800925927877</x:v>
      </x:c>
      <x:c r="E3012" s="29" t="n">
        <x:f>YEAR(B3012)</x:f>
        <x:v>2017</x:v>
      </x:c>
      <x:c r="F3012" s="29" t="n">
        <x:f>MONTH(B3012)</x:f>
        <x:v>11</x:v>
      </x:c>
      <x:c r="G3012" s="30" t="n">
        <x:v>-20.01</x:v>
      </x:c>
      <x:c r="H3012" s="30" t="n">
        <x:v>-70.8</x:v>
      </x:c>
      <x:c r="I3012" s="29" t="n">
        <x:v>44</x:v>
      </x:c>
      <x:c r="J3012" s="31" t="n">
        <x:v>4</x:v>
      </x:c>
      <x:c r="K3012" s="25" t="str">
        <x:f>IF(J3012&gt;=7,"Muy fuerte (&gt;=7)",IF(J3012&gt;=6,"Fuerte (6-6.9)",IF(J3012&gt;=5,"Moderado alto (5-5.9)",IF(J3012&gt;=4,"Moderado (4-4.9)","Menor a 4"))))</x:f>
        <x:v>Moderado (4-4.9)</x:v>
      </x:c>
      <x:c r="L3012" s="25" t="str">
        <x:f>IF(I3012&lt;70,"Superficial (&lt;70 km)",IF(I3012&lt;=300,"Intermedio (70-300 km)","Profundo (&gt;300 km)"))</x:f>
        <x:v>Superficial (&lt;70 km)</x:v>
      </x:c>
      <x:c r="M3012" s="25" t="str">
        <x:f>IF(J3012&gt;=5,"Sí","No")</x:f>
        <x:v>No</x:v>
      </x:c>
      <x:c r="N3012" s="25" t="str">
        <x:f>IF(J3012&gt;=6,"Sí","No")</x:f>
        <x:v>No</x:v>
      </x:c>
      <x:c r="O3012" s="25" t="str">
        <x:v>Pendiente: asignar con R/sf</x:v>
      </x:c>
    </x:row>
    <x:row r="3013">
      <x:c r="A3013" s="25" t="n">
        <x:v>3012</x:v>
      </x:c>
      <x:c r="B3013" s="26" t="n">
        <x:v>43080.01528935185</x:v>
      </x:c>
      <x:c r="C3013" s="27" t="n">
        <x:f>INT(B3013)</x:f>
        <x:v>43080</x:v>
      </x:c>
      <x:c r="D3013" s="28" t="n">
        <x:f>MOD(B3013,1)</x:f>
        <x:v>0.015289351853425615</x:v>
      </x:c>
      <x:c r="E3013" s="29" t="n">
        <x:f>YEAR(B3013)</x:f>
        <x:v>2017</x:v>
      </x:c>
      <x:c r="F3013" s="29" t="n">
        <x:f>MONTH(B3013)</x:f>
        <x:v>12</x:v>
      </x:c>
      <x:c r="G3013" s="30" t="n">
        <x:v>-19.16</x:v>
      </x:c>
      <x:c r="H3013" s="30" t="n">
        <x:v>-70.06</x:v>
      </x:c>
      <x:c r="I3013" s="29" t="n">
        <x:v>42</x:v>
      </x:c>
      <x:c r="J3013" s="31" t="n">
        <x:v>4.4</x:v>
      </x:c>
      <x:c r="K3013" s="25" t="str">
        <x:f>IF(J3013&gt;=7,"Muy fuerte (&gt;=7)",IF(J3013&gt;=6,"Fuerte (6-6.9)",IF(J3013&gt;=5,"Moderado alto (5-5.9)",IF(J3013&gt;=4,"Moderado (4-4.9)","Menor a 4"))))</x:f>
        <x:v>Moderado (4-4.9)</x:v>
      </x:c>
      <x:c r="L3013" s="25" t="str">
        <x:f>IF(I3013&lt;70,"Superficial (&lt;70 km)",IF(I3013&lt;=300,"Intermedio (70-300 km)","Profundo (&gt;300 km)"))</x:f>
        <x:v>Superficial (&lt;70 km)</x:v>
      </x:c>
      <x:c r="M3013" s="25" t="str">
        <x:f>IF(J3013&gt;=5,"Sí","No")</x:f>
        <x:v>No</x:v>
      </x:c>
      <x:c r="N3013" s="25" t="str">
        <x:f>IF(J3013&gt;=6,"Sí","No")</x:f>
        <x:v>No</x:v>
      </x:c>
      <x:c r="O3013" s="25" t="str">
        <x:v>Pendiente: asignar con R/sf</x:v>
      </x:c>
    </x:row>
    <x:row r="3014">
      <x:c r="A3014" s="25" t="n">
        <x:v>3013</x:v>
      </x:c>
      <x:c r="B3014" s="26" t="n">
        <x:v>43086.05517361111</x:v>
      </x:c>
      <x:c r="C3014" s="27" t="n">
        <x:f>INT(B3014)</x:f>
        <x:v>43086</x:v>
      </x:c>
      <x:c r="D3014" s="28" t="n">
        <x:f>MOD(B3014,1)</x:f>
        <x:v>0.05517361110833008</x:v>
      </x:c>
      <x:c r="E3014" s="29" t="n">
        <x:f>YEAR(B3014)</x:f>
        <x:v>2017</x:v>
      </x:c>
      <x:c r="F3014" s="29" t="n">
        <x:f>MONTH(B3014)</x:f>
        <x:v>12</x:v>
      </x:c>
      <x:c r="G3014" s="30" t="n">
        <x:v>-20.24</x:v>
      </x:c>
      <x:c r="H3014" s="30" t="n">
        <x:v>-69.15</x:v>
      </x:c>
      <x:c r="I3014" s="29" t="n">
        <x:v>100</x:v>
      </x:c>
      <x:c r="J3014" s="31" t="n">
        <x:v>4.5</x:v>
      </x:c>
      <x:c r="K3014" s="25" t="str">
        <x:f>IF(J3014&gt;=7,"Muy fuerte (&gt;=7)",IF(J3014&gt;=6,"Fuerte (6-6.9)",IF(J3014&gt;=5,"Moderado alto (5-5.9)",IF(J3014&gt;=4,"Moderado (4-4.9)","Menor a 4"))))</x:f>
        <x:v>Moderado (4-4.9)</x:v>
      </x:c>
      <x:c r="L3014" s="25" t="str">
        <x:f>IF(I3014&lt;70,"Superficial (&lt;70 km)",IF(I3014&lt;=300,"Intermedio (70-300 km)","Profundo (&gt;300 km)"))</x:f>
        <x:v>Intermedio (70-300 km)</x:v>
      </x:c>
      <x:c r="M3014" s="25" t="str">
        <x:f>IF(J3014&gt;=5,"Sí","No")</x:f>
        <x:v>No</x:v>
      </x:c>
      <x:c r="N3014" s="25" t="str">
        <x:f>IF(J3014&gt;=6,"Sí","No")</x:f>
        <x:v>No</x:v>
      </x:c>
      <x:c r="O3014" s="25" t="str">
        <x:v>Pendiente: asignar con R/sf</x:v>
      </x:c>
    </x:row>
    <x:row r="3015">
      <x:c r="A3015" s="25" t="n">
        <x:v>3014</x:v>
      </x:c>
      <x:c r="B3015" s="26" t="n">
        <x:v>43099.3478125</x:v>
      </x:c>
      <x:c r="C3015" s="27" t="n">
        <x:f>INT(B3015)</x:f>
        <x:v>43099</x:v>
      </x:c>
      <x:c r="D3015" s="28" t="n">
        <x:f>MOD(B3015,1)</x:f>
        <x:v>0.34781249999650754</x:v>
      </x:c>
      <x:c r="E3015" s="29" t="n">
        <x:f>YEAR(B3015)</x:f>
        <x:v>2017</x:v>
      </x:c>
      <x:c r="F3015" s="29" t="n">
        <x:f>MONTH(B3015)</x:f>
        <x:v>12</x:v>
      </x:c>
      <x:c r="G3015" s="30" t="n">
        <x:v>-19.28</x:v>
      </x:c>
      <x:c r="H3015" s="30" t="n">
        <x:v>-69.36</x:v>
      </x:c>
      <x:c r="I3015" s="29" t="n">
        <x:v>104</x:v>
      </x:c>
      <x:c r="J3015" s="31" t="n">
        <x:v>5.1</x:v>
      </x:c>
      <x:c r="K3015" s="25" t="str">
        <x:f>IF(J3015&gt;=7,"Muy fuerte (&gt;=7)",IF(J3015&gt;=6,"Fuerte (6-6.9)",IF(J3015&gt;=5,"Moderado alto (5-5.9)",IF(J3015&gt;=4,"Moderado (4-4.9)","Menor a 4"))))</x:f>
        <x:v>Moderado alto (5-5.9)</x:v>
      </x:c>
      <x:c r="L3015" s="25" t="str">
        <x:f>IF(I3015&lt;70,"Superficial (&lt;70 km)",IF(I3015&lt;=300,"Intermedio (70-300 km)","Profundo (&gt;300 km)"))</x:f>
        <x:v>Intermedio (70-300 km)</x:v>
      </x:c>
      <x:c r="M3015" s="25" t="str">
        <x:f>IF(J3015&gt;=5,"Sí","No")</x:f>
        <x:v>Sí</x:v>
      </x:c>
      <x:c r="N3015" s="25" t="str">
        <x:f>IF(J3015&gt;=6,"Sí","No")</x:f>
        <x:v>No</x:v>
      </x:c>
      <x:c r="O3015" s="25" t="str">
        <x:v>Pendiente: asignar con R/sf</x:v>
      </x:c>
    </x:row>
    <x:row r="3016">
      <x:c r="A3016" s="25" t="n">
        <x:v>3015</x:v>
      </x:c>
      <x:c r="B3016" s="26" t="n">
        <x:v>42736.32664351852</x:v>
      </x:c>
      <x:c r="C3016" s="27" t="n">
        <x:f>INT(B3016)</x:f>
        <x:v>42736</x:v>
      </x:c>
      <x:c r="D3016" s="28" t="n">
        <x:f>MOD(B3016,1)</x:f>
        <x:v>0.32664351852145046</x:v>
      </x:c>
      <x:c r="E3016" s="29" t="n">
        <x:f>YEAR(B3016)</x:f>
        <x:v>2017</x:v>
      </x:c>
      <x:c r="F3016" s="29" t="n">
        <x:f>MONTH(B3016)</x:f>
        <x:v>1</x:v>
      </x:c>
      <x:c r="G3016" s="30" t="n">
        <x:v>-30.02</x:v>
      </x:c>
      <x:c r="H3016" s="30" t="n">
        <x:v>-71.53</x:v>
      </x:c>
      <x:c r="I3016" s="29" t="n">
        <x:v>44</x:v>
      </x:c>
      <x:c r="J3016" s="31" t="n">
        <x:v>4.4</x:v>
      </x:c>
      <x:c r="K3016" s="25" t="str">
        <x:f>IF(J3016&gt;=7,"Muy fuerte (&gt;=7)",IF(J3016&gt;=6,"Fuerte (6-6.9)",IF(J3016&gt;=5,"Moderado alto (5-5.9)",IF(J3016&gt;=4,"Moderado (4-4.9)","Menor a 4"))))</x:f>
        <x:v>Moderado (4-4.9)</x:v>
      </x:c>
      <x:c r="L3016" s="25" t="str">
        <x:f>IF(I3016&lt;70,"Superficial (&lt;70 km)",IF(I3016&lt;=300,"Intermedio (70-300 km)","Profundo (&gt;300 km)"))</x:f>
        <x:v>Superficial (&lt;70 km)</x:v>
      </x:c>
      <x:c r="M3016" s="25" t="str">
        <x:f>IF(J3016&gt;=5,"Sí","No")</x:f>
        <x:v>No</x:v>
      </x:c>
      <x:c r="N3016" s="25" t="str">
        <x:f>IF(J3016&gt;=6,"Sí","No")</x:f>
        <x:v>No</x:v>
      </x:c>
      <x:c r="O3016" s="25" t="str">
        <x:v>Pendiente: asignar con R/sf</x:v>
      </x:c>
    </x:row>
    <x:row r="3017">
      <x:c r="A3017" s="25" t="n">
        <x:v>3016</x:v>
      </x:c>
      <x:c r="B3017" s="26" t="n">
        <x:v>42736.43069444445</x:v>
      </x:c>
      <x:c r="C3017" s="27" t="n">
        <x:f>INT(B3017)</x:f>
        <x:v>42736</x:v>
      </x:c>
      <x:c r="D3017" s="28" t="n">
        <x:f>MOD(B3017,1)</x:f>
        <x:v>0.4306944444469991</x:v>
      </x:c>
      <x:c r="E3017" s="29" t="n">
        <x:f>YEAR(B3017)</x:f>
        <x:v>2017</x:v>
      </x:c>
      <x:c r="F3017" s="29" t="n">
        <x:f>MONTH(B3017)</x:f>
        <x:v>1</x:v>
      </x:c>
      <x:c r="G3017" s="30" t="n">
        <x:v>-30.05</x:v>
      </x:c>
      <x:c r="H3017" s="30" t="n">
        <x:v>-71.68</x:v>
      </x:c>
      <x:c r="I3017" s="29" t="n">
        <x:v>36</x:v>
      </x:c>
      <x:c r="J3017" s="31" t="n">
        <x:v>4.3</x:v>
      </x:c>
      <x:c r="K3017" s="25" t="str">
        <x:f>IF(J3017&gt;=7,"Muy fuerte (&gt;=7)",IF(J3017&gt;=6,"Fuerte (6-6.9)",IF(J3017&gt;=5,"Moderado alto (5-5.9)",IF(J3017&gt;=4,"Moderado (4-4.9)","Menor a 4"))))</x:f>
        <x:v>Moderado (4-4.9)</x:v>
      </x:c>
      <x:c r="L3017" s="25" t="str">
        <x:f>IF(I3017&lt;70,"Superficial (&lt;70 km)",IF(I3017&lt;=300,"Intermedio (70-300 km)","Profundo (&gt;300 km)"))</x:f>
        <x:v>Superficial (&lt;70 km)</x:v>
      </x:c>
      <x:c r="M3017" s="25" t="str">
        <x:f>IF(J3017&gt;=5,"Sí","No")</x:f>
        <x:v>No</x:v>
      </x:c>
      <x:c r="N3017" s="25" t="str">
        <x:f>IF(J3017&gt;=6,"Sí","No")</x:f>
        <x:v>No</x:v>
      </x:c>
      <x:c r="O3017" s="25" t="str">
        <x:v>Pendiente: asignar con R/sf</x:v>
      </x:c>
    </x:row>
    <x:row r="3018">
      <x:c r="A3018" s="25" t="n">
        <x:v>3017</x:v>
      </x:c>
      <x:c r="B3018" s="26" t="n">
        <x:v>42736.75200231482</x:v>
      </x:c>
      <x:c r="C3018" s="27" t="n">
        <x:f>INT(B3018)</x:f>
        <x:v>42736</x:v>
      </x:c>
      <x:c r="D3018" s="28" t="n">
        <x:f>MOD(B3018,1)</x:f>
        <x:v>0.7520023148172186</x:v>
      </x:c>
      <x:c r="E3018" s="29" t="n">
        <x:f>YEAR(B3018)</x:f>
        <x:v>2017</x:v>
      </x:c>
      <x:c r="F3018" s="29" t="n">
        <x:f>MONTH(B3018)</x:f>
        <x:v>1</x:v>
      </x:c>
      <x:c r="G3018" s="30" t="n">
        <x:v>-32.12</x:v>
      </x:c>
      <x:c r="H3018" s="30" t="n">
        <x:v>-71.17</x:v>
      </x:c>
      <x:c r="I3018" s="29" t="n">
        <x:v>88</x:v>
      </x:c>
      <x:c r="J3018" s="31" t="n">
        <x:v>4.2</x:v>
      </x:c>
      <x:c r="K3018" s="25" t="str">
        <x:f>IF(J3018&gt;=7,"Muy fuerte (&gt;=7)",IF(J3018&gt;=6,"Fuerte (6-6.9)",IF(J3018&gt;=5,"Moderado alto (5-5.9)",IF(J3018&gt;=4,"Moderado (4-4.9)","Menor a 4"))))</x:f>
        <x:v>Moderado (4-4.9)</x:v>
      </x:c>
      <x:c r="L3018" s="25" t="str">
        <x:f>IF(I3018&lt;70,"Superficial (&lt;70 km)",IF(I3018&lt;=300,"Intermedio (70-300 km)","Profundo (&gt;300 km)"))</x:f>
        <x:v>Intermedio (70-300 km)</x:v>
      </x:c>
      <x:c r="M3018" s="25" t="str">
        <x:f>IF(J3018&gt;=5,"Sí","No")</x:f>
        <x:v>No</x:v>
      </x:c>
      <x:c r="N3018" s="25" t="str">
        <x:f>IF(J3018&gt;=6,"Sí","No")</x:f>
        <x:v>No</x:v>
      </x:c>
      <x:c r="O3018" s="25" t="str">
        <x:v>Pendiente: asignar con R/sf</x:v>
      </x:c>
    </x:row>
    <x:row r="3019">
      <x:c r="A3019" s="25" t="n">
        <x:v>3018</x:v>
      </x:c>
      <x:c r="B3019" s="26" t="n">
        <x:v>42760.28266203704</x:v>
      </x:c>
      <x:c r="C3019" s="27" t="n">
        <x:f>INT(B3019)</x:f>
        <x:v>42760</x:v>
      </x:c>
      <x:c r="D3019" s="28" t="n">
        <x:f>MOD(B3019,1)</x:f>
        <x:v>0.2826620370396995</x:v>
      </x:c>
      <x:c r="E3019" s="29" t="n">
        <x:f>YEAR(B3019)</x:f>
        <x:v>2017</x:v>
      </x:c>
      <x:c r="F3019" s="29" t="n">
        <x:f>MONTH(B3019)</x:f>
        <x:v>1</x:v>
      </x:c>
      <x:c r="G3019" s="30" t="n">
        <x:v>-32</x:v>
      </x:c>
      <x:c r="H3019" s="30" t="n">
        <x:v>-71.66</x:v>
      </x:c>
      <x:c r="I3019" s="29" t="n">
        <x:v>36</x:v>
      </x:c>
      <x:c r="J3019" s="31" t="n">
        <x:v>4.1</x:v>
      </x:c>
      <x:c r="K3019" s="25" t="str">
        <x:f>IF(J3019&gt;=7,"Muy fuerte (&gt;=7)",IF(J3019&gt;=6,"Fuerte (6-6.9)",IF(J3019&gt;=5,"Moderado alto (5-5.9)",IF(J3019&gt;=4,"Moderado (4-4.9)","Menor a 4"))))</x:f>
        <x:v>Moderado (4-4.9)</x:v>
      </x:c>
      <x:c r="L3019" s="25" t="str">
        <x:f>IF(I3019&lt;70,"Superficial (&lt;70 km)",IF(I3019&lt;=300,"Intermedio (70-300 km)","Profundo (&gt;300 km)"))</x:f>
        <x:v>Superficial (&lt;70 km)</x:v>
      </x:c>
      <x:c r="M3019" s="25" t="str">
        <x:f>IF(J3019&gt;=5,"Sí","No")</x:f>
        <x:v>No</x:v>
      </x:c>
      <x:c r="N3019" s="25" t="str">
        <x:f>IF(J3019&gt;=6,"Sí","No")</x:f>
        <x:v>No</x:v>
      </x:c>
      <x:c r="O3019" s="25" t="str">
        <x:v>Pendiente: asignar con R/sf</x:v>
      </x:c>
    </x:row>
    <x:row r="3020">
      <x:c r="A3020" s="25" t="n">
        <x:v>3019</x:v>
      </x:c>
      <x:c r="B3020" s="26" t="n">
        <x:v>42803.73195601852</x:v>
      </x:c>
      <x:c r="C3020" s="27" t="n">
        <x:f>INT(B3020)</x:f>
        <x:v>42803</x:v>
      </x:c>
      <x:c r="D3020" s="28" t="n">
        <x:f>MOD(B3020,1)</x:f>
        <x:v>0.7319560185205773</x:v>
      </x:c>
      <x:c r="E3020" s="29" t="n">
        <x:f>YEAR(B3020)</x:f>
        <x:v>2017</x:v>
      </x:c>
      <x:c r="F3020" s="29" t="n">
        <x:f>MONTH(B3020)</x:f>
        <x:v>3</x:v>
      </x:c>
      <x:c r="G3020" s="30" t="n">
        <x:v>-31.8</x:v>
      </x:c>
      <x:c r="H3020" s="30" t="n">
        <x:v>-71.54</x:v>
      </x:c>
      <x:c r="I3020" s="29" t="n">
        <x:v>43</x:v>
      </x:c>
      <x:c r="J3020" s="31" t="n">
        <x:v>4.1</x:v>
      </x:c>
      <x:c r="K3020" s="25" t="str">
        <x:f>IF(J3020&gt;=7,"Muy fuerte (&gt;=7)",IF(J3020&gt;=6,"Fuerte (6-6.9)",IF(J3020&gt;=5,"Moderado alto (5-5.9)",IF(J3020&gt;=4,"Moderado (4-4.9)","Menor a 4"))))</x:f>
        <x:v>Moderado (4-4.9)</x:v>
      </x:c>
      <x:c r="L3020" s="25" t="str">
        <x:f>IF(I3020&lt;70,"Superficial (&lt;70 km)",IF(I3020&lt;=300,"Intermedio (70-300 km)","Profundo (&gt;300 km)"))</x:f>
        <x:v>Superficial (&lt;70 km)</x:v>
      </x:c>
      <x:c r="M3020" s="25" t="str">
        <x:f>IF(J3020&gt;=5,"Sí","No")</x:f>
        <x:v>No</x:v>
      </x:c>
      <x:c r="N3020" s="25" t="str">
        <x:f>IF(J3020&gt;=6,"Sí","No")</x:f>
        <x:v>No</x:v>
      </x:c>
      <x:c r="O3020" s="25" t="str">
        <x:v>Pendiente: asignar con R/sf</x:v>
      </x:c>
    </x:row>
    <x:row r="3021">
      <x:c r="A3021" s="25" t="n">
        <x:v>3020</x:v>
      </x:c>
      <x:c r="B3021" s="26" t="n">
        <x:v>42804.26552083333</x:v>
      </x:c>
      <x:c r="C3021" s="27" t="n">
        <x:f>INT(B3021)</x:f>
        <x:v>42804</x:v>
      </x:c>
      <x:c r="D3021" s="28" t="n">
        <x:f>MOD(B3021,1)</x:f>
        <x:v>0.265520833330811</x:v>
      </x:c>
      <x:c r="E3021" s="29" t="n">
        <x:f>YEAR(B3021)</x:f>
        <x:v>2017</x:v>
      </x:c>
      <x:c r="F3021" s="29" t="n">
        <x:f>MONTH(B3021)</x:f>
        <x:v>3</x:v>
      </x:c>
      <x:c r="G3021" s="30" t="n">
        <x:v>-30.61</x:v>
      </x:c>
      <x:c r="H3021" s="30" t="n">
        <x:v>-72.02</x:v>
      </x:c>
      <x:c r="I3021" s="29" t="n">
        <x:v>24</x:v>
      </x:c>
      <x:c r="J3021" s="31" t="n">
        <x:v>4.5</x:v>
      </x:c>
      <x:c r="K3021" s="25" t="str">
        <x:f>IF(J3021&gt;=7,"Muy fuerte (&gt;=7)",IF(J3021&gt;=6,"Fuerte (6-6.9)",IF(J3021&gt;=5,"Moderado alto (5-5.9)",IF(J3021&gt;=4,"Moderado (4-4.9)","Menor a 4"))))</x:f>
        <x:v>Moderado (4-4.9)</x:v>
      </x:c>
      <x:c r="L3021" s="25" t="str">
        <x:f>IF(I3021&lt;70,"Superficial (&lt;70 km)",IF(I3021&lt;=300,"Intermedio (70-300 km)","Profundo (&gt;300 km)"))</x:f>
        <x:v>Superficial (&lt;70 km)</x:v>
      </x:c>
      <x:c r="M3021" s="25" t="str">
        <x:f>IF(J3021&gt;=5,"Sí","No")</x:f>
        <x:v>No</x:v>
      </x:c>
      <x:c r="N3021" s="25" t="str">
        <x:f>IF(J3021&gt;=6,"Sí","No")</x:f>
        <x:v>No</x:v>
      </x:c>
      <x:c r="O3021" s="25" t="str">
        <x:v>Pendiente: asignar con R/sf</x:v>
      </x:c>
    </x:row>
    <x:row r="3022">
      <x:c r="A3022" s="25" t="n">
        <x:v>3021</x:v>
      </x:c>
      <x:c r="B3022" s="26" t="n">
        <x:v>42805.292037037034</x:v>
      </x:c>
      <x:c r="C3022" s="27" t="n">
        <x:f>INT(B3022)</x:f>
        <x:v>42805</x:v>
      </x:c>
      <x:c r="D3022" s="28" t="n">
        <x:f>MOD(B3022,1)</x:f>
        <x:v>0.29203703703387873</x:v>
      </x:c>
      <x:c r="E3022" s="29" t="n">
        <x:f>YEAR(B3022)</x:f>
        <x:v>2017</x:v>
      </x:c>
      <x:c r="F3022" s="29" t="n">
        <x:f>MONTH(B3022)</x:f>
        <x:v>3</x:v>
      </x:c>
      <x:c r="G3022" s="30" t="n">
        <x:v>-29.2</x:v>
      </x:c>
      <x:c r="H3022" s="30" t="n">
        <x:v>-69.5</x:v>
      </x:c>
      <x:c r="I3022" s="29" t="n">
        <x:v>130</x:v>
      </x:c>
      <x:c r="J3022" s="31" t="n">
        <x:v>4.7</x:v>
      </x:c>
      <x:c r="K3022" s="25" t="str">
        <x:f>IF(J3022&gt;=7,"Muy fuerte (&gt;=7)",IF(J3022&gt;=6,"Fuerte (6-6.9)",IF(J3022&gt;=5,"Moderado alto (5-5.9)",IF(J3022&gt;=4,"Moderado (4-4.9)","Menor a 4"))))</x:f>
        <x:v>Moderado (4-4.9)</x:v>
      </x:c>
      <x:c r="L3022" s="25" t="str">
        <x:f>IF(I3022&lt;70,"Superficial (&lt;70 km)",IF(I3022&lt;=300,"Intermedio (70-300 km)","Profundo (&gt;300 km)"))</x:f>
        <x:v>Intermedio (70-300 km)</x:v>
      </x:c>
      <x:c r="M3022" s="25" t="str">
        <x:f>IF(J3022&gt;=5,"Sí","No")</x:f>
        <x:v>No</x:v>
      </x:c>
      <x:c r="N3022" s="25" t="str">
        <x:f>IF(J3022&gt;=6,"Sí","No")</x:f>
        <x:v>No</x:v>
      </x:c>
      <x:c r="O3022" s="25" t="str">
        <x:v>Pendiente: asignar con R/sf</x:v>
      </x:c>
    </x:row>
    <x:row r="3023">
      <x:c r="A3023" s="25" t="n">
        <x:v>3022</x:v>
      </x:c>
      <x:c r="B3023" s="26" t="n">
        <x:v>42815.2478587963</x:v>
      </x:c>
      <x:c r="C3023" s="27" t="n">
        <x:f>INT(B3023)</x:f>
        <x:v>42815</x:v>
      </x:c>
      <x:c r="D3023" s="28" t="n">
        <x:f>MOD(B3023,1)</x:f>
        <x:v>0.24785879629780538</x:v>
      </x:c>
      <x:c r="E3023" s="29" t="n">
        <x:f>YEAR(B3023)</x:f>
        <x:v>2017</x:v>
      </x:c>
      <x:c r="F3023" s="29" t="n">
        <x:f>MONTH(B3023)</x:f>
        <x:v>3</x:v>
      </x:c>
      <x:c r="G3023" s="30" t="n">
        <x:v>-31.12</x:v>
      </x:c>
      <x:c r="H3023" s="30" t="n">
        <x:v>-71.26</x:v>
      </x:c>
      <x:c r="I3023" s="29" t="n">
        <x:v>58</x:v>
      </x:c>
      <x:c r="J3023" s="31" t="n">
        <x:v>4</x:v>
      </x:c>
      <x:c r="K3023" s="25" t="str">
        <x:f>IF(J3023&gt;=7,"Muy fuerte (&gt;=7)",IF(J3023&gt;=6,"Fuerte (6-6.9)",IF(J3023&gt;=5,"Moderado alto (5-5.9)",IF(J3023&gt;=4,"Moderado (4-4.9)","Menor a 4"))))</x:f>
        <x:v>Moderado (4-4.9)</x:v>
      </x:c>
      <x:c r="L3023" s="25" t="str">
        <x:f>IF(I3023&lt;70,"Superficial (&lt;70 km)",IF(I3023&lt;=300,"Intermedio (70-300 km)","Profundo (&gt;300 km)"))</x:f>
        <x:v>Superficial (&lt;70 km)</x:v>
      </x:c>
      <x:c r="M3023" s="25" t="str">
        <x:f>IF(J3023&gt;=5,"Sí","No")</x:f>
        <x:v>No</x:v>
      </x:c>
      <x:c r="N3023" s="25" t="str">
        <x:f>IF(J3023&gt;=6,"Sí","No")</x:f>
        <x:v>No</x:v>
      </x:c>
      <x:c r="O3023" s="25" t="str">
        <x:v>Pendiente: asignar con R/sf</x:v>
      </x:c>
    </x:row>
    <x:row r="3024">
      <x:c r="A3024" s="25" t="n">
        <x:v>3023</x:v>
      </x:c>
      <x:c r="B3024" s="26" t="n">
        <x:v>42839.0669212963</x:v>
      </x:c>
      <x:c r="C3024" s="27" t="n">
        <x:f>INT(B3024)</x:f>
        <x:v>42839</x:v>
      </x:c>
      <x:c r="D3024" s="28" t="n">
        <x:f>MOD(B3024,1)</x:f>
        <x:v>0.06692129629664123</x:v>
      </x:c>
      <x:c r="E3024" s="29" t="n">
        <x:f>YEAR(B3024)</x:f>
        <x:v>2017</x:v>
      </x:c>
      <x:c r="F3024" s="29" t="n">
        <x:f>MONTH(B3024)</x:f>
        <x:v>4</x:v>
      </x:c>
      <x:c r="G3024" s="30" t="n">
        <x:v>-31.77</x:v>
      </x:c>
      <x:c r="H3024" s="30" t="n">
        <x:v>-71.62</x:v>
      </x:c>
      <x:c r="I3024" s="29" t="n">
        <x:v>34</x:v>
      </x:c>
      <x:c r="J3024" s="31" t="n">
        <x:v>4.2</x:v>
      </x:c>
      <x:c r="K3024" s="25" t="str">
        <x:f>IF(J3024&gt;=7,"Muy fuerte (&gt;=7)",IF(J3024&gt;=6,"Fuerte (6-6.9)",IF(J3024&gt;=5,"Moderado alto (5-5.9)",IF(J3024&gt;=4,"Moderado (4-4.9)","Menor a 4"))))</x:f>
        <x:v>Moderado (4-4.9)</x:v>
      </x:c>
      <x:c r="L3024" s="25" t="str">
        <x:f>IF(I3024&lt;70,"Superficial (&lt;70 km)",IF(I3024&lt;=300,"Intermedio (70-300 km)","Profundo (&gt;300 km)"))</x:f>
        <x:v>Superficial (&lt;70 km)</x:v>
      </x:c>
      <x:c r="M3024" s="25" t="str">
        <x:f>IF(J3024&gt;=5,"Sí","No")</x:f>
        <x:v>No</x:v>
      </x:c>
      <x:c r="N3024" s="25" t="str">
        <x:f>IF(J3024&gt;=6,"Sí","No")</x:f>
        <x:v>No</x:v>
      </x:c>
      <x:c r="O3024" s="25" t="str">
        <x:v>Pendiente: asignar con R/sf</x:v>
      </x:c>
    </x:row>
    <x:row r="3025">
      <x:c r="A3025" s="25" t="n">
        <x:v>3024</x:v>
      </x:c>
      <x:c r="B3025" s="26" t="n">
        <x:v>42856.822071759256</x:v>
      </x:c>
      <x:c r="C3025" s="27" t="n">
        <x:f>INT(B3025)</x:f>
        <x:v>42856</x:v>
      </x:c>
      <x:c r="D3025" s="28" t="n">
        <x:f>MOD(B3025,1)</x:f>
        <x:v>0.8220717592557776</x:v>
      </x:c>
      <x:c r="E3025" s="29" t="n">
        <x:f>YEAR(B3025)</x:f>
        <x:v>2017</x:v>
      </x:c>
      <x:c r="F3025" s="29" t="n">
        <x:f>MONTH(B3025)</x:f>
        <x:v>5</x:v>
      </x:c>
      <x:c r="G3025" s="30" t="n">
        <x:v>-29.31</x:v>
      </x:c>
      <x:c r="H3025" s="30" t="n">
        <x:v>-70.33</x:v>
      </x:c>
      <x:c r="I3025" s="29" t="n">
        <x:v>84</x:v>
      </x:c>
      <x:c r="J3025" s="31" t="n">
        <x:v>4.1</x:v>
      </x:c>
      <x:c r="K3025" s="25" t="str">
        <x:f>IF(J3025&gt;=7,"Muy fuerte (&gt;=7)",IF(J3025&gt;=6,"Fuerte (6-6.9)",IF(J3025&gt;=5,"Moderado alto (5-5.9)",IF(J3025&gt;=4,"Moderado (4-4.9)","Menor a 4"))))</x:f>
        <x:v>Moderado (4-4.9)</x:v>
      </x:c>
      <x:c r="L3025" s="25" t="str">
        <x:f>IF(I3025&lt;70,"Superficial (&lt;70 km)",IF(I3025&lt;=300,"Intermedio (70-300 km)","Profundo (&gt;300 km)"))</x:f>
        <x:v>Intermedio (70-300 km)</x:v>
      </x:c>
      <x:c r="M3025" s="25" t="str">
        <x:f>IF(J3025&gt;=5,"Sí","No")</x:f>
        <x:v>No</x:v>
      </x:c>
      <x:c r="N3025" s="25" t="str">
        <x:f>IF(J3025&gt;=6,"Sí","No")</x:f>
        <x:v>No</x:v>
      </x:c>
      <x:c r="O3025" s="25" t="str">
        <x:v>Pendiente: asignar con R/sf</x:v>
      </x:c>
    </x:row>
    <x:row r="3026">
      <x:c r="A3026" s="25" t="n">
        <x:v>3025</x:v>
      </x:c>
      <x:c r="B3026" s="26" t="n">
        <x:v>42871.824328703704</x:v>
      </x:c>
      <x:c r="C3026" s="27" t="n">
        <x:f>INT(B3026)</x:f>
        <x:v>42871</x:v>
      </x:c>
      <x:c r="D3026" s="28" t="n">
        <x:f>MOD(B3026,1)</x:f>
        <x:v>0.8243287037039408</x:v>
      </x:c>
      <x:c r="E3026" s="29" t="n">
        <x:f>YEAR(B3026)</x:f>
        <x:v>2017</x:v>
      </x:c>
      <x:c r="F3026" s="29" t="n">
        <x:f>MONTH(B3026)</x:f>
        <x:v>5</x:v>
      </x:c>
      <x:c r="G3026" s="30" t="n">
        <x:v>-31.95</x:v>
      </x:c>
      <x:c r="H3026" s="30" t="n">
        <x:v>-71.55</x:v>
      </x:c>
      <x:c r="I3026" s="29" t="n">
        <x:v>65</x:v>
      </x:c>
      <x:c r="J3026" s="31" t="n">
        <x:v>4</x:v>
      </x:c>
      <x:c r="K3026" s="25" t="str">
        <x:f>IF(J3026&gt;=7,"Muy fuerte (&gt;=7)",IF(J3026&gt;=6,"Fuerte (6-6.9)",IF(J3026&gt;=5,"Moderado alto (5-5.9)",IF(J3026&gt;=4,"Moderado (4-4.9)","Menor a 4"))))</x:f>
        <x:v>Moderado (4-4.9)</x:v>
      </x:c>
      <x:c r="L3026" s="25" t="str">
        <x:f>IF(I3026&lt;70,"Superficial (&lt;70 km)",IF(I3026&lt;=300,"Intermedio (70-300 km)","Profundo (&gt;300 km)"))</x:f>
        <x:v>Superficial (&lt;70 km)</x:v>
      </x:c>
      <x:c r="M3026" s="25" t="str">
        <x:f>IF(J3026&gt;=5,"Sí","No")</x:f>
        <x:v>No</x:v>
      </x:c>
      <x:c r="N3026" s="25" t="str">
        <x:f>IF(J3026&gt;=6,"Sí","No")</x:f>
        <x:v>No</x:v>
      </x:c>
      <x:c r="O3026" s="25" t="str">
        <x:v>Pendiente: asignar con R/sf</x:v>
      </x:c>
    </x:row>
    <x:row r="3027">
      <x:c r="A3027" s="25" t="n">
        <x:v>3026</x:v>
      </x:c>
      <x:c r="B3027" s="26" t="n">
        <x:v>42878.92986111111</x:v>
      </x:c>
      <x:c r="C3027" s="27" t="n">
        <x:f>INT(B3027)</x:f>
        <x:v>42878</x:v>
      </x:c>
      <x:c r="D3027" s="28" t="n">
        <x:f>MOD(B3027,1)</x:f>
        <x:v>0.929861111108039</x:v>
      </x:c>
      <x:c r="E3027" s="29" t="n">
        <x:f>YEAR(B3027)</x:f>
        <x:v>2017</x:v>
      </x:c>
      <x:c r="F3027" s="29" t="n">
        <x:f>MONTH(B3027)</x:f>
        <x:v>5</x:v>
      </x:c>
      <x:c r="G3027" s="30" t="n">
        <x:v>-30.63</x:v>
      </x:c>
      <x:c r="H3027" s="30" t="n">
        <x:v>-71.64</x:v>
      </x:c>
      <x:c r="I3027" s="29" t="n">
        <x:v>30</x:v>
      </x:c>
      <x:c r="J3027" s="31" t="n">
        <x:v>4.4</x:v>
      </x:c>
      <x:c r="K3027" s="25" t="str">
        <x:f>IF(J3027&gt;=7,"Muy fuerte (&gt;=7)",IF(J3027&gt;=6,"Fuerte (6-6.9)",IF(J3027&gt;=5,"Moderado alto (5-5.9)",IF(J3027&gt;=4,"Moderado (4-4.9)","Menor a 4"))))</x:f>
        <x:v>Moderado (4-4.9)</x:v>
      </x:c>
      <x:c r="L3027" s="25" t="str">
        <x:f>IF(I3027&lt;70,"Superficial (&lt;70 km)",IF(I3027&lt;=300,"Intermedio (70-300 km)","Profundo (&gt;300 km)"))</x:f>
        <x:v>Superficial (&lt;70 km)</x:v>
      </x:c>
      <x:c r="M3027" s="25" t="str">
        <x:f>IF(J3027&gt;=5,"Sí","No")</x:f>
        <x:v>No</x:v>
      </x:c>
      <x:c r="N3027" s="25" t="str">
        <x:f>IF(J3027&gt;=6,"Sí","No")</x:f>
        <x:v>No</x:v>
      </x:c>
      <x:c r="O3027" s="25" t="str">
        <x:v>Pendiente: asignar con R/sf</x:v>
      </x:c>
    </x:row>
    <x:row r="3028">
      <x:c r="A3028" s="25" t="n">
        <x:v>3027</x:v>
      </x:c>
      <x:c r="B3028" s="26" t="n">
        <x:v>42929.6434375</x:v>
      </x:c>
      <x:c r="C3028" s="27" t="n">
        <x:f>INT(B3028)</x:f>
        <x:v>42929</x:v>
      </x:c>
      <x:c r="D3028" s="28" t="n">
        <x:f>MOD(B3028,1)</x:f>
        <x:v>0.6434375000026193</x:v>
      </x:c>
      <x:c r="E3028" s="29" t="n">
        <x:f>YEAR(B3028)</x:f>
        <x:v>2017</x:v>
      </x:c>
      <x:c r="F3028" s="29" t="n">
        <x:f>MONTH(B3028)</x:f>
        <x:v>7</x:v>
      </x:c>
      <x:c r="G3028" s="30" t="n">
        <x:v>-28.87</x:v>
      </x:c>
      <x:c r="H3028" s="30" t="n">
        <x:v>-69.44</x:v>
      </x:c>
      <x:c r="I3028" s="29" t="n">
        <x:v>115</x:v>
      </x:c>
      <x:c r="J3028" s="31" t="n">
        <x:v>4.7</x:v>
      </x:c>
      <x:c r="K3028" s="25" t="str">
        <x:f>IF(J3028&gt;=7,"Muy fuerte (&gt;=7)",IF(J3028&gt;=6,"Fuerte (6-6.9)",IF(J3028&gt;=5,"Moderado alto (5-5.9)",IF(J3028&gt;=4,"Moderado (4-4.9)","Menor a 4"))))</x:f>
        <x:v>Moderado (4-4.9)</x:v>
      </x:c>
      <x:c r="L3028" s="25" t="str">
        <x:f>IF(I3028&lt;70,"Superficial (&lt;70 km)",IF(I3028&lt;=300,"Intermedio (70-300 km)","Profundo (&gt;300 km)"))</x:f>
        <x:v>Intermedio (70-300 km)</x:v>
      </x:c>
      <x:c r="M3028" s="25" t="str">
        <x:f>IF(J3028&gt;=5,"Sí","No")</x:f>
        <x:v>No</x:v>
      </x:c>
      <x:c r="N3028" s="25" t="str">
        <x:f>IF(J3028&gt;=6,"Sí","No")</x:f>
        <x:v>No</x:v>
      </x:c>
      <x:c r="O3028" s="25" t="str">
        <x:v>Pendiente: asignar con R/sf</x:v>
      </x:c>
    </x:row>
    <x:row r="3029">
      <x:c r="A3029" s="25" t="n">
        <x:v>3028</x:v>
      </x:c>
      <x:c r="B3029" s="26" t="n">
        <x:v>42932.90556712963</x:v>
      </x:c>
      <x:c r="C3029" s="27" t="n">
        <x:f>INT(B3029)</x:f>
        <x:v>42932</x:v>
      </x:c>
      <x:c r="D3029" s="28" t="n">
        <x:f>MOD(B3029,1)</x:f>
        <x:v>0.9055671296300716</x:v>
      </x:c>
      <x:c r="E3029" s="29" t="n">
        <x:f>YEAR(B3029)</x:f>
        <x:v>2017</x:v>
      </x:c>
      <x:c r="F3029" s="29" t="n">
        <x:f>MONTH(B3029)</x:f>
        <x:v>7</x:v>
      </x:c>
      <x:c r="G3029" s="30" t="n">
        <x:v>-30.27</x:v>
      </x:c>
      <x:c r="H3029" s="30" t="n">
        <x:v>-71.35</x:v>
      </x:c>
      <x:c r="I3029" s="29" t="n">
        <x:v>51</x:v>
      </x:c>
      <x:c r="J3029" s="31" t="n">
        <x:v>4</x:v>
      </x:c>
      <x:c r="K3029" s="25" t="str">
        <x:f>IF(J3029&gt;=7,"Muy fuerte (&gt;=7)",IF(J3029&gt;=6,"Fuerte (6-6.9)",IF(J3029&gt;=5,"Moderado alto (5-5.9)",IF(J3029&gt;=4,"Moderado (4-4.9)","Menor a 4"))))</x:f>
        <x:v>Moderado (4-4.9)</x:v>
      </x:c>
      <x:c r="L3029" s="25" t="str">
        <x:f>IF(I3029&lt;70,"Superficial (&lt;70 km)",IF(I3029&lt;=300,"Intermedio (70-300 km)","Profundo (&gt;300 km)"))</x:f>
        <x:v>Superficial (&lt;70 km)</x:v>
      </x:c>
      <x:c r="M3029" s="25" t="str">
        <x:f>IF(J3029&gt;=5,"Sí","No")</x:f>
        <x:v>No</x:v>
      </x:c>
      <x:c r="N3029" s="25" t="str">
        <x:f>IF(J3029&gt;=6,"Sí","No")</x:f>
        <x:v>No</x:v>
      </x:c>
      <x:c r="O3029" s="25" t="str">
        <x:v>Pendiente: asignar con R/sf</x:v>
      </x:c>
    </x:row>
    <x:row r="3030">
      <x:c r="A3030" s="25" t="n">
        <x:v>3029</x:v>
      </x:c>
      <x:c r="B3030" s="26" t="n">
        <x:v>42942.4446875</x:v>
      </x:c>
      <x:c r="C3030" s="27" t="n">
        <x:f>INT(B3030)</x:f>
        <x:v>42942</x:v>
      </x:c>
      <x:c r="D3030" s="28" t="n">
        <x:f>MOD(B3030,1)</x:f>
        <x:v>0.4446874999994179</x:v>
      </x:c>
      <x:c r="E3030" s="29" t="n">
        <x:f>YEAR(B3030)</x:f>
        <x:v>2017</x:v>
      </x:c>
      <x:c r="F3030" s="29" t="n">
        <x:f>MONTH(B3030)</x:f>
        <x:v>7</x:v>
      </x:c>
      <x:c r="G3030" s="30" t="n">
        <x:v>-31.22</x:v>
      </x:c>
      <x:c r="H3030" s="30" t="n">
        <x:v>-71.31</x:v>
      </x:c>
      <x:c r="I3030" s="29" t="n">
        <x:v>59</x:v>
      </x:c>
      <x:c r="J3030" s="31" t="n">
        <x:v>4</x:v>
      </x:c>
      <x:c r="K3030" s="25" t="str">
        <x:f>IF(J3030&gt;=7,"Muy fuerte (&gt;=7)",IF(J3030&gt;=6,"Fuerte (6-6.9)",IF(J3030&gt;=5,"Moderado alto (5-5.9)",IF(J3030&gt;=4,"Moderado (4-4.9)","Menor a 4"))))</x:f>
        <x:v>Moderado (4-4.9)</x:v>
      </x:c>
      <x:c r="L3030" s="25" t="str">
        <x:f>IF(I3030&lt;70,"Superficial (&lt;70 km)",IF(I3030&lt;=300,"Intermedio (70-300 km)","Profundo (&gt;300 km)"))</x:f>
        <x:v>Superficial (&lt;70 km)</x:v>
      </x:c>
      <x:c r="M3030" s="25" t="str">
        <x:f>IF(J3030&gt;=5,"Sí","No")</x:f>
        <x:v>No</x:v>
      </x:c>
      <x:c r="N3030" s="25" t="str">
        <x:f>IF(J3030&gt;=6,"Sí","No")</x:f>
        <x:v>No</x:v>
      </x:c>
      <x:c r="O3030" s="25" t="str">
        <x:v>Pendiente: asignar con R/sf</x:v>
      </x:c>
    </x:row>
    <x:row r="3031">
      <x:c r="A3031" s="25" t="n">
        <x:v>3030</x:v>
      </x:c>
      <x:c r="B3031" s="26" t="n">
        <x:v>42942.495474537034</x:v>
      </x:c>
      <x:c r="C3031" s="27" t="n">
        <x:f>INT(B3031)</x:f>
        <x:v>42942</x:v>
      </x:c>
      <x:c r="D3031" s="28" t="n">
        <x:f>MOD(B3031,1)</x:f>
        <x:v>0.49547453703416977</x:v>
      </x:c>
      <x:c r="E3031" s="29" t="n">
        <x:f>YEAR(B3031)</x:f>
        <x:v>2017</x:v>
      </x:c>
      <x:c r="F3031" s="29" t="n">
        <x:f>MONTH(B3031)</x:f>
        <x:v>7</x:v>
      </x:c>
      <x:c r="G3031" s="30" t="n">
        <x:v>-29.54</x:v>
      </x:c>
      <x:c r="H3031" s="30" t="n">
        <x:v>-69.5</x:v>
      </x:c>
      <x:c r="I3031" s="29" t="n">
        <x:v>132</x:v>
      </x:c>
      <x:c r="J3031" s="31" t="n">
        <x:v>4.5</x:v>
      </x:c>
      <x:c r="K3031" s="25" t="str">
        <x:f>IF(J3031&gt;=7,"Muy fuerte (&gt;=7)",IF(J3031&gt;=6,"Fuerte (6-6.9)",IF(J3031&gt;=5,"Moderado alto (5-5.9)",IF(J3031&gt;=4,"Moderado (4-4.9)","Menor a 4"))))</x:f>
        <x:v>Moderado (4-4.9)</x:v>
      </x:c>
      <x:c r="L3031" s="25" t="str">
        <x:f>IF(I3031&lt;70,"Superficial (&lt;70 km)",IF(I3031&lt;=300,"Intermedio (70-300 km)","Profundo (&gt;300 km)"))</x:f>
        <x:v>Intermedio (70-300 km)</x:v>
      </x:c>
      <x:c r="M3031" s="25" t="str">
        <x:f>IF(J3031&gt;=5,"Sí","No")</x:f>
        <x:v>No</x:v>
      </x:c>
      <x:c r="N3031" s="25" t="str">
        <x:f>IF(J3031&gt;=6,"Sí","No")</x:f>
        <x:v>No</x:v>
      </x:c>
      <x:c r="O3031" s="25" t="str">
        <x:v>Pendiente: asignar con R/sf</x:v>
      </x:c>
    </x:row>
    <x:row r="3032">
      <x:c r="A3032" s="25" t="n">
        <x:v>3031</x:v>
      </x:c>
      <x:c r="B3032" s="26" t="n">
        <x:v>42944.8290162037</x:v>
      </x:c>
      <x:c r="C3032" s="27" t="n">
        <x:f>INT(B3032)</x:f>
        <x:v>42944</x:v>
      </x:c>
      <x:c r="D3032" s="28" t="n">
        <x:f>MOD(B3032,1)</x:f>
        <x:v>0.8290162037010305</x:v>
      </x:c>
      <x:c r="E3032" s="29" t="n">
        <x:f>YEAR(B3032)</x:f>
        <x:v>2017</x:v>
      </x:c>
      <x:c r="F3032" s="29" t="n">
        <x:f>MONTH(B3032)</x:f>
        <x:v>7</x:v>
      </x:c>
      <x:c r="G3032" s="30" t="n">
        <x:v>-30.74</x:v>
      </x:c>
      <x:c r="H3032" s="30" t="n">
        <x:v>-71.77</x:v>
      </x:c>
      <x:c r="I3032" s="29" t="n">
        <x:v>36</x:v>
      </x:c>
      <x:c r="J3032" s="31" t="n">
        <x:v>4.7</x:v>
      </x:c>
      <x:c r="K3032" s="25" t="str">
        <x:f>IF(J3032&gt;=7,"Muy fuerte (&gt;=7)",IF(J3032&gt;=6,"Fuerte (6-6.9)",IF(J3032&gt;=5,"Moderado alto (5-5.9)",IF(J3032&gt;=4,"Moderado (4-4.9)","Menor a 4"))))</x:f>
        <x:v>Moderado (4-4.9)</x:v>
      </x:c>
      <x:c r="L3032" s="25" t="str">
        <x:f>IF(I3032&lt;70,"Superficial (&lt;70 km)",IF(I3032&lt;=300,"Intermedio (70-300 km)","Profundo (&gt;300 km)"))</x:f>
        <x:v>Superficial (&lt;70 km)</x:v>
      </x:c>
      <x:c r="M3032" s="25" t="str">
        <x:f>IF(J3032&gt;=5,"Sí","No")</x:f>
        <x:v>No</x:v>
      </x:c>
      <x:c r="N3032" s="25" t="str">
        <x:f>IF(J3032&gt;=6,"Sí","No")</x:f>
        <x:v>No</x:v>
      </x:c>
      <x:c r="O3032" s="25" t="str">
        <x:v>Pendiente: asignar con R/sf</x:v>
      </x:c>
    </x:row>
    <x:row r="3033">
      <x:c r="A3033" s="25" t="n">
        <x:v>3032</x:v>
      </x:c>
      <x:c r="B3033" s="26" t="n">
        <x:v>42959.40255787037</x:v>
      </x:c>
      <x:c r="C3033" s="27" t="n">
        <x:f>INT(B3033)</x:f>
        <x:v>42959</x:v>
      </x:c>
      <x:c r="D3033" s="28" t="n">
        <x:f>MOD(B3033,1)</x:f>
        <x:v>0.40255787037312984</x:v>
      </x:c>
      <x:c r="E3033" s="29" t="n">
        <x:f>YEAR(B3033)</x:f>
        <x:v>2017</x:v>
      </x:c>
      <x:c r="F3033" s="29" t="n">
        <x:f>MONTH(B3033)</x:f>
        <x:v>8</x:v>
      </x:c>
      <x:c r="G3033" s="30" t="n">
        <x:v>-30.38</x:v>
      </x:c>
      <x:c r="H3033" s="30" t="n">
        <x:v>-71.49</x:v>
      </x:c>
      <x:c r="I3033" s="29" t="n">
        <x:v>45</x:v>
      </x:c>
      <x:c r="J3033" s="31" t="n">
        <x:v>4.4</x:v>
      </x:c>
      <x:c r="K3033" s="25" t="str">
        <x:f>IF(J3033&gt;=7,"Muy fuerte (&gt;=7)",IF(J3033&gt;=6,"Fuerte (6-6.9)",IF(J3033&gt;=5,"Moderado alto (5-5.9)",IF(J3033&gt;=4,"Moderado (4-4.9)","Menor a 4"))))</x:f>
        <x:v>Moderado (4-4.9)</x:v>
      </x:c>
      <x:c r="L3033" s="25" t="str">
        <x:f>IF(I3033&lt;70,"Superficial (&lt;70 km)",IF(I3033&lt;=300,"Intermedio (70-300 km)","Profundo (&gt;300 km)"))</x:f>
        <x:v>Superficial (&lt;70 km)</x:v>
      </x:c>
      <x:c r="M3033" s="25" t="str">
        <x:f>IF(J3033&gt;=5,"Sí","No")</x:f>
        <x:v>No</x:v>
      </x:c>
      <x:c r="N3033" s="25" t="str">
        <x:f>IF(J3033&gt;=6,"Sí","No")</x:f>
        <x:v>No</x:v>
      </x:c>
      <x:c r="O3033" s="25" t="str">
        <x:v>Pendiente: asignar con R/sf</x:v>
      </x:c>
    </x:row>
    <x:row r="3034">
      <x:c r="A3034" s="25" t="n">
        <x:v>3033</x:v>
      </x:c>
      <x:c r="B3034" s="26" t="n">
        <x:v>42961.29064814815</x:v>
      </x:c>
      <x:c r="C3034" s="27" t="n">
        <x:f>INT(B3034)</x:f>
        <x:v>42961</x:v>
      </x:c>
      <x:c r="D3034" s="28" t="n">
        <x:f>MOD(B3034,1)</x:f>
        <x:v>0.29064814814773854</x:v>
      </x:c>
      <x:c r="E3034" s="29" t="n">
        <x:f>YEAR(B3034)</x:f>
        <x:v>2017</x:v>
      </x:c>
      <x:c r="F3034" s="29" t="n">
        <x:f>MONTH(B3034)</x:f>
        <x:v>8</x:v>
      </x:c>
      <x:c r="G3034" s="30" t="n">
        <x:v>-31.5</x:v>
      </x:c>
      <x:c r="H3034" s="30" t="n">
        <x:v>-71.73</x:v>
      </x:c>
      <x:c r="I3034" s="29" t="n">
        <x:v>33</x:v>
      </x:c>
      <x:c r="J3034" s="31" t="n">
        <x:v>4.8</x:v>
      </x:c>
      <x:c r="K3034" s="25" t="str">
        <x:f>IF(J3034&gt;=7,"Muy fuerte (&gt;=7)",IF(J3034&gt;=6,"Fuerte (6-6.9)",IF(J3034&gt;=5,"Moderado alto (5-5.9)",IF(J3034&gt;=4,"Moderado (4-4.9)","Menor a 4"))))</x:f>
        <x:v>Moderado (4-4.9)</x:v>
      </x:c>
      <x:c r="L3034" s="25" t="str">
        <x:f>IF(I3034&lt;70,"Superficial (&lt;70 km)",IF(I3034&lt;=300,"Intermedio (70-300 km)","Profundo (&gt;300 km)"))</x:f>
        <x:v>Superficial (&lt;70 km)</x:v>
      </x:c>
      <x:c r="M3034" s="25" t="str">
        <x:f>IF(J3034&gt;=5,"Sí","No")</x:f>
        <x:v>No</x:v>
      </x:c>
      <x:c r="N3034" s="25" t="str">
        <x:f>IF(J3034&gt;=6,"Sí","No")</x:f>
        <x:v>No</x:v>
      </x:c>
      <x:c r="O3034" s="25" t="str">
        <x:v>Pendiente: asignar con R/sf</x:v>
      </x:c>
    </x:row>
    <x:row r="3035">
      <x:c r="A3035" s="25" t="n">
        <x:v>3034</x:v>
      </x:c>
      <x:c r="B3035" s="26" t="n">
        <x:v>42962.08652777778</x:v>
      </x:c>
      <x:c r="C3035" s="27" t="n">
        <x:f>INT(B3035)</x:f>
        <x:v>42962</x:v>
      </x:c>
      <x:c r="D3035" s="28" t="n">
        <x:f>MOD(B3035,1)</x:f>
        <x:v>0.08652777777751908</x:v>
      </x:c>
      <x:c r="E3035" s="29" t="n">
        <x:f>YEAR(B3035)</x:f>
        <x:v>2017</x:v>
      </x:c>
      <x:c r="F3035" s="29" t="n">
        <x:f>MONTH(B3035)</x:f>
        <x:v>8</x:v>
      </x:c>
      <x:c r="G3035" s="30" t="n">
        <x:v>-31.66</x:v>
      </x:c>
      <x:c r="H3035" s="30" t="n">
        <x:v>-71.39</x:v>
      </x:c>
      <x:c r="I3035" s="29" t="n">
        <x:v>52</x:v>
      </x:c>
      <x:c r="J3035" s="31" t="n">
        <x:v>4</x:v>
      </x:c>
      <x:c r="K3035" s="25" t="str">
        <x:f>IF(J3035&gt;=7,"Muy fuerte (&gt;=7)",IF(J3035&gt;=6,"Fuerte (6-6.9)",IF(J3035&gt;=5,"Moderado alto (5-5.9)",IF(J3035&gt;=4,"Moderado (4-4.9)","Menor a 4"))))</x:f>
        <x:v>Moderado (4-4.9)</x:v>
      </x:c>
      <x:c r="L3035" s="25" t="str">
        <x:f>IF(I3035&lt;70,"Superficial (&lt;70 km)",IF(I3035&lt;=300,"Intermedio (70-300 km)","Profundo (&gt;300 km)"))</x:f>
        <x:v>Superficial (&lt;70 km)</x:v>
      </x:c>
      <x:c r="M3035" s="25" t="str">
        <x:f>IF(J3035&gt;=5,"Sí","No")</x:f>
        <x:v>No</x:v>
      </x:c>
      <x:c r="N3035" s="25" t="str">
        <x:f>IF(J3035&gt;=6,"Sí","No")</x:f>
        <x:v>No</x:v>
      </x:c>
      <x:c r="O3035" s="25" t="str">
        <x:v>Pendiente: asignar con R/sf</x:v>
      </x:c>
    </x:row>
    <x:row r="3036">
      <x:c r="A3036" s="25" t="n">
        <x:v>3035</x:v>
      </x:c>
      <x:c r="B3036" s="26" t="n">
        <x:v>42984.23998842593</x:v>
      </x:c>
      <x:c r="C3036" s="27" t="n">
        <x:f>INT(B3036)</x:f>
        <x:v>42984</x:v>
      </x:c>
      <x:c r="D3036" s="28" t="n">
        <x:f>MOD(B3036,1)</x:f>
        <x:v>0.23998842592845904</x:v>
      </x:c>
      <x:c r="E3036" s="29" t="n">
        <x:f>YEAR(B3036)</x:f>
        <x:v>2017</x:v>
      </x:c>
      <x:c r="F3036" s="29" t="n">
        <x:f>MONTH(B3036)</x:f>
        <x:v>9</x:v>
      </x:c>
      <x:c r="G3036" s="30" t="n">
        <x:v>-30.77</x:v>
      </x:c>
      <x:c r="H3036" s="30" t="n">
        <x:v>-71.35</x:v>
      </x:c>
      <x:c r="I3036" s="29" t="n">
        <x:v>44</x:v>
      </x:c>
      <x:c r="J3036" s="31" t="n">
        <x:v>4.2</x:v>
      </x:c>
      <x:c r="K3036" s="25" t="str">
        <x:f>IF(J3036&gt;=7,"Muy fuerte (&gt;=7)",IF(J3036&gt;=6,"Fuerte (6-6.9)",IF(J3036&gt;=5,"Moderado alto (5-5.9)",IF(J3036&gt;=4,"Moderado (4-4.9)","Menor a 4"))))</x:f>
        <x:v>Moderado (4-4.9)</x:v>
      </x:c>
      <x:c r="L3036" s="25" t="str">
        <x:f>IF(I3036&lt;70,"Superficial (&lt;70 km)",IF(I3036&lt;=300,"Intermedio (70-300 km)","Profundo (&gt;300 km)"))</x:f>
        <x:v>Superficial (&lt;70 km)</x:v>
      </x:c>
      <x:c r="M3036" s="25" t="str">
        <x:f>IF(J3036&gt;=5,"Sí","No")</x:f>
        <x:v>No</x:v>
      </x:c>
      <x:c r="N3036" s="25" t="str">
        <x:f>IF(J3036&gt;=6,"Sí","No")</x:f>
        <x:v>No</x:v>
      </x:c>
      <x:c r="O3036" s="25" t="str">
        <x:v>Pendiente: asignar con R/sf</x:v>
      </x:c>
    </x:row>
    <x:row r="3037">
      <x:c r="A3037" s="25" t="n">
        <x:v>3036</x:v>
      </x:c>
      <x:c r="B3037" s="26" t="n">
        <x:v>42991.62494212963</x:v>
      </x:c>
      <x:c r="C3037" s="27" t="n">
        <x:f>INT(B3037)</x:f>
        <x:v>42991</x:v>
      </x:c>
      <x:c r="D3037" s="28" t="n">
        <x:f>MOD(B3037,1)</x:f>
        <x:v>0.6249421296306537</x:v>
      </x:c>
      <x:c r="E3037" s="29" t="n">
        <x:f>YEAR(B3037)</x:f>
        <x:v>2017</x:v>
      </x:c>
      <x:c r="F3037" s="29" t="n">
        <x:f>MONTH(B3037)</x:f>
        <x:v>9</x:v>
      </x:c>
      <x:c r="G3037" s="30" t="n">
        <x:v>-28.02</x:v>
      </x:c>
      <x:c r="H3037" s="30" t="n">
        <x:v>-69.31</x:v>
      </x:c>
      <x:c r="I3037" s="29" t="n">
        <x:v>120</x:v>
      </x:c>
      <x:c r="J3037" s="31" t="n">
        <x:v>4</x:v>
      </x:c>
      <x:c r="K3037" s="25" t="str">
        <x:f>IF(J3037&gt;=7,"Muy fuerte (&gt;=7)",IF(J3037&gt;=6,"Fuerte (6-6.9)",IF(J3037&gt;=5,"Moderado alto (5-5.9)",IF(J3037&gt;=4,"Moderado (4-4.9)","Menor a 4"))))</x:f>
        <x:v>Moderado (4-4.9)</x:v>
      </x:c>
      <x:c r="L3037" s="25" t="str">
        <x:f>IF(I3037&lt;70,"Superficial (&lt;70 km)",IF(I3037&lt;=300,"Intermedio (70-300 km)","Profundo (&gt;300 km)"))</x:f>
        <x:v>Intermedio (70-300 km)</x:v>
      </x:c>
      <x:c r="M3037" s="25" t="str">
        <x:f>IF(J3037&gt;=5,"Sí","No")</x:f>
        <x:v>No</x:v>
      </x:c>
      <x:c r="N3037" s="25" t="str">
        <x:f>IF(J3037&gt;=6,"Sí","No")</x:f>
        <x:v>No</x:v>
      </x:c>
      <x:c r="O3037" s="25" t="str">
        <x:v>Pendiente: asignar con R/sf</x:v>
      </x:c>
    </x:row>
    <x:row r="3038">
      <x:c r="A3038" s="25" t="n">
        <x:v>3037</x:v>
      </x:c>
      <x:c r="B3038" s="26" t="n">
        <x:v>43025.444918981484</x:v>
      </x:c>
      <x:c r="C3038" s="27" t="n">
        <x:f>INT(B3038)</x:f>
        <x:v>43025</x:v>
      </x:c>
      <x:c r="D3038" s="28" t="n">
        <x:f>MOD(B3038,1)</x:f>
        <x:v>0.44491898148407927</x:v>
      </x:c>
      <x:c r="E3038" s="29" t="n">
        <x:f>YEAR(B3038)</x:f>
        <x:v>2017</x:v>
      </x:c>
      <x:c r="F3038" s="29" t="n">
        <x:f>MONTH(B3038)</x:f>
        <x:v>10</x:v>
      </x:c>
      <x:c r="G3038" s="30" t="n">
        <x:v>-32.59</x:v>
      </x:c>
      <x:c r="H3038" s="30" t="n">
        <x:v>-71.04</x:v>
      </x:c>
      <x:c r="I3038" s="29" t="n">
        <x:v>80</x:v>
      </x:c>
      <x:c r="J3038" s="31" t="n">
        <x:v>4</x:v>
      </x:c>
      <x:c r="K3038" s="25" t="str">
        <x:f>IF(J3038&gt;=7,"Muy fuerte (&gt;=7)",IF(J3038&gt;=6,"Fuerte (6-6.9)",IF(J3038&gt;=5,"Moderado alto (5-5.9)",IF(J3038&gt;=4,"Moderado (4-4.9)","Menor a 4"))))</x:f>
        <x:v>Moderado (4-4.9)</x:v>
      </x:c>
      <x:c r="L3038" s="25" t="str">
        <x:f>IF(I3038&lt;70,"Superficial (&lt;70 km)",IF(I3038&lt;=300,"Intermedio (70-300 km)","Profundo (&gt;300 km)"))</x:f>
        <x:v>Intermedio (70-300 km)</x:v>
      </x:c>
      <x:c r="M3038" s="25" t="str">
        <x:f>IF(J3038&gt;=5,"Sí","No")</x:f>
        <x:v>No</x:v>
      </x:c>
      <x:c r="N3038" s="25" t="str">
        <x:f>IF(J3038&gt;=6,"Sí","No")</x:f>
        <x:v>No</x:v>
      </x:c>
      <x:c r="O3038" s="25" t="str">
        <x:v>Pendiente: asignar con R/sf</x:v>
      </x:c>
    </x:row>
    <x:row r="3039">
      <x:c r="A3039" s="25" t="n">
        <x:v>3038</x:v>
      </x:c>
      <x:c r="B3039" s="26" t="n">
        <x:v>43027.385300925926</x:v>
      </x:c>
      <x:c r="C3039" s="27" t="n">
        <x:f>INT(B3039)</x:f>
        <x:v>43027</x:v>
      </x:c>
      <x:c r="D3039" s="28" t="n">
        <x:f>MOD(B3039,1)</x:f>
        <x:v>0.38530092592554865</x:v>
      </x:c>
      <x:c r="E3039" s="29" t="n">
        <x:f>YEAR(B3039)</x:f>
        <x:v>2017</x:v>
      </x:c>
      <x:c r="F3039" s="29" t="n">
        <x:f>MONTH(B3039)</x:f>
        <x:v>10</x:v>
      </x:c>
      <x:c r="G3039" s="30" t="n">
        <x:v>-30.63</x:v>
      </x:c>
      <x:c r="H3039" s="30" t="n">
        <x:v>-71.25</x:v>
      </x:c>
      <x:c r="I3039" s="29" t="n">
        <x:v>55</x:v>
      </x:c>
      <x:c r="J3039" s="31" t="n">
        <x:v>4.2</x:v>
      </x:c>
      <x:c r="K3039" s="25" t="str">
        <x:f>IF(J3039&gt;=7,"Muy fuerte (&gt;=7)",IF(J3039&gt;=6,"Fuerte (6-6.9)",IF(J3039&gt;=5,"Moderado alto (5-5.9)",IF(J3039&gt;=4,"Moderado (4-4.9)","Menor a 4"))))</x:f>
        <x:v>Moderado (4-4.9)</x:v>
      </x:c>
      <x:c r="L3039" s="25" t="str">
        <x:f>IF(I3039&lt;70,"Superficial (&lt;70 km)",IF(I3039&lt;=300,"Intermedio (70-300 km)","Profundo (&gt;300 km)"))</x:f>
        <x:v>Superficial (&lt;70 km)</x:v>
      </x:c>
      <x:c r="M3039" s="25" t="str">
        <x:f>IF(J3039&gt;=5,"Sí","No")</x:f>
        <x:v>No</x:v>
      </x:c>
      <x:c r="N3039" s="25" t="str">
        <x:f>IF(J3039&gt;=6,"Sí","No")</x:f>
        <x:v>No</x:v>
      </x:c>
      <x:c r="O3039" s="25" t="str">
        <x:v>Pendiente: asignar con R/sf</x:v>
      </x:c>
    </x:row>
    <x:row r="3040">
      <x:c r="A3040" s="25" t="n">
        <x:v>3039</x:v>
      </x:c>
      <x:c r="B3040" s="26" t="n">
        <x:v>43035.86035879629</x:v>
      </x:c>
      <x:c r="C3040" s="27" t="n">
        <x:f>INT(B3040)</x:f>
        <x:v>43035</x:v>
      </x:c>
      <x:c r="D3040" s="28" t="n">
        <x:f>MOD(B3040,1)</x:f>
        <x:v>0.8603587962934398</x:v>
      </x:c>
      <x:c r="E3040" s="29" t="n">
        <x:f>YEAR(B3040)</x:f>
        <x:v>2017</x:v>
      </x:c>
      <x:c r="F3040" s="29" t="n">
        <x:f>MONTH(B3040)</x:f>
        <x:v>10</x:v>
      </x:c>
      <x:c r="G3040" s="30" t="n">
        <x:v>-30.6</x:v>
      </x:c>
      <x:c r="H3040" s="30" t="n">
        <x:v>-71.65</x:v>
      </x:c>
      <x:c r="I3040" s="29" t="n">
        <x:v>31</x:v>
      </x:c>
      <x:c r="J3040" s="31" t="n">
        <x:v>4.2</x:v>
      </x:c>
      <x:c r="K3040" s="25" t="str">
        <x:f>IF(J3040&gt;=7,"Muy fuerte (&gt;=7)",IF(J3040&gt;=6,"Fuerte (6-6.9)",IF(J3040&gt;=5,"Moderado alto (5-5.9)",IF(J3040&gt;=4,"Moderado (4-4.9)","Menor a 4"))))</x:f>
        <x:v>Moderado (4-4.9)</x:v>
      </x:c>
      <x:c r="L3040" s="25" t="str">
        <x:f>IF(I3040&lt;70,"Superficial (&lt;70 km)",IF(I3040&lt;=300,"Intermedio (70-300 km)","Profundo (&gt;300 km)"))</x:f>
        <x:v>Superficial (&lt;70 km)</x:v>
      </x:c>
      <x:c r="M3040" s="25" t="str">
        <x:f>IF(J3040&gt;=5,"Sí","No")</x:f>
        <x:v>No</x:v>
      </x:c>
      <x:c r="N3040" s="25" t="str">
        <x:f>IF(J3040&gt;=6,"Sí","No")</x:f>
        <x:v>No</x:v>
      </x:c>
      <x:c r="O3040" s="25" t="str">
        <x:v>Pendiente: asignar con R/sf</x:v>
      </x:c>
    </x:row>
    <x:row r="3041">
      <x:c r="A3041" s="25" t="n">
        <x:v>3040</x:v>
      </x:c>
      <x:c r="B3041" s="26" t="n">
        <x:v>43037.95761574074</x:v>
      </x:c>
      <x:c r="C3041" s="27" t="n">
        <x:f>INT(B3041)</x:f>
        <x:v>43037</x:v>
      </x:c>
      <x:c r="D3041" s="28" t="n">
        <x:f>MOD(B3041,1)</x:f>
        <x:v>0.9576157407427672</x:v>
      </x:c>
      <x:c r="E3041" s="29" t="n">
        <x:f>YEAR(B3041)</x:f>
        <x:v>2017</x:v>
      </x:c>
      <x:c r="F3041" s="29" t="n">
        <x:f>MONTH(B3041)</x:f>
        <x:v>10</x:v>
      </x:c>
      <x:c r="G3041" s="30" t="n">
        <x:v>-31.05</x:v>
      </x:c>
      <x:c r="H3041" s="30" t="n">
        <x:v>-71.36</x:v>
      </x:c>
      <x:c r="I3041" s="29" t="n">
        <x:v>68</x:v>
      </x:c>
      <x:c r="J3041" s="31" t="n">
        <x:v>4.6</x:v>
      </x:c>
      <x:c r="K3041" s="25" t="str">
        <x:f>IF(J3041&gt;=7,"Muy fuerte (&gt;=7)",IF(J3041&gt;=6,"Fuerte (6-6.9)",IF(J3041&gt;=5,"Moderado alto (5-5.9)",IF(J3041&gt;=4,"Moderado (4-4.9)","Menor a 4"))))</x:f>
        <x:v>Moderado (4-4.9)</x:v>
      </x:c>
      <x:c r="L3041" s="25" t="str">
        <x:f>IF(I3041&lt;70,"Superficial (&lt;70 km)",IF(I3041&lt;=300,"Intermedio (70-300 km)","Profundo (&gt;300 km)"))</x:f>
        <x:v>Superficial (&lt;70 km)</x:v>
      </x:c>
      <x:c r="M3041" s="25" t="str">
        <x:f>IF(J3041&gt;=5,"Sí","No")</x:f>
        <x:v>No</x:v>
      </x:c>
      <x:c r="N3041" s="25" t="str">
        <x:f>IF(J3041&gt;=6,"Sí","No")</x:f>
        <x:v>No</x:v>
      </x:c>
      <x:c r="O3041" s="25" t="str">
        <x:v>Pendiente: asignar con R/sf</x:v>
      </x:c>
    </x:row>
    <x:row r="3042">
      <x:c r="A3042" s="25" t="n">
        <x:v>3041</x:v>
      </x:c>
      <x:c r="B3042" s="26" t="n">
        <x:v>43041.89178240741</x:v>
      </x:c>
      <x:c r="C3042" s="27" t="n">
        <x:f>INT(B3042)</x:f>
        <x:v>43041</x:v>
      </x:c>
      <x:c r="D3042" s="28" t="n">
        <x:f>MOD(B3042,1)</x:f>
        <x:v>0.8917824074087548</x:v>
      </x:c>
      <x:c r="E3042" s="29" t="n">
        <x:f>YEAR(B3042)</x:f>
        <x:v>2017</x:v>
      </x:c>
      <x:c r="F3042" s="29" t="n">
        <x:f>MONTH(B3042)</x:f>
        <x:v>11</x:v>
      </x:c>
      <x:c r="G3042" s="30" t="n">
        <x:v>-30.93</x:v>
      </x:c>
      <x:c r="H3042" s="30" t="n">
        <x:v>-71.26</x:v>
      </x:c>
      <x:c r="I3042" s="29" t="n">
        <x:v>54</x:v>
      </x:c>
      <x:c r="J3042" s="31" t="n">
        <x:v>4.3</x:v>
      </x:c>
      <x:c r="K3042" s="25" t="str">
        <x:f>IF(J3042&gt;=7,"Muy fuerte (&gt;=7)",IF(J3042&gt;=6,"Fuerte (6-6.9)",IF(J3042&gt;=5,"Moderado alto (5-5.9)",IF(J3042&gt;=4,"Moderado (4-4.9)","Menor a 4"))))</x:f>
        <x:v>Moderado (4-4.9)</x:v>
      </x:c>
      <x:c r="L3042" s="25" t="str">
        <x:f>IF(I3042&lt;70,"Superficial (&lt;70 km)",IF(I3042&lt;=300,"Intermedio (70-300 km)","Profundo (&gt;300 km)"))</x:f>
        <x:v>Superficial (&lt;70 km)</x:v>
      </x:c>
      <x:c r="M3042" s="25" t="str">
        <x:f>IF(J3042&gt;=5,"Sí","No")</x:f>
        <x:v>No</x:v>
      </x:c>
      <x:c r="N3042" s="25" t="str">
        <x:f>IF(J3042&gt;=6,"Sí","No")</x:f>
        <x:v>No</x:v>
      </x:c>
      <x:c r="O3042" s="25" t="str">
        <x:v>Pendiente: asignar con R/sf</x:v>
      </x:c>
    </x:row>
    <x:row r="3043">
      <x:c r="A3043" s="25" t="n">
        <x:v>3042</x:v>
      </x:c>
      <x:c r="B3043" s="26" t="n">
        <x:v>43056.095034722224</x:v>
      </x:c>
      <x:c r="C3043" s="27" t="n">
        <x:f>INT(B3043)</x:f>
        <x:v>43056</x:v>
      </x:c>
      <x:c r="D3043" s="28" t="n">
        <x:f>MOD(B3043,1)</x:f>
        <x:v>0.09503472222422715</x:v>
      </x:c>
      <x:c r="E3043" s="29" t="n">
        <x:f>YEAR(B3043)</x:f>
        <x:v>2017</x:v>
      </x:c>
      <x:c r="F3043" s="29" t="n">
        <x:f>MONTH(B3043)</x:f>
        <x:v>11</x:v>
      </x:c>
      <x:c r="G3043" s="30" t="n">
        <x:v>-32.12</x:v>
      </x:c>
      <x:c r="H3043" s="30" t="n">
        <x:v>-71.83</x:v>
      </x:c>
      <x:c r="I3043" s="29" t="n">
        <x:v>35</x:v>
      </x:c>
      <x:c r="J3043" s="31" t="n">
        <x:v>4.3</x:v>
      </x:c>
      <x:c r="K3043" s="25" t="str">
        <x:f>IF(J3043&gt;=7,"Muy fuerte (&gt;=7)",IF(J3043&gt;=6,"Fuerte (6-6.9)",IF(J3043&gt;=5,"Moderado alto (5-5.9)",IF(J3043&gt;=4,"Moderado (4-4.9)","Menor a 4"))))</x:f>
        <x:v>Moderado (4-4.9)</x:v>
      </x:c>
      <x:c r="L3043" s="25" t="str">
        <x:f>IF(I3043&lt;70,"Superficial (&lt;70 km)",IF(I3043&lt;=300,"Intermedio (70-300 km)","Profundo (&gt;300 km)"))</x:f>
        <x:v>Superficial (&lt;70 km)</x:v>
      </x:c>
      <x:c r="M3043" s="25" t="str">
        <x:f>IF(J3043&gt;=5,"Sí","No")</x:f>
        <x:v>No</x:v>
      </x:c>
      <x:c r="N3043" s="25" t="str">
        <x:f>IF(J3043&gt;=6,"Sí","No")</x:f>
        <x:v>No</x:v>
      </x:c>
      <x:c r="O3043" s="25" t="str">
        <x:v>Pendiente: asignar con R/sf</x:v>
      </x:c>
    </x:row>
    <x:row r="3044">
      <x:c r="A3044" s="25" t="n">
        <x:v>3043</x:v>
      </x:c>
      <x:c r="B3044" s="26" t="n">
        <x:v>43075.27321759259</x:v>
      </x:c>
      <x:c r="C3044" s="27" t="n">
        <x:f>INT(B3044)</x:f>
        <x:v>43075</x:v>
      </x:c>
      <x:c r="D3044" s="28" t="n">
        <x:f>MOD(B3044,1)</x:f>
        <x:v>0.2732175925921183</x:v>
      </x:c>
      <x:c r="E3044" s="29" t="n">
        <x:f>YEAR(B3044)</x:f>
        <x:v>2017</x:v>
      </x:c>
      <x:c r="F3044" s="29" t="n">
        <x:f>MONTH(B3044)</x:f>
        <x:v>12</x:v>
      </x:c>
      <x:c r="G3044" s="30" t="n">
        <x:v>-32.01</x:v>
      </x:c>
      <x:c r="H3044" s="30" t="n">
        <x:v>-71.52</x:v>
      </x:c>
      <x:c r="I3044" s="29" t="n">
        <x:v>38</x:v>
      </x:c>
      <x:c r="J3044" s="31" t="n">
        <x:v>4.3</x:v>
      </x:c>
      <x:c r="K3044" s="25" t="str">
        <x:f>IF(J3044&gt;=7,"Muy fuerte (&gt;=7)",IF(J3044&gt;=6,"Fuerte (6-6.9)",IF(J3044&gt;=5,"Moderado alto (5-5.9)",IF(J3044&gt;=4,"Moderado (4-4.9)","Menor a 4"))))</x:f>
        <x:v>Moderado (4-4.9)</x:v>
      </x:c>
      <x:c r="L3044" s="25" t="str">
        <x:f>IF(I3044&lt;70,"Superficial (&lt;70 km)",IF(I3044&lt;=300,"Intermedio (70-300 km)","Profundo (&gt;300 km)"))</x:f>
        <x:v>Superficial (&lt;70 km)</x:v>
      </x:c>
      <x:c r="M3044" s="25" t="str">
        <x:f>IF(J3044&gt;=5,"Sí","No")</x:f>
        <x:v>No</x:v>
      </x:c>
      <x:c r="N3044" s="25" t="str">
        <x:f>IF(J3044&gt;=6,"Sí","No")</x:f>
        <x:v>No</x:v>
      </x:c>
      <x:c r="O3044" s="25" t="str">
        <x:v>Pendiente: asignar con R/sf</x:v>
      </x:c>
    </x:row>
    <x:row r="3045">
      <x:c r="A3045" s="25" t="n">
        <x:v>3044</x:v>
      </x:c>
      <x:c r="B3045" s="26" t="n">
        <x:v>43075.52017361111</x:v>
      </x:c>
      <x:c r="C3045" s="27" t="n">
        <x:f>INT(B3045)</x:f>
        <x:v>43075</x:v>
      </x:c>
      <x:c r="D3045" s="28" t="n">
        <x:f>MOD(B3045,1)</x:f>
        <x:v>0.5201736111121136</x:v>
      </x:c>
      <x:c r="E3045" s="29" t="n">
        <x:f>YEAR(B3045)</x:f>
        <x:v>2017</x:v>
      </x:c>
      <x:c r="F3045" s="29" t="n">
        <x:f>MONTH(B3045)</x:f>
        <x:v>12</x:v>
      </x:c>
      <x:c r="G3045" s="30" t="n">
        <x:v>-32.13</x:v>
      </x:c>
      <x:c r="H3045" s="30" t="n">
        <x:v>-71.8</x:v>
      </x:c>
      <x:c r="I3045" s="29" t="n">
        <x:v>32</x:v>
      </x:c>
      <x:c r="J3045" s="31" t="n">
        <x:v>4.2</x:v>
      </x:c>
      <x:c r="K3045" s="25" t="str">
        <x:f>IF(J3045&gt;=7,"Muy fuerte (&gt;=7)",IF(J3045&gt;=6,"Fuerte (6-6.9)",IF(J3045&gt;=5,"Moderado alto (5-5.9)",IF(J3045&gt;=4,"Moderado (4-4.9)","Menor a 4"))))</x:f>
        <x:v>Moderado (4-4.9)</x:v>
      </x:c>
      <x:c r="L3045" s="25" t="str">
        <x:f>IF(I3045&lt;70,"Superficial (&lt;70 km)",IF(I3045&lt;=300,"Intermedio (70-300 km)","Profundo (&gt;300 km)"))</x:f>
        <x:v>Superficial (&lt;70 km)</x:v>
      </x:c>
      <x:c r="M3045" s="25" t="str">
        <x:f>IF(J3045&gt;=5,"Sí","No")</x:f>
        <x:v>No</x:v>
      </x:c>
      <x:c r="N3045" s="25" t="str">
        <x:f>IF(J3045&gt;=6,"Sí","No")</x:f>
        <x:v>No</x:v>
      </x:c>
      <x:c r="O3045" s="25" t="str">
        <x:v>Pendiente: asignar con R/sf</x:v>
      </x:c>
    </x:row>
    <x:row r="3046">
      <x:c r="A3046" s="25" t="n">
        <x:v>3045</x:v>
      </x:c>
      <x:c r="B3046" s="26" t="n">
        <x:v>43100.43193287037</x:v>
      </x:c>
      <x:c r="C3046" s="27" t="n">
        <x:f>INT(B3046)</x:f>
        <x:v>43100</x:v>
      </x:c>
      <x:c r="D3046" s="28" t="n">
        <x:f>MOD(B3046,1)</x:f>
        <x:v>0.4319328703713836</x:v>
      </x:c>
      <x:c r="E3046" s="29" t="n">
        <x:f>YEAR(B3046)</x:f>
        <x:v>2017</x:v>
      </x:c>
      <x:c r="F3046" s="29" t="n">
        <x:f>MONTH(B3046)</x:f>
        <x:v>12</x:v>
      </x:c>
      <x:c r="G3046" s="30" t="n">
        <x:v>-32.02</x:v>
      </x:c>
      <x:c r="H3046" s="30" t="n">
        <x:v>-71.56</x:v>
      </x:c>
      <x:c r="I3046" s="29" t="n">
        <x:v>35</x:v>
      </x:c>
      <x:c r="J3046" s="31" t="n">
        <x:v>4.1</x:v>
      </x:c>
      <x:c r="K3046" s="25" t="str">
        <x:f>IF(J3046&gt;=7,"Muy fuerte (&gt;=7)",IF(J3046&gt;=6,"Fuerte (6-6.9)",IF(J3046&gt;=5,"Moderado alto (5-5.9)",IF(J3046&gt;=4,"Moderado (4-4.9)","Menor a 4"))))</x:f>
        <x:v>Moderado (4-4.9)</x:v>
      </x:c>
      <x:c r="L3046" s="25" t="str">
        <x:f>IF(I3046&lt;70,"Superficial (&lt;70 km)",IF(I3046&lt;=300,"Intermedio (70-300 km)","Profundo (&gt;300 km)"))</x:f>
        <x:v>Superficial (&lt;70 km)</x:v>
      </x:c>
      <x:c r="M3046" s="25" t="str">
        <x:f>IF(J3046&gt;=5,"Sí","No")</x:f>
        <x:v>No</x:v>
      </x:c>
      <x:c r="N3046" s="25" t="str">
        <x:f>IF(J3046&gt;=6,"Sí","No")</x:f>
        <x:v>No</x:v>
      </x:c>
      <x:c r="O3046" s="25" t="str">
        <x:v>Pendiente: asignar con R/sf</x:v>
      </x:c>
    </x:row>
    <x:row r="3047">
      <x:c r="A3047" s="25" t="n">
        <x:v>3046</x:v>
      </x:c>
      <x:c r="B3047" s="26" t="n">
        <x:v>43100.74560185185</x:v>
      </x:c>
      <x:c r="C3047" s="27" t="n">
        <x:f>INT(B3047)</x:f>
        <x:v>43100</x:v>
      </x:c>
      <x:c r="D3047" s="28" t="n">
        <x:f>MOD(B3047,1)</x:f>
        <x:v>0.7456018518496421</x:v>
      </x:c>
      <x:c r="E3047" s="29" t="n">
        <x:f>YEAR(B3047)</x:f>
        <x:v>2017</x:v>
      </x:c>
      <x:c r="F3047" s="29" t="n">
        <x:f>MONTH(B3047)</x:f>
        <x:v>12</x:v>
      </x:c>
      <x:c r="G3047" s="30" t="n">
        <x:v>-29.27</x:v>
      </x:c>
      <x:c r="H3047" s="30" t="n">
        <x:v>-71.56</x:v>
      </x:c>
      <x:c r="I3047" s="29" t="n">
        <x:v>62</x:v>
      </x:c>
      <x:c r="J3047" s="31" t="n">
        <x:v>4</x:v>
      </x:c>
      <x:c r="K3047" s="25" t="str">
        <x:f>IF(J3047&gt;=7,"Muy fuerte (&gt;=7)",IF(J3047&gt;=6,"Fuerte (6-6.9)",IF(J3047&gt;=5,"Moderado alto (5-5.9)",IF(J3047&gt;=4,"Moderado (4-4.9)","Menor a 4"))))</x:f>
        <x:v>Moderado (4-4.9)</x:v>
      </x:c>
      <x:c r="L3047" s="25" t="str">
        <x:f>IF(I3047&lt;70,"Superficial (&lt;70 km)",IF(I3047&lt;=300,"Intermedio (70-300 km)","Profundo (&gt;300 km)"))</x:f>
        <x:v>Superficial (&lt;70 km)</x:v>
      </x:c>
      <x:c r="M3047" s="25" t="str">
        <x:f>IF(J3047&gt;=5,"Sí","No")</x:f>
        <x:v>No</x:v>
      </x:c>
      <x:c r="N3047" s="25" t="str">
        <x:f>IF(J3047&gt;=6,"Sí","No")</x:f>
        <x:v>No</x:v>
      </x:c>
      <x:c r="O3047" s="25" t="str">
        <x:v>Pendiente: asignar con R/sf</x:v>
      </x:c>
    </x:row>
    <x:row r="3048">
      <x:c r="A3048" s="25" t="n">
        <x:v>3047</x:v>
      </x:c>
      <x:c r="B3048" s="26" t="n">
        <x:v>42736.142800925925</x:v>
      </x:c>
      <x:c r="C3048" s="27" t="n">
        <x:f>INT(B3048)</x:f>
        <x:v>42736</x:v>
      </x:c>
      <x:c r="D3048" s="28" t="n">
        <x:f>MOD(B3048,1)</x:f>
        <x:v>0.14280092592525762</x:v>
      </x:c>
      <x:c r="E3048" s="29" t="n">
        <x:f>YEAR(B3048)</x:f>
        <x:v>2017</x:v>
      </x:c>
      <x:c r="F3048" s="29" t="n">
        <x:f>MONTH(B3048)</x:f>
        <x:v>1</x:v>
      </x:c>
      <x:c r="G3048" s="30" t="n">
        <x:v>-29.7</x:v>
      </x:c>
      <x:c r="H3048" s="30" t="n">
        <x:v>-71.19</x:v>
      </x:c>
      <x:c r="I3048" s="29" t="n">
        <x:v>47</x:v>
      </x:c>
      <x:c r="J3048" s="31" t="n">
        <x:v>4.4</x:v>
      </x:c>
      <x:c r="K3048" s="25" t="str">
        <x:f>IF(J3048&gt;=7,"Muy fuerte (&gt;=7)",IF(J3048&gt;=6,"Fuerte (6-6.9)",IF(J3048&gt;=5,"Moderado alto (5-5.9)",IF(J3048&gt;=4,"Moderado (4-4.9)","Menor a 4"))))</x:f>
        <x:v>Moderado (4-4.9)</x:v>
      </x:c>
      <x:c r="L3048" s="25" t="str">
        <x:f>IF(I3048&lt;70,"Superficial (&lt;70 km)",IF(I3048&lt;=300,"Intermedio (70-300 km)","Profundo (&gt;300 km)"))</x:f>
        <x:v>Superficial (&lt;70 km)</x:v>
      </x:c>
      <x:c r="M3048" s="25" t="str">
        <x:f>IF(J3048&gt;=5,"Sí","No")</x:f>
        <x:v>No</x:v>
      </x:c>
      <x:c r="N3048" s="25" t="str">
        <x:f>IF(J3048&gt;=6,"Sí","No")</x:f>
        <x:v>No</x:v>
      </x:c>
      <x:c r="O3048" s="25" t="str">
        <x:v>Pendiente: asignar con R/sf</x:v>
      </x:c>
    </x:row>
    <x:row r="3049">
      <x:c r="A3049" s="25" t="n">
        <x:v>3048</x:v>
      </x:c>
      <x:c r="B3049" s="26" t="n">
        <x:v>42739.55837962963</x:v>
      </x:c>
      <x:c r="C3049" s="27" t="n">
        <x:f>INT(B3049)</x:f>
        <x:v>42739</x:v>
      </x:c>
      <x:c r="D3049" s="28" t="n">
        <x:f>MOD(B3049,1)</x:f>
        <x:v>0.5583796296268702</x:v>
      </x:c>
      <x:c r="E3049" s="29" t="n">
        <x:f>YEAR(B3049)</x:f>
        <x:v>2017</x:v>
      </x:c>
      <x:c r="F3049" s="29" t="n">
        <x:f>MONTH(B3049)</x:f>
        <x:v>1</x:v>
      </x:c>
      <x:c r="G3049" s="30" t="n">
        <x:v>-30.3</x:v>
      </x:c>
      <x:c r="H3049" s="30" t="n">
        <x:v>-71.53</x:v>
      </x:c>
      <x:c r="I3049" s="29" t="n">
        <x:v>49</x:v>
      </x:c>
      <x:c r="J3049" s="31" t="n">
        <x:v>5.1</x:v>
      </x:c>
      <x:c r="K3049" s="25" t="str">
        <x:f>IF(J3049&gt;=7,"Muy fuerte (&gt;=7)",IF(J3049&gt;=6,"Fuerte (6-6.9)",IF(J3049&gt;=5,"Moderado alto (5-5.9)",IF(J3049&gt;=4,"Moderado (4-4.9)","Menor a 4"))))</x:f>
        <x:v>Moderado alto (5-5.9)</x:v>
      </x:c>
      <x:c r="L3049" s="25" t="str">
        <x:f>IF(I3049&lt;70,"Superficial (&lt;70 km)",IF(I3049&lt;=300,"Intermedio (70-300 km)","Profundo (&gt;300 km)"))</x:f>
        <x:v>Superficial (&lt;70 km)</x:v>
      </x:c>
      <x:c r="M3049" s="25" t="str">
        <x:f>IF(J3049&gt;=5,"Sí","No")</x:f>
        <x:v>Sí</x:v>
      </x:c>
      <x:c r="N3049" s="25" t="str">
        <x:f>IF(J3049&gt;=6,"Sí","No")</x:f>
        <x:v>No</x:v>
      </x:c>
      <x:c r="O3049" s="25" t="str">
        <x:v>Pendiente: asignar con R/sf</x:v>
      </x:c>
    </x:row>
    <x:row r="3050">
      <x:c r="A3050" s="25" t="n">
        <x:v>3049</x:v>
      </x:c>
      <x:c r="B3050" s="26" t="n">
        <x:v>42745.624872685185</x:v>
      </x:c>
      <x:c r="C3050" s="27" t="n">
        <x:f>INT(B3050)</x:f>
        <x:v>42745</x:v>
      </x:c>
      <x:c r="D3050" s="28" t="n">
        <x:f>MOD(B3050,1)</x:f>
        <x:v>0.6248726851845277</x:v>
      </x:c>
      <x:c r="E3050" s="29" t="n">
        <x:f>YEAR(B3050)</x:f>
        <x:v>2017</x:v>
      </x:c>
      <x:c r="F3050" s="29" t="n">
        <x:f>MONTH(B3050)</x:f>
        <x:v>1</x:v>
      </x:c>
      <x:c r="G3050" s="30" t="n">
        <x:v>-31.34</x:v>
      </x:c>
      <x:c r="H3050" s="30" t="n">
        <x:v>-70.94</x:v>
      </x:c>
      <x:c r="I3050" s="29" t="n">
        <x:v>93</x:v>
      </x:c>
      <x:c r="J3050" s="31" t="n">
        <x:v>4.9</x:v>
      </x:c>
      <x:c r="K3050" s="25" t="str">
        <x:f>IF(J3050&gt;=7,"Muy fuerte (&gt;=7)",IF(J3050&gt;=6,"Fuerte (6-6.9)",IF(J3050&gt;=5,"Moderado alto (5-5.9)",IF(J3050&gt;=4,"Moderado (4-4.9)","Menor a 4"))))</x:f>
        <x:v>Moderado (4-4.9)</x:v>
      </x:c>
      <x:c r="L3050" s="25" t="str">
        <x:f>IF(I3050&lt;70,"Superficial (&lt;70 km)",IF(I3050&lt;=300,"Intermedio (70-300 km)","Profundo (&gt;300 km)"))</x:f>
        <x:v>Intermedio (70-300 km)</x:v>
      </x:c>
      <x:c r="M3050" s="25" t="str">
        <x:f>IF(J3050&gt;=5,"Sí","No")</x:f>
        <x:v>No</x:v>
      </x:c>
      <x:c r="N3050" s="25" t="str">
        <x:f>IF(J3050&gt;=6,"Sí","No")</x:f>
        <x:v>No</x:v>
      </x:c>
      <x:c r="O3050" s="25" t="str">
        <x:v>Pendiente: asignar con R/sf</x:v>
      </x:c>
    </x:row>
    <x:row r="3051">
      <x:c r="A3051" s="25" t="n">
        <x:v>3050</x:v>
      </x:c>
      <x:c r="B3051" s="26" t="n">
        <x:v>42747.80829861111</x:v>
      </x:c>
      <x:c r="C3051" s="27" t="n">
        <x:f>INT(B3051)</x:f>
        <x:v>42747</x:v>
      </x:c>
      <x:c r="D3051" s="28" t="n">
        <x:f>MOD(B3051,1)</x:f>
        <x:v>0.8082986111112405</x:v>
      </x:c>
      <x:c r="E3051" s="29" t="n">
        <x:f>YEAR(B3051)</x:f>
        <x:v>2017</x:v>
      </x:c>
      <x:c r="F3051" s="29" t="n">
        <x:f>MONTH(B3051)</x:f>
        <x:v>1</x:v>
      </x:c>
      <x:c r="G3051" s="30" t="n">
        <x:v>-30.4</x:v>
      </x:c>
      <x:c r="H3051" s="30" t="n">
        <x:v>-71.49</x:v>
      </x:c>
      <x:c r="I3051" s="29" t="n">
        <x:v>24</x:v>
      </x:c>
      <x:c r="J3051" s="31" t="n">
        <x:v>4.7</x:v>
      </x:c>
      <x:c r="K3051" s="25" t="str">
        <x:f>IF(J3051&gt;=7,"Muy fuerte (&gt;=7)",IF(J3051&gt;=6,"Fuerte (6-6.9)",IF(J3051&gt;=5,"Moderado alto (5-5.9)",IF(J3051&gt;=4,"Moderado (4-4.9)","Menor a 4"))))</x:f>
        <x:v>Moderado (4-4.9)</x:v>
      </x:c>
      <x:c r="L3051" s="25" t="str">
        <x:f>IF(I3051&lt;70,"Superficial (&lt;70 km)",IF(I3051&lt;=300,"Intermedio (70-300 km)","Profundo (&gt;300 km)"))</x:f>
        <x:v>Superficial (&lt;70 km)</x:v>
      </x:c>
      <x:c r="M3051" s="25" t="str">
        <x:f>IF(J3051&gt;=5,"Sí","No")</x:f>
        <x:v>No</x:v>
      </x:c>
      <x:c r="N3051" s="25" t="str">
        <x:f>IF(J3051&gt;=6,"Sí","No")</x:f>
        <x:v>No</x:v>
      </x:c>
      <x:c r="O3051" s="25" t="str">
        <x:v>Pendiente: asignar con R/sf</x:v>
      </x:c>
    </x:row>
    <x:row r="3052">
      <x:c r="A3052" s="25" t="n">
        <x:v>3051</x:v>
      </x:c>
      <x:c r="B3052" s="26" t="n">
        <x:v>42754.50127314815</x:v>
      </x:c>
      <x:c r="C3052" s="27" t="n">
        <x:f>INT(B3052)</x:f>
        <x:v>42754</x:v>
      </x:c>
      <x:c r="D3052" s="28" t="n">
        <x:f>MOD(B3052,1)</x:f>
        <x:v>0.5012731481474475</x:v>
      </x:c>
      <x:c r="E3052" s="29" t="n">
        <x:f>YEAR(B3052)</x:f>
        <x:v>2017</x:v>
      </x:c>
      <x:c r="F3052" s="29" t="n">
        <x:f>MONTH(B3052)</x:f>
        <x:v>1</x:v>
      </x:c>
      <x:c r="G3052" s="30" t="n">
        <x:v>-30.85</x:v>
      </x:c>
      <x:c r="H3052" s="30" t="n">
        <x:v>-71.37</x:v>
      </x:c>
      <x:c r="I3052" s="29" t="n">
        <x:v>47</x:v>
      </x:c>
      <x:c r="J3052" s="31" t="n">
        <x:v>5</x:v>
      </x:c>
      <x:c r="K3052" s="25" t="str">
        <x:f>IF(J3052&gt;=7,"Muy fuerte (&gt;=7)",IF(J3052&gt;=6,"Fuerte (6-6.9)",IF(J3052&gt;=5,"Moderado alto (5-5.9)",IF(J3052&gt;=4,"Moderado (4-4.9)","Menor a 4"))))</x:f>
        <x:v>Moderado alto (5-5.9)</x:v>
      </x:c>
      <x:c r="L3052" s="25" t="str">
        <x:f>IF(I3052&lt;70,"Superficial (&lt;70 km)",IF(I3052&lt;=300,"Intermedio (70-300 km)","Profundo (&gt;300 km)"))</x:f>
        <x:v>Superficial (&lt;70 km)</x:v>
      </x:c>
      <x:c r="M3052" s="25" t="str">
        <x:f>IF(J3052&gt;=5,"Sí","No")</x:f>
        <x:v>Sí</x:v>
      </x:c>
      <x:c r="N3052" s="25" t="str">
        <x:f>IF(J3052&gt;=6,"Sí","No")</x:f>
        <x:v>No</x:v>
      </x:c>
      <x:c r="O3052" s="25" t="str">
        <x:v>Pendiente: asignar con R/sf</x:v>
      </x:c>
    </x:row>
    <x:row r="3053">
      <x:c r="A3053" s="25" t="n">
        <x:v>3052</x:v>
      </x:c>
      <x:c r="B3053" s="26" t="n">
        <x:v>42756.71105324074</x:v>
      </x:c>
      <x:c r="C3053" s="27" t="n">
        <x:f>INT(B3053)</x:f>
        <x:v>42756</x:v>
      </x:c>
      <x:c r="D3053" s="28" t="n">
        <x:f>MOD(B3053,1)</x:f>
        <x:v>0.7110532407386927</x:v>
      </x:c>
      <x:c r="E3053" s="29" t="n">
        <x:f>YEAR(B3053)</x:f>
        <x:v>2017</x:v>
      </x:c>
      <x:c r="F3053" s="29" t="n">
        <x:f>MONTH(B3053)</x:f>
        <x:v>1</x:v>
      </x:c>
      <x:c r="G3053" s="30" t="n">
        <x:v>-30.64</x:v>
      </x:c>
      <x:c r="H3053" s="30" t="n">
        <x:v>-71.3</x:v>
      </x:c>
      <x:c r="I3053" s="29" t="n">
        <x:v>52</x:v>
      </x:c>
      <x:c r="J3053" s="31" t="n">
        <x:v>4.5</x:v>
      </x:c>
      <x:c r="K3053" s="25" t="str">
        <x:f>IF(J3053&gt;=7,"Muy fuerte (&gt;=7)",IF(J3053&gt;=6,"Fuerte (6-6.9)",IF(J3053&gt;=5,"Moderado alto (5-5.9)",IF(J3053&gt;=4,"Moderado (4-4.9)","Menor a 4"))))</x:f>
        <x:v>Moderado (4-4.9)</x:v>
      </x:c>
      <x:c r="L3053" s="25" t="str">
        <x:f>IF(I3053&lt;70,"Superficial (&lt;70 km)",IF(I3053&lt;=300,"Intermedio (70-300 km)","Profundo (&gt;300 km)"))</x:f>
        <x:v>Superficial (&lt;70 km)</x:v>
      </x:c>
      <x:c r="M3053" s="25" t="str">
        <x:f>IF(J3053&gt;=5,"Sí","No")</x:f>
        <x:v>No</x:v>
      </x:c>
      <x:c r="N3053" s="25" t="str">
        <x:f>IF(J3053&gt;=6,"Sí","No")</x:f>
        <x:v>No</x:v>
      </x:c>
      <x:c r="O3053" s="25" t="str">
        <x:v>Pendiente: asignar con R/sf</x:v>
      </x:c>
    </x:row>
    <x:row r="3054">
      <x:c r="A3054" s="25" t="n">
        <x:v>3053</x:v>
      </x:c>
      <x:c r="B3054" s="26" t="n">
        <x:v>42758.47356481481</x:v>
      </x:c>
      <x:c r="C3054" s="27" t="n">
        <x:f>INT(B3054)</x:f>
        <x:v>42758</x:v>
      </x:c>
      <x:c r="D3054" s="28" t="n">
        <x:f>MOD(B3054,1)</x:f>
        <x:v>0.47356481481256196</x:v>
      </x:c>
      <x:c r="E3054" s="29" t="n">
        <x:f>YEAR(B3054)</x:f>
        <x:v>2017</x:v>
      </x:c>
      <x:c r="F3054" s="29" t="n">
        <x:f>MONTH(B3054)</x:f>
        <x:v>1</x:v>
      </x:c>
      <x:c r="G3054" s="30" t="n">
        <x:v>-30.65</x:v>
      </x:c>
      <x:c r="H3054" s="30" t="n">
        <x:v>-71.26</x:v>
      </x:c>
      <x:c r="I3054" s="29" t="n">
        <x:v>44</x:v>
      </x:c>
      <x:c r="J3054" s="31" t="n">
        <x:v>4.2</x:v>
      </x:c>
      <x:c r="K3054" s="25" t="str">
        <x:f>IF(J3054&gt;=7,"Muy fuerte (&gt;=7)",IF(J3054&gt;=6,"Fuerte (6-6.9)",IF(J3054&gt;=5,"Moderado alto (5-5.9)",IF(J3054&gt;=4,"Moderado (4-4.9)","Menor a 4"))))</x:f>
        <x:v>Moderado (4-4.9)</x:v>
      </x:c>
      <x:c r="L3054" s="25" t="str">
        <x:f>IF(I3054&lt;70,"Superficial (&lt;70 km)",IF(I3054&lt;=300,"Intermedio (70-300 km)","Profundo (&gt;300 km)"))</x:f>
        <x:v>Superficial (&lt;70 km)</x:v>
      </x:c>
      <x:c r="M3054" s="25" t="str">
        <x:f>IF(J3054&gt;=5,"Sí","No")</x:f>
        <x:v>No</x:v>
      </x:c>
      <x:c r="N3054" s="25" t="str">
        <x:f>IF(J3054&gt;=6,"Sí","No")</x:f>
        <x:v>No</x:v>
      </x:c>
      <x:c r="O3054" s="25" t="str">
        <x:v>Pendiente: asignar con R/sf</x:v>
      </x:c>
    </x:row>
    <x:row r="3055">
      <x:c r="A3055" s="25" t="n">
        <x:v>3054</x:v>
      </x:c>
      <x:c r="B3055" s="26" t="n">
        <x:v>42762.31018518518</x:v>
      </x:c>
      <x:c r="C3055" s="27" t="n">
        <x:f>INT(B3055)</x:f>
        <x:v>42762</x:v>
      </x:c>
      <x:c r="D3055" s="28" t="n">
        <x:f>MOD(B3055,1)</x:f>
        <x:v>0.3101851851824904</x:v>
      </x:c>
      <x:c r="E3055" s="29" t="n">
        <x:f>YEAR(B3055)</x:f>
        <x:v>2017</x:v>
      </x:c>
      <x:c r="F3055" s="29" t="n">
        <x:f>MONTH(B3055)</x:f>
        <x:v>1</x:v>
      </x:c>
      <x:c r="G3055" s="30" t="n">
        <x:v>-30.96</x:v>
      </x:c>
      <x:c r="H3055" s="30" t="n">
        <x:v>-71.4</x:v>
      </x:c>
      <x:c r="I3055" s="29" t="n">
        <x:v>55</x:v>
      </x:c>
      <x:c r="J3055" s="31" t="n">
        <x:v>4.8</x:v>
      </x:c>
      <x:c r="K3055" s="25" t="str">
        <x:f>IF(J3055&gt;=7,"Muy fuerte (&gt;=7)",IF(J3055&gt;=6,"Fuerte (6-6.9)",IF(J3055&gt;=5,"Moderado alto (5-5.9)",IF(J3055&gt;=4,"Moderado (4-4.9)","Menor a 4"))))</x:f>
        <x:v>Moderado (4-4.9)</x:v>
      </x:c>
      <x:c r="L3055" s="25" t="str">
        <x:f>IF(I3055&lt;70,"Superficial (&lt;70 km)",IF(I3055&lt;=300,"Intermedio (70-300 km)","Profundo (&gt;300 km)"))</x:f>
        <x:v>Superficial (&lt;70 km)</x:v>
      </x:c>
      <x:c r="M3055" s="25" t="str">
        <x:f>IF(J3055&gt;=5,"Sí","No")</x:f>
        <x:v>No</x:v>
      </x:c>
      <x:c r="N3055" s="25" t="str">
        <x:f>IF(J3055&gt;=6,"Sí","No")</x:f>
        <x:v>No</x:v>
      </x:c>
      <x:c r="O3055" s="25" t="str">
        <x:v>Pendiente: asignar con R/sf</x:v>
      </x:c>
    </x:row>
    <x:row r="3056">
      <x:c r="A3056" s="25" t="n">
        <x:v>3055</x:v>
      </x:c>
      <x:c r="B3056" s="26" t="n">
        <x:v>42766.24351851852</x:v>
      </x:c>
      <x:c r="C3056" s="27" t="n">
        <x:f>INT(B3056)</x:f>
        <x:v>42766</x:v>
      </x:c>
      <x:c r="D3056" s="28" t="n">
        <x:f>MOD(B3056,1)</x:f>
        <x:v>0.24351851851679385</x:v>
      </x:c>
      <x:c r="E3056" s="29" t="n">
        <x:f>YEAR(B3056)</x:f>
        <x:v>2017</x:v>
      </x:c>
      <x:c r="F3056" s="29" t="n">
        <x:f>MONTH(B3056)</x:f>
        <x:v>1</x:v>
      </x:c>
      <x:c r="G3056" s="30" t="n">
        <x:v>-30.48</x:v>
      </x:c>
      <x:c r="H3056" s="30" t="n">
        <x:v>-71.55</x:v>
      </x:c>
      <x:c r="I3056" s="29" t="n">
        <x:v>62</x:v>
      </x:c>
      <x:c r="J3056" s="31" t="n">
        <x:v>4.2</x:v>
      </x:c>
      <x:c r="K3056" s="25" t="str">
        <x:f>IF(J3056&gt;=7,"Muy fuerte (&gt;=7)",IF(J3056&gt;=6,"Fuerte (6-6.9)",IF(J3056&gt;=5,"Moderado alto (5-5.9)",IF(J3056&gt;=4,"Moderado (4-4.9)","Menor a 4"))))</x:f>
        <x:v>Moderado (4-4.9)</x:v>
      </x:c>
      <x:c r="L3056" s="25" t="str">
        <x:f>IF(I3056&lt;70,"Superficial (&lt;70 km)",IF(I3056&lt;=300,"Intermedio (70-300 km)","Profundo (&gt;300 km)"))</x:f>
        <x:v>Superficial (&lt;70 km)</x:v>
      </x:c>
      <x:c r="M3056" s="25" t="str">
        <x:f>IF(J3056&gt;=5,"Sí","No")</x:f>
        <x:v>No</x:v>
      </x:c>
      <x:c r="N3056" s="25" t="str">
        <x:f>IF(J3056&gt;=6,"Sí","No")</x:f>
        <x:v>No</x:v>
      </x:c>
      <x:c r="O3056" s="25" t="str">
        <x:v>Pendiente: asignar con R/sf</x:v>
      </x:c>
    </x:row>
    <x:row r="3057">
      <x:c r="A3057" s="25" t="n">
        <x:v>3056</x:v>
      </x:c>
      <x:c r="B3057" s="26" t="n">
        <x:v>42782.01342592593</x:v>
      </x:c>
      <x:c r="C3057" s="27" t="n">
        <x:f>INT(B3057)</x:f>
        <x:v>42782</x:v>
      </x:c>
      <x:c r="D3057" s="28" t="n">
        <x:f>MOD(B3057,1)</x:f>
        <x:v>0.013425925928459037</x:v>
      </x:c>
      <x:c r="E3057" s="29" t="n">
        <x:f>YEAR(B3057)</x:f>
        <x:v>2017</x:v>
      </x:c>
      <x:c r="F3057" s="29" t="n">
        <x:f>MONTH(B3057)</x:f>
        <x:v>2</x:v>
      </x:c>
      <x:c r="G3057" s="30" t="n">
        <x:v>-30.05</x:v>
      </x:c>
      <x:c r="H3057" s="30" t="n">
        <x:v>-71.3</x:v>
      </x:c>
      <x:c r="I3057" s="29" t="n">
        <x:v>54</x:v>
      </x:c>
      <x:c r="J3057" s="31" t="n">
        <x:v>4.6</x:v>
      </x:c>
      <x:c r="K3057" s="25" t="str">
        <x:f>IF(J3057&gt;=7,"Muy fuerte (&gt;=7)",IF(J3057&gt;=6,"Fuerte (6-6.9)",IF(J3057&gt;=5,"Moderado alto (5-5.9)",IF(J3057&gt;=4,"Moderado (4-4.9)","Menor a 4"))))</x:f>
        <x:v>Moderado (4-4.9)</x:v>
      </x:c>
      <x:c r="L3057" s="25" t="str">
        <x:f>IF(I3057&lt;70,"Superficial (&lt;70 km)",IF(I3057&lt;=300,"Intermedio (70-300 km)","Profundo (&gt;300 km)"))</x:f>
        <x:v>Superficial (&lt;70 km)</x:v>
      </x:c>
      <x:c r="M3057" s="25" t="str">
        <x:f>IF(J3057&gt;=5,"Sí","No")</x:f>
        <x:v>No</x:v>
      </x:c>
      <x:c r="N3057" s="25" t="str">
        <x:f>IF(J3057&gt;=6,"Sí","No")</x:f>
        <x:v>No</x:v>
      </x:c>
      <x:c r="O3057" s="25" t="str">
        <x:v>Pendiente: asignar con R/sf</x:v>
      </x:c>
    </x:row>
    <x:row r="3058">
      <x:c r="A3058" s="25" t="n">
        <x:v>3057</x:v>
      </x:c>
      <x:c r="B3058" s="26" t="n">
        <x:v>42787.5425</x:v>
      </x:c>
      <x:c r="C3058" s="27" t="n">
        <x:f>INT(B3058)</x:f>
        <x:v>42787</x:v>
      </x:c>
      <x:c r="D3058" s="28" t="n">
        <x:f>MOD(B3058,1)</x:f>
        <x:v>0.5425000000032014</x:v>
      </x:c>
      <x:c r="E3058" s="29" t="n">
        <x:f>YEAR(B3058)</x:f>
        <x:v>2017</x:v>
      </x:c>
      <x:c r="F3058" s="29" t="n">
        <x:f>MONTH(B3058)</x:f>
        <x:v>2</x:v>
      </x:c>
      <x:c r="G3058" s="30" t="n">
        <x:v>-30.83</x:v>
      </x:c>
      <x:c r="H3058" s="30" t="n">
        <x:v>-71.61</x:v>
      </x:c>
      <x:c r="I3058" s="29" t="n">
        <x:v>37</x:v>
      </x:c>
      <x:c r="J3058" s="31" t="n">
        <x:v>4.4</x:v>
      </x:c>
      <x:c r="K3058" s="25" t="str">
        <x:f>IF(J3058&gt;=7,"Muy fuerte (&gt;=7)",IF(J3058&gt;=6,"Fuerte (6-6.9)",IF(J3058&gt;=5,"Moderado alto (5-5.9)",IF(J3058&gt;=4,"Moderado (4-4.9)","Menor a 4"))))</x:f>
        <x:v>Moderado (4-4.9)</x:v>
      </x:c>
      <x:c r="L3058" s="25" t="str">
        <x:f>IF(I3058&lt;70,"Superficial (&lt;70 km)",IF(I3058&lt;=300,"Intermedio (70-300 km)","Profundo (&gt;300 km)"))</x:f>
        <x:v>Superficial (&lt;70 km)</x:v>
      </x:c>
      <x:c r="M3058" s="25" t="str">
        <x:f>IF(J3058&gt;=5,"Sí","No")</x:f>
        <x:v>No</x:v>
      </x:c>
      <x:c r="N3058" s="25" t="str">
        <x:f>IF(J3058&gt;=6,"Sí","No")</x:f>
        <x:v>No</x:v>
      </x:c>
      <x:c r="O3058" s="25" t="str">
        <x:v>Pendiente: asignar con R/sf</x:v>
      </x:c>
    </x:row>
    <x:row r="3059">
      <x:c r="A3059" s="25" t="n">
        <x:v>3058</x:v>
      </x:c>
      <x:c r="B3059" s="26" t="n">
        <x:v>42792.37449074074</x:v>
      </x:c>
      <x:c r="C3059" s="27" t="n">
        <x:f>INT(B3059)</x:f>
        <x:v>42792</x:v>
      </x:c>
      <x:c r="D3059" s="28" t="n">
        <x:f>MOD(B3059,1)</x:f>
        <x:v>0.3744907407381106</x:v>
      </x:c>
      <x:c r="E3059" s="29" t="n">
        <x:f>YEAR(B3059)</x:f>
        <x:v>2017</x:v>
      </x:c>
      <x:c r="F3059" s="29" t="n">
        <x:f>MONTH(B3059)</x:f>
        <x:v>2</x:v>
      </x:c>
      <x:c r="G3059" s="30" t="n">
        <x:v>-28.95</x:v>
      </x:c>
      <x:c r="H3059" s="30" t="n">
        <x:v>-71.3</x:v>
      </x:c>
      <x:c r="I3059" s="29" t="n">
        <x:v>38</x:v>
      </x:c>
      <x:c r="J3059" s="31" t="n">
        <x:v>4.8</x:v>
      </x:c>
      <x:c r="K3059" s="25" t="str">
        <x:f>IF(J3059&gt;=7,"Muy fuerte (&gt;=7)",IF(J3059&gt;=6,"Fuerte (6-6.9)",IF(J3059&gt;=5,"Moderado alto (5-5.9)",IF(J3059&gt;=4,"Moderado (4-4.9)","Menor a 4"))))</x:f>
        <x:v>Moderado (4-4.9)</x:v>
      </x:c>
      <x:c r="L3059" s="25" t="str">
        <x:f>IF(I3059&lt;70,"Superficial (&lt;70 km)",IF(I3059&lt;=300,"Intermedio (70-300 km)","Profundo (&gt;300 km)"))</x:f>
        <x:v>Superficial (&lt;70 km)</x:v>
      </x:c>
      <x:c r="M3059" s="25" t="str">
        <x:f>IF(J3059&gt;=5,"Sí","No")</x:f>
        <x:v>No</x:v>
      </x:c>
      <x:c r="N3059" s="25" t="str">
        <x:f>IF(J3059&gt;=6,"Sí","No")</x:f>
        <x:v>No</x:v>
      </x:c>
      <x:c r="O3059" s="25" t="str">
        <x:v>Pendiente: asignar con R/sf</x:v>
      </x:c>
    </x:row>
    <x:row r="3060">
      <x:c r="A3060" s="25" t="n">
        <x:v>3059</x:v>
      </x:c>
      <x:c r="B3060" s="26" t="n">
        <x:v>42807.629108796296</x:v>
      </x:c>
      <x:c r="C3060" s="27" t="n">
        <x:f>INT(B3060)</x:f>
        <x:v>42807</x:v>
      </x:c>
      <x:c r="D3060" s="28" t="n">
        <x:f>MOD(B3060,1)</x:f>
        <x:v>0.6291087962963502</x:v>
      </x:c>
      <x:c r="E3060" s="29" t="n">
        <x:f>YEAR(B3060)</x:f>
        <x:v>2017</x:v>
      </x:c>
      <x:c r="F3060" s="29" t="n">
        <x:f>MONTH(B3060)</x:f>
        <x:v>3</x:v>
      </x:c>
      <x:c r="G3060" s="30" t="n">
        <x:v>-30.44</x:v>
      </x:c>
      <x:c r="H3060" s="30" t="n">
        <x:v>-71.33</x:v>
      </x:c>
      <x:c r="I3060" s="29" t="n">
        <x:v>51</x:v>
      </x:c>
      <x:c r="J3060" s="31" t="n">
        <x:v>5.3</x:v>
      </x:c>
      <x:c r="K3060" s="25" t="str">
        <x:f>IF(J3060&gt;=7,"Muy fuerte (&gt;=7)",IF(J3060&gt;=6,"Fuerte (6-6.9)",IF(J3060&gt;=5,"Moderado alto (5-5.9)",IF(J3060&gt;=4,"Moderado (4-4.9)","Menor a 4"))))</x:f>
        <x:v>Moderado alto (5-5.9)</x:v>
      </x:c>
      <x:c r="L3060" s="25" t="str">
        <x:f>IF(I3060&lt;70,"Superficial (&lt;70 km)",IF(I3060&lt;=300,"Intermedio (70-300 km)","Profundo (&gt;300 km)"))</x:f>
        <x:v>Superficial (&lt;70 km)</x:v>
      </x:c>
      <x:c r="M3060" s="25" t="str">
        <x:f>IF(J3060&gt;=5,"Sí","No")</x:f>
        <x:v>Sí</x:v>
      </x:c>
      <x:c r="N3060" s="25" t="str">
        <x:f>IF(J3060&gt;=6,"Sí","No")</x:f>
        <x:v>No</x:v>
      </x:c>
      <x:c r="O3060" s="25" t="str">
        <x:v>Pendiente: asignar con R/sf</x:v>
      </x:c>
    </x:row>
    <x:row r="3061">
      <x:c r="A3061" s="25" t="n">
        <x:v>3060</x:v>
      </x:c>
      <x:c r="B3061" s="26" t="n">
        <x:v>42811.335381944446</x:v>
      </x:c>
      <x:c r="C3061" s="27" t="n">
        <x:f>INT(B3061)</x:f>
        <x:v>42811</x:v>
      </x:c>
      <x:c r="D3061" s="28" t="n">
        <x:f>MOD(B3061,1)</x:f>
        <x:v>0.3353819444455439</x:v>
      </x:c>
      <x:c r="E3061" s="29" t="n">
        <x:f>YEAR(B3061)</x:f>
        <x:v>2017</x:v>
      </x:c>
      <x:c r="F3061" s="29" t="n">
        <x:f>MONTH(B3061)</x:f>
        <x:v>3</x:v>
      </x:c>
      <x:c r="G3061" s="30" t="n">
        <x:v>-32.46</x:v>
      </x:c>
      <x:c r="H3061" s="30" t="n">
        <x:v>-71.67</x:v>
      </x:c>
      <x:c r="I3061" s="29" t="n">
        <x:v>34</x:v>
      </x:c>
      <x:c r="J3061" s="31" t="n">
        <x:v>5</x:v>
      </x:c>
      <x:c r="K3061" s="25" t="str">
        <x:f>IF(J3061&gt;=7,"Muy fuerte (&gt;=7)",IF(J3061&gt;=6,"Fuerte (6-6.9)",IF(J3061&gt;=5,"Moderado alto (5-5.9)",IF(J3061&gt;=4,"Moderado (4-4.9)","Menor a 4"))))</x:f>
        <x:v>Moderado alto (5-5.9)</x:v>
      </x:c>
      <x:c r="L3061" s="25" t="str">
        <x:f>IF(I3061&lt;70,"Superficial (&lt;70 km)",IF(I3061&lt;=300,"Intermedio (70-300 km)","Profundo (&gt;300 km)"))</x:f>
        <x:v>Superficial (&lt;70 km)</x:v>
      </x:c>
      <x:c r="M3061" s="25" t="str">
        <x:f>IF(J3061&gt;=5,"Sí","No")</x:f>
        <x:v>Sí</x:v>
      </x:c>
      <x:c r="N3061" s="25" t="str">
        <x:f>IF(J3061&gt;=6,"Sí","No")</x:f>
        <x:v>No</x:v>
      </x:c>
      <x:c r="O3061" s="25" t="str">
        <x:v>Pendiente: asignar con R/sf</x:v>
      </x:c>
    </x:row>
    <x:row r="3062">
      <x:c r="A3062" s="25" t="n">
        <x:v>3061</x:v>
      </x:c>
      <x:c r="B3062" s="26" t="n">
        <x:v>42814.027349537035</x:v>
      </x:c>
      <x:c r="C3062" s="27" t="n">
        <x:f>INT(B3062)</x:f>
        <x:v>42814</x:v>
      </x:c>
      <x:c r="D3062" s="28" t="n">
        <x:f>MOD(B3062,1)</x:f>
        <x:v>0.027349537034751847</x:v>
      </x:c>
      <x:c r="E3062" s="29" t="n">
        <x:f>YEAR(B3062)</x:f>
        <x:v>2017</x:v>
      </x:c>
      <x:c r="F3062" s="29" t="n">
        <x:f>MONTH(B3062)</x:f>
        <x:v>3</x:v>
      </x:c>
      <x:c r="G3062" s="30" t="n">
        <x:v>-28.8</x:v>
      </x:c>
      <x:c r="H3062" s="30" t="n">
        <x:v>-70.88</x:v>
      </x:c>
      <x:c r="I3062" s="29" t="n">
        <x:v>74</x:v>
      </x:c>
      <x:c r="J3062" s="31" t="n">
        <x:v>4.4</x:v>
      </x:c>
      <x:c r="K3062" s="25" t="str">
        <x:f>IF(J3062&gt;=7,"Muy fuerte (&gt;=7)",IF(J3062&gt;=6,"Fuerte (6-6.9)",IF(J3062&gt;=5,"Moderado alto (5-5.9)",IF(J3062&gt;=4,"Moderado (4-4.9)","Menor a 4"))))</x:f>
        <x:v>Moderado (4-4.9)</x:v>
      </x:c>
      <x:c r="L3062" s="25" t="str">
        <x:f>IF(I3062&lt;70,"Superficial (&lt;70 km)",IF(I3062&lt;=300,"Intermedio (70-300 km)","Profundo (&gt;300 km)"))</x:f>
        <x:v>Intermedio (70-300 km)</x:v>
      </x:c>
      <x:c r="M3062" s="25" t="str">
        <x:f>IF(J3062&gt;=5,"Sí","No")</x:f>
        <x:v>No</x:v>
      </x:c>
      <x:c r="N3062" s="25" t="str">
        <x:f>IF(J3062&gt;=6,"Sí","No")</x:f>
        <x:v>No</x:v>
      </x:c>
      <x:c r="O3062" s="25" t="str">
        <x:v>Pendiente: asignar con R/sf</x:v>
      </x:c>
    </x:row>
    <x:row r="3063">
      <x:c r="A3063" s="25" t="n">
        <x:v>3062</x:v>
      </x:c>
      <x:c r="B3063" s="26" t="n">
        <x:v>42825.781006944446</x:v>
      </x:c>
      <x:c r="C3063" s="27" t="n">
        <x:f>INT(B3063)</x:f>
        <x:v>42825</x:v>
      </x:c>
      <x:c r="D3063" s="28" t="n">
        <x:f>MOD(B3063,1)</x:f>
        <x:v>0.781006944445835</x:v>
      </x:c>
      <x:c r="E3063" s="29" t="n">
        <x:f>YEAR(B3063)</x:f>
        <x:v>2017</x:v>
      </x:c>
      <x:c r="F3063" s="29" t="n">
        <x:f>MONTH(B3063)</x:f>
        <x:v>3</x:v>
      </x:c>
      <x:c r="G3063" s="30" t="n">
        <x:v>-30.74</x:v>
      </x:c>
      <x:c r="H3063" s="30" t="n">
        <x:v>-71.35</x:v>
      </x:c>
      <x:c r="I3063" s="29" t="n">
        <x:v>40</x:v>
      </x:c>
      <x:c r="J3063" s="31" t="n">
        <x:v>5</x:v>
      </x:c>
      <x:c r="K3063" s="25" t="str">
        <x:f>IF(J3063&gt;=7,"Muy fuerte (&gt;=7)",IF(J3063&gt;=6,"Fuerte (6-6.9)",IF(J3063&gt;=5,"Moderado alto (5-5.9)",IF(J3063&gt;=4,"Moderado (4-4.9)","Menor a 4"))))</x:f>
        <x:v>Moderado alto (5-5.9)</x:v>
      </x:c>
      <x:c r="L3063" s="25" t="str">
        <x:f>IF(I3063&lt;70,"Superficial (&lt;70 km)",IF(I3063&lt;=300,"Intermedio (70-300 km)","Profundo (&gt;300 km)"))</x:f>
        <x:v>Superficial (&lt;70 km)</x:v>
      </x:c>
      <x:c r="M3063" s="25" t="str">
        <x:f>IF(J3063&gt;=5,"Sí","No")</x:f>
        <x:v>Sí</x:v>
      </x:c>
      <x:c r="N3063" s="25" t="str">
        <x:f>IF(J3063&gt;=6,"Sí","No")</x:f>
        <x:v>No</x:v>
      </x:c>
      <x:c r="O3063" s="25" t="str">
        <x:v>Pendiente: asignar con R/sf</x:v>
      </x:c>
    </x:row>
    <x:row r="3064">
      <x:c r="A3064" s="25" t="n">
        <x:v>3063</x:v>
      </x:c>
      <x:c r="B3064" s="26" t="n">
        <x:v>42828.289560185185</x:v>
      </x:c>
      <x:c r="C3064" s="27" t="n">
        <x:f>INT(B3064)</x:f>
        <x:v>42828</x:v>
      </x:c>
      <x:c r="D3064" s="28" t="n">
        <x:f>MOD(B3064,1)</x:f>
        <x:v>0.28956018518510973</x:v>
      </x:c>
      <x:c r="E3064" s="29" t="n">
        <x:f>YEAR(B3064)</x:f>
        <x:v>2017</x:v>
      </x:c>
      <x:c r="F3064" s="29" t="n">
        <x:f>MONTH(B3064)</x:f>
        <x:v>4</x:v>
      </x:c>
      <x:c r="G3064" s="30" t="n">
        <x:v>-30.64</x:v>
      </x:c>
      <x:c r="H3064" s="30" t="n">
        <x:v>-70.98</x:v>
      </x:c>
      <x:c r="I3064" s="29" t="n">
        <x:v>81</x:v>
      </x:c>
      <x:c r="J3064" s="31" t="n">
        <x:v>4.4</x:v>
      </x:c>
      <x:c r="K3064" s="25" t="str">
        <x:f>IF(J3064&gt;=7,"Muy fuerte (&gt;=7)",IF(J3064&gt;=6,"Fuerte (6-6.9)",IF(J3064&gt;=5,"Moderado alto (5-5.9)",IF(J3064&gt;=4,"Moderado (4-4.9)","Menor a 4"))))</x:f>
        <x:v>Moderado (4-4.9)</x:v>
      </x:c>
      <x:c r="L3064" s="25" t="str">
        <x:f>IF(I3064&lt;70,"Superficial (&lt;70 km)",IF(I3064&lt;=300,"Intermedio (70-300 km)","Profundo (&gt;300 km)"))</x:f>
        <x:v>Intermedio (70-300 km)</x:v>
      </x:c>
      <x:c r="M3064" s="25" t="str">
        <x:f>IF(J3064&gt;=5,"Sí","No")</x:f>
        <x:v>No</x:v>
      </x:c>
      <x:c r="N3064" s="25" t="str">
        <x:f>IF(J3064&gt;=6,"Sí","No")</x:f>
        <x:v>No</x:v>
      </x:c>
      <x:c r="O3064" s="25" t="str">
        <x:v>Pendiente: asignar con R/sf</x:v>
      </x:c>
    </x:row>
    <x:row r="3065">
      <x:c r="A3065" s="25" t="n">
        <x:v>3064</x:v>
      </x:c>
      <x:c r="B3065" s="26" t="n">
        <x:v>42833.6521875</x:v>
      </x:c>
      <x:c r="C3065" s="27" t="n">
        <x:f>INT(B3065)</x:f>
        <x:v>42833</x:v>
      </x:c>
      <x:c r="D3065" s="28" t="n">
        <x:f>MOD(B3065,1)</x:f>
        <x:v>0.6521875000034925</x:v>
      </x:c>
      <x:c r="E3065" s="29" t="n">
        <x:f>YEAR(B3065)</x:f>
        <x:v>2017</x:v>
      </x:c>
      <x:c r="F3065" s="29" t="n">
        <x:f>MONTH(B3065)</x:f>
        <x:v>4</x:v>
      </x:c>
      <x:c r="G3065" s="30" t="n">
        <x:v>-25.85</x:v>
      </x:c>
      <x:c r="H3065" s="30" t="n">
        <x:v>-70.94</x:v>
      </x:c>
      <x:c r="I3065" s="29" t="n">
        <x:v>38</x:v>
      </x:c>
      <x:c r="J3065" s="31" t="n">
        <x:v>4.5</x:v>
      </x:c>
      <x:c r="K3065" s="25" t="str">
        <x:f>IF(J3065&gt;=7,"Muy fuerte (&gt;=7)",IF(J3065&gt;=6,"Fuerte (6-6.9)",IF(J3065&gt;=5,"Moderado alto (5-5.9)",IF(J3065&gt;=4,"Moderado (4-4.9)","Menor a 4"))))</x:f>
        <x:v>Moderado (4-4.9)</x:v>
      </x:c>
      <x:c r="L3065" s="25" t="str">
        <x:f>IF(I3065&lt;70,"Superficial (&lt;70 km)",IF(I3065&lt;=300,"Intermedio (70-300 km)","Profundo (&gt;300 km)"))</x:f>
        <x:v>Superficial (&lt;70 km)</x:v>
      </x:c>
      <x:c r="M3065" s="25" t="str">
        <x:f>IF(J3065&gt;=5,"Sí","No")</x:f>
        <x:v>No</x:v>
      </x:c>
      <x:c r="N3065" s="25" t="str">
        <x:f>IF(J3065&gt;=6,"Sí","No")</x:f>
        <x:v>No</x:v>
      </x:c>
      <x:c r="O3065" s="25" t="str">
        <x:v>Pendiente: asignar con R/sf</x:v>
      </x:c>
    </x:row>
    <x:row r="3066">
      <x:c r="A3066" s="25" t="n">
        <x:v>3065</x:v>
      </x:c>
      <x:c r="B3066" s="26" t="n">
        <x:v>42836.569247685184</x:v>
      </x:c>
      <x:c r="C3066" s="27" t="n">
        <x:f>INT(B3066)</x:f>
        <x:v>42836</x:v>
      </x:c>
      <x:c r="D3066" s="28" t="n">
        <x:f>MOD(B3066,1)</x:f>
        <x:v>0.5692476851836545</x:v>
      </x:c>
      <x:c r="E3066" s="29" t="n">
        <x:f>YEAR(B3066)</x:f>
        <x:v>2017</x:v>
      </x:c>
      <x:c r="F3066" s="29" t="n">
        <x:f>MONTH(B3066)</x:f>
        <x:v>4</x:v>
      </x:c>
      <x:c r="G3066" s="30" t="n">
        <x:v>-27.64</x:v>
      </x:c>
      <x:c r="H3066" s="30" t="n">
        <x:v>-70.05</x:v>
      </x:c>
      <x:c r="I3066" s="29" t="n">
        <x:v>82</x:v>
      </x:c>
      <x:c r="J3066" s="31" t="n">
        <x:v>5.3</x:v>
      </x:c>
      <x:c r="K3066" s="25" t="str">
        <x:f>IF(J3066&gt;=7,"Muy fuerte (&gt;=7)",IF(J3066&gt;=6,"Fuerte (6-6.9)",IF(J3066&gt;=5,"Moderado alto (5-5.9)",IF(J3066&gt;=4,"Moderado (4-4.9)","Menor a 4"))))</x:f>
        <x:v>Moderado alto (5-5.9)</x:v>
      </x:c>
      <x:c r="L3066" s="25" t="str">
        <x:f>IF(I3066&lt;70,"Superficial (&lt;70 km)",IF(I3066&lt;=300,"Intermedio (70-300 km)","Profundo (&gt;300 km)"))</x:f>
        <x:v>Intermedio (70-300 km)</x:v>
      </x:c>
      <x:c r="M3066" s="25" t="str">
        <x:f>IF(J3066&gt;=5,"Sí","No")</x:f>
        <x:v>Sí</x:v>
      </x:c>
      <x:c r="N3066" s="25" t="str">
        <x:f>IF(J3066&gt;=6,"Sí","No")</x:f>
        <x:v>No</x:v>
      </x:c>
      <x:c r="O3066" s="25" t="str">
        <x:v>Pendiente: asignar con R/sf</x:v>
      </x:c>
    </x:row>
    <x:row r="3067">
      <x:c r="A3067" s="25" t="n">
        <x:v>3066</x:v>
      </x:c>
      <x:c r="B3067" s="26" t="n">
        <x:v>42838.154756944445</x:v>
      </x:c>
      <x:c r="C3067" s="27" t="n">
        <x:f>INT(B3067)</x:f>
        <x:v>42838</x:v>
      </x:c>
      <x:c r="D3067" s="28" t="n">
        <x:f>MOD(B3067,1)</x:f>
        <x:v>0.1547569444446708</x:v>
      </x:c>
      <x:c r="E3067" s="29" t="n">
        <x:f>YEAR(B3067)</x:f>
        <x:v>2017</x:v>
      </x:c>
      <x:c r="F3067" s="29" t="n">
        <x:f>MONTH(B3067)</x:f>
        <x:v>4</x:v>
      </x:c>
      <x:c r="G3067" s="30" t="n">
        <x:v>-30.97</x:v>
      </x:c>
      <x:c r="H3067" s="30" t="n">
        <x:v>-71.42</x:v>
      </x:c>
      <x:c r="I3067" s="29" t="n">
        <x:v>48</x:v>
      </x:c>
      <x:c r="J3067" s="31" t="n">
        <x:v>5.3</x:v>
      </x:c>
      <x:c r="K3067" s="25" t="str">
        <x:f>IF(J3067&gt;=7,"Muy fuerte (&gt;=7)",IF(J3067&gt;=6,"Fuerte (6-6.9)",IF(J3067&gt;=5,"Moderado alto (5-5.9)",IF(J3067&gt;=4,"Moderado (4-4.9)","Menor a 4"))))</x:f>
        <x:v>Moderado alto (5-5.9)</x:v>
      </x:c>
      <x:c r="L3067" s="25" t="str">
        <x:f>IF(I3067&lt;70,"Superficial (&lt;70 km)",IF(I3067&lt;=300,"Intermedio (70-300 km)","Profundo (&gt;300 km)"))</x:f>
        <x:v>Superficial (&lt;70 km)</x:v>
      </x:c>
      <x:c r="M3067" s="25" t="str">
        <x:f>IF(J3067&gt;=5,"Sí","No")</x:f>
        <x:v>Sí</x:v>
      </x:c>
      <x:c r="N3067" s="25" t="str">
        <x:f>IF(J3067&gt;=6,"Sí","No")</x:f>
        <x:v>No</x:v>
      </x:c>
      <x:c r="O3067" s="25" t="str">
        <x:v>Pendiente: asignar con R/sf</x:v>
      </x:c>
    </x:row>
    <x:row r="3068">
      <x:c r="A3068" s="25" t="n">
        <x:v>3067</x:v>
      </x:c>
      <x:c r="B3068" s="26" t="n">
        <x:v>42840.07665509259</x:v>
      </x:c>
      <x:c r="C3068" s="27" t="n">
        <x:f>INT(B3068)</x:f>
        <x:v>42840</x:v>
      </x:c>
      <x:c r="D3068" s="28" t="n">
        <x:f>MOD(B3068,1)</x:f>
        <x:v>0.07665509259095415</x:v>
      </x:c>
      <x:c r="E3068" s="29" t="n">
        <x:f>YEAR(B3068)</x:f>
        <x:v>2017</x:v>
      </x:c>
      <x:c r="F3068" s="29" t="n">
        <x:f>MONTH(B3068)</x:f>
        <x:v>4</x:v>
      </x:c>
      <x:c r="G3068" s="30" t="n">
        <x:v>-32.04</x:v>
      </x:c>
      <x:c r="H3068" s="30" t="n">
        <x:v>-70.99</x:v>
      </x:c>
      <x:c r="I3068" s="29" t="n">
        <x:v>96</x:v>
      </x:c>
      <x:c r="J3068" s="31" t="n">
        <x:v>4.2</x:v>
      </x:c>
      <x:c r="K3068" s="25" t="str">
        <x:f>IF(J3068&gt;=7,"Muy fuerte (&gt;=7)",IF(J3068&gt;=6,"Fuerte (6-6.9)",IF(J3068&gt;=5,"Moderado alto (5-5.9)",IF(J3068&gt;=4,"Moderado (4-4.9)","Menor a 4"))))</x:f>
        <x:v>Moderado (4-4.9)</x:v>
      </x:c>
      <x:c r="L3068" s="25" t="str">
        <x:f>IF(I3068&lt;70,"Superficial (&lt;70 km)",IF(I3068&lt;=300,"Intermedio (70-300 km)","Profundo (&gt;300 km)"))</x:f>
        <x:v>Intermedio (70-300 km)</x:v>
      </x:c>
      <x:c r="M3068" s="25" t="str">
        <x:f>IF(J3068&gt;=5,"Sí","No")</x:f>
        <x:v>No</x:v>
      </x:c>
      <x:c r="N3068" s="25" t="str">
        <x:f>IF(J3068&gt;=6,"Sí","No")</x:f>
        <x:v>No</x:v>
      </x:c>
      <x:c r="O3068" s="25" t="str">
        <x:v>Pendiente: asignar con R/sf</x:v>
      </x:c>
    </x:row>
    <x:row r="3069">
      <x:c r="A3069" s="25" t="n">
        <x:v>3068</x:v>
      </x:c>
      <x:c r="B3069" s="26" t="n">
        <x:v>42843.52353009259</x:v>
      </x:c>
      <x:c r="C3069" s="27" t="n">
        <x:f>INT(B3069)</x:f>
        <x:v>42843</x:v>
      </x:c>
      <x:c r="D3069" s="28" t="n">
        <x:f>MOD(B3069,1)</x:f>
        <x:v>0.5235300925924093</x:v>
      </x:c>
      <x:c r="E3069" s="29" t="n">
        <x:f>YEAR(B3069)</x:f>
        <x:v>2017</x:v>
      </x:c>
      <x:c r="F3069" s="29" t="n">
        <x:f>MONTH(B3069)</x:f>
        <x:v>4</x:v>
      </x:c>
      <x:c r="G3069" s="30" t="n">
        <x:v>-31.86</x:v>
      </x:c>
      <x:c r="H3069" s="30" t="n">
        <x:v>-71.22</x:v>
      </x:c>
      <x:c r="I3069" s="29" t="n">
        <x:v>55</x:v>
      </x:c>
      <x:c r="J3069" s="31" t="n">
        <x:v>4.4</x:v>
      </x:c>
      <x:c r="K3069" s="25" t="str">
        <x:f>IF(J3069&gt;=7,"Muy fuerte (&gt;=7)",IF(J3069&gt;=6,"Fuerte (6-6.9)",IF(J3069&gt;=5,"Moderado alto (5-5.9)",IF(J3069&gt;=4,"Moderado (4-4.9)","Menor a 4"))))</x:f>
        <x:v>Moderado (4-4.9)</x:v>
      </x:c>
      <x:c r="L3069" s="25" t="str">
        <x:f>IF(I3069&lt;70,"Superficial (&lt;70 km)",IF(I3069&lt;=300,"Intermedio (70-300 km)","Profundo (&gt;300 km)"))</x:f>
        <x:v>Superficial (&lt;70 km)</x:v>
      </x:c>
      <x:c r="M3069" s="25" t="str">
        <x:f>IF(J3069&gt;=5,"Sí","No")</x:f>
        <x:v>No</x:v>
      </x:c>
      <x:c r="N3069" s="25" t="str">
        <x:f>IF(J3069&gt;=6,"Sí","No")</x:f>
        <x:v>No</x:v>
      </x:c>
      <x:c r="O3069" s="25" t="str">
        <x:v>Pendiente: asignar con R/sf</x:v>
      </x:c>
    </x:row>
    <x:row r="3070">
      <x:c r="A3070" s="25" t="n">
        <x:v>3069</x:v>
      </x:c>
      <x:c r="B3070" s="26" t="n">
        <x:v>42848.108402777776</x:v>
      </x:c>
      <x:c r="C3070" s="27" t="n">
        <x:f>INT(B3070)</x:f>
        <x:v>42848</x:v>
      </x:c>
      <x:c r="D3070" s="28" t="n">
        <x:f>MOD(B3070,1)</x:f>
        <x:v>0.10840277777606389</x:v>
      </x:c>
      <x:c r="E3070" s="29" t="n">
        <x:f>YEAR(B3070)</x:f>
        <x:v>2017</x:v>
      </x:c>
      <x:c r="F3070" s="29" t="n">
        <x:f>MONTH(B3070)</x:f>
        <x:v>4</x:v>
      </x:c>
      <x:c r="G3070" s="30" t="n">
        <x:v>-33.02</x:v>
      </x:c>
      <x:c r="H3070" s="30" t="n">
        <x:v>-72.12</x:v>
      </x:c>
      <x:c r="I3070" s="29" t="n">
        <x:v>24</x:v>
      </x:c>
      <x:c r="J3070" s="31" t="n">
        <x:v>6</x:v>
      </x:c>
      <x:c r="K3070" s="25" t="str">
        <x:f>IF(J3070&gt;=7,"Muy fuerte (&gt;=7)",IF(J3070&gt;=6,"Fuerte (6-6.9)",IF(J3070&gt;=5,"Moderado alto (5-5.9)",IF(J3070&gt;=4,"Moderado (4-4.9)","Menor a 4"))))</x:f>
        <x:v>Fuerte (6-6.9)</x:v>
      </x:c>
      <x:c r="L3070" s="25" t="str">
        <x:f>IF(I3070&lt;70,"Superficial (&lt;70 km)",IF(I3070&lt;=300,"Intermedio (70-300 km)","Profundo (&gt;300 km)"))</x:f>
        <x:v>Superficial (&lt;70 km)</x:v>
      </x:c>
      <x:c r="M3070" s="25" t="str">
        <x:f>IF(J3070&gt;=5,"Sí","No")</x:f>
        <x:v>Sí</x:v>
      </x:c>
      <x:c r="N3070" s="25" t="str">
        <x:f>IF(J3070&gt;=6,"Sí","No")</x:f>
        <x:v>Sí</x:v>
      </x:c>
      <x:c r="O3070" s="25" t="str">
        <x:v>Pendiente: asignar con R/sf</x:v>
      </x:c>
    </x:row>
    <x:row r="3071">
      <x:c r="A3071" s="25" t="n">
        <x:v>3070</x:v>
      </x:c>
      <x:c r="B3071" s="26" t="n">
        <x:v>42848.819560185184</x:v>
      </x:c>
      <x:c r="C3071" s="27" t="n">
        <x:f>INT(B3071)</x:f>
        <x:v>42848</x:v>
      </x:c>
      <x:c r="D3071" s="28" t="n">
        <x:f>MOD(B3071,1)</x:f>
        <x:v>0.8195601851839456</x:v>
      </x:c>
      <x:c r="E3071" s="29" t="n">
        <x:f>YEAR(B3071)</x:f>
        <x:v>2017</x:v>
      </x:c>
      <x:c r="F3071" s="29" t="n">
        <x:f>MONTH(B3071)</x:f>
        <x:v>4</x:v>
      </x:c>
      <x:c r="G3071" s="30" t="n">
        <x:v>-33.05</x:v>
      </x:c>
      <x:c r="H3071" s="30" t="n">
        <x:v>-72.16</x:v>
      </x:c>
      <x:c r="I3071" s="29" t="n">
        <x:v>17</x:v>
      </x:c>
      <x:c r="J3071" s="31" t="n">
        <x:v>5.4</x:v>
      </x:c>
      <x:c r="K3071" s="25" t="str">
        <x:f>IF(J3071&gt;=7,"Muy fuerte (&gt;=7)",IF(J3071&gt;=6,"Fuerte (6-6.9)",IF(J3071&gt;=5,"Moderado alto (5-5.9)",IF(J3071&gt;=4,"Moderado (4-4.9)","Menor a 4"))))</x:f>
        <x:v>Moderado alto (5-5.9)</x:v>
      </x:c>
      <x:c r="L3071" s="25" t="str">
        <x:f>IF(I3071&lt;70,"Superficial (&lt;70 km)",IF(I3071&lt;=300,"Intermedio (70-300 km)","Profundo (&gt;300 km)"))</x:f>
        <x:v>Superficial (&lt;70 km)</x:v>
      </x:c>
      <x:c r="M3071" s="25" t="str">
        <x:f>IF(J3071&gt;=5,"Sí","No")</x:f>
        <x:v>Sí</x:v>
      </x:c>
      <x:c r="N3071" s="25" t="str">
        <x:f>IF(J3071&gt;=6,"Sí","No")</x:f>
        <x:v>No</x:v>
      </x:c>
      <x:c r="O3071" s="25" t="str">
        <x:v>Pendiente: asignar con R/sf</x:v>
      </x:c>
    </x:row>
    <x:row r="3072">
      <x:c r="A3072" s="25" t="n">
        <x:v>3071</x:v>
      </x:c>
      <x:c r="B3072" s="26" t="n">
        <x:v>42849.901712962965</x:v>
      </x:c>
      <x:c r="C3072" s="27" t="n">
        <x:f>INT(B3072)</x:f>
        <x:v>42849</x:v>
      </x:c>
      <x:c r="D3072" s="28" t="n">
        <x:f>MOD(B3072,1)</x:f>
        <x:v>0.9017129629646661</x:v>
      </x:c>
      <x:c r="E3072" s="29" t="n">
        <x:f>YEAR(B3072)</x:f>
        <x:v>2017</x:v>
      </x:c>
      <x:c r="F3072" s="29" t="n">
        <x:f>MONTH(B3072)</x:f>
        <x:v>4</x:v>
      </x:c>
      <x:c r="G3072" s="30" t="n">
        <x:v>-33.09</x:v>
      </x:c>
      <x:c r="H3072" s="30" t="n">
        <x:v>-72.09</x:v>
      </x:c>
      <x:c r="I3072" s="29" t="n">
        <x:v>25</x:v>
      </x:c>
      <x:c r="J3072" s="31" t="n">
        <x:v>6.9</x:v>
      </x:c>
      <x:c r="K3072" s="25" t="str">
        <x:f>IF(J3072&gt;=7,"Muy fuerte (&gt;=7)",IF(J3072&gt;=6,"Fuerte (6-6.9)",IF(J3072&gt;=5,"Moderado alto (5-5.9)",IF(J3072&gt;=4,"Moderado (4-4.9)","Menor a 4"))))</x:f>
        <x:v>Fuerte (6-6.9)</x:v>
      </x:c>
      <x:c r="L3072" s="25" t="str">
        <x:f>IF(I3072&lt;70,"Superficial (&lt;70 km)",IF(I3072&lt;=300,"Intermedio (70-300 km)","Profundo (&gt;300 km)"))</x:f>
        <x:v>Superficial (&lt;70 km)</x:v>
      </x:c>
      <x:c r="M3072" s="25" t="str">
        <x:f>IF(J3072&gt;=5,"Sí","No")</x:f>
        <x:v>Sí</x:v>
      </x:c>
      <x:c r="N3072" s="25" t="str">
        <x:f>IF(J3072&gt;=6,"Sí","No")</x:f>
        <x:v>Sí</x:v>
      </x:c>
      <x:c r="O3072" s="25" t="str">
        <x:v>Pendiente: asignar con R/sf</x:v>
      </x:c>
    </x:row>
    <x:row r="3073">
      <x:c r="A3073" s="25" t="n">
        <x:v>3072</x:v>
      </x:c>
      <x:c r="B3073" s="26" t="n">
        <x:v>42852.204872685186</x:v>
      </x:c>
      <x:c r="C3073" s="27" t="n">
        <x:f>INT(B3073)</x:f>
        <x:v>42852</x:v>
      </x:c>
      <x:c r="D3073" s="28" t="n">
        <x:f>MOD(B3073,1)</x:f>
        <x:v>0.20487268518627388</x:v>
      </x:c>
      <x:c r="E3073" s="29" t="n">
        <x:f>YEAR(B3073)</x:f>
        <x:v>2017</x:v>
      </x:c>
      <x:c r="F3073" s="29" t="n">
        <x:f>MONTH(B3073)</x:f>
        <x:v>4</x:v>
      </x:c>
      <x:c r="G3073" s="30" t="n">
        <x:v>-28.64</x:v>
      </x:c>
      <x:c r="H3073" s="30" t="n">
        <x:v>-70.64</x:v>
      </x:c>
      <x:c r="I3073" s="29" t="n">
        <x:v>71</x:v>
      </x:c>
      <x:c r="J3073" s="31" t="n">
        <x:v>4.3</x:v>
      </x:c>
      <x:c r="K3073" s="25" t="str">
        <x:f>IF(J3073&gt;=7,"Muy fuerte (&gt;=7)",IF(J3073&gt;=6,"Fuerte (6-6.9)",IF(J3073&gt;=5,"Moderado alto (5-5.9)",IF(J3073&gt;=4,"Moderado (4-4.9)","Menor a 4"))))</x:f>
        <x:v>Moderado (4-4.9)</x:v>
      </x:c>
      <x:c r="L3073" s="25" t="str">
        <x:f>IF(I3073&lt;70,"Superficial (&lt;70 km)",IF(I3073&lt;=300,"Intermedio (70-300 km)","Profundo (&gt;300 km)"))</x:f>
        <x:v>Intermedio (70-300 km)</x:v>
      </x:c>
      <x:c r="M3073" s="25" t="str">
        <x:f>IF(J3073&gt;=5,"Sí","No")</x:f>
        <x:v>No</x:v>
      </x:c>
      <x:c r="N3073" s="25" t="str">
        <x:f>IF(J3073&gt;=6,"Sí","No")</x:f>
        <x:v>No</x:v>
      </x:c>
      <x:c r="O3073" s="25" t="str">
        <x:v>Pendiente: asignar con R/sf</x:v>
      </x:c>
    </x:row>
    <x:row r="3074">
      <x:c r="A3074" s="25" t="n">
        <x:v>3073</x:v>
      </x:c>
      <x:c r="B3074" s="26" t="n">
        <x:v>42853.645891203705</x:v>
      </x:c>
      <x:c r="C3074" s="27" t="n">
        <x:f>INT(B3074)</x:f>
        <x:v>42853</x:v>
      </x:c>
      <x:c r="D3074" s="28" t="n">
        <x:f>MOD(B3074,1)</x:f>
        <x:v>0.645891203705105</x:v>
      </x:c>
      <x:c r="E3074" s="29" t="n">
        <x:f>YEAR(B3074)</x:f>
        <x:v>2017</x:v>
      </x:c>
      <x:c r="F3074" s="29" t="n">
        <x:f>MONTH(B3074)</x:f>
        <x:v>4</x:v>
      </x:c>
      <x:c r="G3074" s="30" t="n">
        <x:v>-33.26</x:v>
      </x:c>
      <x:c r="H3074" s="30" t="n">
        <x:v>-72.11</x:v>
      </x:c>
      <x:c r="I3074" s="29" t="n">
        <x:v>23</x:v>
      </x:c>
      <x:c r="J3074" s="31" t="n">
        <x:v>5.5</x:v>
      </x:c>
      <x:c r="K3074" s="25" t="str">
        <x:f>IF(J3074&gt;=7,"Muy fuerte (&gt;=7)",IF(J3074&gt;=6,"Fuerte (6-6.9)",IF(J3074&gt;=5,"Moderado alto (5-5.9)",IF(J3074&gt;=4,"Moderado (4-4.9)","Menor a 4"))))</x:f>
        <x:v>Moderado alto (5-5.9)</x:v>
      </x:c>
      <x:c r="L3074" s="25" t="str">
        <x:f>IF(I3074&lt;70,"Superficial (&lt;70 km)",IF(I3074&lt;=300,"Intermedio (70-300 km)","Profundo (&gt;300 km)"))</x:f>
        <x:v>Superficial (&lt;70 km)</x:v>
      </x:c>
      <x:c r="M3074" s="25" t="str">
        <x:f>IF(J3074&gt;=5,"Sí","No")</x:f>
        <x:v>Sí</x:v>
      </x:c>
      <x:c r="N3074" s="25" t="str">
        <x:f>IF(J3074&gt;=6,"Sí","No")</x:f>
        <x:v>No</x:v>
      </x:c>
      <x:c r="O3074" s="25" t="str">
        <x:v>Pendiente: asignar con R/sf</x:v>
      </x:c>
    </x:row>
    <x:row r="3075">
      <x:c r="A3075" s="25" t="n">
        <x:v>3074</x:v>
      </x:c>
      <x:c r="B3075" s="26" t="n">
        <x:v>42853.670798611114</x:v>
      </x:c>
      <x:c r="C3075" s="27" t="n">
        <x:f>INT(B3075)</x:f>
        <x:v>42853</x:v>
      </x:c>
      <x:c r="D3075" s="28" t="n">
        <x:f>MOD(B3075,1)</x:f>
        <x:v>0.6707986111141508</x:v>
      </x:c>
      <x:c r="E3075" s="29" t="n">
        <x:f>YEAR(B3075)</x:f>
        <x:v>2017</x:v>
      </x:c>
      <x:c r="F3075" s="29" t="n">
        <x:f>MONTH(B3075)</x:f>
        <x:v>4</x:v>
      </x:c>
      <x:c r="G3075" s="30" t="n">
        <x:v>-33.17</x:v>
      </x:c>
      <x:c r="H3075" s="30" t="n">
        <x:v>-71.66</x:v>
      </x:c>
      <x:c r="I3075" s="29" t="n">
        <x:v>26</x:v>
      </x:c>
      <x:c r="J3075" s="31" t="n">
        <x:v>5.8</x:v>
      </x:c>
      <x:c r="K3075" s="25" t="str">
        <x:f>IF(J3075&gt;=7,"Muy fuerte (&gt;=7)",IF(J3075&gt;=6,"Fuerte (6-6.9)",IF(J3075&gt;=5,"Moderado alto (5-5.9)",IF(J3075&gt;=4,"Moderado (4-4.9)","Menor a 4"))))</x:f>
        <x:v>Moderado alto (5-5.9)</x:v>
      </x:c>
      <x:c r="L3075" s="25" t="str">
        <x:f>IF(I3075&lt;70,"Superficial (&lt;70 km)",IF(I3075&lt;=300,"Intermedio (70-300 km)","Profundo (&gt;300 km)"))</x:f>
        <x:v>Superficial (&lt;70 km)</x:v>
      </x:c>
      <x:c r="M3075" s="25" t="str">
        <x:f>IF(J3075&gt;=5,"Sí","No")</x:f>
        <x:v>Sí</x:v>
      </x:c>
      <x:c r="N3075" s="25" t="str">
        <x:f>IF(J3075&gt;=6,"Sí","No")</x:f>
        <x:v>No</x:v>
      </x:c>
      <x:c r="O3075" s="25" t="str">
        <x:v>Pendiente: asignar con R/sf</x:v>
      </x:c>
    </x:row>
    <x:row r="3076">
      <x:c r="A3076" s="25" t="n">
        <x:v>3075</x:v>
      </x:c>
      <x:c r="B3076" s="26" t="n">
        <x:v>42865.34564814815</x:v>
      </x:c>
      <x:c r="C3076" s="27" t="n">
        <x:f>INT(B3076)</x:f>
        <x:v>42865</x:v>
      </x:c>
      <x:c r="D3076" s="28" t="n">
        <x:f>MOD(B3076,1)</x:f>
        <x:v>0.3456481481480296</x:v>
      </x:c>
      <x:c r="E3076" s="29" t="n">
        <x:f>YEAR(B3076)</x:f>
        <x:v>2017</x:v>
      </x:c>
      <x:c r="F3076" s="29" t="n">
        <x:f>MONTH(B3076)</x:f>
        <x:v>5</x:v>
      </x:c>
      <x:c r="G3076" s="30" t="n">
        <x:v>-27.41</x:v>
      </x:c>
      <x:c r="H3076" s="30" t="n">
        <x:v>-69.56</x:v>
      </x:c>
      <x:c r="I3076" s="29" t="n">
        <x:v>113</x:v>
      </x:c>
      <x:c r="J3076" s="31" t="n">
        <x:v>4.2</x:v>
      </x:c>
      <x:c r="K3076" s="25" t="str">
        <x:f>IF(J3076&gt;=7,"Muy fuerte (&gt;=7)",IF(J3076&gt;=6,"Fuerte (6-6.9)",IF(J3076&gt;=5,"Moderado alto (5-5.9)",IF(J3076&gt;=4,"Moderado (4-4.9)","Menor a 4"))))</x:f>
        <x:v>Moderado (4-4.9)</x:v>
      </x:c>
      <x:c r="L3076" s="25" t="str">
        <x:f>IF(I3076&lt;70,"Superficial (&lt;70 km)",IF(I3076&lt;=300,"Intermedio (70-300 km)","Profundo (&gt;300 km)"))</x:f>
        <x:v>Intermedio (70-300 km)</x:v>
      </x:c>
      <x:c r="M3076" s="25" t="str">
        <x:f>IF(J3076&gt;=5,"Sí","No")</x:f>
        <x:v>No</x:v>
      </x:c>
      <x:c r="N3076" s="25" t="str">
        <x:f>IF(J3076&gt;=6,"Sí","No")</x:f>
        <x:v>No</x:v>
      </x:c>
      <x:c r="O3076" s="25" t="str">
        <x:v>Pendiente: asignar con R/sf</x:v>
      </x:c>
    </x:row>
    <x:row r="3077">
      <x:c r="A3077" s="25" t="n">
        <x:v>3076</x:v>
      </x:c>
      <x:c r="B3077" s="26" t="n">
        <x:v>42868.70469907407</x:v>
      </x:c>
      <x:c r="C3077" s="27" t="n">
        <x:f>INT(B3077)</x:f>
        <x:v>42868</x:v>
      </x:c>
      <x:c r="D3077" s="28" t="n">
        <x:f>MOD(B3077,1)</x:f>
        <x:v>0.7046990740709589</x:v>
      </x:c>
      <x:c r="E3077" s="29" t="n">
        <x:f>YEAR(B3077)</x:f>
        <x:v>2017</x:v>
      </x:c>
      <x:c r="F3077" s="29" t="n">
        <x:f>MONTH(B3077)</x:f>
        <x:v>5</x:v>
      </x:c>
      <x:c r="G3077" s="30" t="n">
        <x:v>-32.93</x:v>
      </x:c>
      <x:c r="H3077" s="30" t="n">
        <x:v>-72.04</x:v>
      </x:c>
      <x:c r="I3077" s="29" t="n">
        <x:v>24</x:v>
      </x:c>
      <x:c r="J3077" s="31" t="n">
        <x:v>5.2</x:v>
      </x:c>
      <x:c r="K3077" s="25" t="str">
        <x:f>IF(J3077&gt;=7,"Muy fuerte (&gt;=7)",IF(J3077&gt;=6,"Fuerte (6-6.9)",IF(J3077&gt;=5,"Moderado alto (5-5.9)",IF(J3077&gt;=4,"Moderado (4-4.9)","Menor a 4"))))</x:f>
        <x:v>Moderado alto (5-5.9)</x:v>
      </x:c>
      <x:c r="L3077" s="25" t="str">
        <x:f>IF(I3077&lt;70,"Superficial (&lt;70 km)",IF(I3077&lt;=300,"Intermedio (70-300 km)","Profundo (&gt;300 km)"))</x:f>
        <x:v>Superficial (&lt;70 km)</x:v>
      </x:c>
      <x:c r="M3077" s="25" t="str">
        <x:f>IF(J3077&gt;=5,"Sí","No")</x:f>
        <x:v>Sí</x:v>
      </x:c>
      <x:c r="N3077" s="25" t="str">
        <x:f>IF(J3077&gt;=6,"Sí","No")</x:f>
        <x:v>No</x:v>
      </x:c>
      <x:c r="O3077" s="25" t="str">
        <x:v>Pendiente: asignar con R/sf</x:v>
      </x:c>
    </x:row>
    <x:row r="3078">
      <x:c r="A3078" s="25" t="n">
        <x:v>3077</x:v>
      </x:c>
      <x:c r="B3078" s="26" t="n">
        <x:v>42871.19184027778</x:v>
      </x:c>
      <x:c r="C3078" s="27" t="n">
        <x:f>INT(B3078)</x:f>
        <x:v>42871</x:v>
      </x:c>
      <x:c r="D3078" s="28" t="n">
        <x:f>MOD(B3078,1)</x:f>
        <x:v>0.19184027778101154</x:v>
      </x:c>
      <x:c r="E3078" s="29" t="n">
        <x:f>YEAR(B3078)</x:f>
        <x:v>2017</x:v>
      </x:c>
      <x:c r="F3078" s="29" t="n">
        <x:f>MONTH(B3078)</x:f>
        <x:v>5</x:v>
      </x:c>
      <x:c r="G3078" s="30" t="n">
        <x:v>-32</x:v>
      </x:c>
      <x:c r="H3078" s="30" t="n">
        <x:v>-71.63</x:v>
      </x:c>
      <x:c r="I3078" s="29" t="n">
        <x:v>36</x:v>
      </x:c>
      <x:c r="J3078" s="31" t="n">
        <x:v>4.3</x:v>
      </x:c>
      <x:c r="K3078" s="25" t="str">
        <x:f>IF(J3078&gt;=7,"Muy fuerte (&gt;=7)",IF(J3078&gt;=6,"Fuerte (6-6.9)",IF(J3078&gt;=5,"Moderado alto (5-5.9)",IF(J3078&gt;=4,"Moderado (4-4.9)","Menor a 4"))))</x:f>
        <x:v>Moderado (4-4.9)</x:v>
      </x:c>
      <x:c r="L3078" s="25" t="str">
        <x:f>IF(I3078&lt;70,"Superficial (&lt;70 km)",IF(I3078&lt;=300,"Intermedio (70-300 km)","Profundo (&gt;300 km)"))</x:f>
        <x:v>Superficial (&lt;70 km)</x:v>
      </x:c>
      <x:c r="M3078" s="25" t="str">
        <x:f>IF(J3078&gt;=5,"Sí","No")</x:f>
        <x:v>No</x:v>
      </x:c>
      <x:c r="N3078" s="25" t="str">
        <x:f>IF(J3078&gt;=6,"Sí","No")</x:f>
        <x:v>No</x:v>
      </x:c>
      <x:c r="O3078" s="25" t="str">
        <x:v>Pendiente: asignar con R/sf</x:v>
      </x:c>
    </x:row>
    <x:row r="3079">
      <x:c r="A3079" s="25" t="n">
        <x:v>3078</x:v>
      </x:c>
      <x:c r="B3079" s="26" t="n">
        <x:v>42883.504016203704</x:v>
      </x:c>
      <x:c r="C3079" s="27" t="n">
        <x:f>INT(B3079)</x:f>
        <x:v>42883</x:v>
      </x:c>
      <x:c r="D3079" s="28" t="n">
        <x:f>MOD(B3079,1)</x:f>
        <x:v>0.5040162037039408</x:v>
      </x:c>
      <x:c r="E3079" s="29" t="n">
        <x:f>YEAR(B3079)</x:f>
        <x:v>2017</x:v>
      </x:c>
      <x:c r="F3079" s="29" t="n">
        <x:f>MONTH(B3079)</x:f>
        <x:v>5</x:v>
      </x:c>
      <x:c r="G3079" s="30" t="n">
        <x:v>-30.72</x:v>
      </x:c>
      <x:c r="H3079" s="30" t="n">
        <x:v>-71.39</x:v>
      </x:c>
      <x:c r="I3079" s="29" t="n">
        <x:v>45</x:v>
      </x:c>
      <x:c r="J3079" s="31" t="n">
        <x:v>4.6</x:v>
      </x:c>
      <x:c r="K3079" s="25" t="str">
        <x:f>IF(J3079&gt;=7,"Muy fuerte (&gt;=7)",IF(J3079&gt;=6,"Fuerte (6-6.9)",IF(J3079&gt;=5,"Moderado alto (5-5.9)",IF(J3079&gt;=4,"Moderado (4-4.9)","Menor a 4"))))</x:f>
        <x:v>Moderado (4-4.9)</x:v>
      </x:c>
      <x:c r="L3079" s="25" t="str">
        <x:f>IF(I3079&lt;70,"Superficial (&lt;70 km)",IF(I3079&lt;=300,"Intermedio (70-300 km)","Profundo (&gt;300 km)"))</x:f>
        <x:v>Superficial (&lt;70 km)</x:v>
      </x:c>
      <x:c r="M3079" s="25" t="str">
        <x:f>IF(J3079&gt;=5,"Sí","No")</x:f>
        <x:v>No</x:v>
      </x:c>
      <x:c r="N3079" s="25" t="str">
        <x:f>IF(J3079&gt;=6,"Sí","No")</x:f>
        <x:v>No</x:v>
      </x:c>
      <x:c r="O3079" s="25" t="str">
        <x:v>Pendiente: asignar con R/sf</x:v>
      </x:c>
    </x:row>
    <x:row r="3080">
      <x:c r="A3080" s="25" t="n">
        <x:v>3079</x:v>
      </x:c>
      <x:c r="B3080" s="26" t="n">
        <x:v>42885.62787037037</x:v>
      </x:c>
      <x:c r="C3080" s="27" t="n">
        <x:f>INT(B3080)</x:f>
        <x:v>42885</x:v>
      </x:c>
      <x:c r="D3080" s="28" t="n">
        <x:f>MOD(B3080,1)</x:f>
        <x:v>0.6278703703719657</x:v>
      </x:c>
      <x:c r="E3080" s="29" t="n">
        <x:f>YEAR(B3080)</x:f>
        <x:v>2017</x:v>
      </x:c>
      <x:c r="F3080" s="29" t="n">
        <x:f>MONTH(B3080)</x:f>
        <x:v>5</x:v>
      </x:c>
      <x:c r="G3080" s="30" t="n">
        <x:v>-30.65</x:v>
      </x:c>
      <x:c r="H3080" s="30" t="n">
        <x:v>-71.21</x:v>
      </x:c>
      <x:c r="I3080" s="29" t="n">
        <x:v>58</x:v>
      </x:c>
      <x:c r="J3080" s="31" t="n">
        <x:v>4.1</x:v>
      </x:c>
      <x:c r="K3080" s="25" t="str">
        <x:f>IF(J3080&gt;=7,"Muy fuerte (&gt;=7)",IF(J3080&gt;=6,"Fuerte (6-6.9)",IF(J3080&gt;=5,"Moderado alto (5-5.9)",IF(J3080&gt;=4,"Moderado (4-4.9)","Menor a 4"))))</x:f>
        <x:v>Moderado (4-4.9)</x:v>
      </x:c>
      <x:c r="L3080" s="25" t="str">
        <x:f>IF(I3080&lt;70,"Superficial (&lt;70 km)",IF(I3080&lt;=300,"Intermedio (70-300 km)","Profundo (&gt;300 km)"))</x:f>
        <x:v>Superficial (&lt;70 km)</x:v>
      </x:c>
      <x:c r="M3080" s="25" t="str">
        <x:f>IF(J3080&gt;=5,"Sí","No")</x:f>
        <x:v>No</x:v>
      </x:c>
      <x:c r="N3080" s="25" t="str">
        <x:f>IF(J3080&gt;=6,"Sí","No")</x:f>
        <x:v>No</x:v>
      </x:c>
      <x:c r="O3080" s="25" t="str">
        <x:v>Pendiente: asignar con R/sf</x:v>
      </x:c>
    </x:row>
    <x:row r="3081">
      <x:c r="A3081" s="25" t="n">
        <x:v>3080</x:v>
      </x:c>
      <x:c r="B3081" s="26" t="n">
        <x:v>42890.00518518518</x:v>
      </x:c>
      <x:c r="C3081" s="27" t="n">
        <x:f>INT(B3081)</x:f>
        <x:v>42890</x:v>
      </x:c>
      <x:c r="D3081" s="28" t="n">
        <x:f>MOD(B3081,1)</x:f>
        <x:v>0.005185185182199348</x:v>
      </x:c>
      <x:c r="E3081" s="29" t="n">
        <x:f>YEAR(B3081)</x:f>
        <x:v>2017</x:v>
      </x:c>
      <x:c r="F3081" s="29" t="n">
        <x:f>MONTH(B3081)</x:f>
        <x:v>6</x:v>
      </x:c>
      <x:c r="G3081" s="30" t="n">
        <x:v>-27.84</x:v>
      </x:c>
      <x:c r="H3081" s="30" t="n">
        <x:v>-71.07</x:v>
      </x:c>
      <x:c r="I3081" s="29" t="n">
        <x:v>41</x:v>
      </x:c>
      <x:c r="J3081" s="31" t="n">
        <x:v>4.7</x:v>
      </x:c>
      <x:c r="K3081" s="25" t="str">
        <x:f>IF(J3081&gt;=7,"Muy fuerte (&gt;=7)",IF(J3081&gt;=6,"Fuerte (6-6.9)",IF(J3081&gt;=5,"Moderado alto (5-5.9)",IF(J3081&gt;=4,"Moderado (4-4.9)","Menor a 4"))))</x:f>
        <x:v>Moderado (4-4.9)</x:v>
      </x:c>
      <x:c r="L3081" s="25" t="str">
        <x:f>IF(I3081&lt;70,"Superficial (&lt;70 km)",IF(I3081&lt;=300,"Intermedio (70-300 km)","Profundo (&gt;300 km)"))</x:f>
        <x:v>Superficial (&lt;70 km)</x:v>
      </x:c>
      <x:c r="M3081" s="25" t="str">
        <x:f>IF(J3081&gt;=5,"Sí","No")</x:f>
        <x:v>No</x:v>
      </x:c>
      <x:c r="N3081" s="25" t="str">
        <x:f>IF(J3081&gt;=6,"Sí","No")</x:f>
        <x:v>No</x:v>
      </x:c>
      <x:c r="O3081" s="25" t="str">
        <x:v>Pendiente: asignar con R/sf</x:v>
      </x:c>
    </x:row>
    <x:row r="3082">
      <x:c r="A3082" s="25" t="n">
        <x:v>3081</x:v>
      </x:c>
      <x:c r="B3082" s="26" t="n">
        <x:v>42898.11350694444</x:v>
      </x:c>
      <x:c r="C3082" s="27" t="n">
        <x:f>INT(B3082)</x:f>
        <x:v>42898</x:v>
      </x:c>
      <x:c r="D3082" s="28" t="n">
        <x:f>MOD(B3082,1)</x:f>
        <x:v>0.11350694444263354</x:v>
      </x:c>
      <x:c r="E3082" s="29" t="n">
        <x:f>YEAR(B3082)</x:f>
        <x:v>2017</x:v>
      </x:c>
      <x:c r="F3082" s="29" t="n">
        <x:f>MONTH(B3082)</x:f>
        <x:v>6</x:v>
      </x:c>
      <x:c r="G3082" s="30" t="n">
        <x:v>-31.52</x:v>
      </x:c>
      <x:c r="H3082" s="30" t="n">
        <x:v>-71.67</x:v>
      </x:c>
      <x:c r="I3082" s="29" t="n">
        <x:v>27</x:v>
      </x:c>
      <x:c r="J3082" s="31" t="n">
        <x:v>5.8</x:v>
      </x:c>
      <x:c r="K3082" s="25" t="str">
        <x:f>IF(J3082&gt;=7,"Muy fuerte (&gt;=7)",IF(J3082&gt;=6,"Fuerte (6-6.9)",IF(J3082&gt;=5,"Moderado alto (5-5.9)",IF(J3082&gt;=4,"Moderado (4-4.9)","Menor a 4"))))</x:f>
        <x:v>Moderado alto (5-5.9)</x:v>
      </x:c>
      <x:c r="L3082" s="25" t="str">
        <x:f>IF(I3082&lt;70,"Superficial (&lt;70 km)",IF(I3082&lt;=300,"Intermedio (70-300 km)","Profundo (&gt;300 km)"))</x:f>
        <x:v>Superficial (&lt;70 km)</x:v>
      </x:c>
      <x:c r="M3082" s="25" t="str">
        <x:f>IF(J3082&gt;=5,"Sí","No")</x:f>
        <x:v>Sí</x:v>
      </x:c>
      <x:c r="N3082" s="25" t="str">
        <x:f>IF(J3082&gt;=6,"Sí","No")</x:f>
        <x:v>No</x:v>
      </x:c>
      <x:c r="O3082" s="25" t="str">
        <x:v>Pendiente: asignar con R/sf</x:v>
      </x:c>
    </x:row>
    <x:row r="3083">
      <x:c r="A3083" s="25" t="n">
        <x:v>3082</x:v>
      </x:c>
      <x:c r="B3083" s="26" t="n">
        <x:v>42902.407638888886</x:v>
      </x:c>
      <x:c r="C3083" s="27" t="n">
        <x:f>INT(B3083)</x:f>
        <x:v>42902</x:v>
      </x:c>
      <x:c r="D3083" s="28" t="n">
        <x:f>MOD(B3083,1)</x:f>
        <x:v>0.4076388888861402</x:v>
      </x:c>
      <x:c r="E3083" s="29" t="n">
        <x:f>YEAR(B3083)</x:f>
        <x:v>2017</x:v>
      </x:c>
      <x:c r="F3083" s="29" t="n">
        <x:f>MONTH(B3083)</x:f>
        <x:v>6</x:v>
      </x:c>
      <x:c r="G3083" s="30" t="n">
        <x:v>-30.95</x:v>
      </x:c>
      <x:c r="H3083" s="30" t="n">
        <x:v>-70.98</x:v>
      </x:c>
      <x:c r="I3083" s="29" t="n">
        <x:v>85</x:v>
      </x:c>
      <x:c r="J3083" s="31" t="n">
        <x:v>4.6</x:v>
      </x:c>
      <x:c r="K3083" s="25" t="str">
        <x:f>IF(J3083&gt;=7,"Muy fuerte (&gt;=7)",IF(J3083&gt;=6,"Fuerte (6-6.9)",IF(J3083&gt;=5,"Moderado alto (5-5.9)",IF(J3083&gt;=4,"Moderado (4-4.9)","Menor a 4"))))</x:f>
        <x:v>Moderado (4-4.9)</x:v>
      </x:c>
      <x:c r="L3083" s="25" t="str">
        <x:f>IF(I3083&lt;70,"Superficial (&lt;70 km)",IF(I3083&lt;=300,"Intermedio (70-300 km)","Profundo (&gt;300 km)"))</x:f>
        <x:v>Intermedio (70-300 km)</x:v>
      </x:c>
      <x:c r="M3083" s="25" t="str">
        <x:f>IF(J3083&gt;=5,"Sí","No")</x:f>
        <x:v>No</x:v>
      </x:c>
      <x:c r="N3083" s="25" t="str">
        <x:f>IF(J3083&gt;=6,"Sí","No")</x:f>
        <x:v>No</x:v>
      </x:c>
      <x:c r="O3083" s="25" t="str">
        <x:v>Pendiente: asignar con R/sf</x:v>
      </x:c>
    </x:row>
    <x:row r="3084">
      <x:c r="A3084" s="25" t="n">
        <x:v>3083</x:v>
      </x:c>
      <x:c r="B3084" s="26" t="n">
        <x:v>42909.030324074076</x:v>
      </x:c>
      <x:c r="C3084" s="27" t="n">
        <x:f>INT(B3084)</x:f>
        <x:v>42909</x:v>
      </x:c>
      <x:c r="D3084" s="28" t="n">
        <x:f>MOD(B3084,1)</x:f>
        <x:v>0.030324074075906537</x:v>
      </x:c>
      <x:c r="E3084" s="29" t="n">
        <x:f>YEAR(B3084)</x:f>
        <x:v>2017</x:v>
      </x:c>
      <x:c r="F3084" s="29" t="n">
        <x:f>MONTH(B3084)</x:f>
        <x:v>6</x:v>
      </x:c>
      <x:c r="G3084" s="30" t="n">
        <x:v>-27.5</x:v>
      </x:c>
      <x:c r="H3084" s="30" t="n">
        <x:v>-70.53</x:v>
      </x:c>
      <x:c r="I3084" s="29" t="n">
        <x:v>57</x:v>
      </x:c>
      <x:c r="J3084" s="31" t="n">
        <x:v>4</x:v>
      </x:c>
      <x:c r="K3084" s="25" t="str">
        <x:f>IF(J3084&gt;=7,"Muy fuerte (&gt;=7)",IF(J3084&gt;=6,"Fuerte (6-6.9)",IF(J3084&gt;=5,"Moderado alto (5-5.9)",IF(J3084&gt;=4,"Moderado (4-4.9)","Menor a 4"))))</x:f>
        <x:v>Moderado (4-4.9)</x:v>
      </x:c>
      <x:c r="L3084" s="25" t="str">
        <x:f>IF(I3084&lt;70,"Superficial (&lt;70 km)",IF(I3084&lt;=300,"Intermedio (70-300 km)","Profundo (&gt;300 km)"))</x:f>
        <x:v>Superficial (&lt;70 km)</x:v>
      </x:c>
      <x:c r="M3084" s="25" t="str">
        <x:f>IF(J3084&gt;=5,"Sí","No")</x:f>
        <x:v>No</x:v>
      </x:c>
      <x:c r="N3084" s="25" t="str">
        <x:f>IF(J3084&gt;=6,"Sí","No")</x:f>
        <x:v>No</x:v>
      </x:c>
      <x:c r="O3084" s="25" t="str">
        <x:v>Pendiente: asignar con R/sf</x:v>
      </x:c>
    </x:row>
    <x:row r="3085">
      <x:c r="A3085" s="25" t="n">
        <x:v>3084</x:v>
      </x:c>
      <x:c r="B3085" s="26" t="n">
        <x:v>42912.61446759259</x:v>
      </x:c>
      <x:c r="C3085" s="27" t="n">
        <x:f>INT(B3085)</x:f>
        <x:v>42912</x:v>
      </x:c>
      <x:c r="D3085" s="28" t="n">
        <x:f>MOD(B3085,1)</x:f>
        <x:v>0.61446759258979</x:v>
      </x:c>
      <x:c r="E3085" s="29" t="n">
        <x:f>YEAR(B3085)</x:f>
        <x:v>2017</x:v>
      </x:c>
      <x:c r="F3085" s="29" t="n">
        <x:f>MONTH(B3085)</x:f>
        <x:v>6</x:v>
      </x:c>
      <x:c r="G3085" s="30" t="n">
        <x:v>-30.66</x:v>
      </x:c>
      <x:c r="H3085" s="30" t="n">
        <x:v>-71.26</x:v>
      </x:c>
      <x:c r="I3085" s="29" t="n">
        <x:v>53</x:v>
      </x:c>
      <x:c r="J3085" s="31" t="n">
        <x:v>5.3</x:v>
      </x:c>
      <x:c r="K3085" s="25" t="str">
        <x:f>IF(J3085&gt;=7,"Muy fuerte (&gt;=7)",IF(J3085&gt;=6,"Fuerte (6-6.9)",IF(J3085&gt;=5,"Moderado alto (5-5.9)",IF(J3085&gt;=4,"Moderado (4-4.9)","Menor a 4"))))</x:f>
        <x:v>Moderado alto (5-5.9)</x:v>
      </x:c>
      <x:c r="L3085" s="25" t="str">
        <x:f>IF(I3085&lt;70,"Superficial (&lt;70 km)",IF(I3085&lt;=300,"Intermedio (70-300 km)","Profundo (&gt;300 km)"))</x:f>
        <x:v>Superficial (&lt;70 km)</x:v>
      </x:c>
      <x:c r="M3085" s="25" t="str">
        <x:f>IF(J3085&gt;=5,"Sí","No")</x:f>
        <x:v>Sí</x:v>
      </x:c>
      <x:c r="N3085" s="25" t="str">
        <x:f>IF(J3085&gt;=6,"Sí","No")</x:f>
        <x:v>No</x:v>
      </x:c>
      <x:c r="O3085" s="25" t="str">
        <x:v>Pendiente: asignar con R/sf</x:v>
      </x:c>
    </x:row>
    <x:row r="3086">
      <x:c r="A3086" s="25" t="n">
        <x:v>3085</x:v>
      </x:c>
      <x:c r="B3086" s="26" t="n">
        <x:v>42948.259664351855</x:v>
      </x:c>
      <x:c r="C3086" s="27" t="n">
        <x:f>INT(B3086)</x:f>
        <x:v>42948</x:v>
      </x:c>
      <x:c r="D3086" s="28" t="n">
        <x:f>MOD(B3086,1)</x:f>
        <x:v>0.2596643518554629</x:v>
      </x:c>
      <x:c r="E3086" s="29" t="n">
        <x:f>YEAR(B3086)</x:f>
        <x:v>2017</x:v>
      </x:c>
      <x:c r="F3086" s="29" t="n">
        <x:f>MONTH(B3086)</x:f>
        <x:v>8</x:v>
      </x:c>
      <x:c r="G3086" s="30" t="n">
        <x:v>-28.54</x:v>
      </x:c>
      <x:c r="H3086" s="30" t="n">
        <x:v>-69.29</x:v>
      </x:c>
      <x:c r="I3086" s="29" t="n">
        <x:v>139</x:v>
      </x:c>
      <x:c r="J3086" s="31" t="n">
        <x:v>5.6</x:v>
      </x:c>
      <x:c r="K3086" s="25" t="str">
        <x:f>IF(J3086&gt;=7,"Muy fuerte (&gt;=7)",IF(J3086&gt;=6,"Fuerte (6-6.9)",IF(J3086&gt;=5,"Moderado alto (5-5.9)",IF(J3086&gt;=4,"Moderado (4-4.9)","Menor a 4"))))</x:f>
        <x:v>Moderado alto (5-5.9)</x:v>
      </x:c>
      <x:c r="L3086" s="25" t="str">
        <x:f>IF(I3086&lt;70,"Superficial (&lt;70 km)",IF(I3086&lt;=300,"Intermedio (70-300 km)","Profundo (&gt;300 km)"))</x:f>
        <x:v>Intermedio (70-300 km)</x:v>
      </x:c>
      <x:c r="M3086" s="25" t="str">
        <x:f>IF(J3086&gt;=5,"Sí","No")</x:f>
        <x:v>Sí</x:v>
      </x:c>
      <x:c r="N3086" s="25" t="str">
        <x:f>IF(J3086&gt;=6,"Sí","No")</x:f>
        <x:v>No</x:v>
      </x:c>
      <x:c r="O3086" s="25" t="str">
        <x:v>Pendiente: asignar con R/sf</x:v>
      </x:c>
    </x:row>
    <x:row r="3087">
      <x:c r="A3087" s="25" t="n">
        <x:v>3086</x:v>
      </x:c>
      <x:c r="B3087" s="26" t="n">
        <x:v>42949.3022337963</x:v>
      </x:c>
      <x:c r="C3087" s="27" t="n">
        <x:f>INT(B3087)</x:f>
        <x:v>42949</x:v>
      </x:c>
      <x:c r="D3087" s="28" t="n">
        <x:f>MOD(B3087,1)</x:f>
        <x:v>0.30223379629751435</x:v>
      </x:c>
      <x:c r="E3087" s="29" t="n">
        <x:f>YEAR(B3087)</x:f>
        <x:v>2017</x:v>
      </x:c>
      <x:c r="F3087" s="29" t="n">
        <x:f>MONTH(B3087)</x:f>
        <x:v>8</x:v>
      </x:c>
      <x:c r="G3087" s="30" t="n">
        <x:v>-33.2</x:v>
      </x:c>
      <x:c r="H3087" s="30" t="n">
        <x:v>-70.61</x:v>
      </x:c>
      <x:c r="I3087" s="29" t="n">
        <x:v>99</x:v>
      </x:c>
      <x:c r="J3087" s="31" t="n">
        <x:v>5.5</x:v>
      </x:c>
      <x:c r="K3087" s="25" t="str">
        <x:f>IF(J3087&gt;=7,"Muy fuerte (&gt;=7)",IF(J3087&gt;=6,"Fuerte (6-6.9)",IF(J3087&gt;=5,"Moderado alto (5-5.9)",IF(J3087&gt;=4,"Moderado (4-4.9)","Menor a 4"))))</x:f>
        <x:v>Moderado alto (5-5.9)</x:v>
      </x:c>
      <x:c r="L3087" s="25" t="str">
        <x:f>IF(I3087&lt;70,"Superficial (&lt;70 km)",IF(I3087&lt;=300,"Intermedio (70-300 km)","Profundo (&gt;300 km)"))</x:f>
        <x:v>Intermedio (70-300 km)</x:v>
      </x:c>
      <x:c r="M3087" s="25" t="str">
        <x:f>IF(J3087&gt;=5,"Sí","No")</x:f>
        <x:v>Sí</x:v>
      </x:c>
      <x:c r="N3087" s="25" t="str">
        <x:f>IF(J3087&gt;=6,"Sí","No")</x:f>
        <x:v>No</x:v>
      </x:c>
      <x:c r="O3087" s="25" t="str">
        <x:v>Pendiente: asignar con R/sf</x:v>
      </x:c>
    </x:row>
    <x:row r="3088">
      <x:c r="A3088" s="25" t="n">
        <x:v>3087</x:v>
      </x:c>
      <x:c r="B3088" s="26" t="n">
        <x:v>42949.835752314815</x:v>
      </x:c>
      <x:c r="C3088" s="27" t="n">
        <x:f>INT(B3088)</x:f>
        <x:v>42949</x:v>
      </x:c>
      <x:c r="D3088" s="28" t="n">
        <x:f>MOD(B3088,1)</x:f>
        <x:v>0.8357523148151813</x:v>
      </x:c>
      <x:c r="E3088" s="29" t="n">
        <x:f>YEAR(B3088)</x:f>
        <x:v>2017</x:v>
      </x:c>
      <x:c r="F3088" s="29" t="n">
        <x:f>MONTH(B3088)</x:f>
        <x:v>8</x:v>
      </x:c>
      <x:c r="G3088" s="30" t="n">
        <x:v>-28.48</x:v>
      </x:c>
      <x:c r="H3088" s="30" t="n">
        <x:v>-71.21</x:v>
      </x:c>
      <x:c r="I3088" s="29" t="n">
        <x:v>42</x:v>
      </x:c>
      <x:c r="J3088" s="31" t="n">
        <x:v>5.4</x:v>
      </x:c>
      <x:c r="K3088" s="25" t="str">
        <x:f>IF(J3088&gt;=7,"Muy fuerte (&gt;=7)",IF(J3088&gt;=6,"Fuerte (6-6.9)",IF(J3088&gt;=5,"Moderado alto (5-5.9)",IF(J3088&gt;=4,"Moderado (4-4.9)","Menor a 4"))))</x:f>
        <x:v>Moderado alto (5-5.9)</x:v>
      </x:c>
      <x:c r="L3088" s="25" t="str">
        <x:f>IF(I3088&lt;70,"Superficial (&lt;70 km)",IF(I3088&lt;=300,"Intermedio (70-300 km)","Profundo (&gt;300 km)"))</x:f>
        <x:v>Superficial (&lt;70 km)</x:v>
      </x:c>
      <x:c r="M3088" s="25" t="str">
        <x:f>IF(J3088&gt;=5,"Sí","No")</x:f>
        <x:v>Sí</x:v>
      </x:c>
      <x:c r="N3088" s="25" t="str">
        <x:f>IF(J3088&gt;=6,"Sí","No")</x:f>
        <x:v>No</x:v>
      </x:c>
      <x:c r="O3088" s="25" t="str">
        <x:v>Pendiente: asignar con R/sf</x:v>
      </x:c>
    </x:row>
    <x:row r="3089">
      <x:c r="A3089" s="25" t="n">
        <x:v>3088</x:v>
      </x:c>
      <x:c r="B3089" s="26" t="n">
        <x:v>42959.53765046296</x:v>
      </x:c>
      <x:c r="C3089" s="27" t="n">
        <x:f>INT(B3089)</x:f>
        <x:v>42959</x:v>
      </x:c>
      <x:c r="D3089" s="28" t="n">
        <x:f>MOD(B3089,1)</x:f>
        <x:v>0.5376504629603005</x:v>
      </x:c>
      <x:c r="E3089" s="29" t="n">
        <x:f>YEAR(B3089)</x:f>
        <x:v>2017</x:v>
      </x:c>
      <x:c r="F3089" s="29" t="n">
        <x:f>MONTH(B3089)</x:f>
        <x:v>8</x:v>
      </x:c>
      <x:c r="G3089" s="30" t="n">
        <x:v>-30.34</x:v>
      </x:c>
      <x:c r="H3089" s="30" t="n">
        <x:v>-72.15</x:v>
      </x:c>
      <x:c r="I3089" s="29" t="n">
        <x:v>28</x:v>
      </x:c>
      <x:c r="J3089" s="31" t="n">
        <x:v>5.5</x:v>
      </x:c>
      <x:c r="K3089" s="25" t="str">
        <x:f>IF(J3089&gt;=7,"Muy fuerte (&gt;=7)",IF(J3089&gt;=6,"Fuerte (6-6.9)",IF(J3089&gt;=5,"Moderado alto (5-5.9)",IF(J3089&gt;=4,"Moderado (4-4.9)","Menor a 4"))))</x:f>
        <x:v>Moderado alto (5-5.9)</x:v>
      </x:c>
      <x:c r="L3089" s="25" t="str">
        <x:f>IF(I3089&lt;70,"Superficial (&lt;70 km)",IF(I3089&lt;=300,"Intermedio (70-300 km)","Profundo (&gt;300 km)"))</x:f>
        <x:v>Superficial (&lt;70 km)</x:v>
      </x:c>
      <x:c r="M3089" s="25" t="str">
        <x:f>IF(J3089&gt;=5,"Sí","No")</x:f>
        <x:v>Sí</x:v>
      </x:c>
      <x:c r="N3089" s="25" t="str">
        <x:f>IF(J3089&gt;=6,"Sí","No")</x:f>
        <x:v>No</x:v>
      </x:c>
      <x:c r="O3089" s="25" t="str">
        <x:v>Pendiente: asignar con R/sf</x:v>
      </x:c>
    </x:row>
    <x:row r="3090">
      <x:c r="A3090" s="25" t="n">
        <x:v>3089</x:v>
      </x:c>
      <x:c r="B3090" s="26" t="n">
        <x:v>42962.794027777774</x:v>
      </x:c>
      <x:c r="C3090" s="27" t="n">
        <x:f>INT(B3090)</x:f>
        <x:v>42962</x:v>
      </x:c>
      <x:c r="D3090" s="28" t="n">
        <x:f>MOD(B3090,1)</x:f>
        <x:v>0.7940277777743177</x:v>
      </x:c>
      <x:c r="E3090" s="29" t="n">
        <x:f>YEAR(B3090)</x:f>
        <x:v>2017</x:v>
      </x:c>
      <x:c r="F3090" s="29" t="n">
        <x:f>MONTH(B3090)</x:f>
        <x:v>8</x:v>
      </x:c>
      <x:c r="G3090" s="30" t="n">
        <x:v>-30.01</x:v>
      </x:c>
      <x:c r="H3090" s="30" t="n">
        <x:v>-72.09</x:v>
      </x:c>
      <x:c r="I3090" s="29" t="n">
        <x:v>28</x:v>
      </x:c>
      <x:c r="J3090" s="31" t="n">
        <x:v>5.2</x:v>
      </x:c>
      <x:c r="K3090" s="25" t="str">
        <x:f>IF(J3090&gt;=7,"Muy fuerte (&gt;=7)",IF(J3090&gt;=6,"Fuerte (6-6.9)",IF(J3090&gt;=5,"Moderado alto (5-5.9)",IF(J3090&gt;=4,"Moderado (4-4.9)","Menor a 4"))))</x:f>
        <x:v>Moderado alto (5-5.9)</x:v>
      </x:c>
      <x:c r="L3090" s="25" t="str">
        <x:f>IF(I3090&lt;70,"Superficial (&lt;70 km)",IF(I3090&lt;=300,"Intermedio (70-300 km)","Profundo (&gt;300 km)"))</x:f>
        <x:v>Superficial (&lt;70 km)</x:v>
      </x:c>
      <x:c r="M3090" s="25" t="str">
        <x:f>IF(J3090&gt;=5,"Sí","No")</x:f>
        <x:v>Sí</x:v>
      </x:c>
      <x:c r="N3090" s="25" t="str">
        <x:f>IF(J3090&gt;=6,"Sí","No")</x:f>
        <x:v>No</x:v>
      </x:c>
      <x:c r="O3090" s="25" t="str">
        <x:v>Pendiente: asignar con R/sf</x:v>
      </x:c>
    </x:row>
    <x:row r="3091">
      <x:c r="A3091" s="25" t="n">
        <x:v>3090</x:v>
      </x:c>
      <x:c r="B3091" s="26" t="n">
        <x:v>42996.574270833335</x:v>
      </x:c>
      <x:c r="C3091" s="27" t="n">
        <x:f>INT(B3091)</x:f>
        <x:v>42996</x:v>
      </x:c>
      <x:c r="D3091" s="28" t="n">
        <x:f>MOD(B3091,1)</x:f>
        <x:v>0.5742708333345945</x:v>
      </x:c>
      <x:c r="E3091" s="29" t="n">
        <x:f>YEAR(B3091)</x:f>
        <x:v>2017</x:v>
      </x:c>
      <x:c r="F3091" s="29" t="n">
        <x:f>MONTH(B3091)</x:f>
        <x:v>9</x:v>
      </x:c>
      <x:c r="G3091" s="30" t="n">
        <x:v>-31.85</x:v>
      </x:c>
      <x:c r="H3091" s="30" t="n">
        <x:v>-72.09</x:v>
      </x:c>
      <x:c r="I3091" s="29" t="n">
        <x:v>33</x:v>
      </x:c>
      <x:c r="J3091" s="31" t="n">
        <x:v>5.7</x:v>
      </x:c>
      <x:c r="K3091" s="25" t="str">
        <x:f>IF(J3091&gt;=7,"Muy fuerte (&gt;=7)",IF(J3091&gt;=6,"Fuerte (6-6.9)",IF(J3091&gt;=5,"Moderado alto (5-5.9)",IF(J3091&gt;=4,"Moderado (4-4.9)","Menor a 4"))))</x:f>
        <x:v>Moderado alto (5-5.9)</x:v>
      </x:c>
      <x:c r="L3091" s="25" t="str">
        <x:f>IF(I3091&lt;70,"Superficial (&lt;70 km)",IF(I3091&lt;=300,"Intermedio (70-300 km)","Profundo (&gt;300 km)"))</x:f>
        <x:v>Superficial (&lt;70 km)</x:v>
      </x:c>
      <x:c r="M3091" s="25" t="str">
        <x:f>IF(J3091&gt;=5,"Sí","No")</x:f>
        <x:v>Sí</x:v>
      </x:c>
      <x:c r="N3091" s="25" t="str">
        <x:f>IF(J3091&gt;=6,"Sí","No")</x:f>
        <x:v>No</x:v>
      </x:c>
      <x:c r="O3091" s="25" t="str">
        <x:v>Pendiente: asignar con R/sf</x:v>
      </x:c>
    </x:row>
    <x:row r="3092">
      <x:c r="A3092" s="25" t="n">
        <x:v>3091</x:v>
      </x:c>
      <x:c r="B3092" s="26" t="n">
        <x:v>43002.104166666664</x:v>
      </x:c>
      <x:c r="C3092" s="27" t="n">
        <x:f>INT(B3092)</x:f>
        <x:v>43002</x:v>
      </x:c>
      <x:c r="D3092" s="28" t="n">
        <x:f>MOD(B3092,1)</x:f>
        <x:v>0.10416666666424135</x:v>
      </x:c>
      <x:c r="E3092" s="29" t="n">
        <x:f>YEAR(B3092)</x:f>
        <x:v>2017</x:v>
      </x:c>
      <x:c r="F3092" s="29" t="n">
        <x:f>MONTH(B3092)</x:f>
        <x:v>9</x:v>
      </x:c>
      <x:c r="G3092" s="30" t="n">
        <x:v>-27.97</x:v>
      </x:c>
      <x:c r="H3092" s="30" t="n">
        <x:v>-71.17</x:v>
      </x:c>
      <x:c r="I3092" s="29" t="n">
        <x:v>37</x:v>
      </x:c>
      <x:c r="J3092" s="31" t="n">
        <x:v>4.8</x:v>
      </x:c>
      <x:c r="K3092" s="25" t="str">
        <x:f>IF(J3092&gt;=7,"Muy fuerte (&gt;=7)",IF(J3092&gt;=6,"Fuerte (6-6.9)",IF(J3092&gt;=5,"Moderado alto (5-5.9)",IF(J3092&gt;=4,"Moderado (4-4.9)","Menor a 4"))))</x:f>
        <x:v>Moderado (4-4.9)</x:v>
      </x:c>
      <x:c r="L3092" s="25" t="str">
        <x:f>IF(I3092&lt;70,"Superficial (&lt;70 km)",IF(I3092&lt;=300,"Intermedio (70-300 km)","Profundo (&gt;300 km)"))</x:f>
        <x:v>Superficial (&lt;70 km)</x:v>
      </x:c>
      <x:c r="M3092" s="25" t="str">
        <x:f>IF(J3092&gt;=5,"Sí","No")</x:f>
        <x:v>No</x:v>
      </x:c>
      <x:c r="N3092" s="25" t="str">
        <x:f>IF(J3092&gt;=6,"Sí","No")</x:f>
        <x:v>No</x:v>
      </x:c>
      <x:c r="O3092" s="25" t="str">
        <x:v>Pendiente: asignar con R/sf</x:v>
      </x:c>
    </x:row>
    <x:row r="3093">
      <x:c r="A3093" s="25" t="n">
        <x:v>3092</x:v>
      </x:c>
      <x:c r="B3093" s="26" t="n">
        <x:v>43003.31054398148</x:v>
      </x:c>
      <x:c r="C3093" s="27" t="n">
        <x:f>INT(B3093)</x:f>
        <x:v>43003</x:v>
      </x:c>
      <x:c r="D3093" s="28" t="n">
        <x:f>MOD(B3093,1)</x:f>
        <x:v>0.3105439814826241</x:v>
      </x:c>
      <x:c r="E3093" s="29" t="n">
        <x:f>YEAR(B3093)</x:f>
        <x:v>2017</x:v>
      </x:c>
      <x:c r="F3093" s="29" t="n">
        <x:f>MONTH(B3093)</x:f>
        <x:v>9</x:v>
      </x:c>
      <x:c r="G3093" s="30" t="n">
        <x:v>-30.11</x:v>
      </x:c>
      <x:c r="H3093" s="30" t="n">
        <x:v>-71.43</x:v>
      </x:c>
      <x:c r="I3093" s="29" t="n">
        <x:v>38</x:v>
      </x:c>
      <x:c r="J3093" s="31" t="n">
        <x:v>4.7</x:v>
      </x:c>
      <x:c r="K3093" s="25" t="str">
        <x:f>IF(J3093&gt;=7,"Muy fuerte (&gt;=7)",IF(J3093&gt;=6,"Fuerte (6-6.9)",IF(J3093&gt;=5,"Moderado alto (5-5.9)",IF(J3093&gt;=4,"Moderado (4-4.9)","Menor a 4"))))</x:f>
        <x:v>Moderado (4-4.9)</x:v>
      </x:c>
      <x:c r="L3093" s="25" t="str">
        <x:f>IF(I3093&lt;70,"Superficial (&lt;70 km)",IF(I3093&lt;=300,"Intermedio (70-300 km)","Profundo (&gt;300 km)"))</x:f>
        <x:v>Superficial (&lt;70 km)</x:v>
      </x:c>
      <x:c r="M3093" s="25" t="str">
        <x:f>IF(J3093&gt;=5,"Sí","No")</x:f>
        <x:v>No</x:v>
      </x:c>
      <x:c r="N3093" s="25" t="str">
        <x:f>IF(J3093&gt;=6,"Sí","No")</x:f>
        <x:v>No</x:v>
      </x:c>
      <x:c r="O3093" s="25" t="str">
        <x:v>Pendiente: asignar con R/sf</x:v>
      </x:c>
    </x:row>
    <x:row r="3094">
      <x:c r="A3094" s="25" t="n">
        <x:v>3093</x:v>
      </x:c>
      <x:c r="B3094" s="26" t="n">
        <x:v>43009.43375</x:v>
      </x:c>
      <x:c r="C3094" s="27" t="n">
        <x:f>INT(B3094)</x:f>
        <x:v>43009</x:v>
      </x:c>
      <x:c r="D3094" s="28" t="n">
        <x:f>MOD(B3094,1)</x:f>
        <x:v>0.43374999999650754</x:v>
      </x:c>
      <x:c r="E3094" s="29" t="n">
        <x:f>YEAR(B3094)</x:f>
        <x:v>2017</x:v>
      </x:c>
      <x:c r="F3094" s="29" t="n">
        <x:f>MONTH(B3094)</x:f>
        <x:v>10</x:v>
      </x:c>
      <x:c r="G3094" s="30" t="n">
        <x:v>-28.4</x:v>
      </x:c>
      <x:c r="H3094" s="30" t="n">
        <x:v>-70.75</x:v>
      </x:c>
      <x:c r="I3094" s="29" t="n">
        <x:v>72</x:v>
      </x:c>
      <x:c r="J3094" s="31" t="n">
        <x:v>4.3</x:v>
      </x:c>
      <x:c r="K3094" s="25" t="str">
        <x:f>IF(J3094&gt;=7,"Muy fuerte (&gt;=7)",IF(J3094&gt;=6,"Fuerte (6-6.9)",IF(J3094&gt;=5,"Moderado alto (5-5.9)",IF(J3094&gt;=4,"Moderado (4-4.9)","Menor a 4"))))</x:f>
        <x:v>Moderado (4-4.9)</x:v>
      </x:c>
      <x:c r="L3094" s="25" t="str">
        <x:f>IF(I3094&lt;70,"Superficial (&lt;70 km)",IF(I3094&lt;=300,"Intermedio (70-300 km)","Profundo (&gt;300 km)"))</x:f>
        <x:v>Intermedio (70-300 km)</x:v>
      </x:c>
      <x:c r="M3094" s="25" t="str">
        <x:f>IF(J3094&gt;=5,"Sí","No")</x:f>
        <x:v>No</x:v>
      </x:c>
      <x:c r="N3094" s="25" t="str">
        <x:f>IF(J3094&gt;=6,"Sí","No")</x:f>
        <x:v>No</x:v>
      </x:c>
      <x:c r="O3094" s="25" t="str">
        <x:v>Pendiente: asignar con R/sf</x:v>
      </x:c>
    </x:row>
    <x:row r="3095">
      <x:c r="A3095" s="25" t="n">
        <x:v>3094</x:v>
      </x:c>
      <x:c r="B3095" s="26" t="n">
        <x:v>43012.351064814815</x:v>
      </x:c>
      <x:c r="C3095" s="27" t="n">
        <x:f>INT(B3095)</x:f>
        <x:v>43012</x:v>
      </x:c>
      <x:c r="D3095" s="28" t="n">
        <x:f>MOD(B3095,1)</x:f>
        <x:v>0.35106481481489027</x:v>
      </x:c>
      <x:c r="E3095" s="29" t="n">
        <x:f>YEAR(B3095)</x:f>
        <x:v>2017</x:v>
      </x:c>
      <x:c r="F3095" s="29" t="n">
        <x:f>MONTH(B3095)</x:f>
        <x:v>10</x:v>
      </x:c>
      <x:c r="G3095" s="30" t="n">
        <x:v>-30.72</x:v>
      </x:c>
      <x:c r="H3095" s="30" t="n">
        <x:v>-71.34</x:v>
      </x:c>
      <x:c r="I3095" s="29" t="n">
        <x:v>42</x:v>
      </x:c>
      <x:c r="J3095" s="31" t="n">
        <x:v>4.3</x:v>
      </x:c>
      <x:c r="K3095" s="25" t="str">
        <x:f>IF(J3095&gt;=7,"Muy fuerte (&gt;=7)",IF(J3095&gt;=6,"Fuerte (6-6.9)",IF(J3095&gt;=5,"Moderado alto (5-5.9)",IF(J3095&gt;=4,"Moderado (4-4.9)","Menor a 4"))))</x:f>
        <x:v>Moderado (4-4.9)</x:v>
      </x:c>
      <x:c r="L3095" s="25" t="str">
        <x:f>IF(I3095&lt;70,"Superficial (&lt;70 km)",IF(I3095&lt;=300,"Intermedio (70-300 km)","Profundo (&gt;300 km)"))</x:f>
        <x:v>Superficial (&lt;70 km)</x:v>
      </x:c>
      <x:c r="M3095" s="25" t="str">
        <x:f>IF(J3095&gt;=5,"Sí","No")</x:f>
        <x:v>No</x:v>
      </x:c>
      <x:c r="N3095" s="25" t="str">
        <x:f>IF(J3095&gt;=6,"Sí","No")</x:f>
        <x:v>No</x:v>
      </x:c>
      <x:c r="O3095" s="25" t="str">
        <x:v>Pendiente: asignar con R/sf</x:v>
      </x:c>
    </x:row>
    <x:row r="3096">
      <x:c r="A3096" s="25" t="n">
        <x:v>3095</x:v>
      </x:c>
      <x:c r="B3096" s="26" t="n">
        <x:v>43017.25939814815</x:v>
      </x:c>
      <x:c r="C3096" s="27" t="n">
        <x:f>INT(B3096)</x:f>
        <x:v>43017</x:v>
      </x:c>
      <x:c r="D3096" s="28" t="n">
        <x:f>MOD(B3096,1)</x:f>
        <x:v>0.25939814814773854</x:v>
      </x:c>
      <x:c r="E3096" s="29" t="n">
        <x:f>YEAR(B3096)</x:f>
        <x:v>2017</x:v>
      </x:c>
      <x:c r="F3096" s="29" t="n">
        <x:f>MONTH(B3096)</x:f>
        <x:v>10</x:v>
      </x:c>
      <x:c r="G3096" s="30" t="n">
        <x:v>-27.84</x:v>
      </x:c>
      <x:c r="H3096" s="30" t="n">
        <x:v>-70.09</x:v>
      </x:c>
      <x:c r="I3096" s="29" t="n">
        <x:v>98</x:v>
      </x:c>
      <x:c r="J3096" s="31" t="n">
        <x:v>4.1</x:v>
      </x:c>
      <x:c r="K3096" s="25" t="str">
        <x:f>IF(J3096&gt;=7,"Muy fuerte (&gt;=7)",IF(J3096&gt;=6,"Fuerte (6-6.9)",IF(J3096&gt;=5,"Moderado alto (5-5.9)",IF(J3096&gt;=4,"Moderado (4-4.9)","Menor a 4"))))</x:f>
        <x:v>Moderado (4-4.9)</x:v>
      </x:c>
      <x:c r="L3096" s="25" t="str">
        <x:f>IF(I3096&lt;70,"Superficial (&lt;70 km)",IF(I3096&lt;=300,"Intermedio (70-300 km)","Profundo (&gt;300 km)"))</x:f>
        <x:v>Intermedio (70-300 km)</x:v>
      </x:c>
      <x:c r="M3096" s="25" t="str">
        <x:f>IF(J3096&gt;=5,"Sí","No")</x:f>
        <x:v>No</x:v>
      </x:c>
      <x:c r="N3096" s="25" t="str">
        <x:f>IF(J3096&gt;=6,"Sí","No")</x:f>
        <x:v>No</x:v>
      </x:c>
      <x:c r="O3096" s="25" t="str">
        <x:v>Pendiente: asignar con R/sf</x:v>
      </x:c>
    </x:row>
    <x:row r="3097">
      <x:c r="A3097" s="25" t="n">
        <x:v>3096</x:v>
      </x:c>
      <x:c r="B3097" s="26" t="n">
        <x:v>43017.95545138889</x:v>
      </x:c>
      <x:c r="C3097" s="27" t="n">
        <x:f>INT(B3097)</x:f>
        <x:v>43017</x:v>
      </x:c>
      <x:c r="D3097" s="28" t="n">
        <x:f>MOD(B3097,1)</x:f>
        <x:v>0.9554513888870133</x:v>
      </x:c>
      <x:c r="E3097" s="29" t="n">
        <x:f>YEAR(B3097)</x:f>
        <x:v>2017</x:v>
      </x:c>
      <x:c r="F3097" s="29" t="n">
        <x:f>MONTH(B3097)</x:f>
        <x:v>10</x:v>
      </x:c>
      <x:c r="G3097" s="30" t="n">
        <x:v>-30.01</x:v>
      </x:c>
      <x:c r="H3097" s="30" t="n">
        <x:v>-71.24</x:v>
      </x:c>
      <x:c r="I3097" s="29" t="n">
        <x:v>50</x:v>
      </x:c>
      <x:c r="J3097" s="31" t="n">
        <x:v>4.7</x:v>
      </x:c>
      <x:c r="K3097" s="25" t="str">
        <x:f>IF(J3097&gt;=7,"Muy fuerte (&gt;=7)",IF(J3097&gt;=6,"Fuerte (6-6.9)",IF(J3097&gt;=5,"Moderado alto (5-5.9)",IF(J3097&gt;=4,"Moderado (4-4.9)","Menor a 4"))))</x:f>
        <x:v>Moderado (4-4.9)</x:v>
      </x:c>
      <x:c r="L3097" s="25" t="str">
        <x:f>IF(I3097&lt;70,"Superficial (&lt;70 km)",IF(I3097&lt;=300,"Intermedio (70-300 km)","Profundo (&gt;300 km)"))</x:f>
        <x:v>Superficial (&lt;70 km)</x:v>
      </x:c>
      <x:c r="M3097" s="25" t="str">
        <x:f>IF(J3097&gt;=5,"Sí","No")</x:f>
        <x:v>No</x:v>
      </x:c>
      <x:c r="N3097" s="25" t="str">
        <x:f>IF(J3097&gt;=6,"Sí","No")</x:f>
        <x:v>No</x:v>
      </x:c>
      <x:c r="O3097" s="25" t="str">
        <x:v>Pendiente: asignar con R/sf</x:v>
      </x:c>
    </x:row>
    <x:row r="3098">
      <x:c r="A3098" s="25" t="n">
        <x:v>3097</x:v>
      </x:c>
      <x:c r="B3098" s="26" t="n">
        <x:v>43018.08083333333</x:v>
      </x:c>
      <x:c r="C3098" s="27" t="n">
        <x:f>INT(B3098)</x:f>
        <x:v>43018</x:v>
      </x:c>
      <x:c r="D3098" s="28" t="n">
        <x:f>MOD(B3098,1)</x:f>
        <x:v>0.08083333333343035</x:v>
      </x:c>
      <x:c r="E3098" s="29" t="n">
        <x:f>YEAR(B3098)</x:f>
        <x:v>2017</x:v>
      </x:c>
      <x:c r="F3098" s="29" t="n">
        <x:f>MONTH(B3098)</x:f>
        <x:v>10</x:v>
      </x:c>
      <x:c r="G3098" s="30" t="n">
        <x:v>-27.72</x:v>
      </x:c>
      <x:c r="H3098" s="30" t="n">
        <x:v>-70.21</x:v>
      </x:c>
      <x:c r="I3098" s="29" t="n">
        <x:v>75</x:v>
      </x:c>
      <x:c r="J3098" s="31" t="n">
        <x:v>4</x:v>
      </x:c>
      <x:c r="K3098" s="25" t="str">
        <x:f>IF(J3098&gt;=7,"Muy fuerte (&gt;=7)",IF(J3098&gt;=6,"Fuerte (6-6.9)",IF(J3098&gt;=5,"Moderado alto (5-5.9)",IF(J3098&gt;=4,"Moderado (4-4.9)","Menor a 4"))))</x:f>
        <x:v>Moderado (4-4.9)</x:v>
      </x:c>
      <x:c r="L3098" s="25" t="str">
        <x:f>IF(I3098&lt;70,"Superficial (&lt;70 km)",IF(I3098&lt;=300,"Intermedio (70-300 km)","Profundo (&gt;300 km)"))</x:f>
        <x:v>Intermedio (70-300 km)</x:v>
      </x:c>
      <x:c r="M3098" s="25" t="str">
        <x:f>IF(J3098&gt;=5,"Sí","No")</x:f>
        <x:v>No</x:v>
      </x:c>
      <x:c r="N3098" s="25" t="str">
        <x:f>IF(J3098&gt;=6,"Sí","No")</x:f>
        <x:v>No</x:v>
      </x:c>
      <x:c r="O3098" s="25" t="str">
        <x:v>Pendiente: asignar con R/sf</x:v>
      </x:c>
    </x:row>
    <x:row r="3099">
      <x:c r="A3099" s="25" t="n">
        <x:v>3098</x:v>
      </x:c>
      <x:c r="B3099" s="26" t="n">
        <x:v>43048.317337962966</x:v>
      </x:c>
      <x:c r="C3099" s="27" t="n">
        <x:f>INT(B3099)</x:f>
        <x:v>43048</x:v>
      </x:c>
      <x:c r="D3099" s="28" t="n">
        <x:f>MOD(B3099,1)</x:f>
        <x:v>0.31733796296612127</x:v>
      </x:c>
      <x:c r="E3099" s="29" t="n">
        <x:f>YEAR(B3099)</x:f>
        <x:v>2017</x:v>
      </x:c>
      <x:c r="F3099" s="29" t="n">
        <x:f>MONTH(B3099)</x:f>
        <x:v>11</x:v>
      </x:c>
      <x:c r="G3099" s="30" t="n">
        <x:v>-30.7</x:v>
      </x:c>
      <x:c r="H3099" s="30" t="n">
        <x:v>-71.36</x:v>
      </x:c>
      <x:c r="I3099" s="29" t="n">
        <x:v>39</x:v>
      </x:c>
      <x:c r="J3099" s="31" t="n">
        <x:v>5</x:v>
      </x:c>
      <x:c r="K3099" s="25" t="str">
        <x:f>IF(J3099&gt;=7,"Muy fuerte (&gt;=7)",IF(J3099&gt;=6,"Fuerte (6-6.9)",IF(J3099&gt;=5,"Moderado alto (5-5.9)",IF(J3099&gt;=4,"Moderado (4-4.9)","Menor a 4"))))</x:f>
        <x:v>Moderado alto (5-5.9)</x:v>
      </x:c>
      <x:c r="L3099" s="25" t="str">
        <x:f>IF(I3099&lt;70,"Superficial (&lt;70 km)",IF(I3099&lt;=300,"Intermedio (70-300 km)","Profundo (&gt;300 km)"))</x:f>
        <x:v>Superficial (&lt;70 km)</x:v>
      </x:c>
      <x:c r="M3099" s="25" t="str">
        <x:f>IF(J3099&gt;=5,"Sí","No")</x:f>
        <x:v>Sí</x:v>
      </x:c>
      <x:c r="N3099" s="25" t="str">
        <x:f>IF(J3099&gt;=6,"Sí","No")</x:f>
        <x:v>No</x:v>
      </x:c>
      <x:c r="O3099" s="25" t="str">
        <x:v>Pendiente: asignar con R/sf</x:v>
      </x:c>
    </x:row>
    <x:row r="3100">
      <x:c r="A3100" s="25" t="n">
        <x:v>3099</x:v>
      </x:c>
      <x:c r="B3100" s="26" t="n">
        <x:v>43065.9272337963</x:v>
      </x:c>
      <x:c r="C3100" s="27" t="n">
        <x:f>INT(B3100)</x:f>
        <x:v>43065</x:v>
      </x:c>
      <x:c r="D3100" s="28" t="n">
        <x:f>MOD(B3100,1)</x:f>
        <x:v>0.9272337962975143</x:v>
      </x:c>
      <x:c r="E3100" s="29" t="n">
        <x:f>YEAR(B3100)</x:f>
        <x:v>2017</x:v>
      </x:c>
      <x:c r="F3100" s="29" t="n">
        <x:f>MONTH(B3100)</x:f>
        <x:v>11</x:v>
      </x:c>
      <x:c r="G3100" s="30" t="n">
        <x:v>-32.23</x:v>
      </x:c>
      <x:c r="H3100" s="30" t="n">
        <x:v>-71.03</x:v>
      </x:c>
      <x:c r="I3100" s="29" t="n">
        <x:v>66</x:v>
      </x:c>
      <x:c r="J3100" s="31" t="n">
        <x:v>5.4</x:v>
      </x:c>
      <x:c r="K3100" s="25" t="str">
        <x:f>IF(J3100&gt;=7,"Muy fuerte (&gt;=7)",IF(J3100&gt;=6,"Fuerte (6-6.9)",IF(J3100&gt;=5,"Moderado alto (5-5.9)",IF(J3100&gt;=4,"Moderado (4-4.9)","Menor a 4"))))</x:f>
        <x:v>Moderado alto (5-5.9)</x:v>
      </x:c>
      <x:c r="L3100" s="25" t="str">
        <x:f>IF(I3100&lt;70,"Superficial (&lt;70 km)",IF(I3100&lt;=300,"Intermedio (70-300 km)","Profundo (&gt;300 km)"))</x:f>
        <x:v>Superficial (&lt;70 km)</x:v>
      </x:c>
      <x:c r="M3100" s="25" t="str">
        <x:f>IF(J3100&gt;=5,"Sí","No")</x:f>
        <x:v>Sí</x:v>
      </x:c>
      <x:c r="N3100" s="25" t="str">
        <x:f>IF(J3100&gt;=6,"Sí","No")</x:f>
        <x:v>No</x:v>
      </x:c>
      <x:c r="O3100" s="25" t="str">
        <x:v>Pendiente: asignar con R/sf</x:v>
      </x:c>
    </x:row>
    <x:row r="3101">
      <x:c r="A3101" s="25" t="n">
        <x:v>3100</x:v>
      </x:c>
      <x:c r="B3101" s="26" t="n">
        <x:v>43075.865636574075</x:v>
      </x:c>
      <x:c r="C3101" s="27" t="n">
        <x:f>INT(B3101)</x:f>
        <x:v>43075</x:v>
      </x:c>
      <x:c r="D3101" s="28" t="n">
        <x:f>MOD(B3101,1)</x:f>
        <x:v>0.8656365740753245</x:v>
      </x:c>
      <x:c r="E3101" s="29" t="n">
        <x:f>YEAR(B3101)</x:f>
        <x:v>2017</x:v>
      </x:c>
      <x:c r="F3101" s="29" t="n">
        <x:f>MONTH(B3101)</x:f>
        <x:v>12</x:v>
      </x:c>
      <x:c r="G3101" s="30" t="n">
        <x:v>-32.28</x:v>
      </x:c>
      <x:c r="H3101" s="30" t="n">
        <x:v>-71.36</x:v>
      </x:c>
      <x:c r="I3101" s="29" t="n">
        <x:v>45</x:v>
      </x:c>
      <x:c r="J3101" s="31" t="n">
        <x:v>4.5</x:v>
      </x:c>
      <x:c r="K3101" s="25" t="str">
        <x:f>IF(J3101&gt;=7,"Muy fuerte (&gt;=7)",IF(J3101&gt;=6,"Fuerte (6-6.9)",IF(J3101&gt;=5,"Moderado alto (5-5.9)",IF(J3101&gt;=4,"Moderado (4-4.9)","Menor a 4"))))</x:f>
        <x:v>Moderado (4-4.9)</x:v>
      </x:c>
      <x:c r="L3101" s="25" t="str">
        <x:f>IF(I3101&lt;70,"Superficial (&lt;70 km)",IF(I3101&lt;=300,"Intermedio (70-300 km)","Profundo (&gt;300 km)"))</x:f>
        <x:v>Superficial (&lt;70 km)</x:v>
      </x:c>
      <x:c r="M3101" s="25" t="str">
        <x:f>IF(J3101&gt;=5,"Sí","No")</x:f>
        <x:v>No</x:v>
      </x:c>
      <x:c r="N3101" s="25" t="str">
        <x:f>IF(J3101&gt;=6,"Sí","No")</x:f>
        <x:v>No</x:v>
      </x:c>
      <x:c r="O3101" s="25" t="str">
        <x:v>Pendiente: asignar con R/sf</x:v>
      </x:c>
    </x:row>
    <x:row r="3102">
      <x:c r="A3102" s="25" t="n">
        <x:v>3101</x:v>
      </x:c>
      <x:c r="B3102" s="26" t="n">
        <x:v>43088.55180555556</x:v>
      </x:c>
      <x:c r="C3102" s="27" t="n">
        <x:f>INT(B3102)</x:f>
        <x:v>43088</x:v>
      </x:c>
      <x:c r="D3102" s="28" t="n">
        <x:f>MOD(B3102,1)</x:f>
        <x:v>0.5518055555585306</x:v>
      </x:c>
      <x:c r="E3102" s="29" t="n">
        <x:f>YEAR(B3102)</x:f>
        <x:v>2017</x:v>
      </x:c>
      <x:c r="F3102" s="29" t="n">
        <x:f>MONTH(B3102)</x:f>
        <x:v>12</x:v>
      </x:c>
      <x:c r="G3102" s="30" t="n">
        <x:v>-26.05</x:v>
      </x:c>
      <x:c r="H3102" s="30" t="n">
        <x:v>-70.43</x:v>
      </x:c>
      <x:c r="I3102" s="29" t="n">
        <x:v>55</x:v>
      </x:c>
      <x:c r="J3102" s="31" t="n">
        <x:v>4.7</x:v>
      </x:c>
      <x:c r="K3102" s="25" t="str">
        <x:f>IF(J3102&gt;=7,"Muy fuerte (&gt;=7)",IF(J3102&gt;=6,"Fuerte (6-6.9)",IF(J3102&gt;=5,"Moderado alto (5-5.9)",IF(J3102&gt;=4,"Moderado (4-4.9)","Menor a 4"))))</x:f>
        <x:v>Moderado (4-4.9)</x:v>
      </x:c>
      <x:c r="L3102" s="25" t="str">
        <x:f>IF(I3102&lt;70,"Superficial (&lt;70 km)",IF(I3102&lt;=300,"Intermedio (70-300 km)","Profundo (&gt;300 km)"))</x:f>
        <x:v>Superficial (&lt;70 km)</x:v>
      </x:c>
      <x:c r="M3102" s="25" t="str">
        <x:f>IF(J3102&gt;=5,"Sí","No")</x:f>
        <x:v>No</x:v>
      </x:c>
      <x:c r="N3102" s="25" t="str">
        <x:f>IF(J3102&gt;=6,"Sí","No")</x:f>
        <x:v>No</x:v>
      </x:c>
      <x:c r="O3102" s="25" t="str">
        <x:v>Pendiente: asignar con R/sf</x:v>
      </x:c>
    </x:row>
    <x:row r="3103">
      <x:c r="A3103" s="25" t="n">
        <x:v>3102</x:v>
      </x:c>
      <x:c r="B3103" s="26" t="n">
        <x:v>43092.17202546296</x:v>
      </x:c>
      <x:c r="C3103" s="27" t="n">
        <x:f>INT(B3103)</x:f>
        <x:v>43092</x:v>
      </x:c>
      <x:c r="D3103" s="28" t="n">
        <x:f>MOD(B3103,1)</x:f>
        <x:v>0.1720254629617557</x:v>
      </x:c>
      <x:c r="E3103" s="29" t="n">
        <x:f>YEAR(B3103)</x:f>
        <x:v>2017</x:v>
      </x:c>
      <x:c r="F3103" s="29" t="n">
        <x:f>MONTH(B3103)</x:f>
        <x:v>12</x:v>
      </x:c>
      <x:c r="G3103" s="30" t="n">
        <x:v>-29.86</x:v>
      </x:c>
      <x:c r="H3103" s="30" t="n">
        <x:v>-71.44</x:v>
      </x:c>
      <x:c r="I3103" s="29" t="n">
        <x:v>55</x:v>
      </x:c>
      <x:c r="J3103" s="31" t="n">
        <x:v>4</x:v>
      </x:c>
      <x:c r="K3103" s="25" t="str">
        <x:f>IF(J3103&gt;=7,"Muy fuerte (&gt;=7)",IF(J3103&gt;=6,"Fuerte (6-6.9)",IF(J3103&gt;=5,"Moderado alto (5-5.9)",IF(J3103&gt;=4,"Moderado (4-4.9)","Menor a 4"))))</x:f>
        <x:v>Moderado (4-4.9)</x:v>
      </x:c>
      <x:c r="L3103" s="25" t="str">
        <x:f>IF(I3103&lt;70,"Superficial (&lt;70 km)",IF(I3103&lt;=300,"Intermedio (70-300 km)","Profundo (&gt;300 km)"))</x:f>
        <x:v>Superficial (&lt;70 km)</x:v>
      </x:c>
      <x:c r="M3103" s="25" t="str">
        <x:f>IF(J3103&gt;=5,"Sí","No")</x:f>
        <x:v>No</x:v>
      </x:c>
      <x:c r="N3103" s="25" t="str">
        <x:f>IF(J3103&gt;=6,"Sí","No")</x:f>
        <x:v>No</x:v>
      </x:c>
      <x:c r="O3103" s="25" t="str">
        <x:v>Pendiente: asignar con R/sf</x:v>
      </x:c>
    </x:row>
    <x:row r="3104">
      <x:c r="A3104" s="25" t="n">
        <x:v>3103</x:v>
      </x:c>
      <x:c r="B3104" s="26" t="n">
        <x:v>43097.16310185185</x:v>
      </x:c>
      <x:c r="C3104" s="27" t="n">
        <x:f>INT(B3104)</x:f>
        <x:v>43097</x:v>
      </x:c>
      <x:c r="D3104" s="28" t="n">
        <x:f>MOD(B3104,1)</x:f>
        <x:v>0.16310185185284354</x:v>
      </x:c>
      <x:c r="E3104" s="29" t="n">
        <x:f>YEAR(B3104)</x:f>
        <x:v>2017</x:v>
      </x:c>
      <x:c r="F3104" s="29" t="n">
        <x:f>MONTH(B3104)</x:f>
        <x:v>12</x:v>
      </x:c>
      <x:c r="G3104" s="30" t="n">
        <x:v>-24.91</x:v>
      </x:c>
      <x:c r="H3104" s="30" t="n">
        <x:v>-70.17</x:v>
      </x:c>
      <x:c r="I3104" s="29" t="n">
        <x:v>53</x:v>
      </x:c>
      <x:c r="J3104" s="31" t="n">
        <x:v>5.5</x:v>
      </x:c>
      <x:c r="K3104" s="25" t="str">
        <x:f>IF(J3104&gt;=7,"Muy fuerte (&gt;=7)",IF(J3104&gt;=6,"Fuerte (6-6.9)",IF(J3104&gt;=5,"Moderado alto (5-5.9)",IF(J3104&gt;=4,"Moderado (4-4.9)","Menor a 4"))))</x:f>
        <x:v>Moderado alto (5-5.9)</x:v>
      </x:c>
      <x:c r="L3104" s="25" t="str">
        <x:f>IF(I3104&lt;70,"Superficial (&lt;70 km)",IF(I3104&lt;=300,"Intermedio (70-300 km)","Profundo (&gt;300 km)"))</x:f>
        <x:v>Superficial (&lt;70 km)</x:v>
      </x:c>
      <x:c r="M3104" s="25" t="str">
        <x:f>IF(J3104&gt;=5,"Sí","No")</x:f>
        <x:v>Sí</x:v>
      </x:c>
      <x:c r="N3104" s="25" t="str">
        <x:f>IF(J3104&gt;=6,"Sí","No")</x:f>
        <x:v>No</x:v>
      </x:c>
      <x:c r="O3104" s="25" t="str">
        <x:v>Pendiente: asignar con R/sf</x:v>
      </x:c>
    </x:row>
    <x:row r="3105">
      <x:c r="A3105" s="25" t="n">
        <x:v>3104</x:v>
      </x:c>
      <x:c r="B3105" s="26" t="n">
        <x:v>43099.53789351852</x:v>
      </x:c>
      <x:c r="C3105" s="27" t="n">
        <x:f>INT(B3105)</x:f>
        <x:v>43099</x:v>
      </x:c>
      <x:c r="D3105" s="28" t="n">
        <x:f>MOD(B3105,1)</x:f>
        <x:v>0.5378935185217415</x:v>
      </x:c>
      <x:c r="E3105" s="29" t="n">
        <x:f>YEAR(B3105)</x:f>
        <x:v>2017</x:v>
      </x:c>
      <x:c r="F3105" s="29" t="n">
        <x:f>MONTH(B3105)</x:f>
        <x:v>12</x:v>
      </x:c>
      <x:c r="G3105" s="30" t="n">
        <x:v>-28.02</x:v>
      </x:c>
      <x:c r="H3105" s="30" t="n">
        <x:v>-71.34</x:v>
      </x:c>
      <x:c r="I3105" s="29" t="n">
        <x:v>45</x:v>
      </x:c>
      <x:c r="J3105" s="31" t="n">
        <x:v>4</x:v>
      </x:c>
      <x:c r="K3105" s="25" t="str">
        <x:f>IF(J3105&gt;=7,"Muy fuerte (&gt;=7)",IF(J3105&gt;=6,"Fuerte (6-6.9)",IF(J3105&gt;=5,"Moderado alto (5-5.9)",IF(J3105&gt;=4,"Moderado (4-4.9)","Menor a 4"))))</x:f>
        <x:v>Moderado (4-4.9)</x:v>
      </x:c>
      <x:c r="L3105" s="25" t="str">
        <x:f>IF(I3105&lt;70,"Superficial (&lt;70 km)",IF(I3105&lt;=300,"Intermedio (70-300 km)","Profundo (&gt;300 km)"))</x:f>
        <x:v>Superficial (&lt;70 km)</x:v>
      </x:c>
      <x:c r="M3105" s="25" t="str">
        <x:f>IF(J3105&gt;=5,"Sí","No")</x:f>
        <x:v>No</x:v>
      </x:c>
      <x:c r="N3105" s="25" t="str">
        <x:f>IF(J3105&gt;=6,"Sí","No")</x:f>
        <x:v>No</x:v>
      </x:c>
      <x:c r="O3105" s="25" t="str">
        <x:v>Pendiente: asignar con R/sf</x:v>
      </x:c>
    </x:row>
    <x:row r="3106">
      <x:c r="A3106" s="25" t="n">
        <x:v>3105</x:v>
      </x:c>
      <x:c r="B3106" s="26" t="n">
        <x:v>43104.25100694445</x:v>
      </x:c>
      <x:c r="C3106" s="27" t="n">
        <x:f>INT(B3106)</x:f>
        <x:v>43104</x:v>
      </x:c>
      <x:c r="D3106" s="28" t="n">
        <x:f>MOD(B3106,1)</x:f>
        <x:v>0.2510069444469991</x:v>
      </x:c>
      <x:c r="E3106" s="29" t="n">
        <x:f>YEAR(B3106)</x:f>
        <x:v>2018</x:v>
      </x:c>
      <x:c r="F3106" s="29" t="n">
        <x:f>MONTH(B3106)</x:f>
        <x:v>1</x:v>
      </x:c>
      <x:c r="G3106" s="30" t="n">
        <x:v>-32.72</x:v>
      </x:c>
      <x:c r="H3106" s="30" t="n">
        <x:v>-71.66</x:v>
      </x:c>
      <x:c r="I3106" s="29" t="n">
        <x:v>27</x:v>
      </x:c>
      <x:c r="J3106" s="31" t="n">
        <x:v>4.4</x:v>
      </x:c>
      <x:c r="K3106" s="25" t="str">
        <x:f>IF(J3106&gt;=7,"Muy fuerte (&gt;=7)",IF(J3106&gt;=6,"Fuerte (6-6.9)",IF(J3106&gt;=5,"Moderado alto (5-5.9)",IF(J3106&gt;=4,"Moderado (4-4.9)","Menor a 4"))))</x:f>
        <x:v>Moderado (4-4.9)</x:v>
      </x:c>
      <x:c r="L3106" s="25" t="str">
        <x:f>IF(I3106&lt;70,"Superficial (&lt;70 km)",IF(I3106&lt;=300,"Intermedio (70-300 km)","Profundo (&gt;300 km)"))</x:f>
        <x:v>Superficial (&lt;70 km)</x:v>
      </x:c>
      <x:c r="M3106" s="25" t="str">
        <x:f>IF(J3106&gt;=5,"Sí","No")</x:f>
        <x:v>No</x:v>
      </x:c>
      <x:c r="N3106" s="25" t="str">
        <x:f>IF(J3106&gt;=6,"Sí","No")</x:f>
        <x:v>No</x:v>
      </x:c>
      <x:c r="O3106" s="25" t="str">
        <x:v>Pendiente: asignar con R/sf</x:v>
      </x:c>
    </x:row>
    <x:row r="3107">
      <x:c r="A3107" s="25" t="n">
        <x:v>3106</x:v>
      </x:c>
      <x:c r="B3107" s="26" t="n">
        <x:v>43186.83758101852</x:v>
      </x:c>
      <x:c r="C3107" s="27" t="n">
        <x:f>INT(B3107)</x:f>
        <x:v>43186</x:v>
      </x:c>
      <x:c r="D3107" s="28" t="n">
        <x:f>MOD(B3107,1)</x:f>
        <x:v>0.8375810185170849</x:v>
      </x:c>
      <x:c r="E3107" s="29" t="n">
        <x:f>YEAR(B3107)</x:f>
        <x:v>2018</x:v>
      </x:c>
      <x:c r="F3107" s="29" t="n">
        <x:f>MONTH(B3107)</x:f>
        <x:v>3</x:v>
      </x:c>
      <x:c r="G3107" s="30" t="n">
        <x:v>-21.52</x:v>
      </x:c>
      <x:c r="H3107" s="30" t="n">
        <x:v>-70.01</x:v>
      </x:c>
      <x:c r="I3107" s="29" t="n">
        <x:v>78</x:v>
      </x:c>
      <x:c r="J3107" s="31" t="n">
        <x:v>4</x:v>
      </x:c>
      <x:c r="K3107" s="25" t="str">
        <x:f>IF(J3107&gt;=7,"Muy fuerte (&gt;=7)",IF(J3107&gt;=6,"Fuerte (6-6.9)",IF(J3107&gt;=5,"Moderado alto (5-5.9)",IF(J3107&gt;=4,"Moderado (4-4.9)","Menor a 4"))))</x:f>
        <x:v>Moderado (4-4.9)</x:v>
      </x:c>
      <x:c r="L3107" s="25" t="str">
        <x:f>IF(I3107&lt;70,"Superficial (&lt;70 km)",IF(I3107&lt;=300,"Intermedio (70-300 km)","Profundo (&gt;300 km)"))</x:f>
        <x:v>Intermedio (70-300 km)</x:v>
      </x:c>
      <x:c r="M3107" s="25" t="str">
        <x:f>IF(J3107&gt;=5,"Sí","No")</x:f>
        <x:v>No</x:v>
      </x:c>
      <x:c r="N3107" s="25" t="str">
        <x:f>IF(J3107&gt;=6,"Sí","No")</x:f>
        <x:v>No</x:v>
      </x:c>
      <x:c r="O3107" s="25" t="str">
        <x:v>Pendiente: asignar con R/sf</x:v>
      </x:c>
    </x:row>
    <x:row r="3108">
      <x:c r="A3108" s="25" t="n">
        <x:v>3107</x:v>
      </x:c>
      <x:c r="B3108" s="26" t="n">
        <x:v>43195.27271990741</x:v>
      </x:c>
      <x:c r="C3108" s="27" t="n">
        <x:f>INT(B3108)</x:f>
        <x:v>43195</x:v>
      </x:c>
      <x:c r="D3108" s="28" t="n">
        <x:f>MOD(B3108,1)</x:f>
        <x:v>0.2727199074070086</x:v>
      </x:c>
      <x:c r="E3108" s="29" t="n">
        <x:f>YEAR(B3108)</x:f>
        <x:v>2018</x:v>
      </x:c>
      <x:c r="F3108" s="29" t="n">
        <x:f>MONTH(B3108)</x:f>
        <x:v>4</x:v>
      </x:c>
      <x:c r="G3108" s="30" t="n">
        <x:v>-42.62</x:v>
      </x:c>
      <x:c r="H3108" s="30" t="n">
        <x:v>-73.93</x:v>
      </x:c>
      <x:c r="I3108" s="29" t="n">
        <x:v>36</x:v>
      </x:c>
      <x:c r="J3108" s="31" t="n">
        <x:v>5</x:v>
      </x:c>
      <x:c r="K3108" s="25" t="str">
        <x:f>IF(J3108&gt;=7,"Muy fuerte (&gt;=7)",IF(J3108&gt;=6,"Fuerte (6-6.9)",IF(J3108&gt;=5,"Moderado alto (5-5.9)",IF(J3108&gt;=4,"Moderado (4-4.9)","Menor a 4"))))</x:f>
        <x:v>Moderado alto (5-5.9)</x:v>
      </x:c>
      <x:c r="L3108" s="25" t="str">
        <x:f>IF(I3108&lt;70,"Superficial (&lt;70 km)",IF(I3108&lt;=300,"Intermedio (70-300 km)","Profundo (&gt;300 km)"))</x:f>
        <x:v>Superficial (&lt;70 km)</x:v>
      </x:c>
      <x:c r="M3108" s="25" t="str">
        <x:f>IF(J3108&gt;=5,"Sí","No")</x:f>
        <x:v>Sí</x:v>
      </x:c>
      <x:c r="N3108" s="25" t="str">
        <x:f>IF(J3108&gt;=6,"Sí","No")</x:f>
        <x:v>No</x:v>
      </x:c>
      <x:c r="O3108" s="25" t="str">
        <x:v>Pendiente: asignar con R/sf</x:v>
      </x:c>
    </x:row>
    <x:row r="3109">
      <x:c r="A3109" s="25" t="n">
        <x:v>3108</x:v>
      </x:c>
      <x:c r="B3109" s="26" t="n">
        <x:v>43121.41116898148</x:v>
      </x:c>
      <x:c r="C3109" s="27" t="n">
        <x:f>INT(B3109)</x:f>
        <x:v>43121</x:v>
      </x:c>
      <x:c r="D3109" s="28" t="n">
        <x:f>MOD(B3109,1)</x:f>
        <x:v>0.41116898148175096</x:v>
      </x:c>
      <x:c r="E3109" s="29" t="n">
        <x:f>YEAR(B3109)</x:f>
        <x:v>2018</x:v>
      </x:c>
      <x:c r="F3109" s="29" t="n">
        <x:f>MONTH(B3109)</x:f>
        <x:v>1</x:v>
      </x:c>
      <x:c r="G3109" s="30" t="n">
        <x:v>-22.54</x:v>
      </x:c>
      <x:c r="H3109" s="30" t="n">
        <x:v>-68.92</x:v>
      </x:c>
      <x:c r="I3109" s="29" t="n">
        <x:v>89</x:v>
      </x:c>
      <x:c r="J3109" s="31" t="n">
        <x:v>4</x:v>
      </x:c>
      <x:c r="K3109" s="25" t="str">
        <x:f>IF(J3109&gt;=7,"Muy fuerte (&gt;=7)",IF(J3109&gt;=6,"Fuerte (6-6.9)",IF(J3109&gt;=5,"Moderado alto (5-5.9)",IF(J3109&gt;=4,"Moderado (4-4.9)","Menor a 4"))))</x:f>
        <x:v>Moderado (4-4.9)</x:v>
      </x:c>
      <x:c r="L3109" s="25" t="str">
        <x:f>IF(I3109&lt;70,"Superficial (&lt;70 km)",IF(I3109&lt;=300,"Intermedio (70-300 km)","Profundo (&gt;300 km)"))</x:f>
        <x:v>Intermedio (70-300 km)</x:v>
      </x:c>
      <x:c r="M3109" s="25" t="str">
        <x:f>IF(J3109&gt;=5,"Sí","No")</x:f>
        <x:v>No</x:v>
      </x:c>
      <x:c r="N3109" s="25" t="str">
        <x:f>IF(J3109&gt;=6,"Sí","No")</x:f>
        <x:v>No</x:v>
      </x:c>
      <x:c r="O3109" s="25" t="str">
        <x:v>Pendiente: asignar con R/sf</x:v>
      </x:c>
    </x:row>
    <x:row r="3110">
      <x:c r="A3110" s="25" t="n">
        <x:v>3109</x:v>
      </x:c>
      <x:c r="B3110" s="26" t="n">
        <x:v>43253.262025462966</x:v>
      </x:c>
      <x:c r="C3110" s="27" t="n">
        <x:f>INT(B3110)</x:f>
        <x:v>43253</x:v>
      </x:c>
      <x:c r="D3110" s="28" t="n">
        <x:f>MOD(B3110,1)</x:f>
        <x:v>0.2620254629655392</x:v>
      </x:c>
      <x:c r="E3110" s="29" t="n">
        <x:f>YEAR(B3110)</x:f>
        <x:v>2018</x:v>
      </x:c>
      <x:c r="F3110" s="29" t="n">
        <x:f>MONTH(B3110)</x:f>
        <x:v>6</x:v>
      </x:c>
      <x:c r="G3110" s="30" t="n">
        <x:v>-38.27</x:v>
      </x:c>
      <x:c r="H3110" s="30" t="n">
        <x:v>-73.75</x:v>
      </x:c>
      <x:c r="I3110" s="29" t="n">
        <x:v>29</x:v>
      </x:c>
      <x:c r="J3110" s="31" t="n">
        <x:v>5.1</x:v>
      </x:c>
      <x:c r="K3110" s="25" t="str">
        <x:f>IF(J3110&gt;=7,"Muy fuerte (&gt;=7)",IF(J3110&gt;=6,"Fuerte (6-6.9)",IF(J3110&gt;=5,"Moderado alto (5-5.9)",IF(J3110&gt;=4,"Moderado (4-4.9)","Menor a 4"))))</x:f>
        <x:v>Moderado alto (5-5.9)</x:v>
      </x:c>
      <x:c r="L3110" s="25" t="str">
        <x:f>IF(I3110&lt;70,"Superficial (&lt;70 km)",IF(I3110&lt;=300,"Intermedio (70-300 km)","Profundo (&gt;300 km)"))</x:f>
        <x:v>Superficial (&lt;70 km)</x:v>
      </x:c>
      <x:c r="M3110" s="25" t="str">
        <x:f>IF(J3110&gt;=5,"Sí","No")</x:f>
        <x:v>Sí</x:v>
      </x:c>
      <x:c r="N3110" s="25" t="str">
        <x:f>IF(J3110&gt;=6,"Sí","No")</x:f>
        <x:v>No</x:v>
      </x:c>
      <x:c r="O3110" s="25" t="str">
        <x:v>Pendiente: asignar con R/sf</x:v>
      </x:c>
    </x:row>
    <x:row r="3111">
      <x:c r="A3111" s="25" t="n">
        <x:v>3110</x:v>
      </x:c>
      <x:c r="B3111" s="26" t="n">
        <x:v>43213.25040509259</x:v>
      </x:c>
      <x:c r="C3111" s="27" t="n">
        <x:f>INT(B3111)</x:f>
        <x:v>43213</x:v>
      </x:c>
      <x:c r="D3111" s="28" t="n">
        <x:f>MOD(B3111,1)</x:f>
        <x:v>0.2504050925927004</x:v>
      </x:c>
      <x:c r="E3111" s="29" t="n">
        <x:f>YEAR(B3111)</x:f>
        <x:v>2018</x:v>
      </x:c>
      <x:c r="F3111" s="29" t="n">
        <x:f>MONTH(B3111)</x:f>
        <x:v>4</x:v>
      </x:c>
      <x:c r="G3111" s="30" t="n">
        <x:v>-22.37</x:v>
      </x:c>
      <x:c r="H3111" s="30" t="n">
        <x:v>-68.65</x:v>
      </x:c>
      <x:c r="I3111" s="29" t="n">
        <x:v>107</x:v>
      </x:c>
      <x:c r="J3111" s="31" t="n">
        <x:v>5</x:v>
      </x:c>
      <x:c r="K3111" s="25" t="str">
        <x:f>IF(J3111&gt;=7,"Muy fuerte (&gt;=7)",IF(J3111&gt;=6,"Fuerte (6-6.9)",IF(J3111&gt;=5,"Moderado alto (5-5.9)",IF(J3111&gt;=4,"Moderado (4-4.9)","Menor a 4"))))</x:f>
        <x:v>Moderado alto (5-5.9)</x:v>
      </x:c>
      <x:c r="L3111" s="25" t="str">
        <x:f>IF(I3111&lt;70,"Superficial (&lt;70 km)",IF(I3111&lt;=300,"Intermedio (70-300 km)","Profundo (&gt;300 km)"))</x:f>
        <x:v>Intermedio (70-300 km)</x:v>
      </x:c>
      <x:c r="M3111" s="25" t="str">
        <x:f>IF(J3111&gt;=5,"Sí","No")</x:f>
        <x:v>Sí</x:v>
      </x:c>
      <x:c r="N3111" s="25" t="str">
        <x:f>IF(J3111&gt;=6,"Sí","No")</x:f>
        <x:v>No</x:v>
      </x:c>
      <x:c r="O3111" s="25" t="str">
        <x:v>Pendiente: asignar con R/sf</x:v>
      </x:c>
    </x:row>
    <x:row r="3112">
      <x:c r="A3112" s="25" t="n">
        <x:v>3111</x:v>
      </x:c>
      <x:c r="B3112" s="26" t="n">
        <x:v>43181.33583333333</x:v>
      </x:c>
      <x:c r="C3112" s="27" t="n">
        <x:f>INT(B3112)</x:f>
        <x:v>43181</x:v>
      </x:c>
      <x:c r="D3112" s="28" t="n">
        <x:f>MOD(B3112,1)</x:f>
        <x:v>0.335833333330811</x:v>
      </x:c>
      <x:c r="E3112" s="29" t="n">
        <x:f>YEAR(B3112)</x:f>
        <x:v>2018</x:v>
      </x:c>
      <x:c r="F3112" s="29" t="n">
        <x:f>MONTH(B3112)</x:f>
        <x:v>3</x:v>
      </x:c>
      <x:c r="G3112" s="30" t="n">
        <x:v>-21.41</x:v>
      </x:c>
      <x:c r="H3112" s="30" t="n">
        <x:v>-68.72</x:v>
      </x:c>
      <x:c r="I3112" s="29" t="n">
        <x:v>119</x:v>
      </x:c>
      <x:c r="J3112" s="31" t="n">
        <x:v>4.6</x:v>
      </x:c>
      <x:c r="K3112" s="25" t="str">
        <x:f>IF(J3112&gt;=7,"Muy fuerte (&gt;=7)",IF(J3112&gt;=6,"Fuerte (6-6.9)",IF(J3112&gt;=5,"Moderado alto (5-5.9)",IF(J3112&gt;=4,"Moderado (4-4.9)","Menor a 4"))))</x:f>
        <x:v>Moderado (4-4.9)</x:v>
      </x:c>
      <x:c r="L3112" s="25" t="str">
        <x:f>IF(I3112&lt;70,"Superficial (&lt;70 km)",IF(I3112&lt;=300,"Intermedio (70-300 km)","Profundo (&gt;300 km)"))</x:f>
        <x:v>Intermedio (70-300 km)</x:v>
      </x:c>
      <x:c r="M3112" s="25" t="str">
        <x:f>IF(J3112&gt;=5,"Sí","No")</x:f>
        <x:v>No</x:v>
      </x:c>
      <x:c r="N3112" s="25" t="str">
        <x:f>IF(J3112&gt;=6,"Sí","No")</x:f>
        <x:v>No</x:v>
      </x:c>
      <x:c r="O3112" s="25" t="str">
        <x:v>Pendiente: asignar con R/sf</x:v>
      </x:c>
    </x:row>
    <x:row r="3113">
      <x:c r="A3113" s="25" t="n">
        <x:v>3112</x:v>
      </x:c>
      <x:c r="B3113" s="26" t="n">
        <x:v>43254.340416666666</x:v>
      </x:c>
      <x:c r="C3113" s="27" t="n">
        <x:f>INT(B3113)</x:f>
        <x:v>43254</x:v>
      </x:c>
      <x:c r="D3113" s="28" t="n">
        <x:f>MOD(B3113,1)</x:f>
        <x:v>0.3404166666659876</x:v>
      </x:c>
      <x:c r="E3113" s="29" t="n">
        <x:f>YEAR(B3113)</x:f>
        <x:v>2018</x:v>
      </x:c>
      <x:c r="F3113" s="29" t="n">
        <x:f>MONTH(B3113)</x:f>
        <x:v>6</x:v>
      </x:c>
      <x:c r="G3113" s="30" t="n">
        <x:v>-21.92</x:v>
      </x:c>
      <x:c r="H3113" s="30" t="n">
        <x:v>-68.77</x:v>
      </x:c>
      <x:c r="I3113" s="29" t="n">
        <x:v>98</x:v>
      </x:c>
      <x:c r="J3113" s="31" t="n">
        <x:v>4.6</x:v>
      </x:c>
      <x:c r="K3113" s="25" t="str">
        <x:f>IF(J3113&gt;=7,"Muy fuerte (&gt;=7)",IF(J3113&gt;=6,"Fuerte (6-6.9)",IF(J3113&gt;=5,"Moderado alto (5-5.9)",IF(J3113&gt;=4,"Moderado (4-4.9)","Menor a 4"))))</x:f>
        <x:v>Moderado (4-4.9)</x:v>
      </x:c>
      <x:c r="L3113" s="25" t="str">
        <x:f>IF(I3113&lt;70,"Superficial (&lt;70 km)",IF(I3113&lt;=300,"Intermedio (70-300 km)","Profundo (&gt;300 km)"))</x:f>
        <x:v>Intermedio (70-300 km)</x:v>
      </x:c>
      <x:c r="M3113" s="25" t="str">
        <x:f>IF(J3113&gt;=5,"Sí","No")</x:f>
        <x:v>No</x:v>
      </x:c>
      <x:c r="N3113" s="25" t="str">
        <x:f>IF(J3113&gt;=6,"Sí","No")</x:f>
        <x:v>No</x:v>
      </x:c>
      <x:c r="O3113" s="25" t="str">
        <x:v>Pendiente: asignar con R/sf</x:v>
      </x:c>
    </x:row>
    <x:row r="3114">
      <x:c r="A3114" s="25" t="n">
        <x:v>3113</x:v>
      </x:c>
      <x:c r="B3114" s="26" t="n">
        <x:v>43283.39572916667</x:v>
      </x:c>
      <x:c r="C3114" s="27" t="n">
        <x:f>INT(B3114)</x:f>
        <x:v>43283</x:v>
      </x:c>
      <x:c r="D3114" s="28" t="n">
        <x:f>MOD(B3114,1)</x:f>
        <x:v>0.39572916666656965</x:v>
      </x:c>
      <x:c r="E3114" s="29" t="n">
        <x:f>YEAR(B3114)</x:f>
        <x:v>2018</x:v>
      </x:c>
      <x:c r="F3114" s="29" t="n">
        <x:f>MONTH(B3114)</x:f>
        <x:v>7</x:v>
      </x:c>
      <x:c r="G3114" s="30" t="n">
        <x:v>-23.22</x:v>
      </x:c>
      <x:c r="H3114" s="30" t="n">
        <x:v>-68.91</x:v>
      </x:c>
      <x:c r="I3114" s="29" t="n">
        <x:v>110</x:v>
      </x:c>
      <x:c r="J3114" s="31" t="n">
        <x:v>5.1</x:v>
      </x:c>
      <x:c r="K3114" s="25" t="str">
        <x:f>IF(J3114&gt;=7,"Muy fuerte (&gt;=7)",IF(J3114&gt;=6,"Fuerte (6-6.9)",IF(J3114&gt;=5,"Moderado alto (5-5.9)",IF(J3114&gt;=4,"Moderado (4-4.9)","Menor a 4"))))</x:f>
        <x:v>Moderado alto (5-5.9)</x:v>
      </x:c>
      <x:c r="L3114" s="25" t="str">
        <x:f>IF(I3114&lt;70,"Superficial (&lt;70 km)",IF(I3114&lt;=300,"Intermedio (70-300 km)","Profundo (&gt;300 km)"))</x:f>
        <x:v>Intermedio (70-300 km)</x:v>
      </x:c>
      <x:c r="M3114" s="25" t="str">
        <x:f>IF(J3114&gt;=5,"Sí","No")</x:f>
        <x:v>Sí</x:v>
      </x:c>
      <x:c r="N3114" s="25" t="str">
        <x:f>IF(J3114&gt;=6,"Sí","No")</x:f>
        <x:v>No</x:v>
      </x:c>
      <x:c r="O3114" s="25" t="str">
        <x:v>Pendiente: asignar con R/sf</x:v>
      </x:c>
    </x:row>
    <x:row r="3115">
      <x:c r="A3115" s="25" t="n">
        <x:v>3114</x:v>
      </x:c>
      <x:c r="B3115" s="26" t="n">
        <x:v>43222.67354166666</x:v>
      </x:c>
      <x:c r="C3115" s="27" t="n">
        <x:f>INT(B3115)</x:f>
        <x:v>43222</x:v>
      </x:c>
      <x:c r="D3115" s="28" t="n">
        <x:f>MOD(B3115,1)</x:f>
        <x:v>0.6735416666633682</x:v>
      </x:c>
      <x:c r="E3115" s="29" t="n">
        <x:f>YEAR(B3115)</x:f>
        <x:v>2018</x:v>
      </x:c>
      <x:c r="F3115" s="29" t="n">
        <x:f>MONTH(B3115)</x:f>
        <x:v>5</x:v>
      </x:c>
      <x:c r="G3115" s="30" t="n">
        <x:v>-33.26</x:v>
      </x:c>
      <x:c r="H3115" s="30" t="n">
        <x:v>-70.11</x:v>
      </x:c>
      <x:c r="I3115" s="29" t="n">
        <x:v>110</x:v>
      </x:c>
      <x:c r="J3115" s="31" t="n">
        <x:v>5.1</x:v>
      </x:c>
      <x:c r="K3115" s="25" t="str">
        <x:f>IF(J3115&gt;=7,"Muy fuerte (&gt;=7)",IF(J3115&gt;=6,"Fuerte (6-6.9)",IF(J3115&gt;=5,"Moderado alto (5-5.9)",IF(J3115&gt;=4,"Moderado (4-4.9)","Menor a 4"))))</x:f>
        <x:v>Moderado alto (5-5.9)</x:v>
      </x:c>
      <x:c r="L3115" s="25" t="str">
        <x:f>IF(I3115&lt;70,"Superficial (&lt;70 km)",IF(I3115&lt;=300,"Intermedio (70-300 km)","Profundo (&gt;300 km)"))</x:f>
        <x:v>Intermedio (70-300 km)</x:v>
      </x:c>
      <x:c r="M3115" s="25" t="str">
        <x:f>IF(J3115&gt;=5,"Sí","No")</x:f>
        <x:v>Sí</x:v>
      </x:c>
      <x:c r="N3115" s="25" t="str">
        <x:f>IF(J3115&gt;=6,"Sí","No")</x:f>
        <x:v>No</x:v>
      </x:c>
      <x:c r="O3115" s="25" t="str">
        <x:v>Pendiente: asignar con R/sf</x:v>
      </x:c>
    </x:row>
    <x:row r="3116">
      <x:c r="A3116" s="25" t="n">
        <x:v>3115</x:v>
      </x:c>
      <x:c r="B3116" s="26" t="n">
        <x:v>43125.49564814815</x:v>
      </x:c>
      <x:c r="C3116" s="27" t="n">
        <x:f>INT(B3116)</x:f>
        <x:v>43125</x:v>
      </x:c>
      <x:c r="D3116" s="28" t="n">
        <x:f>MOD(B3116,1)</x:f>
        <x:v>0.49564814814948477</x:v>
      </x:c>
      <x:c r="E3116" s="29" t="n">
        <x:f>YEAR(B3116)</x:f>
        <x:v>2018</x:v>
      </x:c>
      <x:c r="F3116" s="29" t="n">
        <x:f>MONTH(B3116)</x:f>
        <x:v>1</x:v>
      </x:c>
      <x:c r="G3116" s="30" t="n">
        <x:v>-18.25</x:v>
      </x:c>
      <x:c r="H3116" s="30" t="n">
        <x:v>-69.12</x:v>
      </x:c>
      <x:c r="I3116" s="29" t="n">
        <x:v>11</x:v>
      </x:c>
      <x:c r="J3116" s="31" t="n">
        <x:v>5.3</x:v>
      </x:c>
      <x:c r="K3116" s="25" t="str">
        <x:f>IF(J3116&gt;=7,"Muy fuerte (&gt;=7)",IF(J3116&gt;=6,"Fuerte (6-6.9)",IF(J3116&gt;=5,"Moderado alto (5-5.9)",IF(J3116&gt;=4,"Moderado (4-4.9)","Menor a 4"))))</x:f>
        <x:v>Moderado alto (5-5.9)</x:v>
      </x:c>
      <x:c r="L3116" s="25" t="str">
        <x:f>IF(I3116&lt;70,"Superficial (&lt;70 km)",IF(I3116&lt;=300,"Intermedio (70-300 km)","Profundo (&gt;300 km)"))</x:f>
        <x:v>Superficial (&lt;70 km)</x:v>
      </x:c>
      <x:c r="M3116" s="25" t="str">
        <x:f>IF(J3116&gt;=5,"Sí","No")</x:f>
        <x:v>Sí</x:v>
      </x:c>
      <x:c r="N3116" s="25" t="str">
        <x:f>IF(J3116&gt;=6,"Sí","No")</x:f>
        <x:v>No</x:v>
      </x:c>
      <x:c r="O3116" s="25" t="str">
        <x:v>Pendiente: asignar con R/sf</x:v>
      </x:c>
    </x:row>
    <x:row r="3117">
      <x:c r="A3117" s="25" t="n">
        <x:v>3116</x:v>
      </x:c>
      <x:c r="B3117" s="26" t="n">
        <x:v>43125.682175925926</x:v>
      </x:c>
      <x:c r="C3117" s="27" t="n">
        <x:f>INT(B3117)</x:f>
        <x:v>43125</x:v>
      </x:c>
      <x:c r="D3117" s="28" t="n">
        <x:f>MOD(B3117,1)</x:f>
        <x:v>0.6821759259255487</x:v>
      </x:c>
      <x:c r="E3117" s="29" t="n">
        <x:f>YEAR(B3117)</x:f>
        <x:v>2018</x:v>
      </x:c>
      <x:c r="F3117" s="29" t="n">
        <x:f>MONTH(B3117)</x:f>
        <x:v>1</x:v>
      </x:c>
      <x:c r="G3117" s="30" t="n">
        <x:v>-18.32</x:v>
      </x:c>
      <x:c r="H3117" s="30" t="n">
        <x:v>-69.19</x:v>
      </x:c>
      <x:c r="I3117" s="29" t="n">
        <x:v>12</x:v>
      </x:c>
      <x:c r="J3117" s="31" t="n">
        <x:v>4.2</x:v>
      </x:c>
      <x:c r="K3117" s="25" t="str">
        <x:f>IF(J3117&gt;=7,"Muy fuerte (&gt;=7)",IF(J3117&gt;=6,"Fuerte (6-6.9)",IF(J3117&gt;=5,"Moderado alto (5-5.9)",IF(J3117&gt;=4,"Moderado (4-4.9)","Menor a 4"))))</x:f>
        <x:v>Moderado (4-4.9)</x:v>
      </x:c>
      <x:c r="L3117" s="25" t="str">
        <x:f>IF(I3117&lt;70,"Superficial (&lt;70 km)",IF(I3117&lt;=300,"Intermedio (70-300 km)","Profundo (&gt;300 km)"))</x:f>
        <x:v>Superficial (&lt;70 km)</x:v>
      </x:c>
      <x:c r="M3117" s="25" t="str">
        <x:f>IF(J3117&gt;=5,"Sí","No")</x:f>
        <x:v>No</x:v>
      </x:c>
      <x:c r="N3117" s="25" t="str">
        <x:f>IF(J3117&gt;=6,"Sí","No")</x:f>
        <x:v>No</x:v>
      </x:c>
      <x:c r="O3117" s="25" t="str">
        <x:v>Pendiente: asignar con R/sf</x:v>
      </x:c>
    </x:row>
    <x:row r="3118">
      <x:c r="A3118" s="25" t="n">
        <x:v>3117</x:v>
      </x:c>
      <x:c r="B3118" s="26" t="n">
        <x:v>43330.79953703703</x:v>
      </x:c>
      <x:c r="C3118" s="27" t="n">
        <x:f>INT(B3118)</x:f>
        <x:v>43330</x:v>
      </x:c>
      <x:c r="D3118" s="28" t="n">
        <x:f>MOD(B3118,1)</x:f>
        <x:v>0.7995370370335877</x:v>
      </x:c>
      <x:c r="E3118" s="29" t="n">
        <x:f>YEAR(B3118)</x:f>
        <x:v>2018</x:v>
      </x:c>
      <x:c r="F3118" s="29" t="n">
        <x:f>MONTH(B3118)</x:f>
        <x:v>8</x:v>
      </x:c>
      <x:c r="G3118" s="30" t="n">
        <x:v>-22.56</x:v>
      </x:c>
      <x:c r="H3118" s="30" t="n">
        <x:v>-66.5</x:v>
      </x:c>
      <x:c r="I3118" s="29" t="n">
        <x:v>297</x:v>
      </x:c>
      <x:c r="J3118" s="31" t="n">
        <x:v>4</x:v>
      </x:c>
      <x:c r="K3118" s="25" t="str">
        <x:f>IF(J3118&gt;=7,"Muy fuerte (&gt;=7)",IF(J3118&gt;=6,"Fuerte (6-6.9)",IF(J3118&gt;=5,"Moderado alto (5-5.9)",IF(J3118&gt;=4,"Moderado (4-4.9)","Menor a 4"))))</x:f>
        <x:v>Moderado (4-4.9)</x:v>
      </x:c>
      <x:c r="L3118" s="25" t="str">
        <x:f>IF(I3118&lt;70,"Superficial (&lt;70 km)",IF(I3118&lt;=300,"Intermedio (70-300 km)","Profundo (&gt;300 km)"))</x:f>
        <x:v>Intermedio (70-300 km)</x:v>
      </x:c>
      <x:c r="M3118" s="25" t="str">
        <x:f>IF(J3118&gt;=5,"Sí","No")</x:f>
        <x:v>No</x:v>
      </x:c>
      <x:c r="N3118" s="25" t="str">
        <x:f>IF(J3118&gt;=6,"Sí","No")</x:f>
        <x:v>No</x:v>
      </x:c>
      <x:c r="O3118" s="25" t="str">
        <x:v>Pendiente: asignar con R/sf</x:v>
      </x:c>
    </x:row>
    <x:row r="3119">
      <x:c r="A3119" s="25" t="n">
        <x:v>3118</x:v>
      </x:c>
      <x:c r="B3119" s="26" t="n">
        <x:v>43335.2378125</x:v>
      </x:c>
      <x:c r="C3119" s="27" t="n">
        <x:f>INT(B3119)</x:f>
        <x:v>43335</x:v>
      </x:c>
      <x:c r="D3119" s="28" t="n">
        <x:f>MOD(B3119,1)</x:f>
        <x:v>0.23781250000320142</x:v>
      </x:c>
      <x:c r="E3119" s="29" t="n">
        <x:f>YEAR(B3119)</x:f>
        <x:v>2018</x:v>
      </x:c>
      <x:c r="F3119" s="29" t="n">
        <x:f>MONTH(B3119)</x:f>
        <x:v>8</x:v>
      </x:c>
      <x:c r="G3119" s="30" t="n">
        <x:v>-21.29</x:v>
      </x:c>
      <x:c r="H3119" s="30" t="n">
        <x:v>-68.79</x:v>
      </x:c>
      <x:c r="I3119" s="29" t="n">
        <x:v>108</x:v>
      </x:c>
      <x:c r="J3119" s="31" t="n">
        <x:v>4.3</x:v>
      </x:c>
      <x:c r="K3119" s="25" t="str">
        <x:f>IF(J3119&gt;=7,"Muy fuerte (&gt;=7)",IF(J3119&gt;=6,"Fuerte (6-6.9)",IF(J3119&gt;=5,"Moderado alto (5-5.9)",IF(J3119&gt;=4,"Moderado (4-4.9)","Menor a 4"))))</x:f>
        <x:v>Moderado (4-4.9)</x:v>
      </x:c>
      <x:c r="L3119" s="25" t="str">
        <x:f>IF(I3119&lt;70,"Superficial (&lt;70 km)",IF(I3119&lt;=300,"Intermedio (70-300 km)","Profundo (&gt;300 km)"))</x:f>
        <x:v>Intermedio (70-300 km)</x:v>
      </x:c>
      <x:c r="M3119" s="25" t="str">
        <x:f>IF(J3119&gt;=5,"Sí","No")</x:f>
        <x:v>No</x:v>
      </x:c>
      <x:c r="N3119" s="25" t="str">
        <x:f>IF(J3119&gt;=6,"Sí","No")</x:f>
        <x:v>No</x:v>
      </x:c>
      <x:c r="O3119" s="25" t="str">
        <x:v>Pendiente: asignar con R/sf</x:v>
      </x:c>
    </x:row>
    <x:row r="3120">
      <x:c r="A3120" s="25" t="n">
        <x:v>3119</x:v>
      </x:c>
      <x:c r="B3120" s="26" t="n">
        <x:v>43341.51732638889</x:v>
      </x:c>
      <x:c r="C3120" s="27" t="n">
        <x:f>INT(B3120)</x:f>
        <x:v>43341</x:v>
      </x:c>
      <x:c r="D3120" s="28" t="n">
        <x:f>MOD(B3120,1)</x:f>
        <x:v>0.5173263888864312</x:v>
      </x:c>
      <x:c r="E3120" s="29" t="n">
        <x:f>YEAR(B3120)</x:f>
        <x:v>2018</x:v>
      </x:c>
      <x:c r="F3120" s="29" t="n">
        <x:f>MONTH(B3120)</x:f>
        <x:v>8</x:v>
      </x:c>
      <x:c r="G3120" s="30" t="n">
        <x:v>-20.72</x:v>
      </x:c>
      <x:c r="H3120" s="30" t="n">
        <x:v>-68.95</x:v>
      </x:c>
      <x:c r="I3120" s="29" t="n">
        <x:v>99</x:v>
      </x:c>
      <x:c r="J3120" s="31" t="n">
        <x:v>4.1</x:v>
      </x:c>
      <x:c r="K3120" s="25" t="str">
        <x:f>IF(J3120&gt;=7,"Muy fuerte (&gt;=7)",IF(J3120&gt;=6,"Fuerte (6-6.9)",IF(J3120&gt;=5,"Moderado alto (5-5.9)",IF(J3120&gt;=4,"Moderado (4-4.9)","Menor a 4"))))</x:f>
        <x:v>Moderado (4-4.9)</x:v>
      </x:c>
      <x:c r="L3120" s="25" t="str">
        <x:f>IF(I3120&lt;70,"Superficial (&lt;70 km)",IF(I3120&lt;=300,"Intermedio (70-300 km)","Profundo (&gt;300 km)"))</x:f>
        <x:v>Intermedio (70-300 km)</x:v>
      </x:c>
      <x:c r="M3120" s="25" t="str">
        <x:f>IF(J3120&gt;=5,"Sí","No")</x:f>
        <x:v>No</x:v>
      </x:c>
      <x:c r="N3120" s="25" t="str">
        <x:f>IF(J3120&gt;=6,"Sí","No")</x:f>
        <x:v>No</x:v>
      </x:c>
      <x:c r="O3120" s="25" t="str">
        <x:v>Pendiente: asignar con R/sf</x:v>
      </x:c>
    </x:row>
    <x:row r="3121">
      <x:c r="A3121" s="25" t="n">
        <x:v>3120</x:v>
      </x:c>
      <x:c r="B3121" s="26" t="n">
        <x:v>43348.84491898148</x:v>
      </x:c>
      <x:c r="C3121" s="27" t="n">
        <x:f>INT(B3121)</x:f>
        <x:v>43348</x:v>
      </x:c>
      <x:c r="D3121" s="28" t="n">
        <x:f>MOD(B3121,1)</x:f>
        <x:v>0.8449189814782585</x:v>
      </x:c>
      <x:c r="E3121" s="29" t="n">
        <x:f>YEAR(B3121)</x:f>
        <x:v>2018</x:v>
      </x:c>
      <x:c r="F3121" s="29" t="n">
        <x:f>MONTH(B3121)</x:f>
        <x:v>9</x:v>
      </x:c>
      <x:c r="G3121" s="30" t="n">
        <x:v>-34.38</x:v>
      </x:c>
      <x:c r="H3121" s="30" t="n">
        <x:v>-70.59</x:v>
      </x:c>
      <x:c r="I3121" s="29" t="n">
        <x:v>127</x:v>
      </x:c>
      <x:c r="J3121" s="31" t="n">
        <x:v>5</x:v>
      </x:c>
      <x:c r="K3121" s="25" t="str">
        <x:f>IF(J3121&gt;=7,"Muy fuerte (&gt;=7)",IF(J3121&gt;=6,"Fuerte (6-6.9)",IF(J3121&gt;=5,"Moderado alto (5-5.9)",IF(J3121&gt;=4,"Moderado (4-4.9)","Menor a 4"))))</x:f>
        <x:v>Moderado alto (5-5.9)</x:v>
      </x:c>
      <x:c r="L3121" s="25" t="str">
        <x:f>IF(I3121&lt;70,"Superficial (&lt;70 km)",IF(I3121&lt;=300,"Intermedio (70-300 km)","Profundo (&gt;300 km)"))</x:f>
        <x:v>Intermedio (70-300 km)</x:v>
      </x:c>
      <x:c r="M3121" s="25" t="str">
        <x:f>IF(J3121&gt;=5,"Sí","No")</x:f>
        <x:v>Sí</x:v>
      </x:c>
      <x:c r="N3121" s="25" t="str">
        <x:f>IF(J3121&gt;=6,"Sí","No")</x:f>
        <x:v>No</x:v>
      </x:c>
      <x:c r="O3121" s="25" t="str">
        <x:v>Pendiente: asignar con R/sf</x:v>
      </x:c>
    </x:row>
    <x:row r="3122">
      <x:c r="A3122" s="25" t="n">
        <x:v>3121</x:v>
      </x:c>
      <x:c r="B3122" s="26" t="n">
        <x:v>43359.29251157407</x:v>
      </x:c>
      <x:c r="C3122" s="27" t="n">
        <x:f>INT(B3122)</x:f>
        <x:v>43359</x:v>
      </x:c>
      <x:c r="D3122" s="28" t="n">
        <x:f>MOD(B3122,1)</x:f>
        <x:v>0.2925115740727051</x:v>
      </x:c>
      <x:c r="E3122" s="29" t="n">
        <x:f>YEAR(B3122)</x:f>
        <x:v>2018</x:v>
      </x:c>
      <x:c r="F3122" s="29" t="n">
        <x:f>MONTH(B3122)</x:f>
        <x:v>9</x:v>
      </x:c>
      <x:c r="G3122" s="30" t="n">
        <x:v>-18.83</x:v>
      </x:c>
      <x:c r="H3122" s="30" t="n">
        <x:v>-69.94</x:v>
      </x:c>
      <x:c r="I3122" s="29" t="n">
        <x:v>80</x:v>
      </x:c>
      <x:c r="J3122" s="31" t="n">
        <x:v>4</x:v>
      </x:c>
      <x:c r="K3122" s="25" t="str">
        <x:f>IF(J3122&gt;=7,"Muy fuerte (&gt;=7)",IF(J3122&gt;=6,"Fuerte (6-6.9)",IF(J3122&gt;=5,"Moderado alto (5-5.9)",IF(J3122&gt;=4,"Moderado (4-4.9)","Menor a 4"))))</x:f>
        <x:v>Moderado (4-4.9)</x:v>
      </x:c>
      <x:c r="L3122" s="25" t="str">
        <x:f>IF(I3122&lt;70,"Superficial (&lt;70 km)",IF(I3122&lt;=300,"Intermedio (70-300 km)","Profundo (&gt;300 km)"))</x:f>
        <x:v>Intermedio (70-300 km)</x:v>
      </x:c>
      <x:c r="M3122" s="25" t="str">
        <x:f>IF(J3122&gt;=5,"Sí","No")</x:f>
        <x:v>No</x:v>
      </x:c>
      <x:c r="N3122" s="25" t="str">
        <x:f>IF(J3122&gt;=6,"Sí","No")</x:f>
        <x:v>No</x:v>
      </x:c>
      <x:c r="O3122" s="25" t="str">
        <x:v>Pendiente: asignar con R/sf</x:v>
      </x:c>
    </x:row>
    <x:row r="3123">
      <x:c r="A3123" s="25" t="n">
        <x:v>3122</x:v>
      </x:c>
      <x:c r="B3123" s="26" t="n">
        <x:v>43365.551400462966</x:v>
      </x:c>
      <x:c r="C3123" s="27" t="n">
        <x:f>INT(B3123)</x:f>
        <x:v>43365</x:v>
      </x:c>
      <x:c r="D3123" s="28" t="n">
        <x:f>MOD(B3123,1)</x:f>
        <x:v>0.5514004629658302</x:v>
      </x:c>
      <x:c r="E3123" s="29" t="n">
        <x:f>YEAR(B3123)</x:f>
        <x:v>2018</x:v>
      </x:c>
      <x:c r="F3123" s="29" t="n">
        <x:f>MONTH(B3123)</x:f>
        <x:v>9</x:v>
      </x:c>
      <x:c r="G3123" s="30" t="n">
        <x:v>-26.07</x:v>
      </x:c>
      <x:c r="H3123" s="30" t="n">
        <x:v>-70.49</x:v>
      </x:c>
      <x:c r="I3123" s="29" t="n">
        <x:v>39</x:v>
      </x:c>
      <x:c r="J3123" s="31" t="n">
        <x:v>5.3</x:v>
      </x:c>
      <x:c r="K3123" s="25" t="str">
        <x:f>IF(J3123&gt;=7,"Muy fuerte (&gt;=7)",IF(J3123&gt;=6,"Fuerte (6-6.9)",IF(J3123&gt;=5,"Moderado alto (5-5.9)",IF(J3123&gt;=4,"Moderado (4-4.9)","Menor a 4"))))</x:f>
        <x:v>Moderado alto (5-5.9)</x:v>
      </x:c>
      <x:c r="L3123" s="25" t="str">
        <x:f>IF(I3123&lt;70,"Superficial (&lt;70 km)",IF(I3123&lt;=300,"Intermedio (70-300 km)","Profundo (&gt;300 km)"))</x:f>
        <x:v>Superficial (&lt;70 km)</x:v>
      </x:c>
      <x:c r="M3123" s="25" t="str">
        <x:f>IF(J3123&gt;=5,"Sí","No")</x:f>
        <x:v>Sí</x:v>
      </x:c>
      <x:c r="N3123" s="25" t="str">
        <x:f>IF(J3123&gt;=6,"Sí","No")</x:f>
        <x:v>No</x:v>
      </x:c>
      <x:c r="O3123" s="25" t="str">
        <x:v>Pendiente: asignar con R/sf</x:v>
      </x:c>
    </x:row>
    <x:row r="3124">
      <x:c r="A3124" s="25" t="n">
        <x:v>3123</x:v>
      </x:c>
      <x:c r="B3124" s="26" t="n">
        <x:v>43366.23068287037</x:v>
      </x:c>
      <x:c r="C3124" s="27" t="n">
        <x:f>INT(B3124)</x:f>
        <x:v>43366</x:v>
      </x:c>
      <x:c r="D3124" s="28" t="n">
        <x:f>MOD(B3124,1)</x:f>
        <x:v>0.23068287037312984</x:v>
      </x:c>
      <x:c r="E3124" s="29" t="n">
        <x:f>YEAR(B3124)</x:f>
        <x:v>2018</x:v>
      </x:c>
      <x:c r="F3124" s="29" t="n">
        <x:f>MONTH(B3124)</x:f>
        <x:v>9</x:v>
      </x:c>
      <x:c r="G3124" s="30" t="n">
        <x:v>-24.36</x:v>
      </x:c>
      <x:c r="H3124" s="30" t="n">
        <x:v>-70.04</x:v>
      </x:c>
      <x:c r="I3124" s="29" t="n">
        <x:v>66</x:v>
      </x:c>
      <x:c r="J3124" s="31" t="n">
        <x:v>5.6</x:v>
      </x:c>
      <x:c r="K3124" s="25" t="str">
        <x:f>IF(J3124&gt;=7,"Muy fuerte (&gt;=7)",IF(J3124&gt;=6,"Fuerte (6-6.9)",IF(J3124&gt;=5,"Moderado alto (5-5.9)",IF(J3124&gt;=4,"Moderado (4-4.9)","Menor a 4"))))</x:f>
        <x:v>Moderado alto (5-5.9)</x:v>
      </x:c>
      <x:c r="L3124" s="25" t="str">
        <x:f>IF(I3124&lt;70,"Superficial (&lt;70 km)",IF(I3124&lt;=300,"Intermedio (70-300 km)","Profundo (&gt;300 km)"))</x:f>
        <x:v>Superficial (&lt;70 km)</x:v>
      </x:c>
      <x:c r="M3124" s="25" t="str">
        <x:f>IF(J3124&gt;=5,"Sí","No")</x:f>
        <x:v>Sí</x:v>
      </x:c>
      <x:c r="N3124" s="25" t="str">
        <x:f>IF(J3124&gt;=6,"Sí","No")</x:f>
        <x:v>No</x:v>
      </x:c>
      <x:c r="O3124" s="25" t="str">
        <x:v>Pendiente: asignar con R/sf</x:v>
      </x:c>
    </x:row>
    <x:row r="3125">
      <x:c r="A3125" s="25" t="n">
        <x:v>3124</x:v>
      </x:c>
      <x:c r="B3125" s="26" t="n">
        <x:v>43113.59657407407</x:v>
      </x:c>
      <x:c r="C3125" s="27" t="n">
        <x:f>INT(B3125)</x:f>
        <x:v>43113</x:v>
      </x:c>
      <x:c r="D3125" s="28" t="n">
        <x:f>MOD(B3125,1)</x:f>
        <x:v>0.596574074072123</x:v>
      </x:c>
      <x:c r="E3125" s="29" t="n">
        <x:f>YEAR(B3125)</x:f>
        <x:v>2018</x:v>
      </x:c>
      <x:c r="F3125" s="29" t="n">
        <x:f>MONTH(B3125)</x:f>
        <x:v>1</x:v>
      </x:c>
      <x:c r="G3125" s="30" t="n">
        <x:v>-21.46</x:v>
      </x:c>
      <x:c r="H3125" s="30" t="n">
        <x:v>-68.78</x:v>
      </x:c>
      <x:c r="I3125" s="29" t="n">
        <x:v>116</x:v>
      </x:c>
      <x:c r="J3125" s="31" t="n">
        <x:v>4.6</x:v>
      </x:c>
      <x:c r="K3125" s="25" t="str">
        <x:f>IF(J3125&gt;=7,"Muy fuerte (&gt;=7)",IF(J3125&gt;=6,"Fuerte (6-6.9)",IF(J3125&gt;=5,"Moderado alto (5-5.9)",IF(J3125&gt;=4,"Moderado (4-4.9)","Menor a 4"))))</x:f>
        <x:v>Moderado (4-4.9)</x:v>
      </x:c>
      <x:c r="L3125" s="25" t="str">
        <x:f>IF(I3125&lt;70,"Superficial (&lt;70 km)",IF(I3125&lt;=300,"Intermedio (70-300 km)","Profundo (&gt;300 km)"))</x:f>
        <x:v>Intermedio (70-300 km)</x:v>
      </x:c>
      <x:c r="M3125" s="25" t="str">
        <x:f>IF(J3125&gt;=5,"Sí","No")</x:f>
        <x:v>No</x:v>
      </x:c>
      <x:c r="N3125" s="25" t="str">
        <x:f>IF(J3125&gt;=6,"Sí","No")</x:f>
        <x:v>No</x:v>
      </x:c>
      <x:c r="O3125" s="25" t="str">
        <x:v>Pendiente: asignar con R/sf</x:v>
      </x:c>
    </x:row>
    <x:row r="3126">
      <x:c r="A3126" s="25" t="n">
        <x:v>3125</x:v>
      </x:c>
      <x:c r="B3126" s="26" t="n">
        <x:v>43115.207407407404</x:v>
      </x:c>
      <x:c r="C3126" s="27" t="n">
        <x:f>INT(B3126)</x:f>
        <x:v>43115</x:v>
      </x:c>
      <x:c r="D3126" s="28" t="n">
        <x:f>MOD(B3126,1)</x:f>
        <x:v>0.20740740740438923</x:v>
      </x:c>
      <x:c r="E3126" s="29" t="n">
        <x:f>YEAR(B3126)</x:f>
        <x:v>2018</x:v>
      </x:c>
      <x:c r="F3126" s="29" t="n">
        <x:f>MONTH(B3126)</x:f>
        <x:v>1</x:v>
      </x:c>
      <x:c r="G3126" s="30" t="n">
        <x:v>-21.72</x:v>
      </x:c>
      <x:c r="H3126" s="30" t="n">
        <x:v>-68.57</x:v>
      </x:c>
      <x:c r="I3126" s="29" t="n">
        <x:v>112</x:v>
      </x:c>
      <x:c r="J3126" s="31" t="n">
        <x:v>4.5</x:v>
      </x:c>
      <x:c r="K3126" s="25" t="str">
        <x:f>IF(J3126&gt;=7,"Muy fuerte (&gt;=7)",IF(J3126&gt;=6,"Fuerte (6-6.9)",IF(J3126&gt;=5,"Moderado alto (5-5.9)",IF(J3126&gt;=4,"Moderado (4-4.9)","Menor a 4"))))</x:f>
        <x:v>Moderado (4-4.9)</x:v>
      </x:c>
      <x:c r="L3126" s="25" t="str">
        <x:f>IF(I3126&lt;70,"Superficial (&lt;70 km)",IF(I3126&lt;=300,"Intermedio (70-300 km)","Profundo (&gt;300 km)"))</x:f>
        <x:v>Intermedio (70-300 km)</x:v>
      </x:c>
      <x:c r="M3126" s="25" t="str">
        <x:f>IF(J3126&gt;=5,"Sí","No")</x:f>
        <x:v>No</x:v>
      </x:c>
      <x:c r="N3126" s="25" t="str">
        <x:f>IF(J3126&gt;=6,"Sí","No")</x:f>
        <x:v>No</x:v>
      </x:c>
      <x:c r="O3126" s="25" t="str">
        <x:v>Pendiente: asignar con R/sf</x:v>
      </x:c>
    </x:row>
    <x:row r="3127">
      <x:c r="A3127" s="25" t="n">
        <x:v>3126</x:v>
      </x:c>
      <x:c r="B3127" s="26" t="n">
        <x:v>43176.31303240741</x:v>
      </x:c>
      <x:c r="C3127" s="27" t="n">
        <x:f>INT(B3127)</x:f>
        <x:v>43176</x:v>
      </x:c>
      <x:c r="D3127" s="28" t="n">
        <x:f>MOD(B3127,1)</x:f>
        <x:v>0.31303240740817273</x:v>
      </x:c>
      <x:c r="E3127" s="29" t="n">
        <x:f>YEAR(B3127)</x:f>
        <x:v>2018</x:v>
      </x:c>
      <x:c r="F3127" s="29" t="n">
        <x:f>MONTH(B3127)</x:f>
        <x:v>3</x:v>
      </x:c>
      <x:c r="G3127" s="30" t="n">
        <x:v>-23.36</x:v>
      </x:c>
      <x:c r="H3127" s="30" t="n">
        <x:v>-69.19</x:v>
      </x:c>
      <x:c r="I3127" s="29" t="n">
        <x:v>94</x:v>
      </x:c>
      <x:c r="J3127" s="31" t="n">
        <x:v>4.4</x:v>
      </x:c>
      <x:c r="K3127" s="25" t="str">
        <x:f>IF(J3127&gt;=7,"Muy fuerte (&gt;=7)",IF(J3127&gt;=6,"Fuerte (6-6.9)",IF(J3127&gt;=5,"Moderado alto (5-5.9)",IF(J3127&gt;=4,"Moderado (4-4.9)","Menor a 4"))))</x:f>
        <x:v>Moderado (4-4.9)</x:v>
      </x:c>
      <x:c r="L3127" s="25" t="str">
        <x:f>IF(I3127&lt;70,"Superficial (&lt;70 km)",IF(I3127&lt;=300,"Intermedio (70-300 km)","Profundo (&gt;300 km)"))</x:f>
        <x:v>Intermedio (70-300 km)</x:v>
      </x:c>
      <x:c r="M3127" s="25" t="str">
        <x:f>IF(J3127&gt;=5,"Sí","No")</x:f>
        <x:v>No</x:v>
      </x:c>
      <x:c r="N3127" s="25" t="str">
        <x:f>IF(J3127&gt;=6,"Sí","No")</x:f>
        <x:v>No</x:v>
      </x:c>
      <x:c r="O3127" s="25" t="str">
        <x:v>Pendiente: asignar con R/sf</x:v>
      </x:c>
    </x:row>
    <x:row r="3128">
      <x:c r="A3128" s="25" t="n">
        <x:v>3127</x:v>
      </x:c>
      <x:c r="B3128" s="26" t="n">
        <x:v>43185.25126157407</x:v>
      </x:c>
      <x:c r="C3128" s="27" t="n">
        <x:f>INT(B3128)</x:f>
        <x:v>43185</x:v>
      </x:c>
      <x:c r="D3128" s="28" t="n">
        <x:f>MOD(B3128,1)</x:f>
        <x:v>0.25126157407066785</x:v>
      </x:c>
      <x:c r="E3128" s="29" t="n">
        <x:f>YEAR(B3128)</x:f>
        <x:v>2018</x:v>
      </x:c>
      <x:c r="F3128" s="29" t="n">
        <x:f>MONTH(B3128)</x:f>
        <x:v>3</x:v>
      </x:c>
      <x:c r="G3128" s="30" t="n">
        <x:v>-24.73</x:v>
      </x:c>
      <x:c r="H3128" s="30" t="n">
        <x:v>-69.49</x:v>
      </x:c>
      <x:c r="I3128" s="29" t="n">
        <x:v>88</x:v>
      </x:c>
      <x:c r="J3128" s="31" t="n">
        <x:v>4.6</x:v>
      </x:c>
      <x:c r="K3128" s="25" t="str">
        <x:f>IF(J3128&gt;=7,"Muy fuerte (&gt;=7)",IF(J3128&gt;=6,"Fuerte (6-6.9)",IF(J3128&gt;=5,"Moderado alto (5-5.9)",IF(J3128&gt;=4,"Moderado (4-4.9)","Menor a 4"))))</x:f>
        <x:v>Moderado (4-4.9)</x:v>
      </x:c>
      <x:c r="L3128" s="25" t="str">
        <x:f>IF(I3128&lt;70,"Superficial (&lt;70 km)",IF(I3128&lt;=300,"Intermedio (70-300 km)","Profundo (&gt;300 km)"))</x:f>
        <x:v>Intermedio (70-300 km)</x:v>
      </x:c>
      <x:c r="M3128" s="25" t="str">
        <x:f>IF(J3128&gt;=5,"Sí","No")</x:f>
        <x:v>No</x:v>
      </x:c>
      <x:c r="N3128" s="25" t="str">
        <x:f>IF(J3128&gt;=6,"Sí","No")</x:f>
        <x:v>No</x:v>
      </x:c>
      <x:c r="O3128" s="25" t="str">
        <x:v>Pendiente: asignar con R/sf</x:v>
      </x:c>
    </x:row>
    <x:row r="3129">
      <x:c r="A3129" s="25" t="n">
        <x:v>3128</x:v>
      </x:c>
      <x:c r="B3129" s="26" t="n">
        <x:v>43214.332094907404</x:v>
      </x:c>
      <x:c r="C3129" s="27" t="n">
        <x:f>INT(B3129)</x:f>
        <x:v>43214</x:v>
      </x:c>
      <x:c r="D3129" s="28" t="n">
        <x:f>MOD(B3129,1)</x:f>
        <x:v>0.3320949074040982</x:v>
      </x:c>
      <x:c r="E3129" s="29" t="n">
        <x:f>YEAR(B3129)</x:f>
        <x:v>2018</x:v>
      </x:c>
      <x:c r="F3129" s="29" t="n">
        <x:f>MONTH(B3129)</x:f>
        <x:v>4</x:v>
      </x:c>
      <x:c r="G3129" s="30" t="n">
        <x:v>-21.78</x:v>
      </x:c>
      <x:c r="H3129" s="30" t="n">
        <x:v>-68.48</x:v>
      </x:c>
      <x:c r="I3129" s="29" t="n">
        <x:v>140</x:v>
      </x:c>
      <x:c r="J3129" s="31" t="n">
        <x:v>4.6</x:v>
      </x:c>
      <x:c r="K3129" s="25" t="str">
        <x:f>IF(J3129&gt;=7,"Muy fuerte (&gt;=7)",IF(J3129&gt;=6,"Fuerte (6-6.9)",IF(J3129&gt;=5,"Moderado alto (5-5.9)",IF(J3129&gt;=4,"Moderado (4-4.9)","Menor a 4"))))</x:f>
        <x:v>Moderado (4-4.9)</x:v>
      </x:c>
      <x:c r="L3129" s="25" t="str">
        <x:f>IF(I3129&lt;70,"Superficial (&lt;70 km)",IF(I3129&lt;=300,"Intermedio (70-300 km)","Profundo (&gt;300 km)"))</x:f>
        <x:v>Intermedio (70-300 km)</x:v>
      </x:c>
      <x:c r="M3129" s="25" t="str">
        <x:f>IF(J3129&gt;=5,"Sí","No")</x:f>
        <x:v>No</x:v>
      </x:c>
      <x:c r="N3129" s="25" t="str">
        <x:f>IF(J3129&gt;=6,"Sí","No")</x:f>
        <x:v>No</x:v>
      </x:c>
      <x:c r="O3129" s="25" t="str">
        <x:v>Pendiente: asignar con R/sf</x:v>
      </x:c>
    </x:row>
    <x:row r="3130">
      <x:c r="A3130" s="25" t="n">
        <x:v>3129</x:v>
      </x:c>
      <x:c r="B3130" s="26" t="n">
        <x:v>43274.64413194444</x:v>
      </x:c>
      <x:c r="C3130" s="27" t="n">
        <x:f>INT(B3130)</x:f>
        <x:v>43274</x:v>
      </x:c>
      <x:c r="D3130" s="28" t="n">
        <x:f>MOD(B3130,1)</x:f>
        <x:v>0.6441319444420515</x:v>
      </x:c>
      <x:c r="E3130" s="29" t="n">
        <x:f>YEAR(B3130)</x:f>
        <x:v>2018</x:v>
      </x:c>
      <x:c r="F3130" s="29" t="n">
        <x:f>MONTH(B3130)</x:f>
        <x:v>6</x:v>
      </x:c>
      <x:c r="G3130" s="30" t="n">
        <x:v>-20.96</x:v>
      </x:c>
      <x:c r="H3130" s="30" t="n">
        <x:v>-69.01</x:v>
      </x:c>
      <x:c r="I3130" s="29" t="n">
        <x:v>105</x:v>
      </x:c>
      <x:c r="J3130" s="31" t="n">
        <x:v>4.1</x:v>
      </x:c>
      <x:c r="K3130" s="25" t="str">
        <x:f>IF(J3130&gt;=7,"Muy fuerte (&gt;=7)",IF(J3130&gt;=6,"Fuerte (6-6.9)",IF(J3130&gt;=5,"Moderado alto (5-5.9)",IF(J3130&gt;=4,"Moderado (4-4.9)","Menor a 4"))))</x:f>
        <x:v>Moderado (4-4.9)</x:v>
      </x:c>
      <x:c r="L3130" s="25" t="str">
        <x:f>IF(I3130&lt;70,"Superficial (&lt;70 km)",IF(I3130&lt;=300,"Intermedio (70-300 km)","Profundo (&gt;300 km)"))</x:f>
        <x:v>Intermedio (70-300 km)</x:v>
      </x:c>
      <x:c r="M3130" s="25" t="str">
        <x:f>IF(J3130&gt;=5,"Sí","No")</x:f>
        <x:v>No</x:v>
      </x:c>
      <x:c r="N3130" s="25" t="str">
        <x:f>IF(J3130&gt;=6,"Sí","No")</x:f>
        <x:v>No</x:v>
      </x:c>
      <x:c r="O3130" s="25" t="str">
        <x:v>Pendiente: asignar con R/sf</x:v>
      </x:c>
    </x:row>
    <x:row r="3131">
      <x:c r="A3131" s="25" t="n">
        <x:v>3130</x:v>
      </x:c>
      <x:c r="B3131" s="26" t="n">
        <x:v>43279.9384375</x:v>
      </x:c>
      <x:c r="C3131" s="27" t="n">
        <x:f>INT(B3131)</x:f>
        <x:v>43279</x:v>
      </x:c>
      <x:c r="D3131" s="28" t="n">
        <x:f>MOD(B3131,1)</x:f>
        <x:v>0.9384375000008731</x:v>
      </x:c>
      <x:c r="E3131" s="29" t="n">
        <x:f>YEAR(B3131)</x:f>
        <x:v>2018</x:v>
      </x:c>
      <x:c r="F3131" s="29" t="n">
        <x:f>MONTH(B3131)</x:f>
        <x:v>6</x:v>
      </x:c>
      <x:c r="G3131" s="30" t="n">
        <x:v>-21.16</x:v>
      </x:c>
      <x:c r="H3131" s="30" t="n">
        <x:v>-69.01</x:v>
      </x:c>
      <x:c r="I3131" s="29" t="n">
        <x:v>116</x:v>
      </x:c>
      <x:c r="J3131" s="31" t="n">
        <x:v>4</x:v>
      </x:c>
      <x:c r="K3131" s="25" t="str">
        <x:f>IF(J3131&gt;=7,"Muy fuerte (&gt;=7)",IF(J3131&gt;=6,"Fuerte (6-6.9)",IF(J3131&gt;=5,"Moderado alto (5-5.9)",IF(J3131&gt;=4,"Moderado (4-4.9)","Menor a 4"))))</x:f>
        <x:v>Moderado (4-4.9)</x:v>
      </x:c>
      <x:c r="L3131" s="25" t="str">
        <x:f>IF(I3131&lt;70,"Superficial (&lt;70 km)",IF(I3131&lt;=300,"Intermedio (70-300 km)","Profundo (&gt;300 km)"))</x:f>
        <x:v>Intermedio (70-300 km)</x:v>
      </x:c>
      <x:c r="M3131" s="25" t="str">
        <x:f>IF(J3131&gt;=5,"Sí","No")</x:f>
        <x:v>No</x:v>
      </x:c>
      <x:c r="N3131" s="25" t="str">
        <x:f>IF(J3131&gt;=6,"Sí","No")</x:f>
        <x:v>No</x:v>
      </x:c>
      <x:c r="O3131" s="25" t="str">
        <x:v>Pendiente: asignar con R/sf</x:v>
      </x:c>
    </x:row>
    <x:row r="3132">
      <x:c r="A3132" s="25" t="n">
        <x:v>3131</x:v>
      </x:c>
      <x:c r="B3132" s="26" t="n">
        <x:v>43284.92736111111</x:v>
      </x:c>
      <x:c r="C3132" s="27" t="n">
        <x:f>INT(B3132)</x:f>
        <x:v>43284</x:v>
      </x:c>
      <x:c r="D3132" s="28" t="n">
        <x:f>MOD(B3132,1)</x:f>
        <x:v>0.9273611111129867</x:v>
      </x:c>
      <x:c r="E3132" s="29" t="n">
        <x:f>YEAR(B3132)</x:f>
        <x:v>2018</x:v>
      </x:c>
      <x:c r="F3132" s="29" t="n">
        <x:f>MONTH(B3132)</x:f>
        <x:v>7</x:v>
      </x:c>
      <x:c r="G3132" s="30" t="n">
        <x:v>-20.84</x:v>
      </x:c>
      <x:c r="H3132" s="30" t="n">
        <x:v>-69.09</x:v>
      </x:c>
      <x:c r="I3132" s="29" t="n">
        <x:v>107</x:v>
      </x:c>
      <x:c r="J3132" s="31" t="n">
        <x:v>4</x:v>
      </x:c>
      <x:c r="K3132" s="25" t="str">
        <x:f>IF(J3132&gt;=7,"Muy fuerte (&gt;=7)",IF(J3132&gt;=6,"Fuerte (6-6.9)",IF(J3132&gt;=5,"Moderado alto (5-5.9)",IF(J3132&gt;=4,"Moderado (4-4.9)","Menor a 4"))))</x:f>
        <x:v>Moderado (4-4.9)</x:v>
      </x:c>
      <x:c r="L3132" s="25" t="str">
        <x:f>IF(I3132&lt;70,"Superficial (&lt;70 km)",IF(I3132&lt;=300,"Intermedio (70-300 km)","Profundo (&gt;300 km)"))</x:f>
        <x:v>Intermedio (70-300 km)</x:v>
      </x:c>
      <x:c r="M3132" s="25" t="str">
        <x:f>IF(J3132&gt;=5,"Sí","No")</x:f>
        <x:v>No</x:v>
      </x:c>
      <x:c r="N3132" s="25" t="str">
        <x:f>IF(J3132&gt;=6,"Sí","No")</x:f>
        <x:v>No</x:v>
      </x:c>
      <x:c r="O3132" s="25" t="str">
        <x:v>Pendiente: asignar con R/sf</x:v>
      </x:c>
    </x:row>
    <x:row r="3133">
      <x:c r="A3133" s="25" t="n">
        <x:v>3132</x:v>
      </x:c>
      <x:c r="B3133" s="26" t="n">
        <x:v>43287.9915625</x:v>
      </x:c>
      <x:c r="C3133" s="27" t="n">
        <x:f>INT(B3133)</x:f>
        <x:v>43287</x:v>
      </x:c>
      <x:c r="D3133" s="28" t="n">
        <x:f>MOD(B3133,1)</x:f>
        <x:v>0.9915624999994179</x:v>
      </x:c>
      <x:c r="E3133" s="29" t="n">
        <x:f>YEAR(B3133)</x:f>
        <x:v>2018</x:v>
      </x:c>
      <x:c r="F3133" s="29" t="n">
        <x:f>MONTH(B3133)</x:f>
        <x:v>7</x:v>
      </x:c>
      <x:c r="G3133" s="30" t="n">
        <x:v>-21.09</x:v>
      </x:c>
      <x:c r="H3133" s="30" t="n">
        <x:v>-68.91</x:v>
      </x:c>
      <x:c r="I3133" s="29" t="n">
        <x:v>112</x:v>
      </x:c>
      <x:c r="J3133" s="31" t="n">
        <x:v>4.2</x:v>
      </x:c>
      <x:c r="K3133" s="25" t="str">
        <x:f>IF(J3133&gt;=7,"Muy fuerte (&gt;=7)",IF(J3133&gt;=6,"Fuerte (6-6.9)",IF(J3133&gt;=5,"Moderado alto (5-5.9)",IF(J3133&gt;=4,"Moderado (4-4.9)","Menor a 4"))))</x:f>
        <x:v>Moderado (4-4.9)</x:v>
      </x:c>
      <x:c r="L3133" s="25" t="str">
        <x:f>IF(I3133&lt;70,"Superficial (&lt;70 km)",IF(I3133&lt;=300,"Intermedio (70-300 km)","Profundo (&gt;300 km)"))</x:f>
        <x:v>Intermedio (70-300 km)</x:v>
      </x:c>
      <x:c r="M3133" s="25" t="str">
        <x:f>IF(J3133&gt;=5,"Sí","No")</x:f>
        <x:v>No</x:v>
      </x:c>
      <x:c r="N3133" s="25" t="str">
        <x:f>IF(J3133&gt;=6,"Sí","No")</x:f>
        <x:v>No</x:v>
      </x:c>
      <x:c r="O3133" s="25" t="str">
        <x:v>Pendiente: asignar con R/sf</x:v>
      </x:c>
    </x:row>
    <x:row r="3134">
      <x:c r="A3134" s="25" t="n">
        <x:v>3133</x:v>
      </x:c>
      <x:c r="B3134" s="26" t="n">
        <x:v>43288.255162037036</x:v>
      </x:c>
      <x:c r="C3134" s="27" t="n">
        <x:f>INT(B3134)</x:f>
        <x:v>43288</x:v>
      </x:c>
      <x:c r="D3134" s="28" t="n">
        <x:f>MOD(B3134,1)</x:f>
        <x:v>0.255162037035916</x:v>
      </x:c>
      <x:c r="E3134" s="29" t="n">
        <x:f>YEAR(B3134)</x:f>
        <x:v>2018</x:v>
      </x:c>
      <x:c r="F3134" s="29" t="n">
        <x:f>MONTH(B3134)</x:f>
        <x:v>7</x:v>
      </x:c>
      <x:c r="G3134" s="30" t="n">
        <x:v>-22.71</x:v>
      </x:c>
      <x:c r="H3134" s="30" t="n">
        <x:v>-70.19</x:v>
      </x:c>
      <x:c r="I3134" s="29" t="n">
        <x:v>54</x:v>
      </x:c>
      <x:c r="J3134" s="31" t="n">
        <x:v>4.1</x:v>
      </x:c>
      <x:c r="K3134" s="25" t="str">
        <x:f>IF(J3134&gt;=7,"Muy fuerte (&gt;=7)",IF(J3134&gt;=6,"Fuerte (6-6.9)",IF(J3134&gt;=5,"Moderado alto (5-5.9)",IF(J3134&gt;=4,"Moderado (4-4.9)","Menor a 4"))))</x:f>
        <x:v>Moderado (4-4.9)</x:v>
      </x:c>
      <x:c r="L3134" s="25" t="str">
        <x:f>IF(I3134&lt;70,"Superficial (&lt;70 km)",IF(I3134&lt;=300,"Intermedio (70-300 km)","Profundo (&gt;300 km)"))</x:f>
        <x:v>Superficial (&lt;70 km)</x:v>
      </x:c>
      <x:c r="M3134" s="25" t="str">
        <x:f>IF(J3134&gt;=5,"Sí","No")</x:f>
        <x:v>No</x:v>
      </x:c>
      <x:c r="N3134" s="25" t="str">
        <x:f>IF(J3134&gt;=6,"Sí","No")</x:f>
        <x:v>No</x:v>
      </x:c>
      <x:c r="O3134" s="25" t="str">
        <x:v>Pendiente: asignar con R/sf</x:v>
      </x:c>
    </x:row>
    <x:row r="3135">
      <x:c r="A3135" s="25" t="n">
        <x:v>3134</x:v>
      </x:c>
      <x:c r="B3135" s="26" t="n">
        <x:v>43377.97357638889</x:v>
      </x:c>
      <x:c r="C3135" s="27" t="n">
        <x:f>INT(B3135)</x:f>
        <x:v>43377</x:v>
      </x:c>
      <x:c r="D3135" s="28" t="n">
        <x:f>MOD(B3135,1)</x:f>
        <x:v>0.9735763888893416</x:v>
      </x:c>
      <x:c r="E3135" s="29" t="n">
        <x:f>YEAR(B3135)</x:f>
        <x:v>2018</x:v>
      </x:c>
      <x:c r="F3135" s="29" t="n">
        <x:f>MONTH(B3135)</x:f>
        <x:v>10</x:v>
      </x:c>
      <x:c r="G3135" s="30" t="n">
        <x:v>-22.9</x:v>
      </x:c>
      <x:c r="H3135" s="30" t="n">
        <x:v>-66.67</x:v>
      </x:c>
      <x:c r="I3135" s="29" t="n">
        <x:v>275</x:v>
      </x:c>
      <x:c r="J3135" s="31" t="n">
        <x:v>4.4</x:v>
      </x:c>
      <x:c r="K3135" s="25" t="str">
        <x:f>IF(J3135&gt;=7,"Muy fuerte (&gt;=7)",IF(J3135&gt;=6,"Fuerte (6-6.9)",IF(J3135&gt;=5,"Moderado alto (5-5.9)",IF(J3135&gt;=4,"Moderado (4-4.9)","Menor a 4"))))</x:f>
        <x:v>Moderado (4-4.9)</x:v>
      </x:c>
      <x:c r="L3135" s="25" t="str">
        <x:f>IF(I3135&lt;70,"Superficial (&lt;70 km)",IF(I3135&lt;=300,"Intermedio (70-300 km)","Profundo (&gt;300 km)"))</x:f>
        <x:v>Intermedio (70-300 km)</x:v>
      </x:c>
      <x:c r="M3135" s="25" t="str">
        <x:f>IF(J3135&gt;=5,"Sí","No")</x:f>
        <x:v>No</x:v>
      </x:c>
      <x:c r="N3135" s="25" t="str">
        <x:f>IF(J3135&gt;=6,"Sí","No")</x:f>
        <x:v>No</x:v>
      </x:c>
      <x:c r="O3135" s="25" t="str">
        <x:v>Pendiente: asignar con R/sf</x:v>
      </x:c>
    </x:row>
    <x:row r="3136">
      <x:c r="A3136" s="25" t="n">
        <x:v>3135</x:v>
      </x:c>
      <x:c r="B3136" s="26" t="n">
        <x:v>43400.6574537037</x:v>
      </x:c>
      <x:c r="C3136" s="27" t="n">
        <x:f>INT(B3136)</x:f>
        <x:v>43400</x:v>
      </x:c>
      <x:c r="D3136" s="28" t="n">
        <x:f>MOD(B3136,1)</x:f>
        <x:v>0.6574537037013215</x:v>
      </x:c>
      <x:c r="E3136" s="29" t="n">
        <x:f>YEAR(B3136)</x:f>
        <x:v>2018</x:v>
      </x:c>
      <x:c r="F3136" s="29" t="n">
        <x:f>MONTH(B3136)</x:f>
        <x:v>10</x:v>
      </x:c>
      <x:c r="G3136" s="30" t="n">
        <x:v>-22.44</x:v>
      </x:c>
      <x:c r="H3136" s="30" t="n">
        <x:v>-68.68</x:v>
      </x:c>
      <x:c r="I3136" s="29" t="n">
        <x:v>110</x:v>
      </x:c>
      <x:c r="J3136" s="31" t="n">
        <x:v>4.6</x:v>
      </x:c>
      <x:c r="K3136" s="25" t="str">
        <x:f>IF(J3136&gt;=7,"Muy fuerte (&gt;=7)",IF(J3136&gt;=6,"Fuerte (6-6.9)",IF(J3136&gt;=5,"Moderado alto (5-5.9)",IF(J3136&gt;=4,"Moderado (4-4.9)","Menor a 4"))))</x:f>
        <x:v>Moderado (4-4.9)</x:v>
      </x:c>
      <x:c r="L3136" s="25" t="str">
        <x:f>IF(I3136&lt;70,"Superficial (&lt;70 km)",IF(I3136&lt;=300,"Intermedio (70-300 km)","Profundo (&gt;300 km)"))</x:f>
        <x:v>Intermedio (70-300 km)</x:v>
      </x:c>
      <x:c r="M3136" s="25" t="str">
        <x:f>IF(J3136&gt;=5,"Sí","No")</x:f>
        <x:v>No</x:v>
      </x:c>
      <x:c r="N3136" s="25" t="str">
        <x:f>IF(J3136&gt;=6,"Sí","No")</x:f>
        <x:v>No</x:v>
      </x:c>
      <x:c r="O3136" s="25" t="str">
        <x:v>Pendiente: asignar con R/sf</x:v>
      </x:c>
    </x:row>
    <x:row r="3137">
      <x:c r="A3137" s="25" t="n">
        <x:v>3136</x:v>
      </x:c>
      <x:c r="B3137" s="26" t="n">
        <x:v>43110.13662037037</x:v>
      </x:c>
      <x:c r="C3137" s="27" t="n">
        <x:f>INT(B3137)</x:f>
        <x:v>43110</x:v>
      </x:c>
      <x:c r="D3137" s="28" t="n">
        <x:f>MOD(B3137,1)</x:f>
        <x:v>0.1366203703728388</x:v>
      </x:c>
      <x:c r="E3137" s="29" t="n">
        <x:f>YEAR(B3137)</x:f>
        <x:v>2018</x:v>
      </x:c>
      <x:c r="F3137" s="29" t="n">
        <x:f>MONTH(B3137)</x:f>
        <x:v>1</x:v>
      </x:c>
      <x:c r="G3137" s="30" t="n">
        <x:v>-18.22</x:v>
      </x:c>
      <x:c r="H3137" s="30" t="n">
        <x:v>-69.57</x:v>
      </x:c>
      <x:c r="I3137" s="29" t="n">
        <x:v>130</x:v>
      </x:c>
      <x:c r="J3137" s="31" t="n">
        <x:v>4.7</x:v>
      </x:c>
      <x:c r="K3137" s="25" t="str">
        <x:f>IF(J3137&gt;=7,"Muy fuerte (&gt;=7)",IF(J3137&gt;=6,"Fuerte (6-6.9)",IF(J3137&gt;=5,"Moderado alto (5-5.9)",IF(J3137&gt;=4,"Moderado (4-4.9)","Menor a 4"))))</x:f>
        <x:v>Moderado (4-4.9)</x:v>
      </x:c>
      <x:c r="L3137" s="25" t="str">
        <x:f>IF(I3137&lt;70,"Superficial (&lt;70 km)",IF(I3137&lt;=300,"Intermedio (70-300 km)","Profundo (&gt;300 km)"))</x:f>
        <x:v>Intermedio (70-300 km)</x:v>
      </x:c>
      <x:c r="M3137" s="25" t="str">
        <x:f>IF(J3137&gt;=5,"Sí","No")</x:f>
        <x:v>No</x:v>
      </x:c>
      <x:c r="N3137" s="25" t="str">
        <x:f>IF(J3137&gt;=6,"Sí","No")</x:f>
        <x:v>No</x:v>
      </x:c>
      <x:c r="O3137" s="25" t="str">
        <x:v>Pendiente: asignar con R/sf</x:v>
      </x:c>
    </x:row>
    <x:row r="3138">
      <x:c r="A3138" s="25" t="n">
        <x:v>3137</x:v>
      </x:c>
      <x:c r="B3138" s="26" t="n">
        <x:v>43151.45212962963</x:v>
      </x:c>
      <x:c r="C3138" s="27" t="n">
        <x:f>INT(B3138)</x:f>
        <x:v>43151</x:v>
      </x:c>
      <x:c r="D3138" s="28" t="n">
        <x:f>MOD(B3138,1)</x:f>
        <x:v>0.45212962962978054</x:v>
      </x:c>
      <x:c r="E3138" s="29" t="n">
        <x:f>YEAR(B3138)</x:f>
        <x:v>2018</x:v>
      </x:c>
      <x:c r="F3138" s="29" t="n">
        <x:f>MONTH(B3138)</x:f>
        <x:v>2</x:v>
      </x:c>
      <x:c r="G3138" s="30" t="n">
        <x:v>-20.02</x:v>
      </x:c>
      <x:c r="H3138" s="30" t="n">
        <x:v>-70.51</x:v>
      </x:c>
      <x:c r="I3138" s="29" t="n">
        <x:v>33</x:v>
      </x:c>
      <x:c r="J3138" s="31" t="n">
        <x:v>4.1</x:v>
      </x:c>
      <x:c r="K3138" s="25" t="str">
        <x:f>IF(J3138&gt;=7,"Muy fuerte (&gt;=7)",IF(J3138&gt;=6,"Fuerte (6-6.9)",IF(J3138&gt;=5,"Moderado alto (5-5.9)",IF(J3138&gt;=4,"Moderado (4-4.9)","Menor a 4"))))</x:f>
        <x:v>Moderado (4-4.9)</x:v>
      </x:c>
      <x:c r="L3138" s="25" t="str">
        <x:f>IF(I3138&lt;70,"Superficial (&lt;70 km)",IF(I3138&lt;=300,"Intermedio (70-300 km)","Profundo (&gt;300 km)"))</x:f>
        <x:v>Superficial (&lt;70 km)</x:v>
      </x:c>
      <x:c r="M3138" s="25" t="str">
        <x:f>IF(J3138&gt;=5,"Sí","No")</x:f>
        <x:v>No</x:v>
      </x:c>
      <x:c r="N3138" s="25" t="str">
        <x:f>IF(J3138&gt;=6,"Sí","No")</x:f>
        <x:v>No</x:v>
      </x:c>
      <x:c r="O3138" s="25" t="str">
        <x:v>Pendiente: asignar con R/sf</x:v>
      </x:c>
    </x:row>
    <x:row r="3139">
      <x:c r="A3139" s="25" t="n">
        <x:v>3138</x:v>
      </x:c>
      <x:c r="B3139" s="26" t="n">
        <x:v>43151.65078703704</x:v>
      </x:c>
      <x:c r="C3139" s="27" t="n">
        <x:f>INT(B3139)</x:f>
        <x:v>43151</x:v>
      </x:c>
      <x:c r="D3139" s="28" t="n">
        <x:f>MOD(B3139,1)</x:f>
        <x:v>0.6507870370405726</x:v>
      </x:c>
      <x:c r="E3139" s="29" t="n">
        <x:f>YEAR(B3139)</x:f>
        <x:v>2018</x:v>
      </x:c>
      <x:c r="F3139" s="29" t="n">
        <x:f>MONTH(B3139)</x:f>
        <x:v>2</x:v>
      </x:c>
      <x:c r="G3139" s="30" t="n">
        <x:v>-25.34</x:v>
      </x:c>
      <x:c r="H3139" s="30" t="n">
        <x:v>-70.5</x:v>
      </x:c>
      <x:c r="I3139" s="29" t="n">
        <x:v>18</x:v>
      </x:c>
      <x:c r="J3139" s="31" t="n">
        <x:v>4.2</x:v>
      </x:c>
      <x:c r="K3139" s="25" t="str">
        <x:f>IF(J3139&gt;=7,"Muy fuerte (&gt;=7)",IF(J3139&gt;=6,"Fuerte (6-6.9)",IF(J3139&gt;=5,"Moderado alto (5-5.9)",IF(J3139&gt;=4,"Moderado (4-4.9)","Menor a 4"))))</x:f>
        <x:v>Moderado (4-4.9)</x:v>
      </x:c>
      <x:c r="L3139" s="25" t="str">
        <x:f>IF(I3139&lt;70,"Superficial (&lt;70 km)",IF(I3139&lt;=300,"Intermedio (70-300 km)","Profundo (&gt;300 km)"))</x:f>
        <x:v>Superficial (&lt;70 km)</x:v>
      </x:c>
      <x:c r="M3139" s="25" t="str">
        <x:f>IF(J3139&gt;=5,"Sí","No")</x:f>
        <x:v>No</x:v>
      </x:c>
      <x:c r="N3139" s="25" t="str">
        <x:f>IF(J3139&gt;=6,"Sí","No")</x:f>
        <x:v>No</x:v>
      </x:c>
      <x:c r="O3139" s="25" t="str">
        <x:v>Pendiente: asignar con R/sf</x:v>
      </x:c>
    </x:row>
    <x:row r="3140">
      <x:c r="A3140" s="25" t="n">
        <x:v>3139</x:v>
      </x:c>
      <x:c r="B3140" s="26" t="n">
        <x:v>43167.695810185185</x:v>
      </x:c>
      <x:c r="C3140" s="27" t="n">
        <x:f>INT(B3140)</x:f>
        <x:v>43167</x:v>
      </x:c>
      <x:c r="D3140" s="28" t="n">
        <x:f>MOD(B3140,1)</x:f>
        <x:v>0.6958101851851097</x:v>
      </x:c>
      <x:c r="E3140" s="29" t="n">
        <x:f>YEAR(B3140)</x:f>
        <x:v>2018</x:v>
      </x:c>
      <x:c r="F3140" s="29" t="n">
        <x:f>MONTH(B3140)</x:f>
        <x:v>3</x:v>
      </x:c>
      <x:c r="G3140" s="30" t="n">
        <x:v>-22.94</x:v>
      </x:c>
      <x:c r="H3140" s="30" t="n">
        <x:v>-69.13</x:v>
      </x:c>
      <x:c r="I3140" s="29" t="n">
        <x:v>109</x:v>
      </x:c>
      <x:c r="J3140" s="31" t="n">
        <x:v>4.8</x:v>
      </x:c>
      <x:c r="K3140" s="25" t="str">
        <x:f>IF(J3140&gt;=7,"Muy fuerte (&gt;=7)",IF(J3140&gt;=6,"Fuerte (6-6.9)",IF(J3140&gt;=5,"Moderado alto (5-5.9)",IF(J3140&gt;=4,"Moderado (4-4.9)","Menor a 4"))))</x:f>
        <x:v>Moderado (4-4.9)</x:v>
      </x:c>
      <x:c r="L3140" s="25" t="str">
        <x:f>IF(I3140&lt;70,"Superficial (&lt;70 km)",IF(I3140&lt;=300,"Intermedio (70-300 km)","Profundo (&gt;300 km)"))</x:f>
        <x:v>Intermedio (70-300 km)</x:v>
      </x:c>
      <x:c r="M3140" s="25" t="str">
        <x:f>IF(J3140&gt;=5,"Sí","No")</x:f>
        <x:v>No</x:v>
      </x:c>
      <x:c r="N3140" s="25" t="str">
        <x:f>IF(J3140&gt;=6,"Sí","No")</x:f>
        <x:v>No</x:v>
      </x:c>
      <x:c r="O3140" s="25" t="str">
        <x:v>Pendiente: asignar con R/sf</x:v>
      </x:c>
    </x:row>
    <x:row r="3141">
      <x:c r="A3141" s="25" t="n">
        <x:v>3140</x:v>
      </x:c>
      <x:c r="B3141" s="26" t="n">
        <x:v>43176.857199074075</x:v>
      </x:c>
      <x:c r="C3141" s="27" t="n">
        <x:f>INT(B3141)</x:f>
        <x:v>43176</x:v>
      </x:c>
      <x:c r="D3141" s="28" t="n">
        <x:f>MOD(B3141,1)</x:f>
        <x:v>0.8571990740747424</x:v>
      </x:c>
      <x:c r="E3141" s="29" t="n">
        <x:f>YEAR(B3141)</x:f>
        <x:v>2018</x:v>
      </x:c>
      <x:c r="F3141" s="29" t="n">
        <x:f>MONTH(B3141)</x:f>
        <x:v>3</x:v>
      </x:c>
      <x:c r="G3141" s="30" t="n">
        <x:v>-18.79</x:v>
      </x:c>
      <x:c r="H3141" s="30" t="n">
        <x:v>-69.15</x:v>
      </x:c>
      <x:c r="I3141" s="29" t="n">
        <x:v>122</x:v>
      </x:c>
      <x:c r="J3141" s="31" t="n">
        <x:v>4.8</x:v>
      </x:c>
      <x:c r="K3141" s="25" t="str">
        <x:f>IF(J3141&gt;=7,"Muy fuerte (&gt;=7)",IF(J3141&gt;=6,"Fuerte (6-6.9)",IF(J3141&gt;=5,"Moderado alto (5-5.9)",IF(J3141&gt;=4,"Moderado (4-4.9)","Menor a 4"))))</x:f>
        <x:v>Moderado (4-4.9)</x:v>
      </x:c>
      <x:c r="L3141" s="25" t="str">
        <x:f>IF(I3141&lt;70,"Superficial (&lt;70 km)",IF(I3141&lt;=300,"Intermedio (70-300 km)","Profundo (&gt;300 km)"))</x:f>
        <x:v>Intermedio (70-300 km)</x:v>
      </x:c>
      <x:c r="M3141" s="25" t="str">
        <x:f>IF(J3141&gt;=5,"Sí","No")</x:f>
        <x:v>No</x:v>
      </x:c>
      <x:c r="N3141" s="25" t="str">
        <x:f>IF(J3141&gt;=6,"Sí","No")</x:f>
        <x:v>No</x:v>
      </x:c>
      <x:c r="O3141" s="25" t="str">
        <x:v>Pendiente: asignar con R/sf</x:v>
      </x:c>
    </x:row>
    <x:row r="3142">
      <x:c r="A3142" s="25" t="n">
        <x:v>3141</x:v>
      </x:c>
      <x:c r="B3142" s="26" t="n">
        <x:v>43177.40762731482</x:v>
      </x:c>
      <x:c r="C3142" s="27" t="n">
        <x:f>INT(B3142)</x:f>
        <x:v>43177</x:v>
      </x:c>
      <x:c r="D3142" s="28" t="n">
        <x:f>MOD(B3142,1)</x:f>
        <x:v>0.4076273148166365</x:v>
      </x:c>
      <x:c r="E3142" s="29" t="n">
        <x:f>YEAR(B3142)</x:f>
        <x:v>2018</x:v>
      </x:c>
      <x:c r="F3142" s="29" t="n">
        <x:f>MONTH(B3142)</x:f>
        <x:v>3</x:v>
      </x:c>
      <x:c r="G3142" s="30" t="n">
        <x:v>-21.56</x:v>
      </x:c>
      <x:c r="H3142" s="30" t="n">
        <x:v>-69.57</x:v>
      </x:c>
      <x:c r="I3142" s="29" t="n">
        <x:v>18</x:v>
      </x:c>
      <x:c r="J3142" s="31" t="n">
        <x:v>4</x:v>
      </x:c>
      <x:c r="K3142" s="25" t="str">
        <x:f>IF(J3142&gt;=7,"Muy fuerte (&gt;=7)",IF(J3142&gt;=6,"Fuerte (6-6.9)",IF(J3142&gt;=5,"Moderado alto (5-5.9)",IF(J3142&gt;=4,"Moderado (4-4.9)","Menor a 4"))))</x:f>
        <x:v>Moderado (4-4.9)</x:v>
      </x:c>
      <x:c r="L3142" s="25" t="str">
        <x:f>IF(I3142&lt;70,"Superficial (&lt;70 km)",IF(I3142&lt;=300,"Intermedio (70-300 km)","Profundo (&gt;300 km)"))</x:f>
        <x:v>Superficial (&lt;70 km)</x:v>
      </x:c>
      <x:c r="M3142" s="25" t="str">
        <x:f>IF(J3142&gt;=5,"Sí","No")</x:f>
        <x:v>No</x:v>
      </x:c>
      <x:c r="N3142" s="25" t="str">
        <x:f>IF(J3142&gt;=6,"Sí","No")</x:f>
        <x:v>No</x:v>
      </x:c>
      <x:c r="O3142" s="25" t="str">
        <x:v>Pendiente: asignar con R/sf</x:v>
      </x:c>
    </x:row>
    <x:row r="3143">
      <x:c r="A3143" s="25" t="n">
        <x:v>3142</x:v>
      </x:c>
      <x:c r="B3143" s="26" t="n">
        <x:v>43242.44510416667</x:v>
      </x:c>
      <x:c r="C3143" s="27" t="n">
        <x:f>INT(B3143)</x:f>
        <x:v>43242</x:v>
      </x:c>
      <x:c r="D3143" s="28" t="n">
        <x:f>MOD(B3143,1)</x:f>
        <x:v>0.44510416666889796</x:v>
      </x:c>
      <x:c r="E3143" s="29" t="n">
        <x:f>YEAR(B3143)</x:f>
        <x:v>2018</x:v>
      </x:c>
      <x:c r="F3143" s="29" t="n">
        <x:f>MONTH(B3143)</x:f>
        <x:v>5</x:v>
      </x:c>
      <x:c r="G3143" s="30" t="n">
        <x:v>-21.29</x:v>
      </x:c>
      <x:c r="H3143" s="30" t="n">
        <x:v>-68.73</x:v>
      </x:c>
      <x:c r="I3143" s="29" t="n">
        <x:v>113</x:v>
      </x:c>
      <x:c r="J3143" s="31" t="n">
        <x:v>4.7</x:v>
      </x:c>
      <x:c r="K3143" s="25" t="str">
        <x:f>IF(J3143&gt;=7,"Muy fuerte (&gt;=7)",IF(J3143&gt;=6,"Fuerte (6-6.9)",IF(J3143&gt;=5,"Moderado alto (5-5.9)",IF(J3143&gt;=4,"Moderado (4-4.9)","Menor a 4"))))</x:f>
        <x:v>Moderado (4-4.9)</x:v>
      </x:c>
      <x:c r="L3143" s="25" t="str">
        <x:f>IF(I3143&lt;70,"Superficial (&lt;70 km)",IF(I3143&lt;=300,"Intermedio (70-300 km)","Profundo (&gt;300 km)"))</x:f>
        <x:v>Intermedio (70-300 km)</x:v>
      </x:c>
      <x:c r="M3143" s="25" t="str">
        <x:f>IF(J3143&gt;=5,"Sí","No")</x:f>
        <x:v>No</x:v>
      </x:c>
      <x:c r="N3143" s="25" t="str">
        <x:f>IF(J3143&gt;=6,"Sí","No")</x:f>
        <x:v>No</x:v>
      </x:c>
      <x:c r="O3143" s="25" t="str">
        <x:v>Pendiente: asignar con R/sf</x:v>
      </x:c>
    </x:row>
    <x:row r="3144">
      <x:c r="A3144" s="25" t="n">
        <x:v>3143</x:v>
      </x:c>
      <x:c r="B3144" s="26" t="n">
        <x:v>43272.26210648148</x:v>
      </x:c>
      <x:c r="C3144" s="27" t="n">
        <x:f>INT(B3144)</x:f>
        <x:v>43272</x:v>
      </x:c>
      <x:c r="D3144" s="28" t="n">
        <x:f>MOD(B3144,1)</x:f>
        <x:v>0.2621064814811689</x:v>
      </x:c>
      <x:c r="E3144" s="29" t="n">
        <x:f>YEAR(B3144)</x:f>
        <x:v>2018</x:v>
      </x:c>
      <x:c r="F3144" s="29" t="n">
        <x:f>MONTH(B3144)</x:f>
        <x:v>6</x:v>
      </x:c>
      <x:c r="G3144" s="30" t="n">
        <x:v>-21.3</x:v>
      </x:c>
      <x:c r="H3144" s="30" t="n">
        <x:v>-69.86</x:v>
      </x:c>
      <x:c r="I3144" s="29" t="n">
        <x:v>46</x:v>
      </x:c>
      <x:c r="J3144" s="31" t="n">
        <x:v>4</x:v>
      </x:c>
      <x:c r="K3144" s="25" t="str">
        <x:f>IF(J3144&gt;=7,"Muy fuerte (&gt;=7)",IF(J3144&gt;=6,"Fuerte (6-6.9)",IF(J3144&gt;=5,"Moderado alto (5-5.9)",IF(J3144&gt;=4,"Moderado (4-4.9)","Menor a 4"))))</x:f>
        <x:v>Moderado (4-4.9)</x:v>
      </x:c>
      <x:c r="L3144" s="25" t="str">
        <x:f>IF(I3144&lt;70,"Superficial (&lt;70 km)",IF(I3144&lt;=300,"Intermedio (70-300 km)","Profundo (&gt;300 km)"))</x:f>
        <x:v>Superficial (&lt;70 km)</x:v>
      </x:c>
      <x:c r="M3144" s="25" t="str">
        <x:f>IF(J3144&gt;=5,"Sí","No")</x:f>
        <x:v>No</x:v>
      </x:c>
      <x:c r="N3144" s="25" t="str">
        <x:f>IF(J3144&gt;=6,"Sí","No")</x:f>
        <x:v>No</x:v>
      </x:c>
      <x:c r="O3144" s="25" t="str">
        <x:v>Pendiente: asignar con R/sf</x:v>
      </x:c>
    </x:row>
    <x:row r="3145">
      <x:c r="A3145" s="25" t="n">
        <x:v>3144</x:v>
      </x:c>
      <x:c r="B3145" s="26" t="n">
        <x:v>43272.67224537037</x:v>
      </x:c>
      <x:c r="C3145" s="27" t="n">
        <x:f>INT(B3145)</x:f>
        <x:v>43272</x:v>
      </x:c>
      <x:c r="D3145" s="28" t="n">
        <x:f>MOD(B3145,1)</x:f>
        <x:v>0.6722453703696374</x:v>
      </x:c>
      <x:c r="E3145" s="29" t="n">
        <x:f>YEAR(B3145)</x:f>
        <x:v>2018</x:v>
      </x:c>
      <x:c r="F3145" s="29" t="n">
        <x:f>MONTH(B3145)</x:f>
        <x:v>6</x:v>
      </x:c>
      <x:c r="G3145" s="30" t="n">
        <x:v>-24.25</x:v>
      </x:c>
      <x:c r="H3145" s="30" t="n">
        <x:v>-67.47</x:v>
      </x:c>
      <x:c r="I3145" s="29" t="n">
        <x:v>190</x:v>
      </x:c>
      <x:c r="J3145" s="31" t="n">
        <x:v>6.1</x:v>
      </x:c>
      <x:c r="K3145" s="25" t="str">
        <x:f>IF(J3145&gt;=7,"Muy fuerte (&gt;=7)",IF(J3145&gt;=6,"Fuerte (6-6.9)",IF(J3145&gt;=5,"Moderado alto (5-5.9)",IF(J3145&gt;=4,"Moderado (4-4.9)","Menor a 4"))))</x:f>
        <x:v>Fuerte (6-6.9)</x:v>
      </x:c>
      <x:c r="L3145" s="25" t="str">
        <x:f>IF(I3145&lt;70,"Superficial (&lt;70 km)",IF(I3145&lt;=300,"Intermedio (70-300 km)","Profundo (&gt;300 km)"))</x:f>
        <x:v>Intermedio (70-300 km)</x:v>
      </x:c>
      <x:c r="M3145" s="25" t="str">
        <x:f>IF(J3145&gt;=5,"Sí","No")</x:f>
        <x:v>Sí</x:v>
      </x:c>
      <x:c r="N3145" s="25" t="str">
        <x:f>IF(J3145&gt;=6,"Sí","No")</x:f>
        <x:v>Sí</x:v>
      </x:c>
      <x:c r="O3145" s="25" t="str">
        <x:v>Pendiente: asignar con R/sf</x:v>
      </x:c>
    </x:row>
    <x:row r="3146">
      <x:c r="A3146" s="25" t="n">
        <x:v>3145</x:v>
      </x:c>
      <x:c r="B3146" s="26" t="n">
        <x:v>43273.07078703704</x:v>
      </x:c>
      <x:c r="C3146" s="27" t="n">
        <x:f>INT(B3146)</x:f>
        <x:v>43273</x:v>
      </x:c>
      <x:c r="D3146" s="28" t="n">
        <x:f>MOD(B3146,1)</x:f>
        <x:v>0.07078703703882638</x:v>
      </x:c>
      <x:c r="E3146" s="29" t="n">
        <x:f>YEAR(B3146)</x:f>
        <x:v>2018</x:v>
      </x:c>
      <x:c r="F3146" s="29" t="n">
        <x:f>MONTH(B3146)</x:f>
        <x:v>6</x:v>
      </x:c>
      <x:c r="G3146" s="30" t="n">
        <x:v>-19.43</x:v>
      </x:c>
      <x:c r="H3146" s="30" t="n">
        <x:v>-70.34</x:v>
      </x:c>
      <x:c r="I3146" s="29" t="n">
        <x:v>53</x:v>
      </x:c>
      <x:c r="J3146" s="31" t="n">
        <x:v>4.4</x:v>
      </x:c>
      <x:c r="K3146" s="25" t="str">
        <x:f>IF(J3146&gt;=7,"Muy fuerte (&gt;=7)",IF(J3146&gt;=6,"Fuerte (6-6.9)",IF(J3146&gt;=5,"Moderado alto (5-5.9)",IF(J3146&gt;=4,"Moderado (4-4.9)","Menor a 4"))))</x:f>
        <x:v>Moderado (4-4.9)</x:v>
      </x:c>
      <x:c r="L3146" s="25" t="str">
        <x:f>IF(I3146&lt;70,"Superficial (&lt;70 km)",IF(I3146&lt;=300,"Intermedio (70-300 km)","Profundo (&gt;300 km)"))</x:f>
        <x:v>Superficial (&lt;70 km)</x:v>
      </x:c>
      <x:c r="M3146" s="25" t="str">
        <x:f>IF(J3146&gt;=5,"Sí","No")</x:f>
        <x:v>No</x:v>
      </x:c>
      <x:c r="N3146" s="25" t="str">
        <x:f>IF(J3146&gt;=6,"Sí","No")</x:f>
        <x:v>No</x:v>
      </x:c>
      <x:c r="O3146" s="25" t="str">
        <x:v>Pendiente: asignar con R/sf</x:v>
      </x:c>
    </x:row>
    <x:row r="3147">
      <x:c r="A3147" s="25" t="n">
        <x:v>3146</x:v>
      </x:c>
      <x:c r="B3147" s="26" t="n">
        <x:v>43277.16086805556</x:v>
      </x:c>
      <x:c r="C3147" s="27" t="n">
        <x:f>INT(B3147)</x:f>
        <x:v>43277</x:v>
      </x:c>
      <x:c r="D3147" s="28" t="n">
        <x:f>MOD(B3147,1)</x:f>
        <x:v>0.16086805555823958</x:v>
      </x:c>
      <x:c r="E3147" s="29" t="n">
        <x:f>YEAR(B3147)</x:f>
        <x:v>2018</x:v>
      </x:c>
      <x:c r="F3147" s="29" t="n">
        <x:f>MONTH(B3147)</x:f>
        <x:v>6</x:v>
      </x:c>
      <x:c r="G3147" s="30" t="n">
        <x:v>-18.61</x:v>
      </x:c>
      <x:c r="H3147" s="30" t="n">
        <x:v>-69.82</x:v>
      </x:c>
      <x:c r="I3147" s="29" t="n">
        <x:v>135</x:v>
      </x:c>
      <x:c r="J3147" s="31" t="n">
        <x:v>4.5</x:v>
      </x:c>
      <x:c r="K3147" s="25" t="str">
        <x:f>IF(J3147&gt;=7,"Muy fuerte (&gt;=7)",IF(J3147&gt;=6,"Fuerte (6-6.9)",IF(J3147&gt;=5,"Moderado alto (5-5.9)",IF(J3147&gt;=4,"Moderado (4-4.9)","Menor a 4"))))</x:f>
        <x:v>Moderado (4-4.9)</x:v>
      </x:c>
      <x:c r="L3147" s="25" t="str">
        <x:f>IF(I3147&lt;70,"Superficial (&lt;70 km)",IF(I3147&lt;=300,"Intermedio (70-300 km)","Profundo (&gt;300 km)"))</x:f>
        <x:v>Intermedio (70-300 km)</x:v>
      </x:c>
      <x:c r="M3147" s="25" t="str">
        <x:f>IF(J3147&gt;=5,"Sí","No")</x:f>
        <x:v>No</x:v>
      </x:c>
      <x:c r="N3147" s="25" t="str">
        <x:f>IF(J3147&gt;=6,"Sí","No")</x:f>
        <x:v>No</x:v>
      </x:c>
      <x:c r="O3147" s="25" t="str">
        <x:v>Pendiente: asignar con R/sf</x:v>
      </x:c>
    </x:row>
    <x:row r="3148">
      <x:c r="A3148" s="25" t="n">
        <x:v>3147</x:v>
      </x:c>
      <x:c r="B3148" s="26" t="n">
        <x:v>43302.61046296296</x:v>
      </x:c>
      <x:c r="C3148" s="27" t="n">
        <x:f>INT(B3148)</x:f>
        <x:v>43302</x:v>
      </x:c>
      <x:c r="D3148" s="28" t="n">
        <x:f>MOD(B3148,1)</x:f>
        <x:v>0.6104629629626288</x:v>
      </x:c>
      <x:c r="E3148" s="29" t="n">
        <x:f>YEAR(B3148)</x:f>
        <x:v>2018</x:v>
      </x:c>
      <x:c r="F3148" s="29" t="n">
        <x:f>MONTH(B3148)</x:f>
        <x:v>7</x:v>
      </x:c>
      <x:c r="G3148" s="30" t="n">
        <x:v>-22.25</x:v>
      </x:c>
      <x:c r="H3148" s="30" t="n">
        <x:v>-68.67</x:v>
      </x:c>
      <x:c r="I3148" s="29" t="n">
        <x:v>117</x:v>
      </x:c>
      <x:c r="J3148" s="31" t="n">
        <x:v>4.9</x:v>
      </x:c>
      <x:c r="K3148" s="25" t="str">
        <x:f>IF(J3148&gt;=7,"Muy fuerte (&gt;=7)",IF(J3148&gt;=6,"Fuerte (6-6.9)",IF(J3148&gt;=5,"Moderado alto (5-5.9)",IF(J3148&gt;=4,"Moderado (4-4.9)","Menor a 4"))))</x:f>
        <x:v>Moderado (4-4.9)</x:v>
      </x:c>
      <x:c r="L3148" s="25" t="str">
        <x:f>IF(I3148&lt;70,"Superficial (&lt;70 km)",IF(I3148&lt;=300,"Intermedio (70-300 km)","Profundo (&gt;300 km)"))</x:f>
        <x:v>Intermedio (70-300 km)</x:v>
      </x:c>
      <x:c r="M3148" s="25" t="str">
        <x:f>IF(J3148&gt;=5,"Sí","No")</x:f>
        <x:v>No</x:v>
      </x:c>
      <x:c r="N3148" s="25" t="str">
        <x:f>IF(J3148&gt;=6,"Sí","No")</x:f>
        <x:v>No</x:v>
      </x:c>
      <x:c r="O3148" s="25" t="str">
        <x:v>Pendiente: asignar con R/sf</x:v>
      </x:c>
    </x:row>
    <x:row r="3149">
      <x:c r="A3149" s="25" t="n">
        <x:v>3148</x:v>
      </x:c>
      <x:c r="B3149" s="26" t="n">
        <x:v>43336.15261574074</x:v>
      </x:c>
      <x:c r="C3149" s="27" t="n">
        <x:f>INT(B3149)</x:f>
        <x:v>43336</x:v>
      </x:c>
      <x:c r="D3149" s="28" t="n">
        <x:f>MOD(B3149,1)</x:f>
        <x:v>0.1526157407424762</x:v>
      </x:c>
      <x:c r="E3149" s="29" t="n">
        <x:f>YEAR(B3149)</x:f>
        <x:v>2018</x:v>
      </x:c>
      <x:c r="F3149" s="29" t="n">
        <x:f>MONTH(B3149)</x:f>
        <x:v>8</x:v>
      </x:c>
      <x:c r="G3149" s="30" t="n">
        <x:v>-22.19</x:v>
      </x:c>
      <x:c r="H3149" s="30" t="n">
        <x:v>-70.41</x:v>
      </x:c>
      <x:c r="I3149" s="29" t="n">
        <x:v>56</x:v>
      </x:c>
      <x:c r="J3149" s="31" t="n">
        <x:v>4.1</x:v>
      </x:c>
      <x:c r="K3149" s="25" t="str">
        <x:f>IF(J3149&gt;=7,"Muy fuerte (&gt;=7)",IF(J3149&gt;=6,"Fuerte (6-6.9)",IF(J3149&gt;=5,"Moderado alto (5-5.9)",IF(J3149&gt;=4,"Moderado (4-4.9)","Menor a 4"))))</x:f>
        <x:v>Moderado (4-4.9)</x:v>
      </x:c>
      <x:c r="L3149" s="25" t="str">
        <x:f>IF(I3149&lt;70,"Superficial (&lt;70 km)",IF(I3149&lt;=300,"Intermedio (70-300 km)","Profundo (&gt;300 km)"))</x:f>
        <x:v>Superficial (&lt;70 km)</x:v>
      </x:c>
      <x:c r="M3149" s="25" t="str">
        <x:f>IF(J3149&gt;=5,"Sí","No")</x:f>
        <x:v>No</x:v>
      </x:c>
      <x:c r="N3149" s="25" t="str">
        <x:f>IF(J3149&gt;=6,"Sí","No")</x:f>
        <x:v>No</x:v>
      </x:c>
      <x:c r="O3149" s="25" t="str">
        <x:v>Pendiente: asignar con R/sf</x:v>
      </x:c>
    </x:row>
    <x:row r="3150">
      <x:c r="A3150" s="25" t="n">
        <x:v>3149</x:v>
      </x:c>
      <x:c r="B3150" s="26" t="n">
        <x:v>43153.94974537037</x:v>
      </x:c>
      <x:c r="C3150" s="27" t="n">
        <x:f>INT(B3150)</x:f>
        <x:v>43153</x:v>
      </x:c>
      <x:c r="D3150" s="28" t="n">
        <x:f>MOD(B3150,1)</x:f>
        <x:v>0.9497453703734209</x:v>
      </x:c>
      <x:c r="E3150" s="29" t="n">
        <x:f>YEAR(B3150)</x:f>
        <x:v>2018</x:v>
      </x:c>
      <x:c r="F3150" s="29" t="n">
        <x:f>MONTH(B3150)</x:f>
        <x:v>2</x:v>
      </x:c>
      <x:c r="G3150" s="30" t="n">
        <x:v>-20.22</x:v>
      </x:c>
      <x:c r="H3150" s="30" t="n">
        <x:v>-69.18</x:v>
      </x:c>
      <x:c r="I3150" s="29" t="n">
        <x:v>94</x:v>
      </x:c>
      <x:c r="J3150" s="31" t="n">
        <x:v>4</x:v>
      </x:c>
      <x:c r="K3150" s="25" t="str">
        <x:f>IF(J3150&gt;=7,"Muy fuerte (&gt;=7)",IF(J3150&gt;=6,"Fuerte (6-6.9)",IF(J3150&gt;=5,"Moderado alto (5-5.9)",IF(J3150&gt;=4,"Moderado (4-4.9)","Menor a 4"))))</x:f>
        <x:v>Moderado (4-4.9)</x:v>
      </x:c>
      <x:c r="L3150" s="25" t="str">
        <x:f>IF(I3150&lt;70,"Superficial (&lt;70 km)",IF(I3150&lt;=300,"Intermedio (70-300 km)","Profundo (&gt;300 km)"))</x:f>
        <x:v>Intermedio (70-300 km)</x:v>
      </x:c>
      <x:c r="M3150" s="25" t="str">
        <x:f>IF(J3150&gt;=5,"Sí","No")</x:f>
        <x:v>No</x:v>
      </x:c>
      <x:c r="N3150" s="25" t="str">
        <x:f>IF(J3150&gt;=6,"Sí","No")</x:f>
        <x:v>No</x:v>
      </x:c>
      <x:c r="O3150" s="25" t="str">
        <x:v>Pendiente: asignar con R/sf</x:v>
      </x:c>
    </x:row>
    <x:row r="3151">
      <x:c r="A3151" s="25" t="n">
        <x:v>3150</x:v>
      </x:c>
      <x:c r="B3151" s="26" t="n">
        <x:v>43189.963530092595</x:v>
      </x:c>
      <x:c r="C3151" s="27" t="n">
        <x:f>INT(B3151)</x:f>
        <x:v>43189</x:v>
      </x:c>
      <x:c r="D3151" s="28" t="n">
        <x:f>MOD(B3151,1)</x:f>
        <x:v>0.9635300925947377</x:v>
      </x:c>
      <x:c r="E3151" s="29" t="n">
        <x:f>YEAR(B3151)</x:f>
        <x:v>2018</x:v>
      </x:c>
      <x:c r="F3151" s="29" t="n">
        <x:f>MONTH(B3151)</x:f>
        <x:v>3</x:v>
      </x:c>
      <x:c r="G3151" s="30" t="n">
        <x:v>-20.65</x:v>
      </x:c>
      <x:c r="H3151" s="30" t="n">
        <x:v>-68.9</x:v>
      </x:c>
      <x:c r="I3151" s="29" t="n">
        <x:v>105</x:v>
      </x:c>
      <x:c r="J3151" s="31" t="n">
        <x:v>4.1</x:v>
      </x:c>
      <x:c r="K3151" s="25" t="str">
        <x:f>IF(J3151&gt;=7,"Muy fuerte (&gt;=7)",IF(J3151&gt;=6,"Fuerte (6-6.9)",IF(J3151&gt;=5,"Moderado alto (5-5.9)",IF(J3151&gt;=4,"Moderado (4-4.9)","Menor a 4"))))</x:f>
        <x:v>Moderado (4-4.9)</x:v>
      </x:c>
      <x:c r="L3151" s="25" t="str">
        <x:f>IF(I3151&lt;70,"Superficial (&lt;70 km)",IF(I3151&lt;=300,"Intermedio (70-300 km)","Profundo (&gt;300 km)"))</x:f>
        <x:v>Intermedio (70-300 km)</x:v>
      </x:c>
      <x:c r="M3151" s="25" t="str">
        <x:f>IF(J3151&gt;=5,"Sí","No")</x:f>
        <x:v>No</x:v>
      </x:c>
      <x:c r="N3151" s="25" t="str">
        <x:f>IF(J3151&gt;=6,"Sí","No")</x:f>
        <x:v>No</x:v>
      </x:c>
      <x:c r="O3151" s="25" t="str">
        <x:v>Pendiente: asignar con R/sf</x:v>
      </x:c>
    </x:row>
    <x:row r="3152">
      <x:c r="A3152" s="25" t="n">
        <x:v>3151</x:v>
      </x:c>
      <x:c r="B3152" s="26" t="n">
        <x:v>43209.43140046296</x:v>
      </x:c>
      <x:c r="C3152" s="27" t="n">
        <x:f>INT(B3152)</x:f>
        <x:v>43209</x:v>
      </x:c>
      <x:c r="D3152" s="28" t="n">
        <x:f>MOD(B3152,1)</x:f>
        <x:v>0.4314004629632109</x:v>
      </x:c>
      <x:c r="E3152" s="29" t="n">
        <x:f>YEAR(B3152)</x:f>
        <x:v>2018</x:v>
      </x:c>
      <x:c r="F3152" s="29" t="n">
        <x:f>MONTH(B3152)</x:f>
        <x:v>4</x:v>
      </x:c>
      <x:c r="G3152" s="30" t="n">
        <x:v>-20.17</x:v>
      </x:c>
      <x:c r="H3152" s="30" t="n">
        <x:v>-69.4</x:v>
      </x:c>
      <x:c r="I3152" s="29" t="n">
        <x:v>85</x:v>
      </x:c>
      <x:c r="J3152" s="31" t="n">
        <x:v>4.1</x:v>
      </x:c>
      <x:c r="K3152" s="25" t="str">
        <x:f>IF(J3152&gt;=7,"Muy fuerte (&gt;=7)",IF(J3152&gt;=6,"Fuerte (6-6.9)",IF(J3152&gt;=5,"Moderado alto (5-5.9)",IF(J3152&gt;=4,"Moderado (4-4.9)","Menor a 4"))))</x:f>
        <x:v>Moderado (4-4.9)</x:v>
      </x:c>
      <x:c r="L3152" s="25" t="str">
        <x:f>IF(I3152&lt;70,"Superficial (&lt;70 km)",IF(I3152&lt;=300,"Intermedio (70-300 km)","Profundo (&gt;300 km)"))</x:f>
        <x:v>Intermedio (70-300 km)</x:v>
      </x:c>
      <x:c r="M3152" s="25" t="str">
        <x:f>IF(J3152&gt;=5,"Sí","No")</x:f>
        <x:v>No</x:v>
      </x:c>
      <x:c r="N3152" s="25" t="str">
        <x:f>IF(J3152&gt;=6,"Sí","No")</x:f>
        <x:v>No</x:v>
      </x:c>
      <x:c r="O3152" s="25" t="str">
        <x:v>Pendiente: asignar con R/sf</x:v>
      </x:c>
    </x:row>
    <x:row r="3153">
      <x:c r="A3153" s="25" t="n">
        <x:v>3152</x:v>
      </x:c>
      <x:c r="B3153" s="26" t="n">
        <x:v>43258.48304398148</x:v>
      </x:c>
      <x:c r="C3153" s="27" t="n">
        <x:f>INT(B3153)</x:f>
        <x:v>43258</x:v>
      </x:c>
      <x:c r="D3153" s="28" t="n">
        <x:f>MOD(B3153,1)</x:f>
        <x:v>0.48304398148320615</x:v>
      </x:c>
      <x:c r="E3153" s="29" t="n">
        <x:f>YEAR(B3153)</x:f>
        <x:v>2018</x:v>
      </x:c>
      <x:c r="F3153" s="29" t="n">
        <x:f>MONTH(B3153)</x:f>
        <x:v>6</x:v>
      </x:c>
      <x:c r="G3153" s="30" t="n">
        <x:v>-20.81</x:v>
      </x:c>
      <x:c r="H3153" s="30" t="n">
        <x:v>-69.06</x:v>
      </x:c>
      <x:c r="I3153" s="29" t="n">
        <x:v>115</x:v>
      </x:c>
      <x:c r="J3153" s="31" t="n">
        <x:v>4.3</x:v>
      </x:c>
      <x:c r="K3153" s="25" t="str">
        <x:f>IF(J3153&gt;=7,"Muy fuerte (&gt;=7)",IF(J3153&gt;=6,"Fuerte (6-6.9)",IF(J3153&gt;=5,"Moderado alto (5-5.9)",IF(J3153&gt;=4,"Moderado (4-4.9)","Menor a 4"))))</x:f>
        <x:v>Moderado (4-4.9)</x:v>
      </x:c>
      <x:c r="L3153" s="25" t="str">
        <x:f>IF(I3153&lt;70,"Superficial (&lt;70 km)",IF(I3153&lt;=300,"Intermedio (70-300 km)","Profundo (&gt;300 km)"))</x:f>
        <x:v>Intermedio (70-300 km)</x:v>
      </x:c>
      <x:c r="M3153" s="25" t="str">
        <x:f>IF(J3153&gt;=5,"Sí","No")</x:f>
        <x:v>No</x:v>
      </x:c>
      <x:c r="N3153" s="25" t="str">
        <x:f>IF(J3153&gt;=6,"Sí","No")</x:f>
        <x:v>No</x:v>
      </x:c>
      <x:c r="O3153" s="25" t="str">
        <x:v>Pendiente: asignar con R/sf</x:v>
      </x:c>
    </x:row>
    <x:row r="3154">
      <x:c r="A3154" s="25" t="n">
        <x:v>3153</x:v>
      </x:c>
      <x:c r="B3154" s="26" t="n">
        <x:v>43313.830347222225</x:v>
      </x:c>
      <x:c r="C3154" s="27" t="n">
        <x:f>INT(B3154)</x:f>
        <x:v>43313</x:v>
      </x:c>
      <x:c r="D3154" s="28" t="n">
        <x:f>MOD(B3154,1)</x:f>
        <x:v>0.8303472222251003</x:v>
      </x:c>
      <x:c r="E3154" s="29" t="n">
        <x:f>YEAR(B3154)</x:f>
        <x:v>2018</x:v>
      </x:c>
      <x:c r="F3154" s="29" t="n">
        <x:f>MONTH(B3154)</x:f>
        <x:v>8</x:v>
      </x:c>
      <x:c r="G3154" s="30" t="n">
        <x:v>-20.4</x:v>
      </x:c>
      <x:c r="H3154" s="30" t="n">
        <x:v>-69.04</x:v>
      </x:c>
      <x:c r="I3154" s="29" t="n">
        <x:v>119</x:v>
      </x:c>
      <x:c r="J3154" s="31" t="n">
        <x:v>4.4</x:v>
      </x:c>
      <x:c r="K3154" s="25" t="str">
        <x:f>IF(J3154&gt;=7,"Muy fuerte (&gt;=7)",IF(J3154&gt;=6,"Fuerte (6-6.9)",IF(J3154&gt;=5,"Moderado alto (5-5.9)",IF(J3154&gt;=4,"Moderado (4-4.9)","Menor a 4"))))</x:f>
        <x:v>Moderado (4-4.9)</x:v>
      </x:c>
      <x:c r="L3154" s="25" t="str">
        <x:f>IF(I3154&lt;70,"Superficial (&lt;70 km)",IF(I3154&lt;=300,"Intermedio (70-300 km)","Profundo (&gt;300 km)"))</x:f>
        <x:v>Intermedio (70-300 km)</x:v>
      </x:c>
      <x:c r="M3154" s="25" t="str">
        <x:f>IF(J3154&gt;=5,"Sí","No")</x:f>
        <x:v>No</x:v>
      </x:c>
      <x:c r="N3154" s="25" t="str">
        <x:f>IF(J3154&gt;=6,"Sí","No")</x:f>
        <x:v>No</x:v>
      </x:c>
      <x:c r="O3154" s="25" t="str">
        <x:v>Pendiente: asignar con R/sf</x:v>
      </x:c>
    </x:row>
    <x:row r="3155">
      <x:c r="A3155" s="25" t="n">
        <x:v>3154</x:v>
      </x:c>
      <x:c r="B3155" s="26" t="n">
        <x:v>43346.364594907405</x:v>
      </x:c>
      <x:c r="C3155" s="27" t="n">
        <x:f>INT(B3155)</x:f>
        <x:v>43346</x:v>
      </x:c>
      <x:c r="D3155" s="28" t="n">
        <x:f>MOD(B3155,1)</x:f>
        <x:v>0.36459490740526235</x:v>
      </x:c>
      <x:c r="E3155" s="29" t="n">
        <x:f>YEAR(B3155)</x:f>
        <x:v>2018</x:v>
      </x:c>
      <x:c r="F3155" s="29" t="n">
        <x:f>MONTH(B3155)</x:f>
        <x:v>9</x:v>
      </x:c>
      <x:c r="G3155" s="30" t="n">
        <x:v>-20.64</x:v>
      </x:c>
      <x:c r="H3155" s="30" t="n">
        <x:v>-69.13</x:v>
      </x:c>
      <x:c r="I3155" s="29" t="n">
        <x:v>119</x:v>
      </x:c>
      <x:c r="J3155" s="31" t="n">
        <x:v>4.1</x:v>
      </x:c>
      <x:c r="K3155" s="25" t="str">
        <x:f>IF(J3155&gt;=7,"Muy fuerte (&gt;=7)",IF(J3155&gt;=6,"Fuerte (6-6.9)",IF(J3155&gt;=5,"Moderado alto (5-5.9)",IF(J3155&gt;=4,"Moderado (4-4.9)","Menor a 4"))))</x:f>
        <x:v>Moderado (4-4.9)</x:v>
      </x:c>
      <x:c r="L3155" s="25" t="str">
        <x:f>IF(I3155&lt;70,"Superficial (&lt;70 km)",IF(I3155&lt;=300,"Intermedio (70-300 km)","Profundo (&gt;300 km)"))</x:f>
        <x:v>Intermedio (70-300 km)</x:v>
      </x:c>
      <x:c r="M3155" s="25" t="str">
        <x:f>IF(J3155&gt;=5,"Sí","No")</x:f>
        <x:v>No</x:v>
      </x:c>
      <x:c r="N3155" s="25" t="str">
        <x:f>IF(J3155&gt;=6,"Sí","No")</x:f>
        <x:v>No</x:v>
      </x:c>
      <x:c r="O3155" s="25" t="str">
        <x:v>Pendiente: asignar con R/sf</x:v>
      </x:c>
    </x:row>
    <x:row r="3156">
      <x:c r="A3156" s="25" t="n">
        <x:v>3155</x:v>
      </x:c>
      <x:c r="B3156" s="26" t="n">
        <x:v>43357.451840277776</x:v>
      </x:c>
      <x:c r="C3156" s="27" t="n">
        <x:f>INT(B3156)</x:f>
        <x:v>43357</x:v>
      </x:c>
      <x:c r="D3156" s="28" t="n">
        <x:f>MOD(B3156,1)</x:f>
        <x:v>0.45184027777577285</x:v>
      </x:c>
      <x:c r="E3156" s="29" t="n">
        <x:f>YEAR(B3156)</x:f>
        <x:v>2018</x:v>
      </x:c>
      <x:c r="F3156" s="29" t="n">
        <x:f>MONTH(B3156)</x:f>
        <x:v>9</x:v>
      </x:c>
      <x:c r="G3156" s="30" t="n">
        <x:v>-19.26</x:v>
      </x:c>
      <x:c r="H3156" s="30" t="n">
        <x:v>-69.34</x:v>
      </x:c>
      <x:c r="I3156" s="29" t="n">
        <x:v>105</x:v>
      </x:c>
      <x:c r="J3156" s="31" t="n">
        <x:v>4.1</x:v>
      </x:c>
      <x:c r="K3156" s="25" t="str">
        <x:f>IF(J3156&gt;=7,"Muy fuerte (&gt;=7)",IF(J3156&gt;=6,"Fuerte (6-6.9)",IF(J3156&gt;=5,"Moderado alto (5-5.9)",IF(J3156&gt;=4,"Moderado (4-4.9)","Menor a 4"))))</x:f>
        <x:v>Moderado (4-4.9)</x:v>
      </x:c>
      <x:c r="L3156" s="25" t="str">
        <x:f>IF(I3156&lt;70,"Superficial (&lt;70 km)",IF(I3156&lt;=300,"Intermedio (70-300 km)","Profundo (&gt;300 km)"))</x:f>
        <x:v>Intermedio (70-300 km)</x:v>
      </x:c>
      <x:c r="M3156" s="25" t="str">
        <x:f>IF(J3156&gt;=5,"Sí","No")</x:f>
        <x:v>No</x:v>
      </x:c>
      <x:c r="N3156" s="25" t="str">
        <x:f>IF(J3156&gt;=6,"Sí","No")</x:f>
        <x:v>No</x:v>
      </x:c>
      <x:c r="O3156" s="25" t="str">
        <x:v>Pendiente: asignar con R/sf</x:v>
      </x:c>
    </x:row>
    <x:row r="3157">
      <x:c r="A3157" s="25" t="n">
        <x:v>3156</x:v>
      </x:c>
      <x:c r="B3157" s="26" t="n">
        <x:v>43405.271631944444</x:v>
      </x:c>
      <x:c r="C3157" s="27" t="n">
        <x:f>INT(B3157)</x:f>
        <x:v>43405</x:v>
      </x:c>
      <x:c r="D3157" s="28" t="n">
        <x:f>MOD(B3157,1)</x:f>
        <x:v>0.27163194444437977</x:v>
      </x:c>
      <x:c r="E3157" s="29" t="n">
        <x:f>YEAR(B3157)</x:f>
        <x:v>2018</x:v>
      </x:c>
      <x:c r="F3157" s="29" t="n">
        <x:f>MONTH(B3157)</x:f>
        <x:v>11</x:v>
      </x:c>
      <x:c r="G3157" s="30" t="n">
        <x:v>-22.29</x:v>
      </x:c>
      <x:c r="H3157" s="30" t="n">
        <x:v>-68.75</x:v>
      </x:c>
      <x:c r="I3157" s="29" t="n">
        <x:v>103</x:v>
      </x:c>
      <x:c r="J3157" s="31" t="n">
        <x:v>4.9</x:v>
      </x:c>
      <x:c r="K3157" s="25" t="str">
        <x:f>IF(J3157&gt;=7,"Muy fuerte (&gt;=7)",IF(J3157&gt;=6,"Fuerte (6-6.9)",IF(J3157&gt;=5,"Moderado alto (5-5.9)",IF(J3157&gt;=4,"Moderado (4-4.9)","Menor a 4"))))</x:f>
        <x:v>Moderado (4-4.9)</x:v>
      </x:c>
      <x:c r="L3157" s="25" t="str">
        <x:f>IF(I3157&lt;70,"Superficial (&lt;70 km)",IF(I3157&lt;=300,"Intermedio (70-300 km)","Profundo (&gt;300 km)"))</x:f>
        <x:v>Intermedio (70-300 km)</x:v>
      </x:c>
      <x:c r="M3157" s="25" t="str">
        <x:f>IF(J3157&gt;=5,"Sí","No")</x:f>
        <x:v>No</x:v>
      </x:c>
      <x:c r="N3157" s="25" t="str">
        <x:f>IF(J3157&gt;=6,"Sí","No")</x:f>
        <x:v>No</x:v>
      </x:c>
      <x:c r="O3157" s="25" t="str">
        <x:v>Pendiente: asignar con R/sf</x:v>
      </x:c>
    </x:row>
    <x:row r="3158">
      <x:c r="A3158" s="25" t="n">
        <x:v>3157</x:v>
      </x:c>
      <x:c r="B3158" s="26" t="n">
        <x:v>43405.93046296296</x:v>
      </x:c>
      <x:c r="C3158" s="27" t="n">
        <x:f>INT(B3158)</x:f>
        <x:v>43405</x:v>
      </x:c>
      <x:c r="D3158" s="28" t="n">
        <x:f>MOD(B3158,1)</x:f>
        <x:v>0.9304629629623378</x:v>
      </x:c>
      <x:c r="E3158" s="29" t="n">
        <x:f>YEAR(B3158)</x:f>
        <x:v>2018</x:v>
      </x:c>
      <x:c r="F3158" s="29" t="n">
        <x:f>MONTH(B3158)</x:f>
        <x:v>11</x:v>
      </x:c>
      <x:c r="G3158" s="30" t="n">
        <x:v>-19.65</x:v>
      </x:c>
      <x:c r="H3158" s="30" t="n">
        <x:v>-69.41</x:v>
      </x:c>
      <x:c r="I3158" s="29" t="n">
        <x:v>101</x:v>
      </x:c>
      <x:c r="J3158" s="31" t="n">
        <x:v>6.3</x:v>
      </x:c>
      <x:c r="K3158" s="25" t="str">
        <x:f>IF(J3158&gt;=7,"Muy fuerte (&gt;=7)",IF(J3158&gt;=6,"Fuerte (6-6.9)",IF(J3158&gt;=5,"Moderado alto (5-5.9)",IF(J3158&gt;=4,"Moderado (4-4.9)","Menor a 4"))))</x:f>
        <x:v>Fuerte (6-6.9)</x:v>
      </x:c>
      <x:c r="L3158" s="25" t="str">
        <x:f>IF(I3158&lt;70,"Superficial (&lt;70 km)",IF(I3158&lt;=300,"Intermedio (70-300 km)","Profundo (&gt;300 km)"))</x:f>
        <x:v>Intermedio (70-300 km)</x:v>
      </x:c>
      <x:c r="M3158" s="25" t="str">
        <x:f>IF(J3158&gt;=5,"Sí","No")</x:f>
        <x:v>Sí</x:v>
      </x:c>
      <x:c r="N3158" s="25" t="str">
        <x:f>IF(J3158&gt;=6,"Sí","No")</x:f>
        <x:v>Sí</x:v>
      </x:c>
      <x:c r="O3158" s="25" t="str">
        <x:v>Pendiente: asignar con R/sf</x:v>
      </x:c>
    </x:row>
    <x:row r="3159">
      <x:c r="A3159" s="25" t="n">
        <x:v>3158</x:v>
      </x:c>
      <x:c r="B3159" s="26" t="n">
        <x:v>43410.35487268519</x:v>
      </x:c>
      <x:c r="C3159" s="27" t="n">
        <x:f>INT(B3159)</x:f>
        <x:v>43410</x:v>
      </x:c>
      <x:c r="D3159" s="28" t="n">
        <x:f>MOD(B3159,1)</x:f>
        <x:v>0.3548726851877291</x:v>
      </x:c>
      <x:c r="E3159" s="29" t="n">
        <x:f>YEAR(B3159)</x:f>
        <x:v>2018</x:v>
      </x:c>
      <x:c r="F3159" s="29" t="n">
        <x:f>MONTH(B3159)</x:f>
        <x:v>11</x:v>
      </x:c>
      <x:c r="G3159" s="30" t="n">
        <x:v>-19.73</x:v>
      </x:c>
      <x:c r="H3159" s="30" t="n">
        <x:v>-69.39</x:v>
      </x:c>
      <x:c r="I3159" s="29" t="n">
        <x:v>89</x:v>
      </x:c>
      <x:c r="J3159" s="31" t="n">
        <x:v>4.8</x:v>
      </x:c>
      <x:c r="K3159" s="25" t="str">
        <x:f>IF(J3159&gt;=7,"Muy fuerte (&gt;=7)",IF(J3159&gt;=6,"Fuerte (6-6.9)",IF(J3159&gt;=5,"Moderado alto (5-5.9)",IF(J3159&gt;=4,"Moderado (4-4.9)","Menor a 4"))))</x:f>
        <x:v>Moderado (4-4.9)</x:v>
      </x:c>
      <x:c r="L3159" s="25" t="str">
        <x:f>IF(I3159&lt;70,"Superficial (&lt;70 km)",IF(I3159&lt;=300,"Intermedio (70-300 km)","Profundo (&gt;300 km)"))</x:f>
        <x:v>Intermedio (70-300 km)</x:v>
      </x:c>
      <x:c r="M3159" s="25" t="str">
        <x:f>IF(J3159&gt;=5,"Sí","No")</x:f>
        <x:v>No</x:v>
      </x:c>
      <x:c r="N3159" s="25" t="str">
        <x:f>IF(J3159&gt;=6,"Sí","No")</x:f>
        <x:v>No</x:v>
      </x:c>
      <x:c r="O3159" s="25" t="str">
        <x:v>Pendiente: asignar con R/sf</x:v>
      </x:c>
    </x:row>
    <x:row r="3160">
      <x:c r="A3160" s="25" t="n">
        <x:v>3159</x:v>
      </x:c>
      <x:c r="B3160" s="26" t="n">
        <x:v>43412.49828703704</x:v>
      </x:c>
      <x:c r="C3160" s="27" t="n">
        <x:f>INT(B3160)</x:f>
        <x:v>43412</x:v>
      </x:c>
      <x:c r="D3160" s="28" t="n">
        <x:f>MOD(B3160,1)</x:f>
        <x:v>0.4982870370367891</x:v>
      </x:c>
      <x:c r="E3160" s="29" t="n">
        <x:f>YEAR(B3160)</x:f>
        <x:v>2018</x:v>
      </x:c>
      <x:c r="F3160" s="29" t="n">
        <x:f>MONTH(B3160)</x:f>
        <x:v>11</x:v>
      </x:c>
      <x:c r="G3160" s="30" t="n">
        <x:v>-18.62</x:v>
      </x:c>
      <x:c r="H3160" s="30" t="n">
        <x:v>-70.52</x:v>
      </x:c>
      <x:c r="I3160" s="29" t="n">
        <x:v>39</x:v>
      </x:c>
      <x:c r="J3160" s="31" t="n">
        <x:v>4</x:v>
      </x:c>
      <x:c r="K3160" s="25" t="str">
        <x:f>IF(J3160&gt;=7,"Muy fuerte (&gt;=7)",IF(J3160&gt;=6,"Fuerte (6-6.9)",IF(J3160&gt;=5,"Moderado alto (5-5.9)",IF(J3160&gt;=4,"Moderado (4-4.9)","Menor a 4"))))</x:f>
        <x:v>Moderado (4-4.9)</x:v>
      </x:c>
      <x:c r="L3160" s="25" t="str">
        <x:f>IF(I3160&lt;70,"Superficial (&lt;70 km)",IF(I3160&lt;=300,"Intermedio (70-300 km)","Profundo (&gt;300 km)"))</x:f>
        <x:v>Superficial (&lt;70 km)</x:v>
      </x:c>
      <x:c r="M3160" s="25" t="str">
        <x:f>IF(J3160&gt;=5,"Sí","No")</x:f>
        <x:v>No</x:v>
      </x:c>
      <x:c r="N3160" s="25" t="str">
        <x:f>IF(J3160&gt;=6,"Sí","No")</x:f>
        <x:v>No</x:v>
      </x:c>
      <x:c r="O3160" s="25" t="str">
        <x:v>Pendiente: asignar con R/sf</x:v>
      </x:c>
    </x:row>
    <x:row r="3161">
      <x:c r="A3161" s="25" t="n">
        <x:v>3160</x:v>
      </x:c>
      <x:c r="B3161" s="26" t="n">
        <x:v>43416.7703125</x:v>
      </x:c>
      <x:c r="C3161" s="27" t="n">
        <x:f>INT(B3161)</x:f>
        <x:v>43416</x:v>
      </x:c>
      <x:c r="D3161" s="28" t="n">
        <x:f>MOD(B3161,1)</x:f>
        <x:v>0.7703124999970896</x:v>
      </x:c>
      <x:c r="E3161" s="29" t="n">
        <x:f>YEAR(B3161)</x:f>
        <x:v>2018</x:v>
      </x:c>
      <x:c r="F3161" s="29" t="n">
        <x:f>MONTH(B3161)</x:f>
        <x:v>11</x:v>
      </x:c>
      <x:c r="G3161" s="30" t="n">
        <x:v>-21.11</x:v>
      </x:c>
      <x:c r="H3161" s="30" t="n">
        <x:v>-68.96</x:v>
      </x:c>
      <x:c r="I3161" s="29" t="n">
        <x:v>112</x:v>
      </x:c>
      <x:c r="J3161" s="31" t="n">
        <x:v>4.5</x:v>
      </x:c>
      <x:c r="K3161" s="25" t="str">
        <x:f>IF(J3161&gt;=7,"Muy fuerte (&gt;=7)",IF(J3161&gt;=6,"Fuerte (6-6.9)",IF(J3161&gt;=5,"Moderado alto (5-5.9)",IF(J3161&gt;=4,"Moderado (4-4.9)","Menor a 4"))))</x:f>
        <x:v>Moderado (4-4.9)</x:v>
      </x:c>
      <x:c r="L3161" s="25" t="str">
        <x:f>IF(I3161&lt;70,"Superficial (&lt;70 km)",IF(I3161&lt;=300,"Intermedio (70-300 km)","Profundo (&gt;300 km)"))</x:f>
        <x:v>Intermedio (70-300 km)</x:v>
      </x:c>
      <x:c r="M3161" s="25" t="str">
        <x:f>IF(J3161&gt;=5,"Sí","No")</x:f>
        <x:v>No</x:v>
      </x:c>
      <x:c r="N3161" s="25" t="str">
        <x:f>IF(J3161&gt;=6,"Sí","No")</x:f>
        <x:v>No</x:v>
      </x:c>
      <x:c r="O3161" s="25" t="str">
        <x:v>Pendiente: asignar con R/sf</x:v>
      </x:c>
    </x:row>
    <x:row r="3162">
      <x:c r="A3162" s="25" t="n">
        <x:v>3161</x:v>
      </x:c>
      <x:c r="B3162" s="26" t="n">
        <x:v>43121.0462962963</x:v>
      </x:c>
      <x:c r="C3162" s="27" t="n">
        <x:f>INT(B3162)</x:f>
        <x:v>43121</x:v>
      </x:c>
      <x:c r="D3162" s="28" t="n">
        <x:f>MOD(B3162,1)</x:f>
        <x:v>0.046296296299260575</x:v>
      </x:c>
      <x:c r="E3162" s="29" t="n">
        <x:f>YEAR(B3162)</x:f>
        <x:v>2018</x:v>
      </x:c>
      <x:c r="F3162" s="29" t="n">
        <x:f>MONTH(B3162)</x:f>
        <x:v>1</x:v>
      </x:c>
      <x:c r="G3162" s="30" t="n">
        <x:v>-18.88</x:v>
      </x:c>
      <x:c r="H3162" s="30" t="n">
        <x:v>-69.61</x:v>
      </x:c>
      <x:c r="I3162" s="29" t="n">
        <x:v>129</x:v>
      </x:c>
      <x:c r="J3162" s="31" t="n">
        <x:v>6.2</x:v>
      </x:c>
      <x:c r="K3162" s="25" t="str">
        <x:f>IF(J3162&gt;=7,"Muy fuerte (&gt;=7)",IF(J3162&gt;=6,"Fuerte (6-6.9)",IF(J3162&gt;=5,"Moderado alto (5-5.9)",IF(J3162&gt;=4,"Moderado (4-4.9)","Menor a 4"))))</x:f>
        <x:v>Fuerte (6-6.9)</x:v>
      </x:c>
      <x:c r="L3162" s="25" t="str">
        <x:f>IF(I3162&lt;70,"Superficial (&lt;70 km)",IF(I3162&lt;=300,"Intermedio (70-300 km)","Profundo (&gt;300 km)"))</x:f>
        <x:v>Intermedio (70-300 km)</x:v>
      </x:c>
      <x:c r="M3162" s="25" t="str">
        <x:f>IF(J3162&gt;=5,"Sí","No")</x:f>
        <x:v>Sí</x:v>
      </x:c>
      <x:c r="N3162" s="25" t="str">
        <x:f>IF(J3162&gt;=6,"Sí","No")</x:f>
        <x:v>Sí</x:v>
      </x:c>
      <x:c r="O3162" s="25" t="str">
        <x:v>Pendiente: asignar con R/sf</x:v>
      </x:c>
    </x:row>
    <x:row r="3163">
      <x:c r="A3163" s="25" t="n">
        <x:v>3162</x:v>
      </x:c>
      <x:c r="B3163" s="26" t="n">
        <x:v>43124.32368055556</x:v>
      </x:c>
      <x:c r="C3163" s="27" t="n">
        <x:f>INT(B3163)</x:f>
        <x:v>43124</x:v>
      </x:c>
      <x:c r="D3163" s="28" t="n">
        <x:f>MOD(B3163,1)</x:f>
        <x:v>0.3236805555570754</x:v>
      </x:c>
      <x:c r="E3163" s="29" t="n">
        <x:f>YEAR(B3163)</x:f>
        <x:v>2018</x:v>
      </x:c>
      <x:c r="F3163" s="29" t="n">
        <x:f>MONTH(B3163)</x:f>
        <x:v>1</x:v>
      </x:c>
      <x:c r="G3163" s="30" t="n">
        <x:v>-20.31</x:v>
      </x:c>
      <x:c r="H3163" s="30" t="n">
        <x:v>-69.11</x:v>
      </x:c>
      <x:c r="I3163" s="29" t="n">
        <x:v>106</x:v>
      </x:c>
      <x:c r="J3163" s="31" t="n">
        <x:v>5.3</x:v>
      </x:c>
      <x:c r="K3163" s="25" t="str">
        <x:f>IF(J3163&gt;=7,"Muy fuerte (&gt;=7)",IF(J3163&gt;=6,"Fuerte (6-6.9)",IF(J3163&gt;=5,"Moderado alto (5-5.9)",IF(J3163&gt;=4,"Moderado (4-4.9)","Menor a 4"))))</x:f>
        <x:v>Moderado alto (5-5.9)</x:v>
      </x:c>
      <x:c r="L3163" s="25" t="str">
        <x:f>IF(I3163&lt;70,"Superficial (&lt;70 km)",IF(I3163&lt;=300,"Intermedio (70-300 km)","Profundo (&gt;300 km)"))</x:f>
        <x:v>Intermedio (70-300 km)</x:v>
      </x:c>
      <x:c r="M3163" s="25" t="str">
        <x:f>IF(J3163&gt;=5,"Sí","No")</x:f>
        <x:v>Sí</x:v>
      </x:c>
      <x:c r="N3163" s="25" t="str">
        <x:f>IF(J3163&gt;=6,"Sí","No")</x:f>
        <x:v>No</x:v>
      </x:c>
      <x:c r="O3163" s="25" t="str">
        <x:v>Pendiente: asignar con R/sf</x:v>
      </x:c>
    </x:row>
    <x:row r="3164">
      <x:c r="A3164" s="25" t="n">
        <x:v>3163</x:v>
      </x:c>
      <x:c r="B3164" s="26" t="n">
        <x:v>43152.046643518515</x:v>
      </x:c>
      <x:c r="C3164" s="27" t="n">
        <x:f>INT(B3164)</x:f>
        <x:v>43152</x:v>
      </x:c>
      <x:c r="D3164" s="28" t="n">
        <x:f>MOD(B3164,1)</x:f>
        <x:v>0.046643518515338656</x:v>
      </x:c>
      <x:c r="E3164" s="29" t="n">
        <x:f>YEAR(B3164)</x:f>
        <x:v>2018</x:v>
      </x:c>
      <x:c r="F3164" s="29" t="n">
        <x:f>MONTH(B3164)</x:f>
        <x:v>2</x:v>
      </x:c>
      <x:c r="G3164" s="30" t="n">
        <x:v>-18.95</x:v>
      </x:c>
      <x:c r="H3164" s="30" t="n">
        <x:v>-69.35</x:v>
      </x:c>
      <x:c r="I3164" s="29" t="n">
        <x:v>107</x:v>
      </x:c>
      <x:c r="J3164" s="31" t="n">
        <x:v>4.9</x:v>
      </x:c>
      <x:c r="K3164" s="25" t="str">
        <x:f>IF(J3164&gt;=7,"Muy fuerte (&gt;=7)",IF(J3164&gt;=6,"Fuerte (6-6.9)",IF(J3164&gt;=5,"Moderado alto (5-5.9)",IF(J3164&gt;=4,"Moderado (4-4.9)","Menor a 4"))))</x:f>
        <x:v>Moderado (4-4.9)</x:v>
      </x:c>
      <x:c r="L3164" s="25" t="str">
        <x:f>IF(I3164&lt;70,"Superficial (&lt;70 km)",IF(I3164&lt;=300,"Intermedio (70-300 km)","Profundo (&gt;300 km)"))</x:f>
        <x:v>Intermedio (70-300 km)</x:v>
      </x:c>
      <x:c r="M3164" s="25" t="str">
        <x:f>IF(J3164&gt;=5,"Sí","No")</x:f>
        <x:v>No</x:v>
      </x:c>
      <x:c r="N3164" s="25" t="str">
        <x:f>IF(J3164&gt;=6,"Sí","No")</x:f>
        <x:v>No</x:v>
      </x:c>
      <x:c r="O3164" s="25" t="str">
        <x:v>Pendiente: asignar con R/sf</x:v>
      </x:c>
    </x:row>
    <x:row r="3165">
      <x:c r="A3165" s="25" t="n">
        <x:v>3164</x:v>
      </x:c>
      <x:c r="B3165" s="26" t="n">
        <x:v>43163.678148148145</x:v>
      </x:c>
      <x:c r="C3165" s="27" t="n">
        <x:f>INT(B3165)</x:f>
        <x:v>43163</x:v>
      </x:c>
      <x:c r="D3165" s="28" t="n">
        <x:f>MOD(B3165,1)</x:f>
        <x:v>0.6781481481448282</x:v>
      </x:c>
      <x:c r="E3165" s="29" t="n">
        <x:f>YEAR(B3165)</x:f>
        <x:v>2018</x:v>
      </x:c>
      <x:c r="F3165" s="29" t="n">
        <x:f>MONTH(B3165)</x:f>
        <x:v>3</x:v>
      </x:c>
      <x:c r="G3165" s="30" t="n">
        <x:v>-20.45</x:v>
      </x:c>
      <x:c r="H3165" s="30" t="n">
        <x:v>-68.65</x:v>
      </x:c>
      <x:c r="I3165" s="29" t="n">
        <x:v>126</x:v>
      </x:c>
      <x:c r="J3165" s="31" t="n">
        <x:v>5.1</x:v>
      </x:c>
      <x:c r="K3165" s="25" t="str">
        <x:f>IF(J3165&gt;=7,"Muy fuerte (&gt;=7)",IF(J3165&gt;=6,"Fuerte (6-6.9)",IF(J3165&gt;=5,"Moderado alto (5-5.9)",IF(J3165&gt;=4,"Moderado (4-4.9)","Menor a 4"))))</x:f>
        <x:v>Moderado alto (5-5.9)</x:v>
      </x:c>
      <x:c r="L3165" s="25" t="str">
        <x:f>IF(I3165&lt;70,"Superficial (&lt;70 km)",IF(I3165&lt;=300,"Intermedio (70-300 km)","Profundo (&gt;300 km)"))</x:f>
        <x:v>Intermedio (70-300 km)</x:v>
      </x:c>
      <x:c r="M3165" s="25" t="str">
        <x:f>IF(J3165&gt;=5,"Sí","No")</x:f>
        <x:v>Sí</x:v>
      </x:c>
      <x:c r="N3165" s="25" t="str">
        <x:f>IF(J3165&gt;=6,"Sí","No")</x:f>
        <x:v>No</x:v>
      </x:c>
      <x:c r="O3165" s="25" t="str">
        <x:v>Pendiente: asignar con R/sf</x:v>
      </x:c>
    </x:row>
    <x:row r="3166">
      <x:c r="A3166" s="25" t="n">
        <x:v>3165</x:v>
      </x:c>
      <x:c r="B3166" s="26" t="n">
        <x:v>43169.66804398148</x:v>
      </x:c>
      <x:c r="C3166" s="27" t="n">
        <x:f>INT(B3166)</x:f>
        <x:v>43169</x:v>
      </x:c>
      <x:c r="D3166" s="28" t="n">
        <x:f>MOD(B3166,1)</x:f>
        <x:v>0.6680439814808778</x:v>
      </x:c>
      <x:c r="E3166" s="29" t="n">
        <x:f>YEAR(B3166)</x:f>
        <x:v>2018</x:v>
      </x:c>
      <x:c r="F3166" s="29" t="n">
        <x:f>MONTH(B3166)</x:f>
        <x:v>3</x:v>
      </x:c>
      <x:c r="G3166" s="30" t="n">
        <x:v>-19.96</x:v>
      </x:c>
      <x:c r="H3166" s="30" t="n">
        <x:v>-70.09</x:v>
      </x:c>
      <x:c r="I3166" s="29" t="n">
        <x:v>50</x:v>
      </x:c>
      <x:c r="J3166" s="31" t="n">
        <x:v>4</x:v>
      </x:c>
      <x:c r="K3166" s="25" t="str">
        <x:f>IF(J3166&gt;=7,"Muy fuerte (&gt;=7)",IF(J3166&gt;=6,"Fuerte (6-6.9)",IF(J3166&gt;=5,"Moderado alto (5-5.9)",IF(J3166&gt;=4,"Moderado (4-4.9)","Menor a 4"))))</x:f>
        <x:v>Moderado (4-4.9)</x:v>
      </x:c>
      <x:c r="L3166" s="25" t="str">
        <x:f>IF(I3166&lt;70,"Superficial (&lt;70 km)",IF(I3166&lt;=300,"Intermedio (70-300 km)","Profundo (&gt;300 km)"))</x:f>
        <x:v>Superficial (&lt;70 km)</x:v>
      </x:c>
      <x:c r="M3166" s="25" t="str">
        <x:f>IF(J3166&gt;=5,"Sí","No")</x:f>
        <x:v>No</x:v>
      </x:c>
      <x:c r="N3166" s="25" t="str">
        <x:f>IF(J3166&gt;=6,"Sí","No")</x:f>
        <x:v>No</x:v>
      </x:c>
      <x:c r="O3166" s="25" t="str">
        <x:v>Pendiente: asignar con R/sf</x:v>
      </x:c>
    </x:row>
    <x:row r="3167">
      <x:c r="A3167" s="25" t="n">
        <x:v>3166</x:v>
      </x:c>
      <x:c r="B3167" s="26" t="n">
        <x:v>43195.46680555555</x:v>
      </x:c>
      <x:c r="C3167" s="27" t="n">
        <x:f>INT(B3167)</x:f>
        <x:v>43195</x:v>
      </x:c>
      <x:c r="D3167" s="28" t="n">
        <x:f>MOD(B3167,1)</x:f>
        <x:v>0.46680555555212777</x:v>
      </x:c>
      <x:c r="E3167" s="29" t="n">
        <x:f>YEAR(B3167)</x:f>
        <x:v>2018</x:v>
      </x:c>
      <x:c r="F3167" s="29" t="n">
        <x:f>MONTH(B3167)</x:f>
        <x:v>4</x:v>
      </x:c>
      <x:c r="G3167" s="30" t="n">
        <x:v>-20.29</x:v>
      </x:c>
      <x:c r="H3167" s="30" t="n">
        <x:v>-70.53</x:v>
      </x:c>
      <x:c r="I3167" s="29" t="n">
        <x:v>46</x:v>
      </x:c>
      <x:c r="J3167" s="31" t="n">
        <x:v>5.4</x:v>
      </x:c>
      <x:c r="K3167" s="25" t="str">
        <x:f>IF(J3167&gt;=7,"Muy fuerte (&gt;=7)",IF(J3167&gt;=6,"Fuerte (6-6.9)",IF(J3167&gt;=5,"Moderado alto (5-5.9)",IF(J3167&gt;=4,"Moderado (4-4.9)","Menor a 4"))))</x:f>
        <x:v>Moderado alto (5-5.9)</x:v>
      </x:c>
      <x:c r="L3167" s="25" t="str">
        <x:f>IF(I3167&lt;70,"Superficial (&lt;70 km)",IF(I3167&lt;=300,"Intermedio (70-300 km)","Profundo (&gt;300 km)"))</x:f>
        <x:v>Superficial (&lt;70 km)</x:v>
      </x:c>
      <x:c r="M3167" s="25" t="str">
        <x:f>IF(J3167&gt;=5,"Sí","No")</x:f>
        <x:v>Sí</x:v>
      </x:c>
      <x:c r="N3167" s="25" t="str">
        <x:f>IF(J3167&gt;=6,"Sí","No")</x:f>
        <x:v>No</x:v>
      </x:c>
      <x:c r="O3167" s="25" t="str">
        <x:v>Pendiente: asignar con R/sf</x:v>
      </x:c>
    </x:row>
    <x:row r="3168">
      <x:c r="A3168" s="25" t="n">
        <x:v>3167</x:v>
      </x:c>
      <x:c r="B3168" s="26" t="n">
        <x:v>43207.57366898148</x:v>
      </x:c>
      <x:c r="C3168" s="27" t="n">
        <x:f>INT(B3168)</x:f>
        <x:v>43207</x:v>
      </x:c>
      <x:c r="D3168" s="28" t="n">
        <x:f>MOD(B3168,1)</x:f>
        <x:v>0.5736689814802958</x:v>
      </x:c>
      <x:c r="E3168" s="29" t="n">
        <x:f>YEAR(B3168)</x:f>
        <x:v>2018</x:v>
      </x:c>
      <x:c r="F3168" s="29" t="n">
        <x:f>MONTH(B3168)</x:f>
        <x:v>4</x:v>
      </x:c>
      <x:c r="G3168" s="30" t="n">
        <x:v>-21.46</x:v>
      </x:c>
      <x:c r="H3168" s="30" t="n">
        <x:v>-68.81</x:v>
      </x:c>
      <x:c r="I3168" s="29" t="n">
        <x:v>103</x:v>
      </x:c>
      <x:c r="J3168" s="31" t="n">
        <x:v>5</x:v>
      </x:c>
      <x:c r="K3168" s="25" t="str">
        <x:f>IF(J3168&gt;=7,"Muy fuerte (&gt;=7)",IF(J3168&gt;=6,"Fuerte (6-6.9)",IF(J3168&gt;=5,"Moderado alto (5-5.9)",IF(J3168&gt;=4,"Moderado (4-4.9)","Menor a 4"))))</x:f>
        <x:v>Moderado alto (5-5.9)</x:v>
      </x:c>
      <x:c r="L3168" s="25" t="str">
        <x:f>IF(I3168&lt;70,"Superficial (&lt;70 km)",IF(I3168&lt;=300,"Intermedio (70-300 km)","Profundo (&gt;300 km)"))</x:f>
        <x:v>Intermedio (70-300 km)</x:v>
      </x:c>
      <x:c r="M3168" s="25" t="str">
        <x:f>IF(J3168&gt;=5,"Sí","No")</x:f>
        <x:v>Sí</x:v>
      </x:c>
      <x:c r="N3168" s="25" t="str">
        <x:f>IF(J3168&gt;=6,"Sí","No")</x:f>
        <x:v>No</x:v>
      </x:c>
      <x:c r="O3168" s="25" t="str">
        <x:v>Pendiente: asignar con R/sf</x:v>
      </x:c>
    </x:row>
    <x:row r="3169">
      <x:c r="A3169" s="25" t="n">
        <x:v>3168</x:v>
      </x:c>
      <x:c r="B3169" s="26" t="n">
        <x:v>43222.385625</x:v>
      </x:c>
      <x:c r="C3169" s="27" t="n">
        <x:f>INT(B3169)</x:f>
        <x:v>43222</x:v>
      </x:c>
      <x:c r="D3169" s="28" t="n">
        <x:f>MOD(B3169,1)</x:f>
        <x:v>0.38562500000261934</x:v>
      </x:c>
      <x:c r="E3169" s="29" t="n">
        <x:f>YEAR(B3169)</x:f>
        <x:v>2018</x:v>
      </x:c>
      <x:c r="F3169" s="29" t="n">
        <x:f>MONTH(B3169)</x:f>
        <x:v>5</x:v>
      </x:c>
      <x:c r="G3169" s="30" t="n">
        <x:v>-20.14</x:v>
      </x:c>
      <x:c r="H3169" s="30" t="n">
        <x:v>-69.17</x:v>
      </x:c>
      <x:c r="I3169" s="29" t="n">
        <x:v>95</x:v>
      </x:c>
      <x:c r="J3169" s="31" t="n">
        <x:v>4.7</x:v>
      </x:c>
      <x:c r="K3169" s="25" t="str">
        <x:f>IF(J3169&gt;=7,"Muy fuerte (&gt;=7)",IF(J3169&gt;=6,"Fuerte (6-6.9)",IF(J3169&gt;=5,"Moderado alto (5-5.9)",IF(J3169&gt;=4,"Moderado (4-4.9)","Menor a 4"))))</x:f>
        <x:v>Moderado (4-4.9)</x:v>
      </x:c>
      <x:c r="L3169" s="25" t="str">
        <x:f>IF(I3169&lt;70,"Superficial (&lt;70 km)",IF(I3169&lt;=300,"Intermedio (70-300 km)","Profundo (&gt;300 km)"))</x:f>
        <x:v>Intermedio (70-300 km)</x:v>
      </x:c>
      <x:c r="M3169" s="25" t="str">
        <x:f>IF(J3169&gt;=5,"Sí","No")</x:f>
        <x:v>No</x:v>
      </x:c>
      <x:c r="N3169" s="25" t="str">
        <x:f>IF(J3169&gt;=6,"Sí","No")</x:f>
        <x:v>No</x:v>
      </x:c>
      <x:c r="O3169" s="25" t="str">
        <x:v>Pendiente: asignar con R/sf</x:v>
      </x:c>
    </x:row>
    <x:row r="3170">
      <x:c r="A3170" s="25" t="n">
        <x:v>3169</x:v>
      </x:c>
      <x:c r="B3170" s="26" t="n">
        <x:v>43242.29866898148</x:v>
      </x:c>
      <x:c r="C3170" s="27" t="n">
        <x:f>INT(B3170)</x:f>
        <x:v>43242</x:v>
      </x:c>
      <x:c r="D3170" s="28" t="n">
        <x:f>MOD(B3170,1)</x:f>
        <x:v>0.2986689814788406</x:v>
      </x:c>
      <x:c r="E3170" s="29" t="n">
        <x:f>YEAR(B3170)</x:f>
        <x:v>2018</x:v>
      </x:c>
      <x:c r="F3170" s="29" t="n">
        <x:f>MONTH(B3170)</x:f>
        <x:v>5</x:v>
      </x:c>
      <x:c r="G3170" s="30" t="n">
        <x:v>-19.43</x:v>
      </x:c>
      <x:c r="H3170" s="30" t="n">
        <x:v>-69.21</x:v>
      </x:c>
      <x:c r="I3170" s="29" t="n">
        <x:v>113</x:v>
      </x:c>
      <x:c r="J3170" s="31" t="n">
        <x:v>4.3</x:v>
      </x:c>
      <x:c r="K3170" s="25" t="str">
        <x:f>IF(J3170&gt;=7,"Muy fuerte (&gt;=7)",IF(J3170&gt;=6,"Fuerte (6-6.9)",IF(J3170&gt;=5,"Moderado alto (5-5.9)",IF(J3170&gt;=4,"Moderado (4-4.9)","Menor a 4"))))</x:f>
        <x:v>Moderado (4-4.9)</x:v>
      </x:c>
      <x:c r="L3170" s="25" t="str">
        <x:f>IF(I3170&lt;70,"Superficial (&lt;70 km)",IF(I3170&lt;=300,"Intermedio (70-300 km)","Profundo (&gt;300 km)"))</x:f>
        <x:v>Intermedio (70-300 km)</x:v>
      </x:c>
      <x:c r="M3170" s="25" t="str">
        <x:f>IF(J3170&gt;=5,"Sí","No")</x:f>
        <x:v>No</x:v>
      </x:c>
      <x:c r="N3170" s="25" t="str">
        <x:f>IF(J3170&gt;=6,"Sí","No")</x:f>
        <x:v>No</x:v>
      </x:c>
      <x:c r="O3170" s="25" t="str">
        <x:v>Pendiente: asignar con R/sf</x:v>
      </x:c>
    </x:row>
    <x:row r="3171">
      <x:c r="A3171" s="25" t="n">
        <x:v>3170</x:v>
      </x:c>
      <x:c r="B3171" s="26" t="n">
        <x:v>43243.59165509259</x:v>
      </x:c>
      <x:c r="C3171" s="27" t="n">
        <x:f>INT(B3171)</x:f>
        <x:v>43243</x:v>
      </x:c>
      <x:c r="D3171" s="28" t="n">
        <x:f>MOD(B3171,1)</x:f>
        <x:v>0.5916550925903721</x:v>
      </x:c>
      <x:c r="E3171" s="29" t="n">
        <x:f>YEAR(B3171)</x:f>
        <x:v>2018</x:v>
      </x:c>
      <x:c r="F3171" s="29" t="n">
        <x:f>MONTH(B3171)</x:f>
        <x:v>5</x:v>
      </x:c>
      <x:c r="G3171" s="30" t="n">
        <x:v>-20.72</x:v>
      </x:c>
      <x:c r="H3171" s="30" t="n">
        <x:v>-69.18</x:v>
      </x:c>
      <x:c r="I3171" s="29" t="n">
        <x:v>99</x:v>
      </x:c>
      <x:c r="J3171" s="31" t="n">
        <x:v>4</x:v>
      </x:c>
      <x:c r="K3171" s="25" t="str">
        <x:f>IF(J3171&gt;=7,"Muy fuerte (&gt;=7)",IF(J3171&gt;=6,"Fuerte (6-6.9)",IF(J3171&gt;=5,"Moderado alto (5-5.9)",IF(J3171&gt;=4,"Moderado (4-4.9)","Menor a 4"))))</x:f>
        <x:v>Moderado (4-4.9)</x:v>
      </x:c>
      <x:c r="L3171" s="25" t="str">
        <x:f>IF(I3171&lt;70,"Superficial (&lt;70 km)",IF(I3171&lt;=300,"Intermedio (70-300 km)","Profundo (&gt;300 km)"))</x:f>
        <x:v>Intermedio (70-300 km)</x:v>
      </x:c>
      <x:c r="M3171" s="25" t="str">
        <x:f>IF(J3171&gt;=5,"Sí","No")</x:f>
        <x:v>No</x:v>
      </x:c>
      <x:c r="N3171" s="25" t="str">
        <x:f>IF(J3171&gt;=6,"Sí","No")</x:f>
        <x:v>No</x:v>
      </x:c>
      <x:c r="O3171" s="25" t="str">
        <x:v>Pendiente: asignar con R/sf</x:v>
      </x:c>
    </x:row>
    <x:row r="3172">
      <x:c r="A3172" s="25" t="n">
        <x:v>3171</x:v>
      </x:c>
      <x:c r="B3172" s="26" t="n">
        <x:v>43249.05290509259</x:v>
      </x:c>
      <x:c r="C3172" s="27" t="n">
        <x:f>INT(B3172)</x:f>
        <x:v>43249</x:v>
      </x:c>
      <x:c r="D3172" s="28" t="n">
        <x:f>MOD(B3172,1)</x:f>
        <x:v>0.052905092590663116</x:v>
      </x:c>
      <x:c r="E3172" s="29" t="n">
        <x:f>YEAR(B3172)</x:f>
        <x:v>2018</x:v>
      </x:c>
      <x:c r="F3172" s="29" t="n">
        <x:f>MONTH(B3172)</x:f>
        <x:v>5</x:v>
      </x:c>
      <x:c r="G3172" s="30" t="n">
        <x:v>-20.17</x:v>
      </x:c>
      <x:c r="H3172" s="30" t="n">
        <x:v>-69.04</x:v>
      </x:c>
      <x:c r="I3172" s="29" t="n">
        <x:v>105</x:v>
      </x:c>
      <x:c r="J3172" s="31" t="n">
        <x:v>4.9</x:v>
      </x:c>
      <x:c r="K3172" s="25" t="str">
        <x:f>IF(J3172&gt;=7,"Muy fuerte (&gt;=7)",IF(J3172&gt;=6,"Fuerte (6-6.9)",IF(J3172&gt;=5,"Moderado alto (5-5.9)",IF(J3172&gt;=4,"Moderado (4-4.9)","Menor a 4"))))</x:f>
        <x:v>Moderado (4-4.9)</x:v>
      </x:c>
      <x:c r="L3172" s="25" t="str">
        <x:f>IF(I3172&lt;70,"Superficial (&lt;70 km)",IF(I3172&lt;=300,"Intermedio (70-300 km)","Profundo (&gt;300 km)"))</x:f>
        <x:v>Intermedio (70-300 km)</x:v>
      </x:c>
      <x:c r="M3172" s="25" t="str">
        <x:f>IF(J3172&gt;=5,"Sí","No")</x:f>
        <x:v>No</x:v>
      </x:c>
      <x:c r="N3172" s="25" t="str">
        <x:f>IF(J3172&gt;=6,"Sí","No")</x:f>
        <x:v>No</x:v>
      </x:c>
      <x:c r="O3172" s="25" t="str">
        <x:v>Pendiente: asignar con R/sf</x:v>
      </x:c>
    </x:row>
    <x:row r="3173">
      <x:c r="A3173" s="25" t="n">
        <x:v>3172</x:v>
      </x:c>
      <x:c r="B3173" s="26" t="n">
        <x:v>43258.30732638889</x:v>
      </x:c>
      <x:c r="C3173" s="27" t="n">
        <x:f>INT(B3173)</x:f>
        <x:v>43258</x:v>
      </x:c>
      <x:c r="D3173" s="28" t="n">
        <x:f>MOD(B3173,1)</x:f>
        <x:v>0.30732638888730435</x:v>
      </x:c>
      <x:c r="E3173" s="29" t="n">
        <x:f>YEAR(B3173)</x:f>
        <x:v>2018</x:v>
      </x:c>
      <x:c r="F3173" s="29" t="n">
        <x:f>MONTH(B3173)</x:f>
        <x:v>6</x:v>
      </x:c>
      <x:c r="G3173" s="30" t="n">
        <x:v>-20.87</x:v>
      </x:c>
      <x:c r="H3173" s="30" t="n">
        <x:v>-69.11</x:v>
      </x:c>
      <x:c r="I3173" s="29" t="n">
        <x:v>107</x:v>
      </x:c>
      <x:c r="J3173" s="31" t="n">
        <x:v>4.1</x:v>
      </x:c>
      <x:c r="K3173" s="25" t="str">
        <x:f>IF(J3173&gt;=7,"Muy fuerte (&gt;=7)",IF(J3173&gt;=6,"Fuerte (6-6.9)",IF(J3173&gt;=5,"Moderado alto (5-5.9)",IF(J3173&gt;=4,"Moderado (4-4.9)","Menor a 4"))))</x:f>
        <x:v>Moderado (4-4.9)</x:v>
      </x:c>
      <x:c r="L3173" s="25" t="str">
        <x:f>IF(I3173&lt;70,"Superficial (&lt;70 km)",IF(I3173&lt;=300,"Intermedio (70-300 km)","Profundo (&gt;300 km)"))</x:f>
        <x:v>Intermedio (70-300 km)</x:v>
      </x:c>
      <x:c r="M3173" s="25" t="str">
        <x:f>IF(J3173&gt;=5,"Sí","No")</x:f>
        <x:v>No</x:v>
      </x:c>
      <x:c r="N3173" s="25" t="str">
        <x:f>IF(J3173&gt;=6,"Sí","No")</x:f>
        <x:v>No</x:v>
      </x:c>
      <x:c r="O3173" s="25" t="str">
        <x:v>Pendiente: asignar con R/sf</x:v>
      </x:c>
    </x:row>
    <x:row r="3174">
      <x:c r="A3174" s="25" t="n">
        <x:v>3173</x:v>
      </x:c>
      <x:c r="B3174" s="26" t="n">
        <x:v>43263.93293981482</x:v>
      </x:c>
      <x:c r="C3174" s="27" t="n">
        <x:f>INT(B3174)</x:f>
        <x:v>43263</x:v>
      </x:c>
      <x:c r="D3174" s="28" t="n">
        <x:f>MOD(B3174,1)</x:f>
        <x:v>0.9329398148183827</x:v>
      </x:c>
      <x:c r="E3174" s="29" t="n">
        <x:f>YEAR(B3174)</x:f>
        <x:v>2018</x:v>
      </x:c>
      <x:c r="F3174" s="29" t="n">
        <x:f>MONTH(B3174)</x:f>
        <x:v>6</x:v>
      </x:c>
      <x:c r="G3174" s="30" t="n">
        <x:v>-20.78</x:v>
      </x:c>
      <x:c r="H3174" s="30" t="n">
        <x:v>-69.2</x:v>
      </x:c>
      <x:c r="I3174" s="29" t="n">
        <x:v>107</x:v>
      </x:c>
      <x:c r="J3174" s="31" t="n">
        <x:v>4.9</x:v>
      </x:c>
      <x:c r="K3174" s="25" t="str">
        <x:f>IF(J3174&gt;=7,"Muy fuerte (&gt;=7)",IF(J3174&gt;=6,"Fuerte (6-6.9)",IF(J3174&gt;=5,"Moderado alto (5-5.9)",IF(J3174&gt;=4,"Moderado (4-4.9)","Menor a 4"))))</x:f>
        <x:v>Moderado (4-4.9)</x:v>
      </x:c>
      <x:c r="L3174" s="25" t="str">
        <x:f>IF(I3174&lt;70,"Superficial (&lt;70 km)",IF(I3174&lt;=300,"Intermedio (70-300 km)","Profundo (&gt;300 km)"))</x:f>
        <x:v>Intermedio (70-300 km)</x:v>
      </x:c>
      <x:c r="M3174" s="25" t="str">
        <x:f>IF(J3174&gt;=5,"Sí","No")</x:f>
        <x:v>No</x:v>
      </x:c>
      <x:c r="N3174" s="25" t="str">
        <x:f>IF(J3174&gt;=6,"Sí","No")</x:f>
        <x:v>No</x:v>
      </x:c>
      <x:c r="O3174" s="25" t="str">
        <x:v>Pendiente: asignar con R/sf</x:v>
      </x:c>
    </x:row>
    <x:row r="3175">
      <x:c r="A3175" s="25" t="n">
        <x:v>3174</x:v>
      </x:c>
      <x:c r="B3175" s="26" t="n">
        <x:v>43265.22574074074</x:v>
      </x:c>
      <x:c r="C3175" s="27" t="n">
        <x:f>INT(B3175)</x:f>
        <x:v>43265</x:v>
      </x:c>
      <x:c r="D3175" s="28" t="n">
        <x:f>MOD(B3175,1)</x:f>
        <x:v>0.22574074073781958</x:v>
      </x:c>
      <x:c r="E3175" s="29" t="n">
        <x:f>YEAR(B3175)</x:f>
        <x:v>2018</x:v>
      </x:c>
      <x:c r="F3175" s="29" t="n">
        <x:f>MONTH(B3175)</x:f>
        <x:v>6</x:v>
      </x:c>
      <x:c r="G3175" s="30" t="n">
        <x:v>-19.93</x:v>
      </x:c>
      <x:c r="H3175" s="30" t="n">
        <x:v>-69.42</x:v>
      </x:c>
      <x:c r="I3175" s="29" t="n">
        <x:v>107</x:v>
      </x:c>
      <x:c r="J3175" s="31" t="n">
        <x:v>4.4</x:v>
      </x:c>
      <x:c r="K3175" s="25" t="str">
        <x:f>IF(J3175&gt;=7,"Muy fuerte (&gt;=7)",IF(J3175&gt;=6,"Fuerte (6-6.9)",IF(J3175&gt;=5,"Moderado alto (5-5.9)",IF(J3175&gt;=4,"Moderado (4-4.9)","Menor a 4"))))</x:f>
        <x:v>Moderado (4-4.9)</x:v>
      </x:c>
      <x:c r="L3175" s="25" t="str">
        <x:f>IF(I3175&lt;70,"Superficial (&lt;70 km)",IF(I3175&lt;=300,"Intermedio (70-300 km)","Profundo (&gt;300 km)"))</x:f>
        <x:v>Intermedio (70-300 km)</x:v>
      </x:c>
      <x:c r="M3175" s="25" t="str">
        <x:f>IF(J3175&gt;=5,"Sí","No")</x:f>
        <x:v>No</x:v>
      </x:c>
      <x:c r="N3175" s="25" t="str">
        <x:f>IF(J3175&gt;=6,"Sí","No")</x:f>
        <x:v>No</x:v>
      </x:c>
      <x:c r="O3175" s="25" t="str">
        <x:v>Pendiente: asignar con R/sf</x:v>
      </x:c>
    </x:row>
    <x:row r="3176">
      <x:c r="A3176" s="25" t="n">
        <x:v>3175</x:v>
      </x:c>
      <x:c r="B3176" s="26" t="n">
        <x:v>43266.44274305556</x:v>
      </x:c>
      <x:c r="C3176" s="27" t="n">
        <x:f>INT(B3176)</x:f>
        <x:v>43266</x:v>
      </x:c>
      <x:c r="D3176" s="28" t="n">
        <x:f>MOD(B3176,1)</x:f>
        <x:v>0.44274305555882165</x:v>
      </x:c>
      <x:c r="E3176" s="29" t="n">
        <x:f>YEAR(B3176)</x:f>
        <x:v>2018</x:v>
      </x:c>
      <x:c r="F3176" s="29" t="n">
        <x:f>MONTH(B3176)</x:f>
        <x:v>6</x:v>
      </x:c>
      <x:c r="G3176" s="30" t="n">
        <x:v>-20.04</x:v>
      </x:c>
      <x:c r="H3176" s="30" t="n">
        <x:v>-69.05</x:v>
      </x:c>
      <x:c r="I3176" s="29" t="n">
        <x:v>90</x:v>
      </x:c>
      <x:c r="J3176" s="31" t="n">
        <x:v>4.1</x:v>
      </x:c>
      <x:c r="K3176" s="25" t="str">
        <x:f>IF(J3176&gt;=7,"Muy fuerte (&gt;=7)",IF(J3176&gt;=6,"Fuerte (6-6.9)",IF(J3176&gt;=5,"Moderado alto (5-5.9)",IF(J3176&gt;=4,"Moderado (4-4.9)","Menor a 4"))))</x:f>
        <x:v>Moderado (4-4.9)</x:v>
      </x:c>
      <x:c r="L3176" s="25" t="str">
        <x:f>IF(I3176&lt;70,"Superficial (&lt;70 km)",IF(I3176&lt;=300,"Intermedio (70-300 km)","Profundo (&gt;300 km)"))</x:f>
        <x:v>Intermedio (70-300 km)</x:v>
      </x:c>
      <x:c r="M3176" s="25" t="str">
        <x:f>IF(J3176&gt;=5,"Sí","No")</x:f>
        <x:v>No</x:v>
      </x:c>
      <x:c r="N3176" s="25" t="str">
        <x:f>IF(J3176&gt;=6,"Sí","No")</x:f>
        <x:v>No</x:v>
      </x:c>
      <x:c r="O3176" s="25" t="str">
        <x:v>Pendiente: asignar con R/sf</x:v>
      </x:c>
    </x:row>
    <x:row r="3177">
      <x:c r="A3177" s="25" t="n">
        <x:v>3176</x:v>
      </x:c>
      <x:c r="B3177" s="26" t="n">
        <x:v>43292.30740740741</x:v>
      </x:c>
      <x:c r="C3177" s="27" t="n">
        <x:f>INT(B3177)</x:f>
        <x:v>43292</x:v>
      </x:c>
      <x:c r="D3177" s="28" t="n">
        <x:f>MOD(B3177,1)</x:f>
        <x:v>0.30740740741021</x:v>
      </x:c>
      <x:c r="E3177" s="29" t="n">
        <x:f>YEAR(B3177)</x:f>
        <x:v>2018</x:v>
      </x:c>
      <x:c r="F3177" s="29" t="n">
        <x:f>MONTH(B3177)</x:f>
        <x:v>7</x:v>
      </x:c>
      <x:c r="G3177" s="30" t="n">
        <x:v>-19.92</x:v>
      </x:c>
      <x:c r="H3177" s="30" t="n">
        <x:v>-69.61</x:v>
      </x:c>
      <x:c r="I3177" s="29" t="n">
        <x:v>12</x:v>
      </x:c>
      <x:c r="J3177" s="31" t="n">
        <x:v>4.1</x:v>
      </x:c>
      <x:c r="K3177" s="25" t="str">
        <x:f>IF(J3177&gt;=7,"Muy fuerte (&gt;=7)",IF(J3177&gt;=6,"Fuerte (6-6.9)",IF(J3177&gt;=5,"Moderado alto (5-5.9)",IF(J3177&gt;=4,"Moderado (4-4.9)","Menor a 4"))))</x:f>
        <x:v>Moderado (4-4.9)</x:v>
      </x:c>
      <x:c r="L3177" s="25" t="str">
        <x:f>IF(I3177&lt;70,"Superficial (&lt;70 km)",IF(I3177&lt;=300,"Intermedio (70-300 km)","Profundo (&gt;300 km)"))</x:f>
        <x:v>Superficial (&lt;70 km)</x:v>
      </x:c>
      <x:c r="M3177" s="25" t="str">
        <x:f>IF(J3177&gt;=5,"Sí","No")</x:f>
        <x:v>No</x:v>
      </x:c>
      <x:c r="N3177" s="25" t="str">
        <x:f>IF(J3177&gt;=6,"Sí","No")</x:f>
        <x:v>No</x:v>
      </x:c>
      <x:c r="O3177" s="25" t="str">
        <x:v>Pendiente: asignar con R/sf</x:v>
      </x:c>
    </x:row>
    <x:row r="3178">
      <x:c r="A3178" s="25" t="n">
        <x:v>3177</x:v>
      </x:c>
      <x:c r="B3178" s="26" t="n">
        <x:v>43316.043344907404</x:v>
      </x:c>
      <x:c r="C3178" s="27" t="n">
        <x:f>INT(B3178)</x:f>
        <x:v>43316</x:v>
      </x:c>
      <x:c r="D3178" s="28" t="n">
        <x:f>MOD(B3178,1)</x:f>
        <x:v>0.04334490740438923</x:v>
      </x:c>
      <x:c r="E3178" s="29" t="n">
        <x:f>YEAR(B3178)</x:f>
        <x:v>2018</x:v>
      </x:c>
      <x:c r="F3178" s="29" t="n">
        <x:f>MONTH(B3178)</x:f>
        <x:v>8</x:v>
      </x:c>
      <x:c r="G3178" s="30" t="n">
        <x:v>-19.64</x:v>
      </x:c>
      <x:c r="H3178" s="30" t="n">
        <x:v>-69.48</x:v>
      </x:c>
      <x:c r="I3178" s="29" t="n">
        <x:v>88</x:v>
      </x:c>
      <x:c r="J3178" s="31" t="n">
        <x:v>5.3</x:v>
      </x:c>
      <x:c r="K3178" s="25" t="str">
        <x:f>IF(J3178&gt;=7,"Muy fuerte (&gt;=7)",IF(J3178&gt;=6,"Fuerte (6-6.9)",IF(J3178&gt;=5,"Moderado alto (5-5.9)",IF(J3178&gt;=4,"Moderado (4-4.9)","Menor a 4"))))</x:f>
        <x:v>Moderado alto (5-5.9)</x:v>
      </x:c>
      <x:c r="L3178" s="25" t="str">
        <x:f>IF(I3178&lt;70,"Superficial (&lt;70 km)",IF(I3178&lt;=300,"Intermedio (70-300 km)","Profundo (&gt;300 km)"))</x:f>
        <x:v>Intermedio (70-300 km)</x:v>
      </x:c>
      <x:c r="M3178" s="25" t="str">
        <x:f>IF(J3178&gt;=5,"Sí","No")</x:f>
        <x:v>Sí</x:v>
      </x:c>
      <x:c r="N3178" s="25" t="str">
        <x:f>IF(J3178&gt;=6,"Sí","No")</x:f>
        <x:v>No</x:v>
      </x:c>
      <x:c r="O3178" s="25" t="str">
        <x:v>Pendiente: asignar con R/sf</x:v>
      </x:c>
    </x:row>
    <x:row r="3179">
      <x:c r="A3179" s="25" t="n">
        <x:v>3178</x:v>
      </x:c>
      <x:c r="B3179" s="26" t="n">
        <x:v>43326.23096064815</x:v>
      </x:c>
      <x:c r="C3179" s="27" t="n">
        <x:f>INT(B3179)</x:f>
        <x:v>43326</x:v>
      </x:c>
      <x:c r="D3179" s="28" t="n">
        <x:f>MOD(B3179,1)</x:f>
        <x:v>0.23096064815035788</x:v>
      </x:c>
      <x:c r="E3179" s="29" t="n">
        <x:f>YEAR(B3179)</x:f>
        <x:v>2018</x:v>
      </x:c>
      <x:c r="F3179" s="29" t="n">
        <x:f>MONTH(B3179)</x:f>
        <x:v>8</x:v>
      </x:c>
      <x:c r="G3179" s="30" t="n">
        <x:v>-19.62</x:v>
      </x:c>
      <x:c r="H3179" s="30" t="n">
        <x:v>-69.3</x:v>
      </x:c>
      <x:c r="I3179" s="29" t="n">
        <x:v>97</x:v>
      </x:c>
      <x:c r="J3179" s="31" t="n">
        <x:v>4.6</x:v>
      </x:c>
      <x:c r="K3179" s="25" t="str">
        <x:f>IF(J3179&gt;=7,"Muy fuerte (&gt;=7)",IF(J3179&gt;=6,"Fuerte (6-6.9)",IF(J3179&gt;=5,"Moderado alto (5-5.9)",IF(J3179&gt;=4,"Moderado (4-4.9)","Menor a 4"))))</x:f>
        <x:v>Moderado (4-4.9)</x:v>
      </x:c>
      <x:c r="L3179" s="25" t="str">
        <x:f>IF(I3179&lt;70,"Superficial (&lt;70 km)",IF(I3179&lt;=300,"Intermedio (70-300 km)","Profundo (&gt;300 km)"))</x:f>
        <x:v>Intermedio (70-300 km)</x:v>
      </x:c>
      <x:c r="M3179" s="25" t="str">
        <x:f>IF(J3179&gt;=5,"Sí","No")</x:f>
        <x:v>No</x:v>
      </x:c>
      <x:c r="N3179" s="25" t="str">
        <x:f>IF(J3179&gt;=6,"Sí","No")</x:f>
        <x:v>No</x:v>
      </x:c>
      <x:c r="O3179" s="25" t="str">
        <x:v>Pendiente: asignar con R/sf</x:v>
      </x:c>
    </x:row>
    <x:row r="3180">
      <x:c r="A3180" s="25" t="n">
        <x:v>3179</x:v>
      </x:c>
      <x:c r="B3180" s="26" t="n">
        <x:v>43359.56418981482</x:v>
      </x:c>
      <x:c r="C3180" s="27" t="n">
        <x:f>INT(B3180)</x:f>
        <x:v>43359</x:v>
      </x:c>
      <x:c r="D3180" s="28" t="n">
        <x:f>MOD(B3180,1)</x:f>
        <x:v>0.5641898148169275</x:v>
      </x:c>
      <x:c r="E3180" s="29" t="n">
        <x:f>YEAR(B3180)</x:f>
        <x:v>2018</x:v>
      </x:c>
      <x:c r="F3180" s="29" t="n">
        <x:f>MONTH(B3180)</x:f>
        <x:v>9</x:v>
      </x:c>
      <x:c r="G3180" s="30" t="n">
        <x:v>-20.4</x:v>
      </x:c>
      <x:c r="H3180" s="30" t="n">
        <x:v>-69.93</x:v>
      </x:c>
      <x:c r="I3180" s="29" t="n">
        <x:v>44</x:v>
      </x:c>
      <x:c r="J3180" s="31" t="n">
        <x:v>4.2</x:v>
      </x:c>
      <x:c r="K3180" s="25" t="str">
        <x:f>IF(J3180&gt;=7,"Muy fuerte (&gt;=7)",IF(J3180&gt;=6,"Fuerte (6-6.9)",IF(J3180&gt;=5,"Moderado alto (5-5.9)",IF(J3180&gt;=4,"Moderado (4-4.9)","Menor a 4"))))</x:f>
        <x:v>Moderado (4-4.9)</x:v>
      </x:c>
      <x:c r="L3180" s="25" t="str">
        <x:f>IF(I3180&lt;70,"Superficial (&lt;70 km)",IF(I3180&lt;=300,"Intermedio (70-300 km)","Profundo (&gt;300 km)"))</x:f>
        <x:v>Superficial (&lt;70 km)</x:v>
      </x:c>
      <x:c r="M3180" s="25" t="str">
        <x:f>IF(J3180&gt;=5,"Sí","No")</x:f>
        <x:v>No</x:v>
      </x:c>
      <x:c r="N3180" s="25" t="str">
        <x:f>IF(J3180&gt;=6,"Sí","No")</x:f>
        <x:v>No</x:v>
      </x:c>
      <x:c r="O3180" s="25" t="str">
        <x:v>Pendiente: asignar con R/sf</x:v>
      </x:c>
    </x:row>
    <x:row r="3181">
      <x:c r="A3181" s="25" t="n">
        <x:v>3180</x:v>
      </x:c>
      <x:c r="B3181" s="26" t="n">
        <x:v>43362.7794212963</x:v>
      </x:c>
      <x:c r="C3181" s="27" t="n">
        <x:f>INT(B3181)</x:f>
        <x:v>43362</x:v>
      </x:c>
      <x:c r="D3181" s="28" t="n">
        <x:f>MOD(B3181,1)</x:f>
        <x:v>0.7794212962980964</x:v>
      </x:c>
      <x:c r="E3181" s="29" t="n">
        <x:f>YEAR(B3181)</x:f>
        <x:v>2018</x:v>
      </x:c>
      <x:c r="F3181" s="29" t="n">
        <x:f>MONTH(B3181)</x:f>
        <x:v>9</x:v>
      </x:c>
      <x:c r="G3181" s="30" t="n">
        <x:v>-19.54</x:v>
      </x:c>
      <x:c r="H3181" s="30" t="n">
        <x:v>-70.38</x:v>
      </x:c>
      <x:c r="I3181" s="29" t="n">
        <x:v>56</x:v>
      </x:c>
      <x:c r="J3181" s="31" t="n">
        <x:v>5.2</x:v>
      </x:c>
      <x:c r="K3181" s="25" t="str">
        <x:f>IF(J3181&gt;=7,"Muy fuerte (&gt;=7)",IF(J3181&gt;=6,"Fuerte (6-6.9)",IF(J3181&gt;=5,"Moderado alto (5-5.9)",IF(J3181&gt;=4,"Moderado (4-4.9)","Menor a 4"))))</x:f>
        <x:v>Moderado alto (5-5.9)</x:v>
      </x:c>
      <x:c r="L3181" s="25" t="str">
        <x:f>IF(I3181&lt;70,"Superficial (&lt;70 km)",IF(I3181&lt;=300,"Intermedio (70-300 km)","Profundo (&gt;300 km)"))</x:f>
        <x:v>Superficial (&lt;70 km)</x:v>
      </x:c>
      <x:c r="M3181" s="25" t="str">
        <x:f>IF(J3181&gt;=5,"Sí","No")</x:f>
        <x:v>Sí</x:v>
      </x:c>
      <x:c r="N3181" s="25" t="str">
        <x:f>IF(J3181&gt;=6,"Sí","No")</x:f>
        <x:v>No</x:v>
      </x:c>
      <x:c r="O3181" s="25" t="str">
        <x:v>Pendiente: asignar con R/sf</x:v>
      </x:c>
    </x:row>
    <x:row r="3182">
      <x:c r="A3182" s="25" t="n">
        <x:v>3181</x:v>
      </x:c>
      <x:c r="B3182" s="26" t="n">
        <x:v>43435.99680555556</x:v>
      </x:c>
      <x:c r="C3182" s="27" t="n">
        <x:f>INT(B3182)</x:f>
        <x:v>43435</x:v>
      </x:c>
      <x:c r="D3182" s="28" t="n">
        <x:f>MOD(B3182,1)</x:f>
        <x:v>0.9968055555582396</x:v>
      </x:c>
      <x:c r="E3182" s="29" t="n">
        <x:f>YEAR(B3182)</x:f>
        <x:v>2018</x:v>
      </x:c>
      <x:c r="F3182" s="29" t="n">
        <x:f>MONTH(B3182)</x:f>
        <x:v>12</x:v>
      </x:c>
      <x:c r="G3182" s="30" t="n">
        <x:v>-33.93</x:v>
      </x:c>
      <x:c r="H3182" s="30" t="n">
        <x:v>-72.47</x:v>
      </x:c>
      <x:c r="I3182" s="29" t="n">
        <x:v>36</x:v>
      </x:c>
      <x:c r="J3182" s="31" t="n">
        <x:v>5.2</x:v>
      </x:c>
      <x:c r="K3182" s="25" t="str">
        <x:f>IF(J3182&gt;=7,"Muy fuerte (&gt;=7)",IF(J3182&gt;=6,"Fuerte (6-6.9)",IF(J3182&gt;=5,"Moderado alto (5-5.9)",IF(J3182&gt;=4,"Moderado (4-4.9)","Menor a 4"))))</x:f>
        <x:v>Moderado alto (5-5.9)</x:v>
      </x:c>
      <x:c r="L3182" s="25" t="str">
        <x:f>IF(I3182&lt;70,"Superficial (&lt;70 km)",IF(I3182&lt;=300,"Intermedio (70-300 km)","Profundo (&gt;300 km)"))</x:f>
        <x:v>Superficial (&lt;70 km)</x:v>
      </x:c>
      <x:c r="M3182" s="25" t="str">
        <x:f>IF(J3182&gt;=5,"Sí","No")</x:f>
        <x:v>Sí</x:v>
      </x:c>
      <x:c r="N3182" s="25" t="str">
        <x:f>IF(J3182&gt;=6,"Sí","No")</x:f>
        <x:v>No</x:v>
      </x:c>
      <x:c r="O3182" s="25" t="str">
        <x:v>Pendiente: asignar con R/sf</x:v>
      </x:c>
    </x:row>
    <x:row r="3183">
      <x:c r="A3183" s="25" t="n">
        <x:v>3182</x:v>
      </x:c>
      <x:c r="B3183" s="26" t="n">
        <x:v>43445.23138888889</x:v>
      </x:c>
      <x:c r="C3183" s="27" t="n">
        <x:f>INT(B3183)</x:f>
        <x:v>43445</x:v>
      </x:c>
      <x:c r="D3183" s="28" t="n">
        <x:f>MOD(B3183,1)</x:f>
        <x:v>0.23138888888934162</x:v>
      </x:c>
      <x:c r="E3183" s="29" t="n">
        <x:f>YEAR(B3183)</x:f>
        <x:v>2018</x:v>
      </x:c>
      <x:c r="F3183" s="29" t="n">
        <x:f>MONTH(B3183)</x:f>
        <x:v>12</x:v>
      </x:c>
      <x:c r="G3183" s="30" t="n">
        <x:v>-20.99</x:v>
      </x:c>
      <x:c r="H3183" s="30" t="n">
        <x:v>-69.95</x:v>
      </x:c>
      <x:c r="I3183" s="29" t="n">
        <x:v>68</x:v>
      </x:c>
      <x:c r="J3183" s="31" t="n">
        <x:v>5.1</x:v>
      </x:c>
      <x:c r="K3183" s="25" t="str">
        <x:f>IF(J3183&gt;=7,"Muy fuerte (&gt;=7)",IF(J3183&gt;=6,"Fuerte (6-6.9)",IF(J3183&gt;=5,"Moderado alto (5-5.9)",IF(J3183&gt;=4,"Moderado (4-4.9)","Menor a 4"))))</x:f>
        <x:v>Moderado alto (5-5.9)</x:v>
      </x:c>
      <x:c r="L3183" s="25" t="str">
        <x:f>IF(I3183&lt;70,"Superficial (&lt;70 km)",IF(I3183&lt;=300,"Intermedio (70-300 km)","Profundo (&gt;300 km)"))</x:f>
        <x:v>Superficial (&lt;70 km)</x:v>
      </x:c>
      <x:c r="M3183" s="25" t="str">
        <x:f>IF(J3183&gt;=5,"Sí","No")</x:f>
        <x:v>Sí</x:v>
      </x:c>
      <x:c r="N3183" s="25" t="str">
        <x:f>IF(J3183&gt;=6,"Sí","No")</x:f>
        <x:v>No</x:v>
      </x:c>
      <x:c r="O3183" s="25" t="str">
        <x:v>Pendiente: asignar con R/sf</x:v>
      </x:c>
    </x:row>
    <x:row r="3184">
      <x:c r="A3184" s="25" t="n">
        <x:v>3183</x:v>
      </x:c>
      <x:c r="B3184" s="26" t="n">
        <x:v>43450.6856712963</x:v>
      </x:c>
      <x:c r="C3184" s="27" t="n">
        <x:f>INT(B3184)</x:f>
        <x:v>43450</x:v>
      </x:c>
      <x:c r="D3184" s="28" t="n">
        <x:f>MOD(B3184,1)</x:f>
        <x:v>0.6856712962980964</x:v>
      </x:c>
      <x:c r="E3184" s="29" t="n">
        <x:f>YEAR(B3184)</x:f>
        <x:v>2018</x:v>
      </x:c>
      <x:c r="F3184" s="29" t="n">
        <x:f>MONTH(B3184)</x:f>
        <x:v>12</x:v>
      </x:c>
      <x:c r="G3184" s="30" t="n">
        <x:v>-23.44</x:v>
      </x:c>
      <x:c r="H3184" s="30" t="n">
        <x:v>-69.36</x:v>
      </x:c>
      <x:c r="I3184" s="29" t="n">
        <x:v>89</x:v>
      </x:c>
      <x:c r="J3184" s="31" t="n">
        <x:v>5</x:v>
      </x:c>
      <x:c r="K3184" s="25" t="str">
        <x:f>IF(J3184&gt;=7,"Muy fuerte (&gt;=7)",IF(J3184&gt;=6,"Fuerte (6-6.9)",IF(J3184&gt;=5,"Moderado alto (5-5.9)",IF(J3184&gt;=4,"Moderado (4-4.9)","Menor a 4"))))</x:f>
        <x:v>Moderado alto (5-5.9)</x:v>
      </x:c>
      <x:c r="L3184" s="25" t="str">
        <x:f>IF(I3184&lt;70,"Superficial (&lt;70 km)",IF(I3184&lt;=300,"Intermedio (70-300 km)","Profundo (&gt;300 km)"))</x:f>
        <x:v>Intermedio (70-300 km)</x:v>
      </x:c>
      <x:c r="M3184" s="25" t="str">
        <x:f>IF(J3184&gt;=5,"Sí","No")</x:f>
        <x:v>Sí</x:v>
      </x:c>
      <x:c r="N3184" s="25" t="str">
        <x:f>IF(J3184&gt;=6,"Sí","No")</x:f>
        <x:v>No</x:v>
      </x:c>
      <x:c r="O3184" s="25" t="str">
        <x:v>Pendiente: asignar con R/sf</x:v>
      </x:c>
    </x:row>
    <x:row r="3185">
      <x:c r="A3185" s="25" t="n">
        <x:v>3184</x:v>
      </x:c>
      <x:c r="B3185" s="26" t="n">
        <x:v>43451.08677083333</x:v>
      </x:c>
      <x:c r="C3185" s="27" t="n">
        <x:f>INT(B3185)</x:f>
        <x:v>43451</x:v>
      </x:c>
      <x:c r="D3185" s="28" t="n">
        <x:f>MOD(B3185,1)</x:f>
        <x:v>0.08677083333168412</x:v>
      </x:c>
      <x:c r="E3185" s="29" t="n">
        <x:f>YEAR(B3185)</x:f>
        <x:v>2018</x:v>
      </x:c>
      <x:c r="F3185" s="29" t="n">
        <x:f>MONTH(B3185)</x:f>
        <x:v>12</x:v>
      </x:c>
      <x:c r="G3185" s="30" t="n">
        <x:v>-21.69</x:v>
      </x:c>
      <x:c r="H3185" s="30" t="n">
        <x:v>-69.04</x:v>
      </x:c>
      <x:c r="I3185" s="29" t="n">
        <x:v>94</x:v>
      </x:c>
      <x:c r="J3185" s="31" t="n">
        <x:v>4.2</x:v>
      </x:c>
      <x:c r="K3185" s="25" t="str">
        <x:f>IF(J3185&gt;=7,"Muy fuerte (&gt;=7)",IF(J3185&gt;=6,"Fuerte (6-6.9)",IF(J3185&gt;=5,"Moderado alto (5-5.9)",IF(J3185&gt;=4,"Moderado (4-4.9)","Menor a 4"))))</x:f>
        <x:v>Moderado (4-4.9)</x:v>
      </x:c>
      <x:c r="L3185" s="25" t="str">
        <x:f>IF(I3185&lt;70,"Superficial (&lt;70 km)",IF(I3185&lt;=300,"Intermedio (70-300 km)","Profundo (&gt;300 km)"))</x:f>
        <x:v>Intermedio (70-300 km)</x:v>
      </x:c>
      <x:c r="M3185" s="25" t="str">
        <x:f>IF(J3185&gt;=5,"Sí","No")</x:f>
        <x:v>No</x:v>
      </x:c>
      <x:c r="N3185" s="25" t="str">
        <x:f>IF(J3185&gt;=6,"Sí","No")</x:f>
        <x:v>No</x:v>
      </x:c>
      <x:c r="O3185" s="25" t="str">
        <x:v>Pendiente: asignar con R/sf</x:v>
      </x:c>
    </x:row>
    <x:row r="3186">
      <x:c r="A3186" s="25" t="n">
        <x:v>3185</x:v>
      </x:c>
      <x:c r="B3186" s="26" t="n">
        <x:v>43454.21228009259</x:v>
      </x:c>
      <x:c r="C3186" s="27" t="n">
        <x:f>INT(B3186)</x:f>
        <x:v>43454</x:v>
      </x:c>
      <x:c r="D3186" s="28" t="n">
        <x:f>MOD(B3186,1)</x:f>
        <x:v>0.2122800925935735</x:v>
      </x:c>
      <x:c r="E3186" s="29" t="n">
        <x:f>YEAR(B3186)</x:f>
        <x:v>2018</x:v>
      </x:c>
      <x:c r="F3186" s="29" t="n">
        <x:f>MONTH(B3186)</x:f>
        <x:v>12</x:v>
      </x:c>
      <x:c r="G3186" s="30" t="n">
        <x:v>-19.96</x:v>
      </x:c>
      <x:c r="H3186" s="30" t="n">
        <x:v>-69.35</x:v>
      </x:c>
      <x:c r="I3186" s="29" t="n">
        <x:v>84</x:v>
      </x:c>
      <x:c r="J3186" s="31" t="n">
        <x:v>4.2</x:v>
      </x:c>
      <x:c r="K3186" s="25" t="str">
        <x:f>IF(J3186&gt;=7,"Muy fuerte (&gt;=7)",IF(J3186&gt;=6,"Fuerte (6-6.9)",IF(J3186&gt;=5,"Moderado alto (5-5.9)",IF(J3186&gt;=4,"Moderado (4-4.9)","Menor a 4"))))</x:f>
        <x:v>Moderado (4-4.9)</x:v>
      </x:c>
      <x:c r="L3186" s="25" t="str">
        <x:f>IF(I3186&lt;70,"Superficial (&lt;70 km)",IF(I3186&lt;=300,"Intermedio (70-300 km)","Profundo (&gt;300 km)"))</x:f>
        <x:v>Intermedio (70-300 km)</x:v>
      </x:c>
      <x:c r="M3186" s="25" t="str">
        <x:f>IF(J3186&gt;=5,"Sí","No")</x:f>
        <x:v>No</x:v>
      </x:c>
      <x:c r="N3186" s="25" t="str">
        <x:f>IF(J3186&gt;=6,"Sí","No")</x:f>
        <x:v>No</x:v>
      </x:c>
      <x:c r="O3186" s="25" t="str">
        <x:v>Pendiente: asignar con R/sf</x:v>
      </x:c>
    </x:row>
    <x:row r="3187">
      <x:c r="A3187" s="25" t="n">
        <x:v>3186</x:v>
      </x:c>
      <x:c r="B3187" s="26" t="n">
        <x:v>43458.872199074074</x:v>
      </x:c>
      <x:c r="C3187" s="27" t="n">
        <x:f>INT(B3187)</x:f>
        <x:v>43458</x:v>
      </x:c>
      <x:c r="D3187" s="28" t="n">
        <x:f>MOD(B3187,1)</x:f>
        <x:v>0.8721990740741603</x:v>
      </x:c>
      <x:c r="E3187" s="29" t="n">
        <x:f>YEAR(B3187)</x:f>
        <x:v>2018</x:v>
      </x:c>
      <x:c r="F3187" s="29" t="n">
        <x:f>MONTH(B3187)</x:f>
        <x:v>12</x:v>
      </x:c>
      <x:c r="G3187" s="30" t="n">
        <x:v>-22.09</x:v>
      </x:c>
      <x:c r="H3187" s="30" t="n">
        <x:v>-68.9</x:v>
      </x:c>
      <x:c r="I3187" s="29" t="n">
        <x:v>98</x:v>
      </x:c>
      <x:c r="J3187" s="31" t="n">
        <x:v>4.7</x:v>
      </x:c>
      <x:c r="K3187" s="25" t="str">
        <x:f>IF(J3187&gt;=7,"Muy fuerte (&gt;=7)",IF(J3187&gt;=6,"Fuerte (6-6.9)",IF(J3187&gt;=5,"Moderado alto (5-5.9)",IF(J3187&gt;=4,"Moderado (4-4.9)","Menor a 4"))))</x:f>
        <x:v>Moderado (4-4.9)</x:v>
      </x:c>
      <x:c r="L3187" s="25" t="str">
        <x:f>IF(I3187&lt;70,"Superficial (&lt;70 km)",IF(I3187&lt;=300,"Intermedio (70-300 km)","Profundo (&gt;300 km)"))</x:f>
        <x:v>Intermedio (70-300 km)</x:v>
      </x:c>
      <x:c r="M3187" s="25" t="str">
        <x:f>IF(J3187&gt;=5,"Sí","No")</x:f>
        <x:v>No</x:v>
      </x:c>
      <x:c r="N3187" s="25" t="str">
        <x:f>IF(J3187&gt;=6,"Sí","No")</x:f>
        <x:v>No</x:v>
      </x:c>
      <x:c r="O3187" s="25" t="str">
        <x:v>Pendiente: asignar con R/sf</x:v>
      </x:c>
    </x:row>
    <x:row r="3188">
      <x:c r="A3188" s="25" t="n">
        <x:v>3187</x:v>
      </x:c>
      <x:c r="B3188" s="26" t="n">
        <x:v>43462.856620370374</x:v>
      </x:c>
      <x:c r="C3188" s="27" t="n">
        <x:f>INT(B3188)</x:f>
        <x:v>43462</x:v>
      </x:c>
      <x:c r="D3188" s="28" t="n">
        <x:f>MOD(B3188,1)</x:f>
        <x:v>0.856620370374003</x:v>
      </x:c>
      <x:c r="E3188" s="29" t="n">
        <x:f>YEAR(B3188)</x:f>
        <x:v>2018</x:v>
      </x:c>
      <x:c r="F3188" s="29" t="n">
        <x:f>MONTH(B3188)</x:f>
        <x:v>12</x:v>
      </x:c>
      <x:c r="G3188" s="30" t="n">
        <x:v>-19.91</x:v>
      </x:c>
      <x:c r="H3188" s="30" t="n">
        <x:v>-69.21</x:v>
      </x:c>
      <x:c r="I3188" s="29" t="n">
        <x:v>92</x:v>
      </x:c>
      <x:c r="J3188" s="31" t="n">
        <x:v>4</x:v>
      </x:c>
      <x:c r="K3188" s="25" t="str">
        <x:f>IF(J3188&gt;=7,"Muy fuerte (&gt;=7)",IF(J3188&gt;=6,"Fuerte (6-6.9)",IF(J3188&gt;=5,"Moderado alto (5-5.9)",IF(J3188&gt;=4,"Moderado (4-4.9)","Menor a 4"))))</x:f>
        <x:v>Moderado (4-4.9)</x:v>
      </x:c>
      <x:c r="L3188" s="25" t="str">
        <x:f>IF(I3188&lt;70,"Superficial (&lt;70 km)",IF(I3188&lt;=300,"Intermedio (70-300 km)","Profundo (&gt;300 km)"))</x:f>
        <x:v>Intermedio (70-300 km)</x:v>
      </x:c>
      <x:c r="M3188" s="25" t="str">
        <x:f>IF(J3188&gt;=5,"Sí","No")</x:f>
        <x:v>No</x:v>
      </x:c>
      <x:c r="N3188" s="25" t="str">
        <x:f>IF(J3188&gt;=6,"Sí","No")</x:f>
        <x:v>No</x:v>
      </x:c>
      <x:c r="O3188" s="25" t="str">
        <x:v>Pendiente: asignar con R/sf</x:v>
      </x:c>
    </x:row>
    <x:row r="3189">
      <x:c r="A3189" s="25" t="n">
        <x:v>3188</x:v>
      </x:c>
      <x:c r="B3189" s="26" t="n">
        <x:v>43241.57289351852</x:v>
      </x:c>
      <x:c r="C3189" s="27" t="n">
        <x:f>INT(B3189)</x:f>
        <x:v>43241</x:v>
      </x:c>
      <x:c r="D3189" s="28" t="n">
        <x:f>MOD(B3189,1)</x:f>
        <x:v>0.572893518517958</x:v>
      </x:c>
      <x:c r="E3189" s="29" t="n">
        <x:f>YEAR(B3189)</x:f>
        <x:v>2018</x:v>
      </x:c>
      <x:c r="F3189" s="29" t="n">
        <x:f>MONTH(B3189)</x:f>
        <x:v>5</x:v>
      </x:c>
      <x:c r="G3189" s="30" t="n">
        <x:v>-30.27</x:v>
      </x:c>
      <x:c r="H3189" s="30" t="n">
        <x:v>-71.62</x:v>
      </x:c>
      <x:c r="I3189" s="29" t="n">
        <x:v>33</x:v>
      </x:c>
      <x:c r="J3189" s="31" t="n">
        <x:v>4.2</x:v>
      </x:c>
      <x:c r="K3189" s="25" t="str">
        <x:f>IF(J3189&gt;=7,"Muy fuerte (&gt;=7)",IF(J3189&gt;=6,"Fuerte (6-6.9)",IF(J3189&gt;=5,"Moderado alto (5-5.9)",IF(J3189&gt;=4,"Moderado (4-4.9)","Menor a 4"))))</x:f>
        <x:v>Moderado (4-4.9)</x:v>
      </x:c>
      <x:c r="L3189" s="25" t="str">
        <x:f>IF(I3189&lt;70,"Superficial (&lt;70 km)",IF(I3189&lt;=300,"Intermedio (70-300 km)","Profundo (&gt;300 km)"))</x:f>
        <x:v>Superficial (&lt;70 km)</x:v>
      </x:c>
      <x:c r="M3189" s="25" t="str">
        <x:f>IF(J3189&gt;=5,"Sí","No")</x:f>
        <x:v>No</x:v>
      </x:c>
      <x:c r="N3189" s="25" t="str">
        <x:f>IF(J3189&gt;=6,"Sí","No")</x:f>
        <x:v>No</x:v>
      </x:c>
      <x:c r="O3189" s="25" t="str">
        <x:v>Pendiente: asignar con R/sf</x:v>
      </x:c>
    </x:row>
    <x:row r="3190">
      <x:c r="A3190" s="25" t="n">
        <x:v>3189</x:v>
      </x:c>
      <x:c r="B3190" s="26" t="n">
        <x:v>43296.30737268519</x:v>
      </x:c>
      <x:c r="C3190" s="27" t="n">
        <x:f>INT(B3190)</x:f>
        <x:v>43296</x:v>
      </x:c>
      <x:c r="D3190" s="28" t="n">
        <x:f>MOD(B3190,1)</x:f>
        <x:v>0.307372685187147</x:v>
      </x:c>
      <x:c r="E3190" s="29" t="n">
        <x:f>YEAR(B3190)</x:f>
        <x:v>2018</x:v>
      </x:c>
      <x:c r="F3190" s="29" t="n">
        <x:f>MONTH(B3190)</x:f>
        <x:v>7</x:v>
      </x:c>
      <x:c r="G3190" s="30" t="n">
        <x:v>-30.83</x:v>
      </x:c>
      <x:c r="H3190" s="30" t="n">
        <x:v>-71.39</x:v>
      </x:c>
      <x:c r="I3190" s="29" t="n">
        <x:v>55</x:v>
      </x:c>
      <x:c r="J3190" s="31" t="n">
        <x:v>4.1</x:v>
      </x:c>
      <x:c r="K3190" s="25" t="str">
        <x:f>IF(J3190&gt;=7,"Muy fuerte (&gt;=7)",IF(J3190&gt;=6,"Fuerte (6-6.9)",IF(J3190&gt;=5,"Moderado alto (5-5.9)",IF(J3190&gt;=4,"Moderado (4-4.9)","Menor a 4"))))</x:f>
        <x:v>Moderado (4-4.9)</x:v>
      </x:c>
      <x:c r="L3190" s="25" t="str">
        <x:f>IF(I3190&lt;70,"Superficial (&lt;70 km)",IF(I3190&lt;=300,"Intermedio (70-300 km)","Profundo (&gt;300 km)"))</x:f>
        <x:v>Superficial (&lt;70 km)</x:v>
      </x:c>
      <x:c r="M3190" s="25" t="str">
        <x:f>IF(J3190&gt;=5,"Sí","No")</x:f>
        <x:v>No</x:v>
      </x:c>
      <x:c r="N3190" s="25" t="str">
        <x:f>IF(J3190&gt;=6,"Sí","No")</x:f>
        <x:v>No</x:v>
      </x:c>
      <x:c r="O3190" s="25" t="str">
        <x:v>Pendiente: asignar con R/sf</x:v>
      </x:c>
    </x:row>
    <x:row r="3191">
      <x:c r="A3191" s="25" t="n">
        <x:v>3190</x:v>
      </x:c>
      <x:c r="B3191" s="26" t="n">
        <x:v>43297.77408564815</x:v>
      </x:c>
      <x:c r="C3191" s="27" t="n">
        <x:f>INT(B3191)</x:f>
        <x:v>43297</x:v>
      </x:c>
      <x:c r="D3191" s="28" t="n">
        <x:f>MOD(B3191,1)</x:f>
        <x:v>0.7740856481468654</x:v>
      </x:c>
      <x:c r="E3191" s="29" t="n">
        <x:f>YEAR(B3191)</x:f>
        <x:v>2018</x:v>
      </x:c>
      <x:c r="F3191" s="29" t="n">
        <x:f>MONTH(B3191)</x:f>
        <x:v>7</x:v>
      </x:c>
      <x:c r="G3191" s="30" t="n">
        <x:v>-30.92</x:v>
      </x:c>
      <x:c r="H3191" s="30" t="n">
        <x:v>-71.28</x:v>
      </x:c>
      <x:c r="I3191" s="29" t="n">
        <x:v>60</x:v>
      </x:c>
      <x:c r="J3191" s="31" t="n">
        <x:v>4.1</x:v>
      </x:c>
      <x:c r="K3191" s="25" t="str">
        <x:f>IF(J3191&gt;=7,"Muy fuerte (&gt;=7)",IF(J3191&gt;=6,"Fuerte (6-6.9)",IF(J3191&gt;=5,"Moderado alto (5-5.9)",IF(J3191&gt;=4,"Moderado (4-4.9)","Menor a 4"))))</x:f>
        <x:v>Moderado (4-4.9)</x:v>
      </x:c>
      <x:c r="L3191" s="25" t="str">
        <x:f>IF(I3191&lt;70,"Superficial (&lt;70 km)",IF(I3191&lt;=300,"Intermedio (70-300 km)","Profundo (&gt;300 km)"))</x:f>
        <x:v>Superficial (&lt;70 km)</x:v>
      </x:c>
      <x:c r="M3191" s="25" t="str">
        <x:f>IF(J3191&gt;=5,"Sí","No")</x:f>
        <x:v>No</x:v>
      </x:c>
      <x:c r="N3191" s="25" t="str">
        <x:f>IF(J3191&gt;=6,"Sí","No")</x:f>
        <x:v>No</x:v>
      </x:c>
      <x:c r="O3191" s="25" t="str">
        <x:v>Pendiente: asignar con R/sf</x:v>
      </x:c>
    </x:row>
    <x:row r="3192">
      <x:c r="A3192" s="25" t="n">
        <x:v>3191</x:v>
      </x:c>
      <x:c r="B3192" s="26" t="n">
        <x:v>43344.86918981482</x:v>
      </x:c>
      <x:c r="C3192" s="27" t="n">
        <x:f>INT(B3192)</x:f>
        <x:v>43344</x:v>
      </x:c>
      <x:c r="D3192" s="28" t="n">
        <x:f>MOD(B3192,1)</x:f>
        <x:v>0.8691898148172186</x:v>
      </x:c>
      <x:c r="E3192" s="29" t="n">
        <x:f>YEAR(B3192)</x:f>
        <x:v>2018</x:v>
      </x:c>
      <x:c r="F3192" s="29" t="n">
        <x:f>MONTH(B3192)</x:f>
        <x:v>9</x:v>
      </x:c>
      <x:c r="G3192" s="30" t="n">
        <x:v>-30.39</x:v>
      </x:c>
      <x:c r="H3192" s="30" t="n">
        <x:v>-71.61</x:v>
      </x:c>
      <x:c r="I3192" s="29" t="n">
        <x:v>42</x:v>
      </x:c>
      <x:c r="J3192" s="31" t="n">
        <x:v>4</x:v>
      </x:c>
      <x:c r="K3192" s="25" t="str">
        <x:f>IF(J3192&gt;=7,"Muy fuerte (&gt;=7)",IF(J3192&gt;=6,"Fuerte (6-6.9)",IF(J3192&gt;=5,"Moderado alto (5-5.9)",IF(J3192&gt;=4,"Moderado (4-4.9)","Menor a 4"))))</x:f>
        <x:v>Moderado (4-4.9)</x:v>
      </x:c>
      <x:c r="L3192" s="25" t="str">
        <x:f>IF(I3192&lt;70,"Superficial (&lt;70 km)",IF(I3192&lt;=300,"Intermedio (70-300 km)","Profundo (&gt;300 km)"))</x:f>
        <x:v>Superficial (&lt;70 km)</x:v>
      </x:c>
      <x:c r="M3192" s="25" t="str">
        <x:f>IF(J3192&gt;=5,"Sí","No")</x:f>
        <x:v>No</x:v>
      </x:c>
      <x:c r="N3192" s="25" t="str">
        <x:f>IF(J3192&gt;=6,"Sí","No")</x:f>
        <x:v>No</x:v>
      </x:c>
      <x:c r="O3192" s="25" t="str">
        <x:v>Pendiente: asignar con R/sf</x:v>
      </x:c>
    </x:row>
    <x:row r="3193">
      <x:c r="A3193" s="25" t="n">
        <x:v>3192</x:v>
      </x:c>
      <x:c r="B3193" s="26" t="n">
        <x:v>43410.755277777775</x:v>
      </x:c>
      <x:c r="C3193" s="27" t="n">
        <x:f>INT(B3193)</x:f>
        <x:v>43410</x:v>
      </x:c>
      <x:c r="D3193" s="28" t="n">
        <x:f>MOD(B3193,1)</x:f>
        <x:v>0.7552777777746087</x:v>
      </x:c>
      <x:c r="E3193" s="29" t="n">
        <x:f>YEAR(B3193)</x:f>
        <x:v>2018</x:v>
      </x:c>
      <x:c r="F3193" s="29" t="n">
        <x:f>MONTH(B3193)</x:f>
        <x:v>11</x:v>
      </x:c>
      <x:c r="G3193" s="30" t="n">
        <x:v>-31.38</x:v>
      </x:c>
      <x:c r="H3193" s="30" t="n">
        <x:v>-72.41</x:v>
      </x:c>
      <x:c r="I3193" s="29" t="n">
        <x:v>18</x:v>
      </x:c>
      <x:c r="J3193" s="31" t="n">
        <x:v>4.2</x:v>
      </x:c>
      <x:c r="K3193" s="25" t="str">
        <x:f>IF(J3193&gt;=7,"Muy fuerte (&gt;=7)",IF(J3193&gt;=6,"Fuerte (6-6.9)",IF(J3193&gt;=5,"Moderado alto (5-5.9)",IF(J3193&gt;=4,"Moderado (4-4.9)","Menor a 4"))))</x:f>
        <x:v>Moderado (4-4.9)</x:v>
      </x:c>
      <x:c r="L3193" s="25" t="str">
        <x:f>IF(I3193&lt;70,"Superficial (&lt;70 km)",IF(I3193&lt;=300,"Intermedio (70-300 km)","Profundo (&gt;300 km)"))</x:f>
        <x:v>Superficial (&lt;70 km)</x:v>
      </x:c>
      <x:c r="M3193" s="25" t="str">
        <x:f>IF(J3193&gt;=5,"Sí","No")</x:f>
        <x:v>No</x:v>
      </x:c>
      <x:c r="N3193" s="25" t="str">
        <x:f>IF(J3193&gt;=6,"Sí","No")</x:f>
        <x:v>No</x:v>
      </x:c>
      <x:c r="O3193" s="25" t="str">
        <x:v>Pendiente: asignar con R/sf</x:v>
      </x:c>
    </x:row>
    <x:row r="3194">
      <x:c r="A3194" s="25" t="n">
        <x:v>3193</x:v>
      </x:c>
      <x:c r="B3194" s="26" t="n">
        <x:v>43419.281956018516</x:v>
      </x:c>
      <x:c r="C3194" s="27" t="n">
        <x:f>INT(B3194)</x:f>
        <x:v>43419</x:v>
      </x:c>
      <x:c r="D3194" s="28" t="n">
        <x:f>MOD(B3194,1)</x:f>
        <x:v>0.28195601851621177</x:v>
      </x:c>
      <x:c r="E3194" s="29" t="n">
        <x:f>YEAR(B3194)</x:f>
        <x:v>2018</x:v>
      </x:c>
      <x:c r="F3194" s="29" t="n">
        <x:f>MONTH(B3194)</x:f>
        <x:v>11</x:v>
      </x:c>
      <x:c r="G3194" s="30" t="n">
        <x:v>-30.16</x:v>
      </x:c>
      <x:c r="H3194" s="30" t="n">
        <x:v>-71.23</x:v>
      </x:c>
      <x:c r="I3194" s="29" t="n">
        <x:v>78</x:v>
      </x:c>
      <x:c r="J3194" s="31" t="n">
        <x:v>4</x:v>
      </x:c>
      <x:c r="K3194" s="25" t="str">
        <x:f>IF(J3194&gt;=7,"Muy fuerte (&gt;=7)",IF(J3194&gt;=6,"Fuerte (6-6.9)",IF(J3194&gt;=5,"Moderado alto (5-5.9)",IF(J3194&gt;=4,"Moderado (4-4.9)","Menor a 4"))))</x:f>
        <x:v>Moderado (4-4.9)</x:v>
      </x:c>
      <x:c r="L3194" s="25" t="str">
        <x:f>IF(I3194&lt;70,"Superficial (&lt;70 km)",IF(I3194&lt;=300,"Intermedio (70-300 km)","Profundo (&gt;300 km)"))</x:f>
        <x:v>Intermedio (70-300 km)</x:v>
      </x:c>
      <x:c r="M3194" s="25" t="str">
        <x:f>IF(J3194&gt;=5,"Sí","No")</x:f>
        <x:v>No</x:v>
      </x:c>
      <x:c r="N3194" s="25" t="str">
        <x:f>IF(J3194&gt;=6,"Sí","No")</x:f>
        <x:v>No</x:v>
      </x:c>
      <x:c r="O3194" s="25" t="str">
        <x:v>Pendiente: asignar con R/sf</x:v>
      </x:c>
    </x:row>
    <x:row r="3195">
      <x:c r="A3195" s="25" t="n">
        <x:v>3194</x:v>
      </x:c>
      <x:c r="B3195" s="26" t="n">
        <x:v>43435.555243055554</x:v>
      </x:c>
      <x:c r="C3195" s="27" t="n">
        <x:f>INT(B3195)</x:f>
        <x:v>43435</x:v>
      </x:c>
      <x:c r="D3195" s="28" t="n">
        <x:f>MOD(B3195,1)</x:f>
        <x:v>0.5552430555544561</x:v>
      </x:c>
      <x:c r="E3195" s="29" t="n">
        <x:f>YEAR(B3195)</x:f>
        <x:v>2018</x:v>
      </x:c>
      <x:c r="F3195" s="29" t="n">
        <x:f>MONTH(B3195)</x:f>
        <x:v>12</x:v>
      </x:c>
      <x:c r="G3195" s="30" t="n">
        <x:v>-30.72</x:v>
      </x:c>
      <x:c r="H3195" s="30" t="n">
        <x:v>-71.44</x:v>
      </x:c>
      <x:c r="I3195" s="29" t="n">
        <x:v>39</x:v>
      </x:c>
      <x:c r="J3195" s="31" t="n">
        <x:v>4</x:v>
      </x:c>
      <x:c r="K3195" s="25" t="str">
        <x:f>IF(J3195&gt;=7,"Muy fuerte (&gt;=7)",IF(J3195&gt;=6,"Fuerte (6-6.9)",IF(J3195&gt;=5,"Moderado alto (5-5.9)",IF(J3195&gt;=4,"Moderado (4-4.9)","Menor a 4"))))</x:f>
        <x:v>Moderado (4-4.9)</x:v>
      </x:c>
      <x:c r="L3195" s="25" t="str">
        <x:f>IF(I3195&lt;70,"Superficial (&lt;70 km)",IF(I3195&lt;=300,"Intermedio (70-300 km)","Profundo (&gt;300 km)"))</x:f>
        <x:v>Superficial (&lt;70 km)</x:v>
      </x:c>
      <x:c r="M3195" s="25" t="str">
        <x:f>IF(J3195&gt;=5,"Sí","No")</x:f>
        <x:v>No</x:v>
      </x:c>
      <x:c r="N3195" s="25" t="str">
        <x:f>IF(J3195&gt;=6,"Sí","No")</x:f>
        <x:v>No</x:v>
      </x:c>
      <x:c r="O3195" s="25" t="str">
        <x:v>Pendiente: asignar con R/sf</x:v>
      </x:c>
    </x:row>
    <x:row r="3196">
      <x:c r="A3196" s="25" t="n">
        <x:v>3195</x:v>
      </x:c>
      <x:c r="B3196" s="26" t="n">
        <x:v>43445.97582175926</x:v>
      </x:c>
      <x:c r="C3196" s="27" t="n">
        <x:f>INT(B3196)</x:f>
        <x:v>43445</x:v>
      </x:c>
      <x:c r="D3196" s="28" t="n">
        <x:f>MOD(B3196,1)</x:f>
        <x:v>0.9758217592607252</x:v>
      </x:c>
      <x:c r="E3196" s="29" t="n">
        <x:f>YEAR(B3196)</x:f>
        <x:v>2018</x:v>
      </x:c>
      <x:c r="F3196" s="29" t="n">
        <x:f>MONTH(B3196)</x:f>
        <x:v>12</x:v>
      </x:c>
      <x:c r="G3196" s="30" t="n">
        <x:v>-30.57</x:v>
      </x:c>
      <x:c r="H3196" s="30" t="n">
        <x:v>-71.28</x:v>
      </x:c>
      <x:c r="I3196" s="29" t="n">
        <x:v>60</x:v>
      </x:c>
      <x:c r="J3196" s="31" t="n">
        <x:v>4.4</x:v>
      </x:c>
      <x:c r="K3196" s="25" t="str">
        <x:f>IF(J3196&gt;=7,"Muy fuerte (&gt;=7)",IF(J3196&gt;=6,"Fuerte (6-6.9)",IF(J3196&gt;=5,"Moderado alto (5-5.9)",IF(J3196&gt;=4,"Moderado (4-4.9)","Menor a 4"))))</x:f>
        <x:v>Moderado (4-4.9)</x:v>
      </x:c>
      <x:c r="L3196" s="25" t="str">
        <x:f>IF(I3196&lt;70,"Superficial (&lt;70 km)",IF(I3196&lt;=300,"Intermedio (70-300 km)","Profundo (&gt;300 km)"))</x:f>
        <x:v>Superficial (&lt;70 km)</x:v>
      </x:c>
      <x:c r="M3196" s="25" t="str">
        <x:f>IF(J3196&gt;=5,"Sí","No")</x:f>
        <x:v>No</x:v>
      </x:c>
      <x:c r="N3196" s="25" t="str">
        <x:f>IF(J3196&gt;=6,"Sí","No")</x:f>
        <x:v>No</x:v>
      </x:c>
      <x:c r="O3196" s="25" t="str">
        <x:v>Pendiente: asignar con R/sf</x:v>
      </x:c>
    </x:row>
    <x:row r="3197">
      <x:c r="A3197" s="25" t="n">
        <x:v>3196</x:v>
      </x:c>
      <x:c r="B3197" s="26" t="n">
        <x:v>43345.46125</x:v>
      </x:c>
      <x:c r="C3197" s="27" t="n">
        <x:f>INT(B3197)</x:f>
        <x:v>43345</x:v>
      </x:c>
      <x:c r="D3197" s="28" t="n">
        <x:f>MOD(B3197,1)</x:f>
        <x:v>0.46125000000029104</x:v>
      </x:c>
      <x:c r="E3197" s="29" t="n">
        <x:f>YEAR(B3197)</x:f>
        <x:v>2018</x:v>
      </x:c>
      <x:c r="F3197" s="29" t="n">
        <x:f>MONTH(B3197)</x:f>
        <x:v>9</x:v>
      </x:c>
      <x:c r="G3197" s="30" t="n">
        <x:v>-29.39</x:v>
      </x:c>
      <x:c r="H3197" s="30" t="n">
        <x:v>-71.2</x:v>
      </x:c>
      <x:c r="I3197" s="29" t="n">
        <x:v>49</x:v>
      </x:c>
      <x:c r="J3197" s="31" t="n">
        <x:v>4.6</x:v>
      </x:c>
      <x:c r="K3197" s="25" t="str">
        <x:f>IF(J3197&gt;=7,"Muy fuerte (&gt;=7)",IF(J3197&gt;=6,"Fuerte (6-6.9)",IF(J3197&gt;=5,"Moderado alto (5-5.9)",IF(J3197&gt;=4,"Moderado (4-4.9)","Menor a 4"))))</x:f>
        <x:v>Moderado (4-4.9)</x:v>
      </x:c>
      <x:c r="L3197" s="25" t="str">
        <x:f>IF(I3197&lt;70,"Superficial (&lt;70 km)",IF(I3197&lt;=300,"Intermedio (70-300 km)","Profundo (&gt;300 km)"))</x:f>
        <x:v>Superficial (&lt;70 km)</x:v>
      </x:c>
      <x:c r="M3197" s="25" t="str">
        <x:f>IF(J3197&gt;=5,"Sí","No")</x:f>
        <x:v>No</x:v>
      </x:c>
      <x:c r="N3197" s="25" t="str">
        <x:f>IF(J3197&gt;=6,"Sí","No")</x:f>
        <x:v>No</x:v>
      </x:c>
      <x:c r="O3197" s="25" t="str">
        <x:v>Pendiente: asignar con R/sf</x:v>
      </x:c>
    </x:row>
    <x:row r="3198">
      <x:c r="A3198" s="25" t="n">
        <x:v>3197</x:v>
      </x:c>
      <x:c r="B3198" s="26" t="n">
        <x:v>43353.350173611114</x:v>
      </x:c>
      <x:c r="C3198" s="27" t="n">
        <x:f>INT(B3198)</x:f>
        <x:v>43353</x:v>
      </x:c>
      <x:c r="D3198" s="28" t="n">
        <x:f>MOD(B3198,1)</x:f>
        <x:v>0.3501736111138598</x:v>
      </x:c>
      <x:c r="E3198" s="29" t="n">
        <x:f>YEAR(B3198)</x:f>
        <x:v>2018</x:v>
      </x:c>
      <x:c r="F3198" s="29" t="n">
        <x:f>MONTH(B3198)</x:f>
        <x:v>9</x:v>
      </x:c>
      <x:c r="G3198" s="30" t="n">
        <x:v>-28.82</x:v>
      </x:c>
      <x:c r="H3198" s="30" t="n">
        <x:v>-71.52</x:v>
      </x:c>
      <x:c r="I3198" s="29" t="n">
        <x:v>32</x:v>
      </x:c>
      <x:c r="J3198" s="31" t="n">
        <x:v>5</x:v>
      </x:c>
      <x:c r="K3198" s="25" t="str">
        <x:f>IF(J3198&gt;=7,"Muy fuerte (&gt;=7)",IF(J3198&gt;=6,"Fuerte (6-6.9)",IF(J3198&gt;=5,"Moderado alto (5-5.9)",IF(J3198&gt;=4,"Moderado (4-4.9)","Menor a 4"))))</x:f>
        <x:v>Moderado alto (5-5.9)</x:v>
      </x:c>
      <x:c r="L3198" s="25" t="str">
        <x:f>IF(I3198&lt;70,"Superficial (&lt;70 km)",IF(I3198&lt;=300,"Intermedio (70-300 km)","Profundo (&gt;300 km)"))</x:f>
        <x:v>Superficial (&lt;70 km)</x:v>
      </x:c>
      <x:c r="M3198" s="25" t="str">
        <x:f>IF(J3198&gt;=5,"Sí","No")</x:f>
        <x:v>Sí</x:v>
      </x:c>
      <x:c r="N3198" s="25" t="str">
        <x:f>IF(J3198&gt;=6,"Sí","No")</x:f>
        <x:v>No</x:v>
      </x:c>
      <x:c r="O3198" s="25" t="str">
        <x:v>Pendiente: asignar con R/sf</x:v>
      </x:c>
    </x:row>
    <x:row r="3199">
      <x:c r="A3199" s="25" t="n">
        <x:v>3198</x:v>
      </x:c>
      <x:c r="B3199" s="26" t="n">
        <x:v>43369.800717592596</x:v>
      </x:c>
      <x:c r="C3199" s="27" t="n">
        <x:f>INT(B3199)</x:f>
        <x:v>43369</x:v>
      </x:c>
      <x:c r="D3199" s="28" t="n">
        <x:f>MOD(B3199,1)</x:f>
        <x:v>0.8007175925959018</x:v>
      </x:c>
      <x:c r="E3199" s="29" t="n">
        <x:f>YEAR(B3199)</x:f>
        <x:v>2018</x:v>
      </x:c>
      <x:c r="F3199" s="29" t="n">
        <x:f>MONTH(B3199)</x:f>
        <x:v>9</x:v>
      </x:c>
      <x:c r="G3199" s="30" t="n">
        <x:v>-29.64</x:v>
      </x:c>
      <x:c r="H3199" s="30" t="n">
        <x:v>-70.64</x:v>
      </x:c>
      <x:c r="I3199" s="29" t="n">
        <x:v>102</x:v>
      </x:c>
      <x:c r="J3199" s="31" t="n">
        <x:v>4.1</x:v>
      </x:c>
      <x:c r="K3199" s="25" t="str">
        <x:f>IF(J3199&gt;=7,"Muy fuerte (&gt;=7)",IF(J3199&gt;=6,"Fuerte (6-6.9)",IF(J3199&gt;=5,"Moderado alto (5-5.9)",IF(J3199&gt;=4,"Moderado (4-4.9)","Menor a 4"))))</x:f>
        <x:v>Moderado (4-4.9)</x:v>
      </x:c>
      <x:c r="L3199" s="25" t="str">
        <x:f>IF(I3199&lt;70,"Superficial (&lt;70 km)",IF(I3199&lt;=300,"Intermedio (70-300 km)","Profundo (&gt;300 km)"))</x:f>
        <x:v>Intermedio (70-300 km)</x:v>
      </x:c>
      <x:c r="M3199" s="25" t="str">
        <x:f>IF(J3199&gt;=5,"Sí","No")</x:f>
        <x:v>No</x:v>
      </x:c>
      <x:c r="N3199" s="25" t="str">
        <x:f>IF(J3199&gt;=6,"Sí","No")</x:f>
        <x:v>No</x:v>
      </x:c>
      <x:c r="O3199" s="25" t="str">
        <x:v>Pendiente: asignar con R/sf</x:v>
      </x:c>
    </x:row>
    <x:row r="3200">
      <x:c r="A3200" s="25" t="n">
        <x:v>3199</x:v>
      </x:c>
      <x:c r="B3200" s="26" t="n">
        <x:v>43371.57630787037</x:v>
      </x:c>
      <x:c r="C3200" s="27" t="n">
        <x:f>INT(B3200)</x:f>
        <x:v>43371</x:v>
      </x:c>
      <x:c r="D3200" s="28" t="n">
        <x:f>MOD(B3200,1)</x:f>
        <x:v>0.5763078703676001</x:v>
      </x:c>
      <x:c r="E3200" s="29" t="n">
        <x:f>YEAR(B3200)</x:f>
        <x:v>2018</x:v>
      </x:c>
      <x:c r="F3200" s="29" t="n">
        <x:f>MONTH(B3200)</x:f>
        <x:v>9</x:v>
      </x:c>
      <x:c r="G3200" s="30" t="n">
        <x:v>-30.3</x:v>
      </x:c>
      <x:c r="H3200" s="30" t="n">
        <x:v>-71.34</x:v>
      </x:c>
      <x:c r="I3200" s="29" t="n">
        <x:v>48</x:v>
      </x:c>
      <x:c r="J3200" s="31" t="n">
        <x:v>4.2</x:v>
      </x:c>
      <x:c r="K3200" s="25" t="str">
        <x:f>IF(J3200&gt;=7,"Muy fuerte (&gt;=7)",IF(J3200&gt;=6,"Fuerte (6-6.9)",IF(J3200&gt;=5,"Moderado alto (5-5.9)",IF(J3200&gt;=4,"Moderado (4-4.9)","Menor a 4"))))</x:f>
        <x:v>Moderado (4-4.9)</x:v>
      </x:c>
      <x:c r="L3200" s="25" t="str">
        <x:f>IF(I3200&lt;70,"Superficial (&lt;70 km)",IF(I3200&lt;=300,"Intermedio (70-300 km)","Profundo (&gt;300 km)"))</x:f>
        <x:v>Superficial (&lt;70 km)</x:v>
      </x:c>
      <x:c r="M3200" s="25" t="str">
        <x:f>IF(J3200&gt;=5,"Sí","No")</x:f>
        <x:v>No</x:v>
      </x:c>
      <x:c r="N3200" s="25" t="str">
        <x:f>IF(J3200&gt;=6,"Sí","No")</x:f>
        <x:v>No</x:v>
      </x:c>
      <x:c r="O3200" s="25" t="str">
        <x:v>Pendiente: asignar con R/sf</x:v>
      </x:c>
    </x:row>
    <x:row r="3201">
      <x:c r="A3201" s="25" t="n">
        <x:v>3200</x:v>
      </x:c>
      <x:c r="B3201" s="26" t="n">
        <x:v>43371.918703703705</x:v>
      </x:c>
      <x:c r="C3201" s="27" t="n">
        <x:f>INT(B3201)</x:f>
        <x:v>43371</x:v>
      </x:c>
      <x:c r="D3201" s="28" t="n">
        <x:f>MOD(B3201,1)</x:f>
        <x:v>0.9187037037045229</x:v>
      </x:c>
      <x:c r="E3201" s="29" t="n">
        <x:f>YEAR(B3201)</x:f>
        <x:v>2018</x:v>
      </x:c>
      <x:c r="F3201" s="29" t="n">
        <x:f>MONTH(B3201)</x:f>
        <x:v>9</x:v>
      </x:c>
      <x:c r="G3201" s="30" t="n">
        <x:v>-30.02</x:v>
      </x:c>
      <x:c r="H3201" s="30" t="n">
        <x:v>-71.74</x:v>
      </x:c>
      <x:c r="I3201" s="29" t="n">
        <x:v>32</x:v>
      </x:c>
      <x:c r="J3201" s="31" t="n">
        <x:v>4.3</x:v>
      </x:c>
      <x:c r="K3201" s="25" t="str">
        <x:f>IF(J3201&gt;=7,"Muy fuerte (&gt;=7)",IF(J3201&gt;=6,"Fuerte (6-6.9)",IF(J3201&gt;=5,"Moderado alto (5-5.9)",IF(J3201&gt;=4,"Moderado (4-4.9)","Menor a 4"))))</x:f>
        <x:v>Moderado (4-4.9)</x:v>
      </x:c>
      <x:c r="L3201" s="25" t="str">
        <x:f>IF(I3201&lt;70,"Superficial (&lt;70 km)",IF(I3201&lt;=300,"Intermedio (70-300 km)","Profundo (&gt;300 km)"))</x:f>
        <x:v>Superficial (&lt;70 km)</x:v>
      </x:c>
      <x:c r="M3201" s="25" t="str">
        <x:f>IF(J3201&gt;=5,"Sí","No")</x:f>
        <x:v>No</x:v>
      </x:c>
      <x:c r="N3201" s="25" t="str">
        <x:f>IF(J3201&gt;=6,"Sí","No")</x:f>
        <x:v>No</x:v>
      </x:c>
      <x:c r="O3201" s="25" t="str">
        <x:v>Pendiente: asignar con R/sf</x:v>
      </x:c>
    </x:row>
    <x:row r="3202">
      <x:c r="A3202" s="25" t="n">
        <x:v>3201</x:v>
      </x:c>
      <x:c r="B3202" s="26" t="n">
        <x:v>43410.79756944445</x:v>
      </x:c>
      <x:c r="C3202" s="27" t="n">
        <x:f>INT(B3202)</x:f>
        <x:v>43410</x:v>
      </x:c>
      <x:c r="D3202" s="28" t="n">
        <x:f>MOD(B3202,1)</x:f>
        <x:v>0.7975694444467081</x:v>
      </x:c>
      <x:c r="E3202" s="29" t="n">
        <x:f>YEAR(B3202)</x:f>
        <x:v>2018</x:v>
      </x:c>
      <x:c r="F3202" s="29" t="n">
        <x:f>MONTH(B3202)</x:f>
        <x:v>11</x:v>
      </x:c>
      <x:c r="G3202" s="30" t="n">
        <x:v>-29.79</x:v>
      </x:c>
      <x:c r="H3202" s="30" t="n">
        <x:v>-71.48</x:v>
      </x:c>
      <x:c r="I3202" s="29" t="n">
        <x:v>47</x:v>
      </x:c>
      <x:c r="J3202" s="31" t="n">
        <x:v>4.1</x:v>
      </x:c>
      <x:c r="K3202" s="25" t="str">
        <x:f>IF(J3202&gt;=7,"Muy fuerte (&gt;=7)",IF(J3202&gt;=6,"Fuerte (6-6.9)",IF(J3202&gt;=5,"Moderado alto (5-5.9)",IF(J3202&gt;=4,"Moderado (4-4.9)","Menor a 4"))))</x:f>
        <x:v>Moderado (4-4.9)</x:v>
      </x:c>
      <x:c r="L3202" s="25" t="str">
        <x:f>IF(I3202&lt;70,"Superficial (&lt;70 km)",IF(I3202&lt;=300,"Intermedio (70-300 km)","Profundo (&gt;300 km)"))</x:f>
        <x:v>Superficial (&lt;70 km)</x:v>
      </x:c>
      <x:c r="M3202" s="25" t="str">
        <x:f>IF(J3202&gt;=5,"Sí","No")</x:f>
        <x:v>No</x:v>
      </x:c>
      <x:c r="N3202" s="25" t="str">
        <x:f>IF(J3202&gt;=6,"Sí","No")</x:f>
        <x:v>No</x:v>
      </x:c>
      <x:c r="O3202" s="25" t="str">
        <x:v>Pendiente: asignar con R/sf</x:v>
      </x:c>
    </x:row>
    <x:row r="3203">
      <x:c r="A3203" s="25" t="n">
        <x:v>3202</x:v>
      </x:c>
      <x:c r="B3203" s="26" t="n">
        <x:v>43439.41165509259</x:v>
      </x:c>
      <x:c r="C3203" s="27" t="n">
        <x:f>INT(B3203)</x:f>
        <x:v>43439</x:v>
      </x:c>
      <x:c r="D3203" s="28" t="n">
        <x:f>MOD(B3203,1)</x:f>
        <x:v>0.41165509259008104</x:v>
      </x:c>
      <x:c r="E3203" s="29" t="n">
        <x:f>YEAR(B3203)</x:f>
        <x:v>2018</x:v>
      </x:c>
      <x:c r="F3203" s="29" t="n">
        <x:f>MONTH(B3203)</x:f>
        <x:v>12</x:v>
      </x:c>
      <x:c r="G3203" s="30" t="n">
        <x:v>-30.32</x:v>
      </x:c>
      <x:c r="H3203" s="30" t="n">
        <x:v>-71.53</x:v>
      </x:c>
      <x:c r="I3203" s="29" t="n">
        <x:v>26</x:v>
      </x:c>
      <x:c r="J3203" s="31" t="n">
        <x:v>4.2</x:v>
      </x:c>
      <x:c r="K3203" s="25" t="str">
        <x:f>IF(J3203&gt;=7,"Muy fuerte (&gt;=7)",IF(J3203&gt;=6,"Fuerte (6-6.9)",IF(J3203&gt;=5,"Moderado alto (5-5.9)",IF(J3203&gt;=4,"Moderado (4-4.9)","Menor a 4"))))</x:f>
        <x:v>Moderado (4-4.9)</x:v>
      </x:c>
      <x:c r="L3203" s="25" t="str">
        <x:f>IF(I3203&lt;70,"Superficial (&lt;70 km)",IF(I3203&lt;=300,"Intermedio (70-300 km)","Profundo (&gt;300 km)"))</x:f>
        <x:v>Superficial (&lt;70 km)</x:v>
      </x:c>
      <x:c r="M3203" s="25" t="str">
        <x:f>IF(J3203&gt;=5,"Sí","No")</x:f>
        <x:v>No</x:v>
      </x:c>
      <x:c r="N3203" s="25" t="str">
        <x:f>IF(J3203&gt;=6,"Sí","No")</x:f>
        <x:v>No</x:v>
      </x:c>
      <x:c r="O3203" s="25" t="str">
        <x:v>Pendiente: asignar con R/sf</x:v>
      </x:c>
    </x:row>
    <x:row r="3204">
      <x:c r="A3204" s="25" t="n">
        <x:v>3203</x:v>
      </x:c>
      <x:c r="B3204" s="26" t="n">
        <x:v>43441.40576388889</x:v>
      </x:c>
      <x:c r="C3204" s="27" t="n">
        <x:f>INT(B3204)</x:f>
        <x:v>43441</x:v>
      </x:c>
      <x:c r="D3204" s="28" t="n">
        <x:f>MOD(B3204,1)</x:f>
        <x:v>0.4057638888916699</x:v>
      </x:c>
      <x:c r="E3204" s="29" t="n">
        <x:f>YEAR(B3204)</x:f>
        <x:v>2018</x:v>
      </x:c>
      <x:c r="F3204" s="29" t="n">
        <x:f>MONTH(B3204)</x:f>
        <x:v>12</x:v>
      </x:c>
      <x:c r="G3204" s="30" t="n">
        <x:v>-29.01</x:v>
      </x:c>
      <x:c r="H3204" s="30" t="n">
        <x:v>-70.36</x:v>
      </x:c>
      <x:c r="I3204" s="29" t="n">
        <x:v>97</x:v>
      </x:c>
      <x:c r="J3204" s="31" t="n">
        <x:v>4.8</x:v>
      </x:c>
      <x:c r="K3204" s="25" t="str">
        <x:f>IF(J3204&gt;=7,"Muy fuerte (&gt;=7)",IF(J3204&gt;=6,"Fuerte (6-6.9)",IF(J3204&gt;=5,"Moderado alto (5-5.9)",IF(J3204&gt;=4,"Moderado (4-4.9)","Menor a 4"))))</x:f>
        <x:v>Moderado (4-4.9)</x:v>
      </x:c>
      <x:c r="L3204" s="25" t="str">
        <x:f>IF(I3204&lt;70,"Superficial (&lt;70 km)",IF(I3204&lt;=300,"Intermedio (70-300 km)","Profundo (&gt;300 km)"))</x:f>
        <x:v>Intermedio (70-300 km)</x:v>
      </x:c>
      <x:c r="M3204" s="25" t="str">
        <x:f>IF(J3204&gt;=5,"Sí","No")</x:f>
        <x:v>No</x:v>
      </x:c>
      <x:c r="N3204" s="25" t="str">
        <x:f>IF(J3204&gt;=6,"Sí","No")</x:f>
        <x:v>No</x:v>
      </x:c>
      <x:c r="O3204" s="25" t="str">
        <x:v>Pendiente: asignar con R/sf</x:v>
      </x:c>
    </x:row>
    <x:row r="3205">
      <x:c r="A3205" s="25" t="n">
        <x:v>3204</x:v>
      </x:c>
      <x:c r="B3205" s="26" t="n">
        <x:v>43324.2178587963</x:v>
      </x:c>
      <x:c r="C3205" s="27" t="n">
        <x:f>INT(B3205)</x:f>
        <x:v>43324</x:v>
      </x:c>
      <x:c r="D3205" s="28" t="n">
        <x:f>MOD(B3205,1)</x:f>
        <x:v>0.21785879629896954</x:v>
      </x:c>
      <x:c r="E3205" s="29" t="n">
        <x:f>YEAR(B3205)</x:f>
        <x:v>2018</x:v>
      </x:c>
      <x:c r="F3205" s="29" t="n">
        <x:f>MONTH(B3205)</x:f>
        <x:v>8</x:v>
      </x:c>
      <x:c r="G3205" s="30" t="n">
        <x:v>-29.72</x:v>
      </x:c>
      <x:c r="H3205" s="30" t="n">
        <x:v>-71.3</x:v>
      </x:c>
      <x:c r="I3205" s="29" t="n">
        <x:v>53</x:v>
      </x:c>
      <x:c r="J3205" s="31" t="n">
        <x:v>4.2</x:v>
      </x:c>
      <x:c r="K3205" s="25" t="str">
        <x:f>IF(J3205&gt;=7,"Muy fuerte (&gt;=7)",IF(J3205&gt;=6,"Fuerte (6-6.9)",IF(J3205&gt;=5,"Moderado alto (5-5.9)",IF(J3205&gt;=4,"Moderado (4-4.9)","Menor a 4"))))</x:f>
        <x:v>Moderado (4-4.9)</x:v>
      </x:c>
      <x:c r="L3205" s="25" t="str">
        <x:f>IF(I3205&lt;70,"Superficial (&lt;70 km)",IF(I3205&lt;=300,"Intermedio (70-300 km)","Profundo (&gt;300 km)"))</x:f>
        <x:v>Superficial (&lt;70 km)</x:v>
      </x:c>
      <x:c r="M3205" s="25" t="str">
        <x:f>IF(J3205&gt;=5,"Sí","No")</x:f>
        <x:v>No</x:v>
      </x:c>
      <x:c r="N3205" s="25" t="str">
        <x:f>IF(J3205&gt;=6,"Sí","No")</x:f>
        <x:v>No</x:v>
      </x:c>
      <x:c r="O3205" s="25" t="str">
        <x:v>Pendiente: asignar con R/sf</x:v>
      </x:c>
    </x:row>
    <x:row r="3206">
      <x:c r="A3206" s="25" t="n">
        <x:v>3205</x:v>
      </x:c>
      <x:c r="B3206" s="26" t="n">
        <x:v>43424.08118055556</x:v>
      </x:c>
      <x:c r="C3206" s="27" t="n">
        <x:f>INT(B3206)</x:f>
        <x:v>43424</x:v>
      </x:c>
      <x:c r="D3206" s="28" t="n">
        <x:f>MOD(B3206,1)</x:f>
        <x:v>0.08118055555678438</x:v>
      </x:c>
      <x:c r="E3206" s="29" t="n">
        <x:f>YEAR(B3206)</x:f>
        <x:v>2018</x:v>
      </x:c>
      <x:c r="F3206" s="29" t="n">
        <x:f>MONTH(B3206)</x:f>
        <x:v>11</x:v>
      </x:c>
      <x:c r="G3206" s="30" t="n">
        <x:v>-29.87</x:v>
      </x:c>
      <x:c r="H3206" s="30" t="n">
        <x:v>-71.36</x:v>
      </x:c>
      <x:c r="I3206" s="29" t="n">
        <x:v>49</x:v>
      </x:c>
      <x:c r="J3206" s="31" t="n">
        <x:v>4.2</x:v>
      </x:c>
      <x:c r="K3206" s="25" t="str">
        <x:f>IF(J3206&gt;=7,"Muy fuerte (&gt;=7)",IF(J3206&gt;=6,"Fuerte (6-6.9)",IF(J3206&gt;=5,"Moderado alto (5-5.9)",IF(J3206&gt;=4,"Moderado (4-4.9)","Menor a 4"))))</x:f>
        <x:v>Moderado (4-4.9)</x:v>
      </x:c>
      <x:c r="L3206" s="25" t="str">
        <x:f>IF(I3206&lt;70,"Superficial (&lt;70 km)",IF(I3206&lt;=300,"Intermedio (70-300 km)","Profundo (&gt;300 km)"))</x:f>
        <x:v>Superficial (&lt;70 km)</x:v>
      </x:c>
      <x:c r="M3206" s="25" t="str">
        <x:f>IF(J3206&gt;=5,"Sí","No")</x:f>
        <x:v>No</x:v>
      </x:c>
      <x:c r="N3206" s="25" t="str">
        <x:f>IF(J3206&gt;=6,"Sí","No")</x:f>
        <x:v>No</x:v>
      </x:c>
      <x:c r="O3206" s="25" t="str">
        <x:v>Pendiente: asignar con R/sf</x:v>
      </x:c>
    </x:row>
    <x:row r="3207">
      <x:c r="A3207" s="25" t="n">
        <x:v>3206</x:v>
      </x:c>
      <x:c r="B3207" s="26" t="n">
        <x:v>43178.3777662037</x:v>
      </x:c>
      <x:c r="C3207" s="27" t="n">
        <x:f>INT(B3207)</x:f>
        <x:v>43178</x:v>
      </x:c>
      <x:c r="D3207" s="28" t="n">
        <x:f>MOD(B3207,1)</x:f>
        <x:v>0.3777662037027767</x:v>
      </x:c>
      <x:c r="E3207" s="29" t="n">
        <x:f>YEAR(B3207)</x:f>
        <x:v>2018</x:v>
      </x:c>
      <x:c r="F3207" s="29" t="n">
        <x:f>MONTH(B3207)</x:f>
        <x:v>3</x:v>
      </x:c>
      <x:c r="G3207" s="30" t="n">
        <x:v>-32.71</x:v>
      </x:c>
      <x:c r="H3207" s="30" t="n">
        <x:v>-71.63</x:v>
      </x:c>
      <x:c r="I3207" s="29" t="n">
        <x:v>32</x:v>
      </x:c>
      <x:c r="J3207" s="31" t="n">
        <x:v>4</x:v>
      </x:c>
      <x:c r="K3207" s="25" t="str">
        <x:f>IF(J3207&gt;=7,"Muy fuerte (&gt;=7)",IF(J3207&gt;=6,"Fuerte (6-6.9)",IF(J3207&gt;=5,"Moderado alto (5-5.9)",IF(J3207&gt;=4,"Moderado (4-4.9)","Menor a 4"))))</x:f>
        <x:v>Moderado (4-4.9)</x:v>
      </x:c>
      <x:c r="L3207" s="25" t="str">
        <x:f>IF(I3207&lt;70,"Superficial (&lt;70 km)",IF(I3207&lt;=300,"Intermedio (70-300 km)","Profundo (&gt;300 km)"))</x:f>
        <x:v>Superficial (&lt;70 km)</x:v>
      </x:c>
      <x:c r="M3207" s="25" t="str">
        <x:f>IF(J3207&gt;=5,"Sí","No")</x:f>
        <x:v>No</x:v>
      </x:c>
      <x:c r="N3207" s="25" t="str">
        <x:f>IF(J3207&gt;=6,"Sí","No")</x:f>
        <x:v>No</x:v>
      </x:c>
      <x:c r="O3207" s="25" t="str">
        <x:v>Pendiente: asignar con R/sf</x:v>
      </x:c>
    </x:row>
    <x:row r="3208">
      <x:c r="A3208" s="25" t="n">
        <x:v>3207</x:v>
      </x:c>
      <x:c r="B3208" s="26" t="n">
        <x:v>43178.53561342593</x:v>
      </x:c>
      <x:c r="C3208" s="27" t="n">
        <x:f>INT(B3208)</x:f>
        <x:v>43178</x:v>
      </x:c>
      <x:c r="D3208" s="28" t="n">
        <x:f>MOD(B3208,1)</x:f>
        <x:v>0.5356134259272949</x:v>
      </x:c>
      <x:c r="E3208" s="29" t="n">
        <x:f>YEAR(B3208)</x:f>
        <x:v>2018</x:v>
      </x:c>
      <x:c r="F3208" s="29" t="n">
        <x:f>MONTH(B3208)</x:f>
        <x:v>3</x:v>
      </x:c>
      <x:c r="G3208" s="30" t="n">
        <x:v>-32.39</x:v>
      </x:c>
      <x:c r="H3208" s="30" t="n">
        <x:v>-69.75</x:v>
      </x:c>
      <x:c r="I3208" s="29" t="n">
        <x:v>149</x:v>
      </x:c>
      <x:c r="J3208" s="31" t="n">
        <x:v>5.1</x:v>
      </x:c>
      <x:c r="K3208" s="25" t="str">
        <x:f>IF(J3208&gt;=7,"Muy fuerte (&gt;=7)",IF(J3208&gt;=6,"Fuerte (6-6.9)",IF(J3208&gt;=5,"Moderado alto (5-5.9)",IF(J3208&gt;=4,"Moderado (4-4.9)","Menor a 4"))))</x:f>
        <x:v>Moderado alto (5-5.9)</x:v>
      </x:c>
      <x:c r="L3208" s="25" t="str">
        <x:f>IF(I3208&lt;70,"Superficial (&lt;70 km)",IF(I3208&lt;=300,"Intermedio (70-300 km)","Profundo (&gt;300 km)"))</x:f>
        <x:v>Intermedio (70-300 km)</x:v>
      </x:c>
      <x:c r="M3208" s="25" t="str">
        <x:f>IF(J3208&gt;=5,"Sí","No")</x:f>
        <x:v>Sí</x:v>
      </x:c>
      <x:c r="N3208" s="25" t="str">
        <x:f>IF(J3208&gt;=6,"Sí","No")</x:f>
        <x:v>No</x:v>
      </x:c>
      <x:c r="O3208" s="25" t="str">
        <x:v>Pendiente: asignar con R/sf</x:v>
      </x:c>
    </x:row>
    <x:row r="3209">
      <x:c r="A3209" s="25" t="n">
        <x:v>3208</x:v>
      </x:c>
      <x:c r="B3209" s="26" t="n">
        <x:v>43192.9425</x:v>
      </x:c>
      <x:c r="C3209" s="27" t="n">
        <x:f>INT(B3209)</x:f>
        <x:v>43192</x:v>
      </x:c>
      <x:c r="D3209" s="28" t="n">
        <x:f>MOD(B3209,1)</x:f>
        <x:v>0.9424999999973807</x:v>
      </x:c>
      <x:c r="E3209" s="29" t="n">
        <x:f>YEAR(B3209)</x:f>
        <x:v>2018</x:v>
      </x:c>
      <x:c r="F3209" s="29" t="n">
        <x:f>MONTH(B3209)</x:f>
        <x:v>4</x:v>
      </x:c>
      <x:c r="G3209" s="30" t="n">
        <x:v>-31.66</x:v>
      </x:c>
      <x:c r="H3209" s="30" t="n">
        <x:v>-71.72</x:v>
      </x:c>
      <x:c r="I3209" s="29" t="n">
        <x:v>43</x:v>
      </x:c>
      <x:c r="J3209" s="31" t="n">
        <x:v>4.7</x:v>
      </x:c>
      <x:c r="K3209" s="25" t="str">
        <x:f>IF(J3209&gt;=7,"Muy fuerte (&gt;=7)",IF(J3209&gt;=6,"Fuerte (6-6.9)",IF(J3209&gt;=5,"Moderado alto (5-5.9)",IF(J3209&gt;=4,"Moderado (4-4.9)","Menor a 4"))))</x:f>
        <x:v>Moderado (4-4.9)</x:v>
      </x:c>
      <x:c r="L3209" s="25" t="str">
        <x:f>IF(I3209&lt;70,"Superficial (&lt;70 km)",IF(I3209&lt;=300,"Intermedio (70-300 km)","Profundo (&gt;300 km)"))</x:f>
        <x:v>Superficial (&lt;70 km)</x:v>
      </x:c>
      <x:c r="M3209" s="25" t="str">
        <x:f>IF(J3209&gt;=5,"Sí","No")</x:f>
        <x:v>No</x:v>
      </x:c>
      <x:c r="N3209" s="25" t="str">
        <x:f>IF(J3209&gt;=6,"Sí","No")</x:f>
        <x:v>No</x:v>
      </x:c>
      <x:c r="O3209" s="25" t="str">
        <x:v>Pendiente: asignar con R/sf</x:v>
      </x:c>
    </x:row>
    <x:row r="3210">
      <x:c r="A3210" s="25" t="n">
        <x:v>3209</x:v>
      </x:c>
      <x:c r="B3210" s="26" t="n">
        <x:v>43204.169907407406</x:v>
      </x:c>
      <x:c r="C3210" s="27" t="n">
        <x:f>INT(B3210)</x:f>
        <x:v>43204</x:v>
      </x:c>
      <x:c r="D3210" s="28" t="n">
        <x:f>MOD(B3210,1)</x:f>
        <x:v>0.16990740740584442</x:v>
      </x:c>
      <x:c r="E3210" s="29" t="n">
        <x:f>YEAR(B3210)</x:f>
        <x:v>2018</x:v>
      </x:c>
      <x:c r="F3210" s="29" t="n">
        <x:f>MONTH(B3210)</x:f>
        <x:v>4</x:v>
      </x:c>
      <x:c r="G3210" s="30" t="n">
        <x:v>-31.77</x:v>
      </x:c>
      <x:c r="H3210" s="30" t="n">
        <x:v>-71.61</x:v>
      </x:c>
      <x:c r="I3210" s="29" t="n">
        <x:v>37</x:v>
      </x:c>
      <x:c r="J3210" s="31" t="n">
        <x:v>4.6</x:v>
      </x:c>
      <x:c r="K3210" s="25" t="str">
        <x:f>IF(J3210&gt;=7,"Muy fuerte (&gt;=7)",IF(J3210&gt;=6,"Fuerte (6-6.9)",IF(J3210&gt;=5,"Moderado alto (5-5.9)",IF(J3210&gt;=4,"Moderado (4-4.9)","Menor a 4"))))</x:f>
        <x:v>Moderado (4-4.9)</x:v>
      </x:c>
      <x:c r="L3210" s="25" t="str">
        <x:f>IF(I3210&lt;70,"Superficial (&lt;70 km)",IF(I3210&lt;=300,"Intermedio (70-300 km)","Profundo (&gt;300 km)"))</x:f>
        <x:v>Superficial (&lt;70 km)</x:v>
      </x:c>
      <x:c r="M3210" s="25" t="str">
        <x:f>IF(J3210&gt;=5,"Sí","No")</x:f>
        <x:v>No</x:v>
      </x:c>
      <x:c r="N3210" s="25" t="str">
        <x:f>IF(J3210&gt;=6,"Sí","No")</x:f>
        <x:v>No</x:v>
      </x:c>
      <x:c r="O3210" s="25" t="str">
        <x:v>Pendiente: asignar con R/sf</x:v>
      </x:c>
    </x:row>
    <x:row r="3211">
      <x:c r="A3211" s="25" t="n">
        <x:v>3210</x:v>
      </x:c>
      <x:c r="B3211" s="26" t="n">
        <x:v>43239.280324074076</x:v>
      </x:c>
      <x:c r="C3211" s="27" t="n">
        <x:f>INT(B3211)</x:f>
        <x:v>43239</x:v>
      </x:c>
      <x:c r="D3211" s="28" t="n">
        <x:f>MOD(B3211,1)</x:f>
        <x:v>0.28032407407590654</x:v>
      </x:c>
      <x:c r="E3211" s="29" t="n">
        <x:f>YEAR(B3211)</x:f>
        <x:v>2018</x:v>
      </x:c>
      <x:c r="F3211" s="29" t="n">
        <x:f>MONTH(B3211)</x:f>
        <x:v>5</x:v>
      </x:c>
      <x:c r="G3211" s="30" t="n">
        <x:v>-32.2</x:v>
      </x:c>
      <x:c r="H3211" s="30" t="n">
        <x:v>-71.38</x:v>
      </x:c>
      <x:c r="I3211" s="29" t="n">
        <x:v>40</x:v>
      </x:c>
      <x:c r="J3211" s="31" t="n">
        <x:v>4.8</x:v>
      </x:c>
      <x:c r="K3211" s="25" t="str">
        <x:f>IF(J3211&gt;=7,"Muy fuerte (&gt;=7)",IF(J3211&gt;=6,"Fuerte (6-6.9)",IF(J3211&gt;=5,"Moderado alto (5-5.9)",IF(J3211&gt;=4,"Moderado (4-4.9)","Menor a 4"))))</x:f>
        <x:v>Moderado (4-4.9)</x:v>
      </x:c>
      <x:c r="L3211" s="25" t="str">
        <x:f>IF(I3211&lt;70,"Superficial (&lt;70 km)",IF(I3211&lt;=300,"Intermedio (70-300 km)","Profundo (&gt;300 km)"))</x:f>
        <x:v>Superficial (&lt;70 km)</x:v>
      </x:c>
      <x:c r="M3211" s="25" t="str">
        <x:f>IF(J3211&gt;=5,"Sí","No")</x:f>
        <x:v>No</x:v>
      </x:c>
      <x:c r="N3211" s="25" t="str">
        <x:f>IF(J3211&gt;=6,"Sí","No")</x:f>
        <x:v>No</x:v>
      </x:c>
      <x:c r="O3211" s="25" t="str">
        <x:v>Pendiente: asignar con R/sf</x:v>
      </x:c>
    </x:row>
    <x:row r="3212">
      <x:c r="A3212" s="25" t="n">
        <x:v>3211</x:v>
      </x:c>
      <x:c r="B3212" s="26" t="n">
        <x:v>43247.63752314815</x:v>
      </x:c>
      <x:c r="C3212" s="27" t="n">
        <x:f>INT(B3212)</x:f>
        <x:v>43247</x:v>
      </x:c>
      <x:c r="D3212" s="28" t="n">
        <x:f>MOD(B3212,1)</x:f>
        <x:v>0.6375231481506489</x:v>
      </x:c>
      <x:c r="E3212" s="29" t="n">
        <x:f>YEAR(B3212)</x:f>
        <x:v>2018</x:v>
      </x:c>
      <x:c r="F3212" s="29" t="n">
        <x:f>MONTH(B3212)</x:f>
        <x:v>5</x:v>
      </x:c>
      <x:c r="G3212" s="30" t="n">
        <x:v>-31.3</x:v>
      </x:c>
      <x:c r="H3212" s="30" t="n">
        <x:v>-71.36</x:v>
      </x:c>
      <x:c r="I3212" s="29" t="n">
        <x:v>47</x:v>
      </x:c>
      <x:c r="J3212" s="31" t="n">
        <x:v>4.4</x:v>
      </x:c>
      <x:c r="K3212" s="25" t="str">
        <x:f>IF(J3212&gt;=7,"Muy fuerte (&gt;=7)",IF(J3212&gt;=6,"Fuerte (6-6.9)",IF(J3212&gt;=5,"Moderado alto (5-5.9)",IF(J3212&gt;=4,"Moderado (4-4.9)","Menor a 4"))))</x:f>
        <x:v>Moderado (4-4.9)</x:v>
      </x:c>
      <x:c r="L3212" s="25" t="str">
        <x:f>IF(I3212&lt;70,"Superficial (&lt;70 km)",IF(I3212&lt;=300,"Intermedio (70-300 km)","Profundo (&gt;300 km)"))</x:f>
        <x:v>Superficial (&lt;70 km)</x:v>
      </x:c>
      <x:c r="M3212" s="25" t="str">
        <x:f>IF(J3212&gt;=5,"Sí","No")</x:f>
        <x:v>No</x:v>
      </x:c>
      <x:c r="N3212" s="25" t="str">
        <x:f>IF(J3212&gt;=6,"Sí","No")</x:f>
        <x:v>No</x:v>
      </x:c>
      <x:c r="O3212" s="25" t="str">
        <x:v>Pendiente: asignar con R/sf</x:v>
      </x:c>
    </x:row>
    <x:row r="3213">
      <x:c r="A3213" s="25" t="n">
        <x:v>3212</x:v>
      </x:c>
      <x:c r="B3213" s="26" t="n">
        <x:v>43248.874710648146</x:v>
      </x:c>
      <x:c r="C3213" s="27" t="n">
        <x:f>INT(B3213)</x:f>
        <x:v>43248</x:v>
      </x:c>
      <x:c r="D3213" s="28" t="n">
        <x:f>MOD(B3213,1)</x:f>
        <x:v>0.8747106481459923</x:v>
      </x:c>
      <x:c r="E3213" s="29" t="n">
        <x:f>YEAR(B3213)</x:f>
        <x:v>2018</x:v>
      </x:c>
      <x:c r="F3213" s="29" t="n">
        <x:f>MONTH(B3213)</x:f>
        <x:v>5</x:v>
      </x:c>
      <x:c r="G3213" s="30" t="n">
        <x:v>-31.24</x:v>
      </x:c>
      <x:c r="H3213" s="30" t="n">
        <x:v>-68.96</x:v>
      </x:c>
      <x:c r="I3213" s="29" t="n">
        <x:v>150</x:v>
      </x:c>
      <x:c r="J3213" s="31" t="n">
        <x:v>5.2</x:v>
      </x:c>
      <x:c r="K3213" s="25" t="str">
        <x:f>IF(J3213&gt;=7,"Muy fuerte (&gt;=7)",IF(J3213&gt;=6,"Fuerte (6-6.9)",IF(J3213&gt;=5,"Moderado alto (5-5.9)",IF(J3213&gt;=4,"Moderado (4-4.9)","Menor a 4"))))</x:f>
        <x:v>Moderado alto (5-5.9)</x:v>
      </x:c>
      <x:c r="L3213" s="25" t="str">
        <x:f>IF(I3213&lt;70,"Superficial (&lt;70 km)",IF(I3213&lt;=300,"Intermedio (70-300 km)","Profundo (&gt;300 km)"))</x:f>
        <x:v>Intermedio (70-300 km)</x:v>
      </x:c>
      <x:c r="M3213" s="25" t="str">
        <x:f>IF(J3213&gt;=5,"Sí","No")</x:f>
        <x:v>Sí</x:v>
      </x:c>
      <x:c r="N3213" s="25" t="str">
        <x:f>IF(J3213&gt;=6,"Sí","No")</x:f>
        <x:v>No</x:v>
      </x:c>
      <x:c r="O3213" s="25" t="str">
        <x:v>Pendiente: asignar con R/sf</x:v>
      </x:c>
    </x:row>
    <x:row r="3214">
      <x:c r="A3214" s="25" t="n">
        <x:v>3213</x:v>
      </x:c>
      <x:c r="B3214" s="26" t="n">
        <x:v>43275.279594907406</x:v>
      </x:c>
      <x:c r="C3214" s="27" t="n">
        <x:f>INT(B3214)</x:f>
        <x:v>43275</x:v>
      </x:c>
      <x:c r="D3214" s="28" t="n">
        <x:f>MOD(B3214,1)</x:f>
        <x:v>0.27959490740613546</x:v>
      </x:c>
      <x:c r="E3214" s="29" t="n">
        <x:f>YEAR(B3214)</x:f>
        <x:v>2018</x:v>
      </x:c>
      <x:c r="F3214" s="29" t="n">
        <x:f>MONTH(B3214)</x:f>
        <x:v>6</x:v>
      </x:c>
      <x:c r="G3214" s="30" t="n">
        <x:v>-31.92</x:v>
      </x:c>
      <x:c r="H3214" s="30" t="n">
        <x:v>-71.57</x:v>
      </x:c>
      <x:c r="I3214" s="29" t="n">
        <x:v>74</x:v>
      </x:c>
      <x:c r="J3214" s="31" t="n">
        <x:v>4.4</x:v>
      </x:c>
      <x:c r="K3214" s="25" t="str">
        <x:f>IF(J3214&gt;=7,"Muy fuerte (&gt;=7)",IF(J3214&gt;=6,"Fuerte (6-6.9)",IF(J3214&gt;=5,"Moderado alto (5-5.9)",IF(J3214&gt;=4,"Moderado (4-4.9)","Menor a 4"))))</x:f>
        <x:v>Moderado (4-4.9)</x:v>
      </x:c>
      <x:c r="L3214" s="25" t="str">
        <x:f>IF(I3214&lt;70,"Superficial (&lt;70 km)",IF(I3214&lt;=300,"Intermedio (70-300 km)","Profundo (&gt;300 km)"))</x:f>
        <x:v>Intermedio (70-300 km)</x:v>
      </x:c>
      <x:c r="M3214" s="25" t="str">
        <x:f>IF(J3214&gt;=5,"Sí","No")</x:f>
        <x:v>No</x:v>
      </x:c>
      <x:c r="N3214" s="25" t="str">
        <x:f>IF(J3214&gt;=6,"Sí","No")</x:f>
        <x:v>No</x:v>
      </x:c>
      <x:c r="O3214" s="25" t="str">
        <x:v>Pendiente: asignar con R/sf</x:v>
      </x:c>
    </x:row>
    <x:row r="3215">
      <x:c r="A3215" s="25" t="n">
        <x:v>3214</x:v>
      </x:c>
      <x:c r="B3215" s="26" t="n">
        <x:v>43277.087013888886</x:v>
      </x:c>
      <x:c r="C3215" s="27" t="n">
        <x:f>INT(B3215)</x:f>
        <x:v>43277</x:v>
      </x:c>
      <x:c r="D3215" s="28" t="n">
        <x:f>MOD(B3215,1)</x:f>
        <x:v>0.08701388888584916</x:v>
      </x:c>
      <x:c r="E3215" s="29" t="n">
        <x:f>YEAR(B3215)</x:f>
        <x:v>2018</x:v>
      </x:c>
      <x:c r="F3215" s="29" t="n">
        <x:f>MONTH(B3215)</x:f>
        <x:v>6</x:v>
      </x:c>
      <x:c r="G3215" s="30" t="n">
        <x:v>-32.16</x:v>
      </x:c>
      <x:c r="H3215" s="30" t="n">
        <x:v>-71.73</x:v>
      </x:c>
      <x:c r="I3215" s="29" t="n">
        <x:v>35</x:v>
      </x:c>
      <x:c r="J3215" s="31" t="n">
        <x:v>4.6</x:v>
      </x:c>
      <x:c r="K3215" s="25" t="str">
        <x:f>IF(J3215&gt;=7,"Muy fuerte (&gt;=7)",IF(J3215&gt;=6,"Fuerte (6-6.9)",IF(J3215&gt;=5,"Moderado alto (5-5.9)",IF(J3215&gt;=4,"Moderado (4-4.9)","Menor a 4"))))</x:f>
        <x:v>Moderado (4-4.9)</x:v>
      </x:c>
      <x:c r="L3215" s="25" t="str">
        <x:f>IF(I3215&lt;70,"Superficial (&lt;70 km)",IF(I3215&lt;=300,"Intermedio (70-300 km)","Profundo (&gt;300 km)"))</x:f>
        <x:v>Superficial (&lt;70 km)</x:v>
      </x:c>
      <x:c r="M3215" s="25" t="str">
        <x:f>IF(J3215&gt;=5,"Sí","No")</x:f>
        <x:v>No</x:v>
      </x:c>
      <x:c r="N3215" s="25" t="str">
        <x:f>IF(J3215&gt;=6,"Sí","No")</x:f>
        <x:v>No</x:v>
      </x:c>
      <x:c r="O3215" s="25" t="str">
        <x:v>Pendiente: asignar con R/sf</x:v>
      </x:c>
    </x:row>
    <x:row r="3216">
      <x:c r="A3216" s="25" t="n">
        <x:v>3215</x:v>
      </x:c>
      <x:c r="B3216" s="26" t="n">
        <x:v>43330.07</x:v>
      </x:c>
      <x:c r="C3216" s="27" t="n">
        <x:f>INT(B3216)</x:f>
        <x:v>43330</x:v>
      </x:c>
      <x:c r="D3216" s="28" t="n">
        <x:f>MOD(B3216,1)</x:f>
        <x:v>0.06999999999970896</x:v>
      </x:c>
      <x:c r="E3216" s="29" t="n">
        <x:f>YEAR(B3216)</x:f>
        <x:v>2018</x:v>
      </x:c>
      <x:c r="F3216" s="29" t="n">
        <x:f>MONTH(B3216)</x:f>
        <x:v>8</x:v>
      </x:c>
      <x:c r="G3216" s="30" t="n">
        <x:v>-32.27</x:v>
      </x:c>
      <x:c r="H3216" s="30" t="n">
        <x:v>-71.6</x:v>
      </x:c>
      <x:c r="I3216" s="29" t="n">
        <x:v>63</x:v>
      </x:c>
      <x:c r="J3216" s="31" t="n">
        <x:v>4.2</x:v>
      </x:c>
      <x:c r="K3216" s="25" t="str">
        <x:f>IF(J3216&gt;=7,"Muy fuerte (&gt;=7)",IF(J3216&gt;=6,"Fuerte (6-6.9)",IF(J3216&gt;=5,"Moderado alto (5-5.9)",IF(J3216&gt;=4,"Moderado (4-4.9)","Menor a 4"))))</x:f>
        <x:v>Moderado (4-4.9)</x:v>
      </x:c>
      <x:c r="L3216" s="25" t="str">
        <x:f>IF(I3216&lt;70,"Superficial (&lt;70 km)",IF(I3216&lt;=300,"Intermedio (70-300 km)","Profundo (&gt;300 km)"))</x:f>
        <x:v>Superficial (&lt;70 km)</x:v>
      </x:c>
      <x:c r="M3216" s="25" t="str">
        <x:f>IF(J3216&gt;=5,"Sí","No")</x:f>
        <x:v>No</x:v>
      </x:c>
      <x:c r="N3216" s="25" t="str">
        <x:f>IF(J3216&gt;=6,"Sí","No")</x:f>
        <x:v>No</x:v>
      </x:c>
      <x:c r="O3216" s="25" t="str">
        <x:v>Pendiente: asignar con R/sf</x:v>
      </x:c>
    </x:row>
    <x:row r="3217">
      <x:c r="A3217" s="25" t="n">
        <x:v>3216</x:v>
      </x:c>
      <x:c r="B3217" s="26" t="n">
        <x:v>43357.76053240741</x:v>
      </x:c>
      <x:c r="C3217" s="27" t="n">
        <x:f>INT(B3217)</x:f>
        <x:v>43357</x:v>
      </x:c>
      <x:c r="D3217" s="28" t="n">
        <x:f>MOD(B3217,1)</x:f>
        <x:v>0.76053240741021</x:v>
      </x:c>
      <x:c r="E3217" s="29" t="n">
        <x:f>YEAR(B3217)</x:f>
        <x:v>2018</x:v>
      </x:c>
      <x:c r="F3217" s="29" t="n">
        <x:f>MONTH(B3217)</x:f>
        <x:v>9</x:v>
      </x:c>
      <x:c r="G3217" s="30" t="n">
        <x:v>-32.52</x:v>
      </x:c>
      <x:c r="H3217" s="30" t="n">
        <x:v>-71.59</x:v>
      </x:c>
      <x:c r="I3217" s="29" t="n">
        <x:v>33</x:v>
      </x:c>
      <x:c r="J3217" s="31" t="n">
        <x:v>4.5</x:v>
      </x:c>
      <x:c r="K3217" s="25" t="str">
        <x:f>IF(J3217&gt;=7,"Muy fuerte (&gt;=7)",IF(J3217&gt;=6,"Fuerte (6-6.9)",IF(J3217&gt;=5,"Moderado alto (5-5.9)",IF(J3217&gt;=4,"Moderado (4-4.9)","Menor a 4"))))</x:f>
        <x:v>Moderado (4-4.9)</x:v>
      </x:c>
      <x:c r="L3217" s="25" t="str">
        <x:f>IF(I3217&lt;70,"Superficial (&lt;70 km)",IF(I3217&lt;=300,"Intermedio (70-300 km)","Profundo (&gt;300 km)"))</x:f>
        <x:v>Superficial (&lt;70 km)</x:v>
      </x:c>
      <x:c r="M3217" s="25" t="str">
        <x:f>IF(J3217&gt;=5,"Sí","No")</x:f>
        <x:v>No</x:v>
      </x:c>
      <x:c r="N3217" s="25" t="str">
        <x:f>IF(J3217&gt;=6,"Sí","No")</x:f>
        <x:v>No</x:v>
      </x:c>
      <x:c r="O3217" s="25" t="str">
        <x:v>Pendiente: asignar con R/sf</x:v>
      </x:c>
    </x:row>
    <x:row r="3218">
      <x:c r="A3218" s="25" t="n">
        <x:v>3217</x:v>
      </x:c>
      <x:c r="B3218" s="26" t="n">
        <x:v>43357.782534722224</x:v>
      </x:c>
      <x:c r="C3218" s="27" t="n">
        <x:f>INT(B3218)</x:f>
        <x:v>43357</x:v>
      </x:c>
      <x:c r="D3218" s="28" t="n">
        <x:f>MOD(B3218,1)</x:f>
        <x:v>0.7825347222242272</x:v>
      </x:c>
      <x:c r="E3218" s="29" t="n">
        <x:f>YEAR(B3218)</x:f>
        <x:v>2018</x:v>
      </x:c>
      <x:c r="F3218" s="29" t="n">
        <x:f>MONTH(B3218)</x:f>
        <x:v>9</x:v>
      </x:c>
      <x:c r="G3218" s="30" t="n">
        <x:v>-32.53</x:v>
      </x:c>
      <x:c r="H3218" s="30" t="n">
        <x:v>-71.59</x:v>
      </x:c>
      <x:c r="I3218" s="29" t="n">
        <x:v>29</x:v>
      </x:c>
      <x:c r="J3218" s="31" t="n">
        <x:v>4.1</x:v>
      </x:c>
      <x:c r="K3218" s="25" t="str">
        <x:f>IF(J3218&gt;=7,"Muy fuerte (&gt;=7)",IF(J3218&gt;=6,"Fuerte (6-6.9)",IF(J3218&gt;=5,"Moderado alto (5-5.9)",IF(J3218&gt;=4,"Moderado (4-4.9)","Menor a 4"))))</x:f>
        <x:v>Moderado (4-4.9)</x:v>
      </x:c>
      <x:c r="L3218" s="25" t="str">
        <x:f>IF(I3218&lt;70,"Superficial (&lt;70 km)",IF(I3218&lt;=300,"Intermedio (70-300 km)","Profundo (&gt;300 km)"))</x:f>
        <x:v>Superficial (&lt;70 km)</x:v>
      </x:c>
      <x:c r="M3218" s="25" t="str">
        <x:f>IF(J3218&gt;=5,"Sí","No")</x:f>
        <x:v>No</x:v>
      </x:c>
      <x:c r="N3218" s="25" t="str">
        <x:f>IF(J3218&gt;=6,"Sí","No")</x:f>
        <x:v>No</x:v>
      </x:c>
      <x:c r="O3218" s="25" t="str">
        <x:v>Pendiente: asignar con R/sf</x:v>
      </x:c>
    </x:row>
    <x:row r="3219">
      <x:c r="A3219" s="25" t="n">
        <x:v>3218</x:v>
      </x:c>
      <x:c r="B3219" s="26" t="n">
        <x:v>43182.51887731482</x:v>
      </x:c>
      <x:c r="C3219" s="27" t="n">
        <x:f>INT(B3219)</x:f>
        <x:v>43182</x:v>
      </x:c>
      <x:c r="D3219" s="28" t="n">
        <x:f>MOD(B3219,1)</x:f>
        <x:v>0.5188773148183827</x:v>
      </x:c>
      <x:c r="E3219" s="29" t="n">
        <x:f>YEAR(B3219)</x:f>
        <x:v>2018</x:v>
      </x:c>
      <x:c r="F3219" s="29" t="n">
        <x:f>MONTH(B3219)</x:f>
        <x:v>3</x:v>
      </x:c>
      <x:c r="G3219" s="30" t="n">
        <x:v>-31.3</x:v>
      </x:c>
      <x:c r="H3219" s="30" t="n">
        <x:v>-71.19</x:v>
      </x:c>
      <x:c r="I3219" s="29" t="n">
        <x:v>67</x:v>
      </x:c>
      <x:c r="J3219" s="31" t="n">
        <x:v>4.2</x:v>
      </x:c>
      <x:c r="K3219" s="25" t="str">
        <x:f>IF(J3219&gt;=7,"Muy fuerte (&gt;=7)",IF(J3219&gt;=6,"Fuerte (6-6.9)",IF(J3219&gt;=5,"Moderado alto (5-5.9)",IF(J3219&gt;=4,"Moderado (4-4.9)","Menor a 4"))))</x:f>
        <x:v>Moderado (4-4.9)</x:v>
      </x:c>
      <x:c r="L3219" s="25" t="str">
        <x:f>IF(I3219&lt;70,"Superficial (&lt;70 km)",IF(I3219&lt;=300,"Intermedio (70-300 km)","Profundo (&gt;300 km)"))</x:f>
        <x:v>Superficial (&lt;70 km)</x:v>
      </x:c>
      <x:c r="M3219" s="25" t="str">
        <x:f>IF(J3219&gt;=5,"Sí","No")</x:f>
        <x:v>No</x:v>
      </x:c>
      <x:c r="N3219" s="25" t="str">
        <x:f>IF(J3219&gt;=6,"Sí","No")</x:f>
        <x:v>No</x:v>
      </x:c>
      <x:c r="O3219" s="25" t="str">
        <x:v>Pendiente: asignar con R/sf</x:v>
      </x:c>
    </x:row>
    <x:row r="3220">
      <x:c r="A3220" s="25" t="n">
        <x:v>3219</x:v>
      </x:c>
      <x:c r="B3220" s="26" t="n">
        <x:v>43271.36486111111</x:v>
      </x:c>
      <x:c r="C3220" s="27" t="n">
        <x:f>INT(B3220)</x:f>
        <x:v>43271</x:v>
      </x:c>
      <x:c r="D3220" s="28" t="n">
        <x:f>MOD(B3220,1)</x:f>
        <x:v>0.3648611111129867</x:v>
      </x:c>
      <x:c r="E3220" s="29" t="n">
        <x:f>YEAR(B3220)</x:f>
        <x:v>2018</x:v>
      </x:c>
      <x:c r="F3220" s="29" t="n">
        <x:f>MONTH(B3220)</x:f>
        <x:v>6</x:v>
      </x:c>
      <x:c r="G3220" s="30" t="n">
        <x:v>-30.71</x:v>
      </x:c>
      <x:c r="H3220" s="30" t="n">
        <x:v>-71.4</x:v>
      </x:c>
      <x:c r="I3220" s="29" t="n">
        <x:v>49</x:v>
      </x:c>
      <x:c r="J3220" s="31" t="n">
        <x:v>4.1</x:v>
      </x:c>
      <x:c r="K3220" s="25" t="str">
        <x:f>IF(J3220&gt;=7,"Muy fuerte (&gt;=7)",IF(J3220&gt;=6,"Fuerte (6-6.9)",IF(J3220&gt;=5,"Moderado alto (5-5.9)",IF(J3220&gt;=4,"Moderado (4-4.9)","Menor a 4"))))</x:f>
        <x:v>Moderado (4-4.9)</x:v>
      </x:c>
      <x:c r="L3220" s="25" t="str">
        <x:f>IF(I3220&lt;70,"Superficial (&lt;70 km)",IF(I3220&lt;=300,"Intermedio (70-300 km)","Profundo (&gt;300 km)"))</x:f>
        <x:v>Superficial (&lt;70 km)</x:v>
      </x:c>
      <x:c r="M3220" s="25" t="str">
        <x:f>IF(J3220&gt;=5,"Sí","No")</x:f>
        <x:v>No</x:v>
      </x:c>
      <x:c r="N3220" s="25" t="str">
        <x:f>IF(J3220&gt;=6,"Sí","No")</x:f>
        <x:v>No</x:v>
      </x:c>
      <x:c r="O3220" s="25" t="str">
        <x:v>Pendiente: asignar con R/sf</x:v>
      </x:c>
    </x:row>
    <x:row r="3221">
      <x:c r="A3221" s="25" t="n">
        <x:v>3220</x:v>
      </x:c>
      <x:c r="B3221" s="26" t="n">
        <x:v>43279.915983796294</x:v>
      </x:c>
      <x:c r="C3221" s="27" t="n">
        <x:f>INT(B3221)</x:f>
        <x:v>43279</x:v>
      </x:c>
      <x:c r="D3221" s="28" t="n">
        <x:f>MOD(B3221,1)</x:f>
        <x:v>0.9159837962943129</x:v>
      </x:c>
      <x:c r="E3221" s="29" t="n">
        <x:f>YEAR(B3221)</x:f>
        <x:v>2018</x:v>
      </x:c>
      <x:c r="F3221" s="29" t="n">
        <x:f>MONTH(B3221)</x:f>
        <x:v>6</x:v>
      </x:c>
      <x:c r="G3221" s="30" t="n">
        <x:v>-31.16</x:v>
      </x:c>
      <x:c r="H3221" s="30" t="n">
        <x:v>-71.29</x:v>
      </x:c>
      <x:c r="I3221" s="29" t="n">
        <x:v>53</x:v>
      </x:c>
      <x:c r="J3221" s="31" t="n">
        <x:v>4.4</x:v>
      </x:c>
      <x:c r="K3221" s="25" t="str">
        <x:f>IF(J3221&gt;=7,"Muy fuerte (&gt;=7)",IF(J3221&gt;=6,"Fuerte (6-6.9)",IF(J3221&gt;=5,"Moderado alto (5-5.9)",IF(J3221&gt;=4,"Moderado (4-4.9)","Menor a 4"))))</x:f>
        <x:v>Moderado (4-4.9)</x:v>
      </x:c>
      <x:c r="L3221" s="25" t="str">
        <x:f>IF(I3221&lt;70,"Superficial (&lt;70 km)",IF(I3221&lt;=300,"Intermedio (70-300 km)","Profundo (&gt;300 km)"))</x:f>
        <x:v>Superficial (&lt;70 km)</x:v>
      </x:c>
      <x:c r="M3221" s="25" t="str">
        <x:f>IF(J3221&gt;=5,"Sí","No")</x:f>
        <x:v>No</x:v>
      </x:c>
      <x:c r="N3221" s="25" t="str">
        <x:f>IF(J3221&gt;=6,"Sí","No")</x:f>
        <x:v>No</x:v>
      </x:c>
      <x:c r="O3221" s="25" t="str">
        <x:v>Pendiente: asignar con R/sf</x:v>
      </x:c>
    </x:row>
    <x:row r="3222">
      <x:c r="A3222" s="25" t="n">
        <x:v>3221</x:v>
      </x:c>
      <x:c r="B3222" s="26" t="n">
        <x:v>43280.92885416667</x:v>
      </x:c>
      <x:c r="C3222" s="27" t="n">
        <x:f>INT(B3222)</x:f>
        <x:v>43280</x:v>
      </x:c>
      <x:c r="D3222" s="28" t="n">
        <x:f>MOD(B3222,1)</x:f>
        <x:v>0.9288541666683159</x:v>
      </x:c>
      <x:c r="E3222" s="29" t="n">
        <x:f>YEAR(B3222)</x:f>
        <x:v>2018</x:v>
      </x:c>
      <x:c r="F3222" s="29" t="n">
        <x:f>MONTH(B3222)</x:f>
        <x:v>6</x:v>
      </x:c>
      <x:c r="G3222" s="30" t="n">
        <x:v>-30.64</x:v>
      </x:c>
      <x:c r="H3222" s="30" t="n">
        <x:v>-71.25</x:v>
      </x:c>
      <x:c r="I3222" s="29" t="n">
        <x:v>49</x:v>
      </x:c>
      <x:c r="J3222" s="31" t="n">
        <x:v>4.4</x:v>
      </x:c>
      <x:c r="K3222" s="25" t="str">
        <x:f>IF(J3222&gt;=7,"Muy fuerte (&gt;=7)",IF(J3222&gt;=6,"Fuerte (6-6.9)",IF(J3222&gt;=5,"Moderado alto (5-5.9)",IF(J3222&gt;=4,"Moderado (4-4.9)","Menor a 4"))))</x:f>
        <x:v>Moderado (4-4.9)</x:v>
      </x:c>
      <x:c r="L3222" s="25" t="str">
        <x:f>IF(I3222&lt;70,"Superficial (&lt;70 km)",IF(I3222&lt;=300,"Intermedio (70-300 km)","Profundo (&gt;300 km)"))</x:f>
        <x:v>Superficial (&lt;70 km)</x:v>
      </x:c>
      <x:c r="M3222" s="25" t="str">
        <x:f>IF(J3222&gt;=5,"Sí","No")</x:f>
        <x:v>No</x:v>
      </x:c>
      <x:c r="N3222" s="25" t="str">
        <x:f>IF(J3222&gt;=6,"Sí","No")</x:f>
        <x:v>No</x:v>
      </x:c>
      <x:c r="O3222" s="25" t="str">
        <x:v>Pendiente: asignar con R/sf</x:v>
      </x:c>
    </x:row>
    <x:row r="3223">
      <x:c r="A3223" s="25" t="n">
        <x:v>3222</x:v>
      </x:c>
      <x:c r="B3223" s="26" t="n">
        <x:v>43313.26325231481</x:v>
      </x:c>
      <x:c r="C3223" s="27" t="n">
        <x:f>INT(B3223)</x:f>
        <x:v>43313</x:v>
      </x:c>
      <x:c r="D3223" s="28" t="n">
        <x:f>MOD(B3223,1)</x:f>
        <x:v>0.26325231481314404</x:v>
      </x:c>
      <x:c r="E3223" s="29" t="n">
        <x:f>YEAR(B3223)</x:f>
        <x:v>2018</x:v>
      </x:c>
      <x:c r="F3223" s="29" t="n">
        <x:f>MONTH(B3223)</x:f>
        <x:v>8</x:v>
      </x:c>
      <x:c r="G3223" s="30" t="n">
        <x:v>-31.37</x:v>
      </x:c>
      <x:c r="H3223" s="30" t="n">
        <x:v>-72.13</x:v>
      </x:c>
      <x:c r="I3223" s="29" t="n">
        <x:v>44</x:v>
      </x:c>
      <x:c r="J3223" s="31" t="n">
        <x:v>4.7</x:v>
      </x:c>
      <x:c r="K3223" s="25" t="str">
        <x:f>IF(J3223&gt;=7,"Muy fuerte (&gt;=7)",IF(J3223&gt;=6,"Fuerte (6-6.9)",IF(J3223&gt;=5,"Moderado alto (5-5.9)",IF(J3223&gt;=4,"Moderado (4-4.9)","Menor a 4"))))</x:f>
        <x:v>Moderado (4-4.9)</x:v>
      </x:c>
      <x:c r="L3223" s="25" t="str">
        <x:f>IF(I3223&lt;70,"Superficial (&lt;70 km)",IF(I3223&lt;=300,"Intermedio (70-300 km)","Profundo (&gt;300 km)"))</x:f>
        <x:v>Superficial (&lt;70 km)</x:v>
      </x:c>
      <x:c r="M3223" s="25" t="str">
        <x:f>IF(J3223&gt;=5,"Sí","No")</x:f>
        <x:v>No</x:v>
      </x:c>
      <x:c r="N3223" s="25" t="str">
        <x:f>IF(J3223&gt;=6,"Sí","No")</x:f>
        <x:v>No</x:v>
      </x:c>
      <x:c r="O3223" s="25" t="str">
        <x:v>Pendiente: asignar con R/sf</x:v>
      </x:c>
    </x:row>
    <x:row r="3224">
      <x:c r="A3224" s="25" t="n">
        <x:v>3223</x:v>
      </x:c>
      <x:c r="B3224" s="26" t="n">
        <x:v>43334.30731481482</x:v>
      </x:c>
      <x:c r="C3224" s="27" t="n">
        <x:f>INT(B3224)</x:f>
        <x:v>43334</x:v>
      </x:c>
      <x:c r="D3224" s="28" t="n">
        <x:f>MOD(B3224,1)</x:f>
        <x:v>0.30731481481780065</x:v>
      </x:c>
      <x:c r="E3224" s="29" t="n">
        <x:f>YEAR(B3224)</x:f>
        <x:v>2018</x:v>
      </x:c>
      <x:c r="F3224" s="29" t="n">
        <x:f>MONTH(B3224)</x:f>
        <x:v>8</x:v>
      </x:c>
      <x:c r="G3224" s="30" t="n">
        <x:v>-30.71</x:v>
      </x:c>
      <x:c r="H3224" s="30" t="n">
        <x:v>-71.39</x:v>
      </x:c>
      <x:c r="I3224" s="29" t="n">
        <x:v>49</x:v>
      </x:c>
      <x:c r="J3224" s="31" t="n">
        <x:v>4</x:v>
      </x:c>
      <x:c r="K3224" s="25" t="str">
        <x:f>IF(J3224&gt;=7,"Muy fuerte (&gt;=7)",IF(J3224&gt;=6,"Fuerte (6-6.9)",IF(J3224&gt;=5,"Moderado alto (5-5.9)",IF(J3224&gt;=4,"Moderado (4-4.9)","Menor a 4"))))</x:f>
        <x:v>Moderado (4-4.9)</x:v>
      </x:c>
      <x:c r="L3224" s="25" t="str">
        <x:f>IF(I3224&lt;70,"Superficial (&lt;70 km)",IF(I3224&lt;=300,"Intermedio (70-300 km)","Profundo (&gt;300 km)"))</x:f>
        <x:v>Superficial (&lt;70 km)</x:v>
      </x:c>
      <x:c r="M3224" s="25" t="str">
        <x:f>IF(J3224&gt;=5,"Sí","No")</x:f>
        <x:v>No</x:v>
      </x:c>
      <x:c r="N3224" s="25" t="str">
        <x:f>IF(J3224&gt;=6,"Sí","No")</x:f>
        <x:v>No</x:v>
      </x:c>
      <x:c r="O3224" s="25" t="str">
        <x:v>Pendiente: asignar con R/sf</x:v>
      </x:c>
    </x:row>
    <x:row r="3225">
      <x:c r="A3225" s="25" t="n">
        <x:v>3224</x:v>
      </x:c>
      <x:c r="B3225" s="26" t="n">
        <x:v>43339.386145833334</x:v>
      </x:c>
      <x:c r="C3225" s="27" t="n">
        <x:f>INT(B3225)</x:f>
        <x:v>43339</x:v>
      </x:c>
      <x:c r="D3225" s="28" t="n">
        <x:f>MOD(B3225,1)</x:f>
        <x:v>0.3861458333340124</x:v>
      </x:c>
      <x:c r="E3225" s="29" t="n">
        <x:f>YEAR(B3225)</x:f>
        <x:v>2018</x:v>
      </x:c>
      <x:c r="F3225" s="29" t="n">
        <x:f>MONTH(B3225)</x:f>
        <x:v>8</x:v>
      </x:c>
      <x:c r="G3225" s="30" t="n">
        <x:v>-29.73</x:v>
      </x:c>
      <x:c r="H3225" s="30" t="n">
        <x:v>-71.48</x:v>
      </x:c>
      <x:c r="I3225" s="29" t="n">
        <x:v>57</x:v>
      </x:c>
      <x:c r="J3225" s="31" t="n">
        <x:v>5.1</x:v>
      </x:c>
      <x:c r="K3225" s="25" t="str">
        <x:f>IF(J3225&gt;=7,"Muy fuerte (&gt;=7)",IF(J3225&gt;=6,"Fuerte (6-6.9)",IF(J3225&gt;=5,"Moderado alto (5-5.9)",IF(J3225&gt;=4,"Moderado (4-4.9)","Menor a 4"))))</x:f>
        <x:v>Moderado alto (5-5.9)</x:v>
      </x:c>
      <x:c r="L3225" s="25" t="str">
        <x:f>IF(I3225&lt;70,"Superficial (&lt;70 km)",IF(I3225&lt;=300,"Intermedio (70-300 km)","Profundo (&gt;300 km)"))</x:f>
        <x:v>Superficial (&lt;70 km)</x:v>
      </x:c>
      <x:c r="M3225" s="25" t="str">
        <x:f>IF(J3225&gt;=5,"Sí","No")</x:f>
        <x:v>Sí</x:v>
      </x:c>
      <x:c r="N3225" s="25" t="str">
        <x:f>IF(J3225&gt;=6,"Sí","No")</x:f>
        <x:v>No</x:v>
      </x:c>
      <x:c r="O3225" s="25" t="str">
        <x:v>Pendiente: asignar con R/sf</x:v>
      </x:c>
    </x:row>
    <x:row r="3226">
      <x:c r="A3226" s="25" t="n">
        <x:v>3225</x:v>
      </x:c>
      <x:c r="B3226" s="26" t="n">
        <x:v>43342.9053125</x:v>
      </x:c>
      <x:c r="C3226" s="27" t="n">
        <x:f>INT(B3226)</x:f>
        <x:v>43342</x:v>
      </x:c>
      <x:c r="D3226" s="28" t="n">
        <x:f>MOD(B3226,1)</x:f>
        <x:v>0.9053124999991269</x:v>
      </x:c>
      <x:c r="E3226" s="29" t="n">
        <x:f>YEAR(B3226)</x:f>
        <x:v>2018</x:v>
      </x:c>
      <x:c r="F3226" s="29" t="n">
        <x:f>MONTH(B3226)</x:f>
        <x:v>8</x:v>
      </x:c>
      <x:c r="G3226" s="30" t="n">
        <x:v>-32.4</x:v>
      </x:c>
      <x:c r="H3226" s="30" t="n">
        <x:v>-71.23</x:v>
      </x:c>
      <x:c r="I3226" s="29" t="n">
        <x:v>56</x:v>
      </x:c>
      <x:c r="J3226" s="31" t="n">
        <x:v>5</x:v>
      </x:c>
      <x:c r="K3226" s="25" t="str">
        <x:f>IF(J3226&gt;=7,"Muy fuerte (&gt;=7)",IF(J3226&gt;=6,"Fuerte (6-6.9)",IF(J3226&gt;=5,"Moderado alto (5-5.9)",IF(J3226&gt;=4,"Moderado (4-4.9)","Menor a 4"))))</x:f>
        <x:v>Moderado alto (5-5.9)</x:v>
      </x:c>
      <x:c r="L3226" s="25" t="str">
        <x:f>IF(I3226&lt;70,"Superficial (&lt;70 km)",IF(I3226&lt;=300,"Intermedio (70-300 km)","Profundo (&gt;300 km)"))</x:f>
        <x:v>Superficial (&lt;70 km)</x:v>
      </x:c>
      <x:c r="M3226" s="25" t="str">
        <x:f>IF(J3226&gt;=5,"Sí","No")</x:f>
        <x:v>Sí</x:v>
      </x:c>
      <x:c r="N3226" s="25" t="str">
        <x:f>IF(J3226&gt;=6,"Sí","No")</x:f>
        <x:v>No</x:v>
      </x:c>
      <x:c r="O3226" s="25" t="str">
        <x:v>Pendiente: asignar con R/sf</x:v>
      </x:c>
    </x:row>
    <x:row r="3227">
      <x:c r="A3227" s="25" t="n">
        <x:v>3226</x:v>
      </x:c>
      <x:c r="B3227" s="26" t="n">
        <x:v>43343.55902777778</x:v>
      </x:c>
      <x:c r="C3227" s="27" t="n">
        <x:f>INT(B3227)</x:f>
        <x:v>43343</x:v>
      </x:c>
      <x:c r="D3227" s="28" t="n">
        <x:f>MOD(B3227,1)</x:f>
        <x:v>0.5590277777810115</x:v>
      </x:c>
      <x:c r="E3227" s="29" t="n">
        <x:f>YEAR(B3227)</x:f>
        <x:v>2018</x:v>
      </x:c>
      <x:c r="F3227" s="29" t="n">
        <x:f>MONTH(B3227)</x:f>
        <x:v>8</x:v>
      </x:c>
      <x:c r="G3227" s="30" t="n">
        <x:v>-32.23</x:v>
      </x:c>
      <x:c r="H3227" s="30" t="n">
        <x:v>-70.49</x:v>
      </x:c>
      <x:c r="I3227" s="29" t="n">
        <x:v>106</x:v>
      </x:c>
      <x:c r="J3227" s="31" t="n">
        <x:v>5.2</x:v>
      </x:c>
      <x:c r="K3227" s="25" t="str">
        <x:f>IF(J3227&gt;=7,"Muy fuerte (&gt;=7)",IF(J3227&gt;=6,"Fuerte (6-6.9)",IF(J3227&gt;=5,"Moderado alto (5-5.9)",IF(J3227&gt;=4,"Moderado (4-4.9)","Menor a 4"))))</x:f>
        <x:v>Moderado alto (5-5.9)</x:v>
      </x:c>
      <x:c r="L3227" s="25" t="str">
        <x:f>IF(I3227&lt;70,"Superficial (&lt;70 km)",IF(I3227&lt;=300,"Intermedio (70-300 km)","Profundo (&gt;300 km)"))</x:f>
        <x:v>Intermedio (70-300 km)</x:v>
      </x:c>
      <x:c r="M3227" s="25" t="str">
        <x:f>IF(J3227&gt;=5,"Sí","No")</x:f>
        <x:v>Sí</x:v>
      </x:c>
      <x:c r="N3227" s="25" t="str">
        <x:f>IF(J3227&gt;=6,"Sí","No")</x:f>
        <x:v>No</x:v>
      </x:c>
      <x:c r="O3227" s="25" t="str">
        <x:v>Pendiente: asignar con R/sf</x:v>
      </x:c>
    </x:row>
    <x:row r="3228">
      <x:c r="A3228" s="25" t="n">
        <x:v>3227</x:v>
      </x:c>
      <x:c r="B3228" s="26" t="n">
        <x:v>43350.110613425924</x:v>
      </x:c>
      <x:c r="C3228" s="27" t="n">
        <x:f>INT(B3228)</x:f>
        <x:v>43350</x:v>
      </x:c>
      <x:c r="D3228" s="28" t="n">
        <x:f>MOD(B3228,1)</x:f>
        <x:v>0.1106134259243845</x:v>
      </x:c>
      <x:c r="E3228" s="29" t="n">
        <x:f>YEAR(B3228)</x:f>
        <x:v>2018</x:v>
      </x:c>
      <x:c r="F3228" s="29" t="n">
        <x:f>MONTH(B3228)</x:f>
        <x:v>9</x:v>
      </x:c>
      <x:c r="G3228" s="30" t="n">
        <x:v>-28.91</x:v>
      </x:c>
      <x:c r="H3228" s="30" t="n">
        <x:v>-70.17</x:v>
      </x:c>
      <x:c r="I3228" s="29" t="n">
        <x:v>97</x:v>
      </x:c>
      <x:c r="J3228" s="31" t="n">
        <x:v>6.1</x:v>
      </x:c>
      <x:c r="K3228" s="25" t="str">
        <x:f>IF(J3228&gt;=7,"Muy fuerte (&gt;=7)",IF(J3228&gt;=6,"Fuerte (6-6.9)",IF(J3228&gt;=5,"Moderado alto (5-5.9)",IF(J3228&gt;=4,"Moderado (4-4.9)","Menor a 4"))))</x:f>
        <x:v>Fuerte (6-6.9)</x:v>
      </x:c>
      <x:c r="L3228" s="25" t="str">
        <x:f>IF(I3228&lt;70,"Superficial (&lt;70 km)",IF(I3228&lt;=300,"Intermedio (70-300 km)","Profundo (&gt;300 km)"))</x:f>
        <x:v>Intermedio (70-300 km)</x:v>
      </x:c>
      <x:c r="M3228" s="25" t="str">
        <x:f>IF(J3228&gt;=5,"Sí","No")</x:f>
        <x:v>Sí</x:v>
      </x:c>
      <x:c r="N3228" s="25" t="str">
        <x:f>IF(J3228&gt;=6,"Sí","No")</x:f>
        <x:v>Sí</x:v>
      </x:c>
      <x:c r="O3228" s="25" t="str">
        <x:v>Pendiente: asignar con R/sf</x:v>
      </x:c>
    </x:row>
    <x:row r="3229">
      <x:c r="A3229" s="25" t="n">
        <x:v>3228</x:v>
      </x:c>
      <x:c r="B3229" s="26" t="n">
        <x:v>43350.9672337963</x:v>
      </x:c>
      <x:c r="C3229" s="27" t="n">
        <x:f>INT(B3229)</x:f>
        <x:v>43350</x:v>
      </x:c>
      <x:c r="D3229" s="28" t="n">
        <x:f>MOD(B3229,1)</x:f>
        <x:v>0.9672337962983875</x:v>
      </x:c>
      <x:c r="E3229" s="29" t="n">
        <x:f>YEAR(B3229)</x:f>
        <x:v>2018</x:v>
      </x:c>
      <x:c r="F3229" s="29" t="n">
        <x:f>MONTH(B3229)</x:f>
        <x:v>9</x:v>
      </x:c>
      <x:c r="G3229" s="30" t="n">
        <x:v>-30.43</x:v>
      </x:c>
      <x:c r="H3229" s="30" t="n">
        <x:v>-70</x:v>
      </x:c>
      <x:c r="I3229" s="29" t="n">
        <x:v>115</x:v>
      </x:c>
      <x:c r="J3229" s="31" t="n">
        <x:v>4.9</x:v>
      </x:c>
      <x:c r="K3229" s="25" t="str">
        <x:f>IF(J3229&gt;=7,"Muy fuerte (&gt;=7)",IF(J3229&gt;=6,"Fuerte (6-6.9)",IF(J3229&gt;=5,"Moderado alto (5-5.9)",IF(J3229&gt;=4,"Moderado (4-4.9)","Menor a 4"))))</x:f>
        <x:v>Moderado (4-4.9)</x:v>
      </x:c>
      <x:c r="L3229" s="25" t="str">
        <x:f>IF(I3229&lt;70,"Superficial (&lt;70 km)",IF(I3229&lt;=300,"Intermedio (70-300 km)","Profundo (&gt;300 km)"))</x:f>
        <x:v>Intermedio (70-300 km)</x:v>
      </x:c>
      <x:c r="M3229" s="25" t="str">
        <x:f>IF(J3229&gt;=5,"Sí","No")</x:f>
        <x:v>No</x:v>
      </x:c>
      <x:c r="N3229" s="25" t="str">
        <x:f>IF(J3229&gt;=6,"Sí","No")</x:f>
        <x:v>No</x:v>
      </x:c>
      <x:c r="O3229" s="25" t="str">
        <x:v>Pendiente: asignar con R/sf</x:v>
      </x:c>
    </x:row>
    <x:row r="3230">
      <x:c r="A3230" s="25" t="n">
        <x:v>3229</x:v>
      </x:c>
      <x:c r="B3230" s="26" t="n">
        <x:v>43361.99317129629</x:v>
      </x:c>
      <x:c r="C3230" s="27" t="n">
        <x:f>INT(B3230)</x:f>
        <x:v>43361</x:v>
      </x:c>
      <x:c r="D3230" s="28" t="n">
        <x:f>MOD(B3230,1)</x:f>
        <x:v>0.9931712962934398</x:v>
      </x:c>
      <x:c r="E3230" s="29" t="n">
        <x:f>YEAR(B3230)</x:f>
        <x:v>2018</x:v>
      </x:c>
      <x:c r="F3230" s="29" t="n">
        <x:f>MONTH(B3230)</x:f>
        <x:v>9</x:v>
      </x:c>
      <x:c r="G3230" s="30" t="n">
        <x:v>-30.85</x:v>
      </x:c>
      <x:c r="H3230" s="30" t="n">
        <x:v>-71.33</x:v>
      </x:c>
      <x:c r="I3230" s="29" t="n">
        <x:v>42</x:v>
      </x:c>
      <x:c r="J3230" s="31" t="n">
        <x:v>4.1</x:v>
      </x:c>
      <x:c r="K3230" s="25" t="str">
        <x:f>IF(J3230&gt;=7,"Muy fuerte (&gt;=7)",IF(J3230&gt;=6,"Fuerte (6-6.9)",IF(J3230&gt;=5,"Moderado alto (5-5.9)",IF(J3230&gt;=4,"Moderado (4-4.9)","Menor a 4"))))</x:f>
        <x:v>Moderado (4-4.9)</x:v>
      </x:c>
      <x:c r="L3230" s="25" t="str">
        <x:f>IF(I3230&lt;70,"Superficial (&lt;70 km)",IF(I3230&lt;=300,"Intermedio (70-300 km)","Profundo (&gt;300 km)"))</x:f>
        <x:v>Superficial (&lt;70 km)</x:v>
      </x:c>
      <x:c r="M3230" s="25" t="str">
        <x:f>IF(J3230&gt;=5,"Sí","No")</x:f>
        <x:v>No</x:v>
      </x:c>
      <x:c r="N3230" s="25" t="str">
        <x:f>IF(J3230&gt;=6,"Sí","No")</x:f>
        <x:v>No</x:v>
      </x:c>
      <x:c r="O3230" s="25" t="str">
        <x:v>Pendiente: asignar con R/sf</x:v>
      </x:c>
    </x:row>
    <x:row r="3231">
      <x:c r="A3231" s="25" t="n">
        <x:v>3230</x:v>
      </x:c>
      <x:c r="B3231" s="26" t="n">
        <x:v>43425.48818287037</x:v>
      </x:c>
      <x:c r="C3231" s="27" t="n">
        <x:f>INT(B3231)</x:f>
        <x:v>43425</x:v>
      </x:c>
      <x:c r="D3231" s="28" t="n">
        <x:f>MOD(B3231,1)</x:f>
        <x:v>0.4881828703728388</x:v>
      </x:c>
      <x:c r="E3231" s="29" t="n">
        <x:f>YEAR(B3231)</x:f>
        <x:v>2018</x:v>
      </x:c>
      <x:c r="F3231" s="29" t="n">
        <x:f>MONTH(B3231)</x:f>
        <x:v>11</x:v>
      </x:c>
      <x:c r="G3231" s="30" t="n">
        <x:v>-31.6</x:v>
      </x:c>
      <x:c r="H3231" s="30" t="n">
        <x:v>-71.44</x:v>
      </x:c>
      <x:c r="I3231" s="29" t="n">
        <x:v>47</x:v>
      </x:c>
      <x:c r="J3231" s="31" t="n">
        <x:v>4.9</x:v>
      </x:c>
      <x:c r="K3231" s="25" t="str">
        <x:f>IF(J3231&gt;=7,"Muy fuerte (&gt;=7)",IF(J3231&gt;=6,"Fuerte (6-6.9)",IF(J3231&gt;=5,"Moderado alto (5-5.9)",IF(J3231&gt;=4,"Moderado (4-4.9)","Menor a 4"))))</x:f>
        <x:v>Moderado (4-4.9)</x:v>
      </x:c>
      <x:c r="L3231" s="25" t="str">
        <x:f>IF(I3231&lt;70,"Superficial (&lt;70 km)",IF(I3231&lt;=300,"Intermedio (70-300 km)","Profundo (&gt;300 km)"))</x:f>
        <x:v>Superficial (&lt;70 km)</x:v>
      </x:c>
      <x:c r="M3231" s="25" t="str">
        <x:f>IF(J3231&gt;=5,"Sí","No")</x:f>
        <x:v>No</x:v>
      </x:c>
      <x:c r="N3231" s="25" t="str">
        <x:f>IF(J3231&gt;=6,"Sí","No")</x:f>
        <x:v>No</x:v>
      </x:c>
      <x:c r="O3231" s="25" t="str">
        <x:v>Pendiente: asignar con R/sf</x:v>
      </x:c>
    </x:row>
    <x:row r="3232">
      <x:c r="A3232" s="25" t="n">
        <x:v>3231</x:v>
      </x:c>
      <x:c r="B3232" s="26" t="n">
        <x:v>43439.716828703706</x:v>
      </x:c>
      <x:c r="C3232" s="27" t="n">
        <x:f>INT(B3232)</x:f>
        <x:v>43439</x:v>
      </x:c>
      <x:c r="D3232" s="28" t="n">
        <x:f>MOD(B3232,1)</x:f>
        <x:v>0.7168287037056871</x:v>
      </x:c>
      <x:c r="E3232" s="29" t="n">
        <x:f>YEAR(B3232)</x:f>
        <x:v>2018</x:v>
      </x:c>
      <x:c r="F3232" s="29" t="n">
        <x:f>MONTH(B3232)</x:f>
        <x:v>12</x:v>
      </x:c>
      <x:c r="G3232" s="30" t="n">
        <x:v>-33.69</x:v>
      </x:c>
      <x:c r="H3232" s="30" t="n">
        <x:v>-71.5</x:v>
      </x:c>
      <x:c r="I3232" s="29" t="n">
        <x:v>40</x:v>
      </x:c>
      <x:c r="J3232" s="31" t="n">
        <x:v>5.3</x:v>
      </x:c>
      <x:c r="K3232" s="25" t="str">
        <x:f>IF(J3232&gt;=7,"Muy fuerte (&gt;=7)",IF(J3232&gt;=6,"Fuerte (6-6.9)",IF(J3232&gt;=5,"Moderado alto (5-5.9)",IF(J3232&gt;=4,"Moderado (4-4.9)","Menor a 4"))))</x:f>
        <x:v>Moderado alto (5-5.9)</x:v>
      </x:c>
      <x:c r="L3232" s="25" t="str">
        <x:f>IF(I3232&lt;70,"Superficial (&lt;70 km)",IF(I3232&lt;=300,"Intermedio (70-300 km)","Profundo (&gt;300 km)"))</x:f>
        <x:v>Superficial (&lt;70 km)</x:v>
      </x:c>
      <x:c r="M3232" s="25" t="str">
        <x:f>IF(J3232&gt;=5,"Sí","No")</x:f>
        <x:v>Sí</x:v>
      </x:c>
      <x:c r="N3232" s="25" t="str">
        <x:f>IF(J3232&gt;=6,"Sí","No")</x:f>
        <x:v>No</x:v>
      </x:c>
      <x:c r="O3232" s="25" t="str">
        <x:v>Pendiente: asignar con R/sf</x:v>
      </x:c>
    </x:row>
    <x:row r="3233">
      <x:c r="A3233" s="25" t="n">
        <x:v>3232</x:v>
      </x:c>
      <x:c r="B3233" s="26" t="n">
        <x:v>43465.45116898148</x:v>
      </x:c>
      <x:c r="C3233" s="27" t="n">
        <x:f>INT(B3233)</x:f>
        <x:v>43465</x:v>
      </x:c>
      <x:c r="D3233" s="28" t="n">
        <x:f>MOD(B3233,1)</x:f>
        <x:v>0.4511689814826241</x:v>
      </x:c>
      <x:c r="E3233" s="29" t="n">
        <x:f>YEAR(B3233)</x:f>
        <x:v>2018</x:v>
      </x:c>
      <x:c r="F3233" s="29" t="n">
        <x:f>MONTH(B3233)</x:f>
        <x:v>12</x:v>
      </x:c>
      <x:c r="G3233" s="30" t="n">
        <x:v>-31.82</x:v>
      </x:c>
      <x:c r="H3233" s="30" t="n">
        <x:v>-69.8</x:v>
      </x:c>
      <x:c r="I3233" s="29" t="n">
        <x:v>151</x:v>
      </x:c>
      <x:c r="J3233" s="31" t="n">
        <x:v>5.6</x:v>
      </x:c>
      <x:c r="K3233" s="25" t="str">
        <x:f>IF(J3233&gt;=7,"Muy fuerte (&gt;=7)",IF(J3233&gt;=6,"Fuerte (6-6.9)",IF(J3233&gt;=5,"Moderado alto (5-5.9)",IF(J3233&gt;=4,"Moderado (4-4.9)","Menor a 4"))))</x:f>
        <x:v>Moderado alto (5-5.9)</x:v>
      </x:c>
      <x:c r="L3233" s="25" t="str">
        <x:f>IF(I3233&lt;70,"Superficial (&lt;70 km)",IF(I3233&lt;=300,"Intermedio (70-300 km)","Profundo (&gt;300 km)"))</x:f>
        <x:v>Intermedio (70-300 km)</x:v>
      </x:c>
      <x:c r="M3233" s="25" t="str">
        <x:f>IF(J3233&gt;=5,"Sí","No")</x:f>
        <x:v>Sí</x:v>
      </x:c>
      <x:c r="N3233" s="25" t="str">
        <x:f>IF(J3233&gt;=6,"Sí","No")</x:f>
        <x:v>No</x:v>
      </x:c>
      <x:c r="O3233" s="25" t="str">
        <x:v>Pendiente: asignar con R/sf</x:v>
      </x:c>
    </x:row>
    <x:row r="3234">
      <x:c r="A3234" s="25" t="n">
        <x:v>3233</x:v>
      </x:c>
      <x:c r="B3234" s="26" t="n">
        <x:v>43126.537939814814</x:v>
      </x:c>
      <x:c r="C3234" s="27" t="n">
        <x:f>INT(B3234)</x:f>
        <x:v>43126</x:v>
      </x:c>
      <x:c r="D3234" s="28" t="n">
        <x:f>MOD(B3234,1)</x:f>
        <x:v>0.5379398148143082</x:v>
      </x:c>
      <x:c r="E3234" s="29" t="n">
        <x:f>YEAR(B3234)</x:f>
        <x:v>2018</x:v>
      </x:c>
      <x:c r="F3234" s="29" t="n">
        <x:f>MONTH(B3234)</x:f>
        <x:v>1</x:v>
      </x:c>
      <x:c r="G3234" s="30" t="n">
        <x:v>-30.99</x:v>
      </x:c>
      <x:c r="H3234" s="30" t="n">
        <x:v>-71.32</x:v>
      </x:c>
      <x:c r="I3234" s="29" t="n">
        <x:v>55</x:v>
      </x:c>
      <x:c r="J3234" s="31" t="n">
        <x:v>4.1</x:v>
      </x:c>
      <x:c r="K3234" s="25" t="str">
        <x:f>IF(J3234&gt;=7,"Muy fuerte (&gt;=7)",IF(J3234&gt;=6,"Fuerte (6-6.9)",IF(J3234&gt;=5,"Moderado alto (5-5.9)",IF(J3234&gt;=4,"Moderado (4-4.9)","Menor a 4"))))</x:f>
        <x:v>Moderado (4-4.9)</x:v>
      </x:c>
      <x:c r="L3234" s="25" t="str">
        <x:f>IF(I3234&lt;70,"Superficial (&lt;70 km)",IF(I3234&lt;=300,"Intermedio (70-300 km)","Profundo (&gt;300 km)"))</x:f>
        <x:v>Superficial (&lt;70 km)</x:v>
      </x:c>
      <x:c r="M3234" s="25" t="str">
        <x:f>IF(J3234&gt;=5,"Sí","No")</x:f>
        <x:v>No</x:v>
      </x:c>
      <x:c r="N3234" s="25" t="str">
        <x:f>IF(J3234&gt;=6,"Sí","No")</x:f>
        <x:v>No</x:v>
      </x:c>
      <x:c r="O3234" s="25" t="str">
        <x:v>Pendiente: asignar con R/sf</x:v>
      </x:c>
    </x:row>
    <x:row r="3235">
      <x:c r="A3235" s="25" t="n">
        <x:v>3234</x:v>
      </x:c>
      <x:c r="B3235" s="26" t="n">
        <x:v>43133.70233796296</x:v>
      </x:c>
      <x:c r="C3235" s="27" t="n">
        <x:f>INT(B3235)</x:f>
        <x:v>43133</x:v>
      </x:c>
      <x:c r="D3235" s="28" t="n">
        <x:f>MOD(B3235,1)</x:f>
        <x:v>0.7023379629608826</x:v>
      </x:c>
      <x:c r="E3235" s="29" t="n">
        <x:f>YEAR(B3235)</x:f>
        <x:v>2018</x:v>
      </x:c>
      <x:c r="F3235" s="29" t="n">
        <x:f>MONTH(B3235)</x:f>
        <x:v>2</x:v>
      </x:c>
      <x:c r="G3235" s="30" t="n">
        <x:v>-30.03</x:v>
      </x:c>
      <x:c r="H3235" s="30" t="n">
        <x:v>-71.66</x:v>
      </x:c>
      <x:c r="I3235" s="29" t="n">
        <x:v>26</x:v>
      </x:c>
      <x:c r="J3235" s="31" t="n">
        <x:v>4</x:v>
      </x:c>
      <x:c r="K3235" s="25" t="str">
        <x:f>IF(J3235&gt;=7,"Muy fuerte (&gt;=7)",IF(J3235&gt;=6,"Fuerte (6-6.9)",IF(J3235&gt;=5,"Moderado alto (5-5.9)",IF(J3235&gt;=4,"Moderado (4-4.9)","Menor a 4"))))</x:f>
        <x:v>Moderado (4-4.9)</x:v>
      </x:c>
      <x:c r="L3235" s="25" t="str">
        <x:f>IF(I3235&lt;70,"Superficial (&lt;70 km)",IF(I3235&lt;=300,"Intermedio (70-300 km)","Profundo (&gt;300 km)"))</x:f>
        <x:v>Superficial (&lt;70 km)</x:v>
      </x:c>
      <x:c r="M3235" s="25" t="str">
        <x:f>IF(J3235&gt;=5,"Sí","No")</x:f>
        <x:v>No</x:v>
      </x:c>
      <x:c r="N3235" s="25" t="str">
        <x:f>IF(J3235&gt;=6,"Sí","No")</x:f>
        <x:v>No</x:v>
      </x:c>
      <x:c r="O3235" s="25" t="str">
        <x:v>Pendiente: asignar con R/sf</x:v>
      </x:c>
    </x:row>
    <x:row r="3236">
      <x:c r="A3236" s="25" t="n">
        <x:v>3235</x:v>
      </x:c>
      <x:c r="B3236" s="26" t="n">
        <x:v>43149.35293981482</x:v>
      </x:c>
      <x:c r="C3236" s="27" t="n">
        <x:f>INT(B3236)</x:f>
        <x:v>43149</x:v>
      </x:c>
      <x:c r="D3236" s="28" t="n">
        <x:f>MOD(B3236,1)</x:f>
        <x:v>0.3529398148166365</x:v>
      </x:c>
      <x:c r="E3236" s="29" t="n">
        <x:f>YEAR(B3236)</x:f>
        <x:v>2018</x:v>
      </x:c>
      <x:c r="F3236" s="29" t="n">
        <x:f>MONTH(B3236)</x:f>
        <x:v>2</x:v>
      </x:c>
      <x:c r="G3236" s="30" t="n">
        <x:v>-31.44</x:v>
      </x:c>
      <x:c r="H3236" s="30" t="n">
        <x:v>-68.84</x:v>
      </x:c>
      <x:c r="I3236" s="29" t="n">
        <x:v>100</x:v>
      </x:c>
      <x:c r="J3236" s="31" t="n">
        <x:v>4.2</x:v>
      </x:c>
      <x:c r="K3236" s="25" t="str">
        <x:f>IF(J3236&gt;=7,"Muy fuerte (&gt;=7)",IF(J3236&gt;=6,"Fuerte (6-6.9)",IF(J3236&gt;=5,"Moderado alto (5-5.9)",IF(J3236&gt;=4,"Moderado (4-4.9)","Menor a 4"))))</x:f>
        <x:v>Moderado (4-4.9)</x:v>
      </x:c>
      <x:c r="L3236" s="25" t="str">
        <x:f>IF(I3236&lt;70,"Superficial (&lt;70 km)",IF(I3236&lt;=300,"Intermedio (70-300 km)","Profundo (&gt;300 km)"))</x:f>
        <x:v>Intermedio (70-300 km)</x:v>
      </x:c>
      <x:c r="M3236" s="25" t="str">
        <x:f>IF(J3236&gt;=5,"Sí","No")</x:f>
        <x:v>No</x:v>
      </x:c>
      <x:c r="N3236" s="25" t="str">
        <x:f>IF(J3236&gt;=6,"Sí","No")</x:f>
        <x:v>No</x:v>
      </x:c>
      <x:c r="O3236" s="25" t="str">
        <x:v>Pendiente: asignar con R/sf</x:v>
      </x:c>
    </x:row>
    <x:row r="3237">
      <x:c r="A3237" s="25" t="n">
        <x:v>3236</x:v>
      </x:c>
      <x:c r="B3237" s="26" t="n">
        <x:v>43150.0146875</x:v>
      </x:c>
      <x:c r="C3237" s="27" t="n">
        <x:f>INT(B3237)</x:f>
        <x:v>43150</x:v>
      </x:c>
      <x:c r="D3237" s="28" t="n">
        <x:f>MOD(B3237,1)</x:f>
        <x:v>0.014687499999126885</x:v>
      </x:c>
      <x:c r="E3237" s="29" t="n">
        <x:f>YEAR(B3237)</x:f>
        <x:v>2018</x:v>
      </x:c>
      <x:c r="F3237" s="29" t="n">
        <x:f>MONTH(B3237)</x:f>
        <x:v>2</x:v>
      </x:c>
      <x:c r="G3237" s="30" t="n">
        <x:v>-31.58</x:v>
      </x:c>
      <x:c r="H3237" s="30" t="n">
        <x:v>-71.87</x:v>
      </x:c>
      <x:c r="I3237" s="29" t="n">
        <x:v>32</x:v>
      </x:c>
      <x:c r="J3237" s="31" t="n">
        <x:v>4.4</x:v>
      </x:c>
      <x:c r="K3237" s="25" t="str">
        <x:f>IF(J3237&gt;=7,"Muy fuerte (&gt;=7)",IF(J3237&gt;=6,"Fuerte (6-6.9)",IF(J3237&gt;=5,"Moderado alto (5-5.9)",IF(J3237&gt;=4,"Moderado (4-4.9)","Menor a 4"))))</x:f>
        <x:v>Moderado (4-4.9)</x:v>
      </x:c>
      <x:c r="L3237" s="25" t="str">
        <x:f>IF(I3237&lt;70,"Superficial (&lt;70 km)",IF(I3237&lt;=300,"Intermedio (70-300 km)","Profundo (&gt;300 km)"))</x:f>
        <x:v>Superficial (&lt;70 km)</x:v>
      </x:c>
      <x:c r="M3237" s="25" t="str">
        <x:f>IF(J3237&gt;=5,"Sí","No")</x:f>
        <x:v>No</x:v>
      </x:c>
      <x:c r="N3237" s="25" t="str">
        <x:f>IF(J3237&gt;=6,"Sí","No")</x:f>
        <x:v>No</x:v>
      </x:c>
      <x:c r="O3237" s="25" t="str">
        <x:v>Pendiente: asignar con R/sf</x:v>
      </x:c>
    </x:row>
    <x:row r="3238">
      <x:c r="A3238" s="25" t="n">
        <x:v>3237</x:v>
      </x:c>
      <x:c r="B3238" s="26" t="n">
        <x:v>43150.97976851852</x:v>
      </x:c>
      <x:c r="C3238" s="27" t="n">
        <x:f>INT(B3238)</x:f>
        <x:v>43150</x:v>
      </x:c>
      <x:c r="D3238" s="28" t="n">
        <x:f>MOD(B3238,1)</x:f>
        <x:v>0.9797685185185401</x:v>
      </x:c>
      <x:c r="E3238" s="29" t="n">
        <x:f>YEAR(B3238)</x:f>
        <x:v>2018</x:v>
      </x:c>
      <x:c r="F3238" s="29" t="n">
        <x:f>MONTH(B3238)</x:f>
        <x:v>2</x:v>
      </x:c>
      <x:c r="G3238" s="30" t="n">
        <x:v>-30.29</x:v>
      </x:c>
      <x:c r="H3238" s="30" t="n">
        <x:v>-71.51</x:v>
      </x:c>
      <x:c r="I3238" s="29" t="n">
        <x:v>51</x:v>
      </x:c>
      <x:c r="J3238" s="31" t="n">
        <x:v>4.2</x:v>
      </x:c>
      <x:c r="K3238" s="25" t="str">
        <x:f>IF(J3238&gt;=7,"Muy fuerte (&gt;=7)",IF(J3238&gt;=6,"Fuerte (6-6.9)",IF(J3238&gt;=5,"Moderado alto (5-5.9)",IF(J3238&gt;=4,"Moderado (4-4.9)","Menor a 4"))))</x:f>
        <x:v>Moderado (4-4.9)</x:v>
      </x:c>
      <x:c r="L3238" s="25" t="str">
        <x:f>IF(I3238&lt;70,"Superficial (&lt;70 km)",IF(I3238&lt;=300,"Intermedio (70-300 km)","Profundo (&gt;300 km)"))</x:f>
        <x:v>Superficial (&lt;70 km)</x:v>
      </x:c>
      <x:c r="M3238" s="25" t="str">
        <x:f>IF(J3238&gt;=5,"Sí","No")</x:f>
        <x:v>No</x:v>
      </x:c>
      <x:c r="N3238" s="25" t="str">
        <x:f>IF(J3238&gt;=6,"Sí","No")</x:f>
        <x:v>No</x:v>
      </x:c>
      <x:c r="O3238" s="25" t="str">
        <x:v>Pendiente: asignar con R/sf</x:v>
      </x:c>
    </x:row>
    <x:row r="3239">
      <x:c r="A3239" s="25" t="n">
        <x:v>3238</x:v>
      </x:c>
      <x:c r="B3239" s="26" t="n">
        <x:v>43151.11746527778</x:v>
      </x:c>
      <x:c r="C3239" s="27" t="n">
        <x:f>INT(B3239)</x:f>
        <x:v>43151</x:v>
      </x:c>
      <x:c r="D3239" s="28" t="n">
        <x:f>MOD(B3239,1)</x:f>
        <x:v>0.11746527777722804</x:v>
      </x:c>
      <x:c r="E3239" s="29" t="n">
        <x:f>YEAR(B3239)</x:f>
        <x:v>2018</x:v>
      </x:c>
      <x:c r="F3239" s="29" t="n">
        <x:f>MONTH(B3239)</x:f>
        <x:v>2</x:v>
      </x:c>
      <x:c r="G3239" s="30" t="n">
        <x:v>-31.61</x:v>
      </x:c>
      <x:c r="H3239" s="30" t="n">
        <x:v>-71.9</x:v>
      </x:c>
      <x:c r="I3239" s="29" t="n">
        <x:v>31</x:v>
      </x:c>
      <x:c r="J3239" s="31" t="n">
        <x:v>4.4</x:v>
      </x:c>
      <x:c r="K3239" s="25" t="str">
        <x:f>IF(J3239&gt;=7,"Muy fuerte (&gt;=7)",IF(J3239&gt;=6,"Fuerte (6-6.9)",IF(J3239&gt;=5,"Moderado alto (5-5.9)",IF(J3239&gt;=4,"Moderado (4-4.9)","Menor a 4"))))</x:f>
        <x:v>Moderado (4-4.9)</x:v>
      </x:c>
      <x:c r="L3239" s="25" t="str">
        <x:f>IF(I3239&lt;70,"Superficial (&lt;70 km)",IF(I3239&lt;=300,"Intermedio (70-300 km)","Profundo (&gt;300 km)"))</x:f>
        <x:v>Superficial (&lt;70 km)</x:v>
      </x:c>
      <x:c r="M3239" s="25" t="str">
        <x:f>IF(J3239&gt;=5,"Sí","No")</x:f>
        <x:v>No</x:v>
      </x:c>
      <x:c r="N3239" s="25" t="str">
        <x:f>IF(J3239&gt;=6,"Sí","No")</x:f>
        <x:v>No</x:v>
      </x:c>
      <x:c r="O3239" s="25" t="str">
        <x:v>Pendiente: asignar con R/sf</x:v>
      </x:c>
    </x:row>
    <x:row r="3240">
      <x:c r="A3240" s="25" t="n">
        <x:v>3239</x:v>
      </x:c>
      <x:c r="B3240" s="26" t="n">
        <x:v>43154.39763888889</x:v>
      </x:c>
      <x:c r="C3240" s="27" t="n">
        <x:f>INT(B3240)</x:f>
        <x:v>43154</x:v>
      </x:c>
      <x:c r="D3240" s="28" t="n">
        <x:f>MOD(B3240,1)</x:f>
        <x:v>0.3976388888913789</x:v>
      </x:c>
      <x:c r="E3240" s="29" t="n">
        <x:f>YEAR(B3240)</x:f>
        <x:v>2018</x:v>
      </x:c>
      <x:c r="F3240" s="29" t="n">
        <x:f>MONTH(B3240)</x:f>
        <x:v>2</x:v>
      </x:c>
      <x:c r="G3240" s="30" t="n">
        <x:v>-33.08</x:v>
      </x:c>
      <x:c r="H3240" s="30" t="n">
        <x:v>-72.09</x:v>
      </x:c>
      <x:c r="I3240" s="29" t="n">
        <x:v>32</x:v>
      </x:c>
      <x:c r="J3240" s="31" t="n">
        <x:v>4</x:v>
      </x:c>
      <x:c r="K3240" s="25" t="str">
        <x:f>IF(J3240&gt;=7,"Muy fuerte (&gt;=7)",IF(J3240&gt;=6,"Fuerte (6-6.9)",IF(J3240&gt;=5,"Moderado alto (5-5.9)",IF(J3240&gt;=4,"Moderado (4-4.9)","Menor a 4"))))</x:f>
        <x:v>Moderado (4-4.9)</x:v>
      </x:c>
      <x:c r="L3240" s="25" t="str">
        <x:f>IF(I3240&lt;70,"Superficial (&lt;70 km)",IF(I3240&lt;=300,"Intermedio (70-300 km)","Profundo (&gt;300 km)"))</x:f>
        <x:v>Superficial (&lt;70 km)</x:v>
      </x:c>
      <x:c r="M3240" s="25" t="str">
        <x:f>IF(J3240&gt;=5,"Sí","No")</x:f>
        <x:v>No</x:v>
      </x:c>
      <x:c r="N3240" s="25" t="str">
        <x:f>IF(J3240&gt;=6,"Sí","No")</x:f>
        <x:v>No</x:v>
      </x:c>
      <x:c r="O3240" s="25" t="str">
        <x:v>Pendiente: asignar con R/sf</x:v>
      </x:c>
    </x:row>
    <x:row r="3241">
      <x:c r="A3241" s="25" t="n">
        <x:v>3240</x:v>
      </x:c>
      <x:c r="B3241" s="26" t="n">
        <x:v>43154.78428240741</x:v>
      </x:c>
      <x:c r="C3241" s="27" t="n">
        <x:f>INT(B3241)</x:f>
        <x:v>43154</x:v>
      </x:c>
      <x:c r="D3241" s="28" t="n">
        <x:f>MOD(B3241,1)</x:f>
        <x:v>0.784282407410501</x:v>
      </x:c>
      <x:c r="E3241" s="29" t="n">
        <x:f>YEAR(B3241)</x:f>
        <x:v>2018</x:v>
      </x:c>
      <x:c r="F3241" s="29" t="n">
        <x:f>MONTH(B3241)</x:f>
        <x:v>2</x:v>
      </x:c>
      <x:c r="G3241" s="30" t="n">
        <x:v>-34.52</x:v>
      </x:c>
      <x:c r="H3241" s="30" t="n">
        <x:v>-72.24</x:v>
      </x:c>
      <x:c r="I3241" s="29" t="n">
        <x:v>28</x:v>
      </x:c>
      <x:c r="J3241" s="31" t="n">
        <x:v>4.6</x:v>
      </x:c>
      <x:c r="K3241" s="25" t="str">
        <x:f>IF(J3241&gt;=7,"Muy fuerte (&gt;=7)",IF(J3241&gt;=6,"Fuerte (6-6.9)",IF(J3241&gt;=5,"Moderado alto (5-5.9)",IF(J3241&gt;=4,"Moderado (4-4.9)","Menor a 4"))))</x:f>
        <x:v>Moderado (4-4.9)</x:v>
      </x:c>
      <x:c r="L3241" s="25" t="str">
        <x:f>IF(I3241&lt;70,"Superficial (&lt;70 km)",IF(I3241&lt;=300,"Intermedio (70-300 km)","Profundo (&gt;300 km)"))</x:f>
        <x:v>Superficial (&lt;70 km)</x:v>
      </x:c>
      <x:c r="M3241" s="25" t="str">
        <x:f>IF(J3241&gt;=5,"Sí","No")</x:f>
        <x:v>No</x:v>
      </x:c>
      <x:c r="N3241" s="25" t="str">
        <x:f>IF(J3241&gt;=6,"Sí","No")</x:f>
        <x:v>No</x:v>
      </x:c>
      <x:c r="O3241" s="25" t="str">
        <x:v>Pendiente: asignar con R/sf</x:v>
      </x:c>
    </x:row>
    <x:row r="3242">
      <x:c r="A3242" s="25" t="n">
        <x:v>3241</x:v>
      </x:c>
      <x:c r="B3242" s="26" t="n">
        <x:v>43157.98038194444</x:v>
      </x:c>
      <x:c r="C3242" s="27" t="n">
        <x:f>INT(B3242)</x:f>
        <x:v>43157</x:v>
      </x:c>
      <x:c r="D3242" s="28" t="n">
        <x:f>MOD(B3242,1)</x:f>
        <x:v>0.9803819444423425</x:v>
      </x:c>
      <x:c r="E3242" s="29" t="n">
        <x:f>YEAR(B3242)</x:f>
        <x:v>2018</x:v>
      </x:c>
      <x:c r="F3242" s="29" t="n">
        <x:f>MONTH(B3242)</x:f>
        <x:v>2</x:v>
      </x:c>
      <x:c r="G3242" s="30" t="n">
        <x:v>-28.38</x:v>
      </x:c>
      <x:c r="H3242" s="30" t="n">
        <x:v>-67.55</x:v>
      </x:c>
      <x:c r="I3242" s="29" t="n">
        <x:v>139</x:v>
      </x:c>
      <x:c r="J3242" s="31" t="n">
        <x:v>4.9</x:v>
      </x:c>
      <x:c r="K3242" s="25" t="str">
        <x:f>IF(J3242&gt;=7,"Muy fuerte (&gt;=7)",IF(J3242&gt;=6,"Fuerte (6-6.9)",IF(J3242&gt;=5,"Moderado alto (5-5.9)",IF(J3242&gt;=4,"Moderado (4-4.9)","Menor a 4"))))</x:f>
        <x:v>Moderado (4-4.9)</x:v>
      </x:c>
      <x:c r="L3242" s="25" t="str">
        <x:f>IF(I3242&lt;70,"Superficial (&lt;70 km)",IF(I3242&lt;=300,"Intermedio (70-300 km)","Profundo (&gt;300 km)"))</x:f>
        <x:v>Intermedio (70-300 km)</x:v>
      </x:c>
      <x:c r="M3242" s="25" t="str">
        <x:f>IF(J3242&gt;=5,"Sí","No")</x:f>
        <x:v>No</x:v>
      </x:c>
      <x:c r="N3242" s="25" t="str">
        <x:f>IF(J3242&gt;=6,"Sí","No")</x:f>
        <x:v>No</x:v>
      </x:c>
      <x:c r="O3242" s="25" t="str">
        <x:v>Pendiente: asignar con R/sf</x:v>
      </x:c>
    </x:row>
    <x:row r="3243">
      <x:c r="A3243" s="25" t="n">
        <x:v>3242</x:v>
      </x:c>
      <x:c r="B3243" s="26" t="n">
        <x:v>43161.4774537037</x:v>
      </x:c>
      <x:c r="C3243" s="27" t="n">
        <x:f>INT(B3243)</x:f>
        <x:v>43161</x:v>
      </x:c>
      <x:c r="D3243" s="28" t="n">
        <x:f>MOD(B3243,1)</x:f>
        <x:v>0.47745370370103046</x:v>
      </x:c>
      <x:c r="E3243" s="29" t="n">
        <x:f>YEAR(B3243)</x:f>
        <x:v>2018</x:v>
      </x:c>
      <x:c r="F3243" s="29" t="n">
        <x:f>MONTH(B3243)</x:f>
        <x:v>3</x:v>
      </x:c>
      <x:c r="G3243" s="30" t="n">
        <x:v>-34.38</x:v>
      </x:c>
      <x:c r="H3243" s="30" t="n">
        <x:v>-70.52</x:v>
      </x:c>
      <x:c r="I3243" s="29" t="n">
        <x:v>99</x:v>
      </x:c>
      <x:c r="J3243" s="31" t="n">
        <x:v>4.3</x:v>
      </x:c>
      <x:c r="K3243" s="25" t="str">
        <x:f>IF(J3243&gt;=7,"Muy fuerte (&gt;=7)",IF(J3243&gt;=6,"Fuerte (6-6.9)",IF(J3243&gt;=5,"Moderado alto (5-5.9)",IF(J3243&gt;=4,"Moderado (4-4.9)","Menor a 4"))))</x:f>
        <x:v>Moderado (4-4.9)</x:v>
      </x:c>
      <x:c r="L3243" s="25" t="str">
        <x:f>IF(I3243&lt;70,"Superficial (&lt;70 km)",IF(I3243&lt;=300,"Intermedio (70-300 km)","Profundo (&gt;300 km)"))</x:f>
        <x:v>Intermedio (70-300 km)</x:v>
      </x:c>
      <x:c r="M3243" s="25" t="str">
        <x:f>IF(J3243&gt;=5,"Sí","No")</x:f>
        <x:v>No</x:v>
      </x:c>
      <x:c r="N3243" s="25" t="str">
        <x:f>IF(J3243&gt;=6,"Sí","No")</x:f>
        <x:v>No</x:v>
      </x:c>
      <x:c r="O3243" s="25" t="str">
        <x:v>Pendiente: asignar con R/sf</x:v>
      </x:c>
    </x:row>
    <x:row r="3244">
      <x:c r="A3244" s="25" t="n">
        <x:v>3243</x:v>
      </x:c>
      <x:c r="B3244" s="26" t="n">
        <x:v>43167.44236111111</x:v>
      </x:c>
      <x:c r="C3244" s="27" t="n">
        <x:f>INT(B3244)</x:f>
        <x:v>43167</x:v>
      </x:c>
      <x:c r="D3244" s="28" t="n">
        <x:f>MOD(B3244,1)</x:f>
        <x:v>0.4423611111124046</x:v>
      </x:c>
      <x:c r="E3244" s="29" t="n">
        <x:f>YEAR(B3244)</x:f>
        <x:v>2018</x:v>
      </x:c>
      <x:c r="F3244" s="29" t="n">
        <x:f>MONTH(B3244)</x:f>
        <x:v>3</x:v>
      </x:c>
      <x:c r="G3244" s="30" t="n">
        <x:v>-33.51</x:v>
      </x:c>
      <x:c r="H3244" s="30" t="n">
        <x:v>-70.13</x:v>
      </x:c>
      <x:c r="I3244" s="29" t="n">
        <x:v>120</x:v>
      </x:c>
      <x:c r="J3244" s="31" t="n">
        <x:v>4.2</x:v>
      </x:c>
      <x:c r="K3244" s="25" t="str">
        <x:f>IF(J3244&gt;=7,"Muy fuerte (&gt;=7)",IF(J3244&gt;=6,"Fuerte (6-6.9)",IF(J3244&gt;=5,"Moderado alto (5-5.9)",IF(J3244&gt;=4,"Moderado (4-4.9)","Menor a 4"))))</x:f>
        <x:v>Moderado (4-4.9)</x:v>
      </x:c>
      <x:c r="L3244" s="25" t="str">
        <x:f>IF(I3244&lt;70,"Superficial (&lt;70 km)",IF(I3244&lt;=300,"Intermedio (70-300 km)","Profundo (&gt;300 km)"))</x:f>
        <x:v>Intermedio (70-300 km)</x:v>
      </x:c>
      <x:c r="M3244" s="25" t="str">
        <x:f>IF(J3244&gt;=5,"Sí","No")</x:f>
        <x:v>No</x:v>
      </x:c>
      <x:c r="N3244" s="25" t="str">
        <x:f>IF(J3244&gt;=6,"Sí","No")</x:f>
        <x:v>No</x:v>
      </x:c>
      <x:c r="O3244" s="25" t="str">
        <x:v>Pendiente: asignar con R/sf</x:v>
      </x:c>
    </x:row>
    <x:row r="3245">
      <x:c r="A3245" s="25" t="n">
        <x:v>3244</x:v>
      </x:c>
      <x:c r="B3245" s="26" t="n">
        <x:v>43168.873564814814</x:v>
      </x:c>
      <x:c r="C3245" s="27" t="n">
        <x:f>INT(B3245)</x:f>
        <x:v>43168</x:v>
      </x:c>
      <x:c r="D3245" s="28" t="n">
        <x:f>MOD(B3245,1)</x:f>
        <x:v>0.8735648148140172</x:v>
      </x:c>
      <x:c r="E3245" s="29" t="n">
        <x:f>YEAR(B3245)</x:f>
        <x:v>2018</x:v>
      </x:c>
      <x:c r="F3245" s="29" t="n">
        <x:f>MONTH(B3245)</x:f>
        <x:v>3</x:v>
      </x:c>
      <x:c r="G3245" s="30" t="n">
        <x:v>-31.84</x:v>
      </x:c>
      <x:c r="H3245" s="30" t="n">
        <x:v>-71.98</x:v>
      </x:c>
      <x:c r="I3245" s="29" t="n">
        <x:v>30</x:v>
      </x:c>
      <x:c r="J3245" s="31" t="n">
        <x:v>4.5</x:v>
      </x:c>
      <x:c r="K3245" s="25" t="str">
        <x:f>IF(J3245&gt;=7,"Muy fuerte (&gt;=7)",IF(J3245&gt;=6,"Fuerte (6-6.9)",IF(J3245&gt;=5,"Moderado alto (5-5.9)",IF(J3245&gt;=4,"Moderado (4-4.9)","Menor a 4"))))</x:f>
        <x:v>Moderado (4-4.9)</x:v>
      </x:c>
      <x:c r="L3245" s="25" t="str">
        <x:f>IF(I3245&lt;70,"Superficial (&lt;70 km)",IF(I3245&lt;=300,"Intermedio (70-300 km)","Profundo (&gt;300 km)"))</x:f>
        <x:v>Superficial (&lt;70 km)</x:v>
      </x:c>
      <x:c r="M3245" s="25" t="str">
        <x:f>IF(J3245&gt;=5,"Sí","No")</x:f>
        <x:v>No</x:v>
      </x:c>
      <x:c r="N3245" s="25" t="str">
        <x:f>IF(J3245&gt;=6,"Sí","No")</x:f>
        <x:v>No</x:v>
      </x:c>
      <x:c r="O3245" s="25" t="str">
        <x:v>Pendiente: asignar con R/sf</x:v>
      </x:c>
    </x:row>
    <x:row r="3246">
      <x:c r="A3246" s="25" t="n">
        <x:v>3245</x:v>
      </x:c>
      <x:c r="B3246" s="26" t="n">
        <x:v>43183.118842592594</x:v>
      </x:c>
      <x:c r="C3246" s="27" t="n">
        <x:f>INT(B3246)</x:f>
        <x:v>43183</x:v>
      </x:c>
      <x:c r="D3246" s="28" t="n">
        <x:f>MOD(B3246,1)</x:f>
        <x:v>0.11884259259386454</x:v>
      </x:c>
      <x:c r="E3246" s="29" t="n">
        <x:f>YEAR(B3246)</x:f>
        <x:v>2018</x:v>
      </x:c>
      <x:c r="F3246" s="29" t="n">
        <x:f>MONTH(B3246)</x:f>
        <x:v>3</x:v>
      </x:c>
      <x:c r="G3246" s="30" t="n">
        <x:v>-25.69</x:v>
      </x:c>
      <x:c r="H3246" s="30" t="n">
        <x:v>-69.06</x:v>
      </x:c>
      <x:c r="I3246" s="29" t="n">
        <x:v>115</x:v>
      </x:c>
      <x:c r="J3246" s="31" t="n">
        <x:v>4.7</x:v>
      </x:c>
      <x:c r="K3246" s="25" t="str">
        <x:f>IF(J3246&gt;=7,"Muy fuerte (&gt;=7)",IF(J3246&gt;=6,"Fuerte (6-6.9)",IF(J3246&gt;=5,"Moderado alto (5-5.9)",IF(J3246&gt;=4,"Moderado (4-4.9)","Menor a 4"))))</x:f>
        <x:v>Moderado (4-4.9)</x:v>
      </x:c>
      <x:c r="L3246" s="25" t="str">
        <x:f>IF(I3246&lt;70,"Superficial (&lt;70 km)",IF(I3246&lt;=300,"Intermedio (70-300 km)","Profundo (&gt;300 km)"))</x:f>
        <x:v>Intermedio (70-300 km)</x:v>
      </x:c>
      <x:c r="M3246" s="25" t="str">
        <x:f>IF(J3246&gt;=5,"Sí","No")</x:f>
        <x:v>No</x:v>
      </x:c>
      <x:c r="N3246" s="25" t="str">
        <x:f>IF(J3246&gt;=6,"Sí","No")</x:f>
        <x:v>No</x:v>
      </x:c>
      <x:c r="O3246" s="25" t="str">
        <x:v>Pendiente: asignar con R/sf</x:v>
      </x:c>
    </x:row>
    <x:row r="3247">
      <x:c r="A3247" s="25" t="n">
        <x:v>3246</x:v>
      </x:c>
      <x:c r="B3247" s="26" t="n">
        <x:v>43204.23296296296</x:v>
      </x:c>
      <x:c r="C3247" s="27" t="n">
        <x:f>INT(B3247)</x:f>
        <x:v>43204</x:v>
      </x:c>
      <x:c r="D3247" s="28" t="n">
        <x:f>MOD(B3247,1)</x:f>
        <x:v>0.2329629629603005</x:v>
      </x:c>
      <x:c r="E3247" s="29" t="n">
        <x:f>YEAR(B3247)</x:f>
        <x:v>2018</x:v>
      </x:c>
      <x:c r="F3247" s="29" t="n">
        <x:f>MONTH(B3247)</x:f>
        <x:v>4</x:v>
      </x:c>
      <x:c r="G3247" s="30" t="n">
        <x:v>-28.36</x:v>
      </x:c>
      <x:c r="H3247" s="30" t="n">
        <x:v>-70.21</x:v>
      </x:c>
      <x:c r="I3247" s="29" t="n">
        <x:v>96</x:v>
      </x:c>
      <x:c r="J3247" s="31" t="n">
        <x:v>4</x:v>
      </x:c>
      <x:c r="K3247" s="25" t="str">
        <x:f>IF(J3247&gt;=7,"Muy fuerte (&gt;=7)",IF(J3247&gt;=6,"Fuerte (6-6.9)",IF(J3247&gt;=5,"Moderado alto (5-5.9)",IF(J3247&gt;=4,"Moderado (4-4.9)","Menor a 4"))))</x:f>
        <x:v>Moderado (4-4.9)</x:v>
      </x:c>
      <x:c r="L3247" s="25" t="str">
        <x:f>IF(I3247&lt;70,"Superficial (&lt;70 km)",IF(I3247&lt;=300,"Intermedio (70-300 km)","Profundo (&gt;300 km)"))</x:f>
        <x:v>Intermedio (70-300 km)</x:v>
      </x:c>
      <x:c r="M3247" s="25" t="str">
        <x:f>IF(J3247&gt;=5,"Sí","No")</x:f>
        <x:v>No</x:v>
      </x:c>
      <x:c r="N3247" s="25" t="str">
        <x:f>IF(J3247&gt;=6,"Sí","No")</x:f>
        <x:v>No</x:v>
      </x:c>
      <x:c r="O3247" s="25" t="str">
        <x:v>Pendiente: asignar con R/sf</x:v>
      </x:c>
    </x:row>
    <x:row r="3248">
      <x:c r="A3248" s="25" t="n">
        <x:v>3247</x:v>
      </x:c>
      <x:c r="B3248" s="26" t="n">
        <x:v>43286.3247337963</x:v>
      </x:c>
      <x:c r="C3248" s="27" t="n">
        <x:f>INT(B3248)</x:f>
        <x:v>43286</x:v>
      </x:c>
      <x:c r="D3248" s="28" t="n">
        <x:f>MOD(B3248,1)</x:f>
        <x:v>0.32473379629664123</x:v>
      </x:c>
      <x:c r="E3248" s="29" t="n">
        <x:f>YEAR(B3248)</x:f>
        <x:v>2018</x:v>
      </x:c>
      <x:c r="F3248" s="29" t="n">
        <x:f>MONTH(B3248)</x:f>
        <x:v>7</x:v>
      </x:c>
      <x:c r="G3248" s="30" t="n">
        <x:v>-30.63</x:v>
      </x:c>
      <x:c r="H3248" s="30" t="n">
        <x:v>-71.67</x:v>
      </x:c>
      <x:c r="I3248" s="29" t="n">
        <x:v>40</x:v>
      </x:c>
      <x:c r="J3248" s="31" t="n">
        <x:v>4</x:v>
      </x:c>
      <x:c r="K3248" s="25" t="str">
        <x:f>IF(J3248&gt;=7,"Muy fuerte (&gt;=7)",IF(J3248&gt;=6,"Fuerte (6-6.9)",IF(J3248&gt;=5,"Moderado alto (5-5.9)",IF(J3248&gt;=4,"Moderado (4-4.9)","Menor a 4"))))</x:f>
        <x:v>Moderado (4-4.9)</x:v>
      </x:c>
      <x:c r="L3248" s="25" t="str">
        <x:f>IF(I3248&lt;70,"Superficial (&lt;70 km)",IF(I3248&lt;=300,"Intermedio (70-300 km)","Profundo (&gt;300 km)"))</x:f>
        <x:v>Superficial (&lt;70 km)</x:v>
      </x:c>
      <x:c r="M3248" s="25" t="str">
        <x:f>IF(J3248&gt;=5,"Sí","No")</x:f>
        <x:v>No</x:v>
      </x:c>
      <x:c r="N3248" s="25" t="str">
        <x:f>IF(J3248&gt;=6,"Sí","No")</x:f>
        <x:v>No</x:v>
      </x:c>
      <x:c r="O3248" s="25" t="str">
        <x:v>Pendiente: asignar con R/sf</x:v>
      </x:c>
    </x:row>
    <x:row r="3249">
      <x:c r="A3249" s="25" t="n">
        <x:v>3248</x:v>
      </x:c>
      <x:c r="B3249" s="26" t="n">
        <x:v>43436.46130787037</x:v>
      </x:c>
      <x:c r="C3249" s="27" t="n">
        <x:f>INT(B3249)</x:f>
        <x:v>43436</x:v>
      </x:c>
      <x:c r="D3249" s="28" t="n">
        <x:f>MOD(B3249,1)</x:f>
        <x:v>0.4613078703696374</x:v>
      </x:c>
      <x:c r="E3249" s="29" t="n">
        <x:f>YEAR(B3249)</x:f>
        <x:v>2018</x:v>
      </x:c>
      <x:c r="F3249" s="29" t="n">
        <x:f>MONTH(B3249)</x:f>
        <x:v>12</x:v>
      </x:c>
      <x:c r="G3249" s="30" t="n">
        <x:v>-30.67</x:v>
      </x:c>
      <x:c r="H3249" s="30" t="n">
        <x:v>-71.84</x:v>
      </x:c>
      <x:c r="I3249" s="29" t="n">
        <x:v>34</x:v>
      </x:c>
      <x:c r="J3249" s="31" t="n">
        <x:v>4.4</x:v>
      </x:c>
      <x:c r="K3249" s="25" t="str">
        <x:f>IF(J3249&gt;=7,"Muy fuerte (&gt;=7)",IF(J3249&gt;=6,"Fuerte (6-6.9)",IF(J3249&gt;=5,"Moderado alto (5-5.9)",IF(J3249&gt;=4,"Moderado (4-4.9)","Menor a 4"))))</x:f>
        <x:v>Moderado (4-4.9)</x:v>
      </x:c>
      <x:c r="L3249" s="25" t="str">
        <x:f>IF(I3249&lt;70,"Superficial (&lt;70 km)",IF(I3249&lt;=300,"Intermedio (70-300 km)","Profundo (&gt;300 km)"))</x:f>
        <x:v>Superficial (&lt;70 km)</x:v>
      </x:c>
      <x:c r="M3249" s="25" t="str">
        <x:f>IF(J3249&gt;=5,"Sí","No")</x:f>
        <x:v>No</x:v>
      </x:c>
      <x:c r="N3249" s="25" t="str">
        <x:f>IF(J3249&gt;=6,"Sí","No")</x:f>
        <x:v>No</x:v>
      </x:c>
      <x:c r="O3249" s="25" t="str">
        <x:v>Pendiente: asignar con R/sf</x:v>
      </x:c>
    </x:row>
    <x:row r="3250">
      <x:c r="A3250" s="25" t="n">
        <x:v>3249</x:v>
      </x:c>
      <x:c r="B3250" s="26" t="n">
        <x:v>43120.48002314815</x:v>
      </x:c>
      <x:c r="C3250" s="27" t="n">
        <x:f>INT(B3250)</x:f>
        <x:v>43120</x:v>
      </x:c>
      <x:c r="D3250" s="28" t="n">
        <x:f>MOD(B3250,1)</x:f>
        <x:v>0.48002314814948477</x:v>
      </x:c>
      <x:c r="E3250" s="29" t="n">
        <x:f>YEAR(B3250)</x:f>
        <x:v>2018</x:v>
      </x:c>
      <x:c r="F3250" s="29" t="n">
        <x:f>MONTH(B3250)</x:f>
        <x:v>1</x:v>
      </x:c>
      <x:c r="G3250" s="30" t="n">
        <x:v>-28.98</x:v>
      </x:c>
      <x:c r="H3250" s="30" t="n">
        <x:v>-71.74</x:v>
      </x:c>
      <x:c r="I3250" s="29" t="n">
        <x:v>49</x:v>
      </x:c>
      <x:c r="J3250" s="31" t="n">
        <x:v>5.2</x:v>
      </x:c>
      <x:c r="K3250" s="25" t="str">
        <x:f>IF(J3250&gt;=7,"Muy fuerte (&gt;=7)",IF(J3250&gt;=6,"Fuerte (6-6.9)",IF(J3250&gt;=5,"Moderado alto (5-5.9)",IF(J3250&gt;=4,"Moderado (4-4.9)","Menor a 4"))))</x:f>
        <x:v>Moderado alto (5-5.9)</x:v>
      </x:c>
      <x:c r="L3250" s="25" t="str">
        <x:f>IF(I3250&lt;70,"Superficial (&lt;70 km)",IF(I3250&lt;=300,"Intermedio (70-300 km)","Profundo (&gt;300 km)"))</x:f>
        <x:v>Superficial (&lt;70 km)</x:v>
      </x:c>
      <x:c r="M3250" s="25" t="str">
        <x:f>IF(J3250&gt;=5,"Sí","No")</x:f>
        <x:v>Sí</x:v>
      </x:c>
      <x:c r="N3250" s="25" t="str">
        <x:f>IF(J3250&gt;=6,"Sí","No")</x:f>
        <x:v>No</x:v>
      </x:c>
      <x:c r="O3250" s="25" t="str">
        <x:v>Pendiente: asignar con R/sf</x:v>
      </x:c>
    </x:row>
    <x:row r="3251">
      <x:c r="A3251" s="25" t="n">
        <x:v>3250</x:v>
      </x:c>
      <x:c r="B3251" s="26" t="n">
        <x:v>43122.34576388889</x:v>
      </x:c>
      <x:c r="C3251" s="27" t="n">
        <x:f>INT(B3251)</x:f>
        <x:v>43122</x:v>
      </x:c>
      <x:c r="D3251" s="28" t="n">
        <x:f>MOD(B3251,1)</x:f>
        <x:v>0.34576388888672227</x:v>
      </x:c>
      <x:c r="E3251" s="29" t="n">
        <x:f>YEAR(B3251)</x:f>
        <x:v>2018</x:v>
      </x:c>
      <x:c r="F3251" s="29" t="n">
        <x:f>MONTH(B3251)</x:f>
        <x:v>1</x:v>
      </x:c>
      <x:c r="G3251" s="30" t="n">
        <x:v>-29.62</x:v>
      </x:c>
      <x:c r="H3251" s="30" t="n">
        <x:v>-71.49</x:v>
      </x:c>
      <x:c r="I3251" s="29" t="n">
        <x:v>49</x:v>
      </x:c>
      <x:c r="J3251" s="31" t="n">
        <x:v>4.3</x:v>
      </x:c>
      <x:c r="K3251" s="25" t="str">
        <x:f>IF(J3251&gt;=7,"Muy fuerte (&gt;=7)",IF(J3251&gt;=6,"Fuerte (6-6.9)",IF(J3251&gt;=5,"Moderado alto (5-5.9)",IF(J3251&gt;=4,"Moderado (4-4.9)","Menor a 4"))))</x:f>
        <x:v>Moderado (4-4.9)</x:v>
      </x:c>
      <x:c r="L3251" s="25" t="str">
        <x:f>IF(I3251&lt;70,"Superficial (&lt;70 km)",IF(I3251&lt;=300,"Intermedio (70-300 km)","Profundo (&gt;300 km)"))</x:f>
        <x:v>Superficial (&lt;70 km)</x:v>
      </x:c>
      <x:c r="M3251" s="25" t="str">
        <x:f>IF(J3251&gt;=5,"Sí","No")</x:f>
        <x:v>No</x:v>
      </x:c>
      <x:c r="N3251" s="25" t="str">
        <x:f>IF(J3251&gt;=6,"Sí","No")</x:f>
        <x:v>No</x:v>
      </x:c>
      <x:c r="O3251" s="25" t="str">
        <x:v>Pendiente: asignar con R/sf</x:v>
      </x:c>
    </x:row>
    <x:row r="3252">
      <x:c r="A3252" s="25" t="n">
        <x:v>3251</x:v>
      </x:c>
      <x:c r="B3252" s="26" t="n">
        <x:v>43127.37972222222</x:v>
      </x:c>
      <x:c r="C3252" s="27" t="n">
        <x:f>INT(B3252)</x:f>
        <x:v>43127</x:v>
      </x:c>
      <x:c r="D3252" s="28" t="n">
        <x:f>MOD(B3252,1)</x:f>
        <x:v>0.3797222222201526</x:v>
      </x:c>
      <x:c r="E3252" s="29" t="n">
        <x:f>YEAR(B3252)</x:f>
        <x:v>2018</x:v>
      </x:c>
      <x:c r="F3252" s="29" t="n">
        <x:f>MONTH(B3252)</x:f>
        <x:v>1</x:v>
      </x:c>
      <x:c r="G3252" s="30" t="n">
        <x:v>-29.19</x:v>
      </x:c>
      <x:c r="H3252" s="30" t="n">
        <x:v>-71.13</x:v>
      </x:c>
      <x:c r="I3252" s="29" t="n">
        <x:v>59</x:v>
      </x:c>
      <x:c r="J3252" s="31" t="n">
        <x:v>4.2</x:v>
      </x:c>
      <x:c r="K3252" s="25" t="str">
        <x:f>IF(J3252&gt;=7,"Muy fuerte (&gt;=7)",IF(J3252&gt;=6,"Fuerte (6-6.9)",IF(J3252&gt;=5,"Moderado alto (5-5.9)",IF(J3252&gt;=4,"Moderado (4-4.9)","Menor a 4"))))</x:f>
        <x:v>Moderado (4-4.9)</x:v>
      </x:c>
      <x:c r="L3252" s="25" t="str">
        <x:f>IF(I3252&lt;70,"Superficial (&lt;70 km)",IF(I3252&lt;=300,"Intermedio (70-300 km)","Profundo (&gt;300 km)"))</x:f>
        <x:v>Superficial (&lt;70 km)</x:v>
      </x:c>
      <x:c r="M3252" s="25" t="str">
        <x:f>IF(J3252&gt;=5,"Sí","No")</x:f>
        <x:v>No</x:v>
      </x:c>
      <x:c r="N3252" s="25" t="str">
        <x:f>IF(J3252&gt;=6,"Sí","No")</x:f>
        <x:v>No</x:v>
      </x:c>
      <x:c r="O3252" s="25" t="str">
        <x:v>Pendiente: asignar con R/sf</x:v>
      </x:c>
    </x:row>
    <x:row r="3253">
      <x:c r="A3253" s="25" t="n">
        <x:v>3252</x:v>
      </x:c>
      <x:c r="B3253" s="26" t="n">
        <x:v>43128.4246412037</x:v>
      </x:c>
      <x:c r="C3253" s="27" t="n">
        <x:f>INT(B3253)</x:f>
        <x:v>43128</x:v>
      </x:c>
      <x:c r="D3253" s="28" t="n">
        <x:f>MOD(B3253,1)</x:f>
        <x:v>0.4246412037027767</x:v>
      </x:c>
      <x:c r="E3253" s="29" t="n">
        <x:f>YEAR(B3253)</x:f>
        <x:v>2018</x:v>
      </x:c>
      <x:c r="F3253" s="29" t="n">
        <x:f>MONTH(B3253)</x:f>
        <x:v>1</x:v>
      </x:c>
      <x:c r="G3253" s="30" t="n">
        <x:v>-28.2</x:v>
      </x:c>
      <x:c r="H3253" s="30" t="n">
        <x:v>-69.39</x:v>
      </x:c>
      <x:c r="I3253" s="29" t="n">
        <x:v>127</x:v>
      </x:c>
      <x:c r="J3253" s="31" t="n">
        <x:v>5.1</x:v>
      </x:c>
      <x:c r="K3253" s="25" t="str">
        <x:f>IF(J3253&gt;=7,"Muy fuerte (&gt;=7)",IF(J3253&gt;=6,"Fuerte (6-6.9)",IF(J3253&gt;=5,"Moderado alto (5-5.9)",IF(J3253&gt;=4,"Moderado (4-4.9)","Menor a 4"))))</x:f>
        <x:v>Moderado alto (5-5.9)</x:v>
      </x:c>
      <x:c r="L3253" s="25" t="str">
        <x:f>IF(I3253&lt;70,"Superficial (&lt;70 km)",IF(I3253&lt;=300,"Intermedio (70-300 km)","Profundo (&gt;300 km)"))</x:f>
        <x:v>Intermedio (70-300 km)</x:v>
      </x:c>
      <x:c r="M3253" s="25" t="str">
        <x:f>IF(J3253&gt;=5,"Sí","No")</x:f>
        <x:v>Sí</x:v>
      </x:c>
      <x:c r="N3253" s="25" t="str">
        <x:f>IF(J3253&gt;=6,"Sí","No")</x:f>
        <x:v>No</x:v>
      </x:c>
      <x:c r="O3253" s="25" t="str">
        <x:v>Pendiente: asignar con R/sf</x:v>
      </x:c>
    </x:row>
    <x:row r="3254">
      <x:c r="A3254" s="25" t="n">
        <x:v>3253</x:v>
      </x:c>
      <x:c r="B3254" s="26" t="n">
        <x:v>43128.9953125</x:v>
      </x:c>
      <x:c r="C3254" s="27" t="n">
        <x:f>INT(B3254)</x:f>
        <x:v>43128</x:v>
      </x:c>
      <x:c r="D3254" s="28" t="n">
        <x:f>MOD(B3254,1)</x:f>
        <x:v>0.9953125000029104</x:v>
      </x:c>
      <x:c r="E3254" s="29" t="n">
        <x:f>YEAR(B3254)</x:f>
        <x:v>2018</x:v>
      </x:c>
      <x:c r="F3254" s="29" t="n">
        <x:f>MONTH(B3254)</x:f>
        <x:v>1</x:v>
      </x:c>
      <x:c r="G3254" s="30" t="n">
        <x:v>-31.27</x:v>
      </x:c>
      <x:c r="H3254" s="30" t="n">
        <x:v>-69.27</x:v>
      </x:c>
      <x:c r="I3254" s="29" t="n">
        <x:v>183</x:v>
      </x:c>
      <x:c r="J3254" s="31" t="n">
        <x:v>5.5</x:v>
      </x:c>
      <x:c r="K3254" s="25" t="str">
        <x:f>IF(J3254&gt;=7,"Muy fuerte (&gt;=7)",IF(J3254&gt;=6,"Fuerte (6-6.9)",IF(J3254&gt;=5,"Moderado alto (5-5.9)",IF(J3254&gt;=4,"Moderado (4-4.9)","Menor a 4"))))</x:f>
        <x:v>Moderado alto (5-5.9)</x:v>
      </x:c>
      <x:c r="L3254" s="25" t="str">
        <x:f>IF(I3254&lt;70,"Superficial (&lt;70 km)",IF(I3254&lt;=300,"Intermedio (70-300 km)","Profundo (&gt;300 km)"))</x:f>
        <x:v>Intermedio (70-300 km)</x:v>
      </x:c>
      <x:c r="M3254" s="25" t="str">
        <x:f>IF(J3254&gt;=5,"Sí","No")</x:f>
        <x:v>Sí</x:v>
      </x:c>
      <x:c r="N3254" s="25" t="str">
        <x:f>IF(J3254&gt;=6,"Sí","No")</x:f>
        <x:v>No</x:v>
      </x:c>
      <x:c r="O3254" s="25" t="str">
        <x:v>Pendiente: asignar con R/sf</x:v>
      </x:c>
    </x:row>
    <x:row r="3255">
      <x:c r="A3255" s="25" t="n">
        <x:v>3254</x:v>
      </x:c>
      <x:c r="B3255" s="26" t="n">
        <x:v>43132.967986111114</x:v>
      </x:c>
      <x:c r="C3255" s="27" t="n">
        <x:f>INT(B3255)</x:f>
        <x:v>43132</x:v>
      </x:c>
      <x:c r="D3255" s="28" t="n">
        <x:f>MOD(B3255,1)</x:f>
        <x:v>0.9679861111144419</x:v>
      </x:c>
      <x:c r="E3255" s="29" t="n">
        <x:f>YEAR(B3255)</x:f>
        <x:v>2018</x:v>
      </x:c>
      <x:c r="F3255" s="29" t="n">
        <x:f>MONTH(B3255)</x:f>
        <x:v>2</x:v>
      </x:c>
      <x:c r="G3255" s="30" t="n">
        <x:v>-31.56</x:v>
      </x:c>
      <x:c r="H3255" s="30" t="n">
        <x:v>-70.3</x:v>
      </x:c>
      <x:c r="I3255" s="29" t="n">
        <x:v>133</x:v>
      </x:c>
      <x:c r="J3255" s="31" t="n">
        <x:v>5.2</x:v>
      </x:c>
      <x:c r="K3255" s="25" t="str">
        <x:f>IF(J3255&gt;=7,"Muy fuerte (&gt;=7)",IF(J3255&gt;=6,"Fuerte (6-6.9)",IF(J3255&gt;=5,"Moderado alto (5-5.9)",IF(J3255&gt;=4,"Moderado (4-4.9)","Menor a 4"))))</x:f>
        <x:v>Moderado alto (5-5.9)</x:v>
      </x:c>
      <x:c r="L3255" s="25" t="str">
        <x:f>IF(I3255&lt;70,"Superficial (&lt;70 km)",IF(I3255&lt;=300,"Intermedio (70-300 km)","Profundo (&gt;300 km)"))</x:f>
        <x:v>Intermedio (70-300 km)</x:v>
      </x:c>
      <x:c r="M3255" s="25" t="str">
        <x:f>IF(J3255&gt;=5,"Sí","No")</x:f>
        <x:v>Sí</x:v>
      </x:c>
      <x:c r="N3255" s="25" t="str">
        <x:f>IF(J3255&gt;=6,"Sí","No")</x:f>
        <x:v>No</x:v>
      </x:c>
      <x:c r="O3255" s="25" t="str">
        <x:v>Pendiente: asignar con R/sf</x:v>
      </x:c>
    </x:row>
    <x:row r="3256">
      <x:c r="A3256" s="25" t="n">
        <x:v>3255</x:v>
      </x:c>
      <x:c r="B3256" s="26" t="n">
        <x:v>43137.49643518519</x:v>
      </x:c>
      <x:c r="C3256" s="27" t="n">
        <x:f>INT(B3256)</x:f>
        <x:v>43137</x:v>
      </x:c>
      <x:c r="D3256" s="28" t="n">
        <x:f>MOD(B3256,1)</x:f>
        <x:v>0.4964351851886022</x:v>
      </x:c>
      <x:c r="E3256" s="29" t="n">
        <x:f>YEAR(B3256)</x:f>
        <x:v>2018</x:v>
      </x:c>
      <x:c r="F3256" s="29" t="n">
        <x:f>MONTH(B3256)</x:f>
        <x:v>2</x:v>
      </x:c>
      <x:c r="G3256" s="30" t="n">
        <x:v>-29.39</x:v>
      </x:c>
      <x:c r="H3256" s="30" t="n">
        <x:v>-71.74</x:v>
      </x:c>
      <x:c r="I3256" s="29" t="n">
        <x:v>44</x:v>
      </x:c>
      <x:c r="J3256" s="31" t="n">
        <x:v>4</x:v>
      </x:c>
      <x:c r="K3256" s="25" t="str">
        <x:f>IF(J3256&gt;=7,"Muy fuerte (&gt;=7)",IF(J3256&gt;=6,"Fuerte (6-6.9)",IF(J3256&gt;=5,"Moderado alto (5-5.9)",IF(J3256&gt;=4,"Moderado (4-4.9)","Menor a 4"))))</x:f>
        <x:v>Moderado (4-4.9)</x:v>
      </x:c>
      <x:c r="L3256" s="25" t="str">
        <x:f>IF(I3256&lt;70,"Superficial (&lt;70 km)",IF(I3256&lt;=300,"Intermedio (70-300 km)","Profundo (&gt;300 km)"))</x:f>
        <x:v>Superficial (&lt;70 km)</x:v>
      </x:c>
      <x:c r="M3256" s="25" t="str">
        <x:f>IF(J3256&gt;=5,"Sí","No")</x:f>
        <x:v>No</x:v>
      </x:c>
      <x:c r="N3256" s="25" t="str">
        <x:f>IF(J3256&gt;=6,"Sí","No")</x:f>
        <x:v>No</x:v>
      </x:c>
      <x:c r="O3256" s="25" t="str">
        <x:v>Pendiente: asignar con R/sf</x:v>
      </x:c>
    </x:row>
    <x:row r="3257">
      <x:c r="A3257" s="25" t="n">
        <x:v>3256</x:v>
      </x:c>
      <x:c r="B3257" s="26" t="n">
        <x:v>43147.4934375</x:v>
      </x:c>
      <x:c r="C3257" s="27" t="n">
        <x:f>INT(B3257)</x:f>
        <x:v>43147</x:v>
      </x:c>
      <x:c r="D3257" s="28" t="n">
        <x:f>MOD(B3257,1)</x:f>
        <x:v>0.49343750000116415</x:v>
      </x:c>
      <x:c r="E3257" s="29" t="n">
        <x:f>YEAR(B3257)</x:f>
        <x:v>2018</x:v>
      </x:c>
      <x:c r="F3257" s="29" t="n">
        <x:f>MONTH(B3257)</x:f>
        <x:v>2</x:v>
      </x:c>
      <x:c r="G3257" s="30" t="n">
        <x:v>-29.37</x:v>
      </x:c>
      <x:c r="H3257" s="30" t="n">
        <x:v>-69.64</x:v>
      </x:c>
      <x:c r="I3257" s="29" t="n">
        <x:v>123</x:v>
      </x:c>
      <x:c r="J3257" s="31" t="n">
        <x:v>4.9</x:v>
      </x:c>
      <x:c r="K3257" s="25" t="str">
        <x:f>IF(J3257&gt;=7,"Muy fuerte (&gt;=7)",IF(J3257&gt;=6,"Fuerte (6-6.9)",IF(J3257&gt;=5,"Moderado alto (5-5.9)",IF(J3257&gt;=4,"Moderado (4-4.9)","Menor a 4"))))</x:f>
        <x:v>Moderado (4-4.9)</x:v>
      </x:c>
      <x:c r="L3257" s="25" t="str">
        <x:f>IF(I3257&lt;70,"Superficial (&lt;70 km)",IF(I3257&lt;=300,"Intermedio (70-300 km)","Profundo (&gt;300 km)"))</x:f>
        <x:v>Intermedio (70-300 km)</x:v>
      </x:c>
      <x:c r="M3257" s="25" t="str">
        <x:f>IF(J3257&gt;=5,"Sí","No")</x:f>
        <x:v>No</x:v>
      </x:c>
      <x:c r="N3257" s="25" t="str">
        <x:f>IF(J3257&gt;=6,"Sí","No")</x:f>
        <x:v>No</x:v>
      </x:c>
      <x:c r="O3257" s="25" t="str">
        <x:v>Pendiente: asignar con R/sf</x:v>
      </x:c>
    </x:row>
    <x:row r="3258">
      <x:c r="A3258" s="25" t="n">
        <x:v>3257</x:v>
      </x:c>
      <x:c r="B3258" s="26" t="n">
        <x:v>43151.40207175926</x:v>
      </x:c>
      <x:c r="C3258" s="27" t="n">
        <x:f>INT(B3258)</x:f>
        <x:v>43151</x:v>
      </x:c>
      <x:c r="D3258" s="28" t="n">
        <x:f>MOD(B3258,1)</x:f>
        <x:v>0.4020717592575238</x:v>
      </x:c>
      <x:c r="E3258" s="29" t="n">
        <x:f>YEAR(B3258)</x:f>
        <x:v>2018</x:v>
      </x:c>
      <x:c r="F3258" s="29" t="n">
        <x:f>MONTH(B3258)</x:f>
        <x:v>2</x:v>
      </x:c>
      <x:c r="G3258" s="30" t="n">
        <x:v>-25.34</x:v>
      </x:c>
      <x:c r="H3258" s="30" t="n">
        <x:v>-70.5</x:v>
      </x:c>
      <x:c r="I3258" s="29" t="n">
        <x:v>35</x:v>
      </x:c>
      <x:c r="J3258" s="31" t="n">
        <x:v>5.3</x:v>
      </x:c>
      <x:c r="K3258" s="25" t="str">
        <x:f>IF(J3258&gt;=7,"Muy fuerte (&gt;=7)",IF(J3258&gt;=6,"Fuerte (6-6.9)",IF(J3258&gt;=5,"Moderado alto (5-5.9)",IF(J3258&gt;=4,"Moderado (4-4.9)","Menor a 4"))))</x:f>
        <x:v>Moderado alto (5-5.9)</x:v>
      </x:c>
      <x:c r="L3258" s="25" t="str">
        <x:f>IF(I3258&lt;70,"Superficial (&lt;70 km)",IF(I3258&lt;=300,"Intermedio (70-300 km)","Profundo (&gt;300 km)"))</x:f>
        <x:v>Superficial (&lt;70 km)</x:v>
      </x:c>
      <x:c r="M3258" s="25" t="str">
        <x:f>IF(J3258&gt;=5,"Sí","No")</x:f>
        <x:v>Sí</x:v>
      </x:c>
      <x:c r="N3258" s="25" t="str">
        <x:f>IF(J3258&gt;=6,"Sí","No")</x:f>
        <x:v>No</x:v>
      </x:c>
      <x:c r="O3258" s="25" t="str">
        <x:v>Pendiente: asignar con R/sf</x:v>
      </x:c>
    </x:row>
    <x:row r="3259">
      <x:c r="A3259" s="25" t="n">
        <x:v>3258</x:v>
      </x:c>
      <x:c r="B3259" s="26" t="n">
        <x:v>43156.01520833333</x:v>
      </x:c>
      <x:c r="C3259" s="27" t="n">
        <x:f>INT(B3259)</x:f>
        <x:v>43156</x:v>
      </x:c>
      <x:c r="D3259" s="28" t="n">
        <x:f>MOD(B3259,1)</x:f>
        <x:v>0.015208333330519963</x:v>
      </x:c>
      <x:c r="E3259" s="29" t="n">
        <x:f>YEAR(B3259)</x:f>
        <x:v>2018</x:v>
      </x:c>
      <x:c r="F3259" s="29" t="n">
        <x:f>MONTH(B3259)</x:f>
        <x:v>2</x:v>
      </x:c>
      <x:c r="G3259" s="30" t="n">
        <x:v>-31.59</x:v>
      </x:c>
      <x:c r="H3259" s="30" t="n">
        <x:v>-71.46</x:v>
      </x:c>
      <x:c r="I3259" s="29" t="n">
        <x:v>50</x:v>
      </x:c>
      <x:c r="J3259" s="31" t="n">
        <x:v>4</x:v>
      </x:c>
      <x:c r="K3259" s="25" t="str">
        <x:f>IF(J3259&gt;=7,"Muy fuerte (&gt;=7)",IF(J3259&gt;=6,"Fuerte (6-6.9)",IF(J3259&gt;=5,"Moderado alto (5-5.9)",IF(J3259&gt;=4,"Moderado (4-4.9)","Menor a 4"))))</x:f>
        <x:v>Moderado (4-4.9)</x:v>
      </x:c>
      <x:c r="L3259" s="25" t="str">
        <x:f>IF(I3259&lt;70,"Superficial (&lt;70 km)",IF(I3259&lt;=300,"Intermedio (70-300 km)","Profundo (&gt;300 km)"))</x:f>
        <x:v>Superficial (&lt;70 km)</x:v>
      </x:c>
      <x:c r="M3259" s="25" t="str">
        <x:f>IF(J3259&gt;=5,"Sí","No")</x:f>
        <x:v>No</x:v>
      </x:c>
      <x:c r="N3259" s="25" t="str">
        <x:f>IF(J3259&gt;=6,"Sí","No")</x:f>
        <x:v>No</x:v>
      </x:c>
      <x:c r="O3259" s="25" t="str">
        <x:v>Pendiente: asignar con R/sf</x:v>
      </x:c>
    </x:row>
    <x:row r="3260">
      <x:c r="A3260" s="25" t="n">
        <x:v>3259</x:v>
      </x:c>
      <x:c r="B3260" s="26" t="n">
        <x:v>43163.58813657407</x:v>
      </x:c>
      <x:c r="C3260" s="27" t="n">
        <x:f>INT(B3260)</x:f>
        <x:v>43163</x:v>
      </x:c>
      <x:c r="D3260" s="28" t="n">
        <x:f>MOD(B3260,1)</x:f>
        <x:v>0.588136574071541</x:v>
      </x:c>
      <x:c r="E3260" s="29" t="n">
        <x:f>YEAR(B3260)</x:f>
        <x:v>2018</x:v>
      </x:c>
      <x:c r="F3260" s="29" t="n">
        <x:f>MONTH(B3260)</x:f>
        <x:v>3</x:v>
      </x:c>
      <x:c r="G3260" s="30" t="n">
        <x:v>-31.04</x:v>
      </x:c>
      <x:c r="H3260" s="30" t="n">
        <x:v>-71.36</x:v>
      </x:c>
      <x:c r="I3260" s="29" t="n">
        <x:v>63</x:v>
      </x:c>
      <x:c r="J3260" s="31" t="n">
        <x:v>4.3</x:v>
      </x:c>
      <x:c r="K3260" s="25" t="str">
        <x:f>IF(J3260&gt;=7,"Muy fuerte (&gt;=7)",IF(J3260&gt;=6,"Fuerte (6-6.9)",IF(J3260&gt;=5,"Moderado alto (5-5.9)",IF(J3260&gt;=4,"Moderado (4-4.9)","Menor a 4"))))</x:f>
        <x:v>Moderado (4-4.9)</x:v>
      </x:c>
      <x:c r="L3260" s="25" t="str">
        <x:f>IF(I3260&lt;70,"Superficial (&lt;70 km)",IF(I3260&lt;=300,"Intermedio (70-300 km)","Profundo (&gt;300 km)"))</x:f>
        <x:v>Superficial (&lt;70 km)</x:v>
      </x:c>
      <x:c r="M3260" s="25" t="str">
        <x:f>IF(J3260&gt;=5,"Sí","No")</x:f>
        <x:v>No</x:v>
      </x:c>
      <x:c r="N3260" s="25" t="str">
        <x:f>IF(J3260&gt;=6,"Sí","No")</x:f>
        <x:v>No</x:v>
      </x:c>
      <x:c r="O3260" s="25" t="str">
        <x:v>Pendiente: asignar con R/sf</x:v>
      </x:c>
    </x:row>
    <x:row r="3261">
      <x:c r="A3261" s="25" t="n">
        <x:v>3260</x:v>
      </x:c>
      <x:c r="B3261" s="26" t="n">
        <x:v>43163.6502662037</x:v>
      </x:c>
      <x:c r="C3261" s="27" t="n">
        <x:f>INT(B3261)</x:f>
        <x:v>43163</x:v>
      </x:c>
      <x:c r="D3261" s="28" t="n">
        <x:f>MOD(B3261,1)</x:f>
        <x:v>0.6502662037019036</x:v>
      </x:c>
      <x:c r="E3261" s="29" t="n">
        <x:f>YEAR(B3261)</x:f>
        <x:v>2018</x:v>
      </x:c>
      <x:c r="F3261" s="29" t="n">
        <x:f>MONTH(B3261)</x:f>
        <x:v>3</x:v>
      </x:c>
      <x:c r="G3261" s="30" t="n">
        <x:v>-30.87</x:v>
      </x:c>
      <x:c r="H3261" s="30" t="n">
        <x:v>-71.17</x:v>
      </x:c>
      <x:c r="I3261" s="29" t="n">
        <x:v>58</x:v>
      </x:c>
      <x:c r="J3261" s="31" t="n">
        <x:v>4.7</x:v>
      </x:c>
      <x:c r="K3261" s="25" t="str">
        <x:f>IF(J3261&gt;=7,"Muy fuerte (&gt;=7)",IF(J3261&gt;=6,"Fuerte (6-6.9)",IF(J3261&gt;=5,"Moderado alto (5-5.9)",IF(J3261&gt;=4,"Moderado (4-4.9)","Menor a 4"))))</x:f>
        <x:v>Moderado (4-4.9)</x:v>
      </x:c>
      <x:c r="L3261" s="25" t="str">
        <x:f>IF(I3261&lt;70,"Superficial (&lt;70 km)",IF(I3261&lt;=300,"Intermedio (70-300 km)","Profundo (&gt;300 km)"))</x:f>
        <x:v>Superficial (&lt;70 km)</x:v>
      </x:c>
      <x:c r="M3261" s="25" t="str">
        <x:f>IF(J3261&gt;=5,"Sí","No")</x:f>
        <x:v>No</x:v>
      </x:c>
      <x:c r="N3261" s="25" t="str">
        <x:f>IF(J3261&gt;=6,"Sí","No")</x:f>
        <x:v>No</x:v>
      </x:c>
      <x:c r="O3261" s="25" t="str">
        <x:v>Pendiente: asignar con R/sf</x:v>
      </x:c>
    </x:row>
    <x:row r="3262">
      <x:c r="A3262" s="25" t="n">
        <x:v>3261</x:v>
      </x:c>
      <x:c r="B3262" s="26" t="n">
        <x:v>43165.12440972222</x:v>
      </x:c>
      <x:c r="C3262" s="27" t="n">
        <x:f>INT(B3262)</x:f>
        <x:v>43165</x:v>
      </x:c>
      <x:c r="D3262" s="28" t="n">
        <x:f>MOD(B3262,1)</x:f>
        <x:v>0.12440972222248092</x:v>
      </x:c>
      <x:c r="E3262" s="29" t="n">
        <x:f>YEAR(B3262)</x:f>
        <x:v>2018</x:v>
      </x:c>
      <x:c r="F3262" s="29" t="n">
        <x:f>MONTH(B3262)</x:f>
        <x:v>3</x:v>
      </x:c>
      <x:c r="G3262" s="30" t="n">
        <x:v>-29.02</x:v>
      </x:c>
      <x:c r="H3262" s="30" t="n">
        <x:v>-71.5</x:v>
      </x:c>
      <x:c r="I3262" s="29" t="n">
        <x:v>35</x:v>
      </x:c>
      <x:c r="J3262" s="31" t="n">
        <x:v>4.4</x:v>
      </x:c>
      <x:c r="K3262" s="25" t="str">
        <x:f>IF(J3262&gt;=7,"Muy fuerte (&gt;=7)",IF(J3262&gt;=6,"Fuerte (6-6.9)",IF(J3262&gt;=5,"Moderado alto (5-5.9)",IF(J3262&gt;=4,"Moderado (4-4.9)","Menor a 4"))))</x:f>
        <x:v>Moderado (4-4.9)</x:v>
      </x:c>
      <x:c r="L3262" s="25" t="str">
        <x:f>IF(I3262&lt;70,"Superficial (&lt;70 km)",IF(I3262&lt;=300,"Intermedio (70-300 km)","Profundo (&gt;300 km)"))</x:f>
        <x:v>Superficial (&lt;70 km)</x:v>
      </x:c>
      <x:c r="M3262" s="25" t="str">
        <x:f>IF(J3262&gt;=5,"Sí","No")</x:f>
        <x:v>No</x:v>
      </x:c>
      <x:c r="N3262" s="25" t="str">
        <x:f>IF(J3262&gt;=6,"Sí","No")</x:f>
        <x:v>No</x:v>
      </x:c>
      <x:c r="O3262" s="25" t="str">
        <x:v>Pendiente: asignar con R/sf</x:v>
      </x:c>
    </x:row>
    <x:row r="3263">
      <x:c r="A3263" s="25" t="n">
        <x:v>3262</x:v>
      </x:c>
      <x:c r="B3263" s="26" t="n">
        <x:v>43166.93959490741</x:v>
      </x:c>
      <x:c r="C3263" s="27" t="n">
        <x:f>INT(B3263)</x:f>
        <x:v>43166</x:v>
      </x:c>
      <x:c r="D3263" s="28" t="n">
        <x:f>MOD(B3263,1)</x:f>
        <x:v>0.9395949074096279</x:v>
      </x:c>
      <x:c r="E3263" s="29" t="n">
        <x:f>YEAR(B3263)</x:f>
        <x:v>2018</x:v>
      </x:c>
      <x:c r="F3263" s="29" t="n">
        <x:f>MONTH(B3263)</x:f>
        <x:v>3</x:v>
      </x:c>
      <x:c r="G3263" s="30" t="n">
        <x:v>-30.7</x:v>
      </x:c>
      <x:c r="H3263" s="30" t="n">
        <x:v>-71.36</x:v>
      </x:c>
      <x:c r="I3263" s="29" t="n">
        <x:v>52</x:v>
      </x:c>
      <x:c r="J3263" s="31" t="n">
        <x:v>4.8</x:v>
      </x:c>
      <x:c r="K3263" s="25" t="str">
        <x:f>IF(J3263&gt;=7,"Muy fuerte (&gt;=7)",IF(J3263&gt;=6,"Fuerte (6-6.9)",IF(J3263&gt;=5,"Moderado alto (5-5.9)",IF(J3263&gt;=4,"Moderado (4-4.9)","Menor a 4"))))</x:f>
        <x:v>Moderado (4-4.9)</x:v>
      </x:c>
      <x:c r="L3263" s="25" t="str">
        <x:f>IF(I3263&lt;70,"Superficial (&lt;70 km)",IF(I3263&lt;=300,"Intermedio (70-300 km)","Profundo (&gt;300 km)"))</x:f>
        <x:v>Superficial (&lt;70 km)</x:v>
      </x:c>
      <x:c r="M3263" s="25" t="str">
        <x:f>IF(J3263&gt;=5,"Sí","No")</x:f>
        <x:v>No</x:v>
      </x:c>
      <x:c r="N3263" s="25" t="str">
        <x:f>IF(J3263&gt;=6,"Sí","No")</x:f>
        <x:v>No</x:v>
      </x:c>
      <x:c r="O3263" s="25" t="str">
        <x:v>Pendiente: asignar con R/sf</x:v>
      </x:c>
    </x:row>
    <x:row r="3264">
      <x:c r="A3264" s="25" t="n">
        <x:v>3263</x:v>
      </x:c>
      <x:c r="B3264" s="26" t="n">
        <x:v>43169.208761574075</x:v>
      </x:c>
      <x:c r="C3264" s="27" t="n">
        <x:f>INT(B3264)</x:f>
        <x:v>43169</x:v>
      </x:c>
      <x:c r="D3264" s="28" t="n">
        <x:f>MOD(B3264,1)</x:f>
        <x:v>0.20876157407474238</x:v>
      </x:c>
      <x:c r="E3264" s="29" t="n">
        <x:f>YEAR(B3264)</x:f>
        <x:v>2018</x:v>
      </x:c>
      <x:c r="F3264" s="29" t="n">
        <x:f>MONTH(B3264)</x:f>
        <x:v>3</x:v>
      </x:c>
      <x:c r="G3264" s="30" t="n">
        <x:v>-27.19</x:v>
      </x:c>
      <x:c r="H3264" s="30" t="n">
        <x:v>-70.23</x:v>
      </x:c>
      <x:c r="I3264" s="29" t="n">
        <x:v>90</x:v>
      </x:c>
      <x:c r="J3264" s="31" t="n">
        <x:v>4.4</x:v>
      </x:c>
      <x:c r="K3264" s="25" t="str">
        <x:f>IF(J3264&gt;=7,"Muy fuerte (&gt;=7)",IF(J3264&gt;=6,"Fuerte (6-6.9)",IF(J3264&gt;=5,"Moderado alto (5-5.9)",IF(J3264&gt;=4,"Moderado (4-4.9)","Menor a 4"))))</x:f>
        <x:v>Moderado (4-4.9)</x:v>
      </x:c>
      <x:c r="L3264" s="25" t="str">
        <x:f>IF(I3264&lt;70,"Superficial (&lt;70 km)",IF(I3264&lt;=300,"Intermedio (70-300 km)","Profundo (&gt;300 km)"))</x:f>
        <x:v>Intermedio (70-300 km)</x:v>
      </x:c>
      <x:c r="M3264" s="25" t="str">
        <x:f>IF(J3264&gt;=5,"Sí","No")</x:f>
        <x:v>No</x:v>
      </x:c>
      <x:c r="N3264" s="25" t="str">
        <x:f>IF(J3264&gt;=6,"Sí","No")</x:f>
        <x:v>No</x:v>
      </x:c>
      <x:c r="O3264" s="25" t="str">
        <x:v>Pendiente: asignar con R/sf</x:v>
      </x:c>
    </x:row>
    <x:row r="3265">
      <x:c r="A3265" s="25" t="n">
        <x:v>3264</x:v>
      </x:c>
      <x:c r="B3265" s="26" t="n">
        <x:v>43177.33767361111</x:v>
      </x:c>
      <x:c r="C3265" s="27" t="n">
        <x:f>INT(B3265)</x:f>
        <x:v>43177</x:v>
      </x:c>
      <x:c r="D3265" s="28" t="n">
        <x:f>MOD(B3265,1)</x:f>
        <x:v>0.33767361110949423</x:v>
      </x:c>
      <x:c r="E3265" s="29" t="n">
        <x:f>YEAR(B3265)</x:f>
        <x:v>2018</x:v>
      </x:c>
      <x:c r="F3265" s="29" t="n">
        <x:f>MONTH(B3265)</x:f>
        <x:v>3</x:v>
      </x:c>
      <x:c r="G3265" s="30" t="n">
        <x:v>-28.88</x:v>
      </x:c>
      <x:c r="H3265" s="30" t="n">
        <x:v>-71.29</x:v>
      </x:c>
      <x:c r="I3265" s="29" t="n">
        <x:v>40</x:v>
      </x:c>
      <x:c r="J3265" s="31" t="n">
        <x:v>4</x:v>
      </x:c>
      <x:c r="K3265" s="25" t="str">
        <x:f>IF(J3265&gt;=7,"Muy fuerte (&gt;=7)",IF(J3265&gt;=6,"Fuerte (6-6.9)",IF(J3265&gt;=5,"Moderado alto (5-5.9)",IF(J3265&gt;=4,"Moderado (4-4.9)","Menor a 4"))))</x:f>
        <x:v>Moderado (4-4.9)</x:v>
      </x:c>
      <x:c r="L3265" s="25" t="str">
        <x:f>IF(I3265&lt;70,"Superficial (&lt;70 km)",IF(I3265&lt;=300,"Intermedio (70-300 km)","Profundo (&gt;300 km)"))</x:f>
        <x:v>Superficial (&lt;70 km)</x:v>
      </x:c>
      <x:c r="M3265" s="25" t="str">
        <x:f>IF(J3265&gt;=5,"Sí","No")</x:f>
        <x:v>No</x:v>
      </x:c>
      <x:c r="N3265" s="25" t="str">
        <x:f>IF(J3265&gt;=6,"Sí","No")</x:f>
        <x:v>No</x:v>
      </x:c>
      <x:c r="O3265" s="25" t="str">
        <x:v>Pendiente: asignar con R/sf</x:v>
      </x:c>
    </x:row>
    <x:row r="3266">
      <x:c r="A3266" s="25" t="n">
        <x:v>3265</x:v>
      </x:c>
      <x:c r="B3266" s="26" t="n">
        <x:v>43178.69189814815</x:v>
      </x:c>
      <x:c r="C3266" s="27" t="n">
        <x:f>INT(B3266)</x:f>
        <x:v>43178</x:v>
      </x:c>
      <x:c r="D3266" s="28" t="n">
        <x:f>MOD(B3266,1)</x:f>
        <x:v>0.6918981481503579</x:v>
      </x:c>
      <x:c r="E3266" s="29" t="n">
        <x:f>YEAR(B3266)</x:f>
        <x:v>2018</x:v>
      </x:c>
      <x:c r="F3266" s="29" t="n">
        <x:f>MONTH(B3266)</x:f>
        <x:v>3</x:v>
      </x:c>
      <x:c r="G3266" s="30" t="n">
        <x:v>-27.49</x:v>
      </x:c>
      <x:c r="H3266" s="30" t="n">
        <x:v>-69.92</x:v>
      </x:c>
      <x:c r="I3266" s="29" t="n">
        <x:v>99</x:v>
      </x:c>
      <x:c r="J3266" s="31" t="n">
        <x:v>4.4</x:v>
      </x:c>
      <x:c r="K3266" s="25" t="str">
        <x:f>IF(J3266&gt;=7,"Muy fuerte (&gt;=7)",IF(J3266&gt;=6,"Fuerte (6-6.9)",IF(J3266&gt;=5,"Moderado alto (5-5.9)",IF(J3266&gt;=4,"Moderado (4-4.9)","Menor a 4"))))</x:f>
        <x:v>Moderado (4-4.9)</x:v>
      </x:c>
      <x:c r="L3266" s="25" t="str">
        <x:f>IF(I3266&lt;70,"Superficial (&lt;70 km)",IF(I3266&lt;=300,"Intermedio (70-300 km)","Profundo (&gt;300 km)"))</x:f>
        <x:v>Intermedio (70-300 km)</x:v>
      </x:c>
      <x:c r="M3266" s="25" t="str">
        <x:f>IF(J3266&gt;=5,"Sí","No")</x:f>
        <x:v>No</x:v>
      </x:c>
      <x:c r="N3266" s="25" t="str">
        <x:f>IF(J3266&gt;=6,"Sí","No")</x:f>
        <x:v>No</x:v>
      </x:c>
      <x:c r="O3266" s="25" t="str">
        <x:v>Pendiente: asignar con R/sf</x:v>
      </x:c>
    </x:row>
    <x:row r="3267">
      <x:c r="A3267" s="25" t="n">
        <x:v>3266</x:v>
      </x:c>
      <x:c r="B3267" s="26" t="n">
        <x:v>43189.30826388889</x:v>
      </x:c>
      <x:c r="C3267" s="27" t="n">
        <x:f>INT(B3267)</x:f>
        <x:v>43189</x:v>
      </x:c>
      <x:c r="D3267" s="28" t="n">
        <x:f>MOD(B3267,1)</x:f>
        <x:v>0.30826388888817746</x:v>
      </x:c>
      <x:c r="E3267" s="29" t="n">
        <x:f>YEAR(B3267)</x:f>
        <x:v>2018</x:v>
      </x:c>
      <x:c r="F3267" s="29" t="n">
        <x:f>MONTH(B3267)</x:f>
        <x:v>3</x:v>
      </x:c>
      <x:c r="G3267" s="30" t="n">
        <x:v>-30.68</x:v>
      </x:c>
      <x:c r="H3267" s="30" t="n">
        <x:v>-71.69</x:v>
      </x:c>
      <x:c r="I3267" s="29" t="n">
        <x:v>36</x:v>
      </x:c>
      <x:c r="J3267" s="31" t="n">
        <x:v>4.4</x:v>
      </x:c>
      <x:c r="K3267" s="25" t="str">
        <x:f>IF(J3267&gt;=7,"Muy fuerte (&gt;=7)",IF(J3267&gt;=6,"Fuerte (6-6.9)",IF(J3267&gt;=5,"Moderado alto (5-5.9)",IF(J3267&gt;=4,"Moderado (4-4.9)","Menor a 4"))))</x:f>
        <x:v>Moderado (4-4.9)</x:v>
      </x:c>
      <x:c r="L3267" s="25" t="str">
        <x:f>IF(I3267&lt;70,"Superficial (&lt;70 km)",IF(I3267&lt;=300,"Intermedio (70-300 km)","Profundo (&gt;300 km)"))</x:f>
        <x:v>Superficial (&lt;70 km)</x:v>
      </x:c>
      <x:c r="M3267" s="25" t="str">
        <x:f>IF(J3267&gt;=5,"Sí","No")</x:f>
        <x:v>No</x:v>
      </x:c>
      <x:c r="N3267" s="25" t="str">
        <x:f>IF(J3267&gt;=6,"Sí","No")</x:f>
        <x:v>No</x:v>
      </x:c>
      <x:c r="O3267" s="25" t="str">
        <x:v>Pendiente: asignar con R/sf</x:v>
      </x:c>
    </x:row>
    <x:row r="3268">
      <x:c r="A3268" s="25" t="n">
        <x:v>3267</x:v>
      </x:c>
      <x:c r="B3268" s="26" t="n">
        <x:v>43192.56685185185</x:v>
      </x:c>
      <x:c r="C3268" s="27" t="n">
        <x:f>INT(B3268)</x:f>
        <x:v>43192</x:v>
      </x:c>
      <x:c r="D3268" s="28" t="n">
        <x:f>MOD(B3268,1)</x:f>
        <x:v>0.5668518518505152</x:v>
      </x:c>
      <x:c r="E3268" s="29" t="n">
        <x:f>YEAR(B3268)</x:f>
        <x:v>2018</x:v>
      </x:c>
      <x:c r="F3268" s="29" t="n">
        <x:f>MONTH(B3268)</x:f>
        <x:v>4</x:v>
      </x:c>
      <x:c r="G3268" s="30" t="n">
        <x:v>-30.36</x:v>
      </x:c>
      <x:c r="H3268" s="30" t="n">
        <x:v>-71.38</x:v>
      </x:c>
      <x:c r="I3268" s="29" t="n">
        <x:v>41</x:v>
      </x:c>
      <x:c r="J3268" s="31" t="n">
        <x:v>4</x:v>
      </x:c>
      <x:c r="K3268" s="25" t="str">
        <x:f>IF(J3268&gt;=7,"Muy fuerte (&gt;=7)",IF(J3268&gt;=6,"Fuerte (6-6.9)",IF(J3268&gt;=5,"Moderado alto (5-5.9)",IF(J3268&gt;=4,"Moderado (4-4.9)","Menor a 4"))))</x:f>
        <x:v>Moderado (4-4.9)</x:v>
      </x:c>
      <x:c r="L3268" s="25" t="str">
        <x:f>IF(I3268&lt;70,"Superficial (&lt;70 km)",IF(I3268&lt;=300,"Intermedio (70-300 km)","Profundo (&gt;300 km)"))</x:f>
        <x:v>Superficial (&lt;70 km)</x:v>
      </x:c>
      <x:c r="M3268" s="25" t="str">
        <x:f>IF(J3268&gt;=5,"Sí","No")</x:f>
        <x:v>No</x:v>
      </x:c>
      <x:c r="N3268" s="25" t="str">
        <x:f>IF(J3268&gt;=6,"Sí","No")</x:f>
        <x:v>No</x:v>
      </x:c>
      <x:c r="O3268" s="25" t="str">
        <x:v>Pendiente: asignar con R/sf</x:v>
      </x:c>
    </x:row>
    <x:row r="3269">
      <x:c r="A3269" s="25" t="n">
        <x:v>3268</x:v>
      </x:c>
      <x:c r="B3269" s="26" t="n">
        <x:v>43195.69310185185</x:v>
      </x:c>
      <x:c r="C3269" s="27" t="n">
        <x:f>INT(B3269)</x:f>
        <x:v>43195</x:v>
      </x:c>
      <x:c r="D3269" s="28" t="n">
        <x:f>MOD(B3269,1)</x:f>
        <x:v>0.6931018518516794</x:v>
      </x:c>
      <x:c r="E3269" s="29" t="n">
        <x:f>YEAR(B3269)</x:f>
        <x:v>2018</x:v>
      </x:c>
      <x:c r="F3269" s="29" t="n">
        <x:f>MONTH(B3269)</x:f>
        <x:v>4</x:v>
      </x:c>
      <x:c r="G3269" s="30" t="n">
        <x:v>-28.16</x:v>
      </x:c>
      <x:c r="H3269" s="30" t="n">
        <x:v>-70.65</x:v>
      </x:c>
      <x:c r="I3269" s="29" t="n">
        <x:v>68</x:v>
      </x:c>
      <x:c r="J3269" s="31" t="n">
        <x:v>4.3</x:v>
      </x:c>
      <x:c r="K3269" s="25" t="str">
        <x:f>IF(J3269&gt;=7,"Muy fuerte (&gt;=7)",IF(J3269&gt;=6,"Fuerte (6-6.9)",IF(J3269&gt;=5,"Moderado alto (5-5.9)",IF(J3269&gt;=4,"Moderado (4-4.9)","Menor a 4"))))</x:f>
        <x:v>Moderado (4-4.9)</x:v>
      </x:c>
      <x:c r="L3269" s="25" t="str">
        <x:f>IF(I3269&lt;70,"Superficial (&lt;70 km)",IF(I3269&lt;=300,"Intermedio (70-300 km)","Profundo (&gt;300 km)"))</x:f>
        <x:v>Superficial (&lt;70 km)</x:v>
      </x:c>
      <x:c r="M3269" s="25" t="str">
        <x:f>IF(J3269&gt;=5,"Sí","No")</x:f>
        <x:v>No</x:v>
      </x:c>
      <x:c r="N3269" s="25" t="str">
        <x:f>IF(J3269&gt;=6,"Sí","No")</x:f>
        <x:v>No</x:v>
      </x:c>
      <x:c r="O3269" s="25" t="str">
        <x:v>Pendiente: asignar con R/sf</x:v>
      </x:c>
    </x:row>
    <x:row r="3270">
      <x:c r="A3270" s="25" t="n">
        <x:v>3269</x:v>
      </x:c>
      <x:c r="B3270" s="26" t="n">
        <x:v>43200.430243055554</x:v>
      </x:c>
      <x:c r="C3270" s="27" t="n">
        <x:f>INT(B3270)</x:f>
        <x:v>43200</x:v>
      </x:c>
      <x:c r="D3270" s="28" t="n">
        <x:f>MOD(B3270,1)</x:f>
        <x:v>0.4302430555544561</x:v>
      </x:c>
      <x:c r="E3270" s="29" t="n">
        <x:f>YEAR(B3270)</x:f>
        <x:v>2018</x:v>
      </x:c>
      <x:c r="F3270" s="29" t="n">
        <x:f>MONTH(B3270)</x:f>
        <x:v>4</x:v>
      </x:c>
      <x:c r="G3270" s="30" t="n">
        <x:v>-31</x:v>
      </x:c>
      <x:c r="H3270" s="30" t="n">
        <x:v>-71.54</x:v>
      </x:c>
      <x:c r="I3270" s="29" t="n">
        <x:v>74</x:v>
      </x:c>
      <x:c r="J3270" s="31" t="n">
        <x:v>6.2</x:v>
      </x:c>
      <x:c r="K3270" s="25" t="str">
        <x:f>IF(J3270&gt;=7,"Muy fuerte (&gt;=7)",IF(J3270&gt;=6,"Fuerte (6-6.9)",IF(J3270&gt;=5,"Moderado alto (5-5.9)",IF(J3270&gt;=4,"Moderado (4-4.9)","Menor a 4"))))</x:f>
        <x:v>Fuerte (6-6.9)</x:v>
      </x:c>
      <x:c r="L3270" s="25" t="str">
        <x:f>IF(I3270&lt;70,"Superficial (&lt;70 km)",IF(I3270&lt;=300,"Intermedio (70-300 km)","Profundo (&gt;300 km)"))</x:f>
        <x:v>Intermedio (70-300 km)</x:v>
      </x:c>
      <x:c r="M3270" s="25" t="str">
        <x:f>IF(J3270&gt;=5,"Sí","No")</x:f>
        <x:v>Sí</x:v>
      </x:c>
      <x:c r="N3270" s="25" t="str">
        <x:f>IF(J3270&gt;=6,"Sí","No")</x:f>
        <x:v>Sí</x:v>
      </x:c>
      <x:c r="O3270" s="25" t="str">
        <x:v>Pendiente: asignar con R/sf</x:v>
      </x:c>
    </x:row>
    <x:row r="3271">
      <x:c r="A3271" s="25" t="n">
        <x:v>3270</x:v>
      </x:c>
      <x:c r="B3271" s="26" t="n">
        <x:v>43205.55280092593</x:v>
      </x:c>
      <x:c r="C3271" s="27" t="n">
        <x:f>INT(B3271)</x:f>
        <x:v>43205</x:v>
      </x:c>
      <x:c r="D3271" s="28" t="n">
        <x:f>MOD(B3271,1)</x:f>
        <x:v>0.5528009259287501</x:v>
      </x:c>
      <x:c r="E3271" s="29" t="n">
        <x:f>YEAR(B3271)</x:f>
        <x:v>2018</x:v>
      </x:c>
      <x:c r="F3271" s="29" t="n">
        <x:f>MONTH(B3271)</x:f>
        <x:v>4</x:v>
      </x:c>
      <x:c r="G3271" s="30" t="n">
        <x:v>-28.98</x:v>
      </x:c>
      <x:c r="H3271" s="30" t="n">
        <x:v>-70.2</x:v>
      </x:c>
      <x:c r="I3271" s="29" t="n">
        <x:v>115</x:v>
      </x:c>
      <x:c r="J3271" s="31" t="n">
        <x:v>4.5</x:v>
      </x:c>
      <x:c r="K3271" s="25" t="str">
        <x:f>IF(J3271&gt;=7,"Muy fuerte (&gt;=7)",IF(J3271&gt;=6,"Fuerte (6-6.9)",IF(J3271&gt;=5,"Moderado alto (5-5.9)",IF(J3271&gt;=4,"Moderado (4-4.9)","Menor a 4"))))</x:f>
        <x:v>Moderado (4-4.9)</x:v>
      </x:c>
      <x:c r="L3271" s="25" t="str">
        <x:f>IF(I3271&lt;70,"Superficial (&lt;70 km)",IF(I3271&lt;=300,"Intermedio (70-300 km)","Profundo (&gt;300 km)"))</x:f>
        <x:v>Intermedio (70-300 km)</x:v>
      </x:c>
      <x:c r="M3271" s="25" t="str">
        <x:f>IF(J3271&gt;=5,"Sí","No")</x:f>
        <x:v>No</x:v>
      </x:c>
      <x:c r="N3271" s="25" t="str">
        <x:f>IF(J3271&gt;=6,"Sí","No")</x:f>
        <x:v>No</x:v>
      </x:c>
      <x:c r="O3271" s="25" t="str">
        <x:v>Pendiente: asignar con R/sf</x:v>
      </x:c>
    </x:row>
    <x:row r="3272">
      <x:c r="A3272" s="25" t="n">
        <x:v>3271</x:v>
      </x:c>
      <x:c r="B3272" s="26" t="n">
        <x:v>43206.52190972222</x:v>
      </x:c>
      <x:c r="C3272" s="27" t="n">
        <x:f>INT(B3272)</x:f>
        <x:v>43206</x:v>
      </x:c>
      <x:c r="D3272" s="28" t="n">
        <x:f>MOD(B3272,1)</x:f>
        <x:v>0.5219097222216078</x:v>
      </x:c>
      <x:c r="E3272" s="29" t="n">
        <x:f>YEAR(B3272)</x:f>
        <x:v>2018</x:v>
      </x:c>
      <x:c r="F3272" s="29" t="n">
        <x:f>MONTH(B3272)</x:f>
        <x:v>4</x:v>
      </x:c>
      <x:c r="G3272" s="30" t="n">
        <x:v>-29.85</x:v>
      </x:c>
      <x:c r="H3272" s="30" t="n">
        <x:v>-71.7</x:v>
      </x:c>
      <x:c r="I3272" s="29" t="n">
        <x:v>27</x:v>
      </x:c>
      <x:c r="J3272" s="31" t="n">
        <x:v>4.5</x:v>
      </x:c>
      <x:c r="K3272" s="25" t="str">
        <x:f>IF(J3272&gt;=7,"Muy fuerte (&gt;=7)",IF(J3272&gt;=6,"Fuerte (6-6.9)",IF(J3272&gt;=5,"Moderado alto (5-5.9)",IF(J3272&gt;=4,"Moderado (4-4.9)","Menor a 4"))))</x:f>
        <x:v>Moderado (4-4.9)</x:v>
      </x:c>
      <x:c r="L3272" s="25" t="str">
        <x:f>IF(I3272&lt;70,"Superficial (&lt;70 km)",IF(I3272&lt;=300,"Intermedio (70-300 km)","Profundo (&gt;300 km)"))</x:f>
        <x:v>Superficial (&lt;70 km)</x:v>
      </x:c>
      <x:c r="M3272" s="25" t="str">
        <x:f>IF(J3272&gt;=5,"Sí","No")</x:f>
        <x:v>No</x:v>
      </x:c>
      <x:c r="N3272" s="25" t="str">
        <x:f>IF(J3272&gt;=6,"Sí","No")</x:f>
        <x:v>No</x:v>
      </x:c>
      <x:c r="O3272" s="25" t="str">
        <x:v>Pendiente: asignar con R/sf</x:v>
      </x:c>
    </x:row>
    <x:row r="3273">
      <x:c r="A3273" s="25" t="n">
        <x:v>3272</x:v>
      </x:c>
      <x:c r="B3273" s="26" t="n">
        <x:v>43211.328414351854</x:v>
      </x:c>
      <x:c r="C3273" s="27" t="n">
        <x:f>INT(B3273)</x:f>
        <x:v>43211</x:v>
      </x:c>
      <x:c r="D3273" s="28" t="n">
        <x:f>MOD(B3273,1)</x:f>
        <x:v>0.3284143518540077</x:v>
      </x:c>
      <x:c r="E3273" s="29" t="n">
        <x:f>YEAR(B3273)</x:f>
        <x:v>2018</x:v>
      </x:c>
      <x:c r="F3273" s="29" t="n">
        <x:f>MONTH(B3273)</x:f>
        <x:v>4</x:v>
      </x:c>
      <x:c r="G3273" s="30" t="n">
        <x:v>-27.25</x:v>
      </x:c>
      <x:c r="H3273" s="30" t="n">
        <x:v>-69.27</x:v>
      </x:c>
      <x:c r="I3273" s="29" t="n">
        <x:v>115</x:v>
      </x:c>
      <x:c r="J3273" s="31" t="n">
        <x:v>4.4</x:v>
      </x:c>
      <x:c r="K3273" s="25" t="str">
        <x:f>IF(J3273&gt;=7,"Muy fuerte (&gt;=7)",IF(J3273&gt;=6,"Fuerte (6-6.9)",IF(J3273&gt;=5,"Moderado alto (5-5.9)",IF(J3273&gt;=4,"Moderado (4-4.9)","Menor a 4"))))</x:f>
        <x:v>Moderado (4-4.9)</x:v>
      </x:c>
      <x:c r="L3273" s="25" t="str">
        <x:f>IF(I3273&lt;70,"Superficial (&lt;70 km)",IF(I3273&lt;=300,"Intermedio (70-300 km)","Profundo (&gt;300 km)"))</x:f>
        <x:v>Intermedio (70-300 km)</x:v>
      </x:c>
      <x:c r="M3273" s="25" t="str">
        <x:f>IF(J3273&gt;=5,"Sí","No")</x:f>
        <x:v>No</x:v>
      </x:c>
      <x:c r="N3273" s="25" t="str">
        <x:f>IF(J3273&gt;=6,"Sí","No")</x:f>
        <x:v>No</x:v>
      </x:c>
      <x:c r="O3273" s="25" t="str">
        <x:v>Pendiente: asignar con R/sf</x:v>
      </x:c>
    </x:row>
    <x:row r="3274">
      <x:c r="A3274" s="25" t="n">
        <x:v>3273</x:v>
      </x:c>
      <x:c r="B3274" s="26" t="n">
        <x:v>43216.23111111111</x:v>
      </x:c>
      <x:c r="C3274" s="27" t="n">
        <x:f>INT(B3274)</x:f>
        <x:v>43216</x:v>
      </x:c>
      <x:c r="D3274" s="28" t="n">
        <x:f>MOD(B3274,1)</x:f>
        <x:v>0.23111111111211358</x:v>
      </x:c>
      <x:c r="E3274" s="29" t="n">
        <x:f>YEAR(B3274)</x:f>
        <x:v>2018</x:v>
      </x:c>
      <x:c r="F3274" s="29" t="n">
        <x:f>MONTH(B3274)</x:f>
        <x:v>4</x:v>
      </x:c>
      <x:c r="G3274" s="30" t="n">
        <x:v>-30.62</x:v>
      </x:c>
      <x:c r="H3274" s="30" t="n">
        <x:v>-71.17</x:v>
      </x:c>
      <x:c r="I3274" s="29" t="n">
        <x:v>56</x:v>
      </x:c>
      <x:c r="J3274" s="31" t="n">
        <x:v>5.3</x:v>
      </x:c>
      <x:c r="K3274" s="25" t="str">
        <x:f>IF(J3274&gt;=7,"Muy fuerte (&gt;=7)",IF(J3274&gt;=6,"Fuerte (6-6.9)",IF(J3274&gt;=5,"Moderado alto (5-5.9)",IF(J3274&gt;=4,"Moderado (4-4.9)","Menor a 4"))))</x:f>
        <x:v>Moderado alto (5-5.9)</x:v>
      </x:c>
      <x:c r="L3274" s="25" t="str">
        <x:f>IF(I3274&lt;70,"Superficial (&lt;70 km)",IF(I3274&lt;=300,"Intermedio (70-300 km)","Profundo (&gt;300 km)"))</x:f>
        <x:v>Superficial (&lt;70 km)</x:v>
      </x:c>
      <x:c r="M3274" s="25" t="str">
        <x:f>IF(J3274&gt;=5,"Sí","No")</x:f>
        <x:v>Sí</x:v>
      </x:c>
      <x:c r="N3274" s="25" t="str">
        <x:f>IF(J3274&gt;=6,"Sí","No")</x:f>
        <x:v>No</x:v>
      </x:c>
      <x:c r="O3274" s="25" t="str">
        <x:v>Pendiente: asignar con R/sf</x:v>
      </x:c>
    </x:row>
    <x:row r="3275">
      <x:c r="A3275" s="25" t="n">
        <x:v>3274</x:v>
      </x:c>
      <x:c r="B3275" s="26" t="n">
        <x:v>43224.85107638889</x:v>
      </x:c>
      <x:c r="C3275" s="27" t="n">
        <x:f>INT(B3275)</x:f>
        <x:v>43224</x:v>
      </x:c>
      <x:c r="D3275" s="28" t="n">
        <x:f>MOD(B3275,1)</x:f>
        <x:v>0.8510763888916699</x:v>
      </x:c>
      <x:c r="E3275" s="29" t="n">
        <x:f>YEAR(B3275)</x:f>
        <x:v>2018</x:v>
      </x:c>
      <x:c r="F3275" s="29" t="n">
        <x:f>MONTH(B3275)</x:f>
        <x:v>5</x:v>
      </x:c>
      <x:c r="G3275" s="30" t="n">
        <x:v>-29.82</x:v>
      </x:c>
      <x:c r="H3275" s="30" t="n">
        <x:v>-71.38</x:v>
      </x:c>
      <x:c r="I3275" s="29" t="n">
        <x:v>49</x:v>
      </x:c>
      <x:c r="J3275" s="31" t="n">
        <x:v>5</x:v>
      </x:c>
      <x:c r="K3275" s="25" t="str">
        <x:f>IF(J3275&gt;=7,"Muy fuerte (&gt;=7)",IF(J3275&gt;=6,"Fuerte (6-6.9)",IF(J3275&gt;=5,"Moderado alto (5-5.9)",IF(J3275&gt;=4,"Moderado (4-4.9)","Menor a 4"))))</x:f>
        <x:v>Moderado alto (5-5.9)</x:v>
      </x:c>
      <x:c r="L3275" s="25" t="str">
        <x:f>IF(I3275&lt;70,"Superficial (&lt;70 km)",IF(I3275&lt;=300,"Intermedio (70-300 km)","Profundo (&gt;300 km)"))</x:f>
        <x:v>Superficial (&lt;70 km)</x:v>
      </x:c>
      <x:c r="M3275" s="25" t="str">
        <x:f>IF(J3275&gt;=5,"Sí","No")</x:f>
        <x:v>Sí</x:v>
      </x:c>
      <x:c r="N3275" s="25" t="str">
        <x:f>IF(J3275&gt;=6,"Sí","No")</x:f>
        <x:v>No</x:v>
      </x:c>
      <x:c r="O3275" s="25" t="str">
        <x:v>Pendiente: asignar con R/sf</x:v>
      </x:c>
    </x:row>
    <x:row r="3276">
      <x:c r="A3276" s="25" t="n">
        <x:v>3275</x:v>
      </x:c>
      <x:c r="B3276" s="26" t="n">
        <x:v>43231.86984953703</x:v>
      </x:c>
      <x:c r="C3276" s="27" t="n">
        <x:f>INT(B3276)</x:f>
        <x:v>43231</x:v>
      </x:c>
      <x:c r="D3276" s="28" t="n">
        <x:f>MOD(B3276,1)</x:f>
        <x:v>0.8698495370335877</x:v>
      </x:c>
      <x:c r="E3276" s="29" t="n">
        <x:f>YEAR(B3276)</x:f>
        <x:v>2018</x:v>
      </x:c>
      <x:c r="F3276" s="29" t="n">
        <x:f>MONTH(B3276)</x:f>
        <x:v>5</x:v>
      </x:c>
      <x:c r="G3276" s="30" t="n">
        <x:v>-29.93</x:v>
      </x:c>
      <x:c r="H3276" s="30" t="n">
        <x:v>-71.63</x:v>
      </x:c>
      <x:c r="I3276" s="29" t="n">
        <x:v>40</x:v>
      </x:c>
      <x:c r="J3276" s="31" t="n">
        <x:v>4</x:v>
      </x:c>
      <x:c r="K3276" s="25" t="str">
        <x:f>IF(J3276&gt;=7,"Muy fuerte (&gt;=7)",IF(J3276&gt;=6,"Fuerte (6-6.9)",IF(J3276&gt;=5,"Moderado alto (5-5.9)",IF(J3276&gt;=4,"Moderado (4-4.9)","Menor a 4"))))</x:f>
        <x:v>Moderado (4-4.9)</x:v>
      </x:c>
      <x:c r="L3276" s="25" t="str">
        <x:f>IF(I3276&lt;70,"Superficial (&lt;70 km)",IF(I3276&lt;=300,"Intermedio (70-300 km)","Profundo (&gt;300 km)"))</x:f>
        <x:v>Superficial (&lt;70 km)</x:v>
      </x:c>
      <x:c r="M3276" s="25" t="str">
        <x:f>IF(J3276&gt;=5,"Sí","No")</x:f>
        <x:v>No</x:v>
      </x:c>
      <x:c r="N3276" s="25" t="str">
        <x:f>IF(J3276&gt;=6,"Sí","No")</x:f>
        <x:v>No</x:v>
      </x:c>
      <x:c r="O3276" s="25" t="str">
        <x:v>Pendiente: asignar con R/sf</x:v>
      </x:c>
    </x:row>
    <x:row r="3277">
      <x:c r="A3277" s="25" t="n">
        <x:v>3276</x:v>
      </x:c>
      <x:c r="B3277" s="26" t="n">
        <x:v>43266.58457175926</x:v>
      </x:c>
      <x:c r="C3277" s="27" t="n">
        <x:f>INT(B3277)</x:f>
        <x:v>43266</x:v>
      </x:c>
      <x:c r="D3277" s="28" t="n">
        <x:f>MOD(B3277,1)</x:f>
        <x:v>0.5845717592601432</x:v>
      </x:c>
      <x:c r="E3277" s="29" t="n">
        <x:f>YEAR(B3277)</x:f>
        <x:v>2018</x:v>
      </x:c>
      <x:c r="F3277" s="29" t="n">
        <x:f>MONTH(B3277)</x:f>
        <x:v>6</x:v>
      </x:c>
      <x:c r="G3277" s="30" t="n">
        <x:v>-29.59</x:v>
      </x:c>
      <x:c r="H3277" s="30" t="n">
        <x:v>-71.3</x:v>
      </x:c>
      <x:c r="I3277" s="29" t="n">
        <x:v>60</x:v>
      </x:c>
      <x:c r="J3277" s="31" t="n">
        <x:v>4.3</x:v>
      </x:c>
      <x:c r="K3277" s="25" t="str">
        <x:f>IF(J3277&gt;=7,"Muy fuerte (&gt;=7)",IF(J3277&gt;=6,"Fuerte (6-6.9)",IF(J3277&gt;=5,"Moderado alto (5-5.9)",IF(J3277&gt;=4,"Moderado (4-4.9)","Menor a 4"))))</x:f>
        <x:v>Moderado (4-4.9)</x:v>
      </x:c>
      <x:c r="L3277" s="25" t="str">
        <x:f>IF(I3277&lt;70,"Superficial (&lt;70 km)",IF(I3277&lt;=300,"Intermedio (70-300 km)","Profundo (&gt;300 km)"))</x:f>
        <x:v>Superficial (&lt;70 km)</x:v>
      </x:c>
      <x:c r="M3277" s="25" t="str">
        <x:f>IF(J3277&gt;=5,"Sí","No")</x:f>
        <x:v>No</x:v>
      </x:c>
      <x:c r="N3277" s="25" t="str">
        <x:f>IF(J3277&gt;=6,"Sí","No")</x:f>
        <x:v>No</x:v>
      </x:c>
      <x:c r="O3277" s="25" t="str">
        <x:v>Pendiente: asignar con R/sf</x:v>
      </x:c>
    </x:row>
    <x:row r="3278">
      <x:c r="A3278" s="25" t="n">
        <x:v>3277</x:v>
      </x:c>
      <x:c r="B3278" s="26" t="n">
        <x:v>43272.13228009259</x:v>
      </x:c>
      <x:c r="C3278" s="27" t="n">
        <x:f>INT(B3278)</x:f>
        <x:v>43272</x:v>
      </x:c>
      <x:c r="D3278" s="28" t="n">
        <x:f>MOD(B3278,1)</x:f>
        <x:v>0.13228009259182727</x:v>
      </x:c>
      <x:c r="E3278" s="29" t="n">
        <x:f>YEAR(B3278)</x:f>
        <x:v>2018</x:v>
      </x:c>
      <x:c r="F3278" s="29" t="n">
        <x:f>MONTH(B3278)</x:f>
        <x:v>6</x:v>
      </x:c>
      <x:c r="G3278" s="30" t="n">
        <x:v>-30.38</x:v>
      </x:c>
      <x:c r="H3278" s="30" t="n">
        <x:v>-71.49</x:v>
      </x:c>
      <x:c r="I3278" s="29" t="n">
        <x:v>28</x:v>
      </x:c>
      <x:c r="J3278" s="31" t="n">
        <x:v>4.3</x:v>
      </x:c>
      <x:c r="K3278" s="25" t="str">
        <x:f>IF(J3278&gt;=7,"Muy fuerte (&gt;=7)",IF(J3278&gt;=6,"Fuerte (6-6.9)",IF(J3278&gt;=5,"Moderado alto (5-5.9)",IF(J3278&gt;=4,"Moderado (4-4.9)","Menor a 4"))))</x:f>
        <x:v>Moderado (4-4.9)</x:v>
      </x:c>
      <x:c r="L3278" s="25" t="str">
        <x:f>IF(I3278&lt;70,"Superficial (&lt;70 km)",IF(I3278&lt;=300,"Intermedio (70-300 km)","Profundo (&gt;300 km)"))</x:f>
        <x:v>Superficial (&lt;70 km)</x:v>
      </x:c>
      <x:c r="M3278" s="25" t="str">
        <x:f>IF(J3278&gt;=5,"Sí","No")</x:f>
        <x:v>No</x:v>
      </x:c>
      <x:c r="N3278" s="25" t="str">
        <x:f>IF(J3278&gt;=6,"Sí","No")</x:f>
        <x:v>No</x:v>
      </x:c>
      <x:c r="O3278" s="25" t="str">
        <x:v>Pendiente: asignar con R/sf</x:v>
      </x:c>
    </x:row>
    <x:row r="3279">
      <x:c r="A3279" s="25" t="n">
        <x:v>3278</x:v>
      </x:c>
      <x:c r="B3279" s="26" t="n">
        <x:v>43273.19513888889</x:v>
      </x:c>
      <x:c r="C3279" s="27" t="n">
        <x:f>INT(B3279)</x:f>
        <x:v>43273</x:v>
      </x:c>
      <x:c r="D3279" s="28" t="n">
        <x:f>MOD(B3279,1)</x:f>
        <x:v>0.19513888889196096</x:v>
      </x:c>
      <x:c r="E3279" s="29" t="n">
        <x:f>YEAR(B3279)</x:f>
        <x:v>2018</x:v>
      </x:c>
      <x:c r="F3279" s="29" t="n">
        <x:f>MONTH(B3279)</x:f>
        <x:v>6</x:v>
      </x:c>
      <x:c r="G3279" s="30" t="n">
        <x:v>-28.79</x:v>
      </x:c>
      <x:c r="H3279" s="30" t="n">
        <x:v>-70.72</x:v>
      </x:c>
      <x:c r="I3279" s="29" t="n">
        <x:v>13</x:v>
      </x:c>
      <x:c r="J3279" s="31" t="n">
        <x:v>4.9</x:v>
      </x:c>
      <x:c r="K3279" s="25" t="str">
        <x:f>IF(J3279&gt;=7,"Muy fuerte (&gt;=7)",IF(J3279&gt;=6,"Fuerte (6-6.9)",IF(J3279&gt;=5,"Moderado alto (5-5.9)",IF(J3279&gt;=4,"Moderado (4-4.9)","Menor a 4"))))</x:f>
        <x:v>Moderado (4-4.9)</x:v>
      </x:c>
      <x:c r="L3279" s="25" t="str">
        <x:f>IF(I3279&lt;70,"Superficial (&lt;70 km)",IF(I3279&lt;=300,"Intermedio (70-300 km)","Profundo (&gt;300 km)"))</x:f>
        <x:v>Superficial (&lt;70 km)</x:v>
      </x:c>
      <x:c r="M3279" s="25" t="str">
        <x:f>IF(J3279&gt;=5,"Sí","No")</x:f>
        <x:v>No</x:v>
      </x:c>
      <x:c r="N3279" s="25" t="str">
        <x:f>IF(J3279&gt;=6,"Sí","No")</x:f>
        <x:v>No</x:v>
      </x:c>
      <x:c r="O3279" s="25" t="str">
        <x:v>Pendiente: asignar con R/sf</x:v>
      </x:c>
    </x:row>
    <x:row r="3280">
      <x:c r="A3280" s="25" t="n">
        <x:v>3279</x:v>
      </x:c>
      <x:c r="B3280" s="26" t="n">
        <x:v>43277.1890162037</x:v>
      </x:c>
      <x:c r="C3280" s="27" t="n">
        <x:f>INT(B3280)</x:f>
        <x:v>43277</x:v>
      </x:c>
      <x:c r="D3280" s="28" t="n">
        <x:f>MOD(B3280,1)</x:f>
        <x:v>0.18901620370161254</x:v>
      </x:c>
      <x:c r="E3280" s="29" t="n">
        <x:f>YEAR(B3280)</x:f>
        <x:v>2018</x:v>
      </x:c>
      <x:c r="F3280" s="29" t="n">
        <x:f>MONTH(B3280)</x:f>
        <x:v>6</x:v>
      </x:c>
      <x:c r="G3280" s="30" t="n">
        <x:v>-30.38</x:v>
      </x:c>
      <x:c r="H3280" s="30" t="n">
        <x:v>-71.69</x:v>
      </x:c>
      <x:c r="I3280" s="29" t="n">
        <x:v>38</x:v>
      </x:c>
      <x:c r="J3280" s="31" t="n">
        <x:v>4.8</x:v>
      </x:c>
      <x:c r="K3280" s="25" t="str">
        <x:f>IF(J3280&gt;=7,"Muy fuerte (&gt;=7)",IF(J3280&gt;=6,"Fuerte (6-6.9)",IF(J3280&gt;=5,"Moderado alto (5-5.9)",IF(J3280&gt;=4,"Moderado (4-4.9)","Menor a 4"))))</x:f>
        <x:v>Moderado (4-4.9)</x:v>
      </x:c>
      <x:c r="L3280" s="25" t="str">
        <x:f>IF(I3280&lt;70,"Superficial (&lt;70 km)",IF(I3280&lt;=300,"Intermedio (70-300 km)","Profundo (&gt;300 km)"))</x:f>
        <x:v>Superficial (&lt;70 km)</x:v>
      </x:c>
      <x:c r="M3280" s="25" t="str">
        <x:f>IF(J3280&gt;=5,"Sí","No")</x:f>
        <x:v>No</x:v>
      </x:c>
      <x:c r="N3280" s="25" t="str">
        <x:f>IF(J3280&gt;=6,"Sí","No")</x:f>
        <x:v>No</x:v>
      </x:c>
      <x:c r="O3280" s="25" t="str">
        <x:v>Pendiente: asignar con R/sf</x:v>
      </x:c>
    </x:row>
    <x:row r="3281">
      <x:c r="A3281" s="25" t="n">
        <x:v>3280</x:v>
      </x:c>
      <x:c r="B3281" s="26" t="n">
        <x:v>43282.49864583334</x:v>
      </x:c>
      <x:c r="C3281" s="27" t="n">
        <x:f>INT(B3281)</x:f>
        <x:v>43282</x:v>
      </x:c>
      <x:c r="D3281" s="28" t="n">
        <x:f>MOD(B3281,1)</x:f>
        <x:v>0.4986458333369228</x:v>
      </x:c>
      <x:c r="E3281" s="29" t="n">
        <x:f>YEAR(B3281)</x:f>
        <x:v>2018</x:v>
      </x:c>
      <x:c r="F3281" s="29" t="n">
        <x:f>MONTH(B3281)</x:f>
        <x:v>7</x:v>
      </x:c>
      <x:c r="G3281" s="30" t="n">
        <x:v>-28.86</x:v>
      </x:c>
      <x:c r="H3281" s="30" t="n">
        <x:v>-71.15</x:v>
      </x:c>
      <x:c r="I3281" s="29" t="n">
        <x:v>44</x:v>
      </x:c>
      <x:c r="J3281" s="31" t="n">
        <x:v>4.4</x:v>
      </x:c>
      <x:c r="K3281" s="25" t="str">
        <x:f>IF(J3281&gt;=7,"Muy fuerte (&gt;=7)",IF(J3281&gt;=6,"Fuerte (6-6.9)",IF(J3281&gt;=5,"Moderado alto (5-5.9)",IF(J3281&gt;=4,"Moderado (4-4.9)","Menor a 4"))))</x:f>
        <x:v>Moderado (4-4.9)</x:v>
      </x:c>
      <x:c r="L3281" s="25" t="str">
        <x:f>IF(I3281&lt;70,"Superficial (&lt;70 km)",IF(I3281&lt;=300,"Intermedio (70-300 km)","Profundo (&gt;300 km)"))</x:f>
        <x:v>Superficial (&lt;70 km)</x:v>
      </x:c>
      <x:c r="M3281" s="25" t="str">
        <x:f>IF(J3281&gt;=5,"Sí","No")</x:f>
        <x:v>No</x:v>
      </x:c>
      <x:c r="N3281" s="25" t="str">
        <x:f>IF(J3281&gt;=6,"Sí","No")</x:f>
        <x:v>No</x:v>
      </x:c>
      <x:c r="O3281" s="25" t="str">
        <x:v>Pendiente: asignar con R/sf</x:v>
      </x:c>
    </x:row>
    <x:row r="3282">
      <x:c r="A3282" s="25" t="n">
        <x:v>3281</x:v>
      </x:c>
      <x:c r="B3282" s="26" t="n">
        <x:v>43302.53428240741</x:v>
      </x:c>
      <x:c r="C3282" s="27" t="n">
        <x:f>INT(B3282)</x:f>
        <x:v>43302</x:v>
      </x:c>
      <x:c r="D3282" s="28" t="n">
        <x:f>MOD(B3282,1)</x:f>
        <x:v>0.534282407410501</x:v>
      </x:c>
      <x:c r="E3282" s="29" t="n">
        <x:f>YEAR(B3282)</x:f>
        <x:v>2018</x:v>
      </x:c>
      <x:c r="F3282" s="29" t="n">
        <x:f>MONTH(B3282)</x:f>
        <x:v>7</x:v>
      </x:c>
      <x:c r="G3282" s="30" t="n">
        <x:v>-29.87</x:v>
      </x:c>
      <x:c r="H3282" s="30" t="n">
        <x:v>-71.61</x:v>
      </x:c>
      <x:c r="I3282" s="29" t="n">
        <x:v>36</x:v>
      </x:c>
      <x:c r="J3282" s="31" t="n">
        <x:v>4.4</x:v>
      </x:c>
      <x:c r="K3282" s="25" t="str">
        <x:f>IF(J3282&gt;=7,"Muy fuerte (&gt;=7)",IF(J3282&gt;=6,"Fuerte (6-6.9)",IF(J3282&gt;=5,"Moderado alto (5-5.9)",IF(J3282&gt;=4,"Moderado (4-4.9)","Menor a 4"))))</x:f>
        <x:v>Moderado (4-4.9)</x:v>
      </x:c>
      <x:c r="L3282" s="25" t="str">
        <x:f>IF(I3282&lt;70,"Superficial (&lt;70 km)",IF(I3282&lt;=300,"Intermedio (70-300 km)","Profundo (&gt;300 km)"))</x:f>
        <x:v>Superficial (&lt;70 km)</x:v>
      </x:c>
      <x:c r="M3282" s="25" t="str">
        <x:f>IF(J3282&gt;=5,"Sí","No")</x:f>
        <x:v>No</x:v>
      </x:c>
      <x:c r="N3282" s="25" t="str">
        <x:f>IF(J3282&gt;=6,"Sí","No")</x:f>
        <x:v>No</x:v>
      </x:c>
      <x:c r="O3282" s="25" t="str">
        <x:v>Pendiente: asignar con R/sf</x:v>
      </x:c>
    </x:row>
    <x:row r="3283">
      <x:c r="A3283" s="25" t="n">
        <x:v>3282</x:v>
      </x:c>
      <x:c r="B3283" s="26" t="n">
        <x:v>43322.46140046296</x:v>
      </x:c>
      <x:c r="C3283" s="27" t="n">
        <x:f>INT(B3283)</x:f>
        <x:v>43322</x:v>
      </x:c>
      <x:c r="D3283" s="28" t="n">
        <x:f>MOD(B3283,1)</x:f>
        <x:v>0.46140046296204673</x:v>
      </x:c>
      <x:c r="E3283" s="29" t="n">
        <x:f>YEAR(B3283)</x:f>
        <x:v>2018</x:v>
      </x:c>
      <x:c r="F3283" s="29" t="n">
        <x:f>MONTH(B3283)</x:f>
        <x:v>8</x:v>
      </x:c>
      <x:c r="G3283" s="30" t="n">
        <x:v>-29.37</x:v>
      </x:c>
      <x:c r="H3283" s="30" t="n">
        <x:v>-71.72</x:v>
      </x:c>
      <x:c r="I3283" s="29" t="n">
        <x:v>38</x:v>
      </x:c>
      <x:c r="J3283" s="31" t="n">
        <x:v>4.1</x:v>
      </x:c>
      <x:c r="K3283" s="25" t="str">
        <x:f>IF(J3283&gt;=7,"Muy fuerte (&gt;=7)",IF(J3283&gt;=6,"Fuerte (6-6.9)",IF(J3283&gt;=5,"Moderado alto (5-5.9)",IF(J3283&gt;=4,"Moderado (4-4.9)","Menor a 4"))))</x:f>
        <x:v>Moderado (4-4.9)</x:v>
      </x:c>
      <x:c r="L3283" s="25" t="str">
        <x:f>IF(I3283&lt;70,"Superficial (&lt;70 km)",IF(I3283&lt;=300,"Intermedio (70-300 km)","Profundo (&gt;300 km)"))</x:f>
        <x:v>Superficial (&lt;70 km)</x:v>
      </x:c>
      <x:c r="M3283" s="25" t="str">
        <x:f>IF(J3283&gt;=5,"Sí","No")</x:f>
        <x:v>No</x:v>
      </x:c>
      <x:c r="N3283" s="25" t="str">
        <x:f>IF(J3283&gt;=6,"Sí","No")</x:f>
        <x:v>No</x:v>
      </x:c>
      <x:c r="O3283" s="25" t="str">
        <x:v>Pendiente: asignar con R/sf</x:v>
      </x:c>
    </x:row>
    <x:row r="3284">
      <x:c r="A3284" s="25" t="n">
        <x:v>3283</x:v>
      </x:c>
      <x:c r="B3284" s="26" t="n">
        <x:v>43340.2025462963</x:v>
      </x:c>
      <x:c r="C3284" s="27" t="n">
        <x:f>INT(B3284)</x:f>
        <x:v>43340</x:v>
      </x:c>
      <x:c r="D3284" s="28" t="n">
        <x:f>MOD(B3284,1)</x:f>
        <x:v>0.20254629629926058</x:v>
      </x:c>
      <x:c r="E3284" s="29" t="n">
        <x:f>YEAR(B3284)</x:f>
        <x:v>2018</x:v>
      </x:c>
      <x:c r="F3284" s="29" t="n">
        <x:f>MONTH(B3284)</x:f>
        <x:v>8</x:v>
      </x:c>
      <x:c r="G3284" s="30" t="n">
        <x:v>-29.7</x:v>
      </x:c>
      <x:c r="H3284" s="30" t="n">
        <x:v>-71.3</x:v>
      </x:c>
      <x:c r="I3284" s="29" t="n">
        <x:v>47</x:v>
      </x:c>
      <x:c r="J3284" s="31" t="n">
        <x:v>5.1</x:v>
      </x:c>
      <x:c r="K3284" s="25" t="str">
        <x:f>IF(J3284&gt;=7,"Muy fuerte (&gt;=7)",IF(J3284&gt;=6,"Fuerte (6-6.9)",IF(J3284&gt;=5,"Moderado alto (5-5.9)",IF(J3284&gt;=4,"Moderado (4-4.9)","Menor a 4"))))</x:f>
        <x:v>Moderado alto (5-5.9)</x:v>
      </x:c>
      <x:c r="L3284" s="25" t="str">
        <x:f>IF(I3284&lt;70,"Superficial (&lt;70 km)",IF(I3284&lt;=300,"Intermedio (70-300 km)","Profundo (&gt;300 km)"))</x:f>
        <x:v>Superficial (&lt;70 km)</x:v>
      </x:c>
      <x:c r="M3284" s="25" t="str">
        <x:f>IF(J3284&gt;=5,"Sí","No")</x:f>
        <x:v>Sí</x:v>
      </x:c>
      <x:c r="N3284" s="25" t="str">
        <x:f>IF(J3284&gt;=6,"Sí","No")</x:f>
        <x:v>No</x:v>
      </x:c>
      <x:c r="O3284" s="25" t="str">
        <x:v>Pendiente: asignar con R/sf</x:v>
      </x:c>
    </x:row>
    <x:row r="3285">
      <x:c r="A3285" s="25" t="n">
        <x:v>3284</x:v>
      </x:c>
      <x:c r="B3285" s="26" t="n">
        <x:v>43398.471921296295</x:v>
      </x:c>
      <x:c r="C3285" s="27" t="n">
        <x:f>INT(B3285)</x:f>
        <x:v>43398</x:v>
      </x:c>
      <x:c r="D3285" s="28" t="n">
        <x:f>MOD(B3285,1)</x:f>
        <x:v>0.4719212962954771</x:v>
      </x:c>
      <x:c r="E3285" s="29" t="n">
        <x:f>YEAR(B3285)</x:f>
        <x:v>2018</x:v>
      </x:c>
      <x:c r="F3285" s="29" t="n">
        <x:f>MONTH(B3285)</x:f>
        <x:v>10</x:v>
      </x:c>
      <x:c r="G3285" s="30" t="n">
        <x:v>-30.64</x:v>
      </x:c>
      <x:c r="H3285" s="30" t="n">
        <x:v>-71.74</x:v>
      </x:c>
      <x:c r="I3285" s="29" t="n">
        <x:v>37</x:v>
      </x:c>
      <x:c r="J3285" s="31" t="n">
        <x:v>4.9</x:v>
      </x:c>
      <x:c r="K3285" s="25" t="str">
        <x:f>IF(J3285&gt;=7,"Muy fuerte (&gt;=7)",IF(J3285&gt;=6,"Fuerte (6-6.9)",IF(J3285&gt;=5,"Moderado alto (5-5.9)",IF(J3285&gt;=4,"Moderado (4-4.9)","Menor a 4"))))</x:f>
        <x:v>Moderado (4-4.9)</x:v>
      </x:c>
      <x:c r="L3285" s="25" t="str">
        <x:f>IF(I3285&lt;70,"Superficial (&lt;70 km)",IF(I3285&lt;=300,"Intermedio (70-300 km)","Profundo (&gt;300 km)"))</x:f>
        <x:v>Superficial (&lt;70 km)</x:v>
      </x:c>
      <x:c r="M3285" s="25" t="str">
        <x:f>IF(J3285&gt;=5,"Sí","No")</x:f>
        <x:v>No</x:v>
      </x:c>
      <x:c r="N3285" s="25" t="str">
        <x:f>IF(J3285&gt;=6,"Sí","No")</x:f>
        <x:v>No</x:v>
      </x:c>
      <x:c r="O3285" s="25" t="str">
        <x:v>Pendiente: asignar con R/sf</x:v>
      </x:c>
    </x:row>
    <x:row r="3286">
      <x:c r="A3286" s="25" t="n">
        <x:v>3285</x:v>
      </x:c>
      <x:c r="B3286" s="26" t="n">
        <x:v>43413.78760416667</x:v>
      </x:c>
      <x:c r="C3286" s="27" t="n">
        <x:f>INT(B3286)</x:f>
        <x:v>43413</x:v>
      </x:c>
      <x:c r="D3286" s="28" t="n">
        <x:f>MOD(B3286,1)</x:f>
        <x:v>0.7876041666677338</x:v>
      </x:c>
      <x:c r="E3286" s="29" t="n">
        <x:f>YEAR(B3286)</x:f>
        <x:v>2018</x:v>
      </x:c>
      <x:c r="F3286" s="29" t="n">
        <x:f>MONTH(B3286)</x:f>
        <x:v>11</x:v>
      </x:c>
      <x:c r="G3286" s="30" t="n">
        <x:v>-30.68</x:v>
      </x:c>
      <x:c r="H3286" s="30" t="n">
        <x:v>-71.75</x:v>
      </x:c>
      <x:c r="I3286" s="29" t="n">
        <x:v>35</x:v>
      </x:c>
      <x:c r="J3286" s="31" t="n">
        <x:v>5.2</x:v>
      </x:c>
      <x:c r="K3286" s="25" t="str">
        <x:f>IF(J3286&gt;=7,"Muy fuerte (&gt;=7)",IF(J3286&gt;=6,"Fuerte (6-6.9)",IF(J3286&gt;=5,"Moderado alto (5-5.9)",IF(J3286&gt;=4,"Moderado (4-4.9)","Menor a 4"))))</x:f>
        <x:v>Moderado alto (5-5.9)</x:v>
      </x:c>
      <x:c r="L3286" s="25" t="str">
        <x:f>IF(I3286&lt;70,"Superficial (&lt;70 km)",IF(I3286&lt;=300,"Intermedio (70-300 km)","Profundo (&gt;300 km)"))</x:f>
        <x:v>Superficial (&lt;70 km)</x:v>
      </x:c>
      <x:c r="M3286" s="25" t="str">
        <x:f>IF(J3286&gt;=5,"Sí","No")</x:f>
        <x:v>Sí</x:v>
      </x:c>
      <x:c r="N3286" s="25" t="str">
        <x:f>IF(J3286&gt;=6,"Sí","No")</x:f>
        <x:v>No</x:v>
      </x:c>
      <x:c r="O3286" s="25" t="str">
        <x:v>Pendiente: asignar con R/sf</x:v>
      </x:c>
    </x:row>
    <x:row r="3287">
      <x:c r="A3287" s="25" t="n">
        <x:v>3286</x:v>
      </x:c>
      <x:c r="B3287" s="26" t="n">
        <x:v>43440.22516203704</x:v>
      </x:c>
      <x:c r="C3287" s="27" t="n">
        <x:f>INT(B3287)</x:f>
        <x:v>43440</x:v>
      </x:c>
      <x:c r="D3287" s="28" t="n">
        <x:f>MOD(B3287,1)</x:f>
        <x:v>0.22516203703708015</x:v>
      </x:c>
      <x:c r="E3287" s="29" t="n">
        <x:f>YEAR(B3287)</x:f>
        <x:v>2018</x:v>
      </x:c>
      <x:c r="F3287" s="29" t="n">
        <x:f>MONTH(B3287)</x:f>
        <x:v>12</x:v>
      </x:c>
      <x:c r="G3287" s="30" t="n">
        <x:v>-30.72</x:v>
      </x:c>
      <x:c r="H3287" s="30" t="n">
        <x:v>-71.41</x:v>
      </x:c>
      <x:c r="I3287" s="29" t="n">
        <x:v>50</x:v>
      </x:c>
      <x:c r="J3287" s="31" t="n">
        <x:v>4.6</x:v>
      </x:c>
      <x:c r="K3287" s="25" t="str">
        <x:f>IF(J3287&gt;=7,"Muy fuerte (&gt;=7)",IF(J3287&gt;=6,"Fuerte (6-6.9)",IF(J3287&gt;=5,"Moderado alto (5-5.9)",IF(J3287&gt;=4,"Moderado (4-4.9)","Menor a 4"))))</x:f>
        <x:v>Moderado (4-4.9)</x:v>
      </x:c>
      <x:c r="L3287" s="25" t="str">
        <x:f>IF(I3287&lt;70,"Superficial (&lt;70 km)",IF(I3287&lt;=300,"Intermedio (70-300 km)","Profundo (&gt;300 km)"))</x:f>
        <x:v>Superficial (&lt;70 km)</x:v>
      </x:c>
      <x:c r="M3287" s="25" t="str">
        <x:f>IF(J3287&gt;=5,"Sí","No")</x:f>
        <x:v>No</x:v>
      </x:c>
      <x:c r="N3287" s="25" t="str">
        <x:f>IF(J3287&gt;=6,"Sí","No")</x:f>
        <x:v>No</x:v>
      </x:c>
      <x:c r="O3287" s="25" t="str">
        <x:v>Pendiente: asignar con R/sf</x:v>
      </x:c>
    </x:row>
    <x:row r="3288">
      <x:c r="A3288" s="25" t="n">
        <x:v>3287</x:v>
      </x:c>
      <x:c r="B3288" s="26" t="n">
        <x:v>43450.00292824074</x:v>
      </x:c>
      <x:c r="C3288" s="27" t="n">
        <x:f>INT(B3288)</x:f>
        <x:v>43450</x:v>
      </x:c>
      <x:c r="D3288" s="28" t="n">
        <x:f>MOD(B3288,1)</x:f>
        <x:v>0.002928240741312038</x:v>
      </x:c>
      <x:c r="E3288" s="29" t="n">
        <x:f>YEAR(B3288)</x:f>
        <x:v>2018</x:v>
      </x:c>
      <x:c r="F3288" s="29" t="n">
        <x:f>MONTH(B3288)</x:f>
        <x:v>12</x:v>
      </x:c>
      <x:c r="G3288" s="30" t="n">
        <x:v>-30.65</x:v>
      </x:c>
      <x:c r="H3288" s="30" t="n">
        <x:v>-71.63</x:v>
      </x:c>
      <x:c r="I3288" s="29" t="n">
        <x:v>31</x:v>
      </x:c>
      <x:c r="J3288" s="31" t="n">
        <x:v>4.7</x:v>
      </x:c>
      <x:c r="K3288" s="25" t="str">
        <x:f>IF(J3288&gt;=7,"Muy fuerte (&gt;=7)",IF(J3288&gt;=6,"Fuerte (6-6.9)",IF(J3288&gt;=5,"Moderado alto (5-5.9)",IF(J3288&gt;=4,"Moderado (4-4.9)","Menor a 4"))))</x:f>
        <x:v>Moderado (4-4.9)</x:v>
      </x:c>
      <x:c r="L3288" s="25" t="str">
        <x:f>IF(I3288&lt;70,"Superficial (&lt;70 km)",IF(I3288&lt;=300,"Intermedio (70-300 km)","Profundo (&gt;300 km)"))</x:f>
        <x:v>Superficial (&lt;70 km)</x:v>
      </x:c>
      <x:c r="M3288" s="25" t="str">
        <x:f>IF(J3288&gt;=5,"Sí","No")</x:f>
        <x:v>No</x:v>
      </x:c>
      <x:c r="N3288" s="25" t="str">
        <x:f>IF(J3288&gt;=6,"Sí","No")</x:f>
        <x:v>No</x:v>
      </x:c>
      <x:c r="O3288" s="25" t="str">
        <x:v>Pendiente: asignar con R/sf</x:v>
      </x:c>
    </x:row>
    <x:row r="3289">
      <x:c r="A3289" s="25" t="n">
        <x:v>3288</x:v>
      </x:c>
      <x:c r="B3289" s="26" t="n">
        <x:v>43471.85113425926</x:v>
      </x:c>
      <x:c r="C3289" s="27" t="n">
        <x:f>INT(B3289)</x:f>
        <x:v>43471</x:v>
      </x:c>
      <x:c r="D3289" s="28" t="n">
        <x:f>MOD(B3289,1)</x:f>
        <x:v>0.8511342592610163</x:v>
      </x:c>
      <x:c r="E3289" s="29" t="n">
        <x:f>YEAR(B3289)</x:f>
        <x:v>2019</x:v>
      </x:c>
      <x:c r="F3289" s="29" t="n">
        <x:f>MONTH(B3289)</x:f>
        <x:v>1</x:v>
      </x:c>
      <x:c r="G3289" s="30" t="n">
        <x:v>-19.6</x:v>
      </x:c>
      <x:c r="H3289" s="30" t="n">
        <x:v>-69.67</x:v>
      </x:c>
      <x:c r="I3289" s="29" t="n">
        <x:v>102</x:v>
      </x:c>
      <x:c r="J3289" s="31" t="n">
        <x:v>5</x:v>
      </x:c>
      <x:c r="K3289" s="25" t="str">
        <x:f>IF(J3289&gt;=7,"Muy fuerte (&gt;=7)",IF(J3289&gt;=6,"Fuerte (6-6.9)",IF(J3289&gt;=5,"Moderado alto (5-5.9)",IF(J3289&gt;=4,"Moderado (4-4.9)","Menor a 4"))))</x:f>
        <x:v>Moderado alto (5-5.9)</x:v>
      </x:c>
      <x:c r="L3289" s="25" t="str">
        <x:f>IF(I3289&lt;70,"Superficial (&lt;70 km)",IF(I3289&lt;=300,"Intermedio (70-300 km)","Profundo (&gt;300 km)"))</x:f>
        <x:v>Intermedio (70-300 km)</x:v>
      </x:c>
      <x:c r="M3289" s="25" t="str">
        <x:f>IF(J3289&gt;=5,"Sí","No")</x:f>
        <x:v>Sí</x:v>
      </x:c>
      <x:c r="N3289" s="25" t="str">
        <x:f>IF(J3289&gt;=6,"Sí","No")</x:f>
        <x:v>No</x:v>
      </x:c>
      <x:c r="O3289" s="25" t="str">
        <x:v>Pendiente: asignar con R/sf</x:v>
      </x:c>
    </x:row>
    <x:row r="3290">
      <x:c r="A3290" s="25" t="n">
        <x:v>3289</x:v>
      </x:c>
      <x:c r="B3290" s="26" t="n">
        <x:v>43472.57188657407</x:v>
      </x:c>
      <x:c r="C3290" s="27" t="n">
        <x:f>INT(B3290)</x:f>
        <x:v>43472</x:v>
      </x:c>
      <x:c r="D3290" s="28" t="n">
        <x:f>MOD(B3290,1)</x:f>
        <x:v>0.5718865740709589</x:v>
      </x:c>
      <x:c r="E3290" s="29" t="n">
        <x:f>YEAR(B3290)</x:f>
        <x:v>2019</x:v>
      </x:c>
      <x:c r="F3290" s="29" t="n">
        <x:f>MONTH(B3290)</x:f>
        <x:v>1</x:v>
      </x:c>
      <x:c r="G3290" s="30" t="n">
        <x:v>-19.61</x:v>
      </x:c>
      <x:c r="H3290" s="30" t="n">
        <x:v>-69.13</x:v>
      </x:c>
      <x:c r="I3290" s="29" t="n">
        <x:v>104</x:v>
      </x:c>
      <x:c r="J3290" s="31" t="n">
        <x:v>4.9</x:v>
      </x:c>
      <x:c r="K3290" s="25" t="str">
        <x:f>IF(J3290&gt;=7,"Muy fuerte (&gt;=7)",IF(J3290&gt;=6,"Fuerte (6-6.9)",IF(J3290&gt;=5,"Moderado alto (5-5.9)",IF(J3290&gt;=4,"Moderado (4-4.9)","Menor a 4"))))</x:f>
        <x:v>Moderado (4-4.9)</x:v>
      </x:c>
      <x:c r="L3290" s="25" t="str">
        <x:f>IF(I3290&lt;70,"Superficial (&lt;70 km)",IF(I3290&lt;=300,"Intermedio (70-300 km)","Profundo (&gt;300 km)"))</x:f>
        <x:v>Intermedio (70-300 km)</x:v>
      </x:c>
      <x:c r="M3290" s="25" t="str">
        <x:f>IF(J3290&gt;=5,"Sí","No")</x:f>
        <x:v>No</x:v>
      </x:c>
      <x:c r="N3290" s="25" t="str">
        <x:f>IF(J3290&gt;=6,"Sí","No")</x:f>
        <x:v>No</x:v>
      </x:c>
      <x:c r="O3290" s="25" t="str">
        <x:v>Pendiente: asignar con R/sf</x:v>
      </x:c>
    </x:row>
    <x:row r="3291">
      <x:c r="A3291" s="25" t="n">
        <x:v>3290</x:v>
      </x:c>
      <x:c r="B3291" s="26" t="n">
        <x:v>43473.93953703704</x:v>
      </x:c>
      <x:c r="C3291" s="27" t="n">
        <x:f>INT(B3291)</x:f>
        <x:v>43473</x:v>
      </x:c>
      <x:c r="D3291" s="28" t="n">
        <x:f>MOD(B3291,1)</x:f>
        <x:v>0.9395370370402816</x:v>
      </x:c>
      <x:c r="E3291" s="29" t="n">
        <x:f>YEAR(B3291)</x:f>
        <x:v>2019</x:v>
      </x:c>
      <x:c r="F3291" s="29" t="n">
        <x:f>MONTH(B3291)</x:f>
        <x:v>1</x:v>
      </x:c>
      <x:c r="G3291" s="30" t="n">
        <x:v>-20.59</x:v>
      </x:c>
      <x:c r="H3291" s="30" t="n">
        <x:v>-69.79</x:v>
      </x:c>
      <x:c r="I3291" s="29" t="n">
        <x:v>24</x:v>
      </x:c>
      <x:c r="J3291" s="31" t="n">
        <x:v>4.3</x:v>
      </x:c>
      <x:c r="K3291" s="25" t="str">
        <x:f>IF(J3291&gt;=7,"Muy fuerte (&gt;=7)",IF(J3291&gt;=6,"Fuerte (6-6.9)",IF(J3291&gt;=5,"Moderado alto (5-5.9)",IF(J3291&gt;=4,"Moderado (4-4.9)","Menor a 4"))))</x:f>
        <x:v>Moderado (4-4.9)</x:v>
      </x:c>
      <x:c r="L3291" s="25" t="str">
        <x:f>IF(I3291&lt;70,"Superficial (&lt;70 km)",IF(I3291&lt;=300,"Intermedio (70-300 km)","Profundo (&gt;300 km)"))</x:f>
        <x:v>Superficial (&lt;70 km)</x:v>
      </x:c>
      <x:c r="M3291" s="25" t="str">
        <x:f>IF(J3291&gt;=5,"Sí","No")</x:f>
        <x:v>No</x:v>
      </x:c>
      <x:c r="N3291" s="25" t="str">
        <x:f>IF(J3291&gt;=6,"Sí","No")</x:f>
        <x:v>No</x:v>
      </x:c>
      <x:c r="O3291" s="25" t="str">
        <x:v>Pendiente: asignar con R/sf</x:v>
      </x:c>
    </x:row>
    <x:row r="3292">
      <x:c r="A3292" s="25" t="n">
        <x:v>3291</x:v>
      </x:c>
      <x:c r="B3292" s="26" t="n">
        <x:v>43487.38570601852</x:v>
      </x:c>
      <x:c r="C3292" s="27" t="n">
        <x:f>INT(B3292)</x:f>
        <x:v>43487</x:v>
      </x:c>
      <x:c r="D3292" s="28" t="n">
        <x:f>MOD(B3292,1)</x:f>
        <x:v>0.38570601851824904</x:v>
      </x:c>
      <x:c r="E3292" s="29" t="n">
        <x:f>YEAR(B3292)</x:f>
        <x:v>2019</x:v>
      </x:c>
      <x:c r="F3292" s="29" t="n">
        <x:f>MONTH(B3292)</x:f>
        <x:v>1</x:v>
      </x:c>
      <x:c r="G3292" s="30" t="n">
        <x:v>-30.23</x:v>
      </x:c>
      <x:c r="H3292" s="30" t="n">
        <x:v>-71.22</x:v>
      </x:c>
      <x:c r="I3292" s="29" t="n">
        <x:v>60</x:v>
      </x:c>
      <x:c r="J3292" s="31" t="n">
        <x:v>4</x:v>
      </x:c>
      <x:c r="K3292" s="25" t="str">
        <x:f>IF(J3292&gt;=7,"Muy fuerte (&gt;=7)",IF(J3292&gt;=6,"Fuerte (6-6.9)",IF(J3292&gt;=5,"Moderado alto (5-5.9)",IF(J3292&gt;=4,"Moderado (4-4.9)","Menor a 4"))))</x:f>
        <x:v>Moderado (4-4.9)</x:v>
      </x:c>
      <x:c r="L3292" s="25" t="str">
        <x:f>IF(I3292&lt;70,"Superficial (&lt;70 km)",IF(I3292&lt;=300,"Intermedio (70-300 km)","Profundo (&gt;300 km)"))</x:f>
        <x:v>Superficial (&lt;70 km)</x:v>
      </x:c>
      <x:c r="M3292" s="25" t="str">
        <x:f>IF(J3292&gt;=5,"Sí","No")</x:f>
        <x:v>No</x:v>
      </x:c>
      <x:c r="N3292" s="25" t="str">
        <x:f>IF(J3292&gt;=6,"Sí","No")</x:f>
        <x:v>No</x:v>
      </x:c>
      <x:c r="O3292" s="25" t="str">
        <x:v>Pendiente: asignar con R/sf</x:v>
      </x:c>
    </x:row>
    <x:row r="3293">
      <x:c r="A3293" s="25" t="n">
        <x:v>3292</x:v>
      </x:c>
      <x:c r="B3293" s="26" t="n">
        <x:v>43490.353680555556</x:v>
      </x:c>
      <x:c r="C3293" s="27" t="n">
        <x:f>INT(B3293)</x:f>
        <x:v>43490</x:v>
      </x:c>
      <x:c r="D3293" s="28" t="n">
        <x:f>MOD(B3293,1)</x:f>
        <x:v>0.35368055555591127</x:v>
      </x:c>
      <x:c r="E3293" s="29" t="n">
        <x:f>YEAR(B3293)</x:f>
        <x:v>2019</x:v>
      </x:c>
      <x:c r="F3293" s="29" t="n">
        <x:f>MONTH(B3293)</x:f>
        <x:v>1</x:v>
      </x:c>
      <x:c r="G3293" s="30" t="n">
        <x:v>-30.24</x:v>
      </x:c>
      <x:c r="H3293" s="30" t="n">
        <x:v>-71.33</x:v>
      </x:c>
      <x:c r="I3293" s="29" t="n">
        <x:v>66</x:v>
      </x:c>
      <x:c r="J3293" s="31" t="n">
        <x:v>4</x:v>
      </x:c>
      <x:c r="K3293" s="25" t="str">
        <x:f>IF(J3293&gt;=7,"Muy fuerte (&gt;=7)",IF(J3293&gt;=6,"Fuerte (6-6.9)",IF(J3293&gt;=5,"Moderado alto (5-5.9)",IF(J3293&gt;=4,"Moderado (4-4.9)","Menor a 4"))))</x:f>
        <x:v>Moderado (4-4.9)</x:v>
      </x:c>
      <x:c r="L3293" s="25" t="str">
        <x:f>IF(I3293&lt;70,"Superficial (&lt;70 km)",IF(I3293&lt;=300,"Intermedio (70-300 km)","Profundo (&gt;300 km)"))</x:f>
        <x:v>Superficial (&lt;70 km)</x:v>
      </x:c>
      <x:c r="M3293" s="25" t="str">
        <x:f>IF(J3293&gt;=5,"Sí","No")</x:f>
        <x:v>No</x:v>
      </x:c>
      <x:c r="N3293" s="25" t="str">
        <x:f>IF(J3293&gt;=6,"Sí","No")</x:f>
        <x:v>No</x:v>
      </x:c>
      <x:c r="O3293" s="25" t="str">
        <x:v>Pendiente: asignar con R/sf</x:v>
      </x:c>
    </x:row>
    <x:row r="3294">
      <x:c r="A3294" s="25" t="n">
        <x:v>3293</x:v>
      </x:c>
      <x:c r="B3294" s="26" t="n">
        <x:v>43491.60141203704</x:v>
      </x:c>
      <x:c r="C3294" s="27" t="n">
        <x:f>INT(B3294)</x:f>
        <x:v>43491</x:v>
      </x:c>
      <x:c r="D3294" s="28" t="n">
        <x:f>MOD(B3294,1)</x:f>
        <x:v>0.6014120370382443</x:v>
      </x:c>
      <x:c r="E3294" s="29" t="n">
        <x:f>YEAR(B3294)</x:f>
        <x:v>2019</x:v>
      </x:c>
      <x:c r="F3294" s="29" t="n">
        <x:f>MONTH(B3294)</x:f>
        <x:v>1</x:v>
      </x:c>
      <x:c r="G3294" s="30" t="n">
        <x:v>-19.17</x:v>
      </x:c>
      <x:c r="H3294" s="30" t="n">
        <x:v>-70.12</x:v>
      </x:c>
      <x:c r="I3294" s="29" t="n">
        <x:v>68</x:v>
      </x:c>
      <x:c r="J3294" s="31" t="n">
        <x:v>4.2</x:v>
      </x:c>
      <x:c r="K3294" s="25" t="str">
        <x:f>IF(J3294&gt;=7,"Muy fuerte (&gt;=7)",IF(J3294&gt;=6,"Fuerte (6-6.9)",IF(J3294&gt;=5,"Moderado alto (5-5.9)",IF(J3294&gt;=4,"Moderado (4-4.9)","Menor a 4"))))</x:f>
        <x:v>Moderado (4-4.9)</x:v>
      </x:c>
      <x:c r="L3294" s="25" t="str">
        <x:f>IF(I3294&lt;70,"Superficial (&lt;70 km)",IF(I3294&lt;=300,"Intermedio (70-300 km)","Profundo (&gt;300 km)"))</x:f>
        <x:v>Superficial (&lt;70 km)</x:v>
      </x:c>
      <x:c r="M3294" s="25" t="str">
        <x:f>IF(J3294&gt;=5,"Sí","No")</x:f>
        <x:v>No</x:v>
      </x:c>
      <x:c r="N3294" s="25" t="str">
        <x:f>IF(J3294&gt;=6,"Sí","No")</x:f>
        <x:v>No</x:v>
      </x:c>
      <x:c r="O3294" s="25" t="str">
        <x:v>Pendiente: asignar con R/sf</x:v>
      </x:c>
    </x:row>
    <x:row r="3295">
      <x:c r="A3295" s="25" t="n">
        <x:v>3294</x:v>
      </x:c>
      <x:c r="B3295" s="26" t="n">
        <x:v>43495.32271990741</x:v>
      </x:c>
      <x:c r="C3295" s="27" t="n">
        <x:f>INT(B3295)</x:f>
        <x:v>43495</x:v>
      </x:c>
      <x:c r="D3295" s="28" t="n">
        <x:f>MOD(B3295,1)</x:f>
        <x:v>0.32271990740991896</x:v>
      </x:c>
      <x:c r="E3295" s="29" t="n">
        <x:f>YEAR(B3295)</x:f>
        <x:v>2019</x:v>
      </x:c>
      <x:c r="F3295" s="29" t="n">
        <x:f>MONTH(B3295)</x:f>
        <x:v>1</x:v>
      </x:c>
      <x:c r="G3295" s="30" t="n">
        <x:v>-25.87</x:v>
      </x:c>
      <x:c r="H3295" s="30" t="n">
        <x:v>-70.62</x:v>
      </x:c>
      <x:c r="I3295" s="29" t="n">
        <x:v>54</x:v>
      </x:c>
      <x:c r="J3295" s="31" t="n">
        <x:v>5.5</x:v>
      </x:c>
      <x:c r="K3295" s="25" t="str">
        <x:f>IF(J3295&gt;=7,"Muy fuerte (&gt;=7)",IF(J3295&gt;=6,"Fuerte (6-6.9)",IF(J3295&gt;=5,"Moderado alto (5-5.9)",IF(J3295&gt;=4,"Moderado (4-4.9)","Menor a 4"))))</x:f>
        <x:v>Moderado alto (5-5.9)</x:v>
      </x:c>
      <x:c r="L3295" s="25" t="str">
        <x:f>IF(I3295&lt;70,"Superficial (&lt;70 km)",IF(I3295&lt;=300,"Intermedio (70-300 km)","Profundo (&gt;300 km)"))</x:f>
        <x:v>Superficial (&lt;70 km)</x:v>
      </x:c>
      <x:c r="M3295" s="25" t="str">
        <x:f>IF(J3295&gt;=5,"Sí","No")</x:f>
        <x:v>Sí</x:v>
      </x:c>
      <x:c r="N3295" s="25" t="str">
        <x:f>IF(J3295&gt;=6,"Sí","No")</x:f>
        <x:v>No</x:v>
      </x:c>
      <x:c r="O3295" s="25" t="str">
        <x:v>Pendiente: asignar con R/sf</x:v>
      </x:c>
    </x:row>
    <x:row r="3296">
      <x:c r="A3296" s="25" t="n">
        <x:v>3295</x:v>
      </x:c>
      <x:c r="B3296" s="26" t="n">
        <x:v>43474.837002314816</x:v>
      </x:c>
      <x:c r="C3296" s="27" t="n">
        <x:f>INT(B3296)</x:f>
        <x:v>43474</x:v>
      </x:c>
      <x:c r="D3296" s="28" t="n">
        <x:f>MOD(B3296,1)</x:f>
        <x:v>0.8370023148163455</x:v>
      </x:c>
      <x:c r="E3296" s="29" t="n">
        <x:f>YEAR(B3296)</x:f>
        <x:v>2019</x:v>
      </x:c>
      <x:c r="F3296" s="29" t="n">
        <x:f>MONTH(B3296)</x:f>
        <x:v>1</x:v>
      </x:c>
      <x:c r="G3296" s="30" t="n">
        <x:v>-30.17</x:v>
      </x:c>
      <x:c r="H3296" s="30" t="n">
        <x:v>-71.68</x:v>
      </x:c>
      <x:c r="I3296" s="29" t="n">
        <x:v>54</x:v>
      </x:c>
      <x:c r="J3296" s="31" t="n">
        <x:v>4.2</x:v>
      </x:c>
      <x:c r="K3296" s="25" t="str">
        <x:f>IF(J3296&gt;=7,"Muy fuerte (&gt;=7)",IF(J3296&gt;=6,"Fuerte (6-6.9)",IF(J3296&gt;=5,"Moderado alto (5-5.9)",IF(J3296&gt;=4,"Moderado (4-4.9)","Menor a 4"))))</x:f>
        <x:v>Moderado (4-4.9)</x:v>
      </x:c>
      <x:c r="L3296" s="25" t="str">
        <x:f>IF(I3296&lt;70,"Superficial (&lt;70 km)",IF(I3296&lt;=300,"Intermedio (70-300 km)","Profundo (&gt;300 km)"))</x:f>
        <x:v>Superficial (&lt;70 km)</x:v>
      </x:c>
      <x:c r="M3296" s="25" t="str">
        <x:f>IF(J3296&gt;=5,"Sí","No")</x:f>
        <x:v>No</x:v>
      </x:c>
      <x:c r="N3296" s="25" t="str">
        <x:f>IF(J3296&gt;=6,"Sí","No")</x:f>
        <x:v>No</x:v>
      </x:c>
      <x:c r="O3296" s="25" t="str">
        <x:v>Pendiente: asignar con R/sf</x:v>
      </x:c>
    </x:row>
    <x:row r="3297">
      <x:c r="A3297" s="25" t="n">
        <x:v>3296</x:v>
      </x:c>
      <x:c r="B3297" s="26" t="n">
        <x:v>43485.20814814815</x:v>
      </x:c>
      <x:c r="C3297" s="27" t="n">
        <x:f>INT(B3297)</x:f>
        <x:v>43485</x:v>
      </x:c>
      <x:c r="D3297" s="28" t="n">
        <x:f>MOD(B3297,1)</x:f>
        <x:v>0.20814814815093996</x:v>
      </x:c>
      <x:c r="E3297" s="29" t="n">
        <x:f>YEAR(B3297)</x:f>
        <x:v>2019</x:v>
      </x:c>
      <x:c r="F3297" s="29" t="n">
        <x:f>MONTH(B3297)</x:f>
        <x:v>1</x:v>
      </x:c>
      <x:c r="G3297" s="30" t="n">
        <x:v>-30.14</x:v>
      </x:c>
      <x:c r="H3297" s="30" t="n">
        <x:v>-71.24</x:v>
      </x:c>
      <x:c r="I3297" s="29" t="n">
        <x:v>62</x:v>
      </x:c>
      <x:c r="J3297" s="31" t="n">
        <x:v>4.3</x:v>
      </x:c>
      <x:c r="K3297" s="25" t="str">
        <x:f>IF(J3297&gt;=7,"Muy fuerte (&gt;=7)",IF(J3297&gt;=6,"Fuerte (6-6.9)",IF(J3297&gt;=5,"Moderado alto (5-5.9)",IF(J3297&gt;=4,"Moderado (4-4.9)","Menor a 4"))))</x:f>
        <x:v>Moderado (4-4.9)</x:v>
      </x:c>
      <x:c r="L3297" s="25" t="str">
        <x:f>IF(I3297&lt;70,"Superficial (&lt;70 km)",IF(I3297&lt;=300,"Intermedio (70-300 km)","Profundo (&gt;300 km)"))</x:f>
        <x:v>Superficial (&lt;70 km)</x:v>
      </x:c>
      <x:c r="M3297" s="25" t="str">
        <x:f>IF(J3297&gt;=5,"Sí","No")</x:f>
        <x:v>No</x:v>
      </x:c>
      <x:c r="N3297" s="25" t="str">
        <x:f>IF(J3297&gt;=6,"Sí","No")</x:f>
        <x:v>No</x:v>
      </x:c>
      <x:c r="O3297" s="25" t="str">
        <x:v>Pendiente: asignar con R/sf</x:v>
      </x:c>
    </x:row>
    <x:row r="3298">
      <x:c r="A3298" s="25" t="n">
        <x:v>3297</x:v>
      </x:c>
      <x:c r="B3298" s="26" t="n">
        <x:v>43485.39135416667</x:v>
      </x:c>
      <x:c r="C3298" s="27" t="n">
        <x:f>INT(B3298)</x:f>
        <x:v>43485</x:v>
      </x:c>
      <x:c r="D3298" s="28" t="n">
        <x:f>MOD(B3298,1)</x:f>
        <x:v>0.3913541666697711</x:v>
      </x:c>
      <x:c r="E3298" s="29" t="n">
        <x:f>YEAR(B3298)</x:f>
        <x:v>2019</x:v>
      </x:c>
      <x:c r="F3298" s="29" t="n">
        <x:f>MONTH(B3298)</x:f>
        <x:v>1</x:v>
      </x:c>
      <x:c r="G3298" s="30" t="n">
        <x:v>-29.97</x:v>
      </x:c>
      <x:c r="H3298" s="30" t="n">
        <x:v>-71.95</x:v>
      </x:c>
      <x:c r="I3298" s="29" t="n">
        <x:v>24</x:v>
      </x:c>
      <x:c r="J3298" s="31" t="n">
        <x:v>4.7</x:v>
      </x:c>
      <x:c r="K3298" s="25" t="str">
        <x:f>IF(J3298&gt;=7,"Muy fuerte (&gt;=7)",IF(J3298&gt;=6,"Fuerte (6-6.9)",IF(J3298&gt;=5,"Moderado alto (5-5.9)",IF(J3298&gt;=4,"Moderado (4-4.9)","Menor a 4"))))</x:f>
        <x:v>Moderado (4-4.9)</x:v>
      </x:c>
      <x:c r="L3298" s="25" t="str">
        <x:f>IF(I3298&lt;70,"Superficial (&lt;70 km)",IF(I3298&lt;=300,"Intermedio (70-300 km)","Profundo (&gt;300 km)"))</x:f>
        <x:v>Superficial (&lt;70 km)</x:v>
      </x:c>
      <x:c r="M3298" s="25" t="str">
        <x:f>IF(J3298&gt;=5,"Sí","No")</x:f>
        <x:v>No</x:v>
      </x:c>
      <x:c r="N3298" s="25" t="str">
        <x:f>IF(J3298&gt;=6,"Sí","No")</x:f>
        <x:v>No</x:v>
      </x:c>
      <x:c r="O3298" s="25" t="str">
        <x:v>Pendiente: asignar con R/sf</x:v>
      </x:c>
    </x:row>
    <x:row r="3299">
      <x:c r="A3299" s="25" t="n">
        <x:v>3298</x:v>
      </x:c>
      <x:c r="B3299" s="26" t="n">
        <x:v>43487.02549768519</x:v>
      </x:c>
      <x:c r="C3299" s="27" t="n">
        <x:f>INT(B3299)</x:f>
        <x:v>43487</x:v>
      </x:c>
      <x:c r="D3299" s="28" t="n">
        <x:f>MOD(B3299,1)</x:f>
        <x:v>0.025497685186564922</x:v>
      </x:c>
      <x:c r="E3299" s="29" t="n">
        <x:f>YEAR(B3299)</x:f>
        <x:v>2019</x:v>
      </x:c>
      <x:c r="F3299" s="29" t="n">
        <x:f>MONTH(B3299)</x:f>
        <x:v>1</x:v>
      </x:c>
      <x:c r="G3299" s="30" t="n">
        <x:v>-30.22</x:v>
      </x:c>
      <x:c r="H3299" s="30" t="n">
        <x:v>-71.24</x:v>
      </x:c>
      <x:c r="I3299" s="29" t="n">
        <x:v>64</x:v>
      </x:c>
      <x:c r="J3299" s="31" t="n">
        <x:v>4.2</x:v>
      </x:c>
      <x:c r="K3299" s="25" t="str">
        <x:f>IF(J3299&gt;=7,"Muy fuerte (&gt;=7)",IF(J3299&gt;=6,"Fuerte (6-6.9)",IF(J3299&gt;=5,"Moderado alto (5-5.9)",IF(J3299&gt;=4,"Moderado (4-4.9)","Menor a 4"))))</x:f>
        <x:v>Moderado (4-4.9)</x:v>
      </x:c>
      <x:c r="L3299" s="25" t="str">
        <x:f>IF(I3299&lt;70,"Superficial (&lt;70 km)",IF(I3299&lt;=300,"Intermedio (70-300 km)","Profundo (&gt;300 km)"))</x:f>
        <x:v>Superficial (&lt;70 km)</x:v>
      </x:c>
      <x:c r="M3299" s="25" t="str">
        <x:f>IF(J3299&gt;=5,"Sí","No")</x:f>
        <x:v>No</x:v>
      </x:c>
      <x:c r="N3299" s="25" t="str">
        <x:f>IF(J3299&gt;=6,"Sí","No")</x:f>
        <x:v>No</x:v>
      </x:c>
      <x:c r="O3299" s="25" t="str">
        <x:v>Pendiente: asignar con R/sf</x:v>
      </x:c>
    </x:row>
    <x:row r="3300">
      <x:c r="A3300" s="25" t="n">
        <x:v>3299</x:v>
      </x:c>
      <x:c r="B3300" s="26" t="n">
        <x:v>43487.68016203704</x:v>
      </x:c>
      <x:c r="C3300" s="27" t="n">
        <x:f>INT(B3300)</x:f>
        <x:v>43487</x:v>
      </x:c>
      <x:c r="D3300" s="28" t="n">
        <x:f>MOD(B3300,1)</x:f>
        <x:v>0.6801620370388264</x:v>
      </x:c>
      <x:c r="E3300" s="29" t="n">
        <x:f>YEAR(B3300)</x:f>
        <x:v>2019</x:v>
      </x:c>
      <x:c r="F3300" s="29" t="n">
        <x:f>MONTH(B3300)</x:f>
        <x:v>1</x:v>
      </x:c>
      <x:c r="G3300" s="30" t="n">
        <x:v>-30.23</x:v>
      </x:c>
      <x:c r="H3300" s="30" t="n">
        <x:v>-71.24</x:v>
      </x:c>
      <x:c r="I3300" s="29" t="n">
        <x:v>59</x:v>
      </x:c>
      <x:c r="J3300" s="31" t="n">
        <x:v>4.3</x:v>
      </x:c>
      <x:c r="K3300" s="25" t="str">
        <x:f>IF(J3300&gt;=7,"Muy fuerte (&gt;=7)",IF(J3300&gt;=6,"Fuerte (6-6.9)",IF(J3300&gt;=5,"Moderado alto (5-5.9)",IF(J3300&gt;=4,"Moderado (4-4.9)","Menor a 4"))))</x:f>
        <x:v>Moderado (4-4.9)</x:v>
      </x:c>
      <x:c r="L3300" s="25" t="str">
        <x:f>IF(I3300&lt;70,"Superficial (&lt;70 km)",IF(I3300&lt;=300,"Intermedio (70-300 km)","Profundo (&gt;300 km)"))</x:f>
        <x:v>Superficial (&lt;70 km)</x:v>
      </x:c>
      <x:c r="M3300" s="25" t="str">
        <x:f>IF(J3300&gt;=5,"Sí","No")</x:f>
        <x:v>No</x:v>
      </x:c>
      <x:c r="N3300" s="25" t="str">
        <x:f>IF(J3300&gt;=6,"Sí","No")</x:f>
        <x:v>No</x:v>
      </x:c>
      <x:c r="O3300" s="25" t="str">
        <x:v>Pendiente: asignar con R/sf</x:v>
      </x:c>
    </x:row>
    <x:row r="3301">
      <x:c r="A3301" s="25" t="n">
        <x:v>3300</x:v>
      </x:c>
      <x:c r="B3301" s="26" t="n">
        <x:v>43489.30956018518</x:v>
      </x:c>
      <x:c r="C3301" s="27" t="n">
        <x:f>INT(B3301)</x:f>
        <x:v>43489</x:v>
      </x:c>
      <x:c r="D3301" s="28" t="n">
        <x:f>MOD(B3301,1)</x:f>
        <x:v>0.3095601851819083</x:v>
      </x:c>
      <x:c r="E3301" s="29" t="n">
        <x:f>YEAR(B3301)</x:f>
        <x:v>2019</x:v>
      </x:c>
      <x:c r="F3301" s="29" t="n">
        <x:f>MONTH(B3301)</x:f>
        <x:v>1</x:v>
      </x:c>
      <x:c r="G3301" s="30" t="n">
        <x:v>-30.12</x:v>
      </x:c>
      <x:c r="H3301" s="30" t="n">
        <x:v>-71.3</x:v>
      </x:c>
      <x:c r="I3301" s="29" t="n">
        <x:v>65</x:v>
      </x:c>
      <x:c r="J3301" s="31" t="n">
        <x:v>4</x:v>
      </x:c>
      <x:c r="K3301" s="25" t="str">
        <x:f>IF(J3301&gt;=7,"Muy fuerte (&gt;=7)",IF(J3301&gt;=6,"Fuerte (6-6.9)",IF(J3301&gt;=5,"Moderado alto (5-5.9)",IF(J3301&gt;=4,"Moderado (4-4.9)","Menor a 4"))))</x:f>
        <x:v>Moderado (4-4.9)</x:v>
      </x:c>
      <x:c r="L3301" s="25" t="str">
        <x:f>IF(I3301&lt;70,"Superficial (&lt;70 km)",IF(I3301&lt;=300,"Intermedio (70-300 km)","Profundo (&gt;300 km)"))</x:f>
        <x:v>Superficial (&lt;70 km)</x:v>
      </x:c>
      <x:c r="M3301" s="25" t="str">
        <x:f>IF(J3301&gt;=5,"Sí","No")</x:f>
        <x:v>No</x:v>
      </x:c>
      <x:c r="N3301" s="25" t="str">
        <x:f>IF(J3301&gt;=6,"Sí","No")</x:f>
        <x:v>No</x:v>
      </x:c>
      <x:c r="O3301" s="25" t="str">
        <x:v>Pendiente: asignar con R/sf</x:v>
      </x:c>
    </x:row>
    <x:row r="3302">
      <x:c r="A3302" s="25" t="n">
        <x:v>3301</x:v>
      </x:c>
      <x:c r="B3302" s="26" t="n">
        <x:v>43493.14833333333</x:v>
      </x:c>
      <x:c r="C3302" s="27" t="n">
        <x:f>INT(B3302)</x:f>
        <x:v>43493</x:v>
      </x:c>
      <x:c r="D3302" s="28" t="n">
        <x:f>MOD(B3302,1)</x:f>
        <x:v>0.148333333330811</x:v>
      </x:c>
      <x:c r="E3302" s="29" t="n">
        <x:f>YEAR(B3302)</x:f>
        <x:v>2019</x:v>
      </x:c>
      <x:c r="F3302" s="29" t="n">
        <x:f>MONTH(B3302)</x:f>
        <x:v>1</x:v>
      </x:c>
      <x:c r="G3302" s="30" t="n">
        <x:v>-29.68</x:v>
      </x:c>
      <x:c r="H3302" s="30" t="n">
        <x:v>-71.28</x:v>
      </x:c>
      <x:c r="I3302" s="29" t="n">
        <x:v>50</x:v>
      </x:c>
      <x:c r="J3302" s="31" t="n">
        <x:v>4.5</x:v>
      </x:c>
      <x:c r="K3302" s="25" t="str">
        <x:f>IF(J3302&gt;=7,"Muy fuerte (&gt;=7)",IF(J3302&gt;=6,"Fuerte (6-6.9)",IF(J3302&gt;=5,"Moderado alto (5-5.9)",IF(J3302&gt;=4,"Moderado (4-4.9)","Menor a 4"))))</x:f>
        <x:v>Moderado (4-4.9)</x:v>
      </x:c>
      <x:c r="L3302" s="25" t="str">
        <x:f>IF(I3302&lt;70,"Superficial (&lt;70 km)",IF(I3302&lt;=300,"Intermedio (70-300 km)","Profundo (&gt;300 km)"))</x:f>
        <x:v>Superficial (&lt;70 km)</x:v>
      </x:c>
      <x:c r="M3302" s="25" t="str">
        <x:f>IF(J3302&gt;=5,"Sí","No")</x:f>
        <x:v>No</x:v>
      </x:c>
      <x:c r="N3302" s="25" t="str">
        <x:f>IF(J3302&gt;=6,"Sí","No")</x:f>
        <x:v>No</x:v>
      </x:c>
      <x:c r="O3302" s="25" t="str">
        <x:v>Pendiente: asignar con R/sf</x:v>
      </x:c>
    </x:row>
    <x:row r="3303">
      <x:c r="A3303" s="25" t="n">
        <x:v>3302</x:v>
      </x:c>
      <x:c r="B3303" s="26" t="n">
        <x:v>43494.4603587963</x:v>
      </x:c>
      <x:c r="C3303" s="27" t="n">
        <x:f>INT(B3303)</x:f>
        <x:v>43494</x:v>
      </x:c>
      <x:c r="D3303" s="28" t="n">
        <x:f>MOD(B3303,1)</x:f>
        <x:v>0.4603587962992606</x:v>
      </x:c>
      <x:c r="E3303" s="29" t="n">
        <x:f>YEAR(B3303)</x:f>
        <x:v>2019</x:v>
      </x:c>
      <x:c r="F3303" s="29" t="n">
        <x:f>MONTH(B3303)</x:f>
        <x:v>1</x:v>
      </x:c>
      <x:c r="G3303" s="30" t="n">
        <x:v>-31.72</x:v>
      </x:c>
      <x:c r="H3303" s="30" t="n">
        <x:v>-71.3</x:v>
      </x:c>
      <x:c r="I3303" s="29" t="n">
        <x:v>56</x:v>
      </x:c>
      <x:c r="J3303" s="31" t="n">
        <x:v>4</x:v>
      </x:c>
      <x:c r="K3303" s="25" t="str">
        <x:f>IF(J3303&gt;=7,"Muy fuerte (&gt;=7)",IF(J3303&gt;=6,"Fuerte (6-6.9)",IF(J3303&gt;=5,"Moderado alto (5-5.9)",IF(J3303&gt;=4,"Moderado (4-4.9)","Menor a 4"))))</x:f>
        <x:v>Moderado (4-4.9)</x:v>
      </x:c>
      <x:c r="L3303" s="25" t="str">
        <x:f>IF(I3303&lt;70,"Superficial (&lt;70 km)",IF(I3303&lt;=300,"Intermedio (70-300 km)","Profundo (&gt;300 km)"))</x:f>
        <x:v>Superficial (&lt;70 km)</x:v>
      </x:c>
      <x:c r="M3303" s="25" t="str">
        <x:f>IF(J3303&gt;=5,"Sí","No")</x:f>
        <x:v>No</x:v>
      </x:c>
      <x:c r="N3303" s="25" t="str">
        <x:f>IF(J3303&gt;=6,"Sí","No")</x:f>
        <x:v>No</x:v>
      </x:c>
      <x:c r="O3303" s="25" t="str">
        <x:v>Pendiente: asignar con R/sf</x:v>
      </x:c>
    </x:row>
    <x:row r="3304">
      <x:c r="A3304" s="25" t="n">
        <x:v>3303</x:v>
      </x:c>
      <x:c r="B3304" s="26" t="n">
        <x:v>43485.064479166664</x:v>
      </x:c>
      <x:c r="C3304" s="27" t="n">
        <x:f>INT(B3304)</x:f>
        <x:v>43485</x:v>
      </x:c>
      <x:c r="D3304" s="28" t="n">
        <x:f>MOD(B3304,1)</x:f>
        <x:v>0.06447916666365927</x:v>
      </x:c>
      <x:c r="E3304" s="29" t="n">
        <x:f>YEAR(B3304)</x:f>
        <x:v>2019</x:v>
      </x:c>
      <x:c r="F3304" s="29" t="n">
        <x:f>MONTH(B3304)</x:f>
        <x:v>1</x:v>
      </x:c>
      <x:c r="G3304" s="30" t="n">
        <x:v>-30.28</x:v>
      </x:c>
      <x:c r="H3304" s="30" t="n">
        <x:v>-71.36</x:v>
      </x:c>
      <x:c r="I3304" s="29" t="n">
        <x:v>50</x:v>
      </x:c>
      <x:c r="J3304" s="31" t="n">
        <x:v>6.7</x:v>
      </x:c>
      <x:c r="K3304" s="25" t="str">
        <x:f>IF(J3304&gt;=7,"Muy fuerte (&gt;=7)",IF(J3304&gt;=6,"Fuerte (6-6.9)",IF(J3304&gt;=5,"Moderado alto (5-5.9)",IF(J3304&gt;=4,"Moderado (4-4.9)","Menor a 4"))))</x:f>
        <x:v>Fuerte (6-6.9)</x:v>
      </x:c>
      <x:c r="L3304" s="25" t="str">
        <x:f>IF(I3304&lt;70,"Superficial (&lt;70 km)",IF(I3304&lt;=300,"Intermedio (70-300 km)","Profundo (&gt;300 km)"))</x:f>
        <x:v>Superficial (&lt;70 km)</x:v>
      </x:c>
      <x:c r="M3304" s="25" t="str">
        <x:f>IF(J3304&gt;=5,"Sí","No")</x:f>
        <x:v>Sí</x:v>
      </x:c>
      <x:c r="N3304" s="25" t="str">
        <x:f>IF(J3304&gt;=6,"Sí","No")</x:f>
        <x:v>Sí</x:v>
      </x:c>
      <x:c r="O3304" s="25" t="str">
        <x:v>Pendiente: asignar con R/sf</x:v>
      </x:c>
    </x:row>
    <x:row r="3305">
      <x:c r="A3305" s="25" t="n">
        <x:v>3304</x:v>
      </x:c>
      <x:c r="B3305" s="26" t="n">
        <x:v>43485.06828703704</x:v>
      </x:c>
      <x:c r="C3305" s="27" t="n">
        <x:f>INT(B3305)</x:f>
        <x:v>43485</x:v>
      </x:c>
      <x:c r="D3305" s="28" t="n">
        <x:f>MOD(B3305,1)</x:f>
        <x:v>0.06828703703649808</x:v>
      </x:c>
      <x:c r="E3305" s="29" t="n">
        <x:f>YEAR(B3305)</x:f>
        <x:v>2019</x:v>
      </x:c>
      <x:c r="F3305" s="29" t="n">
        <x:f>MONTH(B3305)</x:f>
        <x:v>1</x:v>
      </x:c>
      <x:c r="G3305" s="30" t="n">
        <x:v>-30.27</x:v>
      </x:c>
      <x:c r="H3305" s="30" t="n">
        <x:v>-71.29</x:v>
      </x:c>
      <x:c r="I3305" s="29" t="n">
        <x:v>61</x:v>
      </x:c>
      <x:c r="J3305" s="31" t="n">
        <x:v>4.1</x:v>
      </x:c>
      <x:c r="K3305" s="25" t="str">
        <x:f>IF(J3305&gt;=7,"Muy fuerte (&gt;=7)",IF(J3305&gt;=6,"Fuerte (6-6.9)",IF(J3305&gt;=5,"Moderado alto (5-5.9)",IF(J3305&gt;=4,"Moderado (4-4.9)","Menor a 4"))))</x:f>
        <x:v>Moderado (4-4.9)</x:v>
      </x:c>
      <x:c r="L3305" s="25" t="str">
        <x:f>IF(I3305&lt;70,"Superficial (&lt;70 km)",IF(I3305&lt;=300,"Intermedio (70-300 km)","Profundo (&gt;300 km)"))</x:f>
        <x:v>Superficial (&lt;70 km)</x:v>
      </x:c>
      <x:c r="M3305" s="25" t="str">
        <x:f>IF(J3305&gt;=5,"Sí","No")</x:f>
        <x:v>No</x:v>
      </x:c>
      <x:c r="N3305" s="25" t="str">
        <x:f>IF(J3305&gt;=6,"Sí","No")</x:f>
        <x:v>No</x:v>
      </x:c>
      <x:c r="O3305" s="25" t="str">
        <x:v>Pendiente: asignar con R/sf</x:v>
      </x:c>
    </x:row>
    <x:row r="3306">
      <x:c r="A3306" s="25" t="n">
        <x:v>3305</x:v>
      </x:c>
      <x:c r="B3306" s="26" t="n">
        <x:v>43485.10832175926</x:v>
      </x:c>
      <x:c r="C3306" s="27" t="n">
        <x:f>INT(B3306)</x:f>
        <x:v>43485</x:v>
      </x:c>
      <x:c r="D3306" s="28" t="n">
        <x:f>MOD(B3306,1)</x:f>
        <x:v>0.10832175926043419</x:v>
      </x:c>
      <x:c r="E3306" s="29" t="n">
        <x:f>YEAR(B3306)</x:f>
        <x:v>2019</x:v>
      </x:c>
      <x:c r="F3306" s="29" t="n">
        <x:f>MONTH(B3306)</x:f>
        <x:v>1</x:v>
      </x:c>
      <x:c r="G3306" s="30" t="n">
        <x:v>-30.09</x:v>
      </x:c>
      <x:c r="H3306" s="30" t="n">
        <x:v>-71.24</x:v>
      </x:c>
      <x:c r="I3306" s="29" t="n">
        <x:v>64</x:v>
      </x:c>
      <x:c r="J3306" s="31" t="n">
        <x:v>4.2</x:v>
      </x:c>
      <x:c r="K3306" s="25" t="str">
        <x:f>IF(J3306&gt;=7,"Muy fuerte (&gt;=7)",IF(J3306&gt;=6,"Fuerte (6-6.9)",IF(J3306&gt;=5,"Moderado alto (5-5.9)",IF(J3306&gt;=4,"Moderado (4-4.9)","Menor a 4"))))</x:f>
        <x:v>Moderado (4-4.9)</x:v>
      </x:c>
      <x:c r="L3306" s="25" t="str">
        <x:f>IF(I3306&lt;70,"Superficial (&lt;70 km)",IF(I3306&lt;=300,"Intermedio (70-300 km)","Profundo (&gt;300 km)"))</x:f>
        <x:v>Superficial (&lt;70 km)</x:v>
      </x:c>
      <x:c r="M3306" s="25" t="str">
        <x:f>IF(J3306&gt;=5,"Sí","No")</x:f>
        <x:v>No</x:v>
      </x:c>
      <x:c r="N3306" s="25" t="str">
        <x:f>IF(J3306&gt;=6,"Sí","No")</x:f>
        <x:v>No</x:v>
      </x:c>
      <x:c r="O3306" s="25" t="str">
        <x:v>Pendiente: asignar con R/sf</x:v>
      </x:c>
    </x:row>
    <x:row r="3307">
      <x:c r="A3307" s="25" t="n">
        <x:v>3306</x:v>
      </x:c>
      <x:c r="B3307" s="26" t="n">
        <x:v>43487.028703703705</x:v>
      </x:c>
      <x:c r="C3307" s="27" t="n">
        <x:f>INT(B3307)</x:f>
        <x:v>43487</x:v>
      </x:c>
      <x:c r="D3307" s="28" t="n">
        <x:f>MOD(B3307,1)</x:f>
        <x:v>0.028703703705105</x:v>
      </x:c>
      <x:c r="E3307" s="29" t="n">
        <x:f>YEAR(B3307)</x:f>
        <x:v>2019</x:v>
      </x:c>
      <x:c r="F3307" s="29" t="n">
        <x:f>MONTH(B3307)</x:f>
        <x:v>1</x:v>
      </x:c>
      <x:c r="G3307" s="30" t="n">
        <x:v>-30.15</x:v>
      </x:c>
      <x:c r="H3307" s="30" t="n">
        <x:v>-71.25</x:v>
      </x:c>
      <x:c r="I3307" s="29" t="n">
        <x:v>61</x:v>
      </x:c>
      <x:c r="J3307" s="31" t="n">
        <x:v>4.5</x:v>
      </x:c>
      <x:c r="K3307" s="25" t="str">
        <x:f>IF(J3307&gt;=7,"Muy fuerte (&gt;=7)",IF(J3307&gt;=6,"Fuerte (6-6.9)",IF(J3307&gt;=5,"Moderado alto (5-5.9)",IF(J3307&gt;=4,"Moderado (4-4.9)","Menor a 4"))))</x:f>
        <x:v>Moderado (4-4.9)</x:v>
      </x:c>
      <x:c r="L3307" s="25" t="str">
        <x:f>IF(I3307&lt;70,"Superficial (&lt;70 km)",IF(I3307&lt;=300,"Intermedio (70-300 km)","Profundo (&gt;300 km)"))</x:f>
        <x:v>Superficial (&lt;70 km)</x:v>
      </x:c>
      <x:c r="M3307" s="25" t="str">
        <x:f>IF(J3307&gt;=5,"Sí","No")</x:f>
        <x:v>No</x:v>
      </x:c>
      <x:c r="N3307" s="25" t="str">
        <x:f>IF(J3307&gt;=6,"Sí","No")</x:f>
        <x:v>No</x:v>
      </x:c>
      <x:c r="O3307" s="25" t="str">
        <x:v>Pendiente: asignar con R/sf</x:v>
      </x:c>
    </x:row>
    <x:row r="3308">
      <x:c r="A3308" s="25" t="n">
        <x:v>3307</x:v>
      </x:c>
      <x:c r="B3308" s="26" t="n">
        <x:v>43487.5727662037</x:v>
      </x:c>
      <x:c r="C3308" s="27" t="n">
        <x:f>INT(B3308)</x:f>
        <x:v>43487</x:v>
      </x:c>
      <x:c r="D3308" s="28" t="n">
        <x:f>MOD(B3308,1)</x:f>
        <x:v>0.5727662037024857</x:v>
      </x:c>
      <x:c r="E3308" s="29" t="n">
        <x:f>YEAR(B3308)</x:f>
        <x:v>2019</x:v>
      </x:c>
      <x:c r="F3308" s="29" t="n">
        <x:f>MONTH(B3308)</x:f>
        <x:v>1</x:v>
      </x:c>
      <x:c r="G3308" s="30" t="n">
        <x:v>-30.21</x:v>
      </x:c>
      <x:c r="H3308" s="30" t="n">
        <x:v>-71.18</x:v>
      </x:c>
      <x:c r="I3308" s="29" t="n">
        <x:v>65</x:v>
      </x:c>
      <x:c r="J3308" s="31" t="n">
        <x:v>4.3</x:v>
      </x:c>
      <x:c r="K3308" s="25" t="str">
        <x:f>IF(J3308&gt;=7,"Muy fuerte (&gt;=7)",IF(J3308&gt;=6,"Fuerte (6-6.9)",IF(J3308&gt;=5,"Moderado alto (5-5.9)",IF(J3308&gt;=4,"Moderado (4-4.9)","Menor a 4"))))</x:f>
        <x:v>Moderado (4-4.9)</x:v>
      </x:c>
      <x:c r="L3308" s="25" t="str">
        <x:f>IF(I3308&lt;70,"Superficial (&lt;70 km)",IF(I3308&lt;=300,"Intermedio (70-300 km)","Profundo (&gt;300 km)"))</x:f>
        <x:v>Superficial (&lt;70 km)</x:v>
      </x:c>
      <x:c r="M3308" s="25" t="str">
        <x:f>IF(J3308&gt;=5,"Sí","No")</x:f>
        <x:v>No</x:v>
      </x:c>
      <x:c r="N3308" s="25" t="str">
        <x:f>IF(J3308&gt;=6,"Sí","No")</x:f>
        <x:v>No</x:v>
      </x:c>
      <x:c r="O3308" s="25" t="str">
        <x:v>Pendiente: asignar con R/sf</x:v>
      </x:c>
    </x:row>
    <x:row r="3309">
      <x:c r="A3309" s="25" t="n">
        <x:v>3308</x:v>
      </x:c>
      <x:c r="B3309" s="26" t="n">
        <x:v>43494.85108796296</x:v>
      </x:c>
      <x:c r="C3309" s="27" t="n">
        <x:f>INT(B3309)</x:f>
        <x:v>43494</x:v>
      </x:c>
      <x:c r="D3309" s="28" t="n">
        <x:f>MOD(B3309,1)</x:f>
        <x:v>0.8510879629611736</x:v>
      </x:c>
      <x:c r="E3309" s="29" t="n">
        <x:f>YEAR(B3309)</x:f>
        <x:v>2019</x:v>
      </x:c>
      <x:c r="F3309" s="29" t="n">
        <x:f>MONTH(B3309)</x:f>
        <x:v>1</x:v>
      </x:c>
      <x:c r="G3309" s="30" t="n">
        <x:v>-30.75</x:v>
      </x:c>
      <x:c r="H3309" s="30" t="n">
        <x:v>-71.03</x:v>
      </x:c>
      <x:c r="I3309" s="29" t="n">
        <x:v>72</x:v>
      </x:c>
      <x:c r="J3309" s="31" t="n">
        <x:v>4.4</x:v>
      </x:c>
      <x:c r="K3309" s="25" t="str">
        <x:f>IF(J3309&gt;=7,"Muy fuerte (&gt;=7)",IF(J3309&gt;=6,"Fuerte (6-6.9)",IF(J3309&gt;=5,"Moderado alto (5-5.9)",IF(J3309&gt;=4,"Moderado (4-4.9)","Menor a 4"))))</x:f>
        <x:v>Moderado (4-4.9)</x:v>
      </x:c>
      <x:c r="L3309" s="25" t="str">
        <x:f>IF(I3309&lt;70,"Superficial (&lt;70 km)",IF(I3309&lt;=300,"Intermedio (70-300 km)","Profundo (&gt;300 km)"))</x:f>
        <x:v>Intermedio (70-300 km)</x:v>
      </x:c>
      <x:c r="M3309" s="25" t="str">
        <x:f>IF(J3309&gt;=5,"Sí","No")</x:f>
        <x:v>No</x:v>
      </x:c>
      <x:c r="N3309" s="25" t="str">
        <x:f>IF(J3309&gt;=6,"Sí","No")</x:f>
        <x:v>No</x:v>
      </x:c>
      <x:c r="O3309" s="25" t="str">
        <x:v>Pendiente: asignar con R/sf</x:v>
      </x:c>
    </x:row>
    <x:row r="3310">
      <x:c r="A3310" s="25" t="n">
        <x:v>3309</x:v>
      </x:c>
      <x:c r="B3310" s="26" t="n">
        <x:v>43499.122708333336</x:v>
      </x:c>
      <x:c r="C3310" s="27" t="n">
        <x:f>INT(B3310)</x:f>
        <x:v>43499</x:v>
      </x:c>
      <x:c r="D3310" s="28" t="n">
        <x:f>MOD(B3310,1)</x:f>
        <x:v>0.12270833333604969</x:v>
      </x:c>
      <x:c r="E3310" s="29" t="n">
        <x:f>YEAR(B3310)</x:f>
        <x:v>2019</x:v>
      </x:c>
      <x:c r="F3310" s="29" t="n">
        <x:f>MONTH(B3310)</x:f>
        <x:v>2</x:v>
      </x:c>
      <x:c r="G3310" s="30" t="n">
        <x:v>-31.41</x:v>
      </x:c>
      <x:c r="H3310" s="30" t="n">
        <x:v>-71.74</x:v>
      </x:c>
      <x:c r="I3310" s="29" t="n">
        <x:v>26</x:v>
      </x:c>
      <x:c r="J3310" s="31" t="n">
        <x:v>5</x:v>
      </x:c>
      <x:c r="K3310" s="25" t="str">
        <x:f>IF(J3310&gt;=7,"Muy fuerte (&gt;=7)",IF(J3310&gt;=6,"Fuerte (6-6.9)",IF(J3310&gt;=5,"Moderado alto (5-5.9)",IF(J3310&gt;=4,"Moderado (4-4.9)","Menor a 4"))))</x:f>
        <x:v>Moderado alto (5-5.9)</x:v>
      </x:c>
      <x:c r="L3310" s="25" t="str">
        <x:f>IF(I3310&lt;70,"Superficial (&lt;70 km)",IF(I3310&lt;=300,"Intermedio (70-300 km)","Profundo (&gt;300 km)"))</x:f>
        <x:v>Superficial (&lt;70 km)</x:v>
      </x:c>
      <x:c r="M3310" s="25" t="str">
        <x:f>IF(J3310&gt;=5,"Sí","No")</x:f>
        <x:v>Sí</x:v>
      </x:c>
      <x:c r="N3310" s="25" t="str">
        <x:f>IF(J3310&gt;=6,"Sí","No")</x:f>
        <x:v>No</x:v>
      </x:c>
      <x:c r="O3310" s="25" t="str">
        <x:v>Pendiente: asignar con R/sf</x:v>
      </x:c>
    </x:row>
    <x:row r="3311">
      <x:c r="A3311" s="25" t="n">
        <x:v>3310</x:v>
      </x:c>
      <x:c r="B3311" s="26" t="n">
        <x:v>43503.87736111111</x:v>
      </x:c>
      <x:c r="C3311" s="27" t="n">
        <x:f>INT(B3311)</x:f>
        <x:v>43503</x:v>
      </x:c>
      <x:c r="D3311" s="28" t="n">
        <x:f>MOD(B3311,1)</x:f>
        <x:v>0.8773611111100763</x:v>
      </x:c>
      <x:c r="E3311" s="29" t="n">
        <x:f>YEAR(B3311)</x:f>
        <x:v>2019</x:v>
      </x:c>
      <x:c r="F3311" s="29" t="n">
        <x:f>MONTH(B3311)</x:f>
        <x:v>2</x:v>
      </x:c>
      <x:c r="G3311" s="30" t="n">
        <x:v>-30.13</x:v>
      </x:c>
      <x:c r="H3311" s="30" t="n">
        <x:v>-71.26</x:v>
      </x:c>
      <x:c r="I3311" s="29" t="n">
        <x:v>60</x:v>
      </x:c>
      <x:c r="J3311" s="31" t="n">
        <x:v>4.3</x:v>
      </x:c>
      <x:c r="K3311" s="25" t="str">
        <x:f>IF(J3311&gt;=7,"Muy fuerte (&gt;=7)",IF(J3311&gt;=6,"Fuerte (6-6.9)",IF(J3311&gt;=5,"Moderado alto (5-5.9)",IF(J3311&gt;=4,"Moderado (4-4.9)","Menor a 4"))))</x:f>
        <x:v>Moderado (4-4.9)</x:v>
      </x:c>
      <x:c r="L3311" s="25" t="str">
        <x:f>IF(I3311&lt;70,"Superficial (&lt;70 km)",IF(I3311&lt;=300,"Intermedio (70-300 km)","Profundo (&gt;300 km)"))</x:f>
        <x:v>Superficial (&lt;70 km)</x:v>
      </x:c>
      <x:c r="M3311" s="25" t="str">
        <x:f>IF(J3311&gt;=5,"Sí","No")</x:f>
        <x:v>No</x:v>
      </x:c>
      <x:c r="N3311" s="25" t="str">
        <x:f>IF(J3311&gt;=6,"Sí","No")</x:f>
        <x:v>No</x:v>
      </x:c>
      <x:c r="O3311" s="25" t="str">
        <x:v>Pendiente: asignar con R/sf</x:v>
      </x:c>
    </x:row>
    <x:row r="3312">
      <x:c r="A3312" s="25" t="n">
        <x:v>3311</x:v>
      </x:c>
      <x:c r="B3312" s="26" t="n">
        <x:v>43521.644953703704</x:v>
      </x:c>
      <x:c r="C3312" s="27" t="n">
        <x:f>INT(B3312)</x:f>
        <x:v>43521</x:v>
      </x:c>
      <x:c r="D3312" s="28" t="n">
        <x:f>MOD(B3312,1)</x:f>
        <x:v>0.6449537037042319</x:v>
      </x:c>
      <x:c r="E3312" s="29" t="n">
        <x:f>YEAR(B3312)</x:f>
        <x:v>2019</x:v>
      </x:c>
      <x:c r="F3312" s="29" t="n">
        <x:f>MONTH(B3312)</x:f>
        <x:v>2</x:v>
      </x:c>
      <x:c r="G3312" s="30" t="n">
        <x:v>-29.78</x:v>
      </x:c>
      <x:c r="H3312" s="30" t="n">
        <x:v>-71.65</x:v>
      </x:c>
      <x:c r="I3312" s="29" t="n">
        <x:v>36</x:v>
      </x:c>
      <x:c r="J3312" s="31" t="n">
        <x:v>5.3</x:v>
      </x:c>
      <x:c r="K3312" s="25" t="str">
        <x:f>IF(J3312&gt;=7,"Muy fuerte (&gt;=7)",IF(J3312&gt;=6,"Fuerte (6-6.9)",IF(J3312&gt;=5,"Moderado alto (5-5.9)",IF(J3312&gt;=4,"Moderado (4-4.9)","Menor a 4"))))</x:f>
        <x:v>Moderado alto (5-5.9)</x:v>
      </x:c>
      <x:c r="L3312" s="25" t="str">
        <x:f>IF(I3312&lt;70,"Superficial (&lt;70 km)",IF(I3312&lt;=300,"Intermedio (70-300 km)","Profundo (&gt;300 km)"))</x:f>
        <x:v>Superficial (&lt;70 km)</x:v>
      </x:c>
      <x:c r="M3312" s="25" t="str">
        <x:f>IF(J3312&gt;=5,"Sí","No")</x:f>
        <x:v>Sí</x:v>
      </x:c>
      <x:c r="N3312" s="25" t="str">
        <x:f>IF(J3312&gt;=6,"Sí","No")</x:f>
        <x:v>No</x:v>
      </x:c>
      <x:c r="O3312" s="25" t="str">
        <x:v>Pendiente: asignar con R/sf</x:v>
      </x:c>
    </x:row>
    <x:row r="3313">
      <x:c r="A3313" s="25" t="n">
        <x:v>3312</x:v>
      </x:c>
      <x:c r="B3313" s="26" t="n">
        <x:v>43483.62701388889</x:v>
      </x:c>
      <x:c r="C3313" s="27" t="n">
        <x:f>INT(B3313)</x:f>
        <x:v>43483</x:v>
      </x:c>
      <x:c r="D3313" s="28" t="n">
        <x:f>MOD(B3313,1)</x:f>
        <x:v>0.6270138888867223</x:v>
      </x:c>
      <x:c r="E3313" s="29" t="n">
        <x:f>YEAR(B3313)</x:f>
        <x:v>2019</x:v>
      </x:c>
      <x:c r="F3313" s="29" t="n">
        <x:f>MONTH(B3313)</x:f>
        <x:v>1</x:v>
      </x:c>
      <x:c r="G3313" s="30" t="n">
        <x:v>-30.77</x:v>
      </x:c>
      <x:c r="H3313" s="30" t="n">
        <x:v>-71.3</x:v>
      </x:c>
      <x:c r="I3313" s="29" t="n">
        <x:v>62</x:v>
      </x:c>
      <x:c r="J3313" s="31" t="n">
        <x:v>4.4</x:v>
      </x:c>
      <x:c r="K3313" s="25" t="str">
        <x:f>IF(J3313&gt;=7,"Muy fuerte (&gt;=7)",IF(J3313&gt;=6,"Fuerte (6-6.9)",IF(J3313&gt;=5,"Moderado alto (5-5.9)",IF(J3313&gt;=4,"Moderado (4-4.9)","Menor a 4"))))</x:f>
        <x:v>Moderado (4-4.9)</x:v>
      </x:c>
      <x:c r="L3313" s="25" t="str">
        <x:f>IF(I3313&lt;70,"Superficial (&lt;70 km)",IF(I3313&lt;=300,"Intermedio (70-300 km)","Profundo (&gt;300 km)"))</x:f>
        <x:v>Superficial (&lt;70 km)</x:v>
      </x:c>
      <x:c r="M3313" s="25" t="str">
        <x:f>IF(J3313&gt;=5,"Sí","No")</x:f>
        <x:v>No</x:v>
      </x:c>
      <x:c r="N3313" s="25" t="str">
        <x:f>IF(J3313&gt;=6,"Sí","No")</x:f>
        <x:v>No</x:v>
      </x:c>
      <x:c r="O3313" s="25" t="str">
        <x:v>Pendiente: asignar con R/sf</x:v>
      </x:c>
    </x:row>
    <x:row r="3314">
      <x:c r="A3314" s="25" t="n">
        <x:v>3313</x:v>
      </x:c>
      <x:c r="B3314" s="26" t="n">
        <x:v>43489.436435185184</x:v>
      </x:c>
      <x:c r="C3314" s="27" t="n">
        <x:f>INT(B3314)</x:f>
        <x:v>43489</x:v>
      </x:c>
      <x:c r="D3314" s="28" t="n">
        <x:f>MOD(B3314,1)</x:f>
        <x:v>0.43643518518365454</x:v>
      </x:c>
      <x:c r="E3314" s="29" t="n">
        <x:f>YEAR(B3314)</x:f>
        <x:v>2019</x:v>
      </x:c>
      <x:c r="F3314" s="29" t="n">
        <x:f>MONTH(B3314)</x:f>
        <x:v>1</x:v>
      </x:c>
      <x:c r="G3314" s="30" t="n">
        <x:v>-30.17</x:v>
      </x:c>
      <x:c r="H3314" s="30" t="n">
        <x:v>-71.22</x:v>
      </x:c>
      <x:c r="I3314" s="29" t="n">
        <x:v>58</x:v>
      </x:c>
      <x:c r="J3314" s="31" t="n">
        <x:v>5</x:v>
      </x:c>
      <x:c r="K3314" s="25" t="str">
        <x:f>IF(J3314&gt;=7,"Muy fuerte (&gt;=7)",IF(J3314&gt;=6,"Fuerte (6-6.9)",IF(J3314&gt;=5,"Moderado alto (5-5.9)",IF(J3314&gt;=4,"Moderado (4-4.9)","Menor a 4"))))</x:f>
        <x:v>Moderado alto (5-5.9)</x:v>
      </x:c>
      <x:c r="L3314" s="25" t="str">
        <x:f>IF(I3314&lt;70,"Superficial (&lt;70 km)",IF(I3314&lt;=300,"Intermedio (70-300 km)","Profundo (&gt;300 km)"))</x:f>
        <x:v>Superficial (&lt;70 km)</x:v>
      </x:c>
      <x:c r="M3314" s="25" t="str">
        <x:f>IF(J3314&gt;=5,"Sí","No")</x:f>
        <x:v>Sí</x:v>
      </x:c>
      <x:c r="N3314" s="25" t="str">
        <x:f>IF(J3314&gt;=6,"Sí","No")</x:f>
        <x:v>No</x:v>
      </x:c>
      <x:c r="O3314" s="25" t="str">
        <x:v>Pendiente: asignar con R/sf</x:v>
      </x:c>
    </x:row>
    <x:row r="3315">
      <x:c r="A3315" s="25" t="n">
        <x:v>3314</x:v>
      </x:c>
      <x:c r="B3315" s="26" t="n">
        <x:v>44667.715682870374</x:v>
      </x:c>
      <x:c r="C3315" s="27" t="n">
        <x:f>INT(B3315)</x:f>
        <x:v>44667</x:v>
      </x:c>
      <x:c r="D3315" s="28" t="n">
        <x:f>MOD(B3315,1)</x:f>
        <x:v>0.7156828703737119</x:v>
      </x:c>
      <x:c r="E3315" s="29" t="n">
        <x:f>YEAR(B3315)</x:f>
        <x:v>2022</x:v>
      </x:c>
      <x:c r="F3315" s="29" t="n">
        <x:f>MONTH(B3315)</x:f>
        <x:v>4</x:v>
      </x:c>
      <x:c r="G3315" s="30" t="n">
        <x:v>-34</x:v>
      </x:c>
      <x:c r="H3315" s="30" t="n">
        <x:v>-72.38</x:v>
      </x:c>
      <x:c r="I3315" s="29" t="n">
        <x:v>31</x:v>
      </x:c>
      <x:c r="J3315" s="31" t="n">
        <x:v>4.9</x:v>
      </x:c>
      <x:c r="K3315" s="25" t="str">
        <x:f>IF(J3315&gt;=7,"Muy fuerte (&gt;=7)",IF(J3315&gt;=6,"Fuerte (6-6.9)",IF(J3315&gt;=5,"Moderado alto (5-5.9)",IF(J3315&gt;=4,"Moderado (4-4.9)","Menor a 4"))))</x:f>
        <x:v>Moderado (4-4.9)</x:v>
      </x:c>
      <x:c r="L3315" s="25" t="str">
        <x:f>IF(I3315&lt;70,"Superficial (&lt;70 km)",IF(I3315&lt;=300,"Intermedio (70-300 km)","Profundo (&gt;300 km)"))</x:f>
        <x:v>Superficial (&lt;70 km)</x:v>
      </x:c>
      <x:c r="M3315" s="25" t="str">
        <x:f>IF(J3315&gt;=5,"Sí","No")</x:f>
        <x:v>No</x:v>
      </x:c>
      <x:c r="N3315" s="25" t="str">
        <x:f>IF(J3315&gt;=6,"Sí","No")</x:f>
        <x:v>No</x:v>
      </x:c>
      <x:c r="O3315" s="25" t="str">
        <x:v>Pendiente: asignar con R/sf</x:v>
      </x:c>
    </x:row>
    <x:row r="3316">
      <x:c r="A3316" s="25" t="n">
        <x:v>3315</x:v>
      </x:c>
      <x:c r="B3316" s="26" t="n">
        <x:v>44217.787627314814</x:v>
      </x:c>
      <x:c r="C3316" s="27" t="n">
        <x:f>INT(B3316)</x:f>
        <x:v>44217</x:v>
      </x:c>
      <x:c r="D3316" s="28" t="n">
        <x:f>MOD(B3316,1)</x:f>
        <x:v>0.7876273148140172</x:v>
      </x:c>
      <x:c r="E3316" s="29" t="n">
        <x:f>YEAR(B3316)</x:f>
        <x:v>2021</x:v>
      </x:c>
      <x:c r="F3316" s="29" t="n">
        <x:f>MONTH(B3316)</x:f>
        <x:v>1</x:v>
      </x:c>
      <x:c r="G3316" s="30" t="n">
        <x:v>-25.45</x:v>
      </x:c>
      <x:c r="H3316" s="30" t="n">
        <x:v>-69.47</x:v>
      </x:c>
      <x:c r="I3316" s="29" t="n">
        <x:v>113</x:v>
      </x:c>
      <x:c r="J3316" s="31" t="n">
        <x:v>4.3</x:v>
      </x:c>
      <x:c r="K3316" s="25" t="str">
        <x:f>IF(J3316&gt;=7,"Muy fuerte (&gt;=7)",IF(J3316&gt;=6,"Fuerte (6-6.9)",IF(J3316&gt;=5,"Moderado alto (5-5.9)",IF(J3316&gt;=4,"Moderado (4-4.9)","Menor a 4"))))</x:f>
        <x:v>Moderado (4-4.9)</x:v>
      </x:c>
      <x:c r="L3316" s="25" t="str">
        <x:f>IF(I3316&lt;70,"Superficial (&lt;70 km)",IF(I3316&lt;=300,"Intermedio (70-300 km)","Profundo (&gt;300 km)"))</x:f>
        <x:v>Intermedio (70-300 km)</x:v>
      </x:c>
      <x:c r="M3316" s="25" t="str">
        <x:f>IF(J3316&gt;=5,"Sí","No")</x:f>
        <x:v>No</x:v>
      </x:c>
      <x:c r="N3316" s="25" t="str">
        <x:f>IF(J3316&gt;=6,"Sí","No")</x:f>
        <x:v>No</x:v>
      </x:c>
      <x:c r="O3316" s="25" t="str">
        <x:v>Pendiente: asignar con R/sf</x:v>
      </x:c>
    </x:row>
    <x:row r="3317">
      <x:c r="A3317" s="25" t="n">
        <x:v>3316</x:v>
      </x:c>
      <x:c r="B3317" s="26" t="n">
        <x:v>44535.91050925926</x:v>
      </x:c>
      <x:c r="C3317" s="27" t="n">
        <x:f>INT(B3317)</x:f>
        <x:v>44535</x:v>
      </x:c>
      <x:c r="D3317" s="28" t="n">
        <x:f>MOD(B3317,1)</x:f>
        <x:v>0.9105092592581059</x:v>
      </x:c>
      <x:c r="E3317" s="29" t="n">
        <x:f>YEAR(B3317)</x:f>
        <x:v>2021</x:v>
      </x:c>
      <x:c r="F3317" s="29" t="n">
        <x:f>MONTH(B3317)</x:f>
        <x:v>12</x:v>
      </x:c>
      <x:c r="G3317" s="30" t="n">
        <x:v>-25.32</x:v>
      </x:c>
      <x:c r="H3317" s="30" t="n">
        <x:v>-69.01</x:v>
      </x:c>
      <x:c r="I3317" s="29" t="n">
        <x:v>122</x:v>
      </x:c>
      <x:c r="J3317" s="31" t="n">
        <x:v>5.3</x:v>
      </x:c>
      <x:c r="K3317" s="25" t="str">
        <x:f>IF(J3317&gt;=7,"Muy fuerte (&gt;=7)",IF(J3317&gt;=6,"Fuerte (6-6.9)",IF(J3317&gt;=5,"Moderado alto (5-5.9)",IF(J3317&gt;=4,"Moderado (4-4.9)","Menor a 4"))))</x:f>
        <x:v>Moderado alto (5-5.9)</x:v>
      </x:c>
      <x:c r="L3317" s="25" t="str">
        <x:f>IF(I3317&lt;70,"Superficial (&lt;70 km)",IF(I3317&lt;=300,"Intermedio (70-300 km)","Profundo (&gt;300 km)"))</x:f>
        <x:v>Intermedio (70-300 km)</x:v>
      </x:c>
      <x:c r="M3317" s="25" t="str">
        <x:f>IF(J3317&gt;=5,"Sí","No")</x:f>
        <x:v>Sí</x:v>
      </x:c>
      <x:c r="N3317" s="25" t="str">
        <x:f>IF(J3317&gt;=6,"Sí","No")</x:f>
        <x:v>No</x:v>
      </x:c>
      <x:c r="O3317" s="25" t="str">
        <x:v>Pendiente: asignar con R/sf</x:v>
      </x:c>
    </x:row>
    <x:row r="3318">
      <x:c r="A3318" s="25" t="n">
        <x:v>3317</x:v>
      </x:c>
      <x:c r="B3318" s="26" t="n">
        <x:v>44810.551840277774</x:v>
      </x:c>
      <x:c r="C3318" s="27" t="n">
        <x:f>INT(B3318)</x:f>
        <x:v>44810</x:v>
      </x:c>
      <x:c r="D3318" s="28" t="n">
        <x:f>MOD(B3318,1)</x:f>
        <x:v>0.5518402777743177</x:v>
      </x:c>
      <x:c r="E3318" s="29" t="n">
        <x:f>YEAR(B3318)</x:f>
        <x:v>2022</x:v>
      </x:c>
      <x:c r="F3318" s="29" t="n">
        <x:f>MONTH(B3318)</x:f>
        <x:v>9</x:v>
      </x:c>
      <x:c r="G3318" s="30" t="n">
        <x:v>-22.98</x:v>
      </x:c>
      <x:c r="H3318" s="30" t="n">
        <x:v>-68.96</x:v>
      </x:c>
      <x:c r="I3318" s="29" t="n">
        <x:v>82</x:v>
      </x:c>
      <x:c r="J3318" s="31" t="n">
        <x:v>5.3</x:v>
      </x:c>
      <x:c r="K3318" s="25" t="str">
        <x:f>IF(J3318&gt;=7,"Muy fuerte (&gt;=7)",IF(J3318&gt;=6,"Fuerte (6-6.9)",IF(J3318&gt;=5,"Moderado alto (5-5.9)",IF(J3318&gt;=4,"Moderado (4-4.9)","Menor a 4"))))</x:f>
        <x:v>Moderado alto (5-5.9)</x:v>
      </x:c>
      <x:c r="L3318" s="25" t="str">
        <x:f>IF(I3318&lt;70,"Superficial (&lt;70 km)",IF(I3318&lt;=300,"Intermedio (70-300 km)","Profundo (&gt;300 km)"))</x:f>
        <x:v>Intermedio (70-300 km)</x:v>
      </x:c>
      <x:c r="M3318" s="25" t="str">
        <x:f>IF(J3318&gt;=5,"Sí","No")</x:f>
        <x:v>Sí</x:v>
      </x:c>
      <x:c r="N3318" s="25" t="str">
        <x:f>IF(J3318&gt;=6,"Sí","No")</x:f>
        <x:v>No</x:v>
      </x:c>
      <x:c r="O3318" s="25" t="str">
        <x:v>Pendiente: asignar con R/sf</x:v>
      </x:c>
    </x:row>
    <x:row r="3319">
      <x:c r="A3319" s="25" t="n">
        <x:v>3318</x:v>
      </x:c>
      <x:c r="B3319" s="26" t="n">
        <x:v>43985.31636574074</x:v>
      </x:c>
      <x:c r="C3319" s="27" t="n">
        <x:f>INT(B3319)</x:f>
        <x:v>43985</x:v>
      </x:c>
      <x:c r="D3319" s="28" t="n">
        <x:f>MOD(B3319,1)</x:f>
        <x:v>0.31636574074218515</x:v>
      </x:c>
      <x:c r="E3319" s="29" t="n">
        <x:f>YEAR(B3319)</x:f>
        <x:v>2020</x:v>
      </x:c>
      <x:c r="F3319" s="29" t="n">
        <x:f>MONTH(B3319)</x:f>
        <x:v>6</x:v>
      </x:c>
      <x:c r="G3319" s="30" t="n">
        <x:v>-23.25</x:v>
      </x:c>
      <x:c r="H3319" s="30" t="n">
        <x:v>-68.53</x:v>
      </x:c>
      <x:c r="I3319" s="29" t="n">
        <x:v>123</x:v>
      </x:c>
      <x:c r="J3319" s="31" t="n">
        <x:v>6.9</x:v>
      </x:c>
      <x:c r="K3319" s="25" t="str">
        <x:f>IF(J3319&gt;=7,"Muy fuerte (&gt;=7)",IF(J3319&gt;=6,"Fuerte (6-6.9)",IF(J3319&gt;=5,"Moderado alto (5-5.9)",IF(J3319&gt;=4,"Moderado (4-4.9)","Menor a 4"))))</x:f>
        <x:v>Fuerte (6-6.9)</x:v>
      </x:c>
      <x:c r="L3319" s="25" t="str">
        <x:f>IF(I3319&lt;70,"Superficial (&lt;70 km)",IF(I3319&lt;=300,"Intermedio (70-300 km)","Profundo (&gt;300 km)"))</x:f>
        <x:v>Intermedio (70-300 km)</x:v>
      </x:c>
      <x:c r="M3319" s="25" t="str">
        <x:f>IF(J3319&gt;=5,"Sí","No")</x:f>
        <x:v>Sí</x:v>
      </x:c>
      <x:c r="N3319" s="25" t="str">
        <x:f>IF(J3319&gt;=6,"Sí","No")</x:f>
        <x:v>Sí</x:v>
      </x:c>
      <x:c r="O3319" s="25" t="str">
        <x:v>Pendiente: asignar con R/sf</x:v>
      </x:c>
    </x:row>
    <x:row r="3320">
      <x:c r="A3320" s="25" t="n">
        <x:v>3319</x:v>
      </x:c>
      <x:c r="B3320" s="26" t="n">
        <x:v>44007.49655092593</x:v>
      </x:c>
      <x:c r="C3320" s="27" t="n">
        <x:f>INT(B3320)</x:f>
        <x:v>44007</x:v>
      </x:c>
      <x:c r="D3320" s="28" t="n">
        <x:f>MOD(B3320,1)</x:f>
        <x:v>0.4965509259272949</x:v>
      </x:c>
      <x:c r="E3320" s="29" t="n">
        <x:f>YEAR(B3320)</x:f>
        <x:v>2020</x:v>
      </x:c>
      <x:c r="F3320" s="29" t="n">
        <x:f>MONTH(B3320)</x:f>
        <x:v>6</x:v>
      </x:c>
      <x:c r="G3320" s="30" t="n">
        <x:v>-32.25</x:v>
      </x:c>
      <x:c r="H3320" s="30" t="n">
        <x:v>-71.66</x:v>
      </x:c>
      <x:c r="I3320" s="29" t="n">
        <x:v>41</x:v>
      </x:c>
      <x:c r="J3320" s="31" t="n">
        <x:v>5.2</x:v>
      </x:c>
      <x:c r="K3320" s="25" t="str">
        <x:f>IF(J3320&gt;=7,"Muy fuerte (&gt;=7)",IF(J3320&gt;=6,"Fuerte (6-6.9)",IF(J3320&gt;=5,"Moderado alto (5-5.9)",IF(J3320&gt;=4,"Moderado (4-4.9)","Menor a 4"))))</x:f>
        <x:v>Moderado alto (5-5.9)</x:v>
      </x:c>
      <x:c r="L3320" s="25" t="str">
        <x:f>IF(I3320&lt;70,"Superficial (&lt;70 km)",IF(I3320&lt;=300,"Intermedio (70-300 km)","Profundo (&gt;300 km)"))</x:f>
        <x:v>Superficial (&lt;70 km)</x:v>
      </x:c>
      <x:c r="M3320" s="25" t="str">
        <x:f>IF(J3320&gt;=5,"Sí","No")</x:f>
        <x:v>Sí</x:v>
      </x:c>
      <x:c r="N3320" s="25" t="str">
        <x:f>IF(J3320&gt;=6,"Sí","No")</x:f>
        <x:v>No</x:v>
      </x:c>
      <x:c r="O3320" s="25" t="str">
        <x:v>Pendiente: asignar con R/sf</x:v>
      </x:c>
    </x:row>
    <x:row r="3321">
      <x:c r="A3321" s="25" t="n">
        <x:v>3320</x:v>
      </x:c>
      <x:c r="B3321" s="26" t="n">
        <x:v>45053.270150462966</x:v>
      </x:c>
      <x:c r="C3321" s="27" t="n">
        <x:f>INT(B3321)</x:f>
        <x:v>45053</x:v>
      </x:c>
      <x:c r="D3321" s="28" t="n">
        <x:f>MOD(B3321,1)</x:f>
        <x:v>0.27015046296583023</x:v>
      </x:c>
      <x:c r="E3321" s="29" t="n">
        <x:f>YEAR(B3321)</x:f>
        <x:v>2023</x:v>
      </x:c>
      <x:c r="F3321" s="29" t="n">
        <x:f>MONTH(B3321)</x:f>
        <x:v>5</x:v>
      </x:c>
      <x:c r="G3321" s="30" t="n">
        <x:v>-25.36</x:v>
      </x:c>
      <x:c r="H3321" s="30" t="n">
        <x:v>-70.45</x:v>
      </x:c>
      <x:c r="I3321" s="29" t="n">
        <x:v>48</x:v>
      </x:c>
      <x:c r="J3321" s="31" t="n">
        <x:v>5.3</x:v>
      </x:c>
      <x:c r="K3321" s="25" t="str">
        <x:f>IF(J3321&gt;=7,"Muy fuerte (&gt;=7)",IF(J3321&gt;=6,"Fuerte (6-6.9)",IF(J3321&gt;=5,"Moderado alto (5-5.9)",IF(J3321&gt;=4,"Moderado (4-4.9)","Menor a 4"))))</x:f>
        <x:v>Moderado alto (5-5.9)</x:v>
      </x:c>
      <x:c r="L3321" s="25" t="str">
        <x:f>IF(I3321&lt;70,"Superficial (&lt;70 km)",IF(I3321&lt;=300,"Intermedio (70-300 km)","Profundo (&gt;300 km)"))</x:f>
        <x:v>Superficial (&lt;70 km)</x:v>
      </x:c>
      <x:c r="M3321" s="25" t="str">
        <x:f>IF(J3321&gt;=5,"Sí","No")</x:f>
        <x:v>Sí</x:v>
      </x:c>
      <x:c r="N3321" s="25" t="str">
        <x:f>IF(J3321&gt;=6,"Sí","No")</x:f>
        <x:v>No</x:v>
      </x:c>
      <x:c r="O3321" s="25" t="str">
        <x:v>Pendiente: asignar con R/sf</x:v>
      </x:c>
    </x:row>
    <x:row r="3322">
      <x:c r="A3322" s="25" t="n">
        <x:v>3321</x:v>
      </x:c>
      <x:c r="B3322" s="26" t="n">
        <x:v>45074.08770833333</x:v>
      </x:c>
      <x:c r="C3322" s="27" t="n">
        <x:f>INT(B3322)</x:f>
        <x:v>45074</x:v>
      </x:c>
      <x:c r="D3322" s="28" t="n">
        <x:f>MOD(B3322,1)</x:f>
        <x:v>0.08770833333255723</x:v>
      </x:c>
      <x:c r="E3322" s="29" t="n">
        <x:f>YEAR(B3322)</x:f>
        <x:v>2023</x:v>
      </x:c>
      <x:c r="F3322" s="29" t="n">
        <x:f>MONTH(B3322)</x:f>
        <x:v>5</x:v>
      </x:c>
      <x:c r="G3322" s="30" t="n">
        <x:v>-23.39</x:v>
      </x:c>
      <x:c r="H3322" s="30" t="n">
        <x:v>-69.89</x:v>
      </x:c>
      <x:c r="I3322" s="29" t="n">
        <x:v>36</x:v>
      </x:c>
      <x:c r="J3322" s="31" t="n">
        <x:v>5</x:v>
      </x:c>
      <x:c r="K3322" s="25" t="str">
        <x:f>IF(J3322&gt;=7,"Muy fuerte (&gt;=7)",IF(J3322&gt;=6,"Fuerte (6-6.9)",IF(J3322&gt;=5,"Moderado alto (5-5.9)",IF(J3322&gt;=4,"Moderado (4-4.9)","Menor a 4"))))</x:f>
        <x:v>Moderado alto (5-5.9)</x:v>
      </x:c>
      <x:c r="L3322" s="25" t="str">
        <x:f>IF(I3322&lt;70,"Superficial (&lt;70 km)",IF(I3322&lt;=300,"Intermedio (70-300 km)","Profundo (&gt;300 km)"))</x:f>
        <x:v>Superficial (&lt;70 km)</x:v>
      </x:c>
      <x:c r="M3322" s="25" t="str">
        <x:f>IF(J3322&gt;=5,"Sí","No")</x:f>
        <x:v>Sí</x:v>
      </x:c>
      <x:c r="N3322" s="25" t="str">
        <x:f>IF(J3322&gt;=6,"Sí","No")</x:f>
        <x:v>No</x:v>
      </x:c>
      <x:c r="O3322" s="25" t="str">
        <x:v>Pendiente: asignar con R/sf</x:v>
      </x:c>
    </x:row>
    <x:row r="3323">
      <x:c r="A3323" s="25" t="n">
        <x:v>3322</x:v>
      </x:c>
      <x:c r="B3323" s="26" t="n">
        <x:v>45076.702511574076</x:v>
      </x:c>
      <x:c r="C3323" s="27" t="n">
        <x:f>INT(B3323)</x:f>
        <x:v>45076</x:v>
      </x:c>
      <x:c r="D3323" s="28" t="n">
        <x:f>MOD(B3323,1)</x:f>
        <x:v>0.7025115740761976</x:v>
      </x:c>
      <x:c r="E3323" s="29" t="n">
        <x:f>YEAR(B3323)</x:f>
        <x:v>2023</x:v>
      </x:c>
      <x:c r="F3323" s="29" t="n">
        <x:f>MONTH(B3323)</x:f>
        <x:v>5</x:v>
      </x:c>
      <x:c r="G3323" s="30" t="n">
        <x:v>-20.65</x:v>
      </x:c>
      <x:c r="H3323" s="30" t="n">
        <x:v>-70.57</x:v>
      </x:c>
      <x:c r="I3323" s="29" t="n">
        <x:v>42</x:v>
      </x:c>
      <x:c r="J3323" s="31" t="n">
        <x:v>5.5</x:v>
      </x:c>
      <x:c r="K3323" s="25" t="str">
        <x:f>IF(J3323&gt;=7,"Muy fuerte (&gt;=7)",IF(J3323&gt;=6,"Fuerte (6-6.9)",IF(J3323&gt;=5,"Moderado alto (5-5.9)",IF(J3323&gt;=4,"Moderado (4-4.9)","Menor a 4"))))</x:f>
        <x:v>Moderado alto (5-5.9)</x:v>
      </x:c>
      <x:c r="L3323" s="25" t="str">
        <x:f>IF(I3323&lt;70,"Superficial (&lt;70 km)",IF(I3323&lt;=300,"Intermedio (70-300 km)","Profundo (&gt;300 km)"))</x:f>
        <x:v>Superficial (&lt;70 km)</x:v>
      </x:c>
      <x:c r="M3323" s="25" t="str">
        <x:f>IF(J3323&gt;=5,"Sí","No")</x:f>
        <x:v>Sí</x:v>
      </x:c>
      <x:c r="N3323" s="25" t="str">
        <x:f>IF(J3323&gt;=6,"Sí","No")</x:f>
        <x:v>No</x:v>
      </x:c>
      <x:c r="O3323" s="25" t="str">
        <x:v>Pendiente: asignar con R/sf</x:v>
      </x:c>
    </x:row>
    <x:row r="3324">
      <x:c r="A3324" s="25" t="n">
        <x:v>3323</x:v>
      </x:c>
      <x:c r="B3324" s="26" t="n">
        <x:v>44701.99153935185</x:v>
      </x:c>
      <x:c r="C3324" s="27" t="n">
        <x:f>INT(B3324)</x:f>
        <x:v>44701</x:v>
      </x:c>
      <x:c r="D3324" s="28" t="n">
        <x:f>MOD(B3324,1)</x:f>
        <x:v>0.9915393518531346</x:v>
      </x:c>
      <x:c r="E3324" s="29" t="n">
        <x:f>YEAR(B3324)</x:f>
        <x:v>2022</x:v>
      </x:c>
      <x:c r="F3324" s="29" t="n">
        <x:f>MONTH(B3324)</x:f>
        <x:v>5</x:v>
      </x:c>
      <x:c r="G3324" s="30" t="n">
        <x:v>-27.02</x:v>
      </x:c>
      <x:c r="H3324" s="30" t="n">
        <x:v>-70.73</x:v>
      </x:c>
      <x:c r="I3324" s="29" t="n">
        <x:v>49</x:v>
      </x:c>
      <x:c r="J3324" s="31" t="n">
        <x:v>4.5</x:v>
      </x:c>
      <x:c r="K3324" s="25" t="str">
        <x:f>IF(J3324&gt;=7,"Muy fuerte (&gt;=7)",IF(J3324&gt;=6,"Fuerte (6-6.9)",IF(J3324&gt;=5,"Moderado alto (5-5.9)",IF(J3324&gt;=4,"Moderado (4-4.9)","Menor a 4"))))</x:f>
        <x:v>Moderado (4-4.9)</x:v>
      </x:c>
      <x:c r="L3324" s="25" t="str">
        <x:f>IF(I3324&lt;70,"Superficial (&lt;70 km)",IF(I3324&lt;=300,"Intermedio (70-300 km)","Profundo (&gt;300 km)"))</x:f>
        <x:v>Superficial (&lt;70 km)</x:v>
      </x:c>
      <x:c r="M3324" s="25" t="str">
        <x:f>IF(J3324&gt;=5,"Sí","No")</x:f>
        <x:v>No</x:v>
      </x:c>
      <x:c r="N3324" s="25" t="str">
        <x:f>IF(J3324&gt;=6,"Sí","No")</x:f>
        <x:v>No</x:v>
      </x:c>
      <x:c r="O3324" s="25" t="str">
        <x:v>Pendiente: asignar con R/sf</x:v>
      </x:c>
    </x:row>
    <x:row r="3325">
      <x:c r="A3325" s="25" t="n">
        <x:v>3324</x:v>
      </x:c>
      <x:c r="B3325" s="26" t="n">
        <x:v>44755.79138888889</x:v>
      </x:c>
      <x:c r="C3325" s="27" t="n">
        <x:f>INT(B3325)</x:f>
        <x:v>44755</x:v>
      </x:c>
      <x:c r="D3325" s="28" t="n">
        <x:f>MOD(B3325,1)</x:f>
        <x:v>0.7913888888870133</x:v>
      </x:c>
      <x:c r="E3325" s="29" t="n">
        <x:f>YEAR(B3325)</x:f>
        <x:v>2022</x:v>
      </x:c>
      <x:c r="F3325" s="29" t="n">
        <x:f>MONTH(B3325)</x:f>
        <x:v>7</x:v>
      </x:c>
      <x:c r="G3325" s="30" t="n">
        <x:v>-27.29</x:v>
      </x:c>
      <x:c r="H3325" s="30" t="n">
        <x:v>-70.24</x:v>
      </x:c>
      <x:c r="I3325" s="29" t="n">
        <x:v>88</x:v>
      </x:c>
      <x:c r="J3325" s="31" t="n">
        <x:v>3.8</x:v>
      </x:c>
      <x:c r="K3325" s="25" t="str">
        <x:f>IF(J3325&gt;=7,"Muy fuerte (&gt;=7)",IF(J3325&gt;=6,"Fuerte (6-6.9)",IF(J3325&gt;=5,"Moderado alto (5-5.9)",IF(J3325&gt;=4,"Moderado (4-4.9)","Menor a 4"))))</x:f>
        <x:v>Menor a 4</x:v>
      </x:c>
      <x:c r="L3325" s="25" t="str">
        <x:f>IF(I3325&lt;70,"Superficial (&lt;70 km)",IF(I3325&lt;=300,"Intermedio (70-300 km)","Profundo (&gt;300 km)"))</x:f>
        <x:v>Intermedio (70-300 km)</x:v>
      </x:c>
      <x:c r="M3325" s="25" t="str">
        <x:f>IF(J3325&gt;=5,"Sí","No")</x:f>
        <x:v>No</x:v>
      </x:c>
      <x:c r="N3325" s="25" t="str">
        <x:f>IF(J3325&gt;=6,"Sí","No")</x:f>
        <x:v>No</x:v>
      </x:c>
      <x:c r="O3325" s="25" t="str">
        <x:v>Pendiente: asignar con R/sf</x:v>
      </x:c>
    </x:row>
    <x:row r="3326">
      <x:c r="A3326" s="25" t="n">
        <x:v>3325</x:v>
      </x:c>
      <x:c r="B3326" s="26" t="n">
        <x:v>44820.03396990741</x:v>
      </x:c>
      <x:c r="C3326" s="27" t="n">
        <x:f>INT(B3326)</x:f>
        <x:v>44820</x:v>
      </x:c>
      <x:c r="D3326" s="28" t="n">
        <x:f>MOD(B3326,1)</x:f>
        <x:v>0.03396990741021</x:v>
      </x:c>
      <x:c r="E3326" s="29" t="n">
        <x:f>YEAR(B3326)</x:f>
        <x:v>2022</x:v>
      </x:c>
      <x:c r="F3326" s="29" t="n">
        <x:f>MONTH(B3326)</x:f>
        <x:v>9</x:v>
      </x:c>
      <x:c r="G3326" s="30" t="n">
        <x:v>-27.61</x:v>
      </x:c>
      <x:c r="H3326" s="30" t="n">
        <x:v>-70.12</x:v>
      </x:c>
      <x:c r="I3326" s="29" t="n">
        <x:v>74</x:v>
      </x:c>
      <x:c r="J3326" s="31" t="n">
        <x:v>3.5</x:v>
      </x:c>
      <x:c r="K3326" s="25" t="str">
        <x:f>IF(J3326&gt;=7,"Muy fuerte (&gt;=7)",IF(J3326&gt;=6,"Fuerte (6-6.9)",IF(J3326&gt;=5,"Moderado alto (5-5.9)",IF(J3326&gt;=4,"Moderado (4-4.9)","Menor a 4"))))</x:f>
        <x:v>Menor a 4</x:v>
      </x:c>
      <x:c r="L3326" s="25" t="str">
        <x:f>IF(I3326&lt;70,"Superficial (&lt;70 km)",IF(I3326&lt;=300,"Intermedio (70-300 km)","Profundo (&gt;300 km)"))</x:f>
        <x:v>Intermedio (70-300 km)</x:v>
      </x:c>
      <x:c r="M3326" s="25" t="str">
        <x:f>IF(J3326&gt;=5,"Sí","No")</x:f>
        <x:v>No</x:v>
      </x:c>
      <x:c r="N3326" s="25" t="str">
        <x:f>IF(J3326&gt;=6,"Sí","No")</x:f>
        <x:v>No</x:v>
      </x:c>
      <x:c r="O3326" s="25" t="str">
        <x:v>Pendiente: asignar con R/sf</x:v>
      </x:c>
    </x:row>
    <x:row r="3327">
      <x:c r="A3327" s="25" t="n">
        <x:v>3326</x:v>
      </x:c>
      <x:c r="B3327" s="26" t="n">
        <x:v>44863.58244212963</x:v>
      </x:c>
      <x:c r="C3327" s="27" t="n">
        <x:f>INT(B3327)</x:f>
        <x:v>44863</x:v>
      </x:c>
      <x:c r="D3327" s="28" t="n">
        <x:f>MOD(B3327,1)</x:f>
        <x:v>0.5824421296274522</x:v>
      </x:c>
      <x:c r="E3327" s="29" t="n">
        <x:f>YEAR(B3327)</x:f>
        <x:v>2022</x:v>
      </x:c>
      <x:c r="F3327" s="29" t="n">
        <x:f>MONTH(B3327)</x:f>
        <x:v>10</x:v>
      </x:c>
      <x:c r="G3327" s="30" t="n">
        <x:v>-28.69</x:v>
      </x:c>
      <x:c r="H3327" s="30" t="n">
        <x:v>-71.38</x:v>
      </x:c>
      <x:c r="I3327" s="29" t="n">
        <x:v>40</x:v>
      </x:c>
      <x:c r="J3327" s="31" t="n">
        <x:v>4.7</x:v>
      </x:c>
      <x:c r="K3327" s="25" t="str">
        <x:f>IF(J3327&gt;=7,"Muy fuerte (&gt;=7)",IF(J3327&gt;=6,"Fuerte (6-6.9)",IF(J3327&gt;=5,"Moderado alto (5-5.9)",IF(J3327&gt;=4,"Moderado (4-4.9)","Menor a 4"))))</x:f>
        <x:v>Moderado (4-4.9)</x:v>
      </x:c>
      <x:c r="L3327" s="25" t="str">
        <x:f>IF(I3327&lt;70,"Superficial (&lt;70 km)",IF(I3327&lt;=300,"Intermedio (70-300 km)","Profundo (&gt;300 km)"))</x:f>
        <x:v>Superficial (&lt;70 km)</x:v>
      </x:c>
      <x:c r="M3327" s="25" t="str">
        <x:f>IF(J3327&gt;=5,"Sí","No")</x:f>
        <x:v>No</x:v>
      </x:c>
      <x:c r="N3327" s="25" t="str">
        <x:f>IF(J3327&gt;=6,"Sí","No")</x:f>
        <x:v>No</x:v>
      </x:c>
      <x:c r="O3327" s="25" t="str">
        <x:v>Pendiente: asignar con R/sf</x:v>
      </x:c>
    </x:row>
    <x:row r="3328">
      <x:c r="A3328" s="25" t="n">
        <x:v>3327</x:v>
      </x:c>
      <x:c r="B3328" s="26" t="n">
        <x:v>44868.609351851854</x:v>
      </x:c>
      <x:c r="C3328" s="27" t="n">
        <x:f>INT(B3328)</x:f>
        <x:v>44868</x:v>
      </x:c>
      <x:c r="D3328" s="28" t="n">
        <x:f>MOD(B3328,1)</x:f>
        <x:v>0.6093518518537167</x:v>
      </x:c>
      <x:c r="E3328" s="29" t="n">
        <x:f>YEAR(B3328)</x:f>
        <x:v>2022</x:v>
      </x:c>
      <x:c r="F3328" s="29" t="n">
        <x:f>MONTH(B3328)</x:f>
        <x:v>11</x:v>
      </x:c>
      <x:c r="G3328" s="30" t="n">
        <x:v>-27.82</x:v>
      </x:c>
      <x:c r="H3328" s="30" t="n">
        <x:v>-71.08</x:v>
      </x:c>
      <x:c r="I3328" s="29" t="n">
        <x:v>32</x:v>
      </x:c>
      <x:c r="J3328" s="31" t="n">
        <x:v>4.3</x:v>
      </x:c>
      <x:c r="K3328" s="25" t="str">
        <x:f>IF(J3328&gt;=7,"Muy fuerte (&gt;=7)",IF(J3328&gt;=6,"Fuerte (6-6.9)",IF(J3328&gt;=5,"Moderado alto (5-5.9)",IF(J3328&gt;=4,"Moderado (4-4.9)","Menor a 4"))))</x:f>
        <x:v>Moderado (4-4.9)</x:v>
      </x:c>
      <x:c r="L3328" s="25" t="str">
        <x:f>IF(I3328&lt;70,"Superficial (&lt;70 km)",IF(I3328&lt;=300,"Intermedio (70-300 km)","Profundo (&gt;300 km)"))</x:f>
        <x:v>Superficial (&lt;70 km)</x:v>
      </x:c>
      <x:c r="M3328" s="25" t="str">
        <x:f>IF(J3328&gt;=5,"Sí","No")</x:f>
        <x:v>No</x:v>
      </x:c>
      <x:c r="N3328" s="25" t="str">
        <x:f>IF(J3328&gt;=6,"Sí","No")</x:f>
        <x:v>No</x:v>
      </x:c>
      <x:c r="O3328" s="25" t="str">
        <x:v>Pendiente: asignar con R/sf</x:v>
      </x:c>
    </x:row>
    <x:row r="3329">
      <x:c r="A3329" s="25" t="n">
        <x:v>3328</x:v>
      </x:c>
      <x:c r="B3329" s="26" t="n">
        <x:v>44946.649826388886</x:v>
      </x:c>
      <x:c r="C3329" s="27" t="n">
        <x:f>INT(B3329)</x:f>
        <x:v>44946</x:v>
      </x:c>
      <x:c r="D3329" s="28" t="n">
        <x:f>MOD(B3329,1)</x:f>
        <x:v>0.6498263888861402</x:v>
      </x:c>
      <x:c r="E3329" s="29" t="n">
        <x:f>YEAR(B3329)</x:f>
        <x:v>2023</x:v>
      </x:c>
      <x:c r="F3329" s="29" t="n">
        <x:f>MONTH(B3329)</x:f>
        <x:v>1</x:v>
      </x:c>
      <x:c r="G3329" s="30" t="n">
        <x:v>-27.94</x:v>
      </x:c>
      <x:c r="H3329" s="30" t="n">
        <x:v>-70.18</x:v>
      </x:c>
      <x:c r="I3329" s="29" t="n">
        <x:v>96</x:v>
      </x:c>
      <x:c r="J3329" s="31" t="n">
        <x:v>3.9</x:v>
      </x:c>
      <x:c r="K3329" s="25" t="str">
        <x:f>IF(J3329&gt;=7,"Muy fuerte (&gt;=7)",IF(J3329&gt;=6,"Fuerte (6-6.9)",IF(J3329&gt;=5,"Moderado alto (5-5.9)",IF(J3329&gt;=4,"Moderado (4-4.9)","Menor a 4"))))</x:f>
        <x:v>Menor a 4</x:v>
      </x:c>
      <x:c r="L3329" s="25" t="str">
        <x:f>IF(I3329&lt;70,"Superficial (&lt;70 km)",IF(I3329&lt;=300,"Intermedio (70-300 km)","Profundo (&gt;300 km)"))</x:f>
        <x:v>Intermedio (70-300 km)</x:v>
      </x:c>
      <x:c r="M3329" s="25" t="str">
        <x:f>IF(J3329&gt;=5,"Sí","No")</x:f>
        <x:v>No</x:v>
      </x:c>
      <x:c r="N3329" s="25" t="str">
        <x:f>IF(J3329&gt;=6,"Sí","No")</x:f>
        <x:v>No</x:v>
      </x:c>
      <x:c r="O3329" s="25" t="str">
        <x:v>Pendiente: asignar con R/sf</x:v>
      </x:c>
    </x:row>
    <x:row r="3330">
      <x:c r="A3330" s="25" t="n">
        <x:v>3329</x:v>
      </x:c>
      <x:c r="B3330" s="26" t="n">
        <x:v>44984.589166666665</x:v>
      </x:c>
      <x:c r="C3330" s="27" t="n">
        <x:f>INT(B3330)</x:f>
        <x:v>44984</x:v>
      </x:c>
      <x:c r="D3330" s="28" t="n">
        <x:f>MOD(B3330,1)</x:f>
        <x:v>0.5891666666648234</x:v>
      </x:c>
      <x:c r="E3330" s="29" t="n">
        <x:f>YEAR(B3330)</x:f>
        <x:v>2023</x:v>
      </x:c>
      <x:c r="F3330" s="29" t="n">
        <x:f>MONTH(B3330)</x:f>
        <x:v>2</x:v>
      </x:c>
      <x:c r="G3330" s="30" t="n">
        <x:v>-26.88</x:v>
      </x:c>
      <x:c r="H3330" s="30" t="n">
        <x:v>-70.2</x:v>
      </x:c>
      <x:c r="I3330" s="29" t="n">
        <x:v>80</x:v>
      </x:c>
      <x:c r="J3330" s="31" t="n">
        <x:v>4.5</x:v>
      </x:c>
      <x:c r="K3330" s="25" t="str">
        <x:f>IF(J3330&gt;=7,"Muy fuerte (&gt;=7)",IF(J3330&gt;=6,"Fuerte (6-6.9)",IF(J3330&gt;=5,"Moderado alto (5-5.9)",IF(J3330&gt;=4,"Moderado (4-4.9)","Menor a 4"))))</x:f>
        <x:v>Moderado (4-4.9)</x:v>
      </x:c>
      <x:c r="L3330" s="25" t="str">
        <x:f>IF(I3330&lt;70,"Superficial (&lt;70 km)",IF(I3330&lt;=300,"Intermedio (70-300 km)","Profundo (&gt;300 km)"))</x:f>
        <x:v>Intermedio (70-300 km)</x:v>
      </x:c>
      <x:c r="M3330" s="25" t="str">
        <x:f>IF(J3330&gt;=5,"Sí","No")</x:f>
        <x:v>No</x:v>
      </x:c>
      <x:c r="N3330" s="25" t="str">
        <x:f>IF(J3330&gt;=6,"Sí","No")</x:f>
        <x:v>No</x:v>
      </x:c>
      <x:c r="O3330" s="25" t="str">
        <x:v>Pendiente: asignar con R/sf</x:v>
      </x:c>
    </x:row>
    <x:row r="3331">
      <x:c r="A3331" s="25" t="n">
        <x:v>3330</x:v>
      </x:c>
      <x:c r="B3331" s="26" t="n">
        <x:v>44990.92173611111</x:v>
      </x:c>
      <x:c r="C3331" s="27" t="n">
        <x:f>INT(B3331)</x:f>
        <x:v>44990</x:v>
      </x:c>
      <x:c r="D3331" s="28" t="n">
        <x:f>MOD(B3331,1)</x:f>
        <x:v>0.921736111107748</x:v>
      </x:c>
      <x:c r="E3331" s="29" t="n">
        <x:f>YEAR(B3331)</x:f>
        <x:v>2023</x:v>
      </x:c>
      <x:c r="F3331" s="29" t="n">
        <x:f>MONTH(B3331)</x:f>
        <x:v>3</x:v>
      </x:c>
      <x:c r="G3331" s="30" t="n">
        <x:v>-28.26</x:v>
      </x:c>
      <x:c r="H3331" s="30" t="n">
        <x:v>-71.21</x:v>
      </x:c>
      <x:c r="I3331" s="29" t="n">
        <x:v>33</x:v>
      </x:c>
      <x:c r="J3331" s="31" t="n">
        <x:v>4.4</x:v>
      </x:c>
      <x:c r="K3331" s="25" t="str">
        <x:f>IF(J3331&gt;=7,"Muy fuerte (&gt;=7)",IF(J3331&gt;=6,"Fuerte (6-6.9)",IF(J3331&gt;=5,"Moderado alto (5-5.9)",IF(J3331&gt;=4,"Moderado (4-4.9)","Menor a 4"))))</x:f>
        <x:v>Moderado (4-4.9)</x:v>
      </x:c>
      <x:c r="L3331" s="25" t="str">
        <x:f>IF(I3331&lt;70,"Superficial (&lt;70 km)",IF(I3331&lt;=300,"Intermedio (70-300 km)","Profundo (&gt;300 km)"))</x:f>
        <x:v>Superficial (&lt;70 km)</x:v>
      </x:c>
      <x:c r="M3331" s="25" t="str">
        <x:f>IF(J3331&gt;=5,"Sí","No")</x:f>
        <x:v>No</x:v>
      </x:c>
      <x:c r="N3331" s="25" t="str">
        <x:f>IF(J3331&gt;=6,"Sí","No")</x:f>
        <x:v>No</x:v>
      </x:c>
      <x:c r="O3331" s="25" t="str">
        <x:v>Pendiente: asignar con R/sf</x:v>
      </x:c>
    </x:row>
    <x:row r="3332">
      <x:c r="A3332" s="25" t="n">
        <x:v>3331</x:v>
      </x:c>
      <x:c r="B3332" s="26" t="n">
        <x:v>44925.07591435185</x:v>
      </x:c>
      <x:c r="C3332" s="27" t="n">
        <x:f>INT(B3332)</x:f>
        <x:v>44925</x:v>
      </x:c>
      <x:c r="D3332" s="28" t="n">
        <x:f>MOD(B3332,1)</x:f>
        <x:v>0.07591435185167938</x:v>
      </x:c>
      <x:c r="E3332" s="29" t="n">
        <x:f>YEAR(B3332)</x:f>
        <x:v>2022</x:v>
      </x:c>
      <x:c r="F3332" s="29" t="n">
        <x:f>MONTH(B3332)</x:f>
        <x:v>12</x:v>
      </x:c>
      <x:c r="G3332" s="30" t="n">
        <x:v>-27.64</x:v>
      </x:c>
      <x:c r="H3332" s="30" t="n">
        <x:v>-70.24</x:v>
      </x:c>
      <x:c r="I3332" s="29" t="n">
        <x:v>94</x:v>
      </x:c>
      <x:c r="J3332" s="31" t="n">
        <x:v>4.5</x:v>
      </x:c>
      <x:c r="K3332" s="25" t="str">
        <x:f>IF(J3332&gt;=7,"Muy fuerte (&gt;=7)",IF(J3332&gt;=6,"Fuerte (6-6.9)",IF(J3332&gt;=5,"Moderado alto (5-5.9)",IF(J3332&gt;=4,"Moderado (4-4.9)","Menor a 4"))))</x:f>
        <x:v>Moderado (4-4.9)</x:v>
      </x:c>
      <x:c r="L3332" s="25" t="str">
        <x:f>IF(I3332&lt;70,"Superficial (&lt;70 km)",IF(I3332&lt;=300,"Intermedio (70-300 km)","Profundo (&gt;300 km)"))</x:f>
        <x:v>Intermedio (70-300 km)</x:v>
      </x:c>
      <x:c r="M3332" s="25" t="str">
        <x:f>IF(J3332&gt;=5,"Sí","No")</x:f>
        <x:v>No</x:v>
      </x:c>
      <x:c r="N3332" s="25" t="str">
        <x:f>IF(J3332&gt;=6,"Sí","No")</x:f>
        <x:v>No</x:v>
      </x:c>
      <x:c r="O3332" s="25" t="str">
        <x:v>Pendiente: asignar con R/sf</x:v>
      </x:c>
    </x:row>
    <x:row r="3333">
      <x:c r="A3333" s="25" t="n">
        <x:v>3332</x:v>
      </x:c>
      <x:c r="B3333" s="26" t="n">
        <x:v>44884.32263888889</x:v>
      </x:c>
      <x:c r="C3333" s="27" t="n">
        <x:f>INT(B3333)</x:f>
        <x:v>44884</x:v>
      </x:c>
      <x:c r="D3333" s="28" t="n">
        <x:f>MOD(B3333,1)</x:f>
        <x:v>0.3226388888870133</x:v>
      </x:c>
      <x:c r="E3333" s="29" t="n">
        <x:f>YEAR(B3333)</x:f>
        <x:v>2022</x:v>
      </x:c>
      <x:c r="F3333" s="29" t="n">
        <x:f>MONTH(B3333)</x:f>
        <x:v>11</x:v>
      </x:c>
      <x:c r="G3333" s="30" t="n">
        <x:v>-32.4</x:v>
      </x:c>
      <x:c r="H3333" s="30" t="n">
        <x:v>-71.74</x:v>
      </x:c>
      <x:c r="I3333" s="29" t="n">
        <x:v>33</x:v>
      </x:c>
      <x:c r="J3333" s="31" t="n">
        <x:v>4.2</x:v>
      </x:c>
      <x:c r="K3333" s="25" t="str">
        <x:f>IF(J3333&gt;=7,"Muy fuerte (&gt;=7)",IF(J3333&gt;=6,"Fuerte (6-6.9)",IF(J3333&gt;=5,"Moderado alto (5-5.9)",IF(J3333&gt;=4,"Moderado (4-4.9)","Menor a 4"))))</x:f>
        <x:v>Moderado (4-4.9)</x:v>
      </x:c>
      <x:c r="L3333" s="25" t="str">
        <x:f>IF(I3333&lt;70,"Superficial (&lt;70 km)",IF(I3333&lt;=300,"Intermedio (70-300 km)","Profundo (&gt;300 km)"))</x:f>
        <x:v>Superficial (&lt;70 km)</x:v>
      </x:c>
      <x:c r="M3333" s="25" t="str">
        <x:f>IF(J3333&gt;=5,"Sí","No")</x:f>
        <x:v>No</x:v>
      </x:c>
      <x:c r="N3333" s="25" t="str">
        <x:f>IF(J3333&gt;=6,"Sí","No")</x:f>
        <x:v>No</x:v>
      </x:c>
      <x:c r="O3333" s="25" t="str">
        <x:v>Pendiente: asignar con R/sf</x:v>
      </x:c>
    </x:row>
    <x:row r="3334">
      <x:c r="A3334" s="25" t="n">
        <x:v>3333</x:v>
      </x:c>
      <x:c r="B3334" s="26" t="n">
        <x:v>44922.98880787037</x:v>
      </x:c>
      <x:c r="C3334" s="27" t="n">
        <x:f>INT(B3334)</x:f>
        <x:v>44922</x:v>
      </x:c>
      <x:c r="D3334" s="28" t="n">
        <x:f>MOD(B3334,1)</x:f>
        <x:v>0.9888078703734209</x:v>
      </x:c>
      <x:c r="E3334" s="29" t="n">
        <x:f>YEAR(B3334)</x:f>
        <x:v>2022</x:v>
      </x:c>
      <x:c r="F3334" s="29" t="n">
        <x:f>MONTH(B3334)</x:f>
        <x:v>12</x:v>
      </x:c>
      <x:c r="G3334" s="30" t="n">
        <x:v>-32.65</x:v>
      </x:c>
      <x:c r="H3334" s="30" t="n">
        <x:v>-72.71</x:v>
      </x:c>
      <x:c r="I3334" s="29" t="n">
        <x:v>20</x:v>
      </x:c>
      <x:c r="J3334" s="31" t="n">
        <x:v>4.6</x:v>
      </x:c>
      <x:c r="K3334" s="25" t="str">
        <x:f>IF(J3334&gt;=7,"Muy fuerte (&gt;=7)",IF(J3334&gt;=6,"Fuerte (6-6.9)",IF(J3334&gt;=5,"Moderado alto (5-5.9)",IF(J3334&gt;=4,"Moderado (4-4.9)","Menor a 4"))))</x:f>
        <x:v>Moderado (4-4.9)</x:v>
      </x:c>
      <x:c r="L3334" s="25" t="str">
        <x:f>IF(I3334&lt;70,"Superficial (&lt;70 km)",IF(I3334&lt;=300,"Intermedio (70-300 km)","Profundo (&gt;300 km)"))</x:f>
        <x:v>Superficial (&lt;70 km)</x:v>
      </x:c>
      <x:c r="M3334" s="25" t="str">
        <x:f>IF(J3334&gt;=5,"Sí","No")</x:f>
        <x:v>No</x:v>
      </x:c>
      <x:c r="N3334" s="25" t="str">
        <x:f>IF(J3334&gt;=6,"Sí","No")</x:f>
        <x:v>No</x:v>
      </x:c>
      <x:c r="O3334" s="25" t="str">
        <x:v>Pendiente: asignar con R/sf</x:v>
      </x:c>
    </x:row>
    <x:row r="3335">
      <x:c r="A3335" s="25" t="n">
        <x:v>3334</x:v>
      </x:c>
      <x:c r="B3335" s="26" t="n">
        <x:v>44942.320127314815</x:v>
      </x:c>
      <x:c r="C3335" s="27" t="n">
        <x:f>INT(B3335)</x:f>
        <x:v>44942</x:v>
      </x:c>
      <x:c r="D3335" s="28" t="n">
        <x:f>MOD(B3335,1)</x:f>
        <x:v>0.3201273148151813</x:v>
      </x:c>
      <x:c r="E3335" s="29" t="n">
        <x:f>YEAR(B3335)</x:f>
        <x:v>2023</x:v>
      </x:c>
      <x:c r="F3335" s="29" t="n">
        <x:f>MONTH(B3335)</x:f>
        <x:v>1</x:v>
      </x:c>
      <x:c r="G3335" s="30" t="n">
        <x:v>-32.61</x:v>
      </x:c>
      <x:c r="H3335" s="30" t="n">
        <x:v>-71.75</x:v>
      </x:c>
      <x:c r="I3335" s="29" t="n">
        <x:v>35</x:v>
      </x:c>
      <x:c r="J3335" s="31" t="n">
        <x:v>4.3</x:v>
      </x:c>
      <x:c r="K3335" s="25" t="str">
        <x:f>IF(J3335&gt;=7,"Muy fuerte (&gt;=7)",IF(J3335&gt;=6,"Fuerte (6-6.9)",IF(J3335&gt;=5,"Moderado alto (5-5.9)",IF(J3335&gt;=4,"Moderado (4-4.9)","Menor a 4"))))</x:f>
        <x:v>Moderado (4-4.9)</x:v>
      </x:c>
      <x:c r="L3335" s="25" t="str">
        <x:f>IF(I3335&lt;70,"Superficial (&lt;70 km)",IF(I3335&lt;=300,"Intermedio (70-300 km)","Profundo (&gt;300 km)"))</x:f>
        <x:v>Superficial (&lt;70 km)</x:v>
      </x:c>
      <x:c r="M3335" s="25" t="str">
        <x:f>IF(J3335&gt;=5,"Sí","No")</x:f>
        <x:v>No</x:v>
      </x:c>
      <x:c r="N3335" s="25" t="str">
        <x:f>IF(J3335&gt;=6,"Sí","No")</x:f>
        <x:v>No</x:v>
      </x:c>
      <x:c r="O3335" s="25" t="str">
        <x:v>Pendiente: asignar con R/sf</x:v>
      </x:c>
    </x:row>
    <x:row r="3336">
      <x:c r="A3336" s="25" t="n">
        <x:v>3335</x:v>
      </x:c>
      <x:c r="B3336" s="26" t="n">
        <x:v>44981.02591435185</x:v>
      </x:c>
      <x:c r="C3336" s="27" t="n">
        <x:f>INT(B3336)</x:f>
        <x:v>44981</x:v>
      </x:c>
      <x:c r="D3336" s="28" t="n">
        <x:f>MOD(B3336,1)</x:f>
        <x:v>0.025914351848769</x:v>
      </x:c>
      <x:c r="E3336" s="29" t="n">
        <x:f>YEAR(B3336)</x:f>
        <x:v>2023</x:v>
      </x:c>
      <x:c r="F3336" s="29" t="n">
        <x:f>MONTH(B3336)</x:f>
        <x:v>2</x:v>
      </x:c>
      <x:c r="G3336" s="30" t="n">
        <x:v>-32.15</x:v>
      </x:c>
      <x:c r="H3336" s="30" t="n">
        <x:v>-71.71</x:v>
      </x:c>
      <x:c r="I3336" s="29" t="n">
        <x:v>29</x:v>
      </x:c>
      <x:c r="J3336" s="31" t="n">
        <x:v>4.4</x:v>
      </x:c>
      <x:c r="K3336" s="25" t="str">
        <x:f>IF(J3336&gt;=7,"Muy fuerte (&gt;=7)",IF(J3336&gt;=6,"Fuerte (6-6.9)",IF(J3336&gt;=5,"Moderado alto (5-5.9)",IF(J3336&gt;=4,"Moderado (4-4.9)","Menor a 4"))))</x:f>
        <x:v>Moderado (4-4.9)</x:v>
      </x:c>
      <x:c r="L3336" s="25" t="str">
        <x:f>IF(I3336&lt;70,"Superficial (&lt;70 km)",IF(I3336&lt;=300,"Intermedio (70-300 km)","Profundo (&gt;300 km)"))</x:f>
        <x:v>Superficial (&lt;70 km)</x:v>
      </x:c>
      <x:c r="M3336" s="25" t="str">
        <x:f>IF(J3336&gt;=5,"Sí","No")</x:f>
        <x:v>No</x:v>
      </x:c>
      <x:c r="N3336" s="25" t="str">
        <x:f>IF(J3336&gt;=6,"Sí","No")</x:f>
        <x:v>No</x:v>
      </x:c>
      <x:c r="O3336" s="25" t="str">
        <x:v>Pendiente: asignar con R/sf</x:v>
      </x:c>
    </x:row>
    <x:row r="3337">
      <x:c r="A3337" s="25" t="n">
        <x:v>3336</x:v>
      </x:c>
      <x:c r="B3337" s="26" t="n">
        <x:v>45040.16422453704</x:v>
      </x:c>
      <x:c r="C3337" s="27" t="n">
        <x:f>INT(B3337)</x:f>
        <x:v>45040</x:v>
      </x:c>
      <x:c r="D3337" s="28" t="n">
        <x:f>MOD(B3337,1)</x:f>
        <x:v>0.16422453703853535</x:v>
      </x:c>
      <x:c r="E3337" s="29" t="n">
        <x:f>YEAR(B3337)</x:f>
        <x:v>2023</x:v>
      </x:c>
      <x:c r="F3337" s="29" t="n">
        <x:f>MONTH(B3337)</x:f>
        <x:v>4</x:v>
      </x:c>
      <x:c r="G3337" s="30" t="n">
        <x:v>-33.66</x:v>
      </x:c>
      <x:c r="H3337" s="30" t="n">
        <x:v>-72.04</x:v>
      </x:c>
      <x:c r="I3337" s="29" t="n">
        <x:v>31</x:v>
      </x:c>
      <x:c r="J3337" s="31" t="n">
        <x:v>4.8</x:v>
      </x:c>
      <x:c r="K3337" s="25" t="str">
        <x:f>IF(J3337&gt;=7,"Muy fuerte (&gt;=7)",IF(J3337&gt;=6,"Fuerte (6-6.9)",IF(J3337&gt;=5,"Moderado alto (5-5.9)",IF(J3337&gt;=4,"Moderado (4-4.9)","Menor a 4"))))</x:f>
        <x:v>Moderado (4-4.9)</x:v>
      </x:c>
      <x:c r="L3337" s="25" t="str">
        <x:f>IF(I3337&lt;70,"Superficial (&lt;70 km)",IF(I3337&lt;=300,"Intermedio (70-300 km)","Profundo (&gt;300 km)"))</x:f>
        <x:v>Superficial (&lt;70 km)</x:v>
      </x:c>
      <x:c r="M3337" s="25" t="str">
        <x:f>IF(J3337&gt;=5,"Sí","No")</x:f>
        <x:v>No</x:v>
      </x:c>
      <x:c r="N3337" s="25" t="str">
        <x:f>IF(J3337&gt;=6,"Sí","No")</x:f>
        <x:v>No</x:v>
      </x:c>
      <x:c r="O3337" s="25" t="str">
        <x:v>Pendiente: asignar con R/sf</x:v>
      </x:c>
    </x:row>
    <x:row r="3338">
      <x:c r="A3338" s="25" t="n">
        <x:v>3337</x:v>
      </x:c>
      <x:c r="B3338" s="26" t="n">
        <x:v>44982.460810185185</x:v>
      </x:c>
      <x:c r="C3338" s="27" t="n">
        <x:f>INT(B3338)</x:f>
        <x:v>44982</x:v>
      </x:c>
      <x:c r="D3338" s="28" t="n">
        <x:f>MOD(B3338,1)</x:f>
        <x:v>0.46081018518452765</x:v>
      </x:c>
      <x:c r="E3338" s="29" t="n">
        <x:f>YEAR(B3338)</x:f>
        <x:v>2023</x:v>
      </x:c>
      <x:c r="F3338" s="29" t="n">
        <x:f>MONTH(B3338)</x:f>
        <x:v>2</x:v>
      </x:c>
      <x:c r="G3338" s="30" t="n">
        <x:v>-26.85</x:v>
      </x:c>
      <x:c r="H3338" s="30" t="n">
        <x:v>-71.05</x:v>
      </x:c>
      <x:c r="I3338" s="29" t="n">
        <x:v>24</x:v>
      </x:c>
      <x:c r="J3338" s="31" t="n">
        <x:v>3.7</x:v>
      </x:c>
      <x:c r="K3338" s="25" t="str">
        <x:f>IF(J3338&gt;=7,"Muy fuerte (&gt;=7)",IF(J3338&gt;=6,"Fuerte (6-6.9)",IF(J3338&gt;=5,"Moderado alto (5-5.9)",IF(J3338&gt;=4,"Moderado (4-4.9)","Menor a 4"))))</x:f>
        <x:v>Menor a 4</x:v>
      </x:c>
      <x:c r="L3338" s="25" t="str">
        <x:f>IF(I3338&lt;70,"Superficial (&lt;70 km)",IF(I3338&lt;=300,"Intermedio (70-300 km)","Profundo (&gt;300 km)"))</x:f>
        <x:v>Superficial (&lt;70 km)</x:v>
      </x:c>
      <x:c r="M3338" s="25" t="str">
        <x:f>IF(J3338&gt;=5,"Sí","No")</x:f>
        <x:v>No</x:v>
      </x:c>
      <x:c r="N3338" s="25" t="str">
        <x:f>IF(J3338&gt;=6,"Sí","No")</x:f>
        <x:v>No</x:v>
      </x:c>
      <x:c r="O3338" s="25" t="str">
        <x:v>Pendiente: asignar con R/sf</x:v>
      </x:c>
    </x:row>
    <x:row r="3339">
      <x:c r="A3339" s="25" t="n">
        <x:v>3338</x:v>
      </x:c>
      <x:c r="B3339" s="26" t="n">
        <x:v>44999.29949074074</x:v>
      </x:c>
      <x:c r="C3339" s="27" t="n">
        <x:f>INT(B3339)</x:f>
        <x:v>44999</x:v>
      </x:c>
      <x:c r="D3339" s="28" t="n">
        <x:f>MOD(B3339,1)</x:f>
        <x:v>0.299490740741021</x:v>
      </x:c>
      <x:c r="E3339" s="29" t="n">
        <x:f>YEAR(B3339)</x:f>
        <x:v>2023</x:v>
      </x:c>
      <x:c r="F3339" s="29" t="n">
        <x:f>MONTH(B3339)</x:f>
        <x:v>3</x:v>
      </x:c>
      <x:c r="G3339" s="30" t="n">
        <x:v>-26.97</x:v>
      </x:c>
      <x:c r="H3339" s="30" t="n">
        <x:v>-71.16</x:v>
      </x:c>
      <x:c r="I3339" s="29" t="n">
        <x:v>38</x:v>
      </x:c>
      <x:c r="J3339" s="31" t="n">
        <x:v>4.1</x:v>
      </x:c>
      <x:c r="K3339" s="25" t="str">
        <x:f>IF(J3339&gt;=7,"Muy fuerte (&gt;=7)",IF(J3339&gt;=6,"Fuerte (6-6.9)",IF(J3339&gt;=5,"Moderado alto (5-5.9)",IF(J3339&gt;=4,"Moderado (4-4.9)","Menor a 4"))))</x:f>
        <x:v>Moderado (4-4.9)</x:v>
      </x:c>
      <x:c r="L3339" s="25" t="str">
        <x:f>IF(I3339&lt;70,"Superficial (&lt;70 km)",IF(I3339&lt;=300,"Intermedio (70-300 km)","Profundo (&gt;300 km)"))</x:f>
        <x:v>Superficial (&lt;70 km)</x:v>
      </x:c>
      <x:c r="M3339" s="25" t="str">
        <x:f>IF(J3339&gt;=5,"Sí","No")</x:f>
        <x:v>No</x:v>
      </x:c>
      <x:c r="N3339" s="25" t="str">
        <x:f>IF(J3339&gt;=6,"Sí","No")</x:f>
        <x:v>No</x:v>
      </x:c>
      <x:c r="O3339" s="25" t="str">
        <x:v>Pendiente: asignar con R/sf</x:v>
      </x:c>
    </x:row>
    <x:row r="3340">
      <x:c r="A3340" s="25" t="n">
        <x:v>3339</x:v>
      </x:c>
      <x:c r="B3340" s="26" t="n">
        <x:v>44728.61682870371</x:v>
      </x:c>
      <x:c r="C3340" s="27" t="n">
        <x:f>INT(B3340)</x:f>
        <x:v>44728</x:v>
      </x:c>
      <x:c r="D3340" s="28" t="n">
        <x:f>MOD(B3340,1)</x:f>
        <x:v>0.6168287037071423</x:v>
      </x:c>
      <x:c r="E3340" s="29" t="n">
        <x:f>YEAR(B3340)</x:f>
        <x:v>2022</x:v>
      </x:c>
      <x:c r="F3340" s="29" t="n">
        <x:f>MONTH(B3340)</x:f>
        <x:v>6</x:v>
      </x:c>
      <x:c r="G3340" s="30" t="n">
        <x:v>-27.78</x:v>
      </x:c>
      <x:c r="H3340" s="30" t="n">
        <x:v>-70.51</x:v>
      </x:c>
      <x:c r="I3340" s="29" t="n">
        <x:v>82</x:v>
      </x:c>
      <x:c r="J3340" s="31" t="n">
        <x:v>3.2</x:v>
      </x:c>
      <x:c r="K3340" s="25" t="str">
        <x:f>IF(J3340&gt;=7,"Muy fuerte (&gt;=7)",IF(J3340&gt;=6,"Fuerte (6-6.9)",IF(J3340&gt;=5,"Moderado alto (5-5.9)",IF(J3340&gt;=4,"Moderado (4-4.9)","Menor a 4"))))</x:f>
        <x:v>Menor a 4</x:v>
      </x:c>
      <x:c r="L3340" s="25" t="str">
        <x:f>IF(I3340&lt;70,"Superficial (&lt;70 km)",IF(I3340&lt;=300,"Intermedio (70-300 km)","Profundo (&gt;300 km)"))</x:f>
        <x:v>Intermedio (70-300 km)</x:v>
      </x:c>
      <x:c r="M3340" s="25" t="str">
        <x:f>IF(J3340&gt;=5,"Sí","No")</x:f>
        <x:v>No</x:v>
      </x:c>
      <x:c r="N3340" s="25" t="str">
        <x:f>IF(J3340&gt;=6,"Sí","No")</x:f>
        <x:v>No</x:v>
      </x:c>
      <x:c r="O3340" s="25" t="str">
        <x:v>Pendiente: asignar con R/sf</x:v>
      </x:c>
    </x:row>
    <x:row r="3341">
      <x:c r="A3341" s="25" t="n">
        <x:v>3340</x:v>
      </x:c>
      <x:c r="B3341" s="26" t="n">
        <x:v>45022.656701388885</x:v>
      </x:c>
      <x:c r="C3341" s="27" t="n">
        <x:f>INT(B3341)</x:f>
        <x:v>45022</x:v>
      </x:c>
      <x:c r="D3341" s="28" t="n">
        <x:f>MOD(B3341,1)</x:f>
        <x:v>0.6567013888852671</x:v>
      </x:c>
      <x:c r="E3341" s="29" t="n">
        <x:f>YEAR(B3341)</x:f>
        <x:v>2023</x:v>
      </x:c>
      <x:c r="F3341" s="29" t="n">
        <x:f>MONTH(B3341)</x:f>
        <x:v>4</x:v>
      </x:c>
      <x:c r="G3341" s="30" t="n">
        <x:v>-27.48</x:v>
      </x:c>
      <x:c r="H3341" s="30" t="n">
        <x:v>-71.05</x:v>
      </x:c>
      <x:c r="I3341" s="29" t="n">
        <x:v>52</x:v>
      </x:c>
      <x:c r="J3341" s="31" t="n">
        <x:v>4</x:v>
      </x:c>
      <x:c r="K3341" s="25" t="str">
        <x:f>IF(J3341&gt;=7,"Muy fuerte (&gt;=7)",IF(J3341&gt;=6,"Fuerte (6-6.9)",IF(J3341&gt;=5,"Moderado alto (5-5.9)",IF(J3341&gt;=4,"Moderado (4-4.9)","Menor a 4"))))</x:f>
        <x:v>Moderado (4-4.9)</x:v>
      </x:c>
      <x:c r="L3341" s="25" t="str">
        <x:f>IF(I3341&lt;70,"Superficial (&lt;70 km)",IF(I3341&lt;=300,"Intermedio (70-300 km)","Profundo (&gt;300 km)"))</x:f>
        <x:v>Superficial (&lt;70 km)</x:v>
      </x:c>
      <x:c r="M3341" s="25" t="str">
        <x:f>IF(J3341&gt;=5,"Sí","No")</x:f>
        <x:v>No</x:v>
      </x:c>
      <x:c r="N3341" s="25" t="str">
        <x:f>IF(J3341&gt;=6,"Sí","No")</x:f>
        <x:v>No</x:v>
      </x:c>
      <x:c r="O3341" s="25" t="str">
        <x:v>Pendiente: asignar con R/sf</x:v>
      </x:c>
    </x:row>
    <x:row r="3342">
      <x:c r="A3342" s="25" t="n">
        <x:v>3341</x:v>
      </x:c>
      <x:c r="B3342" s="26" t="n">
        <x:v>44741.84755787037</x:v>
      </x:c>
      <x:c r="C3342" s="27" t="n">
        <x:f>INT(B3342)</x:f>
        <x:v>44741</x:v>
      </x:c>
      <x:c r="D3342" s="28" t="n">
        <x:f>MOD(B3342,1)</x:f>
        <x:v>0.8475578703728388</x:v>
      </x:c>
      <x:c r="E3342" s="29" t="n">
        <x:f>YEAR(B3342)</x:f>
        <x:v>2022</x:v>
      </x:c>
      <x:c r="F3342" s="29" t="n">
        <x:f>MONTH(B3342)</x:f>
        <x:v>6</x:v>
      </x:c>
      <x:c r="G3342" s="30" t="n">
        <x:v>-28.84</x:v>
      </x:c>
      <x:c r="H3342" s="30" t="n">
        <x:v>-71.04</x:v>
      </x:c>
      <x:c r="I3342" s="29" t="n">
        <x:v>70</x:v>
      </x:c>
      <x:c r="J3342" s="31" t="n">
        <x:v>4</x:v>
      </x:c>
      <x:c r="K3342" s="25" t="str">
        <x:f>IF(J3342&gt;=7,"Muy fuerte (&gt;=7)",IF(J3342&gt;=6,"Fuerte (6-6.9)",IF(J3342&gt;=5,"Moderado alto (5-5.9)",IF(J3342&gt;=4,"Moderado (4-4.9)","Menor a 4"))))</x:f>
        <x:v>Moderado (4-4.9)</x:v>
      </x:c>
      <x:c r="L3342" s="25" t="str">
        <x:f>IF(I3342&lt;70,"Superficial (&lt;70 km)",IF(I3342&lt;=300,"Intermedio (70-300 km)","Profundo (&gt;300 km)"))</x:f>
        <x:v>Intermedio (70-300 km)</x:v>
      </x:c>
      <x:c r="M3342" s="25" t="str">
        <x:f>IF(J3342&gt;=5,"Sí","No")</x:f>
        <x:v>No</x:v>
      </x:c>
      <x:c r="N3342" s="25" t="str">
        <x:f>IF(J3342&gt;=6,"Sí","No")</x:f>
        <x:v>No</x:v>
      </x:c>
      <x:c r="O3342" s="25" t="str">
        <x:v>Pendiente: asignar con R/sf</x:v>
      </x:c>
    </x:row>
    <x:row r="3343">
      <x:c r="A3343" s="25" t="n">
        <x:v>3342</x:v>
      </x:c>
      <x:c r="B3343" s="26" t="n">
        <x:v>44755.539976851855</x:v>
      </x:c>
      <x:c r="C3343" s="27" t="n">
        <x:f>INT(B3343)</x:f>
        <x:v>44755</x:v>
      </x:c>
      <x:c r="D3343" s="28" t="n">
        <x:f>MOD(B3343,1)</x:f>
        <x:v>0.5399768518545898</x:v>
      </x:c>
      <x:c r="E3343" s="29" t="n">
        <x:f>YEAR(B3343)</x:f>
        <x:v>2022</x:v>
      </x:c>
      <x:c r="F3343" s="29" t="n">
        <x:f>MONTH(B3343)</x:f>
        <x:v>7</x:v>
      </x:c>
      <x:c r="G3343" s="30" t="n">
        <x:v>-28.74</x:v>
      </x:c>
      <x:c r="H3343" s="30" t="n">
        <x:v>-70.56</x:v>
      </x:c>
      <x:c r="I3343" s="29" t="n">
        <x:v>90</x:v>
      </x:c>
      <x:c r="J3343" s="31" t="n">
        <x:v>4.4</x:v>
      </x:c>
      <x:c r="K3343" s="25" t="str">
        <x:f>IF(J3343&gt;=7,"Muy fuerte (&gt;=7)",IF(J3343&gt;=6,"Fuerte (6-6.9)",IF(J3343&gt;=5,"Moderado alto (5-5.9)",IF(J3343&gt;=4,"Moderado (4-4.9)","Menor a 4"))))</x:f>
        <x:v>Moderado (4-4.9)</x:v>
      </x:c>
      <x:c r="L3343" s="25" t="str">
        <x:f>IF(I3343&lt;70,"Superficial (&lt;70 km)",IF(I3343&lt;=300,"Intermedio (70-300 km)","Profundo (&gt;300 km)"))</x:f>
        <x:v>Intermedio (70-300 km)</x:v>
      </x:c>
      <x:c r="M3343" s="25" t="str">
        <x:f>IF(J3343&gt;=5,"Sí","No")</x:f>
        <x:v>No</x:v>
      </x:c>
      <x:c r="N3343" s="25" t="str">
        <x:f>IF(J3343&gt;=6,"Sí","No")</x:f>
        <x:v>No</x:v>
      </x:c>
      <x:c r="O3343" s="25" t="str">
        <x:v>Pendiente: asignar con R/sf</x:v>
      </x:c>
    </x:row>
    <x:row r="3344">
      <x:c r="A3344" s="25" t="n">
        <x:v>3343</x:v>
      </x:c>
      <x:c r="B3344" s="26" t="n">
        <x:v>44796.51824074074</x:v>
      </x:c>
      <x:c r="C3344" s="27" t="n">
        <x:f>INT(B3344)</x:f>
        <x:v>44796</x:v>
      </x:c>
      <x:c r="D3344" s="28" t="n">
        <x:f>MOD(B3344,1)</x:f>
        <x:v>0.518240740741021</x:v>
      </x:c>
      <x:c r="E3344" s="29" t="n">
        <x:f>YEAR(B3344)</x:f>
        <x:v>2022</x:v>
      </x:c>
      <x:c r="F3344" s="29" t="n">
        <x:f>MONTH(B3344)</x:f>
        <x:v>8</x:v>
      </x:c>
      <x:c r="G3344" s="30" t="n">
        <x:v>-28.67</x:v>
      </x:c>
      <x:c r="H3344" s="30" t="n">
        <x:v>-71.21</x:v>
      </x:c>
      <x:c r="I3344" s="29" t="n">
        <x:v>54</x:v>
      </x:c>
      <x:c r="J3344" s="31" t="n">
        <x:v>4</x:v>
      </x:c>
      <x:c r="K3344" s="25" t="str">
        <x:f>IF(J3344&gt;=7,"Muy fuerte (&gt;=7)",IF(J3344&gt;=6,"Fuerte (6-6.9)",IF(J3344&gt;=5,"Moderado alto (5-5.9)",IF(J3344&gt;=4,"Moderado (4-4.9)","Menor a 4"))))</x:f>
        <x:v>Moderado (4-4.9)</x:v>
      </x:c>
      <x:c r="L3344" s="25" t="str">
        <x:f>IF(I3344&lt;70,"Superficial (&lt;70 km)",IF(I3344&lt;=300,"Intermedio (70-300 km)","Profundo (&gt;300 km)"))</x:f>
        <x:v>Superficial (&lt;70 km)</x:v>
      </x:c>
      <x:c r="M3344" s="25" t="str">
        <x:f>IF(J3344&gt;=5,"Sí","No")</x:f>
        <x:v>No</x:v>
      </x:c>
      <x:c r="N3344" s="25" t="str">
        <x:f>IF(J3344&gt;=6,"Sí","No")</x:f>
        <x:v>No</x:v>
      </x:c>
      <x:c r="O3344" s="25" t="str">
        <x:v>Pendiente: asignar con R/sf</x:v>
      </x:c>
    </x:row>
    <x:row r="3345">
      <x:c r="A3345" s="25" t="n">
        <x:v>3344</x:v>
      </x:c>
      <x:c r="B3345" s="26" t="n">
        <x:v>44406.82815972222</x:v>
      </x:c>
      <x:c r="C3345" s="27" t="n">
        <x:f>INT(B3345)</x:f>
        <x:v>44406</x:v>
      </x:c>
      <x:c r="D3345" s="28" t="n">
        <x:f>MOD(B3345,1)</x:f>
        <x:v>0.828159722223063</x:v>
      </x:c>
      <x:c r="E3345" s="29" t="n">
        <x:f>YEAR(B3345)</x:f>
        <x:v>2021</x:v>
      </x:c>
      <x:c r="F3345" s="29" t="n">
        <x:f>MONTH(B3345)</x:f>
        <x:v>7</x:v>
      </x:c>
      <x:c r="G3345" s="30" t="n">
        <x:v>-28.87</x:v>
      </x:c>
      <x:c r="H3345" s="30" t="n">
        <x:v>-71.05</x:v>
      </x:c>
      <x:c r="I3345" s="29" t="n">
        <x:v>77</x:v>
      </x:c>
      <x:c r="J3345" s="31" t="n">
        <x:v>4.1</x:v>
      </x:c>
      <x:c r="K3345" s="25" t="str">
        <x:f>IF(J3345&gt;=7,"Muy fuerte (&gt;=7)",IF(J3345&gt;=6,"Fuerte (6-6.9)",IF(J3345&gt;=5,"Moderado alto (5-5.9)",IF(J3345&gt;=4,"Moderado (4-4.9)","Menor a 4"))))</x:f>
        <x:v>Moderado (4-4.9)</x:v>
      </x:c>
      <x:c r="L3345" s="25" t="str">
        <x:f>IF(I3345&lt;70,"Superficial (&lt;70 km)",IF(I3345&lt;=300,"Intermedio (70-300 km)","Profundo (&gt;300 km)"))</x:f>
        <x:v>Intermedio (70-300 km)</x:v>
      </x:c>
      <x:c r="M3345" s="25" t="str">
        <x:f>IF(J3345&gt;=5,"Sí","No")</x:f>
        <x:v>No</x:v>
      </x:c>
      <x:c r="N3345" s="25" t="str">
        <x:f>IF(J3345&gt;=6,"Sí","No")</x:f>
        <x:v>No</x:v>
      </x:c>
      <x:c r="O3345" s="25" t="str">
        <x:v>Pendiente: asignar con R/sf</x:v>
      </x:c>
    </x:row>
    <x:row r="3346">
      <x:c r="A3346" s="25" t="n">
        <x:v>3345</x:v>
      </x:c>
      <x:c r="B3346" s="26" t="n">
        <x:v>44348.582233796296</x:v>
      </x:c>
      <x:c r="C3346" s="27" t="n">
        <x:f>INT(B3346)</x:f>
        <x:v>44348</x:v>
      </x:c>
      <x:c r="D3346" s="28" t="n">
        <x:f>MOD(B3346,1)</x:f>
        <x:v>0.5822337962963502</x:v>
      </x:c>
      <x:c r="E3346" s="29" t="n">
        <x:f>YEAR(B3346)</x:f>
        <x:v>2021</x:v>
      </x:c>
      <x:c r="F3346" s="29" t="n">
        <x:f>MONTH(B3346)</x:f>
        <x:v>6</x:v>
      </x:c>
      <x:c r="G3346" s="30" t="n">
        <x:v>-27.61</x:v>
      </x:c>
      <x:c r="H3346" s="30" t="n">
        <x:v>-69.32</x:v>
      </x:c>
      <x:c r="I3346" s="29" t="n">
        <x:v>21</x:v>
      </x:c>
      <x:c r="J3346" s="31" t="n">
        <x:v>3.8</x:v>
      </x:c>
      <x:c r="K3346" s="25" t="str">
        <x:f>IF(J3346&gt;=7,"Muy fuerte (&gt;=7)",IF(J3346&gt;=6,"Fuerte (6-6.9)",IF(J3346&gt;=5,"Moderado alto (5-5.9)",IF(J3346&gt;=4,"Moderado (4-4.9)","Menor a 4"))))</x:f>
        <x:v>Menor a 4</x:v>
      </x:c>
      <x:c r="L3346" s="25" t="str">
        <x:f>IF(I3346&lt;70,"Superficial (&lt;70 km)",IF(I3346&lt;=300,"Intermedio (70-300 km)","Profundo (&gt;300 km)"))</x:f>
        <x:v>Superficial (&lt;70 km)</x:v>
      </x:c>
      <x:c r="M3346" s="25" t="str">
        <x:f>IF(J3346&gt;=5,"Sí","No")</x:f>
        <x:v>No</x:v>
      </x:c>
      <x:c r="N3346" s="25" t="str">
        <x:f>IF(J3346&gt;=6,"Sí","No")</x:f>
        <x:v>No</x:v>
      </x:c>
      <x:c r="O3346" s="25" t="str">
        <x:v>Pendiente: asignar con R/sf</x:v>
      </x:c>
    </x:row>
    <x:row r="3347">
      <x:c r="A3347" s="25" t="n">
        <x:v>3346</x:v>
      </x:c>
      <x:c r="B3347" s="26" t="n">
        <x:v>44086.40662037037</x:v>
      </x:c>
      <x:c r="C3347" s="27" t="n">
        <x:f>INT(B3347)</x:f>
        <x:v>44086</x:v>
      </x:c>
      <x:c r="D3347" s="28" t="n">
        <x:f>MOD(B3347,1)</x:f>
        <x:v>0.4066203703696374</x:v>
      </x:c>
      <x:c r="E3347" s="29" t="n">
        <x:f>YEAR(B3347)</x:f>
        <x:v>2020</x:v>
      </x:c>
      <x:c r="F3347" s="29" t="n">
        <x:f>MONTH(B3347)</x:f>
        <x:v>9</x:v>
      </x:c>
      <x:c r="G3347" s="30" t="n">
        <x:v>-28.16</x:v>
      </x:c>
      <x:c r="H3347" s="30" t="n">
        <x:v>-71.36</x:v>
      </x:c>
      <x:c r="I3347" s="29" t="n">
        <x:v>35</x:v>
      </x:c>
      <x:c r="J3347" s="31" t="n">
        <x:v>4</x:v>
      </x:c>
      <x:c r="K3347" s="25" t="str">
        <x:f>IF(J3347&gt;=7,"Muy fuerte (&gt;=7)",IF(J3347&gt;=6,"Fuerte (6-6.9)",IF(J3347&gt;=5,"Moderado alto (5-5.9)",IF(J3347&gt;=4,"Moderado (4-4.9)","Menor a 4"))))</x:f>
        <x:v>Moderado (4-4.9)</x:v>
      </x:c>
      <x:c r="L3347" s="25" t="str">
        <x:f>IF(I3347&lt;70,"Superficial (&lt;70 km)",IF(I3347&lt;=300,"Intermedio (70-300 km)","Profundo (&gt;300 km)"))</x:f>
        <x:v>Superficial (&lt;70 km)</x:v>
      </x:c>
      <x:c r="M3347" s="25" t="str">
        <x:f>IF(J3347&gt;=5,"Sí","No")</x:f>
        <x:v>No</x:v>
      </x:c>
      <x:c r="N3347" s="25" t="str">
        <x:f>IF(J3347&gt;=6,"Sí","No")</x:f>
        <x:v>No</x:v>
      </x:c>
      <x:c r="O3347" s="25" t="str">
        <x:v>Pendiente: asignar con R/sf</x:v>
      </x:c>
    </x:row>
    <x:row r="3348">
      <x:c r="A3348" s="25" t="n">
        <x:v>3347</x:v>
      </x:c>
      <x:c r="B3348" s="26" t="n">
        <x:v>44089.21658564815</x:v>
      </x:c>
      <x:c r="C3348" s="27" t="n">
        <x:f>INT(B3348)</x:f>
        <x:v>44089</x:v>
      </x:c>
      <x:c r="D3348" s="28" t="n">
        <x:f>MOD(B3348,1)</x:f>
        <x:v>0.21658564815152204</x:v>
      </x:c>
      <x:c r="E3348" s="29" t="n">
        <x:f>YEAR(B3348)</x:f>
        <x:v>2020</x:v>
      </x:c>
      <x:c r="F3348" s="29" t="n">
        <x:f>MONTH(B3348)</x:f>
        <x:v>9</x:v>
      </x:c>
      <x:c r="G3348" s="30" t="n">
        <x:v>-27.95</x:v>
      </x:c>
      <x:c r="H3348" s="30" t="n">
        <x:v>-71.42</x:v>
      </x:c>
      <x:c r="I3348" s="29" t="n">
        <x:v>19</x:v>
      </x:c>
      <x:c r="J3348" s="31" t="n">
        <x:v>4.6</x:v>
      </x:c>
      <x:c r="K3348" s="25" t="str">
        <x:f>IF(J3348&gt;=7,"Muy fuerte (&gt;=7)",IF(J3348&gt;=6,"Fuerte (6-6.9)",IF(J3348&gt;=5,"Moderado alto (5-5.9)",IF(J3348&gt;=4,"Moderado (4-4.9)","Menor a 4"))))</x:f>
        <x:v>Moderado (4-4.9)</x:v>
      </x:c>
      <x:c r="L3348" s="25" t="str">
        <x:f>IF(I3348&lt;70,"Superficial (&lt;70 km)",IF(I3348&lt;=300,"Intermedio (70-300 km)","Profundo (&gt;300 km)"))</x:f>
        <x:v>Superficial (&lt;70 km)</x:v>
      </x:c>
      <x:c r="M3348" s="25" t="str">
        <x:f>IF(J3348&gt;=5,"Sí","No")</x:f>
        <x:v>No</x:v>
      </x:c>
      <x:c r="N3348" s="25" t="str">
        <x:f>IF(J3348&gt;=6,"Sí","No")</x:f>
        <x:v>No</x:v>
      </x:c>
      <x:c r="O3348" s="25" t="str">
        <x:v>Pendiente: asignar con R/sf</x:v>
      </x:c>
    </x:row>
    <x:row r="3349">
      <x:c r="A3349" s="25" t="n">
        <x:v>3348</x:v>
      </x:c>
      <x:c r="B3349" s="26" t="n">
        <x:v>44088.391226851854</x:v>
      </x:c>
      <x:c r="C3349" s="27" t="n">
        <x:f>INT(B3349)</x:f>
        <x:v>44088</x:v>
      </x:c>
      <x:c r="D3349" s="28" t="n">
        <x:f>MOD(B3349,1)</x:f>
        <x:v>0.39122685185429873</x:v>
      </x:c>
      <x:c r="E3349" s="29" t="n">
        <x:f>YEAR(B3349)</x:f>
        <x:v>2020</x:v>
      </x:c>
      <x:c r="F3349" s="29" t="n">
        <x:f>MONTH(B3349)</x:f>
        <x:v>9</x:v>
      </x:c>
      <x:c r="G3349" s="30" t="n">
        <x:v>-28.62</x:v>
      </x:c>
      <x:c r="H3349" s="30" t="n">
        <x:v>-71.42</x:v>
      </x:c>
      <x:c r="I3349" s="29" t="n">
        <x:v>44</x:v>
      </x:c>
      <x:c r="J3349" s="31" t="n">
        <x:v>4.4</x:v>
      </x:c>
      <x:c r="K3349" s="25" t="str">
        <x:f>IF(J3349&gt;=7,"Muy fuerte (&gt;=7)",IF(J3349&gt;=6,"Fuerte (6-6.9)",IF(J3349&gt;=5,"Moderado alto (5-5.9)",IF(J3349&gt;=4,"Moderado (4-4.9)","Menor a 4"))))</x:f>
        <x:v>Moderado (4-4.9)</x:v>
      </x:c>
      <x:c r="L3349" s="25" t="str">
        <x:f>IF(I3349&lt;70,"Superficial (&lt;70 km)",IF(I3349&lt;=300,"Intermedio (70-300 km)","Profundo (&gt;300 km)"))</x:f>
        <x:v>Superficial (&lt;70 km)</x:v>
      </x:c>
      <x:c r="M3349" s="25" t="str">
        <x:f>IF(J3349&gt;=5,"Sí","No")</x:f>
        <x:v>No</x:v>
      </x:c>
      <x:c r="N3349" s="25" t="str">
        <x:f>IF(J3349&gt;=6,"Sí","No")</x:f>
        <x:v>No</x:v>
      </x:c>
      <x:c r="O3349" s="25" t="str">
        <x:v>Pendiente: asignar con R/sf</x:v>
      </x:c>
    </x:row>
    <x:row r="3350">
      <x:c r="A3350" s="25" t="n">
        <x:v>3349</x:v>
      </x:c>
      <x:c r="B3350" s="26" t="n">
        <x:v>44369.021828703706</x:v>
      </x:c>
      <x:c r="C3350" s="27" t="n">
        <x:f>INT(B3350)</x:f>
        <x:v>44369</x:v>
      </x:c>
      <x:c r="D3350" s="28" t="n">
        <x:f>MOD(B3350,1)</x:f>
        <x:v>0.021828703705978114</x:v>
      </x:c>
      <x:c r="E3350" s="29" t="n">
        <x:f>YEAR(B3350)</x:f>
        <x:v>2021</x:v>
      </x:c>
      <x:c r="F3350" s="29" t="n">
        <x:f>MONTH(B3350)</x:f>
        <x:v>6</x:v>
      </x:c>
      <x:c r="G3350" s="30" t="n">
        <x:v>-28.64</x:v>
      </x:c>
      <x:c r="H3350" s="30" t="n">
        <x:v>-71.31</x:v>
      </x:c>
      <x:c r="I3350" s="29" t="n">
        <x:v>28</x:v>
      </x:c>
      <x:c r="J3350" s="31" t="n">
        <x:v>3.4</x:v>
      </x:c>
      <x:c r="K3350" s="25" t="str">
        <x:f>IF(J3350&gt;=7,"Muy fuerte (&gt;=7)",IF(J3350&gt;=6,"Fuerte (6-6.9)",IF(J3350&gt;=5,"Moderado alto (5-5.9)",IF(J3350&gt;=4,"Moderado (4-4.9)","Menor a 4"))))</x:f>
        <x:v>Menor a 4</x:v>
      </x:c>
      <x:c r="L3350" s="25" t="str">
        <x:f>IF(I3350&lt;70,"Superficial (&lt;70 km)",IF(I3350&lt;=300,"Intermedio (70-300 km)","Profundo (&gt;300 km)"))</x:f>
        <x:v>Superficial (&lt;70 km)</x:v>
      </x:c>
      <x:c r="M3350" s="25" t="str">
        <x:f>IF(J3350&gt;=5,"Sí","No")</x:f>
        <x:v>No</x:v>
      </x:c>
      <x:c r="N3350" s="25" t="str">
        <x:f>IF(J3350&gt;=6,"Sí","No")</x:f>
        <x:v>No</x:v>
      </x:c>
      <x:c r="O3350" s="25" t="str">
        <x:v>Pendiente: asignar con R/sf</x:v>
      </x:c>
    </x:row>
    <x:row r="3351">
      <x:c r="A3351" s="25" t="n">
        <x:v>3350</x:v>
      </x:c>
      <x:c r="B3351" s="26" t="n">
        <x:v>44381.06685185185</x:v>
      </x:c>
      <x:c r="C3351" s="27" t="n">
        <x:f>INT(B3351)</x:f>
        <x:v>44381</x:v>
      </x:c>
      <x:c r="D3351" s="28" t="n">
        <x:f>MOD(B3351,1)</x:f>
        <x:v>0.06685185185051523</x:v>
      </x:c>
      <x:c r="E3351" s="29" t="n">
        <x:f>YEAR(B3351)</x:f>
        <x:v>2021</x:v>
      </x:c>
      <x:c r="F3351" s="29" t="n">
        <x:f>MONTH(B3351)</x:f>
        <x:v>7</x:v>
      </x:c>
      <x:c r="G3351" s="30" t="n">
        <x:v>-28.76</x:v>
      </x:c>
      <x:c r="H3351" s="30" t="n">
        <x:v>-71.43</x:v>
      </x:c>
      <x:c r="I3351" s="29" t="n">
        <x:v>21</x:v>
      </x:c>
      <x:c r="J3351" s="31" t="n">
        <x:v>4.1</x:v>
      </x:c>
      <x:c r="K3351" s="25" t="str">
        <x:f>IF(J3351&gt;=7,"Muy fuerte (&gt;=7)",IF(J3351&gt;=6,"Fuerte (6-6.9)",IF(J3351&gt;=5,"Moderado alto (5-5.9)",IF(J3351&gt;=4,"Moderado (4-4.9)","Menor a 4"))))</x:f>
        <x:v>Moderado (4-4.9)</x:v>
      </x:c>
      <x:c r="L3351" s="25" t="str">
        <x:f>IF(I3351&lt;70,"Superficial (&lt;70 km)",IF(I3351&lt;=300,"Intermedio (70-300 km)","Profundo (&gt;300 km)"))</x:f>
        <x:v>Superficial (&lt;70 km)</x:v>
      </x:c>
      <x:c r="M3351" s="25" t="str">
        <x:f>IF(J3351&gt;=5,"Sí","No")</x:f>
        <x:v>No</x:v>
      </x:c>
      <x:c r="N3351" s="25" t="str">
        <x:f>IF(J3351&gt;=6,"Sí","No")</x:f>
        <x:v>No</x:v>
      </x:c>
      <x:c r="O3351" s="25" t="str">
        <x:v>Pendiente: asignar con R/sf</x:v>
      </x:c>
    </x:row>
    <x:row r="3352">
      <x:c r="A3352" s="25" t="n">
        <x:v>3351</x:v>
      </x:c>
      <x:c r="B3352" s="26" t="n">
        <x:v>44381.13034722222</x:v>
      </x:c>
      <x:c r="C3352" s="27" t="n">
        <x:f>INT(B3352)</x:f>
        <x:v>44381</x:v>
      </x:c>
      <x:c r="D3352" s="28" t="n">
        <x:f>MOD(B3352,1)</x:f>
        <x:v>0.1303472222207347</x:v>
      </x:c>
      <x:c r="E3352" s="29" t="n">
        <x:f>YEAR(B3352)</x:f>
        <x:v>2021</x:v>
      </x:c>
      <x:c r="F3352" s="29" t="n">
        <x:f>MONTH(B3352)</x:f>
        <x:v>7</x:v>
      </x:c>
      <x:c r="G3352" s="30" t="n">
        <x:v>-28.79</x:v>
      </x:c>
      <x:c r="H3352" s="30" t="n">
        <x:v>-71.53</x:v>
      </x:c>
      <x:c r="I3352" s="29" t="n">
        <x:v>34</x:v>
      </x:c>
      <x:c r="J3352" s="31" t="n">
        <x:v>3.9</x:v>
      </x:c>
      <x:c r="K3352" s="25" t="str">
        <x:f>IF(J3352&gt;=7,"Muy fuerte (&gt;=7)",IF(J3352&gt;=6,"Fuerte (6-6.9)",IF(J3352&gt;=5,"Moderado alto (5-5.9)",IF(J3352&gt;=4,"Moderado (4-4.9)","Menor a 4"))))</x:f>
        <x:v>Menor a 4</x:v>
      </x:c>
      <x:c r="L3352" s="25" t="str">
        <x:f>IF(I3352&lt;70,"Superficial (&lt;70 km)",IF(I3352&lt;=300,"Intermedio (70-300 km)","Profundo (&gt;300 km)"))</x:f>
        <x:v>Superficial (&lt;70 km)</x:v>
      </x:c>
      <x:c r="M3352" s="25" t="str">
        <x:f>IF(J3352&gt;=5,"Sí","No")</x:f>
        <x:v>No</x:v>
      </x:c>
      <x:c r="N3352" s="25" t="str">
        <x:f>IF(J3352&gt;=6,"Sí","No")</x:f>
        <x:v>No</x:v>
      </x:c>
      <x:c r="O3352" s="25" t="str">
        <x:v>Pendiente: asignar con R/sf</x:v>
      </x:c>
    </x:row>
    <x:row r="3353">
      <x:c r="A3353" s="25" t="n">
        <x:v>3352</x:v>
      </x:c>
      <x:c r="B3353" s="26" t="n">
        <x:v>44381.48871527778</x:v>
      </x:c>
      <x:c r="C3353" s="27" t="n">
        <x:f>INT(B3353)</x:f>
        <x:v>44381</x:v>
      </x:c>
      <x:c r="D3353" s="28" t="n">
        <x:f>MOD(B3353,1)</x:f>
        <x:v>0.48871527778101154</x:v>
      </x:c>
      <x:c r="E3353" s="29" t="n">
        <x:f>YEAR(B3353)</x:f>
        <x:v>2021</x:v>
      </x:c>
      <x:c r="F3353" s="29" t="n">
        <x:f>MONTH(B3353)</x:f>
        <x:v>7</x:v>
      </x:c>
      <x:c r="G3353" s="30" t="n">
        <x:v>-28.75</x:v>
      </x:c>
      <x:c r="H3353" s="30" t="n">
        <x:v>-71.57</x:v>
      </x:c>
      <x:c r="I3353" s="29" t="n">
        <x:v>24</x:v>
      </x:c>
      <x:c r="J3353" s="31" t="n">
        <x:v>3.9</x:v>
      </x:c>
      <x:c r="K3353" s="25" t="str">
        <x:f>IF(J3353&gt;=7,"Muy fuerte (&gt;=7)",IF(J3353&gt;=6,"Fuerte (6-6.9)",IF(J3353&gt;=5,"Moderado alto (5-5.9)",IF(J3353&gt;=4,"Moderado (4-4.9)","Menor a 4"))))</x:f>
        <x:v>Menor a 4</x:v>
      </x:c>
      <x:c r="L3353" s="25" t="str">
        <x:f>IF(I3353&lt;70,"Superficial (&lt;70 km)",IF(I3353&lt;=300,"Intermedio (70-300 km)","Profundo (&gt;300 km)"))</x:f>
        <x:v>Superficial (&lt;70 km)</x:v>
      </x:c>
      <x:c r="M3353" s="25" t="str">
        <x:f>IF(J3353&gt;=5,"Sí","No")</x:f>
        <x:v>No</x:v>
      </x:c>
      <x:c r="N3353" s="25" t="str">
        <x:f>IF(J3353&gt;=6,"Sí","No")</x:f>
        <x:v>No</x:v>
      </x:c>
      <x:c r="O3353" s="25" t="str">
        <x:v>Pendiente: asignar con R/sf</x:v>
      </x:c>
    </x:row>
    <x:row r="3354">
      <x:c r="A3354" s="25" t="n">
        <x:v>3353</x:v>
      </x:c>
      <x:c r="B3354" s="26" t="n">
        <x:v>44381.98640046296</x:v>
      </x:c>
      <x:c r="C3354" s="27" t="n">
        <x:f>INT(B3354)</x:f>
        <x:v>44381</x:v>
      </x:c>
      <x:c r="D3354" s="28" t="n">
        <x:f>MOD(B3354,1)</x:f>
        <x:v>0.9864004629635019</x:v>
      </x:c>
      <x:c r="E3354" s="29" t="n">
        <x:f>YEAR(B3354)</x:f>
        <x:v>2021</x:v>
      </x:c>
      <x:c r="F3354" s="29" t="n">
        <x:f>MONTH(B3354)</x:f>
        <x:v>7</x:v>
      </x:c>
      <x:c r="G3354" s="30" t="n">
        <x:v>-28.71</x:v>
      </x:c>
      <x:c r="H3354" s="30" t="n">
        <x:v>-71.56</x:v>
      </x:c>
      <x:c r="I3354" s="29" t="n">
        <x:v>29</x:v>
      </x:c>
      <x:c r="J3354" s="31" t="n">
        <x:v>4.4</x:v>
      </x:c>
      <x:c r="K3354" s="25" t="str">
        <x:f>IF(J3354&gt;=7,"Muy fuerte (&gt;=7)",IF(J3354&gt;=6,"Fuerte (6-6.9)",IF(J3354&gt;=5,"Moderado alto (5-5.9)",IF(J3354&gt;=4,"Moderado (4-4.9)","Menor a 4"))))</x:f>
        <x:v>Moderado (4-4.9)</x:v>
      </x:c>
      <x:c r="L3354" s="25" t="str">
        <x:f>IF(I3354&lt;70,"Superficial (&lt;70 km)",IF(I3354&lt;=300,"Intermedio (70-300 km)","Profundo (&gt;300 km)"))</x:f>
        <x:v>Superficial (&lt;70 km)</x:v>
      </x:c>
      <x:c r="M3354" s="25" t="str">
        <x:f>IF(J3354&gt;=5,"Sí","No")</x:f>
        <x:v>No</x:v>
      </x:c>
      <x:c r="N3354" s="25" t="str">
        <x:f>IF(J3354&gt;=6,"Sí","No")</x:f>
        <x:v>No</x:v>
      </x:c>
      <x:c r="O3354" s="25" t="str">
        <x:v>Pendiente: asignar con R/sf</x:v>
      </x:c>
    </x:row>
    <x:row r="3355">
      <x:c r="A3355" s="25" t="n">
        <x:v>3354</x:v>
      </x:c>
      <x:c r="B3355" s="26" t="n">
        <x:v>44382.254594907405</x:v>
      </x:c>
      <x:c r="C3355" s="27" t="n">
        <x:f>INT(B3355)</x:f>
        <x:v>44382</x:v>
      </x:c>
      <x:c r="D3355" s="28" t="n">
        <x:f>MOD(B3355,1)</x:f>
        <x:v>0.25459490740468027</x:v>
      </x:c>
      <x:c r="E3355" s="29" t="n">
        <x:f>YEAR(B3355)</x:f>
        <x:v>2021</x:v>
      </x:c>
      <x:c r="F3355" s="29" t="n">
        <x:f>MONTH(B3355)</x:f>
        <x:v>7</x:v>
      </x:c>
      <x:c r="G3355" s="30" t="n">
        <x:v>-28.8</x:v>
      </x:c>
      <x:c r="H3355" s="30" t="n">
        <x:v>-71.53</x:v>
      </x:c>
      <x:c r="I3355" s="29" t="n">
        <x:v>39</x:v>
      </x:c>
      <x:c r="J3355" s="31" t="n">
        <x:v>4.3</x:v>
      </x:c>
      <x:c r="K3355" s="25" t="str">
        <x:f>IF(J3355&gt;=7,"Muy fuerte (&gt;=7)",IF(J3355&gt;=6,"Fuerte (6-6.9)",IF(J3355&gt;=5,"Moderado alto (5-5.9)",IF(J3355&gt;=4,"Moderado (4-4.9)","Menor a 4"))))</x:f>
        <x:v>Moderado (4-4.9)</x:v>
      </x:c>
      <x:c r="L3355" s="25" t="str">
        <x:f>IF(I3355&lt;70,"Superficial (&lt;70 km)",IF(I3355&lt;=300,"Intermedio (70-300 km)","Profundo (&gt;300 km)"))</x:f>
        <x:v>Superficial (&lt;70 km)</x:v>
      </x:c>
      <x:c r="M3355" s="25" t="str">
        <x:f>IF(J3355&gt;=5,"Sí","No")</x:f>
        <x:v>No</x:v>
      </x:c>
      <x:c r="N3355" s="25" t="str">
        <x:f>IF(J3355&gt;=6,"Sí","No")</x:f>
        <x:v>No</x:v>
      </x:c>
      <x:c r="O3355" s="25" t="str">
        <x:v>Pendiente: asignar con R/sf</x:v>
      </x:c>
    </x:row>
    <x:row r="3356">
      <x:c r="A3356" s="25" t="n">
        <x:v>3355</x:v>
      </x:c>
      <x:c r="B3356" s="26" t="n">
        <x:v>44391.8559375</x:v>
      </x:c>
      <x:c r="C3356" s="27" t="n">
        <x:f>INT(B3356)</x:f>
        <x:v>44391</x:v>
      </x:c>
      <x:c r="D3356" s="28" t="n">
        <x:f>MOD(B3356,1)</x:f>
        <x:v>0.8559374999967986</x:v>
      </x:c>
      <x:c r="E3356" s="29" t="n">
        <x:f>YEAR(B3356)</x:f>
        <x:v>2021</x:v>
      </x:c>
      <x:c r="F3356" s="29" t="n">
        <x:f>MONTH(B3356)</x:f>
        <x:v>7</x:v>
      </x:c>
      <x:c r="G3356" s="30" t="n">
        <x:v>-29.24</x:v>
      </x:c>
      <x:c r="H3356" s="30" t="n">
        <x:v>-71.14</x:v>
      </x:c>
      <x:c r="I3356" s="29" t="n">
        <x:v>56</x:v>
      </x:c>
      <x:c r="J3356" s="31" t="n">
        <x:v>4</x:v>
      </x:c>
      <x:c r="K3356" s="25" t="str">
        <x:f>IF(J3356&gt;=7,"Muy fuerte (&gt;=7)",IF(J3356&gt;=6,"Fuerte (6-6.9)",IF(J3356&gt;=5,"Moderado alto (5-5.9)",IF(J3356&gt;=4,"Moderado (4-4.9)","Menor a 4"))))</x:f>
        <x:v>Moderado (4-4.9)</x:v>
      </x:c>
      <x:c r="L3356" s="25" t="str">
        <x:f>IF(I3356&lt;70,"Superficial (&lt;70 km)",IF(I3356&lt;=300,"Intermedio (70-300 km)","Profundo (&gt;300 km)"))</x:f>
        <x:v>Superficial (&lt;70 km)</x:v>
      </x:c>
      <x:c r="M3356" s="25" t="str">
        <x:f>IF(J3356&gt;=5,"Sí","No")</x:f>
        <x:v>No</x:v>
      </x:c>
      <x:c r="N3356" s="25" t="str">
        <x:f>IF(J3356&gt;=6,"Sí","No")</x:f>
        <x:v>No</x:v>
      </x:c>
      <x:c r="O3356" s="25" t="str">
        <x:v>Pendiente: asignar con R/sf</x:v>
      </x:c>
    </x:row>
    <x:row r="3357">
      <x:c r="A3357" s="25" t="n">
        <x:v>3356</x:v>
      </x:c>
      <x:c r="B3357" s="26" t="n">
        <x:v>44393.29336805556</x:v>
      </x:c>
      <x:c r="C3357" s="27" t="n">
        <x:f>INT(B3357)</x:f>
        <x:v>44393</x:v>
      </x:c>
      <x:c r="D3357" s="28" t="n">
        <x:f>MOD(B3357,1)</x:f>
        <x:v>0.29336805555794854</x:v>
      </x:c>
      <x:c r="E3357" s="29" t="n">
        <x:f>YEAR(B3357)</x:f>
        <x:v>2021</x:v>
      </x:c>
      <x:c r="F3357" s="29" t="n">
        <x:f>MONTH(B3357)</x:f>
        <x:v>7</x:v>
      </x:c>
      <x:c r="G3357" s="30" t="n">
        <x:v>-28.88</x:v>
      </x:c>
      <x:c r="H3357" s="30" t="n">
        <x:v>-70.72</x:v>
      </x:c>
      <x:c r="I3357" s="29" t="n">
        <x:v>69</x:v>
      </x:c>
      <x:c r="J3357" s="31" t="n">
        <x:v>3.9</x:v>
      </x:c>
      <x:c r="K3357" s="25" t="str">
        <x:f>IF(J3357&gt;=7,"Muy fuerte (&gt;=7)",IF(J3357&gt;=6,"Fuerte (6-6.9)",IF(J3357&gt;=5,"Moderado alto (5-5.9)",IF(J3357&gt;=4,"Moderado (4-4.9)","Menor a 4"))))</x:f>
        <x:v>Menor a 4</x:v>
      </x:c>
      <x:c r="L3357" s="25" t="str">
        <x:f>IF(I3357&lt;70,"Superficial (&lt;70 km)",IF(I3357&lt;=300,"Intermedio (70-300 km)","Profundo (&gt;300 km)"))</x:f>
        <x:v>Superficial (&lt;70 km)</x:v>
      </x:c>
      <x:c r="M3357" s="25" t="str">
        <x:f>IF(J3357&gt;=5,"Sí","No")</x:f>
        <x:v>No</x:v>
      </x:c>
      <x:c r="N3357" s="25" t="str">
        <x:f>IF(J3357&gt;=6,"Sí","No")</x:f>
        <x:v>No</x:v>
      </x:c>
      <x:c r="O3357" s="25" t="str">
        <x:v>Pendiente: asignar con R/sf</x:v>
      </x:c>
    </x:row>
    <x:row r="3358">
      <x:c r="A3358" s="25" t="n">
        <x:v>3357</x:v>
      </x:c>
      <x:c r="B3358" s="26" t="n">
        <x:v>44457.52474537037</x:v>
      </x:c>
      <x:c r="C3358" s="27" t="n">
        <x:f>INT(B3358)</x:f>
        <x:v>44457</x:v>
      </x:c>
      <x:c r="D3358" s="28" t="n">
        <x:f>MOD(B3358,1)</x:f>
        <x:v>0.5247453703705105</x:v>
      </x:c>
      <x:c r="E3358" s="29" t="n">
        <x:f>YEAR(B3358)</x:f>
        <x:v>2021</x:v>
      </x:c>
      <x:c r="F3358" s="29" t="n">
        <x:f>MONTH(B3358)</x:f>
        <x:v>9</x:v>
      </x:c>
      <x:c r="G3358" s="30" t="n">
        <x:v>-28.76</x:v>
      </x:c>
      <x:c r="H3358" s="30" t="n">
        <x:v>-71.48</x:v>
      </x:c>
      <x:c r="I3358" s="29" t="n">
        <x:v>31</x:v>
      </x:c>
      <x:c r="J3358" s="31" t="n">
        <x:v>4.3</x:v>
      </x:c>
      <x:c r="K3358" s="25" t="str">
        <x:f>IF(J3358&gt;=7,"Muy fuerte (&gt;=7)",IF(J3358&gt;=6,"Fuerte (6-6.9)",IF(J3358&gt;=5,"Moderado alto (5-5.9)",IF(J3358&gt;=4,"Moderado (4-4.9)","Menor a 4"))))</x:f>
        <x:v>Moderado (4-4.9)</x:v>
      </x:c>
      <x:c r="L3358" s="25" t="str">
        <x:f>IF(I3358&lt;70,"Superficial (&lt;70 km)",IF(I3358&lt;=300,"Intermedio (70-300 km)","Profundo (&gt;300 km)"))</x:f>
        <x:v>Superficial (&lt;70 km)</x:v>
      </x:c>
      <x:c r="M3358" s="25" t="str">
        <x:f>IF(J3358&gt;=5,"Sí","No")</x:f>
        <x:v>No</x:v>
      </x:c>
      <x:c r="N3358" s="25" t="str">
        <x:f>IF(J3358&gt;=6,"Sí","No")</x:f>
        <x:v>No</x:v>
      </x:c>
      <x:c r="O3358" s="25" t="str">
        <x:v>Pendiente: asignar con R/sf</x:v>
      </x:c>
    </x:row>
    <x:row r="3359">
      <x:c r="A3359" s="25" t="n">
        <x:v>3358</x:v>
      </x:c>
      <x:c r="B3359" s="26" t="n">
        <x:v>44827.845185185186</x:v>
      </x:c>
      <x:c r="C3359" s="27" t="n">
        <x:f>INT(B3359)</x:f>
        <x:v>44827</x:v>
      </x:c>
      <x:c r="D3359" s="28" t="n">
        <x:f>MOD(B3359,1)</x:f>
        <x:v>0.8451851851859828</x:v>
      </x:c>
      <x:c r="E3359" s="29" t="n">
        <x:f>YEAR(B3359)</x:f>
        <x:v>2022</x:v>
      </x:c>
      <x:c r="F3359" s="29" t="n">
        <x:f>MONTH(B3359)</x:f>
        <x:v>9</x:v>
      </x:c>
      <x:c r="G3359" s="30" t="n">
        <x:v>-29</x:v>
      </x:c>
      <x:c r="H3359" s="30" t="n">
        <x:v>-71.55</x:v>
      </x:c>
      <x:c r="I3359" s="29" t="n">
        <x:v>49</x:v>
      </x:c>
      <x:c r="J3359" s="31" t="n">
        <x:v>4.7</x:v>
      </x:c>
      <x:c r="K3359" s="25" t="str">
        <x:f>IF(J3359&gt;=7,"Muy fuerte (&gt;=7)",IF(J3359&gt;=6,"Fuerte (6-6.9)",IF(J3359&gt;=5,"Moderado alto (5-5.9)",IF(J3359&gt;=4,"Moderado (4-4.9)","Menor a 4"))))</x:f>
        <x:v>Moderado (4-4.9)</x:v>
      </x:c>
      <x:c r="L3359" s="25" t="str">
        <x:f>IF(I3359&lt;70,"Superficial (&lt;70 km)",IF(I3359&lt;=300,"Intermedio (70-300 km)","Profundo (&gt;300 km)"))</x:f>
        <x:v>Superficial (&lt;70 km)</x:v>
      </x:c>
      <x:c r="M3359" s="25" t="str">
        <x:f>IF(J3359&gt;=5,"Sí","No")</x:f>
        <x:v>No</x:v>
      </x:c>
      <x:c r="N3359" s="25" t="str">
        <x:f>IF(J3359&gt;=6,"Sí","No")</x:f>
        <x:v>No</x:v>
      </x:c>
      <x:c r="O3359" s="25" t="str">
        <x:v>Pendiente: asignar con R/sf</x:v>
      </x:c>
    </x:row>
    <x:row r="3360">
      <x:c r="A3360" s="25" t="n">
        <x:v>3359</x:v>
      </x:c>
      <x:c r="B3360" s="26" t="n">
        <x:v>44901.24450231482</x:v>
      </x:c>
      <x:c r="C3360" s="27" t="n">
        <x:f>INT(B3360)</x:f>
        <x:v>44901</x:v>
      </x:c>
      <x:c r="D3360" s="28" t="n">
        <x:f>MOD(B3360,1)</x:f>
        <x:v>0.24450231481750961</x:v>
      </x:c>
      <x:c r="E3360" s="29" t="n">
        <x:f>YEAR(B3360)</x:f>
        <x:v>2022</x:v>
      </x:c>
      <x:c r="F3360" s="29" t="n">
        <x:f>MONTH(B3360)</x:f>
        <x:v>12</x:v>
      </x:c>
      <x:c r="G3360" s="30" t="n">
        <x:v>-29.22</x:v>
      </x:c>
      <x:c r="H3360" s="30" t="n">
        <x:v>-71.36</x:v>
      </x:c>
      <x:c r="I3360" s="29" t="n">
        <x:v>55</x:v>
      </x:c>
      <x:c r="J3360" s="31" t="n">
        <x:v>4.4</x:v>
      </x:c>
      <x:c r="K3360" s="25" t="str">
        <x:f>IF(J3360&gt;=7,"Muy fuerte (&gt;=7)",IF(J3360&gt;=6,"Fuerte (6-6.9)",IF(J3360&gt;=5,"Moderado alto (5-5.9)",IF(J3360&gt;=4,"Moderado (4-4.9)","Menor a 4"))))</x:f>
        <x:v>Moderado (4-4.9)</x:v>
      </x:c>
      <x:c r="L3360" s="25" t="str">
        <x:f>IF(I3360&lt;70,"Superficial (&lt;70 km)",IF(I3360&lt;=300,"Intermedio (70-300 km)","Profundo (&gt;300 km)"))</x:f>
        <x:v>Superficial (&lt;70 km)</x:v>
      </x:c>
      <x:c r="M3360" s="25" t="str">
        <x:f>IF(J3360&gt;=5,"Sí","No")</x:f>
        <x:v>No</x:v>
      </x:c>
      <x:c r="N3360" s="25" t="str">
        <x:f>IF(J3360&gt;=6,"Sí","No")</x:f>
        <x:v>No</x:v>
      </x:c>
      <x:c r="O3360" s="25" t="str">
        <x:v>Pendiente: asignar con R/sf</x:v>
      </x:c>
    </x:row>
    <x:row r="3361">
      <x:c r="A3361" s="25" t="n">
        <x:v>3360</x:v>
      </x:c>
      <x:c r="B3361" s="26" t="n">
        <x:v>44971.90770833333</x:v>
      </x:c>
      <x:c r="C3361" s="27" t="n">
        <x:f>INT(B3361)</x:f>
        <x:v>44971</x:v>
      </x:c>
      <x:c r="D3361" s="28" t="n">
        <x:f>MOD(B3361,1)</x:f>
        <x:v>0.9077083333322662</x:v>
      </x:c>
      <x:c r="E3361" s="29" t="n">
        <x:f>YEAR(B3361)</x:f>
        <x:v>2023</x:v>
      </x:c>
      <x:c r="F3361" s="29" t="n">
        <x:f>MONTH(B3361)</x:f>
        <x:v>2</x:v>
      </x:c>
      <x:c r="G3361" s="30" t="n">
        <x:v>-28.71</x:v>
      </x:c>
      <x:c r="H3361" s="30" t="n">
        <x:v>-71.61</x:v>
      </x:c>
      <x:c r="I3361" s="29" t="n">
        <x:v>19</x:v>
      </x:c>
      <x:c r="J3361" s="31" t="n">
        <x:v>3.8</x:v>
      </x:c>
      <x:c r="K3361" s="25" t="str">
        <x:f>IF(J3361&gt;=7,"Muy fuerte (&gt;=7)",IF(J3361&gt;=6,"Fuerte (6-6.9)",IF(J3361&gt;=5,"Moderado alto (5-5.9)",IF(J3361&gt;=4,"Moderado (4-4.9)","Menor a 4"))))</x:f>
        <x:v>Menor a 4</x:v>
      </x:c>
      <x:c r="L3361" s="25" t="str">
        <x:f>IF(I3361&lt;70,"Superficial (&lt;70 km)",IF(I3361&lt;=300,"Intermedio (70-300 km)","Profundo (&gt;300 km)"))</x:f>
        <x:v>Superficial (&lt;70 km)</x:v>
      </x:c>
      <x:c r="M3361" s="25" t="str">
        <x:f>IF(J3361&gt;=5,"Sí","No")</x:f>
        <x:v>No</x:v>
      </x:c>
      <x:c r="N3361" s="25" t="str">
        <x:f>IF(J3361&gt;=6,"Sí","No")</x:f>
        <x:v>No</x:v>
      </x:c>
      <x:c r="O3361" s="25" t="str">
        <x:v>Pendiente: asignar con R/sf</x:v>
      </x:c>
    </x:row>
    <x:row r="3362">
      <x:c r="A3362" s="25" t="n">
        <x:v>3361</x:v>
      </x:c>
      <x:c r="B3362" s="26" t="n">
        <x:v>44129.87128472222</x:v>
      </x:c>
      <x:c r="C3362" s="27" t="n">
        <x:f>INT(B3362)</x:f>
        <x:v>44129</x:v>
      </x:c>
      <x:c r="D3362" s="28" t="n">
        <x:f>MOD(B3362,1)</x:f>
        <x:v>0.8712847222195705</x:v>
      </x:c>
      <x:c r="E3362" s="29" t="n">
        <x:f>YEAR(B3362)</x:f>
        <x:v>2020</x:v>
      </x:c>
      <x:c r="F3362" s="29" t="n">
        <x:f>MONTH(B3362)</x:f>
        <x:v>10</x:v>
      </x:c>
      <x:c r="G3362" s="30" t="n">
        <x:v>-29.54</x:v>
      </x:c>
      <x:c r="H3362" s="30" t="n">
        <x:v>-71.43</x:v>
      </x:c>
      <x:c r="I3362" s="29" t="n">
        <x:v>46</x:v>
      </x:c>
      <x:c r="J3362" s="31" t="n">
        <x:v>3.7</x:v>
      </x:c>
      <x:c r="K3362" s="25" t="str">
        <x:f>IF(J3362&gt;=7,"Muy fuerte (&gt;=7)",IF(J3362&gt;=6,"Fuerte (6-6.9)",IF(J3362&gt;=5,"Moderado alto (5-5.9)",IF(J3362&gt;=4,"Moderado (4-4.9)","Menor a 4"))))</x:f>
        <x:v>Menor a 4</x:v>
      </x:c>
      <x:c r="L3362" s="25" t="str">
        <x:f>IF(I3362&lt;70,"Superficial (&lt;70 km)",IF(I3362&lt;=300,"Intermedio (70-300 km)","Profundo (&gt;300 km)"))</x:f>
        <x:v>Superficial (&lt;70 km)</x:v>
      </x:c>
      <x:c r="M3362" s="25" t="str">
        <x:f>IF(J3362&gt;=5,"Sí","No")</x:f>
        <x:v>No</x:v>
      </x:c>
      <x:c r="N3362" s="25" t="str">
        <x:f>IF(J3362&gt;=6,"Sí","No")</x:f>
        <x:v>No</x:v>
      </x:c>
      <x:c r="O3362" s="25" t="str">
        <x:v>Pendiente: asignar con R/sf</x:v>
      </x:c>
    </x:row>
    <x:row r="3363">
      <x:c r="A3363" s="25" t="n">
        <x:v>3362</x:v>
      </x:c>
      <x:c r="B3363" s="26" t="n">
        <x:v>44132.62398148148</x:v>
      </x:c>
      <x:c r="C3363" s="27" t="n">
        <x:f>INT(B3363)</x:f>
        <x:v>44132</x:v>
      </x:c>
      <x:c r="D3363" s="28" t="n">
        <x:f>MOD(B3363,1)</x:f>
        <x:v>0.6239814814834972</x:v>
      </x:c>
      <x:c r="E3363" s="29" t="n">
        <x:f>YEAR(B3363)</x:f>
        <x:v>2020</x:v>
      </x:c>
      <x:c r="F3363" s="29" t="n">
        <x:f>MONTH(B3363)</x:f>
        <x:v>10</x:v>
      </x:c>
      <x:c r="G3363" s="30" t="n">
        <x:v>-29.35</x:v>
      </x:c>
      <x:c r="H3363" s="30" t="n">
        <x:v>-71.18</x:v>
      </x:c>
      <x:c r="I3363" s="29" t="n">
        <x:v>54</x:v>
      </x:c>
      <x:c r="J3363" s="31" t="n">
        <x:v>3.9</x:v>
      </x:c>
      <x:c r="K3363" s="25" t="str">
        <x:f>IF(J3363&gt;=7,"Muy fuerte (&gt;=7)",IF(J3363&gt;=6,"Fuerte (6-6.9)",IF(J3363&gt;=5,"Moderado alto (5-5.9)",IF(J3363&gt;=4,"Moderado (4-4.9)","Menor a 4"))))</x:f>
        <x:v>Menor a 4</x:v>
      </x:c>
      <x:c r="L3363" s="25" t="str">
        <x:f>IF(I3363&lt;70,"Superficial (&lt;70 km)",IF(I3363&lt;=300,"Intermedio (70-300 km)","Profundo (&gt;300 km)"))</x:f>
        <x:v>Superficial (&lt;70 km)</x:v>
      </x:c>
      <x:c r="M3363" s="25" t="str">
        <x:f>IF(J3363&gt;=5,"Sí","No")</x:f>
        <x:v>No</x:v>
      </x:c>
      <x:c r="N3363" s="25" t="str">
        <x:f>IF(J3363&gt;=6,"Sí","No")</x:f>
        <x:v>No</x:v>
      </x:c>
      <x:c r="O3363" s="25" t="str">
        <x:v>Pendiente: asignar con R/sf</x:v>
      </x:c>
    </x:row>
    <x:row r="3364">
      <x:c r="A3364" s="25" t="n">
        <x:v>3363</x:v>
      </x:c>
      <x:c r="B3364" s="26" t="n">
        <x:v>44249.87956018518</x:v>
      </x:c>
      <x:c r="C3364" s="27" t="n">
        <x:f>INT(B3364)</x:f>
        <x:v>44249</x:v>
      </x:c>
      <x:c r="D3364" s="28" t="n">
        <x:f>MOD(B3364,1)</x:f>
        <x:v>0.8795601851816173</x:v>
      </x:c>
      <x:c r="E3364" s="29" t="n">
        <x:f>YEAR(B3364)</x:f>
        <x:v>2021</x:v>
      </x:c>
      <x:c r="F3364" s="29" t="n">
        <x:f>MONTH(B3364)</x:f>
        <x:v>2</x:v>
      </x:c>
      <x:c r="G3364" s="30" t="n">
        <x:v>-29.33</x:v>
      </x:c>
      <x:c r="H3364" s="30" t="n">
        <x:v>-71.06</x:v>
      </x:c>
      <x:c r="I3364" s="29" t="n">
        <x:v>70</x:v>
      </x:c>
      <x:c r="J3364" s="31" t="n">
        <x:v>3.6</x:v>
      </x:c>
      <x:c r="K3364" s="25" t="str">
        <x:f>IF(J3364&gt;=7,"Muy fuerte (&gt;=7)",IF(J3364&gt;=6,"Fuerte (6-6.9)",IF(J3364&gt;=5,"Moderado alto (5-5.9)",IF(J3364&gt;=4,"Moderado (4-4.9)","Menor a 4"))))</x:f>
        <x:v>Menor a 4</x:v>
      </x:c>
      <x:c r="L3364" s="25" t="str">
        <x:f>IF(I3364&lt;70,"Superficial (&lt;70 km)",IF(I3364&lt;=300,"Intermedio (70-300 km)","Profundo (&gt;300 km)"))</x:f>
        <x:v>Intermedio (70-300 km)</x:v>
      </x:c>
      <x:c r="M3364" s="25" t="str">
        <x:f>IF(J3364&gt;=5,"Sí","No")</x:f>
        <x:v>No</x:v>
      </x:c>
      <x:c r="N3364" s="25" t="str">
        <x:f>IF(J3364&gt;=6,"Sí","No")</x:f>
        <x:v>No</x:v>
      </x:c>
      <x:c r="O3364" s="25" t="str">
        <x:v>Pendiente: asignar con R/sf</x:v>
      </x:c>
    </x:row>
    <x:row r="3365">
      <x:c r="A3365" s="25" t="n">
        <x:v>3364</x:v>
      </x:c>
      <x:c r="B3365" s="26" t="n">
        <x:v>44381.12347222222</x:v>
      </x:c>
      <x:c r="C3365" s="27" t="n">
        <x:f>INT(B3365)</x:f>
        <x:v>44381</x:v>
      </x:c>
      <x:c r="D3365" s="28" t="n">
        <x:f>MOD(B3365,1)</x:f>
        <x:v>0.12347222222160781</x:v>
      </x:c>
      <x:c r="E3365" s="29" t="n">
        <x:f>YEAR(B3365)</x:f>
        <x:v>2021</x:v>
      </x:c>
      <x:c r="F3365" s="29" t="n">
        <x:f>MONTH(B3365)</x:f>
        <x:v>7</x:v>
      </x:c>
      <x:c r="G3365" s="30" t="n">
        <x:v>-28.75</x:v>
      </x:c>
      <x:c r="H3365" s="30" t="n">
        <x:v>-71.56</x:v>
      </x:c>
      <x:c r="I3365" s="29" t="n">
        <x:v>35</x:v>
      </x:c>
      <x:c r="J3365" s="31" t="n">
        <x:v>4.6</x:v>
      </x:c>
      <x:c r="K3365" s="25" t="str">
        <x:f>IF(J3365&gt;=7,"Muy fuerte (&gt;=7)",IF(J3365&gt;=6,"Fuerte (6-6.9)",IF(J3365&gt;=5,"Moderado alto (5-5.9)",IF(J3365&gt;=4,"Moderado (4-4.9)","Menor a 4"))))</x:f>
        <x:v>Moderado (4-4.9)</x:v>
      </x:c>
      <x:c r="L3365" s="25" t="str">
        <x:f>IF(I3365&lt;70,"Superficial (&lt;70 km)",IF(I3365&lt;=300,"Intermedio (70-300 km)","Profundo (&gt;300 km)"))</x:f>
        <x:v>Superficial (&lt;70 km)</x:v>
      </x:c>
      <x:c r="M3365" s="25" t="str">
        <x:f>IF(J3365&gt;=5,"Sí","No")</x:f>
        <x:v>No</x:v>
      </x:c>
      <x:c r="N3365" s="25" t="str">
        <x:f>IF(J3365&gt;=6,"Sí","No")</x:f>
        <x:v>No</x:v>
      </x:c>
      <x:c r="O3365" s="25" t="str">
        <x:v>Pendiente: asignar con R/sf</x:v>
      </x:c>
    </x:row>
    <x:row r="3366">
      <x:c r="A3366" s="25" t="n">
        <x:v>3365</x:v>
      </x:c>
      <x:c r="B3366" s="26" t="n">
        <x:v>44381.66471064815</x:v>
      </x:c>
      <x:c r="C3366" s="27" t="n">
        <x:f>INT(B3366)</x:f>
        <x:v>44381</x:v>
      </x:c>
      <x:c r="D3366" s="28" t="n">
        <x:f>MOD(B3366,1)</x:f>
        <x:v>0.6647106481468654</x:v>
      </x:c>
      <x:c r="E3366" s="29" t="n">
        <x:f>YEAR(B3366)</x:f>
        <x:v>2021</x:v>
      </x:c>
      <x:c r="F3366" s="29" t="n">
        <x:f>MONTH(B3366)</x:f>
        <x:v>7</x:v>
      </x:c>
      <x:c r="G3366" s="30" t="n">
        <x:v>-28.77</x:v>
      </x:c>
      <x:c r="H3366" s="30" t="n">
        <x:v>-71.5</x:v>
      </x:c>
      <x:c r="I3366" s="29" t="n">
        <x:v>30</x:v>
      </x:c>
      <x:c r="J3366" s="31" t="n">
        <x:v>4.3</x:v>
      </x:c>
      <x:c r="K3366" s="25" t="str">
        <x:f>IF(J3366&gt;=7,"Muy fuerte (&gt;=7)",IF(J3366&gt;=6,"Fuerte (6-6.9)",IF(J3366&gt;=5,"Moderado alto (5-5.9)",IF(J3366&gt;=4,"Moderado (4-4.9)","Menor a 4"))))</x:f>
        <x:v>Moderado (4-4.9)</x:v>
      </x:c>
      <x:c r="L3366" s="25" t="str">
        <x:f>IF(I3366&lt;70,"Superficial (&lt;70 km)",IF(I3366&lt;=300,"Intermedio (70-300 km)","Profundo (&gt;300 km)"))</x:f>
        <x:v>Superficial (&lt;70 km)</x:v>
      </x:c>
      <x:c r="M3366" s="25" t="str">
        <x:f>IF(J3366&gt;=5,"Sí","No")</x:f>
        <x:v>No</x:v>
      </x:c>
      <x:c r="N3366" s="25" t="str">
        <x:f>IF(J3366&gt;=6,"Sí","No")</x:f>
        <x:v>No</x:v>
      </x:c>
      <x:c r="O3366" s="25" t="str">
        <x:v>Pendiente: asignar con R/sf</x:v>
      </x:c>
    </x:row>
    <x:row r="3367">
      <x:c r="A3367" s="25" t="n">
        <x:v>3366</x:v>
      </x:c>
      <x:c r="B3367" s="26" t="n">
        <x:v>44382.35015046296</x:v>
      </x:c>
      <x:c r="C3367" s="27" t="n">
        <x:f>INT(B3367)</x:f>
        <x:v>44382</x:v>
      </x:c>
      <x:c r="D3367" s="28" t="n">
        <x:f>MOD(B3367,1)</x:f>
        <x:v>0.3501504629603005</x:v>
      </x:c>
      <x:c r="E3367" s="29" t="n">
        <x:f>YEAR(B3367)</x:f>
        <x:v>2021</x:v>
      </x:c>
      <x:c r="F3367" s="29" t="n">
        <x:f>MONTH(B3367)</x:f>
        <x:v>7</x:v>
      </x:c>
      <x:c r="G3367" s="30" t="n">
        <x:v>-28.77</x:v>
      </x:c>
      <x:c r="H3367" s="30" t="n">
        <x:v>-71.69</x:v>
      </x:c>
      <x:c r="I3367" s="29" t="n">
        <x:v>21</x:v>
      </x:c>
      <x:c r="J3367" s="31" t="n">
        <x:v>4.6</x:v>
      </x:c>
      <x:c r="K3367" s="25" t="str">
        <x:f>IF(J3367&gt;=7,"Muy fuerte (&gt;=7)",IF(J3367&gt;=6,"Fuerte (6-6.9)",IF(J3367&gt;=5,"Moderado alto (5-5.9)",IF(J3367&gt;=4,"Moderado (4-4.9)","Menor a 4"))))</x:f>
        <x:v>Moderado (4-4.9)</x:v>
      </x:c>
      <x:c r="L3367" s="25" t="str">
        <x:f>IF(I3367&lt;70,"Superficial (&lt;70 km)",IF(I3367&lt;=300,"Intermedio (70-300 km)","Profundo (&gt;300 km)"))</x:f>
        <x:v>Superficial (&lt;70 km)</x:v>
      </x:c>
      <x:c r="M3367" s="25" t="str">
        <x:f>IF(J3367&gt;=5,"Sí","No")</x:f>
        <x:v>No</x:v>
      </x:c>
      <x:c r="N3367" s="25" t="str">
        <x:f>IF(J3367&gt;=6,"Sí","No")</x:f>
        <x:v>No</x:v>
      </x:c>
      <x:c r="O3367" s="25" t="str">
        <x:v>Pendiente: asignar con R/sf</x:v>
      </x:c>
    </x:row>
    <x:row r="3368">
      <x:c r="A3368" s="25" t="n">
        <x:v>3367</x:v>
      </x:c>
      <x:c r="B3368" s="26" t="n">
        <x:v>44382.49891203704</x:v>
      </x:c>
      <x:c r="C3368" s="27" t="n">
        <x:f>INT(B3368)</x:f>
        <x:v>44382</x:v>
      </x:c>
      <x:c r="D3368" s="28" t="n">
        <x:f>MOD(B3368,1)</x:f>
        <x:v>0.4989120370373712</x:v>
      </x:c>
      <x:c r="E3368" s="29" t="n">
        <x:f>YEAR(B3368)</x:f>
        <x:v>2021</x:v>
      </x:c>
      <x:c r="F3368" s="29" t="n">
        <x:f>MONTH(B3368)</x:f>
        <x:v>7</x:v>
      </x:c>
      <x:c r="G3368" s="30" t="n">
        <x:v>-28.79</x:v>
      </x:c>
      <x:c r="H3368" s="30" t="n">
        <x:v>-71.67</x:v>
      </x:c>
      <x:c r="I3368" s="29" t="n">
        <x:v>35</x:v>
      </x:c>
      <x:c r="J3368" s="31" t="n">
        <x:v>4.9</x:v>
      </x:c>
      <x:c r="K3368" s="25" t="str">
        <x:f>IF(J3368&gt;=7,"Muy fuerte (&gt;=7)",IF(J3368&gt;=6,"Fuerte (6-6.9)",IF(J3368&gt;=5,"Moderado alto (5-5.9)",IF(J3368&gt;=4,"Moderado (4-4.9)","Menor a 4"))))</x:f>
        <x:v>Moderado (4-4.9)</x:v>
      </x:c>
      <x:c r="L3368" s="25" t="str">
        <x:f>IF(I3368&lt;70,"Superficial (&lt;70 km)",IF(I3368&lt;=300,"Intermedio (70-300 km)","Profundo (&gt;300 km)"))</x:f>
        <x:v>Superficial (&lt;70 km)</x:v>
      </x:c>
      <x:c r="M3368" s="25" t="str">
        <x:f>IF(J3368&gt;=5,"Sí","No")</x:f>
        <x:v>No</x:v>
      </x:c>
      <x:c r="N3368" s="25" t="str">
        <x:f>IF(J3368&gt;=6,"Sí","No")</x:f>
        <x:v>No</x:v>
      </x:c>
      <x:c r="O3368" s="25" t="str">
        <x:v>Pendiente: asignar con R/sf</x:v>
      </x:c>
    </x:row>
    <x:row r="3369">
      <x:c r="A3369" s="25" t="n">
        <x:v>3368</x:v>
      </x:c>
      <x:c r="B3369" s="26" t="n">
        <x:v>44390.92896990741</x:v>
      </x:c>
      <x:c r="C3369" s="27" t="n">
        <x:f>INT(B3369)</x:f>
        <x:v>44390</x:v>
      </x:c>
      <x:c r="D3369" s="28" t="n">
        <x:f>MOD(B3369,1)</x:f>
        <x:v>0.9289699074070086</x:v>
      </x:c>
      <x:c r="E3369" s="29" t="n">
        <x:f>YEAR(B3369)</x:f>
        <x:v>2021</x:v>
      </x:c>
      <x:c r="F3369" s="29" t="n">
        <x:f>MONTH(B3369)</x:f>
        <x:v>7</x:v>
      </x:c>
      <x:c r="G3369" s="30" t="n">
        <x:v>-28.79</x:v>
      </x:c>
      <x:c r="H3369" s="30" t="n">
        <x:v>-71.37</x:v>
      </x:c>
      <x:c r="I3369" s="29" t="n">
        <x:v>39</x:v>
      </x:c>
      <x:c r="J3369" s="31" t="n">
        <x:v>4</x:v>
      </x:c>
      <x:c r="K3369" s="25" t="str">
        <x:f>IF(J3369&gt;=7,"Muy fuerte (&gt;=7)",IF(J3369&gt;=6,"Fuerte (6-6.9)",IF(J3369&gt;=5,"Moderado alto (5-5.9)",IF(J3369&gt;=4,"Moderado (4-4.9)","Menor a 4"))))</x:f>
        <x:v>Moderado (4-4.9)</x:v>
      </x:c>
      <x:c r="L3369" s="25" t="str">
        <x:f>IF(I3369&lt;70,"Superficial (&lt;70 km)",IF(I3369&lt;=300,"Intermedio (70-300 km)","Profundo (&gt;300 km)"))</x:f>
        <x:v>Superficial (&lt;70 km)</x:v>
      </x:c>
      <x:c r="M3369" s="25" t="str">
        <x:f>IF(J3369&gt;=5,"Sí","No")</x:f>
        <x:v>No</x:v>
      </x:c>
      <x:c r="N3369" s="25" t="str">
        <x:f>IF(J3369&gt;=6,"Sí","No")</x:f>
        <x:v>No</x:v>
      </x:c>
      <x:c r="O3369" s="25" t="str">
        <x:v>Pendiente: asignar con R/sf</x:v>
      </x:c>
    </x:row>
    <x:row r="3370">
      <x:c r="A3370" s="25" t="n">
        <x:v>3369</x:v>
      </x:c>
      <x:c r="B3370" s="26" t="n">
        <x:v>44402.80069444444</x:v>
      </x:c>
      <x:c r="C3370" s="27" t="n">
        <x:f>INT(B3370)</x:f>
        <x:v>44402</x:v>
      </x:c>
      <x:c r="D3370" s="28" t="n">
        <x:f>MOD(B3370,1)</x:f>
        <x:v>0.8006944444423425</x:v>
      </x:c>
      <x:c r="E3370" s="29" t="n">
        <x:f>YEAR(B3370)</x:f>
        <x:v>2021</x:v>
      </x:c>
      <x:c r="F3370" s="29" t="n">
        <x:f>MONTH(B3370)</x:f>
        <x:v>7</x:v>
      </x:c>
      <x:c r="G3370" s="30" t="n">
        <x:v>-28.76</x:v>
      </x:c>
      <x:c r="H3370" s="30" t="n">
        <x:v>-71.47</x:v>
      </x:c>
      <x:c r="I3370" s="29" t="n">
        <x:v>37</x:v>
      </x:c>
      <x:c r="J3370" s="31" t="n">
        <x:v>4.3</x:v>
      </x:c>
      <x:c r="K3370" s="25" t="str">
        <x:f>IF(J3370&gt;=7,"Muy fuerte (&gt;=7)",IF(J3370&gt;=6,"Fuerte (6-6.9)",IF(J3370&gt;=5,"Moderado alto (5-5.9)",IF(J3370&gt;=4,"Moderado (4-4.9)","Menor a 4"))))</x:f>
        <x:v>Moderado (4-4.9)</x:v>
      </x:c>
      <x:c r="L3370" s="25" t="str">
        <x:f>IF(I3370&lt;70,"Superficial (&lt;70 km)",IF(I3370&lt;=300,"Intermedio (70-300 km)","Profundo (&gt;300 km)"))</x:f>
        <x:v>Superficial (&lt;70 km)</x:v>
      </x:c>
      <x:c r="M3370" s="25" t="str">
        <x:f>IF(J3370&gt;=5,"Sí","No")</x:f>
        <x:v>No</x:v>
      </x:c>
      <x:c r="N3370" s="25" t="str">
        <x:f>IF(J3370&gt;=6,"Sí","No")</x:f>
        <x:v>No</x:v>
      </x:c>
      <x:c r="O3370" s="25" t="str">
        <x:v>Pendiente: asignar con R/sf</x:v>
      </x:c>
    </x:row>
    <x:row r="3371">
      <x:c r="A3371" s="25" t="n">
        <x:v>3370</x:v>
      </x:c>
      <x:c r="B3371" s="26" t="n">
        <x:v>44931.63428240741</x:v>
      </x:c>
      <x:c r="C3371" s="27" t="n">
        <x:f>INT(B3371)</x:f>
        <x:v>44931</x:v>
      </x:c>
      <x:c r="D3371" s="28" t="n">
        <x:f>MOD(B3371,1)</x:f>
        <x:v>0.6342824074090458</x:v>
      </x:c>
      <x:c r="E3371" s="29" t="n">
        <x:f>YEAR(B3371)</x:f>
        <x:v>2023</x:v>
      </x:c>
      <x:c r="F3371" s="29" t="n">
        <x:f>MONTH(B3371)</x:f>
        <x:v>1</x:v>
      </x:c>
      <x:c r="G3371" s="30" t="n">
        <x:v>-28.29</x:v>
      </x:c>
      <x:c r="H3371" s="30" t="n">
        <x:v>-70.91</x:v>
      </x:c>
      <x:c r="I3371" s="29" t="n">
        <x:v>52</x:v>
      </x:c>
      <x:c r="J3371" s="31" t="n">
        <x:v>4.3</x:v>
      </x:c>
      <x:c r="K3371" s="25" t="str">
        <x:f>IF(J3371&gt;=7,"Muy fuerte (&gt;=7)",IF(J3371&gt;=6,"Fuerte (6-6.9)",IF(J3371&gt;=5,"Moderado alto (5-5.9)",IF(J3371&gt;=4,"Moderado (4-4.9)","Menor a 4"))))</x:f>
        <x:v>Moderado (4-4.9)</x:v>
      </x:c>
      <x:c r="L3371" s="25" t="str">
        <x:f>IF(I3371&lt;70,"Superficial (&lt;70 km)",IF(I3371&lt;=300,"Intermedio (70-300 km)","Profundo (&gt;300 km)"))</x:f>
        <x:v>Superficial (&lt;70 km)</x:v>
      </x:c>
      <x:c r="M3371" s="25" t="str">
        <x:f>IF(J3371&gt;=5,"Sí","No")</x:f>
        <x:v>No</x:v>
      </x:c>
      <x:c r="N3371" s="25" t="str">
        <x:f>IF(J3371&gt;=6,"Sí","No")</x:f>
        <x:v>No</x:v>
      </x:c>
      <x:c r="O3371" s="25" t="str">
        <x:v>Pendiente: asignar con R/sf</x:v>
      </x:c>
    </x:row>
    <x:row r="3372">
      <x:c r="A3372" s="25" t="n">
        <x:v>3371</x:v>
      </x:c>
      <x:c r="B3372" s="26" t="n">
        <x:v>44101.309745370374</x:v>
      </x:c>
      <x:c r="C3372" s="27" t="n">
        <x:f>INT(B3372)</x:f>
        <x:v>44101</x:v>
      </x:c>
      <x:c r="D3372" s="28" t="n">
        <x:f>MOD(B3372,1)</x:f>
        <x:v>0.30974537037400296</x:v>
      </x:c>
      <x:c r="E3372" s="29" t="n">
        <x:f>YEAR(B3372)</x:f>
        <x:v>2020</x:v>
      </x:c>
      <x:c r="F3372" s="29" t="n">
        <x:f>MONTH(B3372)</x:f>
        <x:v>9</x:v>
      </x:c>
      <x:c r="G3372" s="30" t="n">
        <x:v>-28.83</x:v>
      </x:c>
      <x:c r="H3372" s="30" t="n">
        <x:v>-71.1</x:v>
      </x:c>
      <x:c r="I3372" s="29" t="n">
        <x:v>44</x:v>
      </x:c>
      <x:c r="J3372" s="31" t="n">
        <x:v>3.4</x:v>
      </x:c>
      <x:c r="K3372" s="25" t="str">
        <x:f>IF(J3372&gt;=7,"Muy fuerte (&gt;=7)",IF(J3372&gt;=6,"Fuerte (6-6.9)",IF(J3372&gt;=5,"Moderado alto (5-5.9)",IF(J3372&gt;=4,"Moderado (4-4.9)","Menor a 4"))))</x:f>
        <x:v>Menor a 4</x:v>
      </x:c>
      <x:c r="L3372" s="25" t="str">
        <x:f>IF(I3372&lt;70,"Superficial (&lt;70 km)",IF(I3372&lt;=300,"Intermedio (70-300 km)","Profundo (&gt;300 km)"))</x:f>
        <x:v>Superficial (&lt;70 km)</x:v>
      </x:c>
      <x:c r="M3372" s="25" t="str">
        <x:f>IF(J3372&gt;=5,"Sí","No")</x:f>
        <x:v>No</x:v>
      </x:c>
      <x:c r="N3372" s="25" t="str">
        <x:f>IF(J3372&gt;=6,"Sí","No")</x:f>
        <x:v>No</x:v>
      </x:c>
      <x:c r="O3372" s="25" t="str">
        <x:v>Pendiente: asignar con R/sf</x:v>
      </x:c>
    </x:row>
    <x:row r="3373">
      <x:c r="A3373" s="25" t="n">
        <x:v>3372</x:v>
      </x:c>
      <x:c r="B3373" s="26" t="n">
        <x:v>44122.25189814815</x:v>
      </x:c>
      <x:c r="C3373" s="27" t="n">
        <x:f>INT(B3373)</x:f>
        <x:v>44122</x:v>
      </x:c>
      <x:c r="D3373" s="28" t="n">
        <x:f>MOD(B3373,1)</x:f>
        <x:v>0.2518981481480296</x:v>
      </x:c>
      <x:c r="E3373" s="29" t="n">
        <x:f>YEAR(B3373)</x:f>
        <x:v>2020</x:v>
      </x:c>
      <x:c r="F3373" s="29" t="n">
        <x:f>MONTH(B3373)</x:f>
        <x:v>10</x:v>
      </x:c>
      <x:c r="G3373" s="30" t="n">
        <x:v>-29.01</x:v>
      </x:c>
      <x:c r="H3373" s="30" t="n">
        <x:v>-71.1</x:v>
      </x:c>
      <x:c r="I3373" s="29" t="n">
        <x:v>46</x:v>
      </x:c>
      <x:c r="J3373" s="31" t="n">
        <x:v>3.5</x:v>
      </x:c>
      <x:c r="K3373" s="25" t="str">
        <x:f>IF(J3373&gt;=7,"Muy fuerte (&gt;=7)",IF(J3373&gt;=6,"Fuerte (6-6.9)",IF(J3373&gt;=5,"Moderado alto (5-5.9)",IF(J3373&gt;=4,"Moderado (4-4.9)","Menor a 4"))))</x:f>
        <x:v>Menor a 4</x:v>
      </x:c>
      <x:c r="L3373" s="25" t="str">
        <x:f>IF(I3373&lt;70,"Superficial (&lt;70 km)",IF(I3373&lt;=300,"Intermedio (70-300 km)","Profundo (&gt;300 km)"))</x:f>
        <x:v>Superficial (&lt;70 km)</x:v>
      </x:c>
      <x:c r="M3373" s="25" t="str">
        <x:f>IF(J3373&gt;=5,"Sí","No")</x:f>
        <x:v>No</x:v>
      </x:c>
      <x:c r="N3373" s="25" t="str">
        <x:f>IF(J3373&gt;=6,"Sí","No")</x:f>
        <x:v>No</x:v>
      </x:c>
      <x:c r="O3373" s="25" t="str">
        <x:v>Pendiente: asignar con R/sf</x:v>
      </x:c>
    </x:row>
    <x:row r="3374">
      <x:c r="A3374" s="25" t="n">
        <x:v>3373</x:v>
      </x:c>
      <x:c r="B3374" s="26" t="n">
        <x:v>44896.08283564815</x:v>
      </x:c>
      <x:c r="C3374" s="27" t="n">
        <x:f>INT(B3374)</x:f>
        <x:v>44896</x:v>
      </x:c>
      <x:c r="D3374" s="28" t="n">
        <x:f>MOD(B3374,1)</x:f>
        <x:v>0.08283564815064892</x:v>
      </x:c>
      <x:c r="E3374" s="29" t="n">
        <x:f>YEAR(B3374)</x:f>
        <x:v>2022</x:v>
      </x:c>
      <x:c r="F3374" s="29" t="n">
        <x:f>MONTH(B3374)</x:f>
        <x:v>12</x:v>
      </x:c>
      <x:c r="G3374" s="30" t="n">
        <x:v>-28.84</x:v>
      </x:c>
      <x:c r="H3374" s="30" t="n">
        <x:v>-71.04</x:v>
      </x:c>
      <x:c r="I3374" s="29" t="n">
        <x:v>50</x:v>
      </x:c>
      <x:c r="J3374" s="31" t="n">
        <x:v>4</x:v>
      </x:c>
      <x:c r="K3374" s="25" t="str">
        <x:f>IF(J3374&gt;=7,"Muy fuerte (&gt;=7)",IF(J3374&gt;=6,"Fuerte (6-6.9)",IF(J3374&gt;=5,"Moderado alto (5-5.9)",IF(J3374&gt;=4,"Moderado (4-4.9)","Menor a 4"))))</x:f>
        <x:v>Moderado (4-4.9)</x:v>
      </x:c>
      <x:c r="L3374" s="25" t="str">
        <x:f>IF(I3374&lt;70,"Superficial (&lt;70 km)",IF(I3374&lt;=300,"Intermedio (70-300 km)","Profundo (&gt;300 km)"))</x:f>
        <x:v>Superficial (&lt;70 km)</x:v>
      </x:c>
      <x:c r="M3374" s="25" t="str">
        <x:f>IF(J3374&gt;=5,"Sí","No")</x:f>
        <x:v>No</x:v>
      </x:c>
      <x:c r="N3374" s="25" t="str">
        <x:f>IF(J3374&gt;=6,"Sí","No")</x:f>
        <x:v>No</x:v>
      </x:c>
      <x:c r="O3374" s="25" t="str">
        <x:v>Pendiente: asignar con R/sf</x:v>
      </x:c>
    </x:row>
    <x:row r="3375">
      <x:c r="A3375" s="25" t="n">
        <x:v>3374</x:v>
      </x:c>
      <x:c r="B3375" s="26" t="n">
        <x:v>44150.0493287037</x:v>
      </x:c>
      <x:c r="C3375" s="27" t="n">
        <x:f>INT(B3375)</x:f>
        <x:v>44150</x:v>
      </x:c>
      <x:c r="D3375" s="28" t="n">
        <x:f>MOD(B3375,1)</x:f>
        <x:v>0.049328703702485655</x:v>
      </x:c>
      <x:c r="E3375" s="29" t="n">
        <x:f>YEAR(B3375)</x:f>
        <x:v>2020</x:v>
      </x:c>
      <x:c r="F3375" s="29" t="n">
        <x:f>MONTH(B3375)</x:f>
        <x:v>11</x:v>
      </x:c>
      <x:c r="G3375" s="30" t="n">
        <x:v>-29.33</x:v>
      </x:c>
      <x:c r="H3375" s="30" t="n">
        <x:v>-71.15</x:v>
      </x:c>
      <x:c r="I3375" s="29" t="n">
        <x:v>54</x:v>
      </x:c>
      <x:c r="J3375" s="31" t="n">
        <x:v>3.8</x:v>
      </x:c>
      <x:c r="K3375" s="25" t="str">
        <x:f>IF(J3375&gt;=7,"Muy fuerte (&gt;=7)",IF(J3375&gt;=6,"Fuerte (6-6.9)",IF(J3375&gt;=5,"Moderado alto (5-5.9)",IF(J3375&gt;=4,"Moderado (4-4.9)","Menor a 4"))))</x:f>
        <x:v>Menor a 4</x:v>
      </x:c>
      <x:c r="L3375" s="25" t="str">
        <x:f>IF(I3375&lt;70,"Superficial (&lt;70 km)",IF(I3375&lt;=300,"Intermedio (70-300 km)","Profundo (&gt;300 km)"))</x:f>
        <x:v>Superficial (&lt;70 km)</x:v>
      </x:c>
      <x:c r="M3375" s="25" t="str">
        <x:f>IF(J3375&gt;=5,"Sí","No")</x:f>
        <x:v>No</x:v>
      </x:c>
      <x:c r="N3375" s="25" t="str">
        <x:f>IF(J3375&gt;=6,"Sí","No")</x:f>
        <x:v>No</x:v>
      </x:c>
      <x:c r="O3375" s="25" t="str">
        <x:v>Pendiente: asignar con R/sf</x:v>
      </x:c>
    </x:row>
    <x:row r="3376">
      <x:c r="A3376" s="25" t="n">
        <x:v>3375</x:v>
      </x:c>
      <x:c r="B3376" s="26" t="n">
        <x:v>44232.87412037037</x:v>
      </x:c>
      <x:c r="C3376" s="27" t="n">
        <x:f>INT(B3376)</x:f>
        <x:v>44232</x:v>
      </x:c>
      <x:c r="D3376" s="28" t="n">
        <x:f>MOD(B3376,1)</x:f>
        <x:v>0.8741203703684732</x:v>
      </x:c>
      <x:c r="E3376" s="29" t="n">
        <x:f>YEAR(B3376)</x:f>
        <x:v>2021</x:v>
      </x:c>
      <x:c r="F3376" s="29" t="n">
        <x:f>MONTH(B3376)</x:f>
        <x:v>2</x:v>
      </x:c>
      <x:c r="G3376" s="30" t="n">
        <x:v>-29.27</x:v>
      </x:c>
      <x:c r="H3376" s="30" t="n">
        <x:v>-71.29</x:v>
      </x:c>
      <x:c r="I3376" s="29" t="n">
        <x:v>60</x:v>
      </x:c>
      <x:c r="J3376" s="31" t="n">
        <x:v>3.2</x:v>
      </x:c>
      <x:c r="K3376" s="25" t="str">
        <x:f>IF(J3376&gt;=7,"Muy fuerte (&gt;=7)",IF(J3376&gt;=6,"Fuerte (6-6.9)",IF(J3376&gt;=5,"Moderado alto (5-5.9)",IF(J3376&gt;=4,"Moderado (4-4.9)","Menor a 4"))))</x:f>
        <x:v>Menor a 4</x:v>
      </x:c>
      <x:c r="L3376" s="25" t="str">
        <x:f>IF(I3376&lt;70,"Superficial (&lt;70 km)",IF(I3376&lt;=300,"Intermedio (70-300 km)","Profundo (&gt;300 km)"))</x:f>
        <x:v>Superficial (&lt;70 km)</x:v>
      </x:c>
      <x:c r="M3376" s="25" t="str">
        <x:f>IF(J3376&gt;=5,"Sí","No")</x:f>
        <x:v>No</x:v>
      </x:c>
      <x:c r="N3376" s="25" t="str">
        <x:f>IF(J3376&gt;=6,"Sí","No")</x:f>
        <x:v>No</x:v>
      </x:c>
      <x:c r="O3376" s="25" t="str">
        <x:v>Pendiente: asignar con R/sf</x:v>
      </x:c>
    </x:row>
    <x:row r="3377">
      <x:c r="A3377" s="25" t="n">
        <x:v>3376</x:v>
      </x:c>
      <x:c r="B3377" s="26" t="n">
        <x:v>44270.8215162037</x:v>
      </x:c>
      <x:c r="C3377" s="27" t="n">
        <x:f>INT(B3377)</x:f>
        <x:v>44270</x:v>
      </x:c>
      <x:c r="D3377" s="28" t="n">
        <x:f>MOD(B3377,1)</x:f>
        <x:v>0.8215162037013215</x:v>
      </x:c>
      <x:c r="E3377" s="29" t="n">
        <x:f>YEAR(B3377)</x:f>
        <x:v>2021</x:v>
      </x:c>
      <x:c r="F3377" s="29" t="n">
        <x:f>MONTH(B3377)</x:f>
        <x:v>3</x:v>
      </x:c>
      <x:c r="G3377" s="30" t="n">
        <x:v>-29.45</x:v>
      </x:c>
      <x:c r="H3377" s="30" t="n">
        <x:v>-71.03</x:v>
      </x:c>
      <x:c r="I3377" s="29" t="n">
        <x:v>55</x:v>
      </x:c>
      <x:c r="J3377" s="31" t="n">
        <x:v>3.7</x:v>
      </x:c>
      <x:c r="K3377" s="25" t="str">
        <x:f>IF(J3377&gt;=7,"Muy fuerte (&gt;=7)",IF(J3377&gt;=6,"Fuerte (6-6.9)",IF(J3377&gt;=5,"Moderado alto (5-5.9)",IF(J3377&gt;=4,"Moderado (4-4.9)","Menor a 4"))))</x:f>
        <x:v>Menor a 4</x:v>
      </x:c>
      <x:c r="L3377" s="25" t="str">
        <x:f>IF(I3377&lt;70,"Superficial (&lt;70 km)",IF(I3377&lt;=300,"Intermedio (70-300 km)","Profundo (&gt;300 km)"))</x:f>
        <x:v>Superficial (&lt;70 km)</x:v>
      </x:c>
      <x:c r="M3377" s="25" t="str">
        <x:f>IF(J3377&gt;=5,"Sí","No")</x:f>
        <x:v>No</x:v>
      </x:c>
      <x:c r="N3377" s="25" t="str">
        <x:f>IF(J3377&gt;=6,"Sí","No")</x:f>
        <x:v>No</x:v>
      </x:c>
      <x:c r="O3377" s="25" t="str">
        <x:v>Pendiente: asignar con R/sf</x:v>
      </x:c>
    </x:row>
    <x:row r="3378">
      <x:c r="A3378" s="25" t="n">
        <x:v>3377</x:v>
      </x:c>
      <x:c r="B3378" s="26" t="n">
        <x:v>44280.930127314816</x:v>
      </x:c>
      <x:c r="C3378" s="27" t="n">
        <x:f>INT(B3378)</x:f>
        <x:v>44280</x:v>
      </x:c>
      <x:c r="D3378" s="28" t="n">
        <x:f>MOD(B3378,1)</x:f>
        <x:v>0.9301273148157634</x:v>
      </x:c>
      <x:c r="E3378" s="29" t="n">
        <x:f>YEAR(B3378)</x:f>
        <x:v>2021</x:v>
      </x:c>
      <x:c r="F3378" s="29" t="n">
        <x:f>MONTH(B3378)</x:f>
        <x:v>3</x:v>
      </x:c>
      <x:c r="G3378" s="30" t="n">
        <x:v>-29.31</x:v>
      </x:c>
      <x:c r="H3378" s="30" t="n">
        <x:v>-71.25</x:v>
      </x:c>
      <x:c r="I3378" s="29" t="n">
        <x:v>66</x:v>
      </x:c>
      <x:c r="J3378" s="31" t="n">
        <x:v>3.5</x:v>
      </x:c>
      <x:c r="K3378" s="25" t="str">
        <x:f>IF(J3378&gt;=7,"Muy fuerte (&gt;=7)",IF(J3378&gt;=6,"Fuerte (6-6.9)",IF(J3378&gt;=5,"Moderado alto (5-5.9)",IF(J3378&gt;=4,"Moderado (4-4.9)","Menor a 4"))))</x:f>
        <x:v>Menor a 4</x:v>
      </x:c>
      <x:c r="L3378" s="25" t="str">
        <x:f>IF(I3378&lt;70,"Superficial (&lt;70 km)",IF(I3378&lt;=300,"Intermedio (70-300 km)","Profundo (&gt;300 km)"))</x:f>
        <x:v>Superficial (&lt;70 km)</x:v>
      </x:c>
      <x:c r="M3378" s="25" t="str">
        <x:f>IF(J3378&gt;=5,"Sí","No")</x:f>
        <x:v>No</x:v>
      </x:c>
      <x:c r="N3378" s="25" t="str">
        <x:f>IF(J3378&gt;=6,"Sí","No")</x:f>
        <x:v>No</x:v>
      </x:c>
      <x:c r="O3378" s="25" t="str">
        <x:v>Pendiente: asignar con R/sf</x:v>
      </x:c>
    </x:row>
    <x:row r="3379">
      <x:c r="A3379" s="25" t="n">
        <x:v>3378</x:v>
      </x:c>
      <x:c r="B3379" s="26" t="n">
        <x:v>44325.03925925926</x:v>
      </x:c>
      <x:c r="C3379" s="27" t="n">
        <x:f>INT(B3379)</x:f>
        <x:v>44325</x:v>
      </x:c>
      <x:c r="D3379" s="28" t="n">
        <x:f>MOD(B3379,1)</x:f>
        <x:v>0.039259259261598345</x:v>
      </x:c>
      <x:c r="E3379" s="29" t="n">
        <x:f>YEAR(B3379)</x:f>
        <x:v>2021</x:v>
      </x:c>
      <x:c r="F3379" s="29" t="n">
        <x:f>MONTH(B3379)</x:f>
        <x:v>5</x:v>
      </x:c>
      <x:c r="G3379" s="30" t="n">
        <x:v>-28.87</x:v>
      </x:c>
      <x:c r="H3379" s="30" t="n">
        <x:v>-71.47</x:v>
      </x:c>
      <x:c r="I3379" s="29" t="n">
        <x:v>32</x:v>
      </x:c>
      <x:c r="J3379" s="31" t="n">
        <x:v>3.5</x:v>
      </x:c>
      <x:c r="K3379" s="25" t="str">
        <x:f>IF(J3379&gt;=7,"Muy fuerte (&gt;=7)",IF(J3379&gt;=6,"Fuerte (6-6.9)",IF(J3379&gt;=5,"Moderado alto (5-5.9)",IF(J3379&gt;=4,"Moderado (4-4.9)","Menor a 4"))))</x:f>
        <x:v>Menor a 4</x:v>
      </x:c>
      <x:c r="L3379" s="25" t="str">
        <x:f>IF(I3379&lt;70,"Superficial (&lt;70 km)",IF(I3379&lt;=300,"Intermedio (70-300 km)","Profundo (&gt;300 km)"))</x:f>
        <x:v>Superficial (&lt;70 km)</x:v>
      </x:c>
      <x:c r="M3379" s="25" t="str">
        <x:f>IF(J3379&gt;=5,"Sí","No")</x:f>
        <x:v>No</x:v>
      </x:c>
      <x:c r="N3379" s="25" t="str">
        <x:f>IF(J3379&gt;=6,"Sí","No")</x:f>
        <x:v>No</x:v>
      </x:c>
      <x:c r="O3379" s="25" t="str">
        <x:v>Pendiente: asignar con R/sf</x:v>
      </x:c>
    </x:row>
    <x:row r="3380">
      <x:c r="A3380" s="25" t="n">
        <x:v>3379</x:v>
      </x:c>
      <x:c r="B3380" s="26" t="n">
        <x:v>44389.694131944445</x:v>
      </x:c>
      <x:c r="C3380" s="27" t="n">
        <x:f>INT(B3380)</x:f>
        <x:v>44389</x:v>
      </x:c>
      <x:c r="D3380" s="28" t="n">
        <x:f>MOD(B3380,1)</x:f>
        <x:v>0.6941319444449618</x:v>
      </x:c>
      <x:c r="E3380" s="29" t="n">
        <x:f>YEAR(B3380)</x:f>
        <x:v>2021</x:v>
      </x:c>
      <x:c r="F3380" s="29" t="n">
        <x:f>MONTH(B3380)</x:f>
        <x:v>7</x:v>
      </x:c>
      <x:c r="G3380" s="30" t="n">
        <x:v>-29.6</x:v>
      </x:c>
      <x:c r="H3380" s="30" t="n">
        <x:v>-71.25</x:v>
      </x:c>
      <x:c r="I3380" s="29" t="n">
        <x:v>51</x:v>
      </x:c>
      <x:c r="J3380" s="31" t="n">
        <x:v>3.6</x:v>
      </x:c>
      <x:c r="K3380" s="25" t="str">
        <x:f>IF(J3380&gt;=7,"Muy fuerte (&gt;=7)",IF(J3380&gt;=6,"Fuerte (6-6.9)",IF(J3380&gt;=5,"Moderado alto (5-5.9)",IF(J3380&gt;=4,"Moderado (4-4.9)","Menor a 4"))))</x:f>
        <x:v>Menor a 4</x:v>
      </x:c>
      <x:c r="L3380" s="25" t="str">
        <x:f>IF(I3380&lt;70,"Superficial (&lt;70 km)",IF(I3380&lt;=300,"Intermedio (70-300 km)","Profundo (&gt;300 km)"))</x:f>
        <x:v>Superficial (&lt;70 km)</x:v>
      </x:c>
      <x:c r="M3380" s="25" t="str">
        <x:f>IF(J3380&gt;=5,"Sí","No")</x:f>
        <x:v>No</x:v>
      </x:c>
      <x:c r="N3380" s="25" t="str">
        <x:f>IF(J3380&gt;=6,"Sí","No")</x:f>
        <x:v>No</x:v>
      </x:c>
      <x:c r="O3380" s="25" t="str">
        <x:v>Pendiente: asignar con R/sf</x:v>
      </x:c>
    </x:row>
    <x:row r="3381">
      <x:c r="A3381" s="25" t="n">
        <x:v>3380</x:v>
      </x:c>
      <x:c r="B3381" s="26" t="n">
        <x:v>44450.762395833335</x:v>
      </x:c>
      <x:c r="C3381" s="27" t="n">
        <x:f>INT(B3381)</x:f>
        <x:v>44450</x:v>
      </x:c>
      <x:c r="D3381" s="28" t="n">
        <x:f>MOD(B3381,1)</x:f>
        <x:v>0.7623958333351766</x:v>
      </x:c>
      <x:c r="E3381" s="29" t="n">
        <x:f>YEAR(B3381)</x:f>
        <x:v>2021</x:v>
      </x:c>
      <x:c r="F3381" s="29" t="n">
        <x:f>MONTH(B3381)</x:f>
        <x:v>9</x:v>
      </x:c>
      <x:c r="G3381" s="30" t="n">
        <x:v>-29.22</x:v>
      </x:c>
      <x:c r="H3381" s="30" t="n">
        <x:v>-71.35</x:v>
      </x:c>
      <x:c r="I3381" s="29" t="n">
        <x:v>72</x:v>
      </x:c>
      <x:c r="J3381" s="31" t="n">
        <x:v>3.3</x:v>
      </x:c>
      <x:c r="K3381" s="25" t="str">
        <x:f>IF(J3381&gt;=7,"Muy fuerte (&gt;=7)",IF(J3381&gt;=6,"Fuerte (6-6.9)",IF(J3381&gt;=5,"Moderado alto (5-5.9)",IF(J3381&gt;=4,"Moderado (4-4.9)","Menor a 4"))))</x:f>
        <x:v>Menor a 4</x:v>
      </x:c>
      <x:c r="L3381" s="25" t="str">
        <x:f>IF(I3381&lt;70,"Superficial (&lt;70 km)",IF(I3381&lt;=300,"Intermedio (70-300 km)","Profundo (&gt;300 km)"))</x:f>
        <x:v>Intermedio (70-300 km)</x:v>
      </x:c>
      <x:c r="M3381" s="25" t="str">
        <x:f>IF(J3381&gt;=5,"Sí","No")</x:f>
        <x:v>No</x:v>
      </x:c>
      <x:c r="N3381" s="25" t="str">
        <x:f>IF(J3381&gt;=6,"Sí","No")</x:f>
        <x:v>No</x:v>
      </x:c>
      <x:c r="O3381" s="25" t="str">
        <x:v>Pendiente: asignar con R/sf</x:v>
      </x:c>
    </x:row>
    <x:row r="3382">
      <x:c r="A3382" s="25" t="n">
        <x:v>3381</x:v>
      </x:c>
      <x:c r="B3382" s="26" t="n">
        <x:v>45080.422627314816</x:v>
      </x:c>
      <x:c r="C3382" s="27" t="n">
        <x:f>INT(B3382)</x:f>
        <x:v>45080</x:v>
      </x:c>
      <x:c r="D3382" s="28" t="n">
        <x:f>MOD(B3382,1)</x:f>
        <x:v>0.4226273148160544</x:v>
      </x:c>
      <x:c r="E3382" s="29" t="n">
        <x:f>YEAR(B3382)</x:f>
        <x:v>2023</x:v>
      </x:c>
      <x:c r="F3382" s="29" t="n">
        <x:f>MONTH(B3382)</x:f>
        <x:v>6</x:v>
      </x:c>
      <x:c r="G3382" s="30" t="n">
        <x:v>-20.72</x:v>
      </x:c>
      <x:c r="H3382" s="30" t="n">
        <x:v>-68.89</x:v>
      </x:c>
      <x:c r="I3382" s="29" t="n">
        <x:v>109</x:v>
      </x:c>
      <x:c r="J3382" s="31" t="n">
        <x:v>5.2</x:v>
      </x:c>
      <x:c r="K3382" s="25" t="str">
        <x:f>IF(J3382&gt;=7,"Muy fuerte (&gt;=7)",IF(J3382&gt;=6,"Fuerte (6-6.9)",IF(J3382&gt;=5,"Moderado alto (5-5.9)",IF(J3382&gt;=4,"Moderado (4-4.9)","Menor a 4"))))</x:f>
        <x:v>Moderado alto (5-5.9)</x:v>
      </x:c>
      <x:c r="L3382" s="25" t="str">
        <x:f>IF(I3382&lt;70,"Superficial (&lt;70 km)",IF(I3382&lt;=300,"Intermedio (70-300 km)","Profundo (&gt;300 km)"))</x:f>
        <x:v>Intermedio (70-300 km)</x:v>
      </x:c>
      <x:c r="M3382" s="25" t="str">
        <x:f>IF(J3382&gt;=5,"Sí","No")</x:f>
        <x:v>Sí</x:v>
      </x:c>
      <x:c r="N3382" s="25" t="str">
        <x:f>IF(J3382&gt;=6,"Sí","No")</x:f>
        <x:v>No</x:v>
      </x:c>
      <x:c r="O3382" s="25" t="str">
        <x:v>Pendiente: asignar con R/sf</x:v>
      </x:c>
    </x:row>
    <x:row r="3383">
      <x:c r="A3383" s="25" t="n">
        <x:v>3382</x:v>
      </x:c>
      <x:c r="B3383" s="26" t="n">
        <x:v>45092.79693287037</x:v>
      </x:c>
      <x:c r="C3383" s="27" t="n">
        <x:f>INT(B3383)</x:f>
        <x:v>45092</x:v>
      </x:c>
      <x:c r="D3383" s="28" t="n">
        <x:f>MOD(B3383,1)</x:f>
        <x:v>0.7969328703693463</x:v>
      </x:c>
      <x:c r="E3383" s="29" t="n">
        <x:f>YEAR(B3383)</x:f>
        <x:v>2023</x:v>
      </x:c>
      <x:c r="F3383" s="29" t="n">
        <x:f>MONTH(B3383)</x:f>
        <x:v>6</x:v>
      </x:c>
      <x:c r="G3383" s="30" t="n">
        <x:v>-34.51</x:v>
      </x:c>
      <x:c r="H3383" s="30" t="n">
        <x:v>-71.87</x:v>
      </x:c>
      <x:c r="I3383" s="29" t="n">
        <x:v>47</x:v>
      </x:c>
      <x:c r="J3383" s="31" t="n">
        <x:v>5.1</x:v>
      </x:c>
      <x:c r="K3383" s="25" t="str">
        <x:f>IF(J3383&gt;=7,"Muy fuerte (&gt;=7)",IF(J3383&gt;=6,"Fuerte (6-6.9)",IF(J3383&gt;=5,"Moderado alto (5-5.9)",IF(J3383&gt;=4,"Moderado (4-4.9)","Menor a 4"))))</x:f>
        <x:v>Moderado alto (5-5.9)</x:v>
      </x:c>
      <x:c r="L3383" s="25" t="str">
        <x:f>IF(I3383&lt;70,"Superficial (&lt;70 km)",IF(I3383&lt;=300,"Intermedio (70-300 km)","Profundo (&gt;300 km)"))</x:f>
        <x:v>Superficial (&lt;70 km)</x:v>
      </x:c>
      <x:c r="M3383" s="25" t="str">
        <x:f>IF(J3383&gt;=5,"Sí","No")</x:f>
        <x:v>Sí</x:v>
      </x:c>
      <x:c r="N3383" s="25" t="str">
        <x:f>IF(J3383&gt;=6,"Sí","No")</x:f>
        <x:v>No</x:v>
      </x:c>
      <x:c r="O3383" s="25" t="str">
        <x:v>Pendiente: asignar con R/sf</x:v>
      </x:c>
    </x:row>
    <x:row r="3384">
      <x:c r="A3384" s="25" t="n">
        <x:v>3383</x:v>
      </x:c>
      <x:c r="B3384" s="26" t="n">
        <x:v>44818.945289351854</x:v>
      </x:c>
      <x:c r="C3384" s="27" t="n">
        <x:f>INT(B3384)</x:f>
        <x:v>44818</x:v>
      </x:c>
      <x:c r="D3384" s="28" t="n">
        <x:f>MOD(B3384,1)</x:f>
        <x:v>0.9452893518537167</x:v>
      </x:c>
      <x:c r="E3384" s="29" t="n">
        <x:f>YEAR(B3384)</x:f>
        <x:v>2022</x:v>
      </x:c>
      <x:c r="F3384" s="29" t="n">
        <x:f>MONTH(B3384)</x:f>
        <x:v>9</x:v>
      </x:c>
      <x:c r="G3384" s="30" t="n">
        <x:v>-30.62</x:v>
      </x:c>
      <x:c r="H3384" s="30" t="n">
        <x:v>-71.24</x:v>
      </x:c>
      <x:c r="I3384" s="29" t="n">
        <x:v>46</x:v>
      </x:c>
      <x:c r="J3384" s="31" t="n">
        <x:v>4.7</x:v>
      </x:c>
      <x:c r="K3384" s="25" t="str">
        <x:f>IF(J3384&gt;=7,"Muy fuerte (&gt;=7)",IF(J3384&gt;=6,"Fuerte (6-6.9)",IF(J3384&gt;=5,"Moderado alto (5-5.9)",IF(J3384&gt;=4,"Moderado (4-4.9)","Menor a 4"))))</x:f>
        <x:v>Moderado (4-4.9)</x:v>
      </x:c>
      <x:c r="L3384" s="25" t="str">
        <x:f>IF(I3384&lt;70,"Superficial (&lt;70 km)",IF(I3384&lt;=300,"Intermedio (70-300 km)","Profundo (&gt;300 km)"))</x:f>
        <x:v>Superficial (&lt;70 km)</x:v>
      </x:c>
      <x:c r="M3384" s="25" t="str">
        <x:f>IF(J3384&gt;=5,"Sí","No")</x:f>
        <x:v>No</x:v>
      </x:c>
      <x:c r="N3384" s="25" t="str">
        <x:f>IF(J3384&gt;=6,"Sí","No")</x:f>
        <x:v>No</x:v>
      </x:c>
      <x:c r="O3384" s="25" t="str">
        <x:v>Pendiente: asignar con R/sf</x:v>
      </x:c>
    </x:row>
    <x:row r="3385">
      <x:c r="A3385" s="25" t="n">
        <x:v>3384</x:v>
      </x:c>
      <x:c r="B3385" s="26" t="n">
        <x:v>44844.471550925926</x:v>
      </x:c>
      <x:c r="C3385" s="27" t="n">
        <x:f>INT(B3385)</x:f>
        <x:v>44844</x:v>
      </x:c>
      <x:c r="D3385" s="28" t="n">
        <x:f>MOD(B3385,1)</x:f>
        <x:v>0.4715509259258397</x:v>
      </x:c>
      <x:c r="E3385" s="29" t="n">
        <x:f>YEAR(B3385)</x:f>
        <x:v>2022</x:v>
      </x:c>
      <x:c r="F3385" s="29" t="n">
        <x:f>MONTH(B3385)</x:f>
        <x:v>10</x:v>
      </x:c>
      <x:c r="G3385" s="30" t="n">
        <x:v>-29.81</x:v>
      </x:c>
      <x:c r="H3385" s="30" t="n">
        <x:v>-71.58</x:v>
      </x:c>
      <x:c r="I3385" s="29" t="n">
        <x:v>36</x:v>
      </x:c>
      <x:c r="J3385" s="31" t="n">
        <x:v>4.8</x:v>
      </x:c>
      <x:c r="K3385" s="25" t="str">
        <x:f>IF(J3385&gt;=7,"Muy fuerte (&gt;=7)",IF(J3385&gt;=6,"Fuerte (6-6.9)",IF(J3385&gt;=5,"Moderado alto (5-5.9)",IF(J3385&gt;=4,"Moderado (4-4.9)","Menor a 4"))))</x:f>
        <x:v>Moderado (4-4.9)</x:v>
      </x:c>
      <x:c r="L3385" s="25" t="str">
        <x:f>IF(I3385&lt;70,"Superficial (&lt;70 km)",IF(I3385&lt;=300,"Intermedio (70-300 km)","Profundo (&gt;300 km)"))</x:f>
        <x:v>Superficial (&lt;70 km)</x:v>
      </x:c>
      <x:c r="M3385" s="25" t="str">
        <x:f>IF(J3385&gt;=5,"Sí","No")</x:f>
        <x:v>No</x:v>
      </x:c>
      <x:c r="N3385" s="25" t="str">
        <x:f>IF(J3385&gt;=6,"Sí","No")</x:f>
        <x:v>No</x:v>
      </x:c>
      <x:c r="O3385" s="25" t="str">
        <x:v>Pendiente: asignar con R/sf</x:v>
      </x:c>
    </x:row>
    <x:row r="3386">
      <x:c r="A3386" s="25" t="n">
        <x:v>3385</x:v>
      </x:c>
      <x:c r="B3386" s="26" t="n">
        <x:v>44880.72662037037</x:v>
      </x:c>
      <x:c r="C3386" s="27" t="n">
        <x:f>INT(B3386)</x:f>
        <x:v>44880</x:v>
      </x:c>
      <x:c r="D3386" s="28" t="n">
        <x:f>MOD(B3386,1)</x:f>
        <x:v>0.7266203703693463</x:v>
      </x:c>
      <x:c r="E3386" s="29" t="n">
        <x:f>YEAR(B3386)</x:f>
        <x:v>2022</x:v>
      </x:c>
      <x:c r="F3386" s="29" t="n">
        <x:f>MONTH(B3386)</x:f>
        <x:v>11</x:v>
      </x:c>
      <x:c r="G3386" s="30" t="n">
        <x:v>-30.63</x:v>
      </x:c>
      <x:c r="H3386" s="30" t="n">
        <x:v>-71.28</x:v>
      </x:c>
      <x:c r="I3386" s="29" t="n">
        <x:v>50</x:v>
      </x:c>
      <x:c r="J3386" s="31" t="n">
        <x:v>4.6</x:v>
      </x:c>
      <x:c r="K3386" s="25" t="str">
        <x:f>IF(J3386&gt;=7,"Muy fuerte (&gt;=7)",IF(J3386&gt;=6,"Fuerte (6-6.9)",IF(J3386&gt;=5,"Moderado alto (5-5.9)",IF(J3386&gt;=4,"Moderado (4-4.9)","Menor a 4"))))</x:f>
        <x:v>Moderado (4-4.9)</x:v>
      </x:c>
      <x:c r="L3386" s="25" t="str">
        <x:f>IF(I3386&lt;70,"Superficial (&lt;70 km)",IF(I3386&lt;=300,"Intermedio (70-300 km)","Profundo (&gt;300 km)"))</x:f>
        <x:v>Superficial (&lt;70 km)</x:v>
      </x:c>
      <x:c r="M3386" s="25" t="str">
        <x:f>IF(J3386&gt;=5,"Sí","No")</x:f>
        <x:v>No</x:v>
      </x:c>
      <x:c r="N3386" s="25" t="str">
        <x:f>IF(J3386&gt;=6,"Sí","No")</x:f>
        <x:v>No</x:v>
      </x:c>
      <x:c r="O3386" s="25" t="str">
        <x:v>Pendiente: asignar con R/sf</x:v>
      </x:c>
    </x:row>
    <x:row r="3387">
      <x:c r="A3387" s="25" t="n">
        <x:v>3386</x:v>
      </x:c>
      <x:c r="B3387" s="26" t="n">
        <x:v>44889.478483796294</x:v>
      </x:c>
      <x:c r="C3387" s="27" t="n">
        <x:f>INT(B3387)</x:f>
        <x:v>44889</x:v>
      </x:c>
      <x:c r="D3387" s="28" t="n">
        <x:f>MOD(B3387,1)</x:f>
        <x:v>0.4784837962943129</x:v>
      </x:c>
      <x:c r="E3387" s="29" t="n">
        <x:f>YEAR(B3387)</x:f>
        <x:v>2022</x:v>
      </x:c>
      <x:c r="F3387" s="29" t="n">
        <x:f>MONTH(B3387)</x:f>
        <x:v>11</x:v>
      </x:c>
      <x:c r="G3387" s="30" t="n">
        <x:v>-29.99</x:v>
      </x:c>
      <x:c r="H3387" s="30" t="n">
        <x:v>-71.62</x:v>
      </x:c>
      <x:c r="I3387" s="29" t="n">
        <x:v>43</x:v>
      </x:c>
      <x:c r="J3387" s="31" t="n">
        <x:v>4</x:v>
      </x:c>
      <x:c r="K3387" s="25" t="str">
        <x:f>IF(J3387&gt;=7,"Muy fuerte (&gt;=7)",IF(J3387&gt;=6,"Fuerte (6-6.9)",IF(J3387&gt;=5,"Moderado alto (5-5.9)",IF(J3387&gt;=4,"Moderado (4-4.9)","Menor a 4"))))</x:f>
        <x:v>Moderado (4-4.9)</x:v>
      </x:c>
      <x:c r="L3387" s="25" t="str">
        <x:f>IF(I3387&lt;70,"Superficial (&lt;70 km)",IF(I3387&lt;=300,"Intermedio (70-300 km)","Profundo (&gt;300 km)"))</x:f>
        <x:v>Superficial (&lt;70 km)</x:v>
      </x:c>
      <x:c r="M3387" s="25" t="str">
        <x:f>IF(J3387&gt;=5,"Sí","No")</x:f>
        <x:v>No</x:v>
      </x:c>
      <x:c r="N3387" s="25" t="str">
        <x:f>IF(J3387&gt;=6,"Sí","No")</x:f>
        <x:v>No</x:v>
      </x:c>
      <x:c r="O3387" s="25" t="str">
        <x:v>Pendiente: asignar con R/sf</x:v>
      </x:c>
    </x:row>
    <x:row r="3388">
      <x:c r="A3388" s="25" t="n">
        <x:v>3387</x:v>
      </x:c>
      <x:c r="B3388" s="26" t="n">
        <x:v>44911.19902777778</x:v>
      </x:c>
      <x:c r="C3388" s="27" t="n">
        <x:f>INT(B3388)</x:f>
        <x:v>44911</x:v>
      </x:c>
      <x:c r="D3388" s="28" t="n">
        <x:f>MOD(B3388,1)</x:f>
        <x:v>0.19902777778042946</x:v>
      </x:c>
      <x:c r="E3388" s="29" t="n">
        <x:f>YEAR(B3388)</x:f>
        <x:v>2022</x:v>
      </x:c>
      <x:c r="F3388" s="29" t="n">
        <x:f>MONTH(B3388)</x:f>
        <x:v>12</x:v>
      </x:c>
      <x:c r="G3388" s="30" t="n">
        <x:v>-29.56</x:v>
      </x:c>
      <x:c r="H3388" s="30" t="n">
        <x:v>-71.51</x:v>
      </x:c>
      <x:c r="I3388" s="29" t="n">
        <x:v>71</x:v>
      </x:c>
      <x:c r="J3388" s="31" t="n">
        <x:v>4.3</x:v>
      </x:c>
      <x:c r="K3388" s="25" t="str">
        <x:f>IF(J3388&gt;=7,"Muy fuerte (&gt;=7)",IF(J3388&gt;=6,"Fuerte (6-6.9)",IF(J3388&gt;=5,"Moderado alto (5-5.9)",IF(J3388&gt;=4,"Moderado (4-4.9)","Menor a 4"))))</x:f>
        <x:v>Moderado (4-4.9)</x:v>
      </x:c>
      <x:c r="L3388" s="25" t="str">
        <x:f>IF(I3388&lt;70,"Superficial (&lt;70 km)",IF(I3388&lt;=300,"Intermedio (70-300 km)","Profundo (&gt;300 km)"))</x:f>
        <x:v>Intermedio (70-300 km)</x:v>
      </x:c>
      <x:c r="M3388" s="25" t="str">
        <x:f>IF(J3388&gt;=5,"Sí","No")</x:f>
        <x:v>No</x:v>
      </x:c>
      <x:c r="N3388" s="25" t="str">
        <x:f>IF(J3388&gt;=6,"Sí","No")</x:f>
        <x:v>No</x:v>
      </x:c>
      <x:c r="O3388" s="25" t="str">
        <x:v>Pendiente: asignar con R/sf</x:v>
      </x:c>
    </x:row>
    <x:row r="3389">
      <x:c r="A3389" s="25" t="n">
        <x:v>3388</x:v>
      </x:c>
      <x:c r="B3389" s="26" t="n">
        <x:v>44915.08950231481</x:v>
      </x:c>
      <x:c r="C3389" s="27" t="n">
        <x:f>INT(B3389)</x:f>
        <x:v>44915</x:v>
      </x:c>
      <x:c r="D3389" s="28" t="n">
        <x:f>MOD(B3389,1)</x:f>
        <x:v>0.08950231481139781</x:v>
      </x:c>
      <x:c r="E3389" s="29" t="n">
        <x:f>YEAR(B3389)</x:f>
        <x:v>2022</x:v>
      </x:c>
      <x:c r="F3389" s="29" t="n">
        <x:f>MONTH(B3389)</x:f>
        <x:v>12</x:v>
      </x:c>
      <x:c r="G3389" s="30" t="n">
        <x:v>-29.23</x:v>
      </x:c>
      <x:c r="H3389" s="30" t="n">
        <x:v>-71.25</x:v>
      </x:c>
      <x:c r="I3389" s="29" t="n">
        <x:v>49</x:v>
      </x:c>
      <x:c r="J3389" s="31" t="n">
        <x:v>3.9</x:v>
      </x:c>
      <x:c r="K3389" s="25" t="str">
        <x:f>IF(J3389&gt;=7,"Muy fuerte (&gt;=7)",IF(J3389&gt;=6,"Fuerte (6-6.9)",IF(J3389&gt;=5,"Moderado alto (5-5.9)",IF(J3389&gt;=4,"Moderado (4-4.9)","Menor a 4"))))</x:f>
        <x:v>Menor a 4</x:v>
      </x:c>
      <x:c r="L3389" s="25" t="str">
        <x:f>IF(I3389&lt;70,"Superficial (&lt;70 km)",IF(I3389&lt;=300,"Intermedio (70-300 km)","Profundo (&gt;300 km)"))</x:f>
        <x:v>Superficial (&lt;70 km)</x:v>
      </x:c>
      <x:c r="M3389" s="25" t="str">
        <x:f>IF(J3389&gt;=5,"Sí","No")</x:f>
        <x:v>No</x:v>
      </x:c>
      <x:c r="N3389" s="25" t="str">
        <x:f>IF(J3389&gt;=6,"Sí","No")</x:f>
        <x:v>No</x:v>
      </x:c>
      <x:c r="O3389" s="25" t="str">
        <x:v>Pendiente: asignar con R/sf</x:v>
      </x:c>
    </x:row>
    <x:row r="3390">
      <x:c r="A3390" s="25" t="n">
        <x:v>3389</x:v>
      </x:c>
      <x:c r="B3390" s="26" t="n">
        <x:v>44919.51914351852</x:v>
      </x:c>
      <x:c r="C3390" s="27" t="n">
        <x:f>INT(B3390)</x:f>
        <x:v>44919</x:v>
      </x:c>
      <x:c r="D3390" s="28" t="n">
        <x:f>MOD(B3390,1)</x:f>
        <x:v>0.5191435185188311</x:v>
      </x:c>
      <x:c r="E3390" s="29" t="n">
        <x:f>YEAR(B3390)</x:f>
        <x:v>2022</x:v>
      </x:c>
      <x:c r="F3390" s="29" t="n">
        <x:f>MONTH(B3390)</x:f>
        <x:v>12</x:v>
      </x:c>
      <x:c r="G3390" s="30" t="n">
        <x:v>-30.16</x:v>
      </x:c>
      <x:c r="H3390" s="30" t="n">
        <x:v>-71.28</x:v>
      </x:c>
      <x:c r="I3390" s="29" t="n">
        <x:v>65</x:v>
      </x:c>
      <x:c r="J3390" s="31" t="n">
        <x:v>4.1</x:v>
      </x:c>
      <x:c r="K3390" s="25" t="str">
        <x:f>IF(J3390&gt;=7,"Muy fuerte (&gt;=7)",IF(J3390&gt;=6,"Fuerte (6-6.9)",IF(J3390&gt;=5,"Moderado alto (5-5.9)",IF(J3390&gt;=4,"Moderado (4-4.9)","Menor a 4"))))</x:f>
        <x:v>Moderado (4-4.9)</x:v>
      </x:c>
      <x:c r="L3390" s="25" t="str">
        <x:f>IF(I3390&lt;70,"Superficial (&lt;70 km)",IF(I3390&lt;=300,"Intermedio (70-300 km)","Profundo (&gt;300 km)"))</x:f>
        <x:v>Superficial (&lt;70 km)</x:v>
      </x:c>
      <x:c r="M3390" s="25" t="str">
        <x:f>IF(J3390&gt;=5,"Sí","No")</x:f>
        <x:v>No</x:v>
      </x:c>
      <x:c r="N3390" s="25" t="str">
        <x:f>IF(J3390&gt;=6,"Sí","No")</x:f>
        <x:v>No</x:v>
      </x:c>
      <x:c r="O3390" s="25" t="str">
        <x:v>Pendiente: asignar con R/sf</x:v>
      </x:c>
    </x:row>
    <x:row r="3391">
      <x:c r="A3391" s="25" t="n">
        <x:v>3390</x:v>
      </x:c>
      <x:c r="B3391" s="26" t="n">
        <x:v>44923.859826388885</x:v>
      </x:c>
      <x:c r="C3391" s="27" t="n">
        <x:f>INT(B3391)</x:f>
        <x:v>44923</x:v>
      </x:c>
      <x:c r="D3391" s="28" t="n">
        <x:f>MOD(B3391,1)</x:f>
        <x:v>0.8598263888852671</x:v>
      </x:c>
      <x:c r="E3391" s="29" t="n">
        <x:f>YEAR(B3391)</x:f>
        <x:v>2022</x:v>
      </x:c>
      <x:c r="F3391" s="29" t="n">
        <x:f>MONTH(B3391)</x:f>
        <x:v>12</x:v>
      </x:c>
      <x:c r="G3391" s="30" t="n">
        <x:v>-30.66</x:v>
      </x:c>
      <x:c r="H3391" s="30" t="n">
        <x:v>-71.22</x:v>
      </x:c>
      <x:c r="I3391" s="29" t="n">
        <x:v>58</x:v>
      </x:c>
      <x:c r="J3391" s="31" t="n">
        <x:v>4.8</x:v>
      </x:c>
      <x:c r="K3391" s="25" t="str">
        <x:f>IF(J3391&gt;=7,"Muy fuerte (&gt;=7)",IF(J3391&gt;=6,"Fuerte (6-6.9)",IF(J3391&gt;=5,"Moderado alto (5-5.9)",IF(J3391&gt;=4,"Moderado (4-4.9)","Menor a 4"))))</x:f>
        <x:v>Moderado (4-4.9)</x:v>
      </x:c>
      <x:c r="L3391" s="25" t="str">
        <x:f>IF(I3391&lt;70,"Superficial (&lt;70 km)",IF(I3391&lt;=300,"Intermedio (70-300 km)","Profundo (&gt;300 km)"))</x:f>
        <x:v>Superficial (&lt;70 km)</x:v>
      </x:c>
      <x:c r="M3391" s="25" t="str">
        <x:f>IF(J3391&gt;=5,"Sí","No")</x:f>
        <x:v>No</x:v>
      </x:c>
      <x:c r="N3391" s="25" t="str">
        <x:f>IF(J3391&gt;=6,"Sí","No")</x:f>
        <x:v>No</x:v>
      </x:c>
      <x:c r="O3391" s="25" t="str">
        <x:v>Pendiente: asignar con R/sf</x:v>
      </x:c>
    </x:row>
    <x:row r="3392">
      <x:c r="A3392" s="25" t="n">
        <x:v>3391</x:v>
      </x:c>
      <x:c r="B3392" s="26" t="n">
        <x:v>44938.60010416667</x:v>
      </x:c>
      <x:c r="C3392" s="27" t="n">
        <x:f>INT(B3392)</x:f>
        <x:v>44938</x:v>
      </x:c>
      <x:c r="D3392" s="28" t="n">
        <x:f>MOD(B3392,1)</x:f>
        <x:v>0.6001041666677338</x:v>
      </x:c>
      <x:c r="E3392" s="29" t="n">
        <x:f>YEAR(B3392)</x:f>
        <x:v>2023</x:v>
      </x:c>
      <x:c r="F3392" s="29" t="n">
        <x:f>MONTH(B3392)</x:f>
        <x:v>1</x:v>
      </x:c>
      <x:c r="G3392" s="30" t="n">
        <x:v>-30.64</x:v>
      </x:c>
      <x:c r="H3392" s="30" t="n">
        <x:v>-71.23</x:v>
      </x:c>
      <x:c r="I3392" s="29" t="n">
        <x:v>50</x:v>
      </x:c>
      <x:c r="J3392" s="31" t="n">
        <x:v>4.5</x:v>
      </x:c>
      <x:c r="K3392" s="25" t="str">
        <x:f>IF(J3392&gt;=7,"Muy fuerte (&gt;=7)",IF(J3392&gt;=6,"Fuerte (6-6.9)",IF(J3392&gt;=5,"Moderado alto (5-5.9)",IF(J3392&gt;=4,"Moderado (4-4.9)","Menor a 4"))))</x:f>
        <x:v>Moderado (4-4.9)</x:v>
      </x:c>
      <x:c r="L3392" s="25" t="str">
        <x:f>IF(I3392&lt;70,"Superficial (&lt;70 km)",IF(I3392&lt;=300,"Intermedio (70-300 km)","Profundo (&gt;300 km)"))</x:f>
        <x:v>Superficial (&lt;70 km)</x:v>
      </x:c>
      <x:c r="M3392" s="25" t="str">
        <x:f>IF(J3392&gt;=5,"Sí","No")</x:f>
        <x:v>No</x:v>
      </x:c>
      <x:c r="N3392" s="25" t="str">
        <x:f>IF(J3392&gt;=6,"Sí","No")</x:f>
        <x:v>No</x:v>
      </x:c>
      <x:c r="O3392" s="25" t="str">
        <x:v>Pendiente: asignar con R/sf</x:v>
      </x:c>
    </x:row>
    <x:row r="3393">
      <x:c r="A3393" s="25" t="n">
        <x:v>3392</x:v>
      </x:c>
      <x:c r="B3393" s="26" t="n">
        <x:v>44960.87550925926</x:v>
      </x:c>
      <x:c r="C3393" s="27" t="n">
        <x:f>INT(B3393)</x:f>
        <x:v>44960</x:v>
      </x:c>
      <x:c r="D3393" s="28" t="n">
        <x:f>MOD(B3393,1)</x:f>
        <x:v>0.8755092592618894</x:v>
      </x:c>
      <x:c r="E3393" s="29" t="n">
        <x:f>YEAR(B3393)</x:f>
        <x:v>2023</x:v>
      </x:c>
      <x:c r="F3393" s="29" t="n">
        <x:f>MONTH(B3393)</x:f>
        <x:v>2</x:v>
      </x:c>
      <x:c r="G3393" s="30" t="n">
        <x:v>-30.58</x:v>
      </x:c>
      <x:c r="H3393" s="30" t="n">
        <x:v>-71.21</x:v>
      </x:c>
      <x:c r="I3393" s="29" t="n">
        <x:v>20</x:v>
      </x:c>
      <x:c r="J3393" s="31" t="n">
        <x:v>4.2</x:v>
      </x:c>
      <x:c r="K3393" s="25" t="str">
        <x:f>IF(J3393&gt;=7,"Muy fuerte (&gt;=7)",IF(J3393&gt;=6,"Fuerte (6-6.9)",IF(J3393&gt;=5,"Moderado alto (5-5.9)",IF(J3393&gt;=4,"Moderado (4-4.9)","Menor a 4"))))</x:f>
        <x:v>Moderado (4-4.9)</x:v>
      </x:c>
      <x:c r="L3393" s="25" t="str">
        <x:f>IF(I3393&lt;70,"Superficial (&lt;70 km)",IF(I3393&lt;=300,"Intermedio (70-300 km)","Profundo (&gt;300 km)"))</x:f>
        <x:v>Superficial (&lt;70 km)</x:v>
      </x:c>
      <x:c r="M3393" s="25" t="str">
        <x:f>IF(J3393&gt;=5,"Sí","No")</x:f>
        <x:v>No</x:v>
      </x:c>
      <x:c r="N3393" s="25" t="str">
        <x:f>IF(J3393&gt;=6,"Sí","No")</x:f>
        <x:v>No</x:v>
      </x:c>
      <x:c r="O3393" s="25" t="str">
        <x:v>Pendiente: asignar con R/sf</x:v>
      </x:c>
    </x:row>
    <x:row r="3394">
      <x:c r="A3394" s="25" t="n">
        <x:v>3393</x:v>
      </x:c>
      <x:c r="B3394" s="26" t="n">
        <x:v>44961.11556712963</x:v>
      </x:c>
      <x:c r="C3394" s="27" t="n">
        <x:f>INT(B3394)</x:f>
        <x:v>44961</x:v>
      </x:c>
      <x:c r="D3394" s="28" t="n">
        <x:f>MOD(B3394,1)</x:f>
        <x:v>0.11556712962919846</x:v>
      </x:c>
      <x:c r="E3394" s="29" t="n">
        <x:f>YEAR(B3394)</x:f>
        <x:v>2023</x:v>
      </x:c>
      <x:c r="F3394" s="29" t="n">
        <x:f>MONTH(B3394)</x:f>
        <x:v>2</x:v>
      </x:c>
      <x:c r="G3394" s="30" t="n">
        <x:v>-29.93</x:v>
      </x:c>
      <x:c r="H3394" s="30" t="n">
        <x:v>-71.68</x:v>
      </x:c>
      <x:c r="I3394" s="29" t="n">
        <x:v>33</x:v>
      </x:c>
      <x:c r="J3394" s="31" t="n">
        <x:v>4.4</x:v>
      </x:c>
      <x:c r="K3394" s="25" t="str">
        <x:f>IF(J3394&gt;=7,"Muy fuerte (&gt;=7)",IF(J3394&gt;=6,"Fuerte (6-6.9)",IF(J3394&gt;=5,"Moderado alto (5-5.9)",IF(J3394&gt;=4,"Moderado (4-4.9)","Menor a 4"))))</x:f>
        <x:v>Moderado (4-4.9)</x:v>
      </x:c>
      <x:c r="L3394" s="25" t="str">
        <x:f>IF(I3394&lt;70,"Superficial (&lt;70 km)",IF(I3394&lt;=300,"Intermedio (70-300 km)","Profundo (&gt;300 km)"))</x:f>
        <x:v>Superficial (&lt;70 km)</x:v>
      </x:c>
      <x:c r="M3394" s="25" t="str">
        <x:f>IF(J3394&gt;=5,"Sí","No")</x:f>
        <x:v>No</x:v>
      </x:c>
      <x:c r="N3394" s="25" t="str">
        <x:f>IF(J3394&gt;=6,"Sí","No")</x:f>
        <x:v>No</x:v>
      </x:c>
      <x:c r="O3394" s="25" t="str">
        <x:v>Pendiente: asignar con R/sf</x:v>
      </x:c>
    </x:row>
    <x:row r="3395">
      <x:c r="A3395" s="25" t="n">
        <x:v>3394</x:v>
      </x:c>
      <x:c r="B3395" s="26" t="n">
        <x:v>44961.44436342592</x:v>
      </x:c>
      <x:c r="C3395" s="27" t="n">
        <x:f>INT(B3395)</x:f>
        <x:v>44961</x:v>
      </x:c>
      <x:c r="D3395" s="28" t="n">
        <x:f>MOD(B3395,1)</x:f>
        <x:v>0.44436342592234723</x:v>
      </x:c>
      <x:c r="E3395" s="29" t="n">
        <x:f>YEAR(B3395)</x:f>
        <x:v>2023</x:v>
      </x:c>
      <x:c r="F3395" s="29" t="n">
        <x:f>MONTH(B3395)</x:f>
        <x:v>2</x:v>
      </x:c>
      <x:c r="G3395" s="30" t="n">
        <x:v>-29.93</x:v>
      </x:c>
      <x:c r="H3395" s="30" t="n">
        <x:v>-71.66</x:v>
      </x:c>
      <x:c r="I3395" s="29" t="n">
        <x:v>36</x:v>
      </x:c>
      <x:c r="J3395" s="31" t="n">
        <x:v>3.9</x:v>
      </x:c>
      <x:c r="K3395" s="25" t="str">
        <x:f>IF(J3395&gt;=7,"Muy fuerte (&gt;=7)",IF(J3395&gt;=6,"Fuerte (6-6.9)",IF(J3395&gt;=5,"Moderado alto (5-5.9)",IF(J3395&gt;=4,"Moderado (4-4.9)","Menor a 4"))))</x:f>
        <x:v>Menor a 4</x:v>
      </x:c>
      <x:c r="L3395" s="25" t="str">
        <x:f>IF(I3395&lt;70,"Superficial (&lt;70 km)",IF(I3395&lt;=300,"Intermedio (70-300 km)","Profundo (&gt;300 km)"))</x:f>
        <x:v>Superficial (&lt;70 km)</x:v>
      </x:c>
      <x:c r="M3395" s="25" t="str">
        <x:f>IF(J3395&gt;=5,"Sí","No")</x:f>
        <x:v>No</x:v>
      </x:c>
      <x:c r="N3395" s="25" t="str">
        <x:f>IF(J3395&gt;=6,"Sí","No")</x:f>
        <x:v>No</x:v>
      </x:c>
      <x:c r="O3395" s="25" t="str">
        <x:v>Pendiente: asignar con R/sf</x:v>
      </x:c>
    </x:row>
    <x:row r="3396">
      <x:c r="A3396" s="25" t="n">
        <x:v>3395</x:v>
      </x:c>
      <x:c r="B3396" s="26" t="n">
        <x:v>44985.37881944444</x:v>
      </x:c>
      <x:c r="C3396" s="27" t="n">
        <x:f>INT(B3396)</x:f>
        <x:v>44985</x:v>
      </x:c>
      <x:c r="D3396" s="28" t="n">
        <x:f>MOD(B3396,1)</x:f>
        <x:v>0.3788194444423425</x:v>
      </x:c>
      <x:c r="E3396" s="29" t="n">
        <x:f>YEAR(B3396)</x:f>
        <x:v>2023</x:v>
      </x:c>
      <x:c r="F3396" s="29" t="n">
        <x:f>MONTH(B3396)</x:f>
        <x:v>2</x:v>
      </x:c>
      <x:c r="G3396" s="30" t="n">
        <x:v>-30.1</x:v>
      </x:c>
      <x:c r="H3396" s="30" t="n">
        <x:v>-71.28</x:v>
      </x:c>
      <x:c r="I3396" s="29" t="n">
        <x:v>51</x:v>
      </x:c>
      <x:c r="J3396" s="31" t="n">
        <x:v>4.1</x:v>
      </x:c>
      <x:c r="K3396" s="25" t="str">
        <x:f>IF(J3396&gt;=7,"Muy fuerte (&gt;=7)",IF(J3396&gt;=6,"Fuerte (6-6.9)",IF(J3396&gt;=5,"Moderado alto (5-5.9)",IF(J3396&gt;=4,"Moderado (4-4.9)","Menor a 4"))))</x:f>
        <x:v>Moderado (4-4.9)</x:v>
      </x:c>
      <x:c r="L3396" s="25" t="str">
        <x:f>IF(I3396&lt;70,"Superficial (&lt;70 km)",IF(I3396&lt;=300,"Intermedio (70-300 km)","Profundo (&gt;300 km)"))</x:f>
        <x:v>Superficial (&lt;70 km)</x:v>
      </x:c>
      <x:c r="M3396" s="25" t="str">
        <x:f>IF(J3396&gt;=5,"Sí","No")</x:f>
        <x:v>No</x:v>
      </x:c>
      <x:c r="N3396" s="25" t="str">
        <x:f>IF(J3396&gt;=6,"Sí","No")</x:f>
        <x:v>No</x:v>
      </x:c>
      <x:c r="O3396" s="25" t="str">
        <x:v>Pendiente: asignar con R/sf</x:v>
      </x:c>
    </x:row>
    <x:row r="3397">
      <x:c r="A3397" s="25" t="n">
        <x:v>3396</x:v>
      </x:c>
      <x:c r="B3397" s="26" t="n">
        <x:v>44887.751805555556</x:v>
      </x:c>
      <x:c r="C3397" s="27" t="n">
        <x:f>INT(B3397)</x:f>
        <x:v>44887</x:v>
      </x:c>
      <x:c r="D3397" s="28" t="n">
        <x:f>MOD(B3397,1)</x:f>
        <x:v>0.7518055555556202</x:v>
      </x:c>
      <x:c r="E3397" s="29" t="n">
        <x:f>YEAR(B3397)</x:f>
        <x:v>2022</x:v>
      </x:c>
      <x:c r="F3397" s="29" t="n">
        <x:f>MONTH(B3397)</x:f>
        <x:v>11</x:v>
      </x:c>
      <x:c r="G3397" s="30" t="n">
        <x:v>-30.06</x:v>
      </x:c>
      <x:c r="H3397" s="30" t="n">
        <x:v>-71.61</x:v>
      </x:c>
      <x:c r="I3397" s="29" t="n">
        <x:v>37</x:v>
      </x:c>
      <x:c r="J3397" s="31" t="n">
        <x:v>3.5</x:v>
      </x:c>
      <x:c r="K3397" s="25" t="str">
        <x:f>IF(J3397&gt;=7,"Muy fuerte (&gt;=7)",IF(J3397&gt;=6,"Fuerte (6-6.9)",IF(J3397&gt;=5,"Moderado alto (5-5.9)",IF(J3397&gt;=4,"Moderado (4-4.9)","Menor a 4"))))</x:f>
        <x:v>Menor a 4</x:v>
      </x:c>
      <x:c r="L3397" s="25" t="str">
        <x:f>IF(I3397&lt;70,"Superficial (&lt;70 km)",IF(I3397&lt;=300,"Intermedio (70-300 km)","Profundo (&gt;300 km)"))</x:f>
        <x:v>Superficial (&lt;70 km)</x:v>
      </x:c>
      <x:c r="M3397" s="25" t="str">
        <x:f>IF(J3397&gt;=5,"Sí","No")</x:f>
        <x:v>No</x:v>
      </x:c>
      <x:c r="N3397" s="25" t="str">
        <x:f>IF(J3397&gt;=6,"Sí","No")</x:f>
        <x:v>No</x:v>
      </x:c>
      <x:c r="O3397" s="25" t="str">
        <x:v>Pendiente: asignar con R/sf</x:v>
      </x:c>
    </x:row>
    <x:row r="3398">
      <x:c r="A3398" s="25" t="n">
        <x:v>3397</x:v>
      </x:c>
      <x:c r="B3398" s="26" t="n">
        <x:v>44577.000185185185</x:v>
      </x:c>
      <x:c r="C3398" s="27" t="n">
        <x:f>INT(B3398)</x:f>
        <x:v>44577</x:v>
      </x:c>
      <x:c r="D3398" s="28" t="n">
        <x:f>MOD(B3398,1)</x:f>
        <x:v>0.0001851851848186925</x:v>
      </x:c>
      <x:c r="E3398" s="29" t="n">
        <x:f>YEAR(B3398)</x:f>
        <x:v>2022</x:v>
      </x:c>
      <x:c r="F3398" s="29" t="n">
        <x:f>MONTH(B3398)</x:f>
        <x:v>1</x:v>
      </x:c>
      <x:c r="G3398" s="30" t="n">
        <x:v>-31.06</x:v>
      </x:c>
      <x:c r="H3398" s="30" t="n">
        <x:v>-71.59</x:v>
      </x:c>
      <x:c r="I3398" s="29" t="n">
        <x:v>74</x:v>
      </x:c>
      <x:c r="J3398" s="31" t="n">
        <x:v>4.4</x:v>
      </x:c>
      <x:c r="K3398" s="25" t="str">
        <x:f>IF(J3398&gt;=7,"Muy fuerte (&gt;=7)",IF(J3398&gt;=6,"Fuerte (6-6.9)",IF(J3398&gt;=5,"Moderado alto (5-5.9)",IF(J3398&gt;=4,"Moderado (4-4.9)","Menor a 4"))))</x:f>
        <x:v>Moderado (4-4.9)</x:v>
      </x:c>
      <x:c r="L3398" s="25" t="str">
        <x:f>IF(I3398&lt;70,"Superficial (&lt;70 km)",IF(I3398&lt;=300,"Intermedio (70-300 km)","Profundo (&gt;300 km)"))</x:f>
        <x:v>Intermedio (70-300 km)</x:v>
      </x:c>
      <x:c r="M3398" s="25" t="str">
        <x:f>IF(J3398&gt;=5,"Sí","No")</x:f>
        <x:v>No</x:v>
      </x:c>
      <x:c r="N3398" s="25" t="str">
        <x:f>IF(J3398&gt;=6,"Sí","No")</x:f>
        <x:v>No</x:v>
      </x:c>
      <x:c r="O3398" s="25" t="str">
        <x:v>Pendiente: asignar con R/sf</x:v>
      </x:c>
    </x:row>
    <x:row r="3399">
      <x:c r="A3399" s="25" t="n">
        <x:v>3398</x:v>
      </x:c>
      <x:c r="B3399" s="26" t="n">
        <x:v>45026.4546412037</x:v>
      </x:c>
      <x:c r="C3399" s="27" t="n">
        <x:f>INT(B3399)</x:f>
        <x:v>45026</x:v>
      </x:c>
      <x:c r="D3399" s="28" t="n">
        <x:f>MOD(B3399,1)</x:f>
        <x:v>0.45464120370161254</x:v>
      </x:c>
      <x:c r="E3399" s="29" t="n">
        <x:f>YEAR(B3399)</x:f>
        <x:v>2023</x:v>
      </x:c>
      <x:c r="F3399" s="29" t="n">
        <x:f>MONTH(B3399)</x:f>
        <x:v>4</x:v>
      </x:c>
      <x:c r="G3399" s="30" t="n">
        <x:v>-32.62</x:v>
      </x:c>
      <x:c r="H3399" s="30" t="n">
        <x:v>-70.84</x:v>
      </x:c>
      <x:c r="I3399" s="29" t="n">
        <x:v>78</x:v>
      </x:c>
      <x:c r="J3399" s="31" t="n">
        <x:v>4.5</x:v>
      </x:c>
      <x:c r="K3399" s="25" t="str">
        <x:f>IF(J3399&gt;=7,"Muy fuerte (&gt;=7)",IF(J3399&gt;=6,"Fuerte (6-6.9)",IF(J3399&gt;=5,"Moderado alto (5-5.9)",IF(J3399&gt;=4,"Moderado (4-4.9)","Menor a 4"))))</x:f>
        <x:v>Moderado (4-4.9)</x:v>
      </x:c>
      <x:c r="L3399" s="25" t="str">
        <x:f>IF(I3399&lt;70,"Superficial (&lt;70 km)",IF(I3399&lt;=300,"Intermedio (70-300 km)","Profundo (&gt;300 km)"))</x:f>
        <x:v>Intermedio (70-300 km)</x:v>
      </x:c>
      <x:c r="M3399" s="25" t="str">
        <x:f>IF(J3399&gt;=5,"Sí","No")</x:f>
        <x:v>No</x:v>
      </x:c>
      <x:c r="N3399" s="25" t="str">
        <x:f>IF(J3399&gt;=6,"Sí","No")</x:f>
        <x:v>No</x:v>
      </x:c>
      <x:c r="O3399" s="25" t="str">
        <x:v>Pendiente: asignar con R/sf</x:v>
      </x:c>
    </x:row>
    <x:row r="3400">
      <x:c r="A3400" s="25" t="n">
        <x:v>3399</x:v>
      </x:c>
      <x:c r="B3400" s="26" t="n">
        <x:v>45052.803622685184</x:v>
      </x:c>
      <x:c r="C3400" s="27" t="n">
        <x:f>INT(B3400)</x:f>
        <x:v>45052</x:v>
      </x:c>
      <x:c r="D3400" s="28" t="n">
        <x:f>MOD(B3400,1)</x:f>
        <x:v>0.8036226851836545</x:v>
      </x:c>
      <x:c r="E3400" s="29" t="n">
        <x:f>YEAR(B3400)</x:f>
        <x:v>2023</x:v>
      </x:c>
      <x:c r="F3400" s="29" t="n">
        <x:f>MONTH(B3400)</x:f>
        <x:v>5</x:v>
      </x:c>
      <x:c r="G3400" s="30" t="n">
        <x:v>-32.13</x:v>
      </x:c>
      <x:c r="H3400" s="30" t="n">
        <x:v>-71.4</x:v>
      </x:c>
      <x:c r="I3400" s="29" t="n">
        <x:v>45</x:v>
      </x:c>
      <x:c r="J3400" s="31" t="n">
        <x:v>3.8</x:v>
      </x:c>
      <x:c r="K3400" s="25" t="str">
        <x:f>IF(J3400&gt;=7,"Muy fuerte (&gt;=7)",IF(J3400&gt;=6,"Fuerte (6-6.9)",IF(J3400&gt;=5,"Moderado alto (5-5.9)",IF(J3400&gt;=4,"Moderado (4-4.9)","Menor a 4"))))</x:f>
        <x:v>Menor a 4</x:v>
      </x:c>
      <x:c r="L3400" s="25" t="str">
        <x:f>IF(I3400&lt;70,"Superficial (&lt;70 km)",IF(I3400&lt;=300,"Intermedio (70-300 km)","Profundo (&gt;300 km)"))</x:f>
        <x:v>Superficial (&lt;70 km)</x:v>
      </x:c>
      <x:c r="M3400" s="25" t="str">
        <x:f>IF(J3400&gt;=5,"Sí","No")</x:f>
        <x:v>No</x:v>
      </x:c>
      <x:c r="N3400" s="25" t="str">
        <x:f>IF(J3400&gt;=6,"Sí","No")</x:f>
        <x:v>No</x:v>
      </x:c>
      <x:c r="O3400" s="25" t="str">
        <x:v>Pendiente: asignar con R/sf</x:v>
      </x:c>
    </x:row>
    <x:row r="3401">
      <x:c r="A3401" s="25" t="n">
        <x:v>3400</x:v>
      </x:c>
      <x:c r="B3401" s="26" t="n">
        <x:v>44010.16570601852</x:v>
      </x:c>
      <x:c r="C3401" s="27" t="n">
        <x:f>INT(B3401)</x:f>
        <x:v>44010</x:v>
      </x:c>
      <x:c r="D3401" s="28" t="n">
        <x:f>MOD(B3401,1)</x:f>
        <x:v>0.16570601851708489</x:v>
      </x:c>
      <x:c r="E3401" s="29" t="n">
        <x:f>YEAR(B3401)</x:f>
        <x:v>2020</x:v>
      </x:c>
      <x:c r="F3401" s="29" t="n">
        <x:f>MONTH(B3401)</x:f>
        <x:v>6</x:v>
      </x:c>
      <x:c r="G3401" s="30" t="n">
        <x:v>-29.49</x:v>
      </x:c>
      <x:c r="H3401" s="30" t="n">
        <x:v>-71.15</x:v>
      </x:c>
      <x:c r="I3401" s="29" t="n">
        <x:v>13</x:v>
      </x:c>
      <x:c r="J3401" s="31" t="n">
        <x:v>3.1</x:v>
      </x:c>
      <x:c r="K3401" s="25" t="str">
        <x:f>IF(J3401&gt;=7,"Muy fuerte (&gt;=7)",IF(J3401&gt;=6,"Fuerte (6-6.9)",IF(J3401&gt;=5,"Moderado alto (5-5.9)",IF(J3401&gt;=4,"Moderado (4-4.9)","Menor a 4"))))</x:f>
        <x:v>Menor a 4</x:v>
      </x:c>
      <x:c r="L3401" s="25" t="str">
        <x:f>IF(I3401&lt;70,"Superficial (&lt;70 km)",IF(I3401&lt;=300,"Intermedio (70-300 km)","Profundo (&gt;300 km)"))</x:f>
        <x:v>Superficial (&lt;70 km)</x:v>
      </x:c>
      <x:c r="M3401" s="25" t="str">
        <x:f>IF(J3401&gt;=5,"Sí","No")</x:f>
        <x:v>No</x:v>
      </x:c>
      <x:c r="N3401" s="25" t="str">
        <x:f>IF(J3401&gt;=6,"Sí","No")</x:f>
        <x:v>No</x:v>
      </x:c>
      <x:c r="O3401" s="25" t="str">
        <x:v>Pendiente: asignar con R/sf</x:v>
      </x:c>
    </x:row>
    <x:row r="3402">
      <x:c r="A3402" s="25" t="n">
        <x:v>3401</x:v>
      </x:c>
      <x:c r="B3402" s="26" t="n">
        <x:v>44119.976331018515</x:v>
      </x:c>
      <x:c r="C3402" s="27" t="n">
        <x:f>INT(B3402)</x:f>
        <x:v>44119</x:v>
      </x:c>
      <x:c r="D3402" s="28" t="n">
        <x:f>MOD(B3402,1)</x:f>
        <x:v>0.9763310185153387</x:v>
      </x:c>
      <x:c r="E3402" s="29" t="n">
        <x:f>YEAR(B3402)</x:f>
        <x:v>2020</x:v>
      </x:c>
      <x:c r="F3402" s="29" t="n">
        <x:f>MONTH(B3402)</x:f>
        <x:v>10</x:v>
      </x:c>
      <x:c r="G3402" s="30" t="n">
        <x:v>-29.59</x:v>
      </x:c>
      <x:c r="H3402" s="30" t="n">
        <x:v>-71.32</x:v>
      </x:c>
      <x:c r="I3402" s="29" t="n">
        <x:v>70</x:v>
      </x:c>
      <x:c r="J3402" s="31" t="n">
        <x:v>3.6</x:v>
      </x:c>
      <x:c r="K3402" s="25" t="str">
        <x:f>IF(J3402&gt;=7,"Muy fuerte (&gt;=7)",IF(J3402&gt;=6,"Fuerte (6-6.9)",IF(J3402&gt;=5,"Moderado alto (5-5.9)",IF(J3402&gt;=4,"Moderado (4-4.9)","Menor a 4"))))</x:f>
        <x:v>Menor a 4</x:v>
      </x:c>
      <x:c r="L3402" s="25" t="str">
        <x:f>IF(I3402&lt;70,"Superficial (&lt;70 km)",IF(I3402&lt;=300,"Intermedio (70-300 km)","Profundo (&gt;300 km)"))</x:f>
        <x:v>Intermedio (70-300 km)</x:v>
      </x:c>
      <x:c r="M3402" s="25" t="str">
        <x:f>IF(J3402&gt;=5,"Sí","No")</x:f>
        <x:v>No</x:v>
      </x:c>
      <x:c r="N3402" s="25" t="str">
        <x:f>IF(J3402&gt;=6,"Sí","No")</x:f>
        <x:v>No</x:v>
      </x:c>
      <x:c r="O3402" s="25" t="str">
        <x:v>Pendiente: asignar con R/sf</x:v>
      </x:c>
    </x:row>
    <x:row r="3403">
      <x:c r="A3403" s="25" t="n">
        <x:v>3402</x:v>
      </x:c>
      <x:c r="B3403" s="26" t="n">
        <x:v>44209.70344907408</x:v>
      </x:c>
      <x:c r="C3403" s="27" t="n">
        <x:f>INT(B3403)</x:f>
        <x:v>44209</x:v>
      </x:c>
      <x:c r="D3403" s="28" t="n">
        <x:f>MOD(B3403,1)</x:f>
        <x:v>0.7034490740770707</x:v>
      </x:c>
      <x:c r="E3403" s="29" t="n">
        <x:f>YEAR(B3403)</x:f>
        <x:v>2021</x:v>
      </x:c>
      <x:c r="F3403" s="29" t="n">
        <x:f>MONTH(B3403)</x:f>
        <x:v>1</x:v>
      </x:c>
      <x:c r="G3403" s="30" t="n">
        <x:v>-29.3</x:v>
      </x:c>
      <x:c r="H3403" s="30" t="n">
        <x:v>-71.25</x:v>
      </x:c>
      <x:c r="I3403" s="29" t="n">
        <x:v>47</x:v>
      </x:c>
      <x:c r="J3403" s="31" t="n">
        <x:v>3.8</x:v>
      </x:c>
      <x:c r="K3403" s="25" t="str">
        <x:f>IF(J3403&gt;=7,"Muy fuerte (&gt;=7)",IF(J3403&gt;=6,"Fuerte (6-6.9)",IF(J3403&gt;=5,"Moderado alto (5-5.9)",IF(J3403&gt;=4,"Moderado (4-4.9)","Menor a 4"))))</x:f>
        <x:v>Menor a 4</x:v>
      </x:c>
      <x:c r="L3403" s="25" t="str">
        <x:f>IF(I3403&lt;70,"Superficial (&lt;70 km)",IF(I3403&lt;=300,"Intermedio (70-300 km)","Profundo (&gt;300 km)"))</x:f>
        <x:v>Superficial (&lt;70 km)</x:v>
      </x:c>
      <x:c r="M3403" s="25" t="str">
        <x:f>IF(J3403&gt;=5,"Sí","No")</x:f>
        <x:v>No</x:v>
      </x:c>
      <x:c r="N3403" s="25" t="str">
        <x:f>IF(J3403&gt;=6,"Sí","No")</x:f>
        <x:v>No</x:v>
      </x:c>
      <x:c r="O3403" s="25" t="str">
        <x:v>Pendiente: asignar con R/sf</x:v>
      </x:c>
    </x:row>
    <x:row r="3404">
      <x:c r="A3404" s="25" t="n">
        <x:v>3403</x:v>
      </x:c>
      <x:c r="B3404" s="26" t="n">
        <x:v>44270.759305555555</x:v>
      </x:c>
      <x:c r="C3404" s="27" t="n">
        <x:f>INT(B3404)</x:f>
        <x:v>44270</x:v>
      </x:c>
      <x:c r="D3404" s="28" t="n">
        <x:f>MOD(B3404,1)</x:f>
        <x:v>0.7593055555553292</x:v>
      </x:c>
      <x:c r="E3404" s="29" t="n">
        <x:f>YEAR(B3404)</x:f>
        <x:v>2021</x:v>
      </x:c>
      <x:c r="F3404" s="29" t="n">
        <x:f>MONTH(B3404)</x:f>
        <x:v>3</x:v>
      </x:c>
      <x:c r="G3404" s="30" t="n">
        <x:v>-28.95</x:v>
      </x:c>
      <x:c r="H3404" s="30" t="n">
        <x:v>-71.27</x:v>
      </x:c>
      <x:c r="I3404" s="29" t="n">
        <x:v>44</x:v>
      </x:c>
      <x:c r="J3404" s="31" t="n">
        <x:v>3.7</x:v>
      </x:c>
      <x:c r="K3404" s="25" t="str">
        <x:f>IF(J3404&gt;=7,"Muy fuerte (&gt;=7)",IF(J3404&gt;=6,"Fuerte (6-6.9)",IF(J3404&gt;=5,"Moderado alto (5-5.9)",IF(J3404&gt;=4,"Moderado (4-4.9)","Menor a 4"))))</x:f>
        <x:v>Menor a 4</x:v>
      </x:c>
      <x:c r="L3404" s="25" t="str">
        <x:f>IF(I3404&lt;70,"Superficial (&lt;70 km)",IF(I3404&lt;=300,"Intermedio (70-300 km)","Profundo (&gt;300 km)"))</x:f>
        <x:v>Superficial (&lt;70 km)</x:v>
      </x:c>
      <x:c r="M3404" s="25" t="str">
        <x:f>IF(J3404&gt;=5,"Sí","No")</x:f>
        <x:v>No</x:v>
      </x:c>
      <x:c r="N3404" s="25" t="str">
        <x:f>IF(J3404&gt;=6,"Sí","No")</x:f>
        <x:v>No</x:v>
      </x:c>
      <x:c r="O3404" s="25" t="str">
        <x:v>Pendiente: asignar con R/sf</x:v>
      </x:c>
    </x:row>
    <x:row r="3405">
      <x:c r="A3405" s="25" t="n">
        <x:v>3404</x:v>
      </x:c>
      <x:c r="B3405" s="26" t="n">
        <x:v>44481.75133101852</x:v>
      </x:c>
      <x:c r="C3405" s="27" t="n">
        <x:f>INT(B3405)</x:f>
        <x:v>44481</x:v>
      </x:c>
      <x:c r="D3405" s="28" t="n">
        <x:f>MOD(B3405,1)</x:f>
        <x:v>0.7513310185167938</x:v>
      </x:c>
      <x:c r="E3405" s="29" t="n">
        <x:f>YEAR(B3405)</x:f>
        <x:v>2021</x:v>
      </x:c>
      <x:c r="F3405" s="29" t="n">
        <x:f>MONTH(B3405)</x:f>
        <x:v>10</x:v>
      </x:c>
      <x:c r="G3405" s="30" t="n">
        <x:v>-29.49</x:v>
      </x:c>
      <x:c r="H3405" s="30" t="n">
        <x:v>-71.73</x:v>
      </x:c>
      <x:c r="I3405" s="29" t="n">
        <x:v>36</x:v>
      </x:c>
      <x:c r="J3405" s="31" t="n">
        <x:v>4</x:v>
      </x:c>
      <x:c r="K3405" s="25" t="str">
        <x:f>IF(J3405&gt;=7,"Muy fuerte (&gt;=7)",IF(J3405&gt;=6,"Fuerte (6-6.9)",IF(J3405&gt;=5,"Moderado alto (5-5.9)",IF(J3405&gt;=4,"Moderado (4-4.9)","Menor a 4"))))</x:f>
        <x:v>Moderado (4-4.9)</x:v>
      </x:c>
      <x:c r="L3405" s="25" t="str">
        <x:f>IF(I3405&lt;70,"Superficial (&lt;70 km)",IF(I3405&lt;=300,"Intermedio (70-300 km)","Profundo (&gt;300 km)"))</x:f>
        <x:v>Superficial (&lt;70 km)</x:v>
      </x:c>
      <x:c r="M3405" s="25" t="str">
        <x:f>IF(J3405&gt;=5,"Sí","No")</x:f>
        <x:v>No</x:v>
      </x:c>
      <x:c r="N3405" s="25" t="str">
        <x:f>IF(J3405&gt;=6,"Sí","No")</x:f>
        <x:v>No</x:v>
      </x:c>
      <x:c r="O3405" s="25" t="str">
        <x:v>Pendiente: asignar con R/sf</x:v>
      </x:c>
    </x:row>
    <x:row r="3406">
      <x:c r="A3406" s="25" t="n">
        <x:v>3405</x:v>
      </x:c>
      <x:c r="B3406" s="26" t="n">
        <x:v>44641.25703703704</x:v>
      </x:c>
      <x:c r="C3406" s="27" t="n">
        <x:f>INT(B3406)</x:f>
        <x:v>44641</x:v>
      </x:c>
      <x:c r="D3406" s="28" t="n">
        <x:f>MOD(B3406,1)</x:f>
        <x:v>0.25703703703766223</x:v>
      </x:c>
      <x:c r="E3406" s="29" t="n">
        <x:f>YEAR(B3406)</x:f>
        <x:v>2022</x:v>
      </x:c>
      <x:c r="F3406" s="29" t="n">
        <x:f>MONTH(B3406)</x:f>
        <x:v>3</x:v>
      </x:c>
      <x:c r="G3406" s="30" t="n">
        <x:v>-29.52</x:v>
      </x:c>
      <x:c r="H3406" s="30" t="n">
        <x:v>-71.18</x:v>
      </x:c>
      <x:c r="I3406" s="29" t="n">
        <x:v>42</x:v>
      </x:c>
      <x:c r="J3406" s="31" t="n">
        <x:v>3.7</x:v>
      </x:c>
      <x:c r="K3406" s="25" t="str">
        <x:f>IF(J3406&gt;=7,"Muy fuerte (&gt;=7)",IF(J3406&gt;=6,"Fuerte (6-6.9)",IF(J3406&gt;=5,"Moderado alto (5-5.9)",IF(J3406&gt;=4,"Moderado (4-4.9)","Menor a 4"))))</x:f>
        <x:v>Menor a 4</x:v>
      </x:c>
      <x:c r="L3406" s="25" t="str">
        <x:f>IF(I3406&lt;70,"Superficial (&lt;70 km)",IF(I3406&lt;=300,"Intermedio (70-300 km)","Profundo (&gt;300 km)"))</x:f>
        <x:v>Superficial (&lt;70 km)</x:v>
      </x:c>
      <x:c r="M3406" s="25" t="str">
        <x:f>IF(J3406&gt;=5,"Sí","No")</x:f>
        <x:v>No</x:v>
      </x:c>
      <x:c r="N3406" s="25" t="str">
        <x:f>IF(J3406&gt;=6,"Sí","No")</x:f>
        <x:v>No</x:v>
      </x:c>
      <x:c r="O3406" s="25" t="str">
        <x:v>Pendiente: asignar con R/sf</x:v>
      </x:c>
    </x:row>
    <x:row r="3407">
      <x:c r="A3407" s="25" t="n">
        <x:v>3406</x:v>
      </x:c>
      <x:c r="B3407" s="26" t="n">
        <x:v>44857.19185185185</x:v>
      </x:c>
      <x:c r="C3407" s="27" t="n">
        <x:f>INT(B3407)</x:f>
        <x:v>44857</x:v>
      </x:c>
      <x:c r="D3407" s="28" t="n">
        <x:f>MOD(B3407,1)</x:f>
        <x:v>0.19185185185051523</x:v>
      </x:c>
      <x:c r="E3407" s="29" t="n">
        <x:f>YEAR(B3407)</x:f>
        <x:v>2022</x:v>
      </x:c>
      <x:c r="F3407" s="29" t="n">
        <x:f>MONTH(B3407)</x:f>
        <x:v>10</x:v>
      </x:c>
      <x:c r="G3407" s="30" t="n">
        <x:v>-29.58</x:v>
      </x:c>
      <x:c r="H3407" s="30" t="n">
        <x:v>-71.02</x:v>
      </x:c>
      <x:c r="I3407" s="29" t="n">
        <x:v>78</x:v>
      </x:c>
      <x:c r="J3407" s="31" t="n">
        <x:v>4</x:v>
      </x:c>
      <x:c r="K3407" s="25" t="str">
        <x:f>IF(J3407&gt;=7,"Muy fuerte (&gt;=7)",IF(J3407&gt;=6,"Fuerte (6-6.9)",IF(J3407&gt;=5,"Moderado alto (5-5.9)",IF(J3407&gt;=4,"Moderado (4-4.9)","Menor a 4"))))</x:f>
        <x:v>Moderado (4-4.9)</x:v>
      </x:c>
      <x:c r="L3407" s="25" t="str">
        <x:f>IF(I3407&lt;70,"Superficial (&lt;70 km)",IF(I3407&lt;=300,"Intermedio (70-300 km)","Profundo (&gt;300 km)"))</x:f>
        <x:v>Intermedio (70-300 km)</x:v>
      </x:c>
      <x:c r="M3407" s="25" t="str">
        <x:f>IF(J3407&gt;=5,"Sí","No")</x:f>
        <x:v>No</x:v>
      </x:c>
      <x:c r="N3407" s="25" t="str">
        <x:f>IF(J3407&gt;=6,"Sí","No")</x:f>
        <x:v>No</x:v>
      </x:c>
      <x:c r="O3407" s="25" t="str">
        <x:v>Pendiente: asignar con R/sf</x:v>
      </x:c>
    </x:row>
    <x:row r="3408">
      <x:c r="A3408" s="25" t="n">
        <x:v>3407</x:v>
      </x:c>
      <x:c r="B3408" s="26" t="n">
        <x:v>44909.09138888889</x:v>
      </x:c>
      <x:c r="C3408" s="27" t="n">
        <x:f>INT(B3408)</x:f>
        <x:v>44909</x:v>
      </x:c>
      <x:c r="D3408" s="28" t="n">
        <x:f>MOD(B3408,1)</x:f>
        <x:v>0.09138888888992369</x:v>
      </x:c>
      <x:c r="E3408" s="29" t="n">
        <x:f>YEAR(B3408)</x:f>
        <x:v>2022</x:v>
      </x:c>
      <x:c r="F3408" s="29" t="n">
        <x:f>MONTH(B3408)</x:f>
        <x:v>12</x:v>
      </x:c>
      <x:c r="G3408" s="30" t="n">
        <x:v>-29.09</x:v>
      </x:c>
      <x:c r="H3408" s="30" t="n">
        <x:v>-71.31</x:v>
      </x:c>
      <x:c r="I3408" s="29" t="n">
        <x:v>79</x:v>
      </x:c>
      <x:c r="J3408" s="31" t="n">
        <x:v>4.1</x:v>
      </x:c>
      <x:c r="K3408" s="25" t="str">
        <x:f>IF(J3408&gt;=7,"Muy fuerte (&gt;=7)",IF(J3408&gt;=6,"Fuerte (6-6.9)",IF(J3408&gt;=5,"Moderado alto (5-5.9)",IF(J3408&gt;=4,"Moderado (4-4.9)","Menor a 4"))))</x:f>
        <x:v>Moderado (4-4.9)</x:v>
      </x:c>
      <x:c r="L3408" s="25" t="str">
        <x:f>IF(I3408&lt;70,"Superficial (&lt;70 km)",IF(I3408&lt;=300,"Intermedio (70-300 km)","Profundo (&gt;300 km)"))</x:f>
        <x:v>Intermedio (70-300 km)</x:v>
      </x:c>
      <x:c r="M3408" s="25" t="str">
        <x:f>IF(J3408&gt;=5,"Sí","No")</x:f>
        <x:v>No</x:v>
      </x:c>
      <x:c r="N3408" s="25" t="str">
        <x:f>IF(J3408&gt;=6,"Sí","No")</x:f>
        <x:v>No</x:v>
      </x:c>
      <x:c r="O3408" s="25" t="str">
        <x:v>Pendiente: asignar con R/sf</x:v>
      </x:c>
    </x:row>
    <x:row r="3409">
      <x:c r="A3409" s="25" t="n">
        <x:v>3408</x:v>
      </x:c>
      <x:c r="B3409" s="26" t="n">
        <x:v>45048.58047453704</x:v>
      </x:c>
      <x:c r="C3409" s="27" t="n">
        <x:f>INT(B3409)</x:f>
        <x:v>45048</x:v>
      </x:c>
      <x:c r="D3409" s="28" t="n">
        <x:f>MOD(B3409,1)</x:f>
        <x:v>0.5804745370405726</x:v>
      </x:c>
      <x:c r="E3409" s="29" t="n">
        <x:f>YEAR(B3409)</x:f>
        <x:v>2023</x:v>
      </x:c>
      <x:c r="F3409" s="29" t="n">
        <x:f>MONTH(B3409)</x:f>
        <x:v>5</x:v>
      </x:c>
      <x:c r="G3409" s="30" t="n">
        <x:v>-29.02</x:v>
      </x:c>
      <x:c r="H3409" s="30" t="n">
        <x:v>-71.59</x:v>
      </x:c>
      <x:c r="I3409" s="29" t="n">
        <x:v>50</x:v>
      </x:c>
      <x:c r="J3409" s="31" t="n">
        <x:v>4.4</x:v>
      </x:c>
      <x:c r="K3409" s="25" t="str">
        <x:f>IF(J3409&gt;=7,"Muy fuerte (&gt;=7)",IF(J3409&gt;=6,"Fuerte (6-6.9)",IF(J3409&gt;=5,"Moderado alto (5-5.9)",IF(J3409&gt;=4,"Moderado (4-4.9)","Menor a 4"))))</x:f>
        <x:v>Moderado (4-4.9)</x:v>
      </x:c>
      <x:c r="L3409" s="25" t="str">
        <x:f>IF(I3409&lt;70,"Superficial (&lt;70 km)",IF(I3409&lt;=300,"Intermedio (70-300 km)","Profundo (&gt;300 km)"))</x:f>
        <x:v>Superficial (&lt;70 km)</x:v>
      </x:c>
      <x:c r="M3409" s="25" t="str">
        <x:f>IF(J3409&gt;=5,"Sí","No")</x:f>
        <x:v>No</x:v>
      </x:c>
      <x:c r="N3409" s="25" t="str">
        <x:f>IF(J3409&gt;=6,"Sí","No")</x:f>
        <x:v>No</x:v>
      </x:c>
      <x:c r="O3409" s="25" t="str">
        <x:v>Pendiente: asignar con R/sf</x:v>
      </x:c>
    </x:row>
    <x:row r="3410">
      <x:c r="A3410" s="25" t="n">
        <x:v>3409</x:v>
      </x:c>
      <x:c r="B3410" s="26" t="n">
        <x:v>45054.10696759259</x:v>
      </x:c>
      <x:c r="C3410" s="27" t="n">
        <x:f>INT(B3410)</x:f>
        <x:v>45054</x:v>
      </x:c>
      <x:c r="D3410" s="28" t="n">
        <x:f>MOD(B3410,1)</x:f>
        <x:v>0.10696759259008104</x:v>
      </x:c>
      <x:c r="E3410" s="29" t="n">
        <x:f>YEAR(B3410)</x:f>
        <x:v>2023</x:v>
      </x:c>
      <x:c r="F3410" s="29" t="n">
        <x:f>MONTH(B3410)</x:f>
        <x:v>5</x:v>
      </x:c>
      <x:c r="G3410" s="30" t="n">
        <x:v>-28.71</x:v>
      </x:c>
      <x:c r="H3410" s="30" t="n">
        <x:v>-71.29</x:v>
      </x:c>
      <x:c r="I3410" s="29" t="n">
        <x:v>53</x:v>
      </x:c>
      <x:c r="J3410" s="31" t="n">
        <x:v>4.4</x:v>
      </x:c>
      <x:c r="K3410" s="25" t="str">
        <x:f>IF(J3410&gt;=7,"Muy fuerte (&gt;=7)",IF(J3410&gt;=6,"Fuerte (6-6.9)",IF(J3410&gt;=5,"Moderado alto (5-5.9)",IF(J3410&gt;=4,"Moderado (4-4.9)","Menor a 4"))))</x:f>
        <x:v>Moderado (4-4.9)</x:v>
      </x:c>
      <x:c r="L3410" s="25" t="str">
        <x:f>IF(I3410&lt;70,"Superficial (&lt;70 km)",IF(I3410&lt;=300,"Intermedio (70-300 km)","Profundo (&gt;300 km)"))</x:f>
        <x:v>Superficial (&lt;70 km)</x:v>
      </x:c>
      <x:c r="M3410" s="25" t="str">
        <x:f>IF(J3410&gt;=5,"Sí","No")</x:f>
        <x:v>No</x:v>
      </x:c>
      <x:c r="N3410" s="25" t="str">
        <x:f>IF(J3410&gt;=6,"Sí","No")</x:f>
        <x:v>No</x:v>
      </x:c>
      <x:c r="O3410" s="25" t="str">
        <x:v>Pendiente: asignar con R/sf</x:v>
      </x:c>
    </x:row>
    <x:row r="3411">
      <x:c r="A3411" s="25" t="n">
        <x:v>3410</x:v>
      </x:c>
      <x:c r="B3411" s="26" t="n">
        <x:v>44923.371932870374</x:v>
      </x:c>
      <x:c r="C3411" s="27" t="n">
        <x:f>INT(B3411)</x:f>
        <x:v>44923</x:v>
      </x:c>
      <x:c r="D3411" s="28" t="n">
        <x:f>MOD(B3411,1)</x:f>
        <x:v>0.3719328703737119</x:v>
      </x:c>
      <x:c r="E3411" s="29" t="n">
        <x:f>YEAR(B3411)</x:f>
        <x:v>2022</x:v>
      </x:c>
      <x:c r="F3411" s="29" t="n">
        <x:f>MONTH(B3411)</x:f>
        <x:v>12</x:v>
      </x:c>
      <x:c r="G3411" s="30" t="n">
        <x:v>-29.49</x:v>
      </x:c>
      <x:c r="H3411" s="30" t="n">
        <x:v>-71.12</x:v>
      </x:c>
      <x:c r="I3411" s="29" t="n">
        <x:v>44</x:v>
      </x:c>
      <x:c r="J3411" s="31" t="n">
        <x:v>3.8</x:v>
      </x:c>
      <x:c r="K3411" s="25" t="str">
        <x:f>IF(J3411&gt;=7,"Muy fuerte (&gt;=7)",IF(J3411&gt;=6,"Fuerte (6-6.9)",IF(J3411&gt;=5,"Moderado alto (5-5.9)",IF(J3411&gt;=4,"Moderado (4-4.9)","Menor a 4"))))</x:f>
        <x:v>Menor a 4</x:v>
      </x:c>
      <x:c r="L3411" s="25" t="str">
        <x:f>IF(I3411&lt;70,"Superficial (&lt;70 km)",IF(I3411&lt;=300,"Intermedio (70-300 km)","Profundo (&gt;300 km)"))</x:f>
        <x:v>Superficial (&lt;70 km)</x:v>
      </x:c>
      <x:c r="M3411" s="25" t="str">
        <x:f>IF(J3411&gt;=5,"Sí","No")</x:f>
        <x:v>No</x:v>
      </x:c>
      <x:c r="N3411" s="25" t="str">
        <x:f>IF(J3411&gt;=6,"Sí","No")</x:f>
        <x:v>No</x:v>
      </x:c>
      <x:c r="O3411" s="25" t="str">
        <x:v>Pendiente: asignar con R/sf</x:v>
      </x:c>
    </x:row>
    <x:row r="3412">
      <x:c r="A3412" s="25" t="n">
        <x:v>3411</x:v>
      </x:c>
      <x:c r="B3412" s="26" t="n">
        <x:v>44119.097349537034</x:v>
      </x:c>
      <x:c r="C3412" s="27" t="n">
        <x:f>INT(B3412)</x:f>
        <x:v>44119</x:v>
      </x:c>
      <x:c r="D3412" s="28" t="n">
        <x:f>MOD(B3412,1)</x:f>
        <x:v>0.09734953703446081</x:v>
      </x:c>
      <x:c r="E3412" s="29" t="n">
        <x:f>YEAR(B3412)</x:f>
        <x:v>2020</x:v>
      </x:c>
      <x:c r="F3412" s="29" t="n">
        <x:f>MONTH(B3412)</x:f>
        <x:v>10</x:v>
      </x:c>
      <x:c r="G3412" s="30" t="n">
        <x:v>-31.5</x:v>
      </x:c>
      <x:c r="H3412" s="30" t="n">
        <x:v>-69.15</x:v>
      </x:c>
      <x:c r="I3412" s="29" t="n">
        <x:v>116</x:v>
      </x:c>
      <x:c r="J3412" s="31" t="n">
        <x:v>5</x:v>
      </x:c>
      <x:c r="K3412" s="25" t="str">
        <x:f>IF(J3412&gt;=7,"Muy fuerte (&gt;=7)",IF(J3412&gt;=6,"Fuerte (6-6.9)",IF(J3412&gt;=5,"Moderado alto (5-5.9)",IF(J3412&gt;=4,"Moderado (4-4.9)","Menor a 4"))))</x:f>
        <x:v>Moderado alto (5-5.9)</x:v>
      </x:c>
      <x:c r="L3412" s="25" t="str">
        <x:f>IF(I3412&lt;70,"Superficial (&lt;70 km)",IF(I3412&lt;=300,"Intermedio (70-300 km)","Profundo (&gt;300 km)"))</x:f>
        <x:v>Intermedio (70-300 km)</x:v>
      </x:c>
      <x:c r="M3412" s="25" t="str">
        <x:f>IF(J3412&gt;=5,"Sí","No")</x:f>
        <x:v>Sí</x:v>
      </x:c>
      <x:c r="N3412" s="25" t="str">
        <x:f>IF(J3412&gt;=6,"Sí","No")</x:f>
        <x:v>No</x:v>
      </x:c>
      <x:c r="O3412" s="25" t="str">
        <x:v>Pendiente: asignar con R/sf</x:v>
      </x:c>
    </x:row>
    <x:row r="3413">
      <x:c r="A3413" s="25" t="n">
        <x:v>3412</x:v>
      </x:c>
      <x:c r="B3413" s="26" t="n">
        <x:v>44819.81228009259</x:v>
      </x:c>
      <x:c r="C3413" s="27" t="n">
        <x:f>INT(B3413)</x:f>
        <x:v>44819</x:v>
      </x:c>
      <x:c r="D3413" s="28" t="n">
        <x:f>MOD(B3413,1)</x:f>
        <x:v>0.8122800925921183</x:v>
      </x:c>
      <x:c r="E3413" s="29" t="n">
        <x:f>YEAR(B3413)</x:f>
        <x:v>2022</x:v>
      </x:c>
      <x:c r="F3413" s="29" t="n">
        <x:f>MONTH(B3413)</x:f>
        <x:v>9</x:v>
      </x:c>
      <x:c r="G3413" s="30" t="n">
        <x:v>-30.65</x:v>
      </x:c>
      <x:c r="H3413" s="30" t="n">
        <x:v>-71.3</x:v>
      </x:c>
      <x:c r="I3413" s="29" t="n">
        <x:v>52</x:v>
      </x:c>
      <x:c r="J3413" s="31" t="n">
        <x:v>4.3</x:v>
      </x:c>
      <x:c r="K3413" s="25" t="str">
        <x:f>IF(J3413&gt;=7,"Muy fuerte (&gt;=7)",IF(J3413&gt;=6,"Fuerte (6-6.9)",IF(J3413&gt;=5,"Moderado alto (5-5.9)",IF(J3413&gt;=4,"Moderado (4-4.9)","Menor a 4"))))</x:f>
        <x:v>Moderado (4-4.9)</x:v>
      </x:c>
      <x:c r="L3413" s="25" t="str">
        <x:f>IF(I3413&lt;70,"Superficial (&lt;70 km)",IF(I3413&lt;=300,"Intermedio (70-300 km)","Profundo (&gt;300 km)"))</x:f>
        <x:v>Superficial (&lt;70 km)</x:v>
      </x:c>
      <x:c r="M3413" s="25" t="str">
        <x:f>IF(J3413&gt;=5,"Sí","No")</x:f>
        <x:v>No</x:v>
      </x:c>
      <x:c r="N3413" s="25" t="str">
        <x:f>IF(J3413&gt;=6,"Sí","No")</x:f>
        <x:v>No</x:v>
      </x:c>
      <x:c r="O3413" s="25" t="str">
        <x:v>Pendiente: asignar con R/sf</x:v>
      </x:c>
    </x:row>
    <x:row r="3414">
      <x:c r="A3414" s="25" t="n">
        <x:v>3413</x:v>
      </x:c>
      <x:c r="B3414" s="26" t="n">
        <x:v>44846.6319212963</x:v>
      </x:c>
      <x:c r="C3414" s="27" t="n">
        <x:f>INT(B3414)</x:f>
        <x:v>44846</x:v>
      </x:c>
      <x:c r="D3414" s="28" t="n">
        <x:f>MOD(B3414,1)</x:f>
        <x:v>0.6319212962989695</x:v>
      </x:c>
      <x:c r="E3414" s="29" t="n">
        <x:f>YEAR(B3414)</x:f>
        <x:v>2022</x:v>
      </x:c>
      <x:c r="F3414" s="29" t="n">
        <x:f>MONTH(B3414)</x:f>
        <x:v>10</x:v>
      </x:c>
      <x:c r="G3414" s="30" t="n">
        <x:v>-30.78</x:v>
      </x:c>
      <x:c r="H3414" s="30" t="n">
        <x:v>-71.31</x:v>
      </x:c>
      <x:c r="I3414" s="29" t="n">
        <x:v>60</x:v>
      </x:c>
      <x:c r="J3414" s="31" t="n">
        <x:v>4.5</x:v>
      </x:c>
      <x:c r="K3414" s="25" t="str">
        <x:f>IF(J3414&gt;=7,"Muy fuerte (&gt;=7)",IF(J3414&gt;=6,"Fuerte (6-6.9)",IF(J3414&gt;=5,"Moderado alto (5-5.9)",IF(J3414&gt;=4,"Moderado (4-4.9)","Menor a 4"))))</x:f>
        <x:v>Moderado (4-4.9)</x:v>
      </x:c>
      <x:c r="L3414" s="25" t="str">
        <x:f>IF(I3414&lt;70,"Superficial (&lt;70 km)",IF(I3414&lt;=300,"Intermedio (70-300 km)","Profundo (&gt;300 km)"))</x:f>
        <x:v>Superficial (&lt;70 km)</x:v>
      </x:c>
      <x:c r="M3414" s="25" t="str">
        <x:f>IF(J3414&gt;=5,"Sí","No")</x:f>
        <x:v>No</x:v>
      </x:c>
      <x:c r="N3414" s="25" t="str">
        <x:f>IF(J3414&gt;=6,"Sí","No")</x:f>
        <x:v>No</x:v>
      </x:c>
      <x:c r="O3414" s="25" t="str">
        <x:v>Pendiente: asignar con R/sf</x:v>
      </x:c>
    </x:row>
    <x:row r="3415">
      <x:c r="A3415" s="25" t="n">
        <x:v>3414</x:v>
      </x:c>
      <x:c r="B3415" s="26" t="n">
        <x:v>44551.615335648145</x:v>
      </x:c>
      <x:c r="C3415" s="27" t="n">
        <x:f>INT(B3415)</x:f>
        <x:v>44551</x:v>
      </x:c>
      <x:c r="D3415" s="28" t="n">
        <x:f>MOD(B3415,1)</x:f>
        <x:v>0.6153356481445371</x:v>
      </x:c>
      <x:c r="E3415" s="29" t="n">
        <x:f>YEAR(B3415)</x:f>
        <x:v>2021</x:v>
      </x:c>
      <x:c r="F3415" s="29" t="n">
        <x:f>MONTH(B3415)</x:f>
        <x:v>12</x:v>
      </x:c>
      <x:c r="G3415" s="30" t="n">
        <x:v>-30.71</x:v>
      </x:c>
      <x:c r="H3415" s="30" t="n">
        <x:v>-71.36</x:v>
      </x:c>
      <x:c r="I3415" s="29" t="n">
        <x:v>53</x:v>
      </x:c>
      <x:c r="J3415" s="31" t="n">
        <x:v>4.4</x:v>
      </x:c>
      <x:c r="K3415" s="25" t="str">
        <x:f>IF(J3415&gt;=7,"Muy fuerte (&gt;=7)",IF(J3415&gt;=6,"Fuerte (6-6.9)",IF(J3415&gt;=5,"Moderado alto (5-5.9)",IF(J3415&gt;=4,"Moderado (4-4.9)","Menor a 4"))))</x:f>
        <x:v>Moderado (4-4.9)</x:v>
      </x:c>
      <x:c r="L3415" s="25" t="str">
        <x:f>IF(I3415&lt;70,"Superficial (&lt;70 km)",IF(I3415&lt;=300,"Intermedio (70-300 km)","Profundo (&gt;300 km)"))</x:f>
        <x:v>Superficial (&lt;70 km)</x:v>
      </x:c>
      <x:c r="M3415" s="25" t="str">
        <x:f>IF(J3415&gt;=5,"Sí","No")</x:f>
        <x:v>No</x:v>
      </x:c>
      <x:c r="N3415" s="25" t="str">
        <x:f>IF(J3415&gt;=6,"Sí","No")</x:f>
        <x:v>No</x:v>
      </x:c>
      <x:c r="O3415" s="25" t="str">
        <x:v>Pendiente: asignar con R/sf</x:v>
      </x:c>
    </x:row>
    <x:row r="3416">
      <x:c r="A3416" s="25" t="n">
        <x:v>3415</x:v>
      </x:c>
      <x:c r="B3416" s="26" t="n">
        <x:v>44858.28399305556</x:v>
      </x:c>
      <x:c r="C3416" s="27" t="n">
        <x:f>INT(B3416)</x:f>
        <x:v>44858</x:v>
      </x:c>
      <x:c r="D3416" s="28" t="n">
        <x:f>MOD(B3416,1)</x:f>
        <x:v>0.28399305555649335</x:v>
      </x:c>
      <x:c r="E3416" s="29" t="n">
        <x:f>YEAR(B3416)</x:f>
        <x:v>2022</x:v>
      </x:c>
      <x:c r="F3416" s="29" t="n">
        <x:f>MONTH(B3416)</x:f>
        <x:v>10</x:v>
      </x:c>
      <x:c r="G3416" s="30" t="n">
        <x:v>-30.7</x:v>
      </x:c>
      <x:c r="H3416" s="30" t="n">
        <x:v>-71.36</x:v>
      </x:c>
      <x:c r="I3416" s="29" t="n">
        <x:v>45</x:v>
      </x:c>
      <x:c r="J3416" s="31" t="n">
        <x:v>4.3</x:v>
      </x:c>
      <x:c r="K3416" s="25" t="str">
        <x:f>IF(J3416&gt;=7,"Muy fuerte (&gt;=7)",IF(J3416&gt;=6,"Fuerte (6-6.9)",IF(J3416&gt;=5,"Moderado alto (5-5.9)",IF(J3416&gt;=4,"Moderado (4-4.9)","Menor a 4"))))</x:f>
        <x:v>Moderado (4-4.9)</x:v>
      </x:c>
      <x:c r="L3416" s="25" t="str">
        <x:f>IF(I3416&lt;70,"Superficial (&lt;70 km)",IF(I3416&lt;=300,"Intermedio (70-300 km)","Profundo (&gt;300 km)"))</x:f>
        <x:v>Superficial (&lt;70 km)</x:v>
      </x:c>
      <x:c r="M3416" s="25" t="str">
        <x:f>IF(J3416&gt;=5,"Sí","No")</x:f>
        <x:v>No</x:v>
      </x:c>
      <x:c r="N3416" s="25" t="str">
        <x:f>IF(J3416&gt;=6,"Sí","No")</x:f>
        <x:v>No</x:v>
      </x:c>
      <x:c r="O3416" s="25" t="str">
        <x:v>Pendiente: asignar con R/sf</x:v>
      </x:c>
    </x:row>
    <x:row r="3417">
      <x:c r="A3417" s="25" t="n">
        <x:v>3416</x:v>
      </x:c>
      <x:c r="B3417" s="26" t="n">
        <x:v>44130.5521875</x:v>
      </x:c>
      <x:c r="C3417" s="27" t="n">
        <x:f>INT(B3417)</x:f>
        <x:v>44130</x:v>
      </x:c>
      <x:c r="D3417" s="28" t="n">
        <x:f>MOD(B3417,1)</x:f>
        <x:v>0.5521874999976717</x:v>
      </x:c>
      <x:c r="E3417" s="29" t="n">
        <x:f>YEAR(B3417)</x:f>
        <x:v>2020</x:v>
      </x:c>
      <x:c r="F3417" s="29" t="n">
        <x:f>MONTH(B3417)</x:f>
        <x:v>10</x:v>
      </x:c>
      <x:c r="G3417" s="30" t="n">
        <x:v>-31.11</x:v>
      </x:c>
      <x:c r="H3417" s="30" t="n">
        <x:v>-70.53</x:v>
      </x:c>
      <x:c r="I3417" s="29" t="n">
        <x:v>96</x:v>
      </x:c>
      <x:c r="J3417" s="31" t="n">
        <x:v>4.2</x:v>
      </x:c>
      <x:c r="K3417" s="25" t="str">
        <x:f>IF(J3417&gt;=7,"Muy fuerte (&gt;=7)",IF(J3417&gt;=6,"Fuerte (6-6.9)",IF(J3417&gt;=5,"Moderado alto (5-5.9)",IF(J3417&gt;=4,"Moderado (4-4.9)","Menor a 4"))))</x:f>
        <x:v>Moderado (4-4.9)</x:v>
      </x:c>
      <x:c r="L3417" s="25" t="str">
        <x:f>IF(I3417&lt;70,"Superficial (&lt;70 km)",IF(I3417&lt;=300,"Intermedio (70-300 km)","Profundo (&gt;300 km)"))</x:f>
        <x:v>Intermedio (70-300 km)</x:v>
      </x:c>
      <x:c r="M3417" s="25" t="str">
        <x:f>IF(J3417&gt;=5,"Sí","No")</x:f>
        <x:v>No</x:v>
      </x:c>
      <x:c r="N3417" s="25" t="str">
        <x:f>IF(J3417&gt;=6,"Sí","No")</x:f>
        <x:v>No</x:v>
      </x:c>
      <x:c r="O3417" s="25" t="str">
        <x:v>Pendiente: asignar con R/sf</x:v>
      </x:c>
    </x:row>
    <x:row r="3418">
      <x:c r="A3418" s="25" t="n">
        <x:v>3417</x:v>
      </x:c>
      <x:c r="B3418" s="26" t="n">
        <x:v>44201.91668981482</x:v>
      </x:c>
      <x:c r="C3418" s="27" t="n">
        <x:f>INT(B3418)</x:f>
        <x:v>44201</x:v>
      </x:c>
      <x:c r="D3418" s="28" t="n">
        <x:f>MOD(B3418,1)</x:f>
        <x:v>0.9166898148178007</x:v>
      </x:c>
      <x:c r="E3418" s="29" t="n">
        <x:f>YEAR(B3418)</x:f>
        <x:v>2021</x:v>
      </x:c>
      <x:c r="F3418" s="29" t="n">
        <x:f>MONTH(B3418)</x:f>
        <x:v>1</x:v>
      </x:c>
      <x:c r="G3418" s="30" t="n">
        <x:v>-31.68</x:v>
      </x:c>
      <x:c r="H3418" s="30" t="n">
        <x:v>-70.56</x:v>
      </x:c>
      <x:c r="I3418" s="29" t="n">
        <x:v>119</x:v>
      </x:c>
      <x:c r="J3418" s="31" t="n">
        <x:v>4.8</x:v>
      </x:c>
      <x:c r="K3418" s="25" t="str">
        <x:f>IF(J3418&gt;=7,"Muy fuerte (&gt;=7)",IF(J3418&gt;=6,"Fuerte (6-6.9)",IF(J3418&gt;=5,"Moderado alto (5-5.9)",IF(J3418&gt;=4,"Moderado (4-4.9)","Menor a 4"))))</x:f>
        <x:v>Moderado (4-4.9)</x:v>
      </x:c>
      <x:c r="L3418" s="25" t="str">
        <x:f>IF(I3418&lt;70,"Superficial (&lt;70 km)",IF(I3418&lt;=300,"Intermedio (70-300 km)","Profundo (&gt;300 km)"))</x:f>
        <x:v>Intermedio (70-300 km)</x:v>
      </x:c>
      <x:c r="M3418" s="25" t="str">
        <x:f>IF(J3418&gt;=5,"Sí","No")</x:f>
        <x:v>No</x:v>
      </x:c>
      <x:c r="N3418" s="25" t="str">
        <x:f>IF(J3418&gt;=6,"Sí","No")</x:f>
        <x:v>No</x:v>
      </x:c>
      <x:c r="O3418" s="25" t="str">
        <x:v>Pendiente: asignar con R/sf</x:v>
      </x:c>
    </x:row>
    <x:row r="3419">
      <x:c r="A3419" s="25" t="n">
        <x:v>3418</x:v>
      </x:c>
      <x:c r="B3419" s="26" t="n">
        <x:v>44684.40976851852</x:v>
      </x:c>
      <x:c r="C3419" s="27" t="n">
        <x:f>INT(B3419)</x:f>
        <x:v>44684</x:v>
      </x:c>
      <x:c r="D3419" s="28" t="n">
        <x:f>MOD(B3419,1)</x:f>
        <x:v>0.4097685185188311</x:v>
      </x:c>
      <x:c r="E3419" s="29" t="n">
        <x:f>YEAR(B3419)</x:f>
        <x:v>2022</x:v>
      </x:c>
      <x:c r="F3419" s="29" t="n">
        <x:f>MONTH(B3419)</x:f>
        <x:v>5</x:v>
      </x:c>
      <x:c r="G3419" s="30" t="n">
        <x:v>-30.79</x:v>
      </x:c>
      <x:c r="H3419" s="30" t="n">
        <x:v>-71.31</x:v>
      </x:c>
      <x:c r="I3419" s="29" t="n">
        <x:v>56</x:v>
      </x:c>
      <x:c r="J3419" s="31" t="n">
        <x:v>4.2</x:v>
      </x:c>
      <x:c r="K3419" s="25" t="str">
        <x:f>IF(J3419&gt;=7,"Muy fuerte (&gt;=7)",IF(J3419&gt;=6,"Fuerte (6-6.9)",IF(J3419&gt;=5,"Moderado alto (5-5.9)",IF(J3419&gt;=4,"Moderado (4-4.9)","Menor a 4"))))</x:f>
        <x:v>Moderado (4-4.9)</x:v>
      </x:c>
      <x:c r="L3419" s="25" t="str">
        <x:f>IF(I3419&lt;70,"Superficial (&lt;70 km)",IF(I3419&lt;=300,"Intermedio (70-300 km)","Profundo (&gt;300 km)"))</x:f>
        <x:v>Superficial (&lt;70 km)</x:v>
      </x:c>
      <x:c r="M3419" s="25" t="str">
        <x:f>IF(J3419&gt;=5,"Sí","No")</x:f>
        <x:v>No</x:v>
      </x:c>
      <x:c r="N3419" s="25" t="str">
        <x:f>IF(J3419&gt;=6,"Sí","No")</x:f>
        <x:v>No</x:v>
      </x:c>
      <x:c r="O3419" s="25" t="str">
        <x:v>Pendiente: asignar con R/sf</x:v>
      </x:c>
    </x:row>
    <x:row r="3420">
      <x:c r="A3420" s="25" t="n">
        <x:v>3419</x:v>
      </x:c>
      <x:c r="B3420" s="26" t="n">
        <x:v>45009.25929398148</x:v>
      </x:c>
      <x:c r="C3420" s="27" t="n">
        <x:f>INT(B3420)</x:f>
        <x:v>45009</x:v>
      </x:c>
      <x:c r="D3420" s="28" t="n">
        <x:f>MOD(B3420,1)</x:f>
        <x:v>0.25929398147854954</x:v>
      </x:c>
      <x:c r="E3420" s="29" t="n">
        <x:f>YEAR(B3420)</x:f>
        <x:v>2023</x:v>
      </x:c>
      <x:c r="F3420" s="29" t="n">
        <x:f>MONTH(B3420)</x:f>
        <x:v>3</x:v>
      </x:c>
      <x:c r="G3420" s="30" t="n">
        <x:v>-30.1</x:v>
      </x:c>
      <x:c r="H3420" s="30" t="n">
        <x:v>-71.24</x:v>
      </x:c>
      <x:c r="I3420" s="29" t="n">
        <x:v>65</x:v>
      </x:c>
      <x:c r="J3420" s="31" t="n">
        <x:v>4</x:v>
      </x:c>
      <x:c r="K3420" s="25" t="str">
        <x:f>IF(J3420&gt;=7,"Muy fuerte (&gt;=7)",IF(J3420&gt;=6,"Fuerte (6-6.9)",IF(J3420&gt;=5,"Moderado alto (5-5.9)",IF(J3420&gt;=4,"Moderado (4-4.9)","Menor a 4"))))</x:f>
        <x:v>Moderado (4-4.9)</x:v>
      </x:c>
      <x:c r="L3420" s="25" t="str">
        <x:f>IF(I3420&lt;70,"Superficial (&lt;70 km)",IF(I3420&lt;=300,"Intermedio (70-300 km)","Profundo (&gt;300 km)"))</x:f>
        <x:v>Superficial (&lt;70 km)</x:v>
      </x:c>
      <x:c r="M3420" s="25" t="str">
        <x:f>IF(J3420&gt;=5,"Sí","No")</x:f>
        <x:v>No</x:v>
      </x:c>
      <x:c r="N3420" s="25" t="str">
        <x:f>IF(J3420&gt;=6,"Sí","No")</x:f>
        <x:v>No</x:v>
      </x:c>
      <x:c r="O3420" s="25" t="str">
        <x:v>Pendiente: asignar con R/sf</x:v>
      </x:c>
    </x:row>
    <x:row r="3421">
      <x:c r="A3421" s="25" t="n">
        <x:v>3420</x:v>
      </x:c>
      <x:c r="B3421" s="26" t="n">
        <x:v>43658.12474537037</x:v>
      </x:c>
      <x:c r="C3421" s="27" t="n">
        <x:f>INT(B3421)</x:f>
        <x:v>43658</x:v>
      </x:c>
      <x:c r="D3421" s="28" t="n">
        <x:f>MOD(B3421,1)</x:f>
        <x:v>0.12474537036905531</x:v>
      </x:c>
      <x:c r="E3421" s="29" t="n">
        <x:f>YEAR(B3421)</x:f>
        <x:v>2019</x:v>
      </x:c>
      <x:c r="F3421" s="29" t="n">
        <x:f>MONTH(B3421)</x:f>
        <x:v>7</x:v>
      </x:c>
      <x:c r="G3421" s="30" t="n">
        <x:v>-32.15</x:v>
      </x:c>
      <x:c r="H3421" s="30" t="n">
        <x:v>-71.08</x:v>
      </x:c>
      <x:c r="I3421" s="29" t="n">
        <x:v>74</x:v>
      </x:c>
      <x:c r="J3421" s="31" t="n">
        <x:v>3.2</x:v>
      </x:c>
      <x:c r="K3421" s="25" t="str">
        <x:f>IF(J3421&gt;=7,"Muy fuerte (&gt;=7)",IF(J3421&gt;=6,"Fuerte (6-6.9)",IF(J3421&gt;=5,"Moderado alto (5-5.9)",IF(J3421&gt;=4,"Moderado (4-4.9)","Menor a 4"))))</x:f>
        <x:v>Menor a 4</x:v>
      </x:c>
      <x:c r="L3421" s="25" t="str">
        <x:f>IF(I3421&lt;70,"Superficial (&lt;70 km)",IF(I3421&lt;=300,"Intermedio (70-300 km)","Profundo (&gt;300 km)"))</x:f>
        <x:v>Intermedio (70-300 km)</x:v>
      </x:c>
      <x:c r="M3421" s="25" t="str">
        <x:f>IF(J3421&gt;=5,"Sí","No")</x:f>
        <x:v>No</x:v>
      </x:c>
      <x:c r="N3421" s="25" t="str">
        <x:f>IF(J3421&gt;=6,"Sí","No")</x:f>
        <x:v>No</x:v>
      </x:c>
      <x:c r="O3421" s="25" t="str">
        <x:v>Pendiente: asignar con R/sf</x:v>
      </x:c>
    </x:row>
    <x:row r="3422">
      <x:c r="A3422" s="25" t="n">
        <x:v>3421</x:v>
      </x:c>
      <x:c r="B3422" s="26" t="n">
        <x:v>43722.21910879629</x:v>
      </x:c>
      <x:c r="C3422" s="27" t="n">
        <x:f>INT(B3422)</x:f>
        <x:v>43722</x:v>
      </x:c>
      <x:c r="D3422" s="28" t="n">
        <x:f>MOD(B3422,1)</x:f>
        <x:v>0.21910879629285773</x:v>
      </x:c>
      <x:c r="E3422" s="29" t="n">
        <x:f>YEAR(B3422)</x:f>
        <x:v>2019</x:v>
      </x:c>
      <x:c r="F3422" s="29" t="n">
        <x:f>MONTH(B3422)</x:f>
        <x:v>9</x:v>
      </x:c>
      <x:c r="G3422" s="30" t="n">
        <x:v>-31.36</x:v>
      </x:c>
      <x:c r="H3422" s="30" t="n">
        <x:v>-68.89</x:v>
      </x:c>
      <x:c r="I3422" s="29" t="n">
        <x:v>148</x:v>
      </x:c>
      <x:c r="J3422" s="31" t="n">
        <x:v>5.1</x:v>
      </x:c>
      <x:c r="K3422" s="25" t="str">
        <x:f>IF(J3422&gt;=7,"Muy fuerte (&gt;=7)",IF(J3422&gt;=6,"Fuerte (6-6.9)",IF(J3422&gt;=5,"Moderado alto (5-5.9)",IF(J3422&gt;=4,"Moderado (4-4.9)","Menor a 4"))))</x:f>
        <x:v>Moderado alto (5-5.9)</x:v>
      </x:c>
      <x:c r="L3422" s="25" t="str">
        <x:f>IF(I3422&lt;70,"Superficial (&lt;70 km)",IF(I3422&lt;=300,"Intermedio (70-300 km)","Profundo (&gt;300 km)"))</x:f>
        <x:v>Intermedio (70-300 km)</x:v>
      </x:c>
      <x:c r="M3422" s="25" t="str">
        <x:f>IF(J3422&gt;=5,"Sí","No")</x:f>
        <x:v>Sí</x:v>
      </x:c>
      <x:c r="N3422" s="25" t="str">
        <x:f>IF(J3422&gt;=6,"Sí","No")</x:f>
        <x:v>No</x:v>
      </x:c>
      <x:c r="O3422" s="25" t="str">
        <x:v>Pendiente: asignar con R/sf</x:v>
      </x:c>
    </x:row>
    <x:row r="3423">
      <x:c r="A3423" s="25" t="n">
        <x:v>3422</x:v>
      </x:c>
      <x:c r="B3423" s="26" t="n">
        <x:v>43776.701689814814</x:v>
      </x:c>
      <x:c r="C3423" s="27" t="n">
        <x:f>INT(B3423)</x:f>
        <x:v>43776</x:v>
      </x:c>
      <x:c r="D3423" s="28" t="n">
        <x:f>MOD(B3423,1)</x:f>
        <x:v>0.7016898148140172</x:v>
      </x:c>
      <x:c r="E3423" s="29" t="n">
        <x:f>YEAR(B3423)</x:f>
        <x:v>2019</x:v>
      </x:c>
      <x:c r="F3423" s="29" t="n">
        <x:f>MONTH(B3423)</x:f>
        <x:v>11</x:v>
      </x:c>
      <x:c r="G3423" s="30" t="n">
        <x:v>-31.78</x:v>
      </x:c>
      <x:c r="H3423" s="30" t="n">
        <x:v>-71.32</x:v>
      </x:c>
      <x:c r="I3423" s="29" t="n">
        <x:v>55</x:v>
      </x:c>
      <x:c r="J3423" s="31" t="n">
        <x:v>3.7</x:v>
      </x:c>
      <x:c r="K3423" s="25" t="str">
        <x:f>IF(J3423&gt;=7,"Muy fuerte (&gt;=7)",IF(J3423&gt;=6,"Fuerte (6-6.9)",IF(J3423&gt;=5,"Moderado alto (5-5.9)",IF(J3423&gt;=4,"Moderado (4-4.9)","Menor a 4"))))</x:f>
        <x:v>Menor a 4</x:v>
      </x:c>
      <x:c r="L3423" s="25" t="str">
        <x:f>IF(I3423&lt;70,"Superficial (&lt;70 km)",IF(I3423&lt;=300,"Intermedio (70-300 km)","Profundo (&gt;300 km)"))</x:f>
        <x:v>Superficial (&lt;70 km)</x:v>
      </x:c>
      <x:c r="M3423" s="25" t="str">
        <x:f>IF(J3423&gt;=5,"Sí","No")</x:f>
        <x:v>No</x:v>
      </x:c>
      <x:c r="N3423" s="25" t="str">
        <x:f>IF(J3423&gt;=6,"Sí","No")</x:f>
        <x:v>No</x:v>
      </x:c>
      <x:c r="O3423" s="25" t="str">
        <x:v>Pendiente: asignar con R/sf</x:v>
      </x:c>
    </x:row>
    <x:row r="3424">
      <x:c r="A3424" s="25" t="n">
        <x:v>3423</x:v>
      </x:c>
      <x:c r="B3424" s="26" t="n">
        <x:v>43777.64854166667</x:v>
      </x:c>
      <x:c r="C3424" s="27" t="n">
        <x:f>INT(B3424)</x:f>
        <x:v>43777</x:v>
      </x:c>
      <x:c r="D3424" s="28" t="n">
        <x:f>MOD(B3424,1)</x:f>
        <x:v>0.648541666669189</x:v>
      </x:c>
      <x:c r="E3424" s="29" t="n">
        <x:f>YEAR(B3424)</x:f>
        <x:v>2019</x:v>
      </x:c>
      <x:c r="F3424" s="29" t="n">
        <x:f>MONTH(B3424)</x:f>
        <x:v>11</x:v>
      </x:c>
      <x:c r="G3424" s="30" t="n">
        <x:v>-31.8</x:v>
      </x:c>
      <x:c r="H3424" s="30" t="n">
        <x:v>-71.33</x:v>
      </x:c>
      <x:c r="I3424" s="29" t="n">
        <x:v>57</x:v>
      </x:c>
      <x:c r="J3424" s="31" t="n">
        <x:v>3.8</x:v>
      </x:c>
      <x:c r="K3424" s="25" t="str">
        <x:f>IF(J3424&gt;=7,"Muy fuerte (&gt;=7)",IF(J3424&gt;=6,"Fuerte (6-6.9)",IF(J3424&gt;=5,"Moderado alto (5-5.9)",IF(J3424&gt;=4,"Moderado (4-4.9)","Menor a 4"))))</x:f>
        <x:v>Menor a 4</x:v>
      </x:c>
      <x:c r="L3424" s="25" t="str">
        <x:f>IF(I3424&lt;70,"Superficial (&lt;70 km)",IF(I3424&lt;=300,"Intermedio (70-300 km)","Profundo (&gt;300 km)"))</x:f>
        <x:v>Superficial (&lt;70 km)</x:v>
      </x:c>
      <x:c r="M3424" s="25" t="str">
        <x:f>IF(J3424&gt;=5,"Sí","No")</x:f>
        <x:v>No</x:v>
      </x:c>
      <x:c r="N3424" s="25" t="str">
        <x:f>IF(J3424&gt;=6,"Sí","No")</x:f>
        <x:v>No</x:v>
      </x:c>
      <x:c r="O3424" s="25" t="str">
        <x:v>Pendiente: asignar con R/sf</x:v>
      </x:c>
    </x:row>
    <x:row r="3425">
      <x:c r="A3425" s="25" t="n">
        <x:v>3424</x:v>
      </x:c>
      <x:c r="B3425" s="26" t="n">
        <x:v>43777.90193287037</x:v>
      </x:c>
      <x:c r="C3425" s="27" t="n">
        <x:f>INT(B3425)</x:f>
        <x:v>43777</x:v>
      </x:c>
      <x:c r="D3425" s="28" t="n">
        <x:f>MOD(B3425,1)</x:f>
        <x:v>0.9019328703725478</x:v>
      </x:c>
      <x:c r="E3425" s="29" t="n">
        <x:f>YEAR(B3425)</x:f>
        <x:v>2019</x:v>
      </x:c>
      <x:c r="F3425" s="29" t="n">
        <x:f>MONTH(B3425)</x:f>
        <x:v>11</x:v>
      </x:c>
      <x:c r="G3425" s="30" t="n">
        <x:v>-31.83</x:v>
      </x:c>
      <x:c r="H3425" s="30" t="n">
        <x:v>-71.33</x:v>
      </x:c>
      <x:c r="I3425" s="29" t="n">
        <x:v>58</x:v>
      </x:c>
      <x:c r="J3425" s="31" t="n">
        <x:v>3.6</x:v>
      </x:c>
      <x:c r="K3425" s="25" t="str">
        <x:f>IF(J3425&gt;=7,"Muy fuerte (&gt;=7)",IF(J3425&gt;=6,"Fuerte (6-6.9)",IF(J3425&gt;=5,"Moderado alto (5-5.9)",IF(J3425&gt;=4,"Moderado (4-4.9)","Menor a 4"))))</x:f>
        <x:v>Menor a 4</x:v>
      </x:c>
      <x:c r="L3425" s="25" t="str">
        <x:f>IF(I3425&lt;70,"Superficial (&lt;70 km)",IF(I3425&lt;=300,"Intermedio (70-300 km)","Profundo (&gt;300 km)"))</x:f>
        <x:v>Superficial (&lt;70 km)</x:v>
      </x:c>
      <x:c r="M3425" s="25" t="str">
        <x:f>IF(J3425&gt;=5,"Sí","No")</x:f>
        <x:v>No</x:v>
      </x:c>
      <x:c r="N3425" s="25" t="str">
        <x:f>IF(J3425&gt;=6,"Sí","No")</x:f>
        <x:v>No</x:v>
      </x:c>
      <x:c r="O3425" s="25" t="str">
        <x:v>Pendiente: asignar con R/sf</x:v>
      </x:c>
    </x:row>
    <x:row r="3426">
      <x:c r="A3426" s="25" t="n">
        <x:v>3425</x:v>
      </x:c>
      <x:c r="B3426" s="26" t="n">
        <x:v>44014.1184375</x:v>
      </x:c>
      <x:c r="C3426" s="27" t="n">
        <x:f>INT(B3426)</x:f>
        <x:v>44014</x:v>
      </x:c>
      <x:c r="D3426" s="28" t="n">
        <x:f>MOD(B3426,1)</x:f>
        <x:v>0.11843750000116415</x:v>
      </x:c>
      <x:c r="E3426" s="29" t="n">
        <x:f>YEAR(B3426)</x:f>
        <x:v>2020</x:v>
      </x:c>
      <x:c r="F3426" s="29" t="n">
        <x:f>MONTH(B3426)</x:f>
        <x:v>7</x:v>
      </x:c>
      <x:c r="G3426" s="30" t="n">
        <x:v>-31.63</x:v>
      </x:c>
      <x:c r="H3426" s="30" t="n">
        <x:v>-71.7</x:v>
      </x:c>
      <x:c r="I3426" s="29" t="n">
        <x:v>40</x:v>
      </x:c>
      <x:c r="J3426" s="31" t="n">
        <x:v>4.2</x:v>
      </x:c>
      <x:c r="K3426" s="25" t="str">
        <x:f>IF(J3426&gt;=7,"Muy fuerte (&gt;=7)",IF(J3426&gt;=6,"Fuerte (6-6.9)",IF(J3426&gt;=5,"Moderado alto (5-5.9)",IF(J3426&gt;=4,"Moderado (4-4.9)","Menor a 4"))))</x:f>
        <x:v>Moderado (4-4.9)</x:v>
      </x:c>
      <x:c r="L3426" s="25" t="str">
        <x:f>IF(I3426&lt;70,"Superficial (&lt;70 km)",IF(I3426&lt;=300,"Intermedio (70-300 km)","Profundo (&gt;300 km)"))</x:f>
        <x:v>Superficial (&lt;70 km)</x:v>
      </x:c>
      <x:c r="M3426" s="25" t="str">
        <x:f>IF(J3426&gt;=5,"Sí","No")</x:f>
        <x:v>No</x:v>
      </x:c>
      <x:c r="N3426" s="25" t="str">
        <x:f>IF(J3426&gt;=6,"Sí","No")</x:f>
        <x:v>No</x:v>
      </x:c>
      <x:c r="O3426" s="25" t="str">
        <x:v>Pendiente: asignar con R/sf</x:v>
      </x:c>
    </x:row>
    <x:row r="3427">
      <x:c r="A3427" s="25" t="n">
        <x:v>3426</x:v>
      </x:c>
      <x:c r="B3427" s="26" t="n">
        <x:v>44187.53167824074</x:v>
      </x:c>
      <x:c r="C3427" s="27" t="n">
        <x:f>INT(B3427)</x:f>
        <x:v>44187</x:v>
      </x:c>
      <x:c r="D3427" s="28" t="n">
        <x:f>MOD(B3427,1)</x:f>
        <x:v>0.5316782407389837</x:v>
      </x:c>
      <x:c r="E3427" s="29" t="n">
        <x:f>YEAR(B3427)</x:f>
        <x:v>2020</x:v>
      </x:c>
      <x:c r="F3427" s="29" t="n">
        <x:f>MONTH(B3427)</x:f>
        <x:v>12</x:v>
      </x:c>
      <x:c r="G3427" s="30" t="n">
        <x:v>-32.5</x:v>
      </x:c>
      <x:c r="H3427" s="30" t="n">
        <x:v>-70.53</x:v>
      </x:c>
      <x:c r="I3427" s="29" t="n">
        <x:v>102</x:v>
      </x:c>
      <x:c r="J3427" s="31" t="n">
        <x:v>4.2</x:v>
      </x:c>
      <x:c r="K3427" s="25" t="str">
        <x:f>IF(J3427&gt;=7,"Muy fuerte (&gt;=7)",IF(J3427&gt;=6,"Fuerte (6-6.9)",IF(J3427&gt;=5,"Moderado alto (5-5.9)",IF(J3427&gt;=4,"Moderado (4-4.9)","Menor a 4"))))</x:f>
        <x:v>Moderado (4-4.9)</x:v>
      </x:c>
      <x:c r="L3427" s="25" t="str">
        <x:f>IF(I3427&lt;70,"Superficial (&lt;70 km)",IF(I3427&lt;=300,"Intermedio (70-300 km)","Profundo (&gt;300 km)"))</x:f>
        <x:v>Intermedio (70-300 km)</x:v>
      </x:c>
      <x:c r="M3427" s="25" t="str">
        <x:f>IF(J3427&gt;=5,"Sí","No")</x:f>
        <x:v>No</x:v>
      </x:c>
      <x:c r="N3427" s="25" t="str">
        <x:f>IF(J3427&gt;=6,"Sí","No")</x:f>
        <x:v>No</x:v>
      </x:c>
      <x:c r="O3427" s="25" t="str">
        <x:v>Pendiente: asignar con R/sf</x:v>
      </x:c>
    </x:row>
    <x:row r="3428">
      <x:c r="A3428" s="25" t="n">
        <x:v>3427</x:v>
      </x:c>
      <x:c r="B3428" s="26" t="n">
        <x:v>44297.61253472222</x:v>
      </x:c>
      <x:c r="C3428" s="27" t="n">
        <x:f>INT(B3428)</x:f>
        <x:v>44297</x:v>
      </x:c>
      <x:c r="D3428" s="28" t="n">
        <x:f>MOD(B3428,1)</x:f>
        <x:v>0.6125347222186974</x:v>
      </x:c>
      <x:c r="E3428" s="29" t="n">
        <x:f>YEAR(B3428)</x:f>
        <x:v>2021</x:v>
      </x:c>
      <x:c r="F3428" s="29" t="n">
        <x:f>MONTH(B3428)</x:f>
        <x:v>4</x:v>
      </x:c>
      <x:c r="G3428" s="30" t="n">
        <x:v>-31.68</x:v>
      </x:c>
      <x:c r="H3428" s="30" t="n">
        <x:v>-69.97</x:v>
      </x:c>
      <x:c r="I3428" s="29" t="n">
        <x:v>140</x:v>
      </x:c>
      <x:c r="J3428" s="31" t="n">
        <x:v>4.9</x:v>
      </x:c>
      <x:c r="K3428" s="25" t="str">
        <x:f>IF(J3428&gt;=7,"Muy fuerte (&gt;=7)",IF(J3428&gt;=6,"Fuerte (6-6.9)",IF(J3428&gt;=5,"Moderado alto (5-5.9)",IF(J3428&gt;=4,"Moderado (4-4.9)","Menor a 4"))))</x:f>
        <x:v>Moderado (4-4.9)</x:v>
      </x:c>
      <x:c r="L3428" s="25" t="str">
        <x:f>IF(I3428&lt;70,"Superficial (&lt;70 km)",IF(I3428&lt;=300,"Intermedio (70-300 km)","Profundo (&gt;300 km)"))</x:f>
        <x:v>Intermedio (70-300 km)</x:v>
      </x:c>
      <x:c r="M3428" s="25" t="str">
        <x:f>IF(J3428&gt;=5,"Sí","No")</x:f>
        <x:v>No</x:v>
      </x:c>
      <x:c r="N3428" s="25" t="str">
        <x:f>IF(J3428&gt;=6,"Sí","No")</x:f>
        <x:v>No</x:v>
      </x:c>
      <x:c r="O3428" s="25" t="str">
        <x:v>Pendiente: asignar con R/sf</x:v>
      </x:c>
    </x:row>
    <x:row r="3429">
      <x:c r="A3429" s="25" t="n">
        <x:v>3428</x:v>
      </x:c>
      <x:c r="B3429" s="26" t="n">
        <x:v>44719.876851851855</x:v>
      </x:c>
      <x:c r="C3429" s="27" t="n">
        <x:f>INT(B3429)</x:f>
        <x:v>44719</x:v>
      </x:c>
      <x:c r="D3429" s="28" t="n">
        <x:f>MOD(B3429,1)</x:f>
        <x:v>0.8768518518554629</x:v>
      </x:c>
      <x:c r="E3429" s="29" t="n">
        <x:f>YEAR(B3429)</x:f>
        <x:v>2022</x:v>
      </x:c>
      <x:c r="F3429" s="29" t="n">
        <x:f>MONTH(B3429)</x:f>
        <x:v>6</x:v>
      </x:c>
      <x:c r="G3429" s="30" t="n">
        <x:v>-32.09</x:v>
      </x:c>
      <x:c r="H3429" s="30" t="n">
        <x:v>-71.12</x:v>
      </x:c>
      <x:c r="I3429" s="29" t="n">
        <x:v>62</x:v>
      </x:c>
      <x:c r="J3429" s="31" t="n">
        <x:v>3.5</x:v>
      </x:c>
      <x:c r="K3429" s="25" t="str">
        <x:f>IF(J3429&gt;=7,"Muy fuerte (&gt;=7)",IF(J3429&gt;=6,"Fuerte (6-6.9)",IF(J3429&gt;=5,"Moderado alto (5-5.9)",IF(J3429&gt;=4,"Moderado (4-4.9)","Menor a 4"))))</x:f>
        <x:v>Menor a 4</x:v>
      </x:c>
      <x:c r="L3429" s="25" t="str">
        <x:f>IF(I3429&lt;70,"Superficial (&lt;70 km)",IF(I3429&lt;=300,"Intermedio (70-300 km)","Profundo (&gt;300 km)"))</x:f>
        <x:v>Superficial (&lt;70 km)</x:v>
      </x:c>
      <x:c r="M3429" s="25" t="str">
        <x:f>IF(J3429&gt;=5,"Sí","No")</x:f>
        <x:v>No</x:v>
      </x:c>
      <x:c r="N3429" s="25" t="str">
        <x:f>IF(J3429&gt;=6,"Sí","No")</x:f>
        <x:v>No</x:v>
      </x:c>
      <x:c r="O3429" s="25" t="str">
        <x:v>Pendiente: asignar con R/sf</x:v>
      </x:c>
    </x:row>
    <x:row r="3430">
      <x:c r="A3430" s="25" t="n">
        <x:v>3429</x:v>
      </x:c>
      <x:c r="B3430" s="26" t="n">
        <x:v>44811.479097222225</x:v>
      </x:c>
      <x:c r="C3430" s="27" t="n">
        <x:f>INT(B3430)</x:f>
        <x:v>44811</x:v>
      </x:c>
      <x:c r="D3430" s="28" t="n">
        <x:f>MOD(B3430,1)</x:f>
        <x:v>0.4790972222253913</x:v>
      </x:c>
      <x:c r="E3430" s="29" t="n">
        <x:f>YEAR(B3430)</x:f>
        <x:v>2022</x:v>
      </x:c>
      <x:c r="F3430" s="29" t="n">
        <x:f>MONTH(B3430)</x:f>
        <x:v>9</x:v>
      </x:c>
      <x:c r="G3430" s="30" t="n">
        <x:v>-32.07</x:v>
      </x:c>
      <x:c r="H3430" s="30" t="n">
        <x:v>-70.94</x:v>
      </x:c>
      <x:c r="I3430" s="29" t="n">
        <x:v>94</x:v>
      </x:c>
      <x:c r="J3430" s="31" t="n">
        <x:v>3.8</x:v>
      </x:c>
      <x:c r="K3430" s="25" t="str">
        <x:f>IF(J3430&gt;=7,"Muy fuerte (&gt;=7)",IF(J3430&gt;=6,"Fuerte (6-6.9)",IF(J3430&gt;=5,"Moderado alto (5-5.9)",IF(J3430&gt;=4,"Moderado (4-4.9)","Menor a 4"))))</x:f>
        <x:v>Menor a 4</x:v>
      </x:c>
      <x:c r="L3430" s="25" t="str">
        <x:f>IF(I3430&lt;70,"Superficial (&lt;70 km)",IF(I3430&lt;=300,"Intermedio (70-300 km)","Profundo (&gt;300 km)"))</x:f>
        <x:v>Intermedio (70-300 km)</x:v>
      </x:c>
      <x:c r="M3430" s="25" t="str">
        <x:f>IF(J3430&gt;=5,"Sí","No")</x:f>
        <x:v>No</x:v>
      </x:c>
      <x:c r="N3430" s="25" t="str">
        <x:f>IF(J3430&gt;=6,"Sí","No")</x:f>
        <x:v>No</x:v>
      </x:c>
      <x:c r="O3430" s="25" t="str">
        <x:v>Pendiente: asignar con R/sf</x:v>
      </x:c>
    </x:row>
    <x:row r="3431">
      <x:c r="A3431" s="25" t="n">
        <x:v>3430</x:v>
      </x:c>
      <x:c r="B3431" s="26" t="n">
        <x:v>44848.72998842593</x:v>
      </x:c>
      <x:c r="C3431" s="27" t="n">
        <x:f>INT(B3431)</x:f>
        <x:v>44848</x:v>
      </x:c>
      <x:c r="D3431" s="28" t="n">
        <x:f>MOD(B3431,1)</x:f>
        <x:v>0.7299884259264218</x:v>
      </x:c>
      <x:c r="E3431" s="29" t="n">
        <x:f>YEAR(B3431)</x:f>
        <x:v>2022</x:v>
      </x:c>
      <x:c r="F3431" s="29" t="n">
        <x:f>MONTH(B3431)</x:f>
        <x:v>10</x:v>
      </x:c>
      <x:c r="G3431" s="30" t="n">
        <x:v>-31.73</x:v>
      </x:c>
      <x:c r="H3431" s="30" t="n">
        <x:v>-71.17</x:v>
      </x:c>
      <x:c r="I3431" s="29" t="n">
        <x:v>48</x:v>
      </x:c>
      <x:c r="J3431" s="31" t="n">
        <x:v>4.1</x:v>
      </x:c>
      <x:c r="K3431" s="25" t="str">
        <x:f>IF(J3431&gt;=7,"Muy fuerte (&gt;=7)",IF(J3431&gt;=6,"Fuerte (6-6.9)",IF(J3431&gt;=5,"Moderado alto (5-5.9)",IF(J3431&gt;=4,"Moderado (4-4.9)","Menor a 4"))))</x:f>
        <x:v>Moderado (4-4.9)</x:v>
      </x:c>
      <x:c r="L3431" s="25" t="str">
        <x:f>IF(I3431&lt;70,"Superficial (&lt;70 km)",IF(I3431&lt;=300,"Intermedio (70-300 km)","Profundo (&gt;300 km)"))</x:f>
        <x:v>Superficial (&lt;70 km)</x:v>
      </x:c>
      <x:c r="M3431" s="25" t="str">
        <x:f>IF(J3431&gt;=5,"Sí","No")</x:f>
        <x:v>No</x:v>
      </x:c>
      <x:c r="N3431" s="25" t="str">
        <x:f>IF(J3431&gt;=6,"Sí","No")</x:f>
        <x:v>No</x:v>
      </x:c>
      <x:c r="O3431" s="25" t="str">
        <x:v>Pendiente: asignar con R/sf</x:v>
      </x:c>
    </x:row>
    <x:row r="3432">
      <x:c r="A3432" s="25" t="n">
        <x:v>3431</x:v>
      </x:c>
      <x:c r="B3432" s="26" t="n">
        <x:v>44975.20270833333</x:v>
      </x:c>
      <x:c r="C3432" s="27" t="n">
        <x:f>INT(B3432)</x:f>
        <x:v>44975</x:v>
      </x:c>
      <x:c r="D3432" s="28" t="n">
        <x:f>MOD(B3432,1)</x:f>
        <x:v>0.20270833333051996</x:v>
      </x:c>
      <x:c r="E3432" s="29" t="n">
        <x:f>YEAR(B3432)</x:f>
        <x:v>2023</x:v>
      </x:c>
      <x:c r="F3432" s="29" t="n">
        <x:f>MONTH(B3432)</x:f>
        <x:v>2</x:v>
      </x:c>
      <x:c r="G3432" s="30" t="n">
        <x:v>-31.15</x:v>
      </x:c>
      <x:c r="H3432" s="30" t="n">
        <x:v>-70.61</x:v>
      </x:c>
      <x:c r="I3432" s="29" t="n">
        <x:v>109</x:v>
      </x:c>
      <x:c r="J3432" s="31" t="n">
        <x:v>4.2</x:v>
      </x:c>
      <x:c r="K3432" s="25" t="str">
        <x:f>IF(J3432&gt;=7,"Muy fuerte (&gt;=7)",IF(J3432&gt;=6,"Fuerte (6-6.9)",IF(J3432&gt;=5,"Moderado alto (5-5.9)",IF(J3432&gt;=4,"Moderado (4-4.9)","Menor a 4"))))</x:f>
        <x:v>Moderado (4-4.9)</x:v>
      </x:c>
      <x:c r="L3432" s="25" t="str">
        <x:f>IF(I3432&lt;70,"Superficial (&lt;70 km)",IF(I3432&lt;=300,"Intermedio (70-300 km)","Profundo (&gt;300 km)"))</x:f>
        <x:v>Intermedio (70-300 km)</x:v>
      </x:c>
      <x:c r="M3432" s="25" t="str">
        <x:f>IF(J3432&gt;=5,"Sí","No")</x:f>
        <x:v>No</x:v>
      </x:c>
      <x:c r="N3432" s="25" t="str">
        <x:f>IF(J3432&gt;=6,"Sí","No")</x:f>
        <x:v>No</x:v>
      </x:c>
      <x:c r="O3432" s="25" t="str">
        <x:v>Pendiente: asignar con R/sf</x:v>
      </x:c>
    </x:row>
    <x:row r="3433">
      <x:c r="A3433" s="25" t="n">
        <x:v>3432</x:v>
      </x:c>
      <x:c r="B3433" s="26" t="n">
        <x:v>45021.87798611111</x:v>
      </x:c>
      <x:c r="C3433" s="27" t="n">
        <x:f>INT(B3433)</x:f>
        <x:v>45021</x:v>
      </x:c>
      <x:c r="D3433" s="28" t="n">
        <x:f>MOD(B3433,1)</x:f>
        <x:v>0.8779861111106584</x:v>
      </x:c>
      <x:c r="E3433" s="29" t="n">
        <x:f>YEAR(B3433)</x:f>
        <x:v>2023</x:v>
      </x:c>
      <x:c r="F3433" s="29" t="n">
        <x:f>MONTH(B3433)</x:f>
        <x:v>4</x:v>
      </x:c>
      <x:c r="G3433" s="30" t="n">
        <x:v>-32.1</x:v>
      </x:c>
      <x:c r="H3433" s="30" t="n">
        <x:v>-71.69</x:v>
      </x:c>
      <x:c r="I3433" s="29" t="n">
        <x:v>36</x:v>
      </x:c>
      <x:c r="J3433" s="31" t="n">
        <x:v>4</x:v>
      </x:c>
      <x:c r="K3433" s="25" t="str">
        <x:f>IF(J3433&gt;=7,"Muy fuerte (&gt;=7)",IF(J3433&gt;=6,"Fuerte (6-6.9)",IF(J3433&gt;=5,"Moderado alto (5-5.9)",IF(J3433&gt;=4,"Moderado (4-4.9)","Menor a 4"))))</x:f>
        <x:v>Moderado (4-4.9)</x:v>
      </x:c>
      <x:c r="L3433" s="25" t="str">
        <x:f>IF(I3433&lt;70,"Superficial (&lt;70 km)",IF(I3433&lt;=300,"Intermedio (70-300 km)","Profundo (&gt;300 km)"))</x:f>
        <x:v>Superficial (&lt;70 km)</x:v>
      </x:c>
      <x:c r="M3433" s="25" t="str">
        <x:f>IF(J3433&gt;=5,"Sí","No")</x:f>
        <x:v>No</x:v>
      </x:c>
      <x:c r="N3433" s="25" t="str">
        <x:f>IF(J3433&gt;=6,"Sí","No")</x:f>
        <x:v>No</x:v>
      </x:c>
      <x:c r="O3433" s="25" t="str">
        <x:v>Pendiente: asignar con R/sf</x:v>
      </x:c>
    </x:row>
    <x:row r="3434">
      <x:c r="A3434" s="25" t="n">
        <x:v>3433</x:v>
      </x:c>
      <x:c r="B3434" s="26" t="n">
        <x:v>44096.84258101852</x:v>
      </x:c>
      <x:c r="C3434" s="27" t="n">
        <x:f>INT(B3434)</x:f>
        <x:v>44096</x:v>
      </x:c>
      <x:c r="D3434" s="28" t="n">
        <x:f>MOD(B3434,1)</x:f>
        <x:v>0.8425810185217415</x:v>
      </x:c>
      <x:c r="E3434" s="29" t="n">
        <x:f>YEAR(B3434)</x:f>
        <x:v>2020</x:v>
      </x:c>
      <x:c r="F3434" s="29" t="n">
        <x:f>MONTH(B3434)</x:f>
        <x:v>9</x:v>
      </x:c>
      <x:c r="G3434" s="30" t="n">
        <x:v>-30.7</x:v>
      </x:c>
      <x:c r="H3434" s="30" t="n">
        <x:v>-71.56</x:v>
      </x:c>
      <x:c r="I3434" s="29" t="n">
        <x:v>27</x:v>
      </x:c>
      <x:c r="J3434" s="31" t="n">
        <x:v>4.7</x:v>
      </x:c>
      <x:c r="K3434" s="25" t="str">
        <x:f>IF(J3434&gt;=7,"Muy fuerte (&gt;=7)",IF(J3434&gt;=6,"Fuerte (6-6.9)",IF(J3434&gt;=5,"Moderado alto (5-5.9)",IF(J3434&gt;=4,"Moderado (4-4.9)","Menor a 4"))))</x:f>
        <x:v>Moderado (4-4.9)</x:v>
      </x:c>
      <x:c r="L3434" s="25" t="str">
        <x:f>IF(I3434&lt;70,"Superficial (&lt;70 km)",IF(I3434&lt;=300,"Intermedio (70-300 km)","Profundo (&gt;300 km)"))</x:f>
        <x:v>Superficial (&lt;70 km)</x:v>
      </x:c>
      <x:c r="M3434" s="25" t="str">
        <x:f>IF(J3434&gt;=5,"Sí","No")</x:f>
        <x:v>No</x:v>
      </x:c>
      <x:c r="N3434" s="25" t="str">
        <x:f>IF(J3434&gt;=6,"Sí","No")</x:f>
        <x:v>No</x:v>
      </x:c>
      <x:c r="O3434" s="25" t="str">
        <x:v>Pendiente: asignar con R/sf</x:v>
      </x:c>
    </x:row>
    <x:row r="3435">
      <x:c r="A3435" s="25" t="n">
        <x:v>3434</x:v>
      </x:c>
      <x:c r="B3435" s="26" t="n">
        <x:v>44124.048113425924</x:v>
      </x:c>
      <x:c r="C3435" s="27" t="n">
        <x:f>INT(B3435)</x:f>
        <x:v>44124</x:v>
      </x:c>
      <x:c r="D3435" s="28" t="n">
        <x:f>MOD(B3435,1)</x:f>
        <x:v>0.0481134259243845</x:v>
      </x:c>
      <x:c r="E3435" s="29" t="n">
        <x:f>YEAR(B3435)</x:f>
        <x:v>2020</x:v>
      </x:c>
      <x:c r="F3435" s="29" t="n">
        <x:f>MONTH(B3435)</x:f>
        <x:v>10</x:v>
      </x:c>
      <x:c r="G3435" s="30" t="n">
        <x:v>-30.74</x:v>
      </x:c>
      <x:c r="H3435" s="30" t="n">
        <x:v>-71.45</x:v>
      </x:c>
      <x:c r="I3435" s="29" t="n">
        <x:v>49</x:v>
      </x:c>
      <x:c r="J3435" s="31" t="n">
        <x:v>4.1</x:v>
      </x:c>
      <x:c r="K3435" s="25" t="str">
        <x:f>IF(J3435&gt;=7,"Muy fuerte (&gt;=7)",IF(J3435&gt;=6,"Fuerte (6-6.9)",IF(J3435&gt;=5,"Moderado alto (5-5.9)",IF(J3435&gt;=4,"Moderado (4-4.9)","Menor a 4"))))</x:f>
        <x:v>Moderado (4-4.9)</x:v>
      </x:c>
      <x:c r="L3435" s="25" t="str">
        <x:f>IF(I3435&lt;70,"Superficial (&lt;70 km)",IF(I3435&lt;=300,"Intermedio (70-300 km)","Profundo (&gt;300 km)"))</x:f>
        <x:v>Superficial (&lt;70 km)</x:v>
      </x:c>
      <x:c r="M3435" s="25" t="str">
        <x:f>IF(J3435&gt;=5,"Sí","No")</x:f>
        <x:v>No</x:v>
      </x:c>
      <x:c r="N3435" s="25" t="str">
        <x:f>IF(J3435&gt;=6,"Sí","No")</x:f>
        <x:v>No</x:v>
      </x:c>
      <x:c r="O3435" s="25" t="str">
        <x:v>Pendiente: asignar con R/sf</x:v>
      </x:c>
    </x:row>
    <x:row r="3436">
      <x:c r="A3436" s="25" t="n">
        <x:v>3435</x:v>
      </x:c>
      <x:c r="B3436" s="26" t="n">
        <x:v>44353.921331018515</x:v>
      </x:c>
      <x:c r="C3436" s="27" t="n">
        <x:f>INT(B3436)</x:f>
        <x:v>44353</x:v>
      </x:c>
      <x:c r="D3436" s="28" t="n">
        <x:f>MOD(B3436,1)</x:f>
        <x:v>0.9213310185150476</x:v>
      </x:c>
      <x:c r="E3436" s="29" t="n">
        <x:f>YEAR(B3436)</x:f>
        <x:v>2021</x:v>
      </x:c>
      <x:c r="F3436" s="29" t="n">
        <x:f>MONTH(B3436)</x:f>
        <x:v>6</x:v>
      </x:c>
      <x:c r="G3436" s="30" t="n">
        <x:v>-30.68</x:v>
      </x:c>
      <x:c r="H3436" s="30" t="n">
        <x:v>-71.7</x:v>
      </x:c>
      <x:c r="I3436" s="29" t="n">
        <x:v>35</x:v>
      </x:c>
      <x:c r="J3436" s="31" t="n">
        <x:v>4.2</x:v>
      </x:c>
      <x:c r="K3436" s="25" t="str">
        <x:f>IF(J3436&gt;=7,"Muy fuerte (&gt;=7)",IF(J3436&gt;=6,"Fuerte (6-6.9)",IF(J3436&gt;=5,"Moderado alto (5-5.9)",IF(J3436&gt;=4,"Moderado (4-4.9)","Menor a 4"))))</x:f>
        <x:v>Moderado (4-4.9)</x:v>
      </x:c>
      <x:c r="L3436" s="25" t="str">
        <x:f>IF(I3436&lt;70,"Superficial (&lt;70 km)",IF(I3436&lt;=300,"Intermedio (70-300 km)","Profundo (&gt;300 km)"))</x:f>
        <x:v>Superficial (&lt;70 km)</x:v>
      </x:c>
      <x:c r="M3436" s="25" t="str">
        <x:f>IF(J3436&gt;=5,"Sí","No")</x:f>
        <x:v>No</x:v>
      </x:c>
      <x:c r="N3436" s="25" t="str">
        <x:f>IF(J3436&gt;=6,"Sí","No")</x:f>
        <x:v>No</x:v>
      </x:c>
      <x:c r="O3436" s="25" t="str">
        <x:v>Pendiente: asignar con R/sf</x:v>
      </x:c>
    </x:row>
    <x:row r="3437">
      <x:c r="A3437" s="25" t="n">
        <x:v>3436</x:v>
      </x:c>
      <x:c r="B3437" s="26" t="n">
        <x:v>44446.277395833335</x:v>
      </x:c>
      <x:c r="C3437" s="27" t="n">
        <x:f>INT(B3437)</x:f>
        <x:v>44446</x:v>
      </x:c>
      <x:c r="D3437" s="28" t="n">
        <x:f>MOD(B3437,1)</x:f>
        <x:v>0.2773958333345945</x:v>
      </x:c>
      <x:c r="E3437" s="29" t="n">
        <x:f>YEAR(B3437)</x:f>
        <x:v>2021</x:v>
      </x:c>
      <x:c r="F3437" s="29" t="n">
        <x:f>MONTH(B3437)</x:f>
        <x:v>9</x:v>
      </x:c>
      <x:c r="G3437" s="30" t="n">
        <x:v>-30.73</x:v>
      </x:c>
      <x:c r="H3437" s="30" t="n">
        <x:v>-71.69</x:v>
      </x:c>
      <x:c r="I3437" s="29" t="n">
        <x:v>35</x:v>
      </x:c>
      <x:c r="J3437" s="31" t="n">
        <x:v>4.4</x:v>
      </x:c>
      <x:c r="K3437" s="25" t="str">
        <x:f>IF(J3437&gt;=7,"Muy fuerte (&gt;=7)",IF(J3437&gt;=6,"Fuerte (6-6.9)",IF(J3437&gt;=5,"Moderado alto (5-5.9)",IF(J3437&gt;=4,"Moderado (4-4.9)","Menor a 4"))))</x:f>
        <x:v>Moderado (4-4.9)</x:v>
      </x:c>
      <x:c r="L3437" s="25" t="str">
        <x:f>IF(I3437&lt;70,"Superficial (&lt;70 km)",IF(I3437&lt;=300,"Intermedio (70-300 km)","Profundo (&gt;300 km)"))</x:f>
        <x:v>Superficial (&lt;70 km)</x:v>
      </x:c>
      <x:c r="M3437" s="25" t="str">
        <x:f>IF(J3437&gt;=5,"Sí","No")</x:f>
        <x:v>No</x:v>
      </x:c>
      <x:c r="N3437" s="25" t="str">
        <x:f>IF(J3437&gt;=6,"Sí","No")</x:f>
        <x:v>No</x:v>
      </x:c>
      <x:c r="O3437" s="25" t="str">
        <x:v>Pendiente: asignar con R/sf</x:v>
      </x:c>
    </x:row>
    <x:row r="3438">
      <x:c r="A3438" s="25" t="n">
        <x:v>3437</x:v>
      </x:c>
      <x:c r="B3438" s="26" t="n">
        <x:v>44747.48299768518</x:v>
      </x:c>
      <x:c r="C3438" s="27" t="n">
        <x:f>INT(B3438)</x:f>
        <x:v>44747</x:v>
      </x:c>
      <x:c r="D3438" s="28" t="n">
        <x:f>MOD(B3438,1)</x:f>
        <x:v>0.4829976851833635</x:v>
      </x:c>
      <x:c r="E3438" s="29" t="n">
        <x:f>YEAR(B3438)</x:f>
        <x:v>2022</x:v>
      </x:c>
      <x:c r="F3438" s="29" t="n">
        <x:f>MONTH(B3438)</x:f>
        <x:v>7</x:v>
      </x:c>
      <x:c r="G3438" s="30" t="n">
        <x:v>-30.53</x:v>
      </x:c>
      <x:c r="H3438" s="30" t="n">
        <x:v>-72.13</x:v>
      </x:c>
      <x:c r="I3438" s="29" t="n">
        <x:v>24</x:v>
      </x:c>
      <x:c r="J3438" s="31" t="n">
        <x:v>4.8</x:v>
      </x:c>
      <x:c r="K3438" s="25" t="str">
        <x:f>IF(J3438&gt;=7,"Muy fuerte (&gt;=7)",IF(J3438&gt;=6,"Fuerte (6-6.9)",IF(J3438&gt;=5,"Moderado alto (5-5.9)",IF(J3438&gt;=4,"Moderado (4-4.9)","Menor a 4"))))</x:f>
        <x:v>Moderado (4-4.9)</x:v>
      </x:c>
      <x:c r="L3438" s="25" t="str">
        <x:f>IF(I3438&lt;70,"Superficial (&lt;70 km)",IF(I3438&lt;=300,"Intermedio (70-300 km)","Profundo (&gt;300 km)"))</x:f>
        <x:v>Superficial (&lt;70 km)</x:v>
      </x:c>
      <x:c r="M3438" s="25" t="str">
        <x:f>IF(J3438&gt;=5,"Sí","No")</x:f>
        <x:v>No</x:v>
      </x:c>
      <x:c r="N3438" s="25" t="str">
        <x:f>IF(J3438&gt;=6,"Sí","No")</x:f>
        <x:v>No</x:v>
      </x:c>
      <x:c r="O3438" s="25" t="str">
        <x:v>Pendiente: asignar con R/sf</x:v>
      </x:c>
    </x:row>
    <x:row r="3439">
      <x:c r="A3439" s="25" t="n">
        <x:v>3438</x:v>
      </x:c>
      <x:c r="B3439" s="26" t="n">
        <x:v>44758.47960648148</x:v>
      </x:c>
      <x:c r="C3439" s="27" t="n">
        <x:f>INT(B3439)</x:f>
        <x:v>44758</x:v>
      </x:c>
      <x:c r="D3439" s="28" t="n">
        <x:f>MOD(B3439,1)</x:f>
        <x:v>0.47960648148000473</x:v>
      </x:c>
      <x:c r="E3439" s="29" t="n">
        <x:f>YEAR(B3439)</x:f>
        <x:v>2022</x:v>
      </x:c>
      <x:c r="F3439" s="29" t="n">
        <x:f>MONTH(B3439)</x:f>
        <x:v>7</x:v>
      </x:c>
      <x:c r="G3439" s="30" t="n">
        <x:v>-30.87</x:v>
      </x:c>
      <x:c r="H3439" s="30" t="n">
        <x:v>-71.67</x:v>
      </x:c>
      <x:c r="I3439" s="29" t="n">
        <x:v>26</x:v>
      </x:c>
      <x:c r="J3439" s="31" t="n">
        <x:v>4</x:v>
      </x:c>
      <x:c r="K3439" s="25" t="str">
        <x:f>IF(J3439&gt;=7,"Muy fuerte (&gt;=7)",IF(J3439&gt;=6,"Fuerte (6-6.9)",IF(J3439&gt;=5,"Moderado alto (5-5.9)",IF(J3439&gt;=4,"Moderado (4-4.9)","Menor a 4"))))</x:f>
        <x:v>Moderado (4-4.9)</x:v>
      </x:c>
      <x:c r="L3439" s="25" t="str">
        <x:f>IF(I3439&lt;70,"Superficial (&lt;70 km)",IF(I3439&lt;=300,"Intermedio (70-300 km)","Profundo (&gt;300 km)"))</x:f>
        <x:v>Superficial (&lt;70 km)</x:v>
      </x:c>
      <x:c r="M3439" s="25" t="str">
        <x:f>IF(J3439&gt;=5,"Sí","No")</x:f>
        <x:v>No</x:v>
      </x:c>
      <x:c r="N3439" s="25" t="str">
        <x:f>IF(J3439&gt;=6,"Sí","No")</x:f>
        <x:v>No</x:v>
      </x:c>
      <x:c r="O3439" s="25" t="str">
        <x:v>Pendiente: asignar con R/sf</x:v>
      </x:c>
    </x:row>
    <x:row r="3440">
      <x:c r="A3440" s="25" t="n">
        <x:v>3439</x:v>
      </x:c>
      <x:c r="B3440" s="26" t="n">
        <x:v>44855.63081018518</x:v>
      </x:c>
      <x:c r="C3440" s="27" t="n">
        <x:f>INT(B3440)</x:f>
        <x:v>44855</x:v>
      </x:c>
      <x:c r="D3440" s="28" t="n">
        <x:f>MOD(B3440,1)</x:f>
        <x:v>0.6308101851827814</x:v>
      </x:c>
      <x:c r="E3440" s="29" t="n">
        <x:f>YEAR(B3440)</x:f>
        <x:v>2022</x:v>
      </x:c>
      <x:c r="F3440" s="29" t="n">
        <x:f>MONTH(B3440)</x:f>
        <x:v>10</x:v>
      </x:c>
      <x:c r="G3440" s="30" t="n">
        <x:v>-30.59</x:v>
      </x:c>
      <x:c r="H3440" s="30" t="n">
        <x:v>-71.59</x:v>
      </x:c>
      <x:c r="I3440" s="29" t="n">
        <x:v>42</x:v>
      </x:c>
      <x:c r="J3440" s="31" t="n">
        <x:v>4.4</x:v>
      </x:c>
      <x:c r="K3440" s="25" t="str">
        <x:f>IF(J3440&gt;=7,"Muy fuerte (&gt;=7)",IF(J3440&gt;=6,"Fuerte (6-6.9)",IF(J3440&gt;=5,"Moderado alto (5-5.9)",IF(J3440&gt;=4,"Moderado (4-4.9)","Menor a 4"))))</x:f>
        <x:v>Moderado (4-4.9)</x:v>
      </x:c>
      <x:c r="L3440" s="25" t="str">
        <x:f>IF(I3440&lt;70,"Superficial (&lt;70 km)",IF(I3440&lt;=300,"Intermedio (70-300 km)","Profundo (&gt;300 km)"))</x:f>
        <x:v>Superficial (&lt;70 km)</x:v>
      </x:c>
      <x:c r="M3440" s="25" t="str">
        <x:f>IF(J3440&gt;=5,"Sí","No")</x:f>
        <x:v>No</x:v>
      </x:c>
      <x:c r="N3440" s="25" t="str">
        <x:f>IF(J3440&gt;=6,"Sí","No")</x:f>
        <x:v>No</x:v>
      </x:c>
      <x:c r="O3440" s="25" t="str">
        <x:v>Pendiente: asignar con R/sf</x:v>
      </x:c>
    </x:row>
    <x:row r="3441">
      <x:c r="A3441" s="25" t="n">
        <x:v>3440</x:v>
      </x:c>
      <x:c r="B3441" s="26" t="n">
        <x:v>44865.991435185184</x:v>
      </x:c>
      <x:c r="C3441" s="27" t="n">
        <x:f>INT(B3441)</x:f>
        <x:v>44865</x:v>
      </x:c>
      <x:c r="D3441" s="28" t="n">
        <x:f>MOD(B3441,1)</x:f>
        <x:v>0.9914351851839456</x:v>
      </x:c>
      <x:c r="E3441" s="29" t="n">
        <x:f>YEAR(B3441)</x:f>
        <x:v>2022</x:v>
      </x:c>
      <x:c r="F3441" s="29" t="n">
        <x:f>MONTH(B3441)</x:f>
        <x:v>10</x:v>
      </x:c>
      <x:c r="G3441" s="30" t="n">
        <x:v>-30.7</x:v>
      </x:c>
      <x:c r="H3441" s="30" t="n">
        <x:v>-71.46</x:v>
      </x:c>
      <x:c r="I3441" s="29" t="n">
        <x:v>28</x:v>
      </x:c>
      <x:c r="J3441" s="31" t="n">
        <x:v>3.8</x:v>
      </x:c>
      <x:c r="K3441" s="25" t="str">
        <x:f>IF(J3441&gt;=7,"Muy fuerte (&gt;=7)",IF(J3441&gt;=6,"Fuerte (6-6.9)",IF(J3441&gt;=5,"Moderado alto (5-5.9)",IF(J3441&gt;=4,"Moderado (4-4.9)","Menor a 4"))))</x:f>
        <x:v>Menor a 4</x:v>
      </x:c>
      <x:c r="L3441" s="25" t="str">
        <x:f>IF(I3441&lt;70,"Superficial (&lt;70 km)",IF(I3441&lt;=300,"Intermedio (70-300 km)","Profundo (&gt;300 km)"))</x:f>
        <x:v>Superficial (&lt;70 km)</x:v>
      </x:c>
      <x:c r="M3441" s="25" t="str">
        <x:f>IF(J3441&gt;=5,"Sí","No")</x:f>
        <x:v>No</x:v>
      </x:c>
      <x:c r="N3441" s="25" t="str">
        <x:f>IF(J3441&gt;=6,"Sí","No")</x:f>
        <x:v>No</x:v>
      </x:c>
      <x:c r="O3441" s="25" t="str">
        <x:v>Pendiente: asignar con R/sf</x:v>
      </x:c>
    </x:row>
    <x:row r="3442">
      <x:c r="A3442" s="25" t="n">
        <x:v>3441</x:v>
      </x:c>
      <x:c r="B3442" s="26" t="n">
        <x:v>44928.761782407404</x:v>
      </x:c>
      <x:c r="C3442" s="27" t="n">
        <x:f>INT(B3442)</x:f>
        <x:v>44928</x:v>
      </x:c>
      <x:c r="D3442" s="28" t="n">
        <x:f>MOD(B3442,1)</x:f>
        <x:v>0.7617824074040982</x:v>
      </x:c>
      <x:c r="E3442" s="29" t="n">
        <x:f>YEAR(B3442)</x:f>
        <x:v>2023</x:v>
      </x:c>
      <x:c r="F3442" s="29" t="n">
        <x:f>MONTH(B3442)</x:f>
        <x:v>1</x:v>
      </x:c>
      <x:c r="G3442" s="30" t="n">
        <x:v>-30.44</x:v>
      </x:c>
      <x:c r="H3442" s="30" t="n">
        <x:v>-71.64</x:v>
      </x:c>
      <x:c r="I3442" s="29" t="n">
        <x:v>33</x:v>
      </x:c>
      <x:c r="J3442" s="31" t="n">
        <x:v>3.9</x:v>
      </x:c>
      <x:c r="K3442" s="25" t="str">
        <x:f>IF(J3442&gt;=7,"Muy fuerte (&gt;=7)",IF(J3442&gt;=6,"Fuerte (6-6.9)",IF(J3442&gt;=5,"Moderado alto (5-5.9)",IF(J3442&gt;=4,"Moderado (4-4.9)","Menor a 4"))))</x:f>
        <x:v>Menor a 4</x:v>
      </x:c>
      <x:c r="L3442" s="25" t="str">
        <x:f>IF(I3442&lt;70,"Superficial (&lt;70 km)",IF(I3442&lt;=300,"Intermedio (70-300 km)","Profundo (&gt;300 km)"))</x:f>
        <x:v>Superficial (&lt;70 km)</x:v>
      </x:c>
      <x:c r="M3442" s="25" t="str">
        <x:f>IF(J3442&gt;=5,"Sí","No")</x:f>
        <x:v>No</x:v>
      </x:c>
      <x:c r="N3442" s="25" t="str">
        <x:f>IF(J3442&gt;=6,"Sí","No")</x:f>
        <x:v>No</x:v>
      </x:c>
      <x:c r="O3442" s="25" t="str">
        <x:v>Pendiente: asignar con R/sf</x:v>
      </x:c>
    </x:row>
    <x:row r="3443">
      <x:c r="A3443" s="25" t="n">
        <x:v>3442</x:v>
      </x:c>
      <x:c r="B3443" s="26" t="n">
        <x:v>44949.94122685185</x:v>
      </x:c>
      <x:c r="C3443" s="27" t="n">
        <x:f>INT(B3443)</x:f>
        <x:v>44949</x:v>
      </x:c>
      <x:c r="D3443" s="28" t="n">
        <x:f>MOD(B3443,1)</x:f>
        <x:v>0.9412268518499332</x:v>
      </x:c>
      <x:c r="E3443" s="29" t="n">
        <x:f>YEAR(B3443)</x:f>
        <x:v>2023</x:v>
      </x:c>
      <x:c r="F3443" s="29" t="n">
        <x:f>MONTH(B3443)</x:f>
        <x:v>1</x:v>
      </x:c>
      <x:c r="G3443" s="30" t="n">
        <x:v>-30.62</x:v>
      </x:c>
      <x:c r="H3443" s="30" t="n">
        <x:v>-71.71</x:v>
      </x:c>
      <x:c r="I3443" s="29" t="n">
        <x:v>40</x:v>
      </x:c>
      <x:c r="J3443" s="31" t="n">
        <x:v>4.3</x:v>
      </x:c>
      <x:c r="K3443" s="25" t="str">
        <x:f>IF(J3443&gt;=7,"Muy fuerte (&gt;=7)",IF(J3443&gt;=6,"Fuerte (6-6.9)",IF(J3443&gt;=5,"Moderado alto (5-5.9)",IF(J3443&gt;=4,"Moderado (4-4.9)","Menor a 4"))))</x:f>
        <x:v>Moderado (4-4.9)</x:v>
      </x:c>
      <x:c r="L3443" s="25" t="str">
        <x:f>IF(I3443&lt;70,"Superficial (&lt;70 km)",IF(I3443&lt;=300,"Intermedio (70-300 km)","Profundo (&gt;300 km)"))</x:f>
        <x:v>Superficial (&lt;70 km)</x:v>
      </x:c>
      <x:c r="M3443" s="25" t="str">
        <x:f>IF(J3443&gt;=5,"Sí","No")</x:f>
        <x:v>No</x:v>
      </x:c>
      <x:c r="N3443" s="25" t="str">
        <x:f>IF(J3443&gt;=6,"Sí","No")</x:f>
        <x:v>No</x:v>
      </x:c>
      <x:c r="O3443" s="25" t="str">
        <x:v>Pendiente: asignar con R/sf</x:v>
      </x:c>
    </x:row>
    <x:row r="3444">
      <x:c r="A3444" s="25" t="n">
        <x:v>3443</x:v>
      </x:c>
      <x:c r="B3444" s="26" t="n">
        <x:v>44980.13815972222</x:v>
      </x:c>
      <x:c r="C3444" s="27" t="n">
        <x:f>INT(B3444)</x:f>
        <x:v>44980</x:v>
      </x:c>
      <x:c r="D3444" s="28" t="n">
        <x:f>MOD(B3444,1)</x:f>
        <x:v>0.1381597222207347</x:v>
      </x:c>
      <x:c r="E3444" s="29" t="n">
        <x:f>YEAR(B3444)</x:f>
        <x:v>2023</x:v>
      </x:c>
      <x:c r="F3444" s="29" t="n">
        <x:f>MONTH(B3444)</x:f>
        <x:v>2</x:v>
      </x:c>
      <x:c r="G3444" s="30" t="n">
        <x:v>-30.44</x:v>
      </x:c>
      <x:c r="H3444" s="30" t="n">
        <x:v>-71.69</x:v>
      </x:c>
      <x:c r="I3444" s="29" t="n">
        <x:v>34</x:v>
      </x:c>
      <x:c r="J3444" s="31" t="n">
        <x:v>4.3</x:v>
      </x:c>
      <x:c r="K3444" s="25" t="str">
        <x:f>IF(J3444&gt;=7,"Muy fuerte (&gt;=7)",IF(J3444&gt;=6,"Fuerte (6-6.9)",IF(J3444&gt;=5,"Moderado alto (5-5.9)",IF(J3444&gt;=4,"Moderado (4-4.9)","Menor a 4"))))</x:f>
        <x:v>Moderado (4-4.9)</x:v>
      </x:c>
      <x:c r="L3444" s="25" t="str">
        <x:f>IF(I3444&lt;70,"Superficial (&lt;70 km)",IF(I3444&lt;=300,"Intermedio (70-300 km)","Profundo (&gt;300 km)"))</x:f>
        <x:v>Superficial (&lt;70 km)</x:v>
      </x:c>
      <x:c r="M3444" s="25" t="str">
        <x:f>IF(J3444&gt;=5,"Sí","No")</x:f>
        <x:v>No</x:v>
      </x:c>
      <x:c r="N3444" s="25" t="str">
        <x:f>IF(J3444&gt;=6,"Sí","No")</x:f>
        <x:v>No</x:v>
      </x:c>
      <x:c r="O3444" s="25" t="str">
        <x:v>Pendiente: asignar con R/sf</x:v>
      </x:c>
    </x:row>
    <x:row r="3445">
      <x:c r="A3445" s="25" t="n">
        <x:v>3444</x:v>
      </x:c>
      <x:c r="B3445" s="26" t="n">
        <x:v>44980.140393518515</x:v>
      </x:c>
      <x:c r="C3445" s="27" t="n">
        <x:f>INT(B3445)</x:f>
        <x:v>44980</x:v>
      </x:c>
      <x:c r="D3445" s="28" t="n">
        <x:f>MOD(B3445,1)</x:f>
        <x:v>0.14039351851533866</x:v>
      </x:c>
      <x:c r="E3445" s="29" t="n">
        <x:f>YEAR(B3445)</x:f>
        <x:v>2023</x:v>
      </x:c>
      <x:c r="F3445" s="29" t="n">
        <x:f>MONTH(B3445)</x:f>
        <x:v>2</x:v>
      </x:c>
      <x:c r="G3445" s="30" t="n">
        <x:v>-30.42</x:v>
      </x:c>
      <x:c r="H3445" s="30" t="n">
        <x:v>-71.65</x:v>
      </x:c>
      <x:c r="I3445" s="29" t="n">
        <x:v>26</x:v>
      </x:c>
      <x:c r="J3445" s="31" t="n">
        <x:v>4.1</x:v>
      </x:c>
      <x:c r="K3445" s="25" t="str">
        <x:f>IF(J3445&gt;=7,"Muy fuerte (&gt;=7)",IF(J3445&gt;=6,"Fuerte (6-6.9)",IF(J3445&gt;=5,"Moderado alto (5-5.9)",IF(J3445&gt;=4,"Moderado (4-4.9)","Menor a 4"))))</x:f>
        <x:v>Moderado (4-4.9)</x:v>
      </x:c>
      <x:c r="L3445" s="25" t="str">
        <x:f>IF(I3445&lt;70,"Superficial (&lt;70 km)",IF(I3445&lt;=300,"Intermedio (70-300 km)","Profundo (&gt;300 km)"))</x:f>
        <x:v>Superficial (&lt;70 km)</x:v>
      </x:c>
      <x:c r="M3445" s="25" t="str">
        <x:f>IF(J3445&gt;=5,"Sí","No")</x:f>
        <x:v>No</x:v>
      </x:c>
      <x:c r="N3445" s="25" t="str">
        <x:f>IF(J3445&gt;=6,"Sí","No")</x:f>
        <x:v>No</x:v>
      </x:c>
      <x:c r="O3445" s="25" t="str">
        <x:v>Pendiente: asignar con R/sf</x:v>
      </x:c>
    </x:row>
    <x:row r="3446">
      <x:c r="A3446" s="25" t="n">
        <x:v>3445</x:v>
      </x:c>
      <x:c r="B3446" s="26" t="n">
        <x:v>44147.433842592596</x:v>
      </x:c>
      <x:c r="C3446" s="27" t="n">
        <x:f>INT(B3446)</x:f>
        <x:v>44147</x:v>
      </x:c>
      <x:c r="D3446" s="28" t="n">
        <x:f>MOD(B3446,1)</x:f>
        <x:v>0.43384259259619284</x:v>
      </x:c>
      <x:c r="E3446" s="29" t="n">
        <x:f>YEAR(B3446)</x:f>
        <x:v>2020</x:v>
      </x:c>
      <x:c r="F3446" s="29" t="n">
        <x:f>MONTH(B3446)</x:f>
        <x:v>11</x:v>
      </x:c>
      <x:c r="G3446" s="30" t="n">
        <x:v>-30.71</x:v>
      </x:c>
      <x:c r="H3446" s="30" t="n">
        <x:v>-71.4</x:v>
      </x:c>
      <x:c r="I3446" s="29" t="n">
        <x:v>51</x:v>
      </x:c>
      <x:c r="J3446" s="31" t="n">
        <x:v>4.2</x:v>
      </x:c>
      <x:c r="K3446" s="25" t="str">
        <x:f>IF(J3446&gt;=7,"Muy fuerte (&gt;=7)",IF(J3446&gt;=6,"Fuerte (6-6.9)",IF(J3446&gt;=5,"Moderado alto (5-5.9)",IF(J3446&gt;=4,"Moderado (4-4.9)","Menor a 4"))))</x:f>
        <x:v>Moderado (4-4.9)</x:v>
      </x:c>
      <x:c r="L3446" s="25" t="str">
        <x:f>IF(I3446&lt;70,"Superficial (&lt;70 km)",IF(I3446&lt;=300,"Intermedio (70-300 km)","Profundo (&gt;300 km)"))</x:f>
        <x:v>Superficial (&lt;70 km)</x:v>
      </x:c>
      <x:c r="M3446" s="25" t="str">
        <x:f>IF(J3446&gt;=5,"Sí","No")</x:f>
        <x:v>No</x:v>
      </x:c>
      <x:c r="N3446" s="25" t="str">
        <x:f>IF(J3446&gt;=6,"Sí","No")</x:f>
        <x:v>No</x:v>
      </x:c>
      <x:c r="O3446" s="25" t="str">
        <x:v>Pendiente: asignar con R/sf</x:v>
      </x:c>
    </x:row>
    <x:row r="3447">
      <x:c r="A3447" s="25" t="n">
        <x:v>3446</x:v>
      </x:c>
      <x:c r="B3447" s="26" t="n">
        <x:v>44267.68409722222</x:v>
      </x:c>
      <x:c r="C3447" s="27" t="n">
        <x:f>INT(B3447)</x:f>
        <x:v>44267</x:v>
      </x:c>
      <x:c r="D3447" s="28" t="n">
        <x:f>MOD(B3447,1)</x:f>
        <x:v>0.6840972222198616</x:v>
      </x:c>
      <x:c r="E3447" s="29" t="n">
        <x:f>YEAR(B3447)</x:f>
        <x:v>2021</x:v>
      </x:c>
      <x:c r="F3447" s="29" t="n">
        <x:f>MONTH(B3447)</x:f>
        <x:v>3</x:v>
      </x:c>
      <x:c r="G3447" s="30" t="n">
        <x:v>-30.73</x:v>
      </x:c>
      <x:c r="H3447" s="30" t="n">
        <x:v>-71.42</x:v>
      </x:c>
      <x:c r="I3447" s="29" t="n">
        <x:v>51</x:v>
      </x:c>
      <x:c r="J3447" s="31" t="n">
        <x:v>3.8</x:v>
      </x:c>
      <x:c r="K3447" s="25" t="str">
        <x:f>IF(J3447&gt;=7,"Muy fuerte (&gt;=7)",IF(J3447&gt;=6,"Fuerte (6-6.9)",IF(J3447&gt;=5,"Moderado alto (5-5.9)",IF(J3447&gt;=4,"Moderado (4-4.9)","Menor a 4"))))</x:f>
        <x:v>Menor a 4</x:v>
      </x:c>
      <x:c r="L3447" s="25" t="str">
        <x:f>IF(I3447&lt;70,"Superficial (&lt;70 km)",IF(I3447&lt;=300,"Intermedio (70-300 km)","Profundo (&gt;300 km)"))</x:f>
        <x:v>Superficial (&lt;70 km)</x:v>
      </x:c>
      <x:c r="M3447" s="25" t="str">
        <x:f>IF(J3447&gt;=5,"Sí","No")</x:f>
        <x:v>No</x:v>
      </x:c>
      <x:c r="N3447" s="25" t="str">
        <x:f>IF(J3447&gt;=6,"Sí","No")</x:f>
        <x:v>No</x:v>
      </x:c>
      <x:c r="O3447" s="25" t="str">
        <x:v>Pendiente: asignar con R/sf</x:v>
      </x:c>
    </x:row>
    <x:row r="3448">
      <x:c r="A3448" s="25" t="n">
        <x:v>3447</x:v>
      </x:c>
      <x:c r="B3448" s="26" t="n">
        <x:v>44343.699641203704</x:v>
      </x:c>
      <x:c r="C3448" s="27" t="n">
        <x:f>INT(B3448)</x:f>
        <x:v>44343</x:v>
      </x:c>
      <x:c r="D3448" s="28" t="n">
        <x:f>MOD(B3448,1)</x:f>
        <x:v>0.6996412037042319</x:v>
      </x:c>
      <x:c r="E3448" s="29" t="n">
        <x:f>YEAR(B3448)</x:f>
        <x:v>2021</x:v>
      </x:c>
      <x:c r="F3448" s="29" t="n">
        <x:f>MONTH(B3448)</x:f>
        <x:v>5</x:v>
      </x:c>
      <x:c r="G3448" s="30" t="n">
        <x:v>-30.7</x:v>
      </x:c>
      <x:c r="H3448" s="30" t="n">
        <x:v>-71.4</x:v>
      </x:c>
      <x:c r="I3448" s="29" t="n">
        <x:v>46</x:v>
      </x:c>
      <x:c r="J3448" s="31" t="n">
        <x:v>4.2</x:v>
      </x:c>
      <x:c r="K3448" s="25" t="str">
        <x:f>IF(J3448&gt;=7,"Muy fuerte (&gt;=7)",IF(J3448&gt;=6,"Fuerte (6-6.9)",IF(J3448&gt;=5,"Moderado alto (5-5.9)",IF(J3448&gt;=4,"Moderado (4-4.9)","Menor a 4"))))</x:f>
        <x:v>Moderado (4-4.9)</x:v>
      </x:c>
      <x:c r="L3448" s="25" t="str">
        <x:f>IF(I3448&lt;70,"Superficial (&lt;70 km)",IF(I3448&lt;=300,"Intermedio (70-300 km)","Profundo (&gt;300 km)"))</x:f>
        <x:v>Superficial (&lt;70 km)</x:v>
      </x:c>
      <x:c r="M3448" s="25" t="str">
        <x:f>IF(J3448&gt;=5,"Sí","No")</x:f>
        <x:v>No</x:v>
      </x:c>
      <x:c r="N3448" s="25" t="str">
        <x:f>IF(J3448&gt;=6,"Sí","No")</x:f>
        <x:v>No</x:v>
      </x:c>
      <x:c r="O3448" s="25" t="str">
        <x:v>Pendiente: asignar con R/sf</x:v>
      </x:c>
    </x:row>
    <x:row r="3449">
      <x:c r="A3449" s="25" t="n">
        <x:v>3448</x:v>
      </x:c>
      <x:c r="B3449" s="26" t="n">
        <x:v>44466.41579861111</x:v>
      </x:c>
      <x:c r="C3449" s="27" t="n">
        <x:f>INT(B3449)</x:f>
        <x:v>44466</x:v>
      </x:c>
      <x:c r="D3449" s="28" t="n">
        <x:f>MOD(B3449,1)</x:f>
        <x:v>0.41579861110949423</x:v>
      </x:c>
      <x:c r="E3449" s="29" t="n">
        <x:f>YEAR(B3449)</x:f>
        <x:v>2021</x:v>
      </x:c>
      <x:c r="F3449" s="29" t="n">
        <x:f>MONTH(B3449)</x:f>
        <x:v>9</x:v>
      </x:c>
      <x:c r="G3449" s="30" t="n">
        <x:v>-30.67</x:v>
      </x:c>
      <x:c r="H3449" s="30" t="n">
        <x:v>-71.4</x:v>
      </x:c>
      <x:c r="I3449" s="29" t="n">
        <x:v>45</x:v>
      </x:c>
      <x:c r="J3449" s="31" t="n">
        <x:v>4.2</x:v>
      </x:c>
      <x:c r="K3449" s="25" t="str">
        <x:f>IF(J3449&gt;=7,"Muy fuerte (&gt;=7)",IF(J3449&gt;=6,"Fuerte (6-6.9)",IF(J3449&gt;=5,"Moderado alto (5-5.9)",IF(J3449&gt;=4,"Moderado (4-4.9)","Menor a 4"))))</x:f>
        <x:v>Moderado (4-4.9)</x:v>
      </x:c>
      <x:c r="L3449" s="25" t="str">
        <x:f>IF(I3449&lt;70,"Superficial (&lt;70 km)",IF(I3449&lt;=300,"Intermedio (70-300 km)","Profundo (&gt;300 km)"))</x:f>
        <x:v>Superficial (&lt;70 km)</x:v>
      </x:c>
      <x:c r="M3449" s="25" t="str">
        <x:f>IF(J3449&gt;=5,"Sí","No")</x:f>
        <x:v>No</x:v>
      </x:c>
      <x:c r="N3449" s="25" t="str">
        <x:f>IF(J3449&gt;=6,"Sí","No")</x:f>
        <x:v>No</x:v>
      </x:c>
      <x:c r="O3449" s="25" t="str">
        <x:v>Pendiente: asignar con R/sf</x:v>
      </x:c>
    </x:row>
    <x:row r="3450">
      <x:c r="A3450" s="25" t="n">
        <x:v>3449</x:v>
      </x:c>
      <x:c r="B3450" s="26" t="n">
        <x:v>44554.66804398148</x:v>
      </x:c>
      <x:c r="C3450" s="27" t="n">
        <x:f>INT(B3450)</x:f>
        <x:v>44554</x:v>
      </x:c>
      <x:c r="D3450" s="28" t="n">
        <x:f>MOD(B3450,1)</x:f>
        <x:v>0.6680439814808778</x:v>
      </x:c>
      <x:c r="E3450" s="29" t="n">
        <x:f>YEAR(B3450)</x:f>
        <x:v>2021</x:v>
      </x:c>
      <x:c r="F3450" s="29" t="n">
        <x:f>MONTH(B3450)</x:f>
        <x:v>12</x:v>
      </x:c>
      <x:c r="G3450" s="30" t="n">
        <x:v>-30.74</x:v>
      </x:c>
      <x:c r="H3450" s="30" t="n">
        <x:v>-71.41</x:v>
      </x:c>
      <x:c r="I3450" s="29" t="n">
        <x:v>49</x:v>
      </x:c>
      <x:c r="J3450" s="31" t="n">
        <x:v>3.6</x:v>
      </x:c>
      <x:c r="K3450" s="25" t="str">
        <x:f>IF(J3450&gt;=7,"Muy fuerte (&gt;=7)",IF(J3450&gt;=6,"Fuerte (6-6.9)",IF(J3450&gt;=5,"Moderado alto (5-5.9)",IF(J3450&gt;=4,"Moderado (4-4.9)","Menor a 4"))))</x:f>
        <x:v>Menor a 4</x:v>
      </x:c>
      <x:c r="L3450" s="25" t="str">
        <x:f>IF(I3450&lt;70,"Superficial (&lt;70 km)",IF(I3450&lt;=300,"Intermedio (70-300 km)","Profundo (&gt;300 km)"))</x:f>
        <x:v>Superficial (&lt;70 km)</x:v>
      </x:c>
      <x:c r="M3450" s="25" t="str">
        <x:f>IF(J3450&gt;=5,"Sí","No")</x:f>
        <x:v>No</x:v>
      </x:c>
      <x:c r="N3450" s="25" t="str">
        <x:f>IF(J3450&gt;=6,"Sí","No")</x:f>
        <x:v>No</x:v>
      </x:c>
      <x:c r="O3450" s="25" t="str">
        <x:v>Pendiente: asignar con R/sf</x:v>
      </x:c>
    </x:row>
    <x:row r="3451">
      <x:c r="A3451" s="25" t="n">
        <x:v>3450</x:v>
      </x:c>
      <x:c r="B3451" s="26" t="n">
        <x:v>44694.637395833335</x:v>
      </x:c>
      <x:c r="C3451" s="27" t="n">
        <x:f>INT(B3451)</x:f>
        <x:v>44694</x:v>
      </x:c>
      <x:c r="D3451" s="28" t="n">
        <x:f>MOD(B3451,1)</x:f>
        <x:v>0.6373958333351766</x:v>
      </x:c>
      <x:c r="E3451" s="29" t="n">
        <x:f>YEAR(B3451)</x:f>
        <x:v>2022</x:v>
      </x:c>
      <x:c r="F3451" s="29" t="n">
        <x:f>MONTH(B3451)</x:f>
        <x:v>5</x:v>
      </x:c>
      <x:c r="G3451" s="30" t="n">
        <x:v>-30.64</x:v>
      </x:c>
      <x:c r="H3451" s="30" t="n">
        <x:v>-71.27</x:v>
      </x:c>
      <x:c r="I3451" s="29" t="n">
        <x:v>55</x:v>
      </x:c>
      <x:c r="J3451" s="31" t="n">
        <x:v>4.1</x:v>
      </x:c>
      <x:c r="K3451" s="25" t="str">
        <x:f>IF(J3451&gt;=7,"Muy fuerte (&gt;=7)",IF(J3451&gt;=6,"Fuerte (6-6.9)",IF(J3451&gt;=5,"Moderado alto (5-5.9)",IF(J3451&gt;=4,"Moderado (4-4.9)","Menor a 4"))))</x:f>
        <x:v>Moderado (4-4.9)</x:v>
      </x:c>
      <x:c r="L3451" s="25" t="str">
        <x:f>IF(I3451&lt;70,"Superficial (&lt;70 km)",IF(I3451&lt;=300,"Intermedio (70-300 km)","Profundo (&gt;300 km)"))</x:f>
        <x:v>Superficial (&lt;70 km)</x:v>
      </x:c>
      <x:c r="M3451" s="25" t="str">
        <x:f>IF(J3451&gt;=5,"Sí","No")</x:f>
        <x:v>No</x:v>
      </x:c>
      <x:c r="N3451" s="25" t="str">
        <x:f>IF(J3451&gt;=6,"Sí","No")</x:f>
        <x:v>No</x:v>
      </x:c>
      <x:c r="O3451" s="25" t="str">
        <x:v>Pendiente: asignar con R/sf</x:v>
      </x:c>
    </x:row>
    <x:row r="3452">
      <x:c r="A3452" s="25" t="n">
        <x:v>3451</x:v>
      </x:c>
      <x:c r="B3452" s="26" t="n">
        <x:v>44717.161516203705</x:v>
      </x:c>
      <x:c r="C3452" s="27" t="n">
        <x:f>INT(B3452)</x:f>
        <x:v>44717</x:v>
      </x:c>
      <x:c r="D3452" s="28" t="n">
        <x:f>MOD(B3452,1)</x:f>
        <x:v>0.161516203705105</x:v>
      </x:c>
      <x:c r="E3452" s="29" t="n">
        <x:f>YEAR(B3452)</x:f>
        <x:v>2022</x:v>
      </x:c>
      <x:c r="F3452" s="29" t="n">
        <x:f>MONTH(B3452)</x:f>
        <x:v>6</x:v>
      </x:c>
      <x:c r="G3452" s="30" t="n">
        <x:v>-30.72</x:v>
      </x:c>
      <x:c r="H3452" s="30" t="n">
        <x:v>-71.23</x:v>
      </x:c>
      <x:c r="I3452" s="29" t="n">
        <x:v>40</x:v>
      </x:c>
      <x:c r="J3452" s="31" t="n">
        <x:v>3.8</x:v>
      </x:c>
      <x:c r="K3452" s="25" t="str">
        <x:f>IF(J3452&gt;=7,"Muy fuerte (&gt;=7)",IF(J3452&gt;=6,"Fuerte (6-6.9)",IF(J3452&gt;=5,"Moderado alto (5-5.9)",IF(J3452&gt;=4,"Moderado (4-4.9)","Menor a 4"))))</x:f>
        <x:v>Menor a 4</x:v>
      </x:c>
      <x:c r="L3452" s="25" t="str">
        <x:f>IF(I3452&lt;70,"Superficial (&lt;70 km)",IF(I3452&lt;=300,"Intermedio (70-300 km)","Profundo (&gt;300 km)"))</x:f>
        <x:v>Superficial (&lt;70 km)</x:v>
      </x:c>
      <x:c r="M3452" s="25" t="str">
        <x:f>IF(J3452&gt;=5,"Sí","No")</x:f>
        <x:v>No</x:v>
      </x:c>
      <x:c r="N3452" s="25" t="str">
        <x:f>IF(J3452&gt;=6,"Sí","No")</x:f>
        <x:v>No</x:v>
      </x:c>
      <x:c r="O3452" s="25" t="str">
        <x:v>Pendiente: asignar con R/sf</x:v>
      </x:c>
    </x:row>
    <x:row r="3453">
      <x:c r="A3453" s="25" t="n">
        <x:v>3452</x:v>
      </x:c>
      <x:c r="B3453" s="26" t="n">
        <x:v>44734.00114583333</x:v>
      </x:c>
      <x:c r="C3453" s="27" t="n">
        <x:f>INT(B3453)</x:f>
        <x:v>44734</x:v>
      </x:c>
      <x:c r="D3453" s="28" t="n">
        <x:f>MOD(B3453,1)</x:f>
        <x:v>0.0011458333319751546</x:v>
      </x:c>
      <x:c r="E3453" s="29" t="n">
        <x:f>YEAR(B3453)</x:f>
        <x:v>2022</x:v>
      </x:c>
      <x:c r="F3453" s="29" t="n">
        <x:f>MONTH(B3453)</x:f>
        <x:v>6</x:v>
      </x:c>
      <x:c r="G3453" s="30" t="n">
        <x:v>-31.06</x:v>
      </x:c>
      <x:c r="H3453" s="30" t="n">
        <x:v>-69.09</x:v>
      </x:c>
      <x:c r="I3453" s="29" t="n">
        <x:v>98</x:v>
      </x:c>
      <x:c r="J3453" s="31" t="n">
        <x:v>4.7</x:v>
      </x:c>
      <x:c r="K3453" s="25" t="str">
        <x:f>IF(J3453&gt;=7,"Muy fuerte (&gt;=7)",IF(J3453&gt;=6,"Fuerte (6-6.9)",IF(J3453&gt;=5,"Moderado alto (5-5.9)",IF(J3453&gt;=4,"Moderado (4-4.9)","Menor a 4"))))</x:f>
        <x:v>Moderado (4-4.9)</x:v>
      </x:c>
      <x:c r="L3453" s="25" t="str">
        <x:f>IF(I3453&lt;70,"Superficial (&lt;70 km)",IF(I3453&lt;=300,"Intermedio (70-300 km)","Profundo (&gt;300 km)"))</x:f>
        <x:v>Intermedio (70-300 km)</x:v>
      </x:c>
      <x:c r="M3453" s="25" t="str">
        <x:f>IF(J3453&gt;=5,"Sí","No")</x:f>
        <x:v>No</x:v>
      </x:c>
      <x:c r="N3453" s="25" t="str">
        <x:f>IF(J3453&gt;=6,"Sí","No")</x:f>
        <x:v>No</x:v>
      </x:c>
      <x:c r="O3453" s="25" t="str">
        <x:v>Pendiente: asignar con R/sf</x:v>
      </x:c>
    </x:row>
    <x:row r="3454">
      <x:c r="A3454" s="25" t="n">
        <x:v>3453</x:v>
      </x:c>
      <x:c r="B3454" s="26" t="n">
        <x:v>44757.12578703704</x:v>
      </x:c>
      <x:c r="C3454" s="27" t="n">
        <x:f>INT(B3454)</x:f>
        <x:v>44757</x:v>
      </x:c>
      <x:c r="D3454" s="28" t="n">
        <x:f>MOD(B3454,1)</x:f>
        <x:v>0.12578703703911742</x:v>
      </x:c>
      <x:c r="E3454" s="29" t="n">
        <x:f>YEAR(B3454)</x:f>
        <x:v>2022</x:v>
      </x:c>
      <x:c r="F3454" s="29" t="n">
        <x:f>MONTH(B3454)</x:f>
        <x:v>7</x:v>
      </x:c>
      <x:c r="G3454" s="30" t="n">
        <x:v>-30.99</x:v>
      </x:c>
      <x:c r="H3454" s="30" t="n">
        <x:v>-71.29</x:v>
      </x:c>
      <x:c r="I3454" s="29" t="n">
        <x:v>60</x:v>
      </x:c>
      <x:c r="J3454" s="31" t="n">
        <x:v>4.1</x:v>
      </x:c>
      <x:c r="K3454" s="25" t="str">
        <x:f>IF(J3454&gt;=7,"Muy fuerte (&gt;=7)",IF(J3454&gt;=6,"Fuerte (6-6.9)",IF(J3454&gt;=5,"Moderado alto (5-5.9)",IF(J3454&gt;=4,"Moderado (4-4.9)","Menor a 4"))))</x:f>
        <x:v>Moderado (4-4.9)</x:v>
      </x:c>
      <x:c r="L3454" s="25" t="str">
        <x:f>IF(I3454&lt;70,"Superficial (&lt;70 km)",IF(I3454&lt;=300,"Intermedio (70-300 km)","Profundo (&gt;300 km)"))</x:f>
        <x:v>Superficial (&lt;70 km)</x:v>
      </x:c>
      <x:c r="M3454" s="25" t="str">
        <x:f>IF(J3454&gt;=5,"Sí","No")</x:f>
        <x:v>No</x:v>
      </x:c>
      <x:c r="N3454" s="25" t="str">
        <x:f>IF(J3454&gt;=6,"Sí","No")</x:f>
        <x:v>No</x:v>
      </x:c>
      <x:c r="O3454" s="25" t="str">
        <x:v>Pendiente: asignar con R/sf</x:v>
      </x:c>
    </x:row>
    <x:row r="3455">
      <x:c r="A3455" s="25" t="n">
        <x:v>3454</x:v>
      </x:c>
      <x:c r="B3455" s="26" t="n">
        <x:v>44880.84900462963</x:v>
      </x:c>
      <x:c r="C3455" s="27" t="n">
        <x:f>INT(B3455)</x:f>
        <x:v>44880</x:v>
      </x:c>
      <x:c r="D3455" s="28" t="n">
        <x:f>MOD(B3455,1)</x:f>
        <x:v>0.8490046296283253</x:v>
      </x:c>
      <x:c r="E3455" s="29" t="n">
        <x:f>YEAR(B3455)</x:f>
        <x:v>2022</x:v>
      </x:c>
      <x:c r="F3455" s="29" t="n">
        <x:f>MONTH(B3455)</x:f>
        <x:v>11</x:v>
      </x:c>
      <x:c r="G3455" s="30" t="n">
        <x:v>-30.73</x:v>
      </x:c>
      <x:c r="H3455" s="30" t="n">
        <x:v>-71.41</x:v>
      </x:c>
      <x:c r="I3455" s="29" t="n">
        <x:v>48</x:v>
      </x:c>
      <x:c r="J3455" s="31" t="n">
        <x:v>3.8</x:v>
      </x:c>
      <x:c r="K3455" s="25" t="str">
        <x:f>IF(J3455&gt;=7,"Muy fuerte (&gt;=7)",IF(J3455&gt;=6,"Fuerte (6-6.9)",IF(J3455&gt;=5,"Moderado alto (5-5.9)",IF(J3455&gt;=4,"Moderado (4-4.9)","Menor a 4"))))</x:f>
        <x:v>Menor a 4</x:v>
      </x:c>
      <x:c r="L3455" s="25" t="str">
        <x:f>IF(I3455&lt;70,"Superficial (&lt;70 km)",IF(I3455&lt;=300,"Intermedio (70-300 km)","Profundo (&gt;300 km)"))</x:f>
        <x:v>Superficial (&lt;70 km)</x:v>
      </x:c>
      <x:c r="M3455" s="25" t="str">
        <x:f>IF(J3455&gt;=5,"Sí","No")</x:f>
        <x:v>No</x:v>
      </x:c>
      <x:c r="N3455" s="25" t="str">
        <x:f>IF(J3455&gt;=6,"Sí","No")</x:f>
        <x:v>No</x:v>
      </x:c>
      <x:c r="O3455" s="25" t="str">
        <x:v>Pendiente: asignar con R/sf</x:v>
      </x:c>
    </x:row>
    <x:row r="3456">
      <x:c r="A3456" s="25" t="n">
        <x:v>3455</x:v>
      </x:c>
      <x:c r="B3456" s="26" t="n">
        <x:v>44890.03152777778</x:v>
      </x:c>
      <x:c r="C3456" s="27" t="n">
        <x:f>INT(B3456)</x:f>
        <x:v>44890</x:v>
      </x:c>
      <x:c r="D3456" s="28" t="n">
        <x:f>MOD(B3456,1)</x:f>
        <x:v>0.03152777777722804</x:v>
      </x:c>
      <x:c r="E3456" s="29" t="n">
        <x:f>YEAR(B3456)</x:f>
        <x:v>2022</x:v>
      </x:c>
      <x:c r="F3456" s="29" t="n">
        <x:f>MONTH(B3456)</x:f>
        <x:v>11</x:v>
      </x:c>
      <x:c r="G3456" s="30" t="n">
        <x:v>-30.71</x:v>
      </x:c>
      <x:c r="H3456" s="30" t="n">
        <x:v>-71.41</x:v>
      </x:c>
      <x:c r="I3456" s="29" t="n">
        <x:v>44</x:v>
      </x:c>
      <x:c r="J3456" s="31" t="n">
        <x:v>3.7</x:v>
      </x:c>
      <x:c r="K3456" s="25" t="str">
        <x:f>IF(J3456&gt;=7,"Muy fuerte (&gt;=7)",IF(J3456&gt;=6,"Fuerte (6-6.9)",IF(J3456&gt;=5,"Moderado alto (5-5.9)",IF(J3456&gt;=4,"Moderado (4-4.9)","Menor a 4"))))</x:f>
        <x:v>Menor a 4</x:v>
      </x:c>
      <x:c r="L3456" s="25" t="str">
        <x:f>IF(I3456&lt;70,"Superficial (&lt;70 km)",IF(I3456&lt;=300,"Intermedio (70-300 km)","Profundo (&gt;300 km)"))</x:f>
        <x:v>Superficial (&lt;70 km)</x:v>
      </x:c>
      <x:c r="M3456" s="25" t="str">
        <x:f>IF(J3456&gt;=5,"Sí","No")</x:f>
        <x:v>No</x:v>
      </x:c>
      <x:c r="N3456" s="25" t="str">
        <x:f>IF(J3456&gt;=6,"Sí","No")</x:f>
        <x:v>No</x:v>
      </x:c>
      <x:c r="O3456" s="25" t="str">
        <x:v>Pendiente: asignar con R/sf</x:v>
      </x:c>
    </x:row>
    <x:row r="3457">
      <x:c r="A3457" s="25" t="n">
        <x:v>3456</x:v>
      </x:c>
      <x:c r="B3457" s="26" t="n">
        <x:v>44905.36708333333</x:v>
      </x:c>
      <x:c r="C3457" s="27" t="n">
        <x:f>INT(B3457)</x:f>
        <x:v>44905</x:v>
      </x:c>
      <x:c r="D3457" s="28" t="n">
        <x:f>MOD(B3457,1)</x:f>
        <x:v>0.367083333330811</x:v>
      </x:c>
      <x:c r="E3457" s="29" t="n">
        <x:f>YEAR(B3457)</x:f>
        <x:v>2022</x:v>
      </x:c>
      <x:c r="F3457" s="29" t="n">
        <x:f>MONTH(B3457)</x:f>
        <x:v>12</x:v>
      </x:c>
      <x:c r="G3457" s="30" t="n">
        <x:v>-30.47</x:v>
      </x:c>
      <x:c r="H3457" s="30" t="n">
        <x:v>-71.04</x:v>
      </x:c>
      <x:c r="I3457" s="29" t="n">
        <x:v>17</x:v>
      </x:c>
      <x:c r="J3457" s="31" t="n">
        <x:v>5</x:v>
      </x:c>
      <x:c r="K3457" s="25" t="str">
        <x:f>IF(J3457&gt;=7,"Muy fuerte (&gt;=7)",IF(J3457&gt;=6,"Fuerte (6-6.9)",IF(J3457&gt;=5,"Moderado alto (5-5.9)",IF(J3457&gt;=4,"Moderado (4-4.9)","Menor a 4"))))</x:f>
        <x:v>Moderado alto (5-5.9)</x:v>
      </x:c>
      <x:c r="L3457" s="25" t="str">
        <x:f>IF(I3457&lt;70,"Superficial (&lt;70 km)",IF(I3457&lt;=300,"Intermedio (70-300 km)","Profundo (&gt;300 km)"))</x:f>
        <x:v>Superficial (&lt;70 km)</x:v>
      </x:c>
      <x:c r="M3457" s="25" t="str">
        <x:f>IF(J3457&gt;=5,"Sí","No")</x:f>
        <x:v>Sí</x:v>
      </x:c>
      <x:c r="N3457" s="25" t="str">
        <x:f>IF(J3457&gt;=6,"Sí","No")</x:f>
        <x:v>No</x:v>
      </x:c>
      <x:c r="O3457" s="25" t="str">
        <x:v>Pendiente: asignar con R/sf</x:v>
      </x:c>
    </x:row>
    <x:row r="3458">
      <x:c r="A3458" s="25" t="n">
        <x:v>3457</x:v>
      </x:c>
      <x:c r="B3458" s="26" t="n">
        <x:v>44940.499131944445</x:v>
      </x:c>
      <x:c r="C3458" s="27" t="n">
        <x:f>INT(B3458)</x:f>
        <x:v>44940</x:v>
      </x:c>
      <x:c r="D3458" s="28" t="n">
        <x:f>MOD(B3458,1)</x:f>
        <x:v>0.4991319444452529</x:v>
      </x:c>
      <x:c r="E3458" s="29" t="n">
        <x:f>YEAR(B3458)</x:f>
        <x:v>2023</x:v>
      </x:c>
      <x:c r="F3458" s="29" t="n">
        <x:f>MONTH(B3458)</x:f>
        <x:v>1</x:v>
      </x:c>
      <x:c r="G3458" s="30" t="n">
        <x:v>-30.98</x:v>
      </x:c>
      <x:c r="H3458" s="30" t="n">
        <x:v>-71.61</x:v>
      </x:c>
      <x:c r="I3458" s="29" t="n">
        <x:v>73</x:v>
      </x:c>
      <x:c r="J3458" s="31" t="n">
        <x:v>4.2</x:v>
      </x:c>
      <x:c r="K3458" s="25" t="str">
        <x:f>IF(J3458&gt;=7,"Muy fuerte (&gt;=7)",IF(J3458&gt;=6,"Fuerte (6-6.9)",IF(J3458&gt;=5,"Moderado alto (5-5.9)",IF(J3458&gt;=4,"Moderado (4-4.9)","Menor a 4"))))</x:f>
        <x:v>Moderado (4-4.9)</x:v>
      </x:c>
      <x:c r="L3458" s="25" t="str">
        <x:f>IF(I3458&lt;70,"Superficial (&lt;70 km)",IF(I3458&lt;=300,"Intermedio (70-300 km)","Profundo (&gt;300 km)"))</x:f>
        <x:v>Intermedio (70-300 km)</x:v>
      </x:c>
      <x:c r="M3458" s="25" t="str">
        <x:f>IF(J3458&gt;=5,"Sí","No")</x:f>
        <x:v>No</x:v>
      </x:c>
      <x:c r="N3458" s="25" t="str">
        <x:f>IF(J3458&gt;=6,"Sí","No")</x:f>
        <x:v>No</x:v>
      </x:c>
      <x:c r="O3458" s="25" t="str">
        <x:v>Pendiente: asignar con R/sf</x:v>
      </x:c>
    </x:row>
    <x:row r="3459">
      <x:c r="A3459" s="25" t="n">
        <x:v>3458</x:v>
      </x:c>
      <x:c r="B3459" s="26" t="n">
        <x:v>44967.779074074075</x:v>
      </x:c>
      <x:c r="C3459" s="27" t="n">
        <x:f>INT(B3459)</x:f>
        <x:v>44967</x:v>
      </x:c>
      <x:c r="D3459" s="28" t="n">
        <x:f>MOD(B3459,1)</x:f>
        <x:v>0.7790740740747424</x:v>
      </x:c>
      <x:c r="E3459" s="29" t="n">
        <x:f>YEAR(B3459)</x:f>
        <x:v>2023</x:v>
      </x:c>
      <x:c r="F3459" s="29" t="n">
        <x:f>MONTH(B3459)</x:f>
        <x:v>2</x:v>
      </x:c>
      <x:c r="G3459" s="30" t="n">
        <x:v>-30.68</x:v>
      </x:c>
      <x:c r="H3459" s="30" t="n">
        <x:v>-71.32</x:v>
      </x:c>
      <x:c r="I3459" s="29" t="n">
        <x:v>56</x:v>
      </x:c>
      <x:c r="J3459" s="31" t="n">
        <x:v>3.8</x:v>
      </x:c>
      <x:c r="K3459" s="25" t="str">
        <x:f>IF(J3459&gt;=7,"Muy fuerte (&gt;=7)",IF(J3459&gt;=6,"Fuerte (6-6.9)",IF(J3459&gt;=5,"Moderado alto (5-5.9)",IF(J3459&gt;=4,"Moderado (4-4.9)","Menor a 4"))))</x:f>
        <x:v>Menor a 4</x:v>
      </x:c>
      <x:c r="L3459" s="25" t="str">
        <x:f>IF(I3459&lt;70,"Superficial (&lt;70 km)",IF(I3459&lt;=300,"Intermedio (70-300 km)","Profundo (&gt;300 km)"))</x:f>
        <x:v>Superficial (&lt;70 km)</x:v>
      </x:c>
      <x:c r="M3459" s="25" t="str">
        <x:f>IF(J3459&gt;=5,"Sí","No")</x:f>
        <x:v>No</x:v>
      </x:c>
      <x:c r="N3459" s="25" t="str">
        <x:f>IF(J3459&gt;=6,"Sí","No")</x:f>
        <x:v>No</x:v>
      </x:c>
      <x:c r="O3459" s="25" t="str">
        <x:v>Pendiente: asignar con R/sf</x:v>
      </x:c>
    </x:row>
    <x:row r="3460">
      <x:c r="A3460" s="25" t="n">
        <x:v>3459</x:v>
      </x:c>
      <x:c r="B3460" s="26" t="n">
        <x:v>45036.182905092595</x:v>
      </x:c>
      <x:c r="C3460" s="27" t="n">
        <x:f>INT(B3460)</x:f>
        <x:v>45036</x:v>
      </x:c>
      <x:c r="D3460" s="28" t="n">
        <x:f>MOD(B3460,1)</x:f>
        <x:v>0.18290509259531973</x:v>
      </x:c>
      <x:c r="E3460" s="29" t="n">
        <x:f>YEAR(B3460)</x:f>
        <x:v>2023</x:v>
      </x:c>
      <x:c r="F3460" s="29" t="n">
        <x:f>MONTH(B3460)</x:f>
        <x:v>4</x:v>
      </x:c>
      <x:c r="G3460" s="30" t="n">
        <x:v>-30.91</x:v>
      </x:c>
      <x:c r="H3460" s="30" t="n">
        <x:v>-71.44</x:v>
      </x:c>
      <x:c r="I3460" s="29" t="n">
        <x:v>51</x:v>
      </x:c>
      <x:c r="J3460" s="31" t="n">
        <x:v>4.1</x:v>
      </x:c>
      <x:c r="K3460" s="25" t="str">
        <x:f>IF(J3460&gt;=7,"Muy fuerte (&gt;=7)",IF(J3460&gt;=6,"Fuerte (6-6.9)",IF(J3460&gt;=5,"Moderado alto (5-5.9)",IF(J3460&gt;=4,"Moderado (4-4.9)","Menor a 4"))))</x:f>
        <x:v>Moderado (4-4.9)</x:v>
      </x:c>
      <x:c r="L3460" s="25" t="str">
        <x:f>IF(I3460&lt;70,"Superficial (&lt;70 km)",IF(I3460&lt;=300,"Intermedio (70-300 km)","Profundo (&gt;300 km)"))</x:f>
        <x:v>Superficial (&lt;70 km)</x:v>
      </x:c>
      <x:c r="M3460" s="25" t="str">
        <x:f>IF(J3460&gt;=5,"Sí","No")</x:f>
        <x:v>No</x:v>
      </x:c>
      <x:c r="N3460" s="25" t="str">
        <x:f>IF(J3460&gt;=6,"Sí","No")</x:f>
        <x:v>No</x:v>
      </x:c>
      <x:c r="O3460" s="25" t="str">
        <x:v>Pendiente: asignar con R/sf</x:v>
      </x:c>
    </x:row>
    <x:row r="3461">
      <x:c r="A3461" s="25" t="n">
        <x:v>3460</x:v>
      </x:c>
      <x:c r="B3461" s="26" t="n">
        <x:v>45039.48533564815</x:v>
      </x:c>
      <x:c r="C3461" s="27" t="n">
        <x:f>INT(B3461)</x:f>
        <x:v>45039</x:v>
      </x:c>
      <x:c r="D3461" s="28" t="n">
        <x:f>MOD(B3461,1)</x:f>
        <x:v>0.48533564814715646</x:v>
      </x:c>
      <x:c r="E3461" s="29" t="n">
        <x:f>YEAR(B3461)</x:f>
        <x:v>2023</x:v>
      </x:c>
      <x:c r="F3461" s="29" t="n">
        <x:f>MONTH(B3461)</x:f>
        <x:v>4</x:v>
      </x:c>
      <x:c r="G3461" s="30" t="n">
        <x:v>-30.64</x:v>
      </x:c>
      <x:c r="H3461" s="30" t="n">
        <x:v>-71.26</x:v>
      </x:c>
      <x:c r="I3461" s="29" t="n">
        <x:v>56</x:v>
      </x:c>
      <x:c r="J3461" s="31" t="n">
        <x:v>4.3</x:v>
      </x:c>
      <x:c r="K3461" s="25" t="str">
        <x:f>IF(J3461&gt;=7,"Muy fuerte (&gt;=7)",IF(J3461&gt;=6,"Fuerte (6-6.9)",IF(J3461&gt;=5,"Moderado alto (5-5.9)",IF(J3461&gt;=4,"Moderado (4-4.9)","Menor a 4"))))</x:f>
        <x:v>Moderado (4-4.9)</x:v>
      </x:c>
      <x:c r="L3461" s="25" t="str">
        <x:f>IF(I3461&lt;70,"Superficial (&lt;70 km)",IF(I3461&lt;=300,"Intermedio (70-300 km)","Profundo (&gt;300 km)"))</x:f>
        <x:v>Superficial (&lt;70 km)</x:v>
      </x:c>
      <x:c r="M3461" s="25" t="str">
        <x:f>IF(J3461&gt;=5,"Sí","No")</x:f>
        <x:v>No</x:v>
      </x:c>
      <x:c r="N3461" s="25" t="str">
        <x:f>IF(J3461&gt;=6,"Sí","No")</x:f>
        <x:v>No</x:v>
      </x:c>
      <x:c r="O3461" s="25" t="str">
        <x:v>Pendiente: asignar con R/sf</x:v>
      </x:c>
    </x:row>
    <x:row r="3462">
      <x:c r="A3462" s="25" t="n">
        <x:v>3461</x:v>
      </x:c>
      <x:c r="B3462" s="26" t="n">
        <x:v>45065.81832175926</x:v>
      </x:c>
      <x:c r="C3462" s="27" t="n">
        <x:f>INT(B3462)</x:f>
        <x:v>45065</x:v>
      </x:c>
      <x:c r="D3462" s="28" t="n">
        <x:f>MOD(B3462,1)</x:f>
        <x:v>0.8183217592595611</x:v>
      </x:c>
      <x:c r="E3462" s="29" t="n">
        <x:f>YEAR(B3462)</x:f>
        <x:v>2023</x:v>
      </x:c>
      <x:c r="F3462" s="29" t="n">
        <x:f>MONTH(B3462)</x:f>
        <x:v>5</x:v>
      </x:c>
      <x:c r="G3462" s="30" t="n">
        <x:v>-30.61</x:v>
      </x:c>
      <x:c r="H3462" s="30" t="n">
        <x:v>-71.32</x:v>
      </x:c>
      <x:c r="I3462" s="29" t="n">
        <x:v>68</x:v>
      </x:c>
      <x:c r="J3462" s="31" t="n">
        <x:v>4.7</x:v>
      </x:c>
      <x:c r="K3462" s="25" t="str">
        <x:f>IF(J3462&gt;=7,"Muy fuerte (&gt;=7)",IF(J3462&gt;=6,"Fuerte (6-6.9)",IF(J3462&gt;=5,"Moderado alto (5-5.9)",IF(J3462&gt;=4,"Moderado (4-4.9)","Menor a 4"))))</x:f>
        <x:v>Moderado (4-4.9)</x:v>
      </x:c>
      <x:c r="L3462" s="25" t="str">
        <x:f>IF(I3462&lt;70,"Superficial (&lt;70 km)",IF(I3462&lt;=300,"Intermedio (70-300 km)","Profundo (&gt;300 km)"))</x:f>
        <x:v>Superficial (&lt;70 km)</x:v>
      </x:c>
      <x:c r="M3462" s="25" t="str">
        <x:f>IF(J3462&gt;=5,"Sí","No")</x:f>
        <x:v>No</x:v>
      </x:c>
      <x:c r="N3462" s="25" t="str">
        <x:f>IF(J3462&gt;=6,"Sí","No")</x:f>
        <x:v>No</x:v>
      </x:c>
      <x:c r="O3462" s="25" t="str">
        <x:v>Pendiente: asignar con R/sf</x:v>
      </x:c>
    </x:row>
    <x:row r="3463">
      <x:c r="A3463" s="25" t="n">
        <x:v>3462</x:v>
      </x:c>
      <x:c r="B3463" s="26" t="n">
        <x:v>44220.6012962963</x:v>
      </x:c>
      <x:c r="C3463" s="27" t="n">
        <x:f>INT(B3463)</x:f>
        <x:v>44220</x:v>
      </x:c>
      <x:c r="D3463" s="28" t="n">
        <x:f>MOD(B3463,1)</x:f>
        <x:v>0.6012962962995516</x:v>
      </x:c>
      <x:c r="E3463" s="29" t="n">
        <x:f>YEAR(B3463)</x:f>
        <x:v>2021</x:v>
      </x:c>
      <x:c r="F3463" s="29" t="n">
        <x:f>MONTH(B3463)</x:f>
        <x:v>1</x:v>
      </x:c>
      <x:c r="G3463" s="30" t="n">
        <x:v>-30.67</x:v>
      </x:c>
      <x:c r="H3463" s="30" t="n">
        <x:v>-71.34</x:v>
      </x:c>
      <x:c r="I3463" s="29" t="n">
        <x:v>54</x:v>
      </x:c>
      <x:c r="J3463" s="31" t="n">
        <x:v>3.7</x:v>
      </x:c>
      <x:c r="K3463" s="25" t="str">
        <x:f>IF(J3463&gt;=7,"Muy fuerte (&gt;=7)",IF(J3463&gt;=6,"Fuerte (6-6.9)",IF(J3463&gt;=5,"Moderado alto (5-5.9)",IF(J3463&gt;=4,"Moderado (4-4.9)","Menor a 4"))))</x:f>
        <x:v>Menor a 4</x:v>
      </x:c>
      <x:c r="L3463" s="25" t="str">
        <x:f>IF(I3463&lt;70,"Superficial (&lt;70 km)",IF(I3463&lt;=300,"Intermedio (70-300 km)","Profundo (&gt;300 km)"))</x:f>
        <x:v>Superficial (&lt;70 km)</x:v>
      </x:c>
      <x:c r="M3463" s="25" t="str">
        <x:f>IF(J3463&gt;=5,"Sí","No")</x:f>
        <x:v>No</x:v>
      </x:c>
      <x:c r="N3463" s="25" t="str">
        <x:f>IF(J3463&gt;=6,"Sí","No")</x:f>
        <x:v>No</x:v>
      </x:c>
      <x:c r="O3463" s="25" t="str">
        <x:v>Pendiente: asignar con R/sf</x:v>
      </x:c>
    </x:row>
    <x:row r="3464">
      <x:c r="A3464" s="25" t="n">
        <x:v>3463</x:v>
      </x:c>
      <x:c r="B3464" s="26" t="n">
        <x:v>44239.79634259259</x:v>
      </x:c>
      <x:c r="C3464" s="27" t="n">
        <x:f>INT(B3464)</x:f>
        <x:v>44239</x:v>
      </x:c>
      <x:c r="D3464" s="28" t="n">
        <x:f>MOD(B3464,1)</x:f>
        <x:v>0.7963425925918273</x:v>
      </x:c>
      <x:c r="E3464" s="29" t="n">
        <x:f>YEAR(B3464)</x:f>
        <x:v>2021</x:v>
      </x:c>
      <x:c r="F3464" s="29" t="n">
        <x:f>MONTH(B3464)</x:f>
        <x:v>2</x:v>
      </x:c>
      <x:c r="G3464" s="30" t="n">
        <x:v>-30.71</x:v>
      </x:c>
      <x:c r="H3464" s="30" t="n">
        <x:v>-71.43</x:v>
      </x:c>
      <x:c r="I3464" s="29" t="n">
        <x:v>47</x:v>
      </x:c>
      <x:c r="J3464" s="31" t="n">
        <x:v>4.1</x:v>
      </x:c>
      <x:c r="K3464" s="25" t="str">
        <x:f>IF(J3464&gt;=7,"Muy fuerte (&gt;=7)",IF(J3464&gt;=6,"Fuerte (6-6.9)",IF(J3464&gt;=5,"Moderado alto (5-5.9)",IF(J3464&gt;=4,"Moderado (4-4.9)","Menor a 4"))))</x:f>
        <x:v>Moderado (4-4.9)</x:v>
      </x:c>
      <x:c r="L3464" s="25" t="str">
        <x:f>IF(I3464&lt;70,"Superficial (&lt;70 km)",IF(I3464&lt;=300,"Intermedio (70-300 km)","Profundo (&gt;300 km)"))</x:f>
        <x:v>Superficial (&lt;70 km)</x:v>
      </x:c>
      <x:c r="M3464" s="25" t="str">
        <x:f>IF(J3464&gt;=5,"Sí","No")</x:f>
        <x:v>No</x:v>
      </x:c>
      <x:c r="N3464" s="25" t="str">
        <x:f>IF(J3464&gt;=6,"Sí","No")</x:f>
        <x:v>No</x:v>
      </x:c>
      <x:c r="O3464" s="25" t="str">
        <x:v>Pendiente: asignar con R/sf</x:v>
      </x:c>
    </x:row>
    <x:row r="3465">
      <x:c r="A3465" s="25" t="n">
        <x:v>3464</x:v>
      </x:c>
      <x:c r="B3465" s="26" t="n">
        <x:v>44879.67300925926</x:v>
      </x:c>
      <x:c r="C3465" s="27" t="n">
        <x:f>INT(B3465)</x:f>
        <x:v>44879</x:v>
      </x:c>
      <x:c r="D3465" s="28" t="n">
        <x:f>MOD(B3465,1)</x:f>
        <x:v>0.6730092592624715</x:v>
      </x:c>
      <x:c r="E3465" s="29" t="n">
        <x:f>YEAR(B3465)</x:f>
        <x:v>2022</x:v>
      </x:c>
      <x:c r="F3465" s="29" t="n">
        <x:f>MONTH(B3465)</x:f>
        <x:v>11</x:v>
      </x:c>
      <x:c r="G3465" s="30" t="n">
        <x:v>-30.61</x:v>
      </x:c>
      <x:c r="H3465" s="30" t="n">
        <x:v>-71.24</x:v>
      </x:c>
      <x:c r="I3465" s="29" t="n">
        <x:v>44</x:v>
      </x:c>
      <x:c r="J3465" s="31" t="n">
        <x:v>3.9</x:v>
      </x:c>
      <x:c r="K3465" s="25" t="str">
        <x:f>IF(J3465&gt;=7,"Muy fuerte (&gt;=7)",IF(J3465&gt;=6,"Fuerte (6-6.9)",IF(J3465&gt;=5,"Moderado alto (5-5.9)",IF(J3465&gt;=4,"Moderado (4-4.9)","Menor a 4"))))</x:f>
        <x:v>Menor a 4</x:v>
      </x:c>
      <x:c r="L3465" s="25" t="str">
        <x:f>IF(I3465&lt;70,"Superficial (&lt;70 km)",IF(I3465&lt;=300,"Intermedio (70-300 km)","Profundo (&gt;300 km)"))</x:f>
        <x:v>Superficial (&lt;70 km)</x:v>
      </x:c>
      <x:c r="M3465" s="25" t="str">
        <x:f>IF(J3465&gt;=5,"Sí","No")</x:f>
        <x:v>No</x:v>
      </x:c>
      <x:c r="N3465" s="25" t="str">
        <x:f>IF(J3465&gt;=6,"Sí","No")</x:f>
        <x:v>No</x:v>
      </x:c>
      <x:c r="O3465" s="25" t="str">
        <x:v>Pendiente: asignar con R/sf</x:v>
      </x:c>
    </x:row>
    <x:row r="3466">
      <x:c r="A3466" s="25" t="n">
        <x:v>3465</x:v>
      </x:c>
      <x:c r="B3466" s="26" t="n">
        <x:v>44634.45490740741</x:v>
      </x:c>
      <x:c r="C3466" s="27" t="n">
        <x:f>INT(B3466)</x:f>
        <x:v>44634</x:v>
      </x:c>
      <x:c r="D3466" s="28" t="n">
        <x:f>MOD(B3466,1)</x:f>
        <x:v>0.4549074074093369</x:v>
      </x:c>
      <x:c r="E3466" s="29" t="n">
        <x:f>YEAR(B3466)</x:f>
        <x:v>2022</x:v>
      </x:c>
      <x:c r="F3466" s="29" t="n">
        <x:f>MONTH(B3466)</x:f>
        <x:v>3</x:v>
      </x:c>
      <x:c r="G3466" s="30" t="n">
        <x:v>-30.7</x:v>
      </x:c>
      <x:c r="H3466" s="30" t="n">
        <x:v>-71.4</x:v>
      </x:c>
      <x:c r="I3466" s="29" t="n">
        <x:v>49</x:v>
      </x:c>
      <x:c r="J3466" s="31" t="n">
        <x:v>3.9</x:v>
      </x:c>
      <x:c r="K3466" s="25" t="str">
        <x:f>IF(J3466&gt;=7,"Muy fuerte (&gt;=7)",IF(J3466&gt;=6,"Fuerte (6-6.9)",IF(J3466&gt;=5,"Moderado alto (5-5.9)",IF(J3466&gt;=4,"Moderado (4-4.9)","Menor a 4"))))</x:f>
        <x:v>Menor a 4</x:v>
      </x:c>
      <x:c r="L3466" s="25" t="str">
        <x:f>IF(I3466&lt;70,"Superficial (&lt;70 km)",IF(I3466&lt;=300,"Intermedio (70-300 km)","Profundo (&gt;300 km)"))</x:f>
        <x:v>Superficial (&lt;70 km)</x:v>
      </x:c>
      <x:c r="M3466" s="25" t="str">
        <x:f>IF(J3466&gt;=5,"Sí","No")</x:f>
        <x:v>No</x:v>
      </x:c>
      <x:c r="N3466" s="25" t="str">
        <x:f>IF(J3466&gt;=6,"Sí","No")</x:f>
        <x:v>No</x:v>
      </x:c>
      <x:c r="O3466" s="25" t="str">
        <x:v>Pendiente: asignar con R/sf</x:v>
      </x:c>
    </x:row>
    <x:row r="3467">
      <x:c r="A3467" s="25" t="n">
        <x:v>3466</x:v>
      </x:c>
      <x:c r="B3467" s="26" t="n">
        <x:v>44054.272511574076</x:v>
      </x:c>
      <x:c r="C3467" s="27" t="n">
        <x:f>INT(B3467)</x:f>
        <x:v>44054</x:v>
      </x:c>
      <x:c r="D3467" s="28" t="n">
        <x:f>MOD(B3467,1)</x:f>
        <x:v>0.27251157407590654</x:v>
      </x:c>
      <x:c r="E3467" s="29" t="n">
        <x:f>YEAR(B3467)</x:f>
        <x:v>2020</x:v>
      </x:c>
      <x:c r="F3467" s="29" t="n">
        <x:f>MONTH(B3467)</x:f>
        <x:v>8</x:v>
      </x:c>
      <x:c r="G3467" s="30" t="n">
        <x:v>-32.85</x:v>
      </x:c>
      <x:c r="H3467" s="30" t="n">
        <x:v>-71.45</x:v>
      </x:c>
      <x:c r="I3467" s="29" t="n">
        <x:v>51</x:v>
      </x:c>
      <x:c r="J3467" s="31" t="n">
        <x:v>4</x:v>
      </x:c>
      <x:c r="K3467" s="25" t="str">
        <x:f>IF(J3467&gt;=7,"Muy fuerte (&gt;=7)",IF(J3467&gt;=6,"Fuerte (6-6.9)",IF(J3467&gt;=5,"Moderado alto (5-5.9)",IF(J3467&gt;=4,"Moderado (4-4.9)","Menor a 4"))))</x:f>
        <x:v>Moderado (4-4.9)</x:v>
      </x:c>
      <x:c r="L3467" s="25" t="str">
        <x:f>IF(I3467&lt;70,"Superficial (&lt;70 km)",IF(I3467&lt;=300,"Intermedio (70-300 km)","Profundo (&gt;300 km)"))</x:f>
        <x:v>Superficial (&lt;70 km)</x:v>
      </x:c>
      <x:c r="M3467" s="25" t="str">
        <x:f>IF(J3467&gt;=5,"Sí","No")</x:f>
        <x:v>No</x:v>
      </x:c>
      <x:c r="N3467" s="25" t="str">
        <x:f>IF(J3467&gt;=6,"Sí","No")</x:f>
        <x:v>No</x:v>
      </x:c>
      <x:c r="O3467" s="25" t="str">
        <x:v>Pendiente: asignar con R/sf</x:v>
      </x:c>
    </x:row>
    <x:row r="3468">
      <x:c r="A3468" s="25" t="n">
        <x:v>3467</x:v>
      </x:c>
      <x:c r="B3468" s="26" t="n">
        <x:v>44181.33259259259</x:v>
      </x:c>
      <x:c r="C3468" s="27" t="n">
        <x:f>INT(B3468)</x:f>
        <x:v>44181</x:v>
      </x:c>
      <x:c r="D3468" s="28" t="n">
        <x:f>MOD(B3468,1)</x:f>
        <x:v>0.3325925925892079</x:v>
      </x:c>
      <x:c r="E3468" s="29" t="n">
        <x:f>YEAR(B3468)</x:f>
        <x:v>2020</x:v>
      </x:c>
      <x:c r="F3468" s="29" t="n">
        <x:f>MONTH(B3468)</x:f>
        <x:v>12</x:v>
      </x:c>
      <x:c r="G3468" s="30" t="n">
        <x:v>-32.84</x:v>
      </x:c>
      <x:c r="H3468" s="30" t="n">
        <x:v>-72</x:v>
      </x:c>
      <x:c r="I3468" s="29" t="n">
        <x:v>29</x:v>
      </x:c>
      <x:c r="J3468" s="31" t="n">
        <x:v>4.3</x:v>
      </x:c>
      <x:c r="K3468" s="25" t="str">
        <x:f>IF(J3468&gt;=7,"Muy fuerte (&gt;=7)",IF(J3468&gt;=6,"Fuerte (6-6.9)",IF(J3468&gt;=5,"Moderado alto (5-5.9)",IF(J3468&gt;=4,"Moderado (4-4.9)","Menor a 4"))))</x:f>
        <x:v>Moderado (4-4.9)</x:v>
      </x:c>
      <x:c r="L3468" s="25" t="str">
        <x:f>IF(I3468&lt;70,"Superficial (&lt;70 km)",IF(I3468&lt;=300,"Intermedio (70-300 km)","Profundo (&gt;300 km)"))</x:f>
        <x:v>Superficial (&lt;70 km)</x:v>
      </x:c>
      <x:c r="M3468" s="25" t="str">
        <x:f>IF(J3468&gt;=5,"Sí","No")</x:f>
        <x:v>No</x:v>
      </x:c>
      <x:c r="N3468" s="25" t="str">
        <x:f>IF(J3468&gt;=6,"Sí","No")</x:f>
        <x:v>No</x:v>
      </x:c>
      <x:c r="O3468" s="25" t="str">
        <x:v>Pendiente: asignar con R/sf</x:v>
      </x:c>
    </x:row>
    <x:row r="3469">
      <x:c r="A3469" s="25" t="n">
        <x:v>3468</x:v>
      </x:c>
      <x:c r="B3469" s="26" t="n">
        <x:v>44183.36185185185</x:v>
      </x:c>
      <x:c r="C3469" s="27" t="n">
        <x:f>INT(B3469)</x:f>
        <x:v>44183</x:v>
      </x:c>
      <x:c r="D3469" s="28" t="n">
        <x:f>MOD(B3469,1)</x:f>
        <x:v>0.361851851848769</x:v>
      </x:c>
      <x:c r="E3469" s="29" t="n">
        <x:f>YEAR(B3469)</x:f>
        <x:v>2020</x:v>
      </x:c>
      <x:c r="F3469" s="29" t="n">
        <x:f>MONTH(B3469)</x:f>
        <x:v>12</x:v>
      </x:c>
      <x:c r="G3469" s="30" t="n">
        <x:v>-33.05</x:v>
      </x:c>
      <x:c r="H3469" s="30" t="n">
        <x:v>-71.25</x:v>
      </x:c>
      <x:c r="I3469" s="29" t="n">
        <x:v>62</x:v>
      </x:c>
      <x:c r="J3469" s="31" t="n">
        <x:v>3.8</x:v>
      </x:c>
      <x:c r="K3469" s="25" t="str">
        <x:f>IF(J3469&gt;=7,"Muy fuerte (&gt;=7)",IF(J3469&gt;=6,"Fuerte (6-6.9)",IF(J3469&gt;=5,"Moderado alto (5-5.9)",IF(J3469&gt;=4,"Moderado (4-4.9)","Menor a 4"))))</x:f>
        <x:v>Menor a 4</x:v>
      </x:c>
      <x:c r="L3469" s="25" t="str">
        <x:f>IF(I3469&lt;70,"Superficial (&lt;70 km)",IF(I3469&lt;=300,"Intermedio (70-300 km)","Profundo (&gt;300 km)"))</x:f>
        <x:v>Superficial (&lt;70 km)</x:v>
      </x:c>
      <x:c r="M3469" s="25" t="str">
        <x:f>IF(J3469&gt;=5,"Sí","No")</x:f>
        <x:v>No</x:v>
      </x:c>
      <x:c r="N3469" s="25" t="str">
        <x:f>IF(J3469&gt;=6,"Sí","No")</x:f>
        <x:v>No</x:v>
      </x:c>
      <x:c r="O3469" s="25" t="str">
        <x:v>Pendiente: asignar con R/sf</x:v>
      </x:c>
    </x:row>
    <x:row r="3470">
      <x:c r="A3470" s="25" t="n">
        <x:v>3469</x:v>
      </x:c>
      <x:c r="B3470" s="26" t="n">
        <x:v>44267.70825231481</x:v>
      </x:c>
      <x:c r="C3470" s="27" t="n">
        <x:f>INT(B3470)</x:f>
        <x:v>44267</x:v>
      </x:c>
      <x:c r="D3470" s="28" t="n">
        <x:f>MOD(B3470,1)</x:f>
        <x:v>0.708252314812853</x:v>
      </x:c>
      <x:c r="E3470" s="29" t="n">
        <x:f>YEAR(B3470)</x:f>
        <x:v>2021</x:v>
      </x:c>
      <x:c r="F3470" s="29" t="n">
        <x:f>MONTH(B3470)</x:f>
        <x:v>3</x:v>
      </x:c>
      <x:c r="G3470" s="30" t="n">
        <x:v>-33.23</x:v>
      </x:c>
      <x:c r="H3470" s="30" t="n">
        <x:v>-71.89</x:v>
      </x:c>
      <x:c r="I3470" s="29" t="n">
        <x:v>24</x:v>
      </x:c>
      <x:c r="J3470" s="31" t="n">
        <x:v>3.7</x:v>
      </x:c>
      <x:c r="K3470" s="25" t="str">
        <x:f>IF(J3470&gt;=7,"Muy fuerte (&gt;=7)",IF(J3470&gt;=6,"Fuerte (6-6.9)",IF(J3470&gt;=5,"Moderado alto (5-5.9)",IF(J3470&gt;=4,"Moderado (4-4.9)","Menor a 4"))))</x:f>
        <x:v>Menor a 4</x:v>
      </x:c>
      <x:c r="L3470" s="25" t="str">
        <x:f>IF(I3470&lt;70,"Superficial (&lt;70 km)",IF(I3470&lt;=300,"Intermedio (70-300 km)","Profundo (&gt;300 km)"))</x:f>
        <x:v>Superficial (&lt;70 km)</x:v>
      </x:c>
      <x:c r="M3470" s="25" t="str">
        <x:f>IF(J3470&gt;=5,"Sí","No")</x:f>
        <x:v>No</x:v>
      </x:c>
      <x:c r="N3470" s="25" t="str">
        <x:f>IF(J3470&gt;=6,"Sí","No")</x:f>
        <x:v>No</x:v>
      </x:c>
      <x:c r="O3470" s="25" t="str">
        <x:v>Pendiente: asignar con R/sf</x:v>
      </x:c>
    </x:row>
    <x:row r="3471">
      <x:c r="A3471" s="25" t="n">
        <x:v>3470</x:v>
      </x:c>
      <x:c r="B3471" s="26" t="n">
        <x:v>44591.65520833333</x:v>
      </x:c>
      <x:c r="C3471" s="27" t="n">
        <x:f>INT(B3471)</x:f>
        <x:v>44591</x:v>
      </x:c>
      <x:c r="D3471" s="28" t="n">
        <x:f>MOD(B3471,1)</x:f>
        <x:v>0.6552083333299379</x:v>
      </x:c>
      <x:c r="E3471" s="29" t="n">
        <x:f>YEAR(B3471)</x:f>
        <x:v>2022</x:v>
      </x:c>
      <x:c r="F3471" s="29" t="n">
        <x:f>MONTH(B3471)</x:f>
        <x:v>1</x:v>
      </x:c>
      <x:c r="G3471" s="30" t="n">
        <x:v>-32.66</x:v>
      </x:c>
      <x:c r="H3471" s="30" t="n">
        <x:v>-71.73</x:v>
      </x:c>
      <x:c r="I3471" s="29" t="n">
        <x:v>32</x:v>
      </x:c>
      <x:c r="J3471" s="31" t="n">
        <x:v>3.5</x:v>
      </x:c>
      <x:c r="K3471" s="25" t="str">
        <x:f>IF(J3471&gt;=7,"Muy fuerte (&gt;=7)",IF(J3471&gt;=6,"Fuerte (6-6.9)",IF(J3471&gt;=5,"Moderado alto (5-5.9)",IF(J3471&gt;=4,"Moderado (4-4.9)","Menor a 4"))))</x:f>
        <x:v>Menor a 4</x:v>
      </x:c>
      <x:c r="L3471" s="25" t="str">
        <x:f>IF(I3471&lt;70,"Superficial (&lt;70 km)",IF(I3471&lt;=300,"Intermedio (70-300 km)","Profundo (&gt;300 km)"))</x:f>
        <x:v>Superficial (&lt;70 km)</x:v>
      </x:c>
      <x:c r="M3471" s="25" t="str">
        <x:f>IF(J3471&gt;=5,"Sí","No")</x:f>
        <x:v>No</x:v>
      </x:c>
      <x:c r="N3471" s="25" t="str">
        <x:f>IF(J3471&gt;=6,"Sí","No")</x:f>
        <x:v>No</x:v>
      </x:c>
      <x:c r="O3471" s="25" t="str">
        <x:v>Pendiente: asignar con R/sf</x:v>
      </x:c>
    </x:row>
    <x:row r="3472">
      <x:c r="A3472" s="25" t="n">
        <x:v>3471</x:v>
      </x:c>
      <x:c r="B3472" s="26" t="n">
        <x:v>44844.33226851852</x:v>
      </x:c>
      <x:c r="C3472" s="27" t="n">
        <x:f>INT(B3472)</x:f>
        <x:v>44844</x:v>
      </x:c>
      <x:c r="D3472" s="28" t="n">
        <x:f>MOD(B3472,1)</x:f>
        <x:v>0.3322685185194132</x:v>
      </x:c>
      <x:c r="E3472" s="29" t="n">
        <x:f>YEAR(B3472)</x:f>
        <x:v>2022</x:v>
      </x:c>
      <x:c r="F3472" s="29" t="n">
        <x:f>MONTH(B3472)</x:f>
        <x:v>10</x:v>
      </x:c>
      <x:c r="G3472" s="30" t="n">
        <x:v>-33.03</x:v>
      </x:c>
      <x:c r="H3472" s="30" t="n">
        <x:v>-70.92</x:v>
      </x:c>
      <x:c r="I3472" s="29" t="n">
        <x:v>76</x:v>
      </x:c>
      <x:c r="J3472" s="31" t="n">
        <x:v>4.3</x:v>
      </x:c>
      <x:c r="K3472" s="25" t="str">
        <x:f>IF(J3472&gt;=7,"Muy fuerte (&gt;=7)",IF(J3472&gt;=6,"Fuerte (6-6.9)",IF(J3472&gt;=5,"Moderado alto (5-5.9)",IF(J3472&gt;=4,"Moderado (4-4.9)","Menor a 4"))))</x:f>
        <x:v>Moderado (4-4.9)</x:v>
      </x:c>
      <x:c r="L3472" s="25" t="str">
        <x:f>IF(I3472&lt;70,"Superficial (&lt;70 km)",IF(I3472&lt;=300,"Intermedio (70-300 km)","Profundo (&gt;300 km)"))</x:f>
        <x:v>Intermedio (70-300 km)</x:v>
      </x:c>
      <x:c r="M3472" s="25" t="str">
        <x:f>IF(J3472&gt;=5,"Sí","No")</x:f>
        <x:v>No</x:v>
      </x:c>
      <x:c r="N3472" s="25" t="str">
        <x:f>IF(J3472&gt;=6,"Sí","No")</x:f>
        <x:v>No</x:v>
      </x:c>
      <x:c r="O3472" s="25" t="str">
        <x:v>Pendiente: asignar con R/sf</x:v>
      </x:c>
    </x:row>
    <x:row r="3473">
      <x:c r="A3473" s="25" t="n">
        <x:v>3472</x:v>
      </x:c>
      <x:c r="B3473" s="26" t="n">
        <x:v>44871.814722222225</x:v>
      </x:c>
      <x:c r="C3473" s="27" t="n">
        <x:f>INT(B3473)</x:f>
        <x:v>44871</x:v>
      </x:c>
      <x:c r="D3473" s="28" t="n">
        <x:f>MOD(B3473,1)</x:f>
        <x:v>0.8147222222251003</x:v>
      </x:c>
      <x:c r="E3473" s="29" t="n">
        <x:f>YEAR(B3473)</x:f>
        <x:v>2022</x:v>
      </x:c>
      <x:c r="F3473" s="29" t="n">
        <x:f>MONTH(B3473)</x:f>
        <x:v>11</x:v>
      </x:c>
      <x:c r="G3473" s="30" t="n">
        <x:v>-32.57</x:v>
      </x:c>
      <x:c r="H3473" s="30" t="n">
        <x:v>-71.53</x:v>
      </x:c>
      <x:c r="I3473" s="29" t="n">
        <x:v>30</x:v>
      </x:c>
      <x:c r="J3473" s="31" t="n">
        <x:v>3.6</x:v>
      </x:c>
      <x:c r="K3473" s="25" t="str">
        <x:f>IF(J3473&gt;=7,"Muy fuerte (&gt;=7)",IF(J3473&gt;=6,"Fuerte (6-6.9)",IF(J3473&gt;=5,"Moderado alto (5-5.9)",IF(J3473&gt;=4,"Moderado (4-4.9)","Menor a 4"))))</x:f>
        <x:v>Menor a 4</x:v>
      </x:c>
      <x:c r="L3473" s="25" t="str">
        <x:f>IF(I3473&lt;70,"Superficial (&lt;70 km)",IF(I3473&lt;=300,"Intermedio (70-300 km)","Profundo (&gt;300 km)"))</x:f>
        <x:v>Superficial (&lt;70 km)</x:v>
      </x:c>
      <x:c r="M3473" s="25" t="str">
        <x:f>IF(J3473&gt;=5,"Sí","No")</x:f>
        <x:v>No</x:v>
      </x:c>
      <x:c r="N3473" s="25" t="str">
        <x:f>IF(J3473&gt;=6,"Sí","No")</x:f>
        <x:v>No</x:v>
      </x:c>
      <x:c r="O3473" s="25" t="str">
        <x:v>Pendiente: asignar con R/sf</x:v>
      </x:c>
    </x:row>
    <x:row r="3474">
      <x:c r="A3474" s="25" t="n">
        <x:v>3473</x:v>
      </x:c>
      <x:c r="B3474" s="26" t="n">
        <x:v>43806.87436342592</x:v>
      </x:c>
      <x:c r="C3474" s="27" t="n">
        <x:f>INT(B3474)</x:f>
        <x:v>43806</x:v>
      </x:c>
      <x:c r="D3474" s="28" t="n">
        <x:f>MOD(B3474,1)</x:f>
        <x:v>0.8743634259226383</x:v>
      </x:c>
      <x:c r="E3474" s="29" t="n">
        <x:f>YEAR(B3474)</x:f>
        <x:v>2019</x:v>
      </x:c>
      <x:c r="F3474" s="29" t="n">
        <x:f>MONTH(B3474)</x:f>
        <x:v>12</x:v>
      </x:c>
      <x:c r="G3474" s="30" t="n">
        <x:v>-22.3</x:v>
      </x:c>
      <x:c r="H3474" s="30" t="n">
        <x:v>-68.98</x:v>
      </x:c>
      <x:c r="I3474" s="29" t="n">
        <x:v>115</x:v>
      </x:c>
      <x:c r="J3474" s="31" t="n">
        <x:v>4.1</x:v>
      </x:c>
      <x:c r="K3474" s="25" t="str">
        <x:f>IF(J3474&gt;=7,"Muy fuerte (&gt;=7)",IF(J3474&gt;=6,"Fuerte (6-6.9)",IF(J3474&gt;=5,"Moderado alto (5-5.9)",IF(J3474&gt;=4,"Moderado (4-4.9)","Menor a 4"))))</x:f>
        <x:v>Moderado (4-4.9)</x:v>
      </x:c>
      <x:c r="L3474" s="25" t="str">
        <x:f>IF(I3474&lt;70,"Superficial (&lt;70 km)",IF(I3474&lt;=300,"Intermedio (70-300 km)","Profundo (&gt;300 km)"))</x:f>
        <x:v>Intermedio (70-300 km)</x:v>
      </x:c>
      <x:c r="M3474" s="25" t="str">
        <x:f>IF(J3474&gt;=5,"Sí","No")</x:f>
        <x:v>No</x:v>
      </x:c>
      <x:c r="N3474" s="25" t="str">
        <x:f>IF(J3474&gt;=6,"Sí","No")</x:f>
        <x:v>No</x:v>
      </x:c>
      <x:c r="O3474" s="25" t="str">
        <x:v>Pendiente: asignar con R/sf</x:v>
      </x:c>
    </x:row>
    <x:row r="3475">
      <x:c r="A3475" s="25" t="n">
        <x:v>3474</x:v>
      </x:c>
      <x:c r="B3475" s="26" t="n">
        <x:v>44810.19865740741</x:v>
      </x:c>
      <x:c r="C3475" s="27" t="n">
        <x:f>INT(B3475)</x:f>
        <x:v>44810</x:v>
      </x:c>
      <x:c r="D3475" s="28" t="n">
        <x:f>MOD(B3475,1)</x:f>
        <x:v>0.19865740741079208</x:v>
      </x:c>
      <x:c r="E3475" s="29" t="n">
        <x:f>YEAR(B3475)</x:f>
        <x:v>2022</x:v>
      </x:c>
      <x:c r="F3475" s="29" t="n">
        <x:f>MONTH(B3475)</x:f>
        <x:v>9</x:v>
      </x:c>
      <x:c r="G3475" s="30" t="n">
        <x:v>-22.69</x:v>
      </x:c>
      <x:c r="H3475" s="30" t="n">
        <x:v>-68.89</x:v>
      </x:c>
      <x:c r="I3475" s="29" t="n">
        <x:v>103</x:v>
      </x:c>
      <x:c r="J3475" s="31" t="n">
        <x:v>4.1</x:v>
      </x:c>
      <x:c r="K3475" s="25" t="str">
        <x:f>IF(J3475&gt;=7,"Muy fuerte (&gt;=7)",IF(J3475&gt;=6,"Fuerte (6-6.9)",IF(J3475&gt;=5,"Moderado alto (5-5.9)",IF(J3475&gt;=4,"Moderado (4-4.9)","Menor a 4"))))</x:f>
        <x:v>Moderado (4-4.9)</x:v>
      </x:c>
      <x:c r="L3475" s="25" t="str">
        <x:f>IF(I3475&lt;70,"Superficial (&lt;70 km)",IF(I3475&lt;=300,"Intermedio (70-300 km)","Profundo (&gt;300 km)"))</x:f>
        <x:v>Intermedio (70-300 km)</x:v>
      </x:c>
      <x:c r="M3475" s="25" t="str">
        <x:f>IF(J3475&gt;=5,"Sí","No")</x:f>
        <x:v>No</x:v>
      </x:c>
      <x:c r="N3475" s="25" t="str">
        <x:f>IF(J3475&gt;=6,"Sí","No")</x:f>
        <x:v>No</x:v>
      </x:c>
      <x:c r="O3475" s="25" t="str">
        <x:v>Pendiente: asignar con R/sf</x:v>
      </x:c>
    </x:row>
    <x:row r="3476">
      <x:c r="A3476" s="25" t="n">
        <x:v>3475</x:v>
      </x:c>
      <x:c r="B3476" s="26" t="n">
        <x:v>44984.53710648148</x:v>
      </x:c>
      <x:c r="C3476" s="27" t="n">
        <x:f>INT(B3476)</x:f>
        <x:v>44984</x:v>
      </x:c>
      <x:c r="D3476" s="28" t="n">
        <x:f>MOD(B3476,1)</x:f>
        <x:v>0.5371064814826241</x:v>
      </x:c>
      <x:c r="E3476" s="29" t="n">
        <x:f>YEAR(B3476)</x:f>
        <x:v>2023</x:v>
      </x:c>
      <x:c r="F3476" s="29" t="n">
        <x:f>MONTH(B3476)</x:f>
        <x:v>2</x:v>
      </x:c>
      <x:c r="G3476" s="30" t="n">
        <x:v>-22.51</x:v>
      </x:c>
      <x:c r="H3476" s="30" t="n">
        <x:v>-68.84</x:v>
      </x:c>
      <x:c r="I3476" s="29" t="n">
        <x:v>103</x:v>
      </x:c>
      <x:c r="J3476" s="31" t="n">
        <x:v>4.3</x:v>
      </x:c>
      <x:c r="K3476" s="25" t="str">
        <x:f>IF(J3476&gt;=7,"Muy fuerte (&gt;=7)",IF(J3476&gt;=6,"Fuerte (6-6.9)",IF(J3476&gt;=5,"Moderado alto (5-5.9)",IF(J3476&gt;=4,"Moderado (4-4.9)","Menor a 4"))))</x:f>
        <x:v>Moderado (4-4.9)</x:v>
      </x:c>
      <x:c r="L3476" s="25" t="str">
        <x:f>IF(I3476&lt;70,"Superficial (&lt;70 km)",IF(I3476&lt;=300,"Intermedio (70-300 km)","Profundo (&gt;300 km)"))</x:f>
        <x:v>Intermedio (70-300 km)</x:v>
      </x:c>
      <x:c r="M3476" s="25" t="str">
        <x:f>IF(J3476&gt;=5,"Sí","No")</x:f>
        <x:v>No</x:v>
      </x:c>
      <x:c r="N3476" s="25" t="str">
        <x:f>IF(J3476&gt;=6,"Sí","No")</x:f>
        <x:v>No</x:v>
      </x:c>
      <x:c r="O3476" s="25" t="str">
        <x:v>Pendiente: asignar con R/sf</x:v>
      </x:c>
    </x:row>
    <x:row r="3477">
      <x:c r="A3477" s="25" t="n">
        <x:v>3476</x:v>
      </x:c>
      <x:c r="B3477" s="26" t="n">
        <x:v>45010.31266203704</x:v>
      </x:c>
      <x:c r="C3477" s="27" t="n">
        <x:f>INT(B3477)</x:f>
        <x:v>45010</x:v>
      </x:c>
      <x:c r="D3477" s="28" t="n">
        <x:f>MOD(B3477,1)</x:f>
        <x:v>0.31266203703853535</x:v>
      </x:c>
      <x:c r="E3477" s="29" t="n">
        <x:f>YEAR(B3477)</x:f>
        <x:v>2023</x:v>
      </x:c>
      <x:c r="F3477" s="29" t="n">
        <x:f>MONTH(B3477)</x:f>
        <x:v>3</x:v>
      </x:c>
      <x:c r="G3477" s="30" t="n">
        <x:v>-22.9</x:v>
      </x:c>
      <x:c r="H3477" s="30" t="n">
        <x:v>-68.84</x:v>
      </x:c>
      <x:c r="I3477" s="29" t="n">
        <x:v>121</x:v>
      </x:c>
      <x:c r="J3477" s="31" t="n">
        <x:v>4.5</x:v>
      </x:c>
      <x:c r="K3477" s="25" t="str">
        <x:f>IF(J3477&gt;=7,"Muy fuerte (&gt;=7)",IF(J3477&gt;=6,"Fuerte (6-6.9)",IF(J3477&gt;=5,"Moderado alto (5-5.9)",IF(J3477&gt;=4,"Moderado (4-4.9)","Menor a 4"))))</x:f>
        <x:v>Moderado (4-4.9)</x:v>
      </x:c>
      <x:c r="L3477" s="25" t="str">
        <x:f>IF(I3477&lt;70,"Superficial (&lt;70 km)",IF(I3477&lt;=300,"Intermedio (70-300 km)","Profundo (&gt;300 km)"))</x:f>
        <x:v>Intermedio (70-300 km)</x:v>
      </x:c>
      <x:c r="M3477" s="25" t="str">
        <x:f>IF(J3477&gt;=5,"Sí","No")</x:f>
        <x:v>No</x:v>
      </x:c>
      <x:c r="N3477" s="25" t="str">
        <x:f>IF(J3477&gt;=6,"Sí","No")</x:f>
        <x:v>No</x:v>
      </x:c>
      <x:c r="O3477" s="25" t="str">
        <x:v>Pendiente: asignar con R/sf</x:v>
      </x:c>
    </x:row>
    <x:row r="3478">
      <x:c r="A3478" s="25" t="n">
        <x:v>3477</x:v>
      </x:c>
      <x:c r="B3478" s="26" t="n">
        <x:v>45053.17550925926</x:v>
      </x:c>
      <x:c r="C3478" s="27" t="n">
        <x:f>INT(B3478)</x:f>
        <x:v>45053</x:v>
      </x:c>
      <x:c r="D3478" s="28" t="n">
        <x:f>MOD(B3478,1)</x:f>
        <x:v>0.1755092592575238</x:v>
      </x:c>
      <x:c r="E3478" s="29" t="n">
        <x:f>YEAR(B3478)</x:f>
        <x:v>2023</x:v>
      </x:c>
      <x:c r="F3478" s="29" t="n">
        <x:f>MONTH(B3478)</x:f>
        <x:v>5</x:v>
      </x:c>
      <x:c r="G3478" s="30" t="n">
        <x:v>-22.4</x:v>
      </x:c>
      <x:c r="H3478" s="30" t="n">
        <x:v>-68.72</x:v>
      </x:c>
      <x:c r="I3478" s="29" t="n">
        <x:v>106</x:v>
      </x:c>
      <x:c r="J3478" s="31" t="n">
        <x:v>4.4</x:v>
      </x:c>
      <x:c r="K3478" s="25" t="str">
        <x:f>IF(J3478&gt;=7,"Muy fuerte (&gt;=7)",IF(J3478&gt;=6,"Fuerte (6-6.9)",IF(J3478&gt;=5,"Moderado alto (5-5.9)",IF(J3478&gt;=4,"Moderado (4-4.9)","Menor a 4"))))</x:f>
        <x:v>Moderado (4-4.9)</x:v>
      </x:c>
      <x:c r="L3478" s="25" t="str">
        <x:f>IF(I3478&lt;70,"Superficial (&lt;70 km)",IF(I3478&lt;=300,"Intermedio (70-300 km)","Profundo (&gt;300 km)"))</x:f>
        <x:v>Intermedio (70-300 km)</x:v>
      </x:c>
      <x:c r="M3478" s="25" t="str">
        <x:f>IF(J3478&gt;=5,"Sí","No")</x:f>
        <x:v>No</x:v>
      </x:c>
      <x:c r="N3478" s="25" t="str">
        <x:f>IF(J3478&gt;=6,"Sí","No")</x:f>
        <x:v>No</x:v>
      </x:c>
      <x:c r="O3478" s="25" t="str">
        <x:v>Pendiente: asignar con R/sf</x:v>
      </x:c>
    </x:row>
    <x:row r="3479">
      <x:c r="A3479" s="25" t="n">
        <x:v>3478</x:v>
      </x:c>
      <x:c r="B3479" s="26" t="n">
        <x:v>44186.5937037037</x:v>
      </x:c>
      <x:c r="C3479" s="27" t="n">
        <x:f>INT(B3479)</x:f>
        <x:v>44186</x:v>
      </x:c>
      <x:c r="D3479" s="28" t="n">
        <x:f>MOD(B3479,1)</x:f>
        <x:v>0.5937037037001573</x:v>
      </x:c>
      <x:c r="E3479" s="29" t="n">
        <x:f>YEAR(B3479)</x:f>
        <x:v>2020</x:v>
      </x:c>
      <x:c r="F3479" s="29" t="n">
        <x:f>MONTH(B3479)</x:f>
        <x:v>12</x:v>
      </x:c>
      <x:c r="G3479" s="30" t="n">
        <x:v>-22</x:v>
      </x:c>
      <x:c r="H3479" s="30" t="n">
        <x:v>-68.8</x:v>
      </x:c>
      <x:c r="I3479" s="29" t="n">
        <x:v>122</x:v>
      </x:c>
      <x:c r="J3479" s="31" t="n">
        <x:v>4.1</x:v>
      </x:c>
      <x:c r="K3479" s="25" t="str">
        <x:f>IF(J3479&gt;=7,"Muy fuerte (&gt;=7)",IF(J3479&gt;=6,"Fuerte (6-6.9)",IF(J3479&gt;=5,"Moderado alto (5-5.9)",IF(J3479&gt;=4,"Moderado (4-4.9)","Menor a 4"))))</x:f>
        <x:v>Moderado (4-4.9)</x:v>
      </x:c>
      <x:c r="L3479" s="25" t="str">
        <x:f>IF(I3479&lt;70,"Superficial (&lt;70 km)",IF(I3479&lt;=300,"Intermedio (70-300 km)","Profundo (&gt;300 km)"))</x:f>
        <x:v>Intermedio (70-300 km)</x:v>
      </x:c>
      <x:c r="M3479" s="25" t="str">
        <x:f>IF(J3479&gt;=5,"Sí","No")</x:f>
        <x:v>No</x:v>
      </x:c>
      <x:c r="N3479" s="25" t="str">
        <x:f>IF(J3479&gt;=6,"Sí","No")</x:f>
        <x:v>No</x:v>
      </x:c>
      <x:c r="O3479" s="25" t="str">
        <x:v>Pendiente: asignar con R/sf</x:v>
      </x:c>
    </x:row>
    <x:row r="3480">
      <x:c r="A3480" s="25" t="n">
        <x:v>3479</x:v>
      </x:c>
      <x:c r="B3480" s="26" t="n">
        <x:v>44190.40087962963</x:v>
      </x:c>
      <x:c r="C3480" s="27" t="n">
        <x:f>INT(B3480)</x:f>
        <x:v>44190</x:v>
      </x:c>
      <x:c r="D3480" s="28" t="n">
        <x:f>MOD(B3480,1)</x:f>
        <x:v>0.40087962963298196</x:v>
      </x:c>
      <x:c r="E3480" s="29" t="n">
        <x:f>YEAR(B3480)</x:f>
        <x:v>2020</x:v>
      </x:c>
      <x:c r="F3480" s="29" t="n">
        <x:f>MONTH(B3480)</x:f>
        <x:v>12</x:v>
      </x:c>
      <x:c r="G3480" s="30" t="n">
        <x:v>-22.39</x:v>
      </x:c>
      <x:c r="H3480" s="30" t="n">
        <x:v>-68.68</x:v>
      </x:c>
      <x:c r="I3480" s="29" t="n">
        <x:v>119</x:v>
      </x:c>
      <x:c r="J3480" s="31" t="n">
        <x:v>4.4</x:v>
      </x:c>
      <x:c r="K3480" s="25" t="str">
        <x:f>IF(J3480&gt;=7,"Muy fuerte (&gt;=7)",IF(J3480&gt;=6,"Fuerte (6-6.9)",IF(J3480&gt;=5,"Moderado alto (5-5.9)",IF(J3480&gt;=4,"Moderado (4-4.9)","Menor a 4"))))</x:f>
        <x:v>Moderado (4-4.9)</x:v>
      </x:c>
      <x:c r="L3480" s="25" t="str">
        <x:f>IF(I3480&lt;70,"Superficial (&lt;70 km)",IF(I3480&lt;=300,"Intermedio (70-300 km)","Profundo (&gt;300 km)"))</x:f>
        <x:v>Intermedio (70-300 km)</x:v>
      </x:c>
      <x:c r="M3480" s="25" t="str">
        <x:f>IF(J3480&gt;=5,"Sí","No")</x:f>
        <x:v>No</x:v>
      </x:c>
      <x:c r="N3480" s="25" t="str">
        <x:f>IF(J3480&gt;=6,"Sí","No")</x:f>
        <x:v>No</x:v>
      </x:c>
      <x:c r="O3480" s="25" t="str">
        <x:v>Pendiente: asignar con R/sf</x:v>
      </x:c>
    </x:row>
    <x:row r="3481">
      <x:c r="A3481" s="25" t="n">
        <x:v>3480</x:v>
      </x:c>
      <x:c r="B3481" s="26" t="n">
        <x:v>44323.62615740741</x:v>
      </x:c>
      <x:c r="C3481" s="27" t="n">
        <x:f>INT(B3481)</x:f>
        <x:v>44323</x:v>
      </x:c>
      <x:c r="D3481" s="28" t="n">
        <x:f>MOD(B3481,1)</x:f>
        <x:v>0.6261574074087548</x:v>
      </x:c>
      <x:c r="E3481" s="29" t="n">
        <x:f>YEAR(B3481)</x:f>
        <x:v>2021</x:v>
      </x:c>
      <x:c r="F3481" s="29" t="n">
        <x:f>MONTH(B3481)</x:f>
        <x:v>5</x:v>
      </x:c>
      <x:c r="G3481" s="30" t="n">
        <x:v>-21.94</x:v>
      </x:c>
      <x:c r="H3481" s="30" t="n">
        <x:v>-68.69</x:v>
      </x:c>
      <x:c r="I3481" s="29" t="n">
        <x:v>118</x:v>
      </x:c>
      <x:c r="J3481" s="31" t="n">
        <x:v>4.7</x:v>
      </x:c>
      <x:c r="K3481" s="25" t="str">
        <x:f>IF(J3481&gt;=7,"Muy fuerte (&gt;=7)",IF(J3481&gt;=6,"Fuerte (6-6.9)",IF(J3481&gt;=5,"Moderado alto (5-5.9)",IF(J3481&gt;=4,"Moderado (4-4.9)","Menor a 4"))))</x:f>
        <x:v>Moderado (4-4.9)</x:v>
      </x:c>
      <x:c r="L3481" s="25" t="str">
        <x:f>IF(I3481&lt;70,"Superficial (&lt;70 km)",IF(I3481&lt;=300,"Intermedio (70-300 km)","Profundo (&gt;300 km)"))</x:f>
        <x:v>Intermedio (70-300 km)</x:v>
      </x:c>
      <x:c r="M3481" s="25" t="str">
        <x:f>IF(J3481&gt;=5,"Sí","No")</x:f>
        <x:v>No</x:v>
      </x:c>
      <x:c r="N3481" s="25" t="str">
        <x:f>IF(J3481&gt;=6,"Sí","No")</x:f>
        <x:v>No</x:v>
      </x:c>
      <x:c r="O3481" s="25" t="str">
        <x:v>Pendiente: asignar con R/sf</x:v>
      </x:c>
    </x:row>
    <x:row r="3482">
      <x:c r="A3482" s="25" t="n">
        <x:v>3481</x:v>
      </x:c>
      <x:c r="B3482" s="26" t="n">
        <x:v>44524.82417824074</x:v>
      </x:c>
      <x:c r="C3482" s="27" t="n">
        <x:f>INT(B3482)</x:f>
        <x:v>44524</x:v>
      </x:c>
      <x:c r="D3482" s="28" t="n">
        <x:f>MOD(B3482,1)</x:f>
        <x:v>0.8241782407421852</x:v>
      </x:c>
      <x:c r="E3482" s="29" t="n">
        <x:f>YEAR(B3482)</x:f>
        <x:v>2021</x:v>
      </x:c>
      <x:c r="F3482" s="29" t="n">
        <x:f>MONTH(B3482)</x:f>
        <x:v>11</x:v>
      </x:c>
      <x:c r="G3482" s="30" t="n">
        <x:v>-22.45</x:v>
      </x:c>
      <x:c r="H3482" s="30" t="n">
        <x:v>-68.55</x:v>
      </x:c>
      <x:c r="I3482" s="29" t="n">
        <x:v>119</x:v>
      </x:c>
      <x:c r="J3482" s="31" t="n">
        <x:v>4.5</x:v>
      </x:c>
      <x:c r="K3482" s="25" t="str">
        <x:f>IF(J3482&gt;=7,"Muy fuerte (&gt;=7)",IF(J3482&gt;=6,"Fuerte (6-6.9)",IF(J3482&gt;=5,"Moderado alto (5-5.9)",IF(J3482&gt;=4,"Moderado (4-4.9)","Menor a 4"))))</x:f>
        <x:v>Moderado (4-4.9)</x:v>
      </x:c>
      <x:c r="L3482" s="25" t="str">
        <x:f>IF(I3482&lt;70,"Superficial (&lt;70 km)",IF(I3482&lt;=300,"Intermedio (70-300 km)","Profundo (&gt;300 km)"))</x:f>
        <x:v>Intermedio (70-300 km)</x:v>
      </x:c>
      <x:c r="M3482" s="25" t="str">
        <x:f>IF(J3482&gt;=5,"Sí","No")</x:f>
        <x:v>No</x:v>
      </x:c>
      <x:c r="N3482" s="25" t="str">
        <x:f>IF(J3482&gt;=6,"Sí","No")</x:f>
        <x:v>No</x:v>
      </x:c>
      <x:c r="O3482" s="25" t="str">
        <x:v>Pendiente: asignar con R/sf</x:v>
      </x:c>
    </x:row>
    <x:row r="3483">
      <x:c r="A3483" s="25" t="n">
        <x:v>3482</x:v>
      </x:c>
      <x:c r="B3483" s="26" t="n">
        <x:v>44595.689618055556</x:v>
      </x:c>
      <x:c r="C3483" s="27" t="n">
        <x:f>INT(B3483)</x:f>
        <x:v>44595</x:v>
      </x:c>
      <x:c r="D3483" s="28" t="n">
        <x:f>MOD(B3483,1)</x:f>
        <x:v>0.6896180555559113</x:v>
      </x:c>
      <x:c r="E3483" s="29" t="n">
        <x:f>YEAR(B3483)</x:f>
        <x:v>2022</x:v>
      </x:c>
      <x:c r="F3483" s="29" t="n">
        <x:f>MONTH(B3483)</x:f>
        <x:v>2</x:v>
      </x:c>
      <x:c r="G3483" s="30" t="n">
        <x:v>-22.43</x:v>
      </x:c>
      <x:c r="H3483" s="30" t="n">
        <x:v>-68.73</x:v>
      </x:c>
      <x:c r="I3483" s="29" t="n">
        <x:v>116</x:v>
      </x:c>
      <x:c r="J3483" s="31" t="n">
        <x:v>4</x:v>
      </x:c>
      <x:c r="K3483" s="25" t="str">
        <x:f>IF(J3483&gt;=7,"Muy fuerte (&gt;=7)",IF(J3483&gt;=6,"Fuerte (6-6.9)",IF(J3483&gt;=5,"Moderado alto (5-5.9)",IF(J3483&gt;=4,"Moderado (4-4.9)","Menor a 4"))))</x:f>
        <x:v>Moderado (4-4.9)</x:v>
      </x:c>
      <x:c r="L3483" s="25" t="str">
        <x:f>IF(I3483&lt;70,"Superficial (&lt;70 km)",IF(I3483&lt;=300,"Intermedio (70-300 km)","Profundo (&gt;300 km)"))</x:f>
        <x:v>Intermedio (70-300 km)</x:v>
      </x:c>
      <x:c r="M3483" s="25" t="str">
        <x:f>IF(J3483&gt;=5,"Sí","No")</x:f>
        <x:v>No</x:v>
      </x:c>
      <x:c r="N3483" s="25" t="str">
        <x:f>IF(J3483&gt;=6,"Sí","No")</x:f>
        <x:v>No</x:v>
      </x:c>
      <x:c r="O3483" s="25" t="str">
        <x:v>Pendiente: asignar con R/sf</x:v>
      </x:c>
    </x:row>
    <x:row r="3484">
      <x:c r="A3484" s="25" t="n">
        <x:v>3483</x:v>
      </x:c>
      <x:c r="B3484" s="26" t="n">
        <x:v>44816.985</x:v>
      </x:c>
      <x:c r="C3484" s="27" t="n">
        <x:f>INT(B3484)</x:f>
        <x:v>44816</x:v>
      </x:c>
      <x:c r="D3484" s="28" t="n">
        <x:f>MOD(B3484,1)</x:f>
        <x:v>0.9850000000005821</x:v>
      </x:c>
      <x:c r="E3484" s="29" t="n">
        <x:f>YEAR(B3484)</x:f>
        <x:v>2022</x:v>
      </x:c>
      <x:c r="F3484" s="29" t="n">
        <x:f>MONTH(B3484)</x:f>
        <x:v>9</x:v>
      </x:c>
      <x:c r="G3484" s="30" t="n">
        <x:v>-22.31</x:v>
      </x:c>
      <x:c r="H3484" s="30" t="n">
        <x:v>-68.69</x:v>
      </x:c>
      <x:c r="I3484" s="29" t="n">
        <x:v>112</x:v>
      </x:c>
      <x:c r="J3484" s="31" t="n">
        <x:v>4.5</x:v>
      </x:c>
      <x:c r="K3484" s="25" t="str">
        <x:f>IF(J3484&gt;=7,"Muy fuerte (&gt;=7)",IF(J3484&gt;=6,"Fuerte (6-6.9)",IF(J3484&gt;=5,"Moderado alto (5-5.9)",IF(J3484&gt;=4,"Moderado (4-4.9)","Menor a 4"))))</x:f>
        <x:v>Moderado (4-4.9)</x:v>
      </x:c>
      <x:c r="L3484" s="25" t="str">
        <x:f>IF(I3484&lt;70,"Superficial (&lt;70 km)",IF(I3484&lt;=300,"Intermedio (70-300 km)","Profundo (&gt;300 km)"))</x:f>
        <x:v>Intermedio (70-300 km)</x:v>
      </x:c>
      <x:c r="M3484" s="25" t="str">
        <x:f>IF(J3484&gt;=5,"Sí","No")</x:f>
        <x:v>No</x:v>
      </x:c>
      <x:c r="N3484" s="25" t="str">
        <x:f>IF(J3484&gt;=6,"Sí","No")</x:f>
        <x:v>No</x:v>
      </x:c>
      <x:c r="O3484" s="25" t="str">
        <x:v>Pendiente: asignar con R/sf</x:v>
      </x:c>
    </x:row>
    <x:row r="3485">
      <x:c r="A3485" s="25" t="n">
        <x:v>3484</x:v>
      </x:c>
      <x:c r="B3485" s="26" t="n">
        <x:v>44823.54114583333</x:v>
      </x:c>
      <x:c r="C3485" s="27" t="n">
        <x:f>INT(B3485)</x:f>
        <x:v>44823</x:v>
      </x:c>
      <x:c r="D3485" s="28" t="n">
        <x:f>MOD(B3485,1)</x:f>
        <x:v>0.5411458333328483</x:v>
      </x:c>
      <x:c r="E3485" s="29" t="n">
        <x:f>YEAR(B3485)</x:f>
        <x:v>2022</x:v>
      </x:c>
      <x:c r="F3485" s="29" t="n">
        <x:f>MONTH(B3485)</x:f>
        <x:v>9</x:v>
      </x:c>
      <x:c r="G3485" s="30" t="n">
        <x:v>-22.25</x:v>
      </x:c>
      <x:c r="H3485" s="30" t="n">
        <x:v>-68.74</x:v>
      </x:c>
      <x:c r="I3485" s="29" t="n">
        <x:v>122</x:v>
      </x:c>
      <x:c r="J3485" s="31" t="n">
        <x:v>4.4</x:v>
      </x:c>
      <x:c r="K3485" s="25" t="str">
        <x:f>IF(J3485&gt;=7,"Muy fuerte (&gt;=7)",IF(J3485&gt;=6,"Fuerte (6-6.9)",IF(J3485&gt;=5,"Moderado alto (5-5.9)",IF(J3485&gt;=4,"Moderado (4-4.9)","Menor a 4"))))</x:f>
        <x:v>Moderado (4-4.9)</x:v>
      </x:c>
      <x:c r="L3485" s="25" t="str">
        <x:f>IF(I3485&lt;70,"Superficial (&lt;70 km)",IF(I3485&lt;=300,"Intermedio (70-300 km)","Profundo (&gt;300 km)"))</x:f>
        <x:v>Intermedio (70-300 km)</x:v>
      </x:c>
      <x:c r="M3485" s="25" t="str">
        <x:f>IF(J3485&gt;=5,"Sí","No")</x:f>
        <x:v>No</x:v>
      </x:c>
      <x:c r="N3485" s="25" t="str">
        <x:f>IF(J3485&gt;=6,"Sí","No")</x:f>
        <x:v>No</x:v>
      </x:c>
      <x:c r="O3485" s="25" t="str">
        <x:v>Pendiente: asignar con R/sf</x:v>
      </x:c>
    </x:row>
    <x:row r="3486">
      <x:c r="A3486" s="25" t="n">
        <x:v>3485</x:v>
      </x:c>
      <x:c r="B3486" s="26" t="n">
        <x:v>44859.48030092593</x:v>
      </x:c>
      <x:c r="C3486" s="27" t="n">
        <x:f>INT(B3486)</x:f>
        <x:v>44859</x:v>
      </x:c>
      <x:c r="D3486" s="28" t="n">
        <x:f>MOD(B3486,1)</x:f>
        <x:v>0.4803009259267128</x:v>
      </x:c>
      <x:c r="E3486" s="29" t="n">
        <x:f>YEAR(B3486)</x:f>
        <x:v>2022</x:v>
      </x:c>
      <x:c r="F3486" s="29" t="n">
        <x:f>MONTH(B3486)</x:f>
        <x:v>10</x:v>
      </x:c>
      <x:c r="G3486" s="30" t="n">
        <x:v>-29.32</x:v>
      </x:c>
      <x:c r="H3486" s="30" t="n">
        <x:v>-71.26</x:v>
      </x:c>
      <x:c r="I3486" s="29" t="n">
        <x:v>58</x:v>
      </x:c>
      <x:c r="J3486" s="31" t="n">
        <x:v>3.7</x:v>
      </x:c>
      <x:c r="K3486" s="25" t="str">
        <x:f>IF(J3486&gt;=7,"Muy fuerte (&gt;=7)",IF(J3486&gt;=6,"Fuerte (6-6.9)",IF(J3486&gt;=5,"Moderado alto (5-5.9)",IF(J3486&gt;=4,"Moderado (4-4.9)","Menor a 4"))))</x:f>
        <x:v>Menor a 4</x:v>
      </x:c>
      <x:c r="L3486" s="25" t="str">
        <x:f>IF(I3486&lt;70,"Superficial (&lt;70 km)",IF(I3486&lt;=300,"Intermedio (70-300 km)","Profundo (&gt;300 km)"))</x:f>
        <x:v>Superficial (&lt;70 km)</x:v>
      </x:c>
      <x:c r="M3486" s="25" t="str">
        <x:f>IF(J3486&gt;=5,"Sí","No")</x:f>
        <x:v>No</x:v>
      </x:c>
      <x:c r="N3486" s="25" t="str">
        <x:f>IF(J3486&gt;=6,"Sí","No")</x:f>
        <x:v>No</x:v>
      </x:c>
      <x:c r="O3486" s="25" t="str">
        <x:v>Pendiente: asignar con R/sf</x:v>
      </x:c>
    </x:row>
    <x:row r="3487">
      <x:c r="A3487" s="25" t="n">
        <x:v>3486</x:v>
      </x:c>
      <x:c r="B3487" s="26" t="n">
        <x:v>44871.303148148145</x:v>
      </x:c>
      <x:c r="C3487" s="27" t="n">
        <x:f>INT(B3487)</x:f>
        <x:v>44871</x:v>
      </x:c>
      <x:c r="D3487" s="28" t="n">
        <x:f>MOD(B3487,1)</x:f>
        <x:v>0.30314814814482816</x:v>
      </x:c>
      <x:c r="E3487" s="29" t="n">
        <x:f>YEAR(B3487)</x:f>
        <x:v>2022</x:v>
      </x:c>
      <x:c r="F3487" s="29" t="n">
        <x:f>MONTH(B3487)</x:f>
        <x:v>11</x:v>
      </x:c>
      <x:c r="G3487" s="30" t="n">
        <x:v>-29.67</x:v>
      </x:c>
      <x:c r="H3487" s="30" t="n">
        <x:v>-71.3</x:v>
      </x:c>
      <x:c r="I3487" s="29" t="n">
        <x:v>52</x:v>
      </x:c>
      <x:c r="J3487" s="31" t="n">
        <x:v>3.3</x:v>
      </x:c>
      <x:c r="K3487" s="25" t="str">
        <x:f>IF(J3487&gt;=7,"Muy fuerte (&gt;=7)",IF(J3487&gt;=6,"Fuerte (6-6.9)",IF(J3487&gt;=5,"Moderado alto (5-5.9)",IF(J3487&gt;=4,"Moderado (4-4.9)","Menor a 4"))))</x:f>
        <x:v>Menor a 4</x:v>
      </x:c>
      <x:c r="L3487" s="25" t="str">
        <x:f>IF(I3487&lt;70,"Superficial (&lt;70 km)",IF(I3487&lt;=300,"Intermedio (70-300 km)","Profundo (&gt;300 km)"))</x:f>
        <x:v>Superficial (&lt;70 km)</x:v>
      </x:c>
      <x:c r="M3487" s="25" t="str">
        <x:f>IF(J3487&gt;=5,"Sí","No")</x:f>
        <x:v>No</x:v>
      </x:c>
      <x:c r="N3487" s="25" t="str">
        <x:f>IF(J3487&gt;=6,"Sí","No")</x:f>
        <x:v>No</x:v>
      </x:c>
      <x:c r="O3487" s="25" t="str">
        <x:v>Pendiente: asignar con R/sf</x:v>
      </x:c>
    </x:row>
    <x:row r="3488">
      <x:c r="A3488" s="25" t="n">
        <x:v>3487</x:v>
      </x:c>
      <x:c r="B3488" s="26" t="n">
        <x:v>44880.28815972222</x:v>
      </x:c>
      <x:c r="C3488" s="27" t="n">
        <x:f>INT(B3488)</x:f>
        <x:v>44880</x:v>
      </x:c>
      <x:c r="D3488" s="28" t="n">
        <x:f>MOD(B3488,1)</x:f>
        <x:v>0.2881597222221899</x:v>
      </x:c>
      <x:c r="E3488" s="29" t="n">
        <x:f>YEAR(B3488)</x:f>
        <x:v>2022</x:v>
      </x:c>
      <x:c r="F3488" s="29" t="n">
        <x:f>MONTH(B3488)</x:f>
        <x:v>11</x:v>
      </x:c>
      <x:c r="G3488" s="30" t="n">
        <x:v>-29.94</x:v>
      </x:c>
      <x:c r="H3488" s="30" t="n">
        <x:v>-71.34</x:v>
      </x:c>
      <x:c r="I3488" s="29" t="n">
        <x:v>52</x:v>
      </x:c>
      <x:c r="J3488" s="31" t="n">
        <x:v>3.7</x:v>
      </x:c>
      <x:c r="K3488" s="25" t="str">
        <x:f>IF(J3488&gt;=7,"Muy fuerte (&gt;=7)",IF(J3488&gt;=6,"Fuerte (6-6.9)",IF(J3488&gt;=5,"Moderado alto (5-5.9)",IF(J3488&gt;=4,"Moderado (4-4.9)","Menor a 4"))))</x:f>
        <x:v>Menor a 4</x:v>
      </x:c>
      <x:c r="L3488" s="25" t="str">
        <x:f>IF(I3488&lt;70,"Superficial (&lt;70 km)",IF(I3488&lt;=300,"Intermedio (70-300 km)","Profundo (&gt;300 km)"))</x:f>
        <x:v>Superficial (&lt;70 km)</x:v>
      </x:c>
      <x:c r="M3488" s="25" t="str">
        <x:f>IF(J3488&gt;=5,"Sí","No")</x:f>
        <x:v>No</x:v>
      </x:c>
      <x:c r="N3488" s="25" t="str">
        <x:f>IF(J3488&gt;=6,"Sí","No")</x:f>
        <x:v>No</x:v>
      </x:c>
      <x:c r="O3488" s="25" t="str">
        <x:v>Pendiente: asignar con R/sf</x:v>
      </x:c>
    </x:row>
    <x:row r="3489">
      <x:c r="A3489" s="25" t="n">
        <x:v>3488</x:v>
      </x:c>
      <x:c r="B3489" s="26" t="n">
        <x:v>44954.64670138889</x:v>
      </x:c>
      <x:c r="C3489" s="27" t="n">
        <x:f>INT(B3489)</x:f>
        <x:v>44954</x:v>
      </x:c>
      <x:c r="D3489" s="28" t="n">
        <x:f>MOD(B3489,1)</x:f>
        <x:v>0.6467013888905058</x:v>
      </x:c>
      <x:c r="E3489" s="29" t="n">
        <x:f>YEAR(B3489)</x:f>
        <x:v>2023</x:v>
      </x:c>
      <x:c r="F3489" s="29" t="n">
        <x:f>MONTH(B3489)</x:f>
        <x:v>1</x:v>
      </x:c>
      <x:c r="G3489" s="30" t="n">
        <x:v>-30.16</x:v>
      </x:c>
      <x:c r="H3489" s="30" t="n">
        <x:v>-71.16</x:v>
      </x:c>
      <x:c r="I3489" s="29" t="n">
        <x:v>80</x:v>
      </x:c>
      <x:c r="J3489" s="31" t="n">
        <x:v>3.9</x:v>
      </x:c>
      <x:c r="K3489" s="25" t="str">
        <x:f>IF(J3489&gt;=7,"Muy fuerte (&gt;=7)",IF(J3489&gt;=6,"Fuerte (6-6.9)",IF(J3489&gt;=5,"Moderado alto (5-5.9)",IF(J3489&gt;=4,"Moderado (4-4.9)","Menor a 4"))))</x:f>
        <x:v>Menor a 4</x:v>
      </x:c>
      <x:c r="L3489" s="25" t="str">
        <x:f>IF(I3489&lt;70,"Superficial (&lt;70 km)",IF(I3489&lt;=300,"Intermedio (70-300 km)","Profundo (&gt;300 km)"))</x:f>
        <x:v>Intermedio (70-300 km)</x:v>
      </x:c>
      <x:c r="M3489" s="25" t="str">
        <x:f>IF(J3489&gt;=5,"Sí","No")</x:f>
        <x:v>No</x:v>
      </x:c>
      <x:c r="N3489" s="25" t="str">
        <x:f>IF(J3489&gt;=6,"Sí","No")</x:f>
        <x:v>No</x:v>
      </x:c>
      <x:c r="O3489" s="25" t="str">
        <x:v>Pendiente: asignar con R/sf</x:v>
      </x:c>
    </x:row>
    <x:row r="3490">
      <x:c r="A3490" s="25" t="n">
        <x:v>3489</x:v>
      </x:c>
      <x:c r="B3490" s="26" t="n">
        <x:v>44245.67854166667</x:v>
      </x:c>
      <x:c r="C3490" s="27" t="n">
        <x:f>INT(B3490)</x:f>
        <x:v>44245</x:v>
      </x:c>
      <x:c r="D3490" s="28" t="n">
        <x:f>MOD(B3490,1)</x:f>
        <x:v>0.6785416666680248</x:v>
      </x:c>
      <x:c r="E3490" s="29" t="n">
        <x:f>YEAR(B3490)</x:f>
        <x:v>2021</x:v>
      </x:c>
      <x:c r="F3490" s="29" t="n">
        <x:f>MONTH(B3490)</x:f>
        <x:v>2</x:v>
      </x:c>
      <x:c r="G3490" s="30" t="n">
        <x:v>-31.46</x:v>
      </x:c>
      <x:c r="H3490" s="30" t="n">
        <x:v>-71.31</x:v>
      </x:c>
      <x:c r="I3490" s="29" t="n">
        <x:v>52</x:v>
      </x:c>
      <x:c r="J3490" s="31" t="n">
        <x:v>3.2</x:v>
      </x:c>
      <x:c r="K3490" s="25" t="str">
        <x:f>IF(J3490&gt;=7,"Muy fuerte (&gt;=7)",IF(J3490&gt;=6,"Fuerte (6-6.9)",IF(J3490&gt;=5,"Moderado alto (5-5.9)",IF(J3490&gt;=4,"Moderado (4-4.9)","Menor a 4"))))</x:f>
        <x:v>Menor a 4</x:v>
      </x:c>
      <x:c r="L3490" s="25" t="str">
        <x:f>IF(I3490&lt;70,"Superficial (&lt;70 km)",IF(I3490&lt;=300,"Intermedio (70-300 km)","Profundo (&gt;300 km)"))</x:f>
        <x:v>Superficial (&lt;70 km)</x:v>
      </x:c>
      <x:c r="M3490" s="25" t="str">
        <x:f>IF(J3490&gt;=5,"Sí","No")</x:f>
        <x:v>No</x:v>
      </x:c>
      <x:c r="N3490" s="25" t="str">
        <x:f>IF(J3490&gt;=6,"Sí","No")</x:f>
        <x:v>No</x:v>
      </x:c>
      <x:c r="O3490" s="25" t="str">
        <x:v>Pendiente: asignar con R/sf</x:v>
      </x:c>
    </x:row>
    <x:row r="3491">
      <x:c r="A3491" s="25" t="n">
        <x:v>3490</x:v>
      </x:c>
      <x:c r="B3491" s="26" t="n">
        <x:v>44473.5312962963</x:v>
      </x:c>
      <x:c r="C3491" s="27" t="n">
        <x:f>INT(B3491)</x:f>
        <x:v>44473</x:v>
      </x:c>
      <x:c r="D3491" s="28" t="n">
        <x:f>MOD(B3491,1)</x:f>
        <x:v>0.5312962962998427</x:v>
      </x:c>
      <x:c r="E3491" s="29" t="n">
        <x:f>YEAR(B3491)</x:f>
        <x:v>2021</x:v>
      </x:c>
      <x:c r="F3491" s="29" t="n">
        <x:f>MONTH(B3491)</x:f>
        <x:v>10</x:v>
      </x:c>
      <x:c r="G3491" s="30" t="n">
        <x:v>-31.88</x:v>
      </x:c>
      <x:c r="H3491" s="30" t="n">
        <x:v>-71.23</x:v>
      </x:c>
      <x:c r="I3491" s="29" t="n">
        <x:v>51</x:v>
      </x:c>
      <x:c r="J3491" s="31" t="n">
        <x:v>3.4</x:v>
      </x:c>
      <x:c r="K3491" s="25" t="str">
        <x:f>IF(J3491&gt;=7,"Muy fuerte (&gt;=7)",IF(J3491&gt;=6,"Fuerte (6-6.9)",IF(J3491&gt;=5,"Moderado alto (5-5.9)",IF(J3491&gt;=4,"Moderado (4-4.9)","Menor a 4"))))</x:f>
        <x:v>Menor a 4</x:v>
      </x:c>
      <x:c r="L3491" s="25" t="str">
        <x:f>IF(I3491&lt;70,"Superficial (&lt;70 km)",IF(I3491&lt;=300,"Intermedio (70-300 km)","Profundo (&gt;300 km)"))</x:f>
        <x:v>Superficial (&lt;70 km)</x:v>
      </x:c>
      <x:c r="M3491" s="25" t="str">
        <x:f>IF(J3491&gt;=5,"Sí","No")</x:f>
        <x:v>No</x:v>
      </x:c>
      <x:c r="N3491" s="25" t="str">
        <x:f>IF(J3491&gt;=6,"Sí","No")</x:f>
        <x:v>No</x:v>
      </x:c>
      <x:c r="O3491" s="25" t="str">
        <x:v>Pendiente: asignar con R/sf</x:v>
      </x:c>
    </x:row>
    <x:row r="3492">
      <x:c r="A3492" s="25" t="n">
        <x:v>3491</x:v>
      </x:c>
      <x:c r="B3492" s="26" t="n">
        <x:v>44619.158321759256</x:v>
      </x:c>
      <x:c r="C3492" s="27" t="n">
        <x:f>INT(B3492)</x:f>
        <x:v>44619</x:v>
      </x:c>
      <x:c r="D3492" s="28" t="n">
        <x:f>MOD(B3492,1)</x:f>
        <x:v>0.15832175925606862</x:v>
      </x:c>
      <x:c r="E3492" s="29" t="n">
        <x:f>YEAR(B3492)</x:f>
        <x:v>2022</x:v>
      </x:c>
      <x:c r="F3492" s="29" t="n">
        <x:f>MONTH(B3492)</x:f>
        <x:v>2</x:v>
      </x:c>
      <x:c r="G3492" s="30" t="n">
        <x:v>-31.96</x:v>
      </x:c>
      <x:c r="H3492" s="30" t="n">
        <x:v>-71.25</x:v>
      </x:c>
      <x:c r="I3492" s="29" t="n">
        <x:v>56</x:v>
      </x:c>
      <x:c r="J3492" s="31" t="n">
        <x:v>3.8</x:v>
      </x:c>
      <x:c r="K3492" s="25" t="str">
        <x:f>IF(J3492&gt;=7,"Muy fuerte (&gt;=7)",IF(J3492&gt;=6,"Fuerte (6-6.9)",IF(J3492&gt;=5,"Moderado alto (5-5.9)",IF(J3492&gt;=4,"Moderado (4-4.9)","Menor a 4"))))</x:f>
        <x:v>Menor a 4</x:v>
      </x:c>
      <x:c r="L3492" s="25" t="str">
        <x:f>IF(I3492&lt;70,"Superficial (&lt;70 km)",IF(I3492&lt;=300,"Intermedio (70-300 km)","Profundo (&gt;300 km)"))</x:f>
        <x:v>Superficial (&lt;70 km)</x:v>
      </x:c>
      <x:c r="M3492" s="25" t="str">
        <x:f>IF(J3492&gt;=5,"Sí","No")</x:f>
        <x:v>No</x:v>
      </x:c>
      <x:c r="N3492" s="25" t="str">
        <x:f>IF(J3492&gt;=6,"Sí","No")</x:f>
        <x:v>No</x:v>
      </x:c>
      <x:c r="O3492" s="25" t="str">
        <x:v>Pendiente: asignar con R/sf</x:v>
      </x:c>
    </x:row>
    <x:row r="3493">
      <x:c r="A3493" s="25" t="n">
        <x:v>3492</x:v>
      </x:c>
      <x:c r="B3493" s="26" t="n">
        <x:v>44637.72675925926</x:v>
      </x:c>
      <x:c r="C3493" s="27" t="n">
        <x:f>INT(B3493)</x:f>
        <x:v>44637</x:v>
      </x:c>
      <x:c r="D3493" s="28" t="n">
        <x:f>MOD(B3493,1)</x:f>
        <x:v>0.7267592592615983</x:v>
      </x:c>
      <x:c r="E3493" s="29" t="n">
        <x:f>YEAR(B3493)</x:f>
        <x:v>2022</x:v>
      </x:c>
      <x:c r="F3493" s="29" t="n">
        <x:f>MONTH(B3493)</x:f>
        <x:v>3</x:v>
      </x:c>
      <x:c r="G3493" s="30" t="n">
        <x:v>-31.83</x:v>
      </x:c>
      <x:c r="H3493" s="30" t="n">
        <x:v>-71.28</x:v>
      </x:c>
      <x:c r="I3493" s="29" t="n">
        <x:v>79</x:v>
      </x:c>
      <x:c r="J3493" s="31" t="n">
        <x:v>3.9</x:v>
      </x:c>
      <x:c r="K3493" s="25" t="str">
        <x:f>IF(J3493&gt;=7,"Muy fuerte (&gt;=7)",IF(J3493&gt;=6,"Fuerte (6-6.9)",IF(J3493&gt;=5,"Moderado alto (5-5.9)",IF(J3493&gt;=4,"Moderado (4-4.9)","Menor a 4"))))</x:f>
        <x:v>Menor a 4</x:v>
      </x:c>
      <x:c r="L3493" s="25" t="str">
        <x:f>IF(I3493&lt;70,"Superficial (&lt;70 km)",IF(I3493&lt;=300,"Intermedio (70-300 km)","Profundo (&gt;300 km)"))</x:f>
        <x:v>Intermedio (70-300 km)</x:v>
      </x:c>
      <x:c r="M3493" s="25" t="str">
        <x:f>IF(J3493&gt;=5,"Sí","No")</x:f>
        <x:v>No</x:v>
      </x:c>
      <x:c r="N3493" s="25" t="str">
        <x:f>IF(J3493&gt;=6,"Sí","No")</x:f>
        <x:v>No</x:v>
      </x:c>
      <x:c r="O3493" s="25" t="str">
        <x:v>Pendiente: asignar con R/sf</x:v>
      </x:c>
    </x:row>
    <x:row r="3494">
      <x:c r="A3494" s="25" t="n">
        <x:v>3493</x:v>
      </x:c>
      <x:c r="B3494" s="26" t="n">
        <x:v>44768.695069444446</x:v>
      </x:c>
      <x:c r="C3494" s="27" t="n">
        <x:f>INT(B3494)</x:f>
        <x:v>44768</x:v>
      </x:c>
      <x:c r="D3494" s="28" t="n">
        <x:f>MOD(B3494,1)</x:f>
        <x:v>0.695069444445835</x:v>
      </x:c>
      <x:c r="E3494" s="29" t="n">
        <x:f>YEAR(B3494)</x:f>
        <x:v>2022</x:v>
      </x:c>
      <x:c r="F3494" s="29" t="n">
        <x:f>MONTH(B3494)</x:f>
        <x:v>7</x:v>
      </x:c>
      <x:c r="G3494" s="30" t="n">
        <x:v>-31.77</x:v>
      </x:c>
      <x:c r="H3494" s="30" t="n">
        <x:v>-71.42</x:v>
      </x:c>
      <x:c r="I3494" s="29" t="n">
        <x:v>36</x:v>
      </x:c>
      <x:c r="J3494" s="31" t="n">
        <x:v>3.2</x:v>
      </x:c>
      <x:c r="K3494" s="25" t="str">
        <x:f>IF(J3494&gt;=7,"Muy fuerte (&gt;=7)",IF(J3494&gt;=6,"Fuerte (6-6.9)",IF(J3494&gt;=5,"Moderado alto (5-5.9)",IF(J3494&gt;=4,"Moderado (4-4.9)","Menor a 4"))))</x:f>
        <x:v>Menor a 4</x:v>
      </x:c>
      <x:c r="L3494" s="25" t="str">
        <x:f>IF(I3494&lt;70,"Superficial (&lt;70 km)",IF(I3494&lt;=300,"Intermedio (70-300 km)","Profundo (&gt;300 km)"))</x:f>
        <x:v>Superficial (&lt;70 km)</x:v>
      </x:c>
      <x:c r="M3494" s="25" t="str">
        <x:f>IF(J3494&gt;=5,"Sí","No")</x:f>
        <x:v>No</x:v>
      </x:c>
      <x:c r="N3494" s="25" t="str">
        <x:f>IF(J3494&gt;=6,"Sí","No")</x:f>
        <x:v>No</x:v>
      </x:c>
      <x:c r="O3494" s="25" t="str">
        <x:v>Pendiente: asignar con R/sf</x:v>
      </x:c>
    </x:row>
    <x:row r="3495">
      <x:c r="A3495" s="25" t="n">
        <x:v>3494</x:v>
      </x:c>
      <x:c r="B3495" s="26" t="n">
        <x:v>44898.18015046296</x:v>
      </x:c>
      <x:c r="C3495" s="27" t="n">
        <x:f>INT(B3495)</x:f>
        <x:v>44898</x:v>
      </x:c>
      <x:c r="D3495" s="28" t="n">
        <x:f>MOD(B3495,1)</x:f>
        <x:v>0.18015046296204673</x:v>
      </x:c>
      <x:c r="E3495" s="29" t="n">
        <x:f>YEAR(B3495)</x:f>
        <x:v>2022</x:v>
      </x:c>
      <x:c r="F3495" s="29" t="n">
        <x:f>MONTH(B3495)</x:f>
        <x:v>12</x:v>
      </x:c>
      <x:c r="G3495" s="30" t="n">
        <x:v>-31.52</x:v>
      </x:c>
      <x:c r="H3495" s="30" t="n">
        <x:v>-71.17</x:v>
      </x:c>
      <x:c r="I3495" s="29" t="n">
        <x:v>78</x:v>
      </x:c>
      <x:c r="J3495" s="31" t="n">
        <x:v>4.1</x:v>
      </x:c>
      <x:c r="K3495" s="25" t="str">
        <x:f>IF(J3495&gt;=7,"Muy fuerte (&gt;=7)",IF(J3495&gt;=6,"Fuerte (6-6.9)",IF(J3495&gt;=5,"Moderado alto (5-5.9)",IF(J3495&gt;=4,"Moderado (4-4.9)","Menor a 4"))))</x:f>
        <x:v>Moderado (4-4.9)</x:v>
      </x:c>
      <x:c r="L3495" s="25" t="str">
        <x:f>IF(I3495&lt;70,"Superficial (&lt;70 km)",IF(I3495&lt;=300,"Intermedio (70-300 km)","Profundo (&gt;300 km)"))</x:f>
        <x:v>Intermedio (70-300 km)</x:v>
      </x:c>
      <x:c r="M3495" s="25" t="str">
        <x:f>IF(J3495&gt;=5,"Sí","No")</x:f>
        <x:v>No</x:v>
      </x:c>
      <x:c r="N3495" s="25" t="str">
        <x:f>IF(J3495&gt;=6,"Sí","No")</x:f>
        <x:v>No</x:v>
      </x:c>
      <x:c r="O3495" s="25" t="str">
        <x:v>Pendiente: asignar con R/sf</x:v>
      </x:c>
    </x:row>
    <x:row r="3496">
      <x:c r="A3496" s="25" t="n">
        <x:v>3495</x:v>
      </x:c>
      <x:c r="B3496" s="26" t="n">
        <x:v>44075.03335648148</x:v>
      </x:c>
      <x:c r="C3496" s="27" t="n">
        <x:f>INT(B3496)</x:f>
        <x:v>44075</x:v>
      </x:c>
      <x:c r="D3496" s="28" t="n">
        <x:f>MOD(B3496,1)</x:f>
        <x:v>0.03335648147913162</x:v>
      </x:c>
      <x:c r="E3496" s="29" t="n">
        <x:f>YEAR(B3496)</x:f>
        <x:v>2020</x:v>
      </x:c>
      <x:c r="F3496" s="29" t="n">
        <x:f>MONTH(B3496)</x:f>
        <x:v>9</x:v>
      </x:c>
      <x:c r="G3496" s="30" t="n">
        <x:v>-29.21</x:v>
      </x:c>
      <x:c r="H3496" s="30" t="n">
        <x:v>-71.3</x:v>
      </x:c>
      <x:c r="I3496" s="29" t="n">
        <x:v>60</x:v>
      </x:c>
      <x:c r="J3496" s="31" t="n">
        <x:v>3</x:v>
      </x:c>
      <x:c r="K3496" s="25" t="str">
        <x:f>IF(J3496&gt;=7,"Muy fuerte (&gt;=7)",IF(J3496&gt;=6,"Fuerte (6-6.9)",IF(J3496&gt;=5,"Moderado alto (5-5.9)",IF(J3496&gt;=4,"Moderado (4-4.9)","Menor a 4"))))</x:f>
        <x:v>Menor a 4</x:v>
      </x:c>
      <x:c r="L3496" s="25" t="str">
        <x:f>IF(I3496&lt;70,"Superficial (&lt;70 km)",IF(I3496&lt;=300,"Intermedio (70-300 km)","Profundo (&gt;300 km)"))</x:f>
        <x:v>Superficial (&lt;70 km)</x:v>
      </x:c>
      <x:c r="M3496" s="25" t="str">
        <x:f>IF(J3496&gt;=5,"Sí","No")</x:f>
        <x:v>No</x:v>
      </x:c>
      <x:c r="N3496" s="25" t="str">
        <x:f>IF(J3496&gt;=6,"Sí","No")</x:f>
        <x:v>No</x:v>
      </x:c>
      <x:c r="O3496" s="25" t="str">
        <x:v>Pendiente: asignar con R/sf</x:v>
      </x:c>
    </x:row>
    <x:row r="3497">
      <x:c r="A3497" s="25" t="n">
        <x:v>3496</x:v>
      </x:c>
      <x:c r="B3497" s="26" t="n">
        <x:v>44542.77475694445</x:v>
      </x:c>
      <x:c r="C3497" s="27" t="n">
        <x:f>INT(B3497)</x:f>
        <x:v>44542</x:v>
      </x:c>
      <x:c r="D3497" s="28" t="n">
        <x:f>MOD(B3497,1)</x:f>
        <x:v>0.7747569444472902</x:v>
      </x:c>
      <x:c r="E3497" s="29" t="n">
        <x:f>YEAR(B3497)</x:f>
        <x:v>2021</x:v>
      </x:c>
      <x:c r="F3497" s="29" t="n">
        <x:f>MONTH(B3497)</x:f>
        <x:v>12</x:v>
      </x:c>
      <x:c r="G3497" s="30" t="n">
        <x:v>-29.57</x:v>
      </x:c>
      <x:c r="H3497" s="30" t="n">
        <x:v>-71.24</x:v>
      </x:c>
      <x:c r="I3497" s="29" t="n">
        <x:v>52</x:v>
      </x:c>
      <x:c r="J3497" s="31" t="n">
        <x:v>3.4</x:v>
      </x:c>
      <x:c r="K3497" s="25" t="str">
        <x:f>IF(J3497&gt;=7,"Muy fuerte (&gt;=7)",IF(J3497&gt;=6,"Fuerte (6-6.9)",IF(J3497&gt;=5,"Moderado alto (5-5.9)",IF(J3497&gt;=4,"Moderado (4-4.9)","Menor a 4"))))</x:f>
        <x:v>Menor a 4</x:v>
      </x:c>
      <x:c r="L3497" s="25" t="str">
        <x:f>IF(I3497&lt;70,"Superficial (&lt;70 km)",IF(I3497&lt;=300,"Intermedio (70-300 km)","Profundo (&gt;300 km)"))</x:f>
        <x:v>Superficial (&lt;70 km)</x:v>
      </x:c>
      <x:c r="M3497" s="25" t="str">
        <x:f>IF(J3497&gt;=5,"Sí","No")</x:f>
        <x:v>No</x:v>
      </x:c>
      <x:c r="N3497" s="25" t="str">
        <x:f>IF(J3497&gt;=6,"Sí","No")</x:f>
        <x:v>No</x:v>
      </x:c>
      <x:c r="O3497" s="25" t="str">
        <x:v>Pendiente: asignar con R/sf</x:v>
      </x:c>
    </x:row>
    <x:row r="3498">
      <x:c r="A3498" s="25" t="n">
        <x:v>3497</x:v>
      </x:c>
      <x:c r="B3498" s="26" t="n">
        <x:v>44596.023622685185</x:v>
      </x:c>
      <x:c r="C3498" s="27" t="n">
        <x:f>INT(B3498)</x:f>
        <x:v>44596</x:v>
      </x:c>
      <x:c r="D3498" s="28" t="n">
        <x:f>MOD(B3498,1)</x:f>
        <x:v>0.023622685184818693</x:v>
      </x:c>
      <x:c r="E3498" s="29" t="n">
        <x:f>YEAR(B3498)</x:f>
        <x:v>2022</x:v>
      </x:c>
      <x:c r="F3498" s="29" t="n">
        <x:f>MONTH(B3498)</x:f>
        <x:v>2</x:v>
      </x:c>
      <x:c r="G3498" s="30" t="n">
        <x:v>-29.34</x:v>
      </x:c>
      <x:c r="H3498" s="30" t="n">
        <x:v>-71.16</x:v>
      </x:c>
      <x:c r="I3498" s="29" t="n">
        <x:v>58</x:v>
      </x:c>
      <x:c r="J3498" s="31" t="n">
        <x:v>3.4</x:v>
      </x:c>
      <x:c r="K3498" s="25" t="str">
        <x:f>IF(J3498&gt;=7,"Muy fuerte (&gt;=7)",IF(J3498&gt;=6,"Fuerte (6-6.9)",IF(J3498&gt;=5,"Moderado alto (5-5.9)",IF(J3498&gt;=4,"Moderado (4-4.9)","Menor a 4"))))</x:f>
        <x:v>Menor a 4</x:v>
      </x:c>
      <x:c r="L3498" s="25" t="str">
        <x:f>IF(I3498&lt;70,"Superficial (&lt;70 km)",IF(I3498&lt;=300,"Intermedio (70-300 km)","Profundo (&gt;300 km)"))</x:f>
        <x:v>Superficial (&lt;70 km)</x:v>
      </x:c>
      <x:c r="M3498" s="25" t="str">
        <x:f>IF(J3498&gt;=5,"Sí","No")</x:f>
        <x:v>No</x:v>
      </x:c>
      <x:c r="N3498" s="25" t="str">
        <x:f>IF(J3498&gt;=6,"Sí","No")</x:f>
        <x:v>No</x:v>
      </x:c>
      <x:c r="O3498" s="25" t="str">
        <x:v>Pendiente: asignar con R/sf</x:v>
      </x:c>
    </x:row>
    <x:row r="3499">
      <x:c r="A3499" s="25" t="n">
        <x:v>3498</x:v>
      </x:c>
      <x:c r="B3499" s="26" t="n">
        <x:v>44600.46202546296</x:v>
      </x:c>
      <x:c r="C3499" s="27" t="n">
        <x:f>INT(B3499)</x:f>
        <x:v>44600</x:v>
      </x:c>
      <x:c r="D3499" s="28" t="n">
        <x:f>MOD(B3499,1)</x:f>
        <x:v>0.4620254629626288</x:v>
      </x:c>
      <x:c r="E3499" s="29" t="n">
        <x:f>YEAR(B3499)</x:f>
        <x:v>2022</x:v>
      </x:c>
      <x:c r="F3499" s="29" t="n">
        <x:f>MONTH(B3499)</x:f>
        <x:v>2</x:v>
      </x:c>
      <x:c r="G3499" s="30" t="n">
        <x:v>-29.52</x:v>
      </x:c>
      <x:c r="H3499" s="30" t="n">
        <x:v>-71.35</x:v>
      </x:c>
      <x:c r="I3499" s="29" t="n">
        <x:v>63</x:v>
      </x:c>
      <x:c r="J3499" s="31" t="n">
        <x:v>3.2</x:v>
      </x:c>
      <x:c r="K3499" s="25" t="str">
        <x:f>IF(J3499&gt;=7,"Muy fuerte (&gt;=7)",IF(J3499&gt;=6,"Fuerte (6-6.9)",IF(J3499&gt;=5,"Moderado alto (5-5.9)",IF(J3499&gt;=4,"Moderado (4-4.9)","Menor a 4"))))</x:f>
        <x:v>Menor a 4</x:v>
      </x:c>
      <x:c r="L3499" s="25" t="str">
        <x:f>IF(I3499&lt;70,"Superficial (&lt;70 km)",IF(I3499&lt;=300,"Intermedio (70-300 km)","Profundo (&gt;300 km)"))</x:f>
        <x:v>Superficial (&lt;70 km)</x:v>
      </x:c>
      <x:c r="M3499" s="25" t="str">
        <x:f>IF(J3499&gt;=5,"Sí","No")</x:f>
        <x:v>No</x:v>
      </x:c>
      <x:c r="N3499" s="25" t="str">
        <x:f>IF(J3499&gt;=6,"Sí","No")</x:f>
        <x:v>No</x:v>
      </x:c>
      <x:c r="O3499" s="25" t="str">
        <x:v>Pendiente: asignar con R/sf</x:v>
      </x:c>
    </x:row>
    <x:row r="3500">
      <x:c r="A3500" s="25" t="n">
        <x:v>3499</x:v>
      </x:c>
      <x:c r="B3500" s="26" t="n">
        <x:v>44869.40736111111</x:v>
      </x:c>
      <x:c r="C3500" s="27" t="n">
        <x:f>INT(B3500)</x:f>
        <x:v>44869</x:v>
      </x:c>
      <x:c r="D3500" s="28" t="n">
        <x:f>MOD(B3500,1)</x:f>
        <x:v>0.40736111110891216</x:v>
      </x:c>
      <x:c r="E3500" s="29" t="n">
        <x:f>YEAR(B3500)</x:f>
        <x:v>2022</x:v>
      </x:c>
      <x:c r="F3500" s="29" t="n">
        <x:f>MONTH(B3500)</x:f>
        <x:v>11</x:v>
      </x:c>
      <x:c r="G3500" s="30" t="n">
        <x:v>-29.31</x:v>
      </x:c>
      <x:c r="H3500" s="30" t="n">
        <x:v>-71.33</x:v>
      </x:c>
      <x:c r="I3500" s="29" t="n">
        <x:v>49</x:v>
      </x:c>
      <x:c r="J3500" s="31" t="n">
        <x:v>3.1</x:v>
      </x:c>
      <x:c r="K3500" s="25" t="str">
        <x:f>IF(J3500&gt;=7,"Muy fuerte (&gt;=7)",IF(J3500&gt;=6,"Fuerte (6-6.9)",IF(J3500&gt;=5,"Moderado alto (5-5.9)",IF(J3500&gt;=4,"Moderado (4-4.9)","Menor a 4"))))</x:f>
        <x:v>Menor a 4</x:v>
      </x:c>
      <x:c r="L3500" s="25" t="str">
        <x:f>IF(I3500&lt;70,"Superficial (&lt;70 km)",IF(I3500&lt;=300,"Intermedio (70-300 km)","Profundo (&gt;300 km)"))</x:f>
        <x:v>Superficial (&lt;70 km)</x:v>
      </x:c>
      <x:c r="M3500" s="25" t="str">
        <x:f>IF(J3500&gt;=5,"Sí","No")</x:f>
        <x:v>No</x:v>
      </x:c>
      <x:c r="N3500" s="25" t="str">
        <x:f>IF(J3500&gt;=6,"Sí","No")</x:f>
        <x:v>No</x:v>
      </x:c>
      <x:c r="O3500" s="25" t="str">
        <x:v>Pendiente: asignar con R/sf</x:v>
      </x:c>
    </x:row>
    <x:row r="3501">
      <x:c r="A3501" s="25" t="n">
        <x:v>3500</x:v>
      </x:c>
      <x:c r="B3501" s="26" t="n">
        <x:v>44934.290185185186</x:v>
      </x:c>
      <x:c r="C3501" s="27" t="n">
        <x:f>INT(B3501)</x:f>
        <x:v>44934</x:v>
      </x:c>
      <x:c r="D3501" s="28" t="n">
        <x:f>MOD(B3501,1)</x:f>
        <x:v>0.2901851851856918</x:v>
      </x:c>
      <x:c r="E3501" s="29" t="n">
        <x:f>YEAR(B3501)</x:f>
        <x:v>2023</x:v>
      </x:c>
      <x:c r="F3501" s="29" t="n">
        <x:f>MONTH(B3501)</x:f>
        <x:v>1</x:v>
      </x:c>
      <x:c r="G3501" s="30" t="n">
        <x:v>-29.27</x:v>
      </x:c>
      <x:c r="H3501" s="30" t="n">
        <x:v>-71.24</x:v>
      </x:c>
      <x:c r="I3501" s="29" t="n">
        <x:v>52</x:v>
      </x:c>
      <x:c r="J3501" s="31" t="n">
        <x:v>3.7</x:v>
      </x:c>
      <x:c r="K3501" s="25" t="str">
        <x:f>IF(J3501&gt;=7,"Muy fuerte (&gt;=7)",IF(J3501&gt;=6,"Fuerte (6-6.9)",IF(J3501&gt;=5,"Moderado alto (5-5.9)",IF(J3501&gt;=4,"Moderado (4-4.9)","Menor a 4"))))</x:f>
        <x:v>Menor a 4</x:v>
      </x:c>
      <x:c r="L3501" s="25" t="str">
        <x:f>IF(I3501&lt;70,"Superficial (&lt;70 km)",IF(I3501&lt;=300,"Intermedio (70-300 km)","Profundo (&gt;300 km)"))</x:f>
        <x:v>Superficial (&lt;70 km)</x:v>
      </x:c>
      <x:c r="M3501" s="25" t="str">
        <x:f>IF(J3501&gt;=5,"Sí","No")</x:f>
        <x:v>No</x:v>
      </x:c>
      <x:c r="N3501" s="25" t="str">
        <x:f>IF(J3501&gt;=6,"Sí","No")</x:f>
        <x:v>No</x:v>
      </x:c>
      <x:c r="O3501" s="25" t="str">
        <x:v>Pendiente: asignar con R/sf</x:v>
      </x:c>
    </x:row>
    <x:row r="3502">
      <x:c r="A3502" s="25" t="n">
        <x:v>3501</x:v>
      </x:c>
      <x:c r="B3502" s="26" t="n">
        <x:v>44133.76273148148</x:v>
      </x:c>
      <x:c r="C3502" s="27" t="n">
        <x:f>INT(B3502)</x:f>
        <x:v>44133</x:v>
      </x:c>
      <x:c r="D3502" s="28" t="n">
        <x:f>MOD(B3502,1)</x:f>
        <x:v>0.762731481481751</x:v>
      </x:c>
      <x:c r="E3502" s="29" t="n">
        <x:f>YEAR(B3502)</x:f>
        <x:v>2020</x:v>
      </x:c>
      <x:c r="F3502" s="29" t="n">
        <x:f>MONTH(B3502)</x:f>
        <x:v>10</x:v>
      </x:c>
      <x:c r="G3502" s="30" t="n">
        <x:v>-29.33</x:v>
      </x:c>
      <x:c r="H3502" s="30" t="n">
        <x:v>-71.18</x:v>
      </x:c>
      <x:c r="I3502" s="29" t="n">
        <x:v>56</x:v>
      </x:c>
      <x:c r="J3502" s="31" t="n">
        <x:v>3.5</x:v>
      </x:c>
      <x:c r="K3502" s="25" t="str">
        <x:f>IF(J3502&gt;=7,"Muy fuerte (&gt;=7)",IF(J3502&gt;=6,"Fuerte (6-6.9)",IF(J3502&gt;=5,"Moderado alto (5-5.9)",IF(J3502&gt;=4,"Moderado (4-4.9)","Menor a 4"))))</x:f>
        <x:v>Menor a 4</x:v>
      </x:c>
      <x:c r="L3502" s="25" t="str">
        <x:f>IF(I3502&lt;70,"Superficial (&lt;70 km)",IF(I3502&lt;=300,"Intermedio (70-300 km)","Profundo (&gt;300 km)"))</x:f>
        <x:v>Superficial (&lt;70 km)</x:v>
      </x:c>
      <x:c r="M3502" s="25" t="str">
        <x:f>IF(J3502&gt;=5,"Sí","No")</x:f>
        <x:v>No</x:v>
      </x:c>
      <x:c r="N3502" s="25" t="str">
        <x:f>IF(J3502&gt;=6,"Sí","No")</x:f>
        <x:v>No</x:v>
      </x:c>
      <x:c r="O3502" s="25" t="str">
        <x:v>Pendiente: asignar con R/sf</x:v>
      </x:c>
    </x:row>
    <x:row r="3503">
      <x:c r="A3503" s="25" t="n">
        <x:v>3502</x:v>
      </x:c>
      <x:c r="B3503" s="26" t="n">
        <x:v>44434.11827546296</x:v>
      </x:c>
      <x:c r="C3503" s="27" t="n">
        <x:f>INT(B3503)</x:f>
        <x:v>44434</x:v>
      </x:c>
      <x:c r="D3503" s="28" t="n">
        <x:f>MOD(B3503,1)</x:f>
        <x:v>0.11827546296262881</x:v>
      </x:c>
      <x:c r="E3503" s="29" t="n">
        <x:f>YEAR(B3503)</x:f>
        <x:v>2021</x:v>
      </x:c>
      <x:c r="F3503" s="29" t="n">
        <x:f>MONTH(B3503)</x:f>
        <x:v>8</x:v>
      </x:c>
      <x:c r="G3503" s="30" t="n">
        <x:v>-29.33</x:v>
      </x:c>
      <x:c r="H3503" s="30" t="n">
        <x:v>-71.19</x:v>
      </x:c>
      <x:c r="I3503" s="29" t="n">
        <x:v>57</x:v>
      </x:c>
      <x:c r="J3503" s="31" t="n">
        <x:v>3</x:v>
      </x:c>
      <x:c r="K3503" s="25" t="str">
        <x:f>IF(J3503&gt;=7,"Muy fuerte (&gt;=7)",IF(J3503&gt;=6,"Fuerte (6-6.9)",IF(J3503&gt;=5,"Moderado alto (5-5.9)",IF(J3503&gt;=4,"Moderado (4-4.9)","Menor a 4"))))</x:f>
        <x:v>Menor a 4</x:v>
      </x:c>
      <x:c r="L3503" s="25" t="str">
        <x:f>IF(I3503&lt;70,"Superficial (&lt;70 km)",IF(I3503&lt;=300,"Intermedio (70-300 km)","Profundo (&gt;300 km)"))</x:f>
        <x:v>Superficial (&lt;70 km)</x:v>
      </x:c>
      <x:c r="M3503" s="25" t="str">
        <x:f>IF(J3503&gt;=5,"Sí","No")</x:f>
        <x:v>No</x:v>
      </x:c>
      <x:c r="N3503" s="25" t="str">
        <x:f>IF(J3503&gt;=6,"Sí","No")</x:f>
        <x:v>No</x:v>
      </x:c>
      <x:c r="O3503" s="25" t="str">
        <x:v>Pendiente: asignar con R/sf</x:v>
      </x:c>
    </x:row>
    <x:row r="3504">
      <x:c r="A3504" s="25" t="n">
        <x:v>3503</x:v>
      </x:c>
      <x:c r="B3504" s="26" t="n">
        <x:v>44541.66920138889</x:v>
      </x:c>
      <x:c r="C3504" s="27" t="n">
        <x:f>INT(B3504)</x:f>
        <x:v>44541</x:v>
      </x:c>
      <x:c r="D3504" s="28" t="n">
        <x:f>MOD(B3504,1)</x:f>
        <x:v>0.6692013888896327</x:v>
      </x:c>
      <x:c r="E3504" s="29" t="n">
        <x:f>YEAR(B3504)</x:f>
        <x:v>2021</x:v>
      </x:c>
      <x:c r="F3504" s="29" t="n">
        <x:f>MONTH(B3504)</x:f>
        <x:v>12</x:v>
      </x:c>
      <x:c r="G3504" s="30" t="n">
        <x:v>-29.57</x:v>
      </x:c>
      <x:c r="H3504" s="30" t="n">
        <x:v>-71.22</x:v>
      </x:c>
      <x:c r="I3504" s="29" t="n">
        <x:v>49</x:v>
      </x:c>
      <x:c r="J3504" s="31" t="n">
        <x:v>3.6</x:v>
      </x:c>
      <x:c r="K3504" s="25" t="str">
        <x:f>IF(J3504&gt;=7,"Muy fuerte (&gt;=7)",IF(J3504&gt;=6,"Fuerte (6-6.9)",IF(J3504&gt;=5,"Moderado alto (5-5.9)",IF(J3504&gt;=4,"Moderado (4-4.9)","Menor a 4"))))</x:f>
        <x:v>Menor a 4</x:v>
      </x:c>
      <x:c r="L3504" s="25" t="str">
        <x:f>IF(I3504&lt;70,"Superficial (&lt;70 km)",IF(I3504&lt;=300,"Intermedio (70-300 km)","Profundo (&gt;300 km)"))</x:f>
        <x:v>Superficial (&lt;70 km)</x:v>
      </x:c>
      <x:c r="M3504" s="25" t="str">
        <x:f>IF(J3504&gt;=5,"Sí","No")</x:f>
        <x:v>No</x:v>
      </x:c>
      <x:c r="N3504" s="25" t="str">
        <x:f>IF(J3504&gt;=6,"Sí","No")</x:f>
        <x:v>No</x:v>
      </x:c>
      <x:c r="O3504" s="25" t="str">
        <x:v>Pendiente: asignar con R/sf</x:v>
      </x:c>
    </x:row>
    <x:row r="3505">
      <x:c r="A3505" s="25" t="n">
        <x:v>3504</x:v>
      </x:c>
      <x:c r="B3505" s="26" t="n">
        <x:v>44556.61325231481</x:v>
      </x:c>
      <x:c r="C3505" s="27" t="n">
        <x:f>INT(B3505)</x:f>
        <x:v>44556</x:v>
      </x:c>
      <x:c r="D3505" s="28" t="n">
        <x:f>MOD(B3505,1)</x:f>
        <x:v>0.6132523148116888</x:v>
      </x:c>
      <x:c r="E3505" s="29" t="n">
        <x:f>YEAR(B3505)</x:f>
        <x:v>2021</x:v>
      </x:c>
      <x:c r="F3505" s="29" t="n">
        <x:f>MONTH(B3505)</x:f>
        <x:v>12</x:v>
      </x:c>
      <x:c r="G3505" s="30" t="n">
        <x:v>-29.52</x:v>
      </x:c>
      <x:c r="H3505" s="30" t="n">
        <x:v>-71.24</x:v>
      </x:c>
      <x:c r="I3505" s="29" t="n">
        <x:v>48</x:v>
      </x:c>
      <x:c r="J3505" s="31" t="n">
        <x:v>3.5</x:v>
      </x:c>
      <x:c r="K3505" s="25" t="str">
        <x:f>IF(J3505&gt;=7,"Muy fuerte (&gt;=7)",IF(J3505&gt;=6,"Fuerte (6-6.9)",IF(J3505&gt;=5,"Moderado alto (5-5.9)",IF(J3505&gt;=4,"Moderado (4-4.9)","Menor a 4"))))</x:f>
        <x:v>Menor a 4</x:v>
      </x:c>
      <x:c r="L3505" s="25" t="str">
        <x:f>IF(I3505&lt;70,"Superficial (&lt;70 km)",IF(I3505&lt;=300,"Intermedio (70-300 km)","Profundo (&gt;300 km)"))</x:f>
        <x:v>Superficial (&lt;70 km)</x:v>
      </x:c>
      <x:c r="M3505" s="25" t="str">
        <x:f>IF(J3505&gt;=5,"Sí","No")</x:f>
        <x:v>No</x:v>
      </x:c>
      <x:c r="N3505" s="25" t="str">
        <x:f>IF(J3505&gt;=6,"Sí","No")</x:f>
        <x:v>No</x:v>
      </x:c>
      <x:c r="O3505" s="25" t="str">
        <x:v>Pendiente: asignar con R/sf</x:v>
      </x:c>
    </x:row>
    <x:row r="3506">
      <x:c r="A3506" s="25" t="n">
        <x:v>3505</x:v>
      </x:c>
      <x:c r="B3506" s="26" t="n">
        <x:v>44892.000613425924</x:v>
      </x:c>
      <x:c r="C3506" s="27" t="n">
        <x:f>INT(B3506)</x:f>
        <x:v>44892</x:v>
      </x:c>
      <x:c r="D3506" s="28" t="n">
        <x:f>MOD(B3506,1)</x:f>
        <x:v>0.0006134259238024242</x:v>
      </x:c>
      <x:c r="E3506" s="29" t="n">
        <x:f>YEAR(B3506)</x:f>
        <x:v>2022</x:v>
      </x:c>
      <x:c r="F3506" s="29" t="n">
        <x:f>MONTH(B3506)</x:f>
        <x:v>11</x:v>
      </x:c>
      <x:c r="G3506" s="30" t="n">
        <x:v>-29.4</x:v>
      </x:c>
      <x:c r="H3506" s="30" t="n">
        <x:v>-70.58</x:v>
      </x:c>
      <x:c r="I3506" s="29" t="n">
        <x:v>84</x:v>
      </x:c>
      <x:c r="J3506" s="31" t="n">
        <x:v>3.6</x:v>
      </x:c>
      <x:c r="K3506" s="25" t="str">
        <x:f>IF(J3506&gt;=7,"Muy fuerte (&gt;=7)",IF(J3506&gt;=6,"Fuerte (6-6.9)",IF(J3506&gt;=5,"Moderado alto (5-5.9)",IF(J3506&gt;=4,"Moderado (4-4.9)","Menor a 4"))))</x:f>
        <x:v>Menor a 4</x:v>
      </x:c>
      <x:c r="L3506" s="25" t="str">
        <x:f>IF(I3506&lt;70,"Superficial (&lt;70 km)",IF(I3506&lt;=300,"Intermedio (70-300 km)","Profundo (&gt;300 km)"))</x:f>
        <x:v>Intermedio (70-300 km)</x:v>
      </x:c>
      <x:c r="M3506" s="25" t="str">
        <x:f>IF(J3506&gt;=5,"Sí","No")</x:f>
        <x:v>No</x:v>
      </x:c>
      <x:c r="N3506" s="25" t="str">
        <x:f>IF(J3506&gt;=6,"Sí","No")</x:f>
        <x:v>No</x:v>
      </x:c>
      <x:c r="O3506" s="25" t="str">
        <x:v>Pendiente: asignar con R/sf</x:v>
      </x:c>
    </x:row>
    <x:row r="3507">
      <x:c r="A3507" s="25" t="n">
        <x:v>3506</x:v>
      </x:c>
      <x:c r="B3507" s="26" t="n">
        <x:v>44906.421331018515</x:v>
      </x:c>
      <x:c r="C3507" s="27" t="n">
        <x:f>INT(B3507)</x:f>
        <x:v>44906</x:v>
      </x:c>
      <x:c r="D3507" s="28" t="n">
        <x:f>MOD(B3507,1)</x:f>
        <x:v>0.4213310185150476</x:v>
      </x:c>
      <x:c r="E3507" s="29" t="n">
        <x:f>YEAR(B3507)</x:f>
        <x:v>2022</x:v>
      </x:c>
      <x:c r="F3507" s="29" t="n">
        <x:f>MONTH(B3507)</x:f>
        <x:v>12</x:v>
      </x:c>
      <x:c r="G3507" s="30" t="n">
        <x:v>-30.07</x:v>
      </x:c>
      <x:c r="H3507" s="30" t="n">
        <x:v>-71.18</x:v>
      </x:c>
      <x:c r="I3507" s="29" t="n">
        <x:v>47</x:v>
      </x:c>
      <x:c r="J3507" s="31" t="n">
        <x:v>3.7</x:v>
      </x:c>
      <x:c r="K3507" s="25" t="str">
        <x:f>IF(J3507&gt;=7,"Muy fuerte (&gt;=7)",IF(J3507&gt;=6,"Fuerte (6-6.9)",IF(J3507&gt;=5,"Moderado alto (5-5.9)",IF(J3507&gt;=4,"Moderado (4-4.9)","Menor a 4"))))</x:f>
        <x:v>Menor a 4</x:v>
      </x:c>
      <x:c r="L3507" s="25" t="str">
        <x:f>IF(I3507&lt;70,"Superficial (&lt;70 km)",IF(I3507&lt;=300,"Intermedio (70-300 km)","Profundo (&gt;300 km)"))</x:f>
        <x:v>Superficial (&lt;70 km)</x:v>
      </x:c>
      <x:c r="M3507" s="25" t="str">
        <x:f>IF(J3507&gt;=5,"Sí","No")</x:f>
        <x:v>No</x:v>
      </x:c>
      <x:c r="N3507" s="25" t="str">
        <x:f>IF(J3507&gt;=6,"Sí","No")</x:f>
        <x:v>No</x:v>
      </x:c>
      <x:c r="O3507" s="25" t="str">
        <x:v>Pendiente: asignar con R/sf</x:v>
      </x:c>
    </x:row>
    <x:row r="3508">
      <x:c r="A3508" s="25" t="n">
        <x:v>3507</x:v>
      </x:c>
      <x:c r="B3508" s="26" t="n">
        <x:v>44740.37710648148</x:v>
      </x:c>
      <x:c r="C3508" s="27" t="n">
        <x:f>INT(B3508)</x:f>
        <x:v>44740</x:v>
      </x:c>
      <x:c r="D3508" s="28" t="n">
        <x:f>MOD(B3508,1)</x:f>
        <x:v>0.3771064814791316</x:v>
      </x:c>
      <x:c r="E3508" s="29" t="n">
        <x:f>YEAR(B3508)</x:f>
        <x:v>2022</x:v>
      </x:c>
      <x:c r="F3508" s="29" t="n">
        <x:f>MONTH(B3508)</x:f>
        <x:v>6</x:v>
      </x:c>
      <x:c r="G3508" s="30" t="n">
        <x:v>-30.2</x:v>
      </x:c>
      <x:c r="H3508" s="30" t="n">
        <x:v>-71.27</x:v>
      </x:c>
      <x:c r="I3508" s="29" t="n">
        <x:v>70</x:v>
      </x:c>
      <x:c r="J3508" s="31" t="n">
        <x:v>3.5</x:v>
      </x:c>
      <x:c r="K3508" s="25" t="str">
        <x:f>IF(J3508&gt;=7,"Muy fuerte (&gt;=7)",IF(J3508&gt;=6,"Fuerte (6-6.9)",IF(J3508&gt;=5,"Moderado alto (5-5.9)",IF(J3508&gt;=4,"Moderado (4-4.9)","Menor a 4"))))</x:f>
        <x:v>Menor a 4</x:v>
      </x:c>
      <x:c r="L3508" s="25" t="str">
        <x:f>IF(I3508&lt;70,"Superficial (&lt;70 km)",IF(I3508&lt;=300,"Intermedio (70-300 km)","Profundo (&gt;300 km)"))</x:f>
        <x:v>Intermedio (70-300 km)</x:v>
      </x:c>
      <x:c r="M3508" s="25" t="str">
        <x:f>IF(J3508&gt;=5,"Sí","No")</x:f>
        <x:v>No</x:v>
      </x:c>
      <x:c r="N3508" s="25" t="str">
        <x:f>IF(J3508&gt;=6,"Sí","No")</x:f>
        <x:v>No</x:v>
      </x:c>
      <x:c r="O3508" s="25" t="str">
        <x:v>Pendiente: asignar con R/sf</x:v>
      </x:c>
    </x:row>
    <x:row r="3509">
      <x:c r="A3509" s="25" t="n">
        <x:v>3508</x:v>
      </x:c>
      <x:c r="B3509" s="26" t="n">
        <x:v>44950.60314814815</x:v>
      </x:c>
      <x:c r="C3509" s="27" t="n">
        <x:f>INT(B3509)</x:f>
        <x:v>44950</x:v>
      </x:c>
      <x:c r="D3509" s="28" t="n">
        <x:f>MOD(B3509,1)</x:f>
        <x:v>0.6031481481477385</x:v>
      </x:c>
      <x:c r="E3509" s="29" t="n">
        <x:f>YEAR(B3509)</x:f>
        <x:v>2023</x:v>
      </x:c>
      <x:c r="F3509" s="29" t="n">
        <x:f>MONTH(B3509)</x:f>
        <x:v>1</x:v>
      </x:c>
      <x:c r="G3509" s="30" t="n">
        <x:v>-31.07</x:v>
      </x:c>
      <x:c r="H3509" s="30" t="n">
        <x:v>-71.54</x:v>
      </x:c>
      <x:c r="I3509" s="29" t="n">
        <x:v>65</x:v>
      </x:c>
      <x:c r="J3509" s="31" t="n">
        <x:v>4.1</x:v>
      </x:c>
      <x:c r="K3509" s="25" t="str">
        <x:f>IF(J3509&gt;=7,"Muy fuerte (&gt;=7)",IF(J3509&gt;=6,"Fuerte (6-6.9)",IF(J3509&gt;=5,"Moderado alto (5-5.9)",IF(J3509&gt;=4,"Moderado (4-4.9)","Menor a 4"))))</x:f>
        <x:v>Moderado (4-4.9)</x:v>
      </x:c>
      <x:c r="L3509" s="25" t="str">
        <x:f>IF(I3509&lt;70,"Superficial (&lt;70 km)",IF(I3509&lt;=300,"Intermedio (70-300 km)","Profundo (&gt;300 km)"))</x:f>
        <x:v>Superficial (&lt;70 km)</x:v>
      </x:c>
      <x:c r="M3509" s="25" t="str">
        <x:f>IF(J3509&gt;=5,"Sí","No")</x:f>
        <x:v>No</x:v>
      </x:c>
      <x:c r="N3509" s="25" t="str">
        <x:f>IF(J3509&gt;=6,"Sí","No")</x:f>
        <x:v>No</x:v>
      </x:c>
      <x:c r="O3509" s="25" t="str">
        <x:v>Pendiente: asignar con R/sf</x:v>
      </x:c>
    </x:row>
    <x:row r="3510">
      <x:c r="A3510" s="25" t="n">
        <x:v>3509</x:v>
      </x:c>
      <x:c r="B3510" s="26" t="n">
        <x:v>43640.31214120371</x:v>
      </x:c>
      <x:c r="C3510" s="27" t="n">
        <x:f>INT(B3510)</x:f>
        <x:v>43640</x:v>
      </x:c>
      <x:c r="D3510" s="28" t="n">
        <x:f>MOD(B3510,1)</x:f>
        <x:v>0.31214120370714227</x:v>
      </x:c>
      <x:c r="E3510" s="29" t="n">
        <x:f>YEAR(B3510)</x:f>
        <x:v>2019</x:v>
      </x:c>
      <x:c r="F3510" s="29" t="n">
        <x:f>MONTH(B3510)</x:f>
        <x:v>6</x:v>
      </x:c>
      <x:c r="G3510" s="30" t="n">
        <x:v>-31.95</x:v>
      </x:c>
      <x:c r="H3510" s="30" t="n">
        <x:v>-71.55</x:v>
      </x:c>
      <x:c r="I3510" s="29" t="n">
        <x:v>40</x:v>
      </x:c>
      <x:c r="J3510" s="31" t="n">
        <x:v>3.3</x:v>
      </x:c>
      <x:c r="K3510" s="25" t="str">
        <x:f>IF(J3510&gt;=7,"Muy fuerte (&gt;=7)",IF(J3510&gt;=6,"Fuerte (6-6.9)",IF(J3510&gt;=5,"Moderado alto (5-5.9)",IF(J3510&gt;=4,"Moderado (4-4.9)","Menor a 4"))))</x:f>
        <x:v>Menor a 4</x:v>
      </x:c>
      <x:c r="L3510" s="25" t="str">
        <x:f>IF(I3510&lt;70,"Superficial (&lt;70 km)",IF(I3510&lt;=300,"Intermedio (70-300 km)","Profundo (&gt;300 km)"))</x:f>
        <x:v>Superficial (&lt;70 km)</x:v>
      </x:c>
      <x:c r="M3510" s="25" t="str">
        <x:f>IF(J3510&gt;=5,"Sí","No")</x:f>
        <x:v>No</x:v>
      </x:c>
      <x:c r="N3510" s="25" t="str">
        <x:f>IF(J3510&gt;=6,"Sí","No")</x:f>
        <x:v>No</x:v>
      </x:c>
      <x:c r="O3510" s="25" t="str">
        <x:v>Pendiente: asignar con R/sf</x:v>
      </x:c>
    </x:row>
    <x:row r="3511">
      <x:c r="A3511" s="25" t="n">
        <x:v>3510</x:v>
      </x:c>
      <x:c r="B3511" s="26" t="n">
        <x:v>43917.46586805556</x:v>
      </x:c>
      <x:c r="C3511" s="27" t="n">
        <x:f>INT(B3511)</x:f>
        <x:v>43917</x:v>
      </x:c>
      <x:c r="D3511" s="28" t="n">
        <x:f>MOD(B3511,1)</x:f>
        <x:v>0.4658680555585306</x:v>
      </x:c>
      <x:c r="E3511" s="29" t="n">
        <x:f>YEAR(B3511)</x:f>
        <x:v>2020</x:v>
      </x:c>
      <x:c r="F3511" s="29" t="n">
        <x:f>MONTH(B3511)</x:f>
        <x:v>3</x:v>
      </x:c>
      <x:c r="G3511" s="30" t="n">
        <x:v>-31.63</x:v>
      </x:c>
      <x:c r="H3511" s="30" t="n">
        <x:v>-71.47</x:v>
      </x:c>
      <x:c r="I3511" s="29" t="n">
        <x:v>52</x:v>
      </x:c>
      <x:c r="J3511" s="31" t="n">
        <x:v>3.6</x:v>
      </x:c>
      <x:c r="K3511" s="25" t="str">
        <x:f>IF(J3511&gt;=7,"Muy fuerte (&gt;=7)",IF(J3511&gt;=6,"Fuerte (6-6.9)",IF(J3511&gt;=5,"Moderado alto (5-5.9)",IF(J3511&gt;=4,"Moderado (4-4.9)","Menor a 4"))))</x:f>
        <x:v>Menor a 4</x:v>
      </x:c>
      <x:c r="L3511" s="25" t="str">
        <x:f>IF(I3511&lt;70,"Superficial (&lt;70 km)",IF(I3511&lt;=300,"Intermedio (70-300 km)","Profundo (&gt;300 km)"))</x:f>
        <x:v>Superficial (&lt;70 km)</x:v>
      </x:c>
      <x:c r="M3511" s="25" t="str">
        <x:f>IF(J3511&gt;=5,"Sí","No")</x:f>
        <x:v>No</x:v>
      </x:c>
      <x:c r="N3511" s="25" t="str">
        <x:f>IF(J3511&gt;=6,"Sí","No")</x:f>
        <x:v>No</x:v>
      </x:c>
      <x:c r="O3511" s="25" t="str">
        <x:v>Pendiente: asignar con R/sf</x:v>
      </x:c>
    </x:row>
    <x:row r="3512">
      <x:c r="A3512" s="25" t="n">
        <x:v>3511</x:v>
      </x:c>
      <x:c r="B3512" s="26" t="n">
        <x:v>44121.37815972222</x:v>
      </x:c>
      <x:c r="C3512" s="27" t="n">
        <x:f>INT(B3512)</x:f>
        <x:v>44121</x:v>
      </x:c>
      <x:c r="D3512" s="28" t="n">
        <x:f>MOD(B3512,1)</x:f>
        <x:v>0.3781597222186974</x:v>
      </x:c>
      <x:c r="E3512" s="29" t="n">
        <x:f>YEAR(B3512)</x:f>
        <x:v>2020</x:v>
      </x:c>
      <x:c r="F3512" s="29" t="n">
        <x:f>MONTH(B3512)</x:f>
        <x:v>10</x:v>
      </x:c>
      <x:c r="G3512" s="30" t="n">
        <x:v>-31.74</x:v>
      </x:c>
      <x:c r="H3512" s="30" t="n">
        <x:v>-71.25</x:v>
      </x:c>
      <x:c r="I3512" s="29" t="n">
        <x:v>47</x:v>
      </x:c>
      <x:c r="J3512" s="31" t="n">
        <x:v>3.8</x:v>
      </x:c>
      <x:c r="K3512" s="25" t="str">
        <x:f>IF(J3512&gt;=7,"Muy fuerte (&gt;=7)",IF(J3512&gt;=6,"Fuerte (6-6.9)",IF(J3512&gt;=5,"Moderado alto (5-5.9)",IF(J3512&gt;=4,"Moderado (4-4.9)","Menor a 4"))))</x:f>
        <x:v>Menor a 4</x:v>
      </x:c>
      <x:c r="L3512" s="25" t="str">
        <x:f>IF(I3512&lt;70,"Superficial (&lt;70 km)",IF(I3512&lt;=300,"Intermedio (70-300 km)","Profundo (&gt;300 km)"))</x:f>
        <x:v>Superficial (&lt;70 km)</x:v>
      </x:c>
      <x:c r="M3512" s="25" t="str">
        <x:f>IF(J3512&gt;=5,"Sí","No")</x:f>
        <x:v>No</x:v>
      </x:c>
      <x:c r="N3512" s="25" t="str">
        <x:f>IF(J3512&gt;=6,"Sí","No")</x:f>
        <x:v>No</x:v>
      </x:c>
      <x:c r="O3512" s="25" t="str">
        <x:v>Pendiente: asignar con R/sf</x:v>
      </x:c>
    </x:row>
    <x:row r="3513">
      <x:c r="A3513" s="25" t="n">
        <x:v>3512</x:v>
      </x:c>
      <x:c r="B3513" s="26" t="n">
        <x:v>44151.59914351852</x:v>
      </x:c>
      <x:c r="C3513" s="27" t="n">
        <x:f>INT(B3513)</x:f>
        <x:v>44151</x:v>
      </x:c>
      <x:c r="D3513" s="28" t="n">
        <x:f>MOD(B3513,1)</x:f>
        <x:v>0.5991435185205773</x:v>
      </x:c>
      <x:c r="E3513" s="29" t="n">
        <x:f>YEAR(B3513)</x:f>
        <x:v>2020</x:v>
      </x:c>
      <x:c r="F3513" s="29" t="n">
        <x:f>MONTH(B3513)</x:f>
        <x:v>11</x:v>
      </x:c>
      <x:c r="G3513" s="30" t="n">
        <x:v>-32.44</x:v>
      </x:c>
      <x:c r="H3513" s="30" t="n">
        <x:v>-71.42</x:v>
      </x:c>
      <x:c r="I3513" s="29" t="n">
        <x:v>80</x:v>
      </x:c>
      <x:c r="J3513" s="31" t="n">
        <x:v>4.2</x:v>
      </x:c>
      <x:c r="K3513" s="25" t="str">
        <x:f>IF(J3513&gt;=7,"Muy fuerte (&gt;=7)",IF(J3513&gt;=6,"Fuerte (6-6.9)",IF(J3513&gt;=5,"Moderado alto (5-5.9)",IF(J3513&gt;=4,"Moderado (4-4.9)","Menor a 4"))))</x:f>
        <x:v>Moderado (4-4.9)</x:v>
      </x:c>
      <x:c r="L3513" s="25" t="str">
        <x:f>IF(I3513&lt;70,"Superficial (&lt;70 km)",IF(I3513&lt;=300,"Intermedio (70-300 km)","Profundo (&gt;300 km)"))</x:f>
        <x:v>Intermedio (70-300 km)</x:v>
      </x:c>
      <x:c r="M3513" s="25" t="str">
        <x:f>IF(J3513&gt;=5,"Sí","No")</x:f>
        <x:v>No</x:v>
      </x:c>
      <x:c r="N3513" s="25" t="str">
        <x:f>IF(J3513&gt;=6,"Sí","No")</x:f>
        <x:v>No</x:v>
      </x:c>
      <x:c r="O3513" s="25" t="str">
        <x:v>Pendiente: asignar con R/sf</x:v>
      </x:c>
    </x:row>
    <x:row r="3514">
      <x:c r="A3514" s="25" t="n">
        <x:v>3513</x:v>
      </x:c>
      <x:c r="B3514" s="26" t="n">
        <x:v>44399.06136574074</x:v>
      </x:c>
      <x:c r="C3514" s="27" t="n">
        <x:f>INT(B3514)</x:f>
        <x:v>44399</x:v>
      </x:c>
      <x:c r="D3514" s="28" t="n">
        <x:f>MOD(B3514,1)</x:f>
        <x:v>0.06136574073752854</x:v>
      </x:c>
      <x:c r="E3514" s="29" t="n">
        <x:f>YEAR(B3514)</x:f>
        <x:v>2021</x:v>
      </x:c>
      <x:c r="F3514" s="29" t="n">
        <x:f>MONTH(B3514)</x:f>
        <x:v>7</x:v>
      </x:c>
      <x:c r="G3514" s="30" t="n">
        <x:v>-32.05</x:v>
      </x:c>
      <x:c r="H3514" s="30" t="n">
        <x:v>-71.17</x:v>
      </x:c>
      <x:c r="I3514" s="29" t="n">
        <x:v>60</x:v>
      </x:c>
      <x:c r="J3514" s="31" t="n">
        <x:v>3.6</x:v>
      </x:c>
      <x:c r="K3514" s="25" t="str">
        <x:f>IF(J3514&gt;=7,"Muy fuerte (&gt;=7)",IF(J3514&gt;=6,"Fuerte (6-6.9)",IF(J3514&gt;=5,"Moderado alto (5-5.9)",IF(J3514&gt;=4,"Moderado (4-4.9)","Menor a 4"))))</x:f>
        <x:v>Menor a 4</x:v>
      </x:c>
      <x:c r="L3514" s="25" t="str">
        <x:f>IF(I3514&lt;70,"Superficial (&lt;70 km)",IF(I3514&lt;=300,"Intermedio (70-300 km)","Profundo (&gt;300 km)"))</x:f>
        <x:v>Superficial (&lt;70 km)</x:v>
      </x:c>
      <x:c r="M3514" s="25" t="str">
        <x:f>IF(J3514&gt;=5,"Sí","No")</x:f>
        <x:v>No</x:v>
      </x:c>
      <x:c r="N3514" s="25" t="str">
        <x:f>IF(J3514&gt;=6,"Sí","No")</x:f>
        <x:v>No</x:v>
      </x:c>
      <x:c r="O3514" s="25" t="str">
        <x:v>Pendiente: asignar con R/sf</x:v>
      </x:c>
    </x:row>
    <x:row r="3515">
      <x:c r="A3515" s="25" t="n">
        <x:v>3514</x:v>
      </x:c>
      <x:c r="B3515" s="26" t="n">
        <x:v>44430.28105324074</x:v>
      </x:c>
      <x:c r="C3515" s="27" t="n">
        <x:f>INT(B3515)</x:f>
        <x:v>44430</x:v>
      </x:c>
      <x:c r="D3515" s="28" t="n">
        <x:f>MOD(B3515,1)</x:f>
        <x:v>0.28105324073840166</x:v>
      </x:c>
      <x:c r="E3515" s="29" t="n">
        <x:f>YEAR(B3515)</x:f>
        <x:v>2021</x:v>
      </x:c>
      <x:c r="F3515" s="29" t="n">
        <x:f>MONTH(B3515)</x:f>
        <x:v>8</x:v>
      </x:c>
      <x:c r="G3515" s="30" t="n">
        <x:v>-31.64</x:v>
      </x:c>
      <x:c r="H3515" s="30" t="n">
        <x:v>-71.51</x:v>
      </x:c>
      <x:c r="I3515" s="29" t="n">
        <x:v>37</x:v>
      </x:c>
      <x:c r="J3515" s="31" t="n">
        <x:v>3</x:v>
      </x:c>
      <x:c r="K3515" s="25" t="str">
        <x:f>IF(J3515&gt;=7,"Muy fuerte (&gt;=7)",IF(J3515&gt;=6,"Fuerte (6-6.9)",IF(J3515&gt;=5,"Moderado alto (5-5.9)",IF(J3515&gt;=4,"Moderado (4-4.9)","Menor a 4"))))</x:f>
        <x:v>Menor a 4</x:v>
      </x:c>
      <x:c r="L3515" s="25" t="str">
        <x:f>IF(I3515&lt;70,"Superficial (&lt;70 km)",IF(I3515&lt;=300,"Intermedio (70-300 km)","Profundo (&gt;300 km)"))</x:f>
        <x:v>Superficial (&lt;70 km)</x:v>
      </x:c>
      <x:c r="M3515" s="25" t="str">
        <x:f>IF(J3515&gt;=5,"Sí","No")</x:f>
        <x:v>No</x:v>
      </x:c>
      <x:c r="N3515" s="25" t="str">
        <x:f>IF(J3515&gt;=6,"Sí","No")</x:f>
        <x:v>No</x:v>
      </x:c>
      <x:c r="O3515" s="25" t="str">
        <x:v>Pendiente: asignar con R/sf</x:v>
      </x:c>
    </x:row>
    <x:row r="3516">
      <x:c r="A3516" s="25" t="n">
        <x:v>3515</x:v>
      </x:c>
      <x:c r="B3516" s="26" t="n">
        <x:v>44445.413831018515</x:v>
      </x:c>
      <x:c r="C3516" s="27" t="n">
        <x:f>INT(B3516)</x:f>
        <x:v>44445</x:v>
      </x:c>
      <x:c r="D3516" s="28" t="n">
        <x:f>MOD(B3516,1)</x:f>
        <x:v>0.41383101851533866</x:v>
      </x:c>
      <x:c r="E3516" s="29" t="n">
        <x:f>YEAR(B3516)</x:f>
        <x:v>2021</x:v>
      </x:c>
      <x:c r="F3516" s="29" t="n">
        <x:f>MONTH(B3516)</x:f>
        <x:v>9</x:v>
      </x:c>
      <x:c r="G3516" s="30" t="n">
        <x:v>-32.35</x:v>
      </x:c>
      <x:c r="H3516" s="30" t="n">
        <x:v>-71.14</x:v>
      </x:c>
      <x:c r="I3516" s="29" t="n">
        <x:v>88</x:v>
      </x:c>
      <x:c r="J3516" s="31" t="n">
        <x:v>3.5</x:v>
      </x:c>
      <x:c r="K3516" s="25" t="str">
        <x:f>IF(J3516&gt;=7,"Muy fuerte (&gt;=7)",IF(J3516&gt;=6,"Fuerte (6-6.9)",IF(J3516&gt;=5,"Moderado alto (5-5.9)",IF(J3516&gt;=4,"Moderado (4-4.9)","Menor a 4"))))</x:f>
        <x:v>Menor a 4</x:v>
      </x:c>
      <x:c r="L3516" s="25" t="str">
        <x:f>IF(I3516&lt;70,"Superficial (&lt;70 km)",IF(I3516&lt;=300,"Intermedio (70-300 km)","Profundo (&gt;300 km)"))</x:f>
        <x:v>Intermedio (70-300 km)</x:v>
      </x:c>
      <x:c r="M3516" s="25" t="str">
        <x:f>IF(J3516&gt;=5,"Sí","No")</x:f>
        <x:v>No</x:v>
      </x:c>
      <x:c r="N3516" s="25" t="str">
        <x:f>IF(J3516&gt;=6,"Sí","No")</x:f>
        <x:v>No</x:v>
      </x:c>
      <x:c r="O3516" s="25" t="str">
        <x:v>Pendiente: asignar con R/sf</x:v>
      </x:c>
    </x:row>
    <x:row r="3517">
      <x:c r="A3517" s="25" t="n">
        <x:v>3516</x:v>
      </x:c>
      <x:c r="B3517" s="26" t="n">
        <x:v>44615.11684027778</x:v>
      </x:c>
      <x:c r="C3517" s="27" t="n">
        <x:f>INT(B3517)</x:f>
        <x:v>44615</x:v>
      </x:c>
      <x:c r="D3517" s="28" t="n">
        <x:f>MOD(B3517,1)</x:f>
        <x:v>0.11684027777664596</x:v>
      </x:c>
      <x:c r="E3517" s="29" t="n">
        <x:f>YEAR(B3517)</x:f>
        <x:v>2022</x:v>
      </x:c>
      <x:c r="F3517" s="29" t="n">
        <x:f>MONTH(B3517)</x:f>
        <x:v>2</x:v>
      </x:c>
      <x:c r="G3517" s="30" t="n">
        <x:v>-32.1</x:v>
      </x:c>
      <x:c r="H3517" s="30" t="n">
        <x:v>-71.13</x:v>
      </x:c>
      <x:c r="I3517" s="29" t="n">
        <x:v>87</x:v>
      </x:c>
      <x:c r="J3517" s="31" t="n">
        <x:v>3.4</x:v>
      </x:c>
      <x:c r="K3517" s="25" t="str">
        <x:f>IF(J3517&gt;=7,"Muy fuerte (&gt;=7)",IF(J3517&gt;=6,"Fuerte (6-6.9)",IF(J3517&gt;=5,"Moderado alto (5-5.9)",IF(J3517&gt;=4,"Moderado (4-4.9)","Menor a 4"))))</x:f>
        <x:v>Menor a 4</x:v>
      </x:c>
      <x:c r="L3517" s="25" t="str">
        <x:f>IF(I3517&lt;70,"Superficial (&lt;70 km)",IF(I3517&lt;=300,"Intermedio (70-300 km)","Profundo (&gt;300 km)"))</x:f>
        <x:v>Intermedio (70-300 km)</x:v>
      </x:c>
      <x:c r="M3517" s="25" t="str">
        <x:f>IF(J3517&gt;=5,"Sí","No")</x:f>
        <x:v>No</x:v>
      </x:c>
      <x:c r="N3517" s="25" t="str">
        <x:f>IF(J3517&gt;=6,"Sí","No")</x:f>
        <x:v>No</x:v>
      </x:c>
      <x:c r="O3517" s="25" t="str">
        <x:v>Pendiente: asignar con R/sf</x:v>
      </x:c>
    </x:row>
    <x:row r="3518">
      <x:c r="A3518" s="25" t="n">
        <x:v>3517</x:v>
      </x:c>
      <x:c r="B3518" s="26" t="n">
        <x:v>44686.72341435185</x:v>
      </x:c>
      <x:c r="C3518" s="27" t="n">
        <x:f>INT(B3518)</x:f>
        <x:v>44686</x:v>
      </x:c>
      <x:c r="D3518" s="28" t="n">
        <x:f>MOD(B3518,1)</x:f>
        <x:v>0.7234143518508063</x:v>
      </x:c>
      <x:c r="E3518" s="29" t="n">
        <x:f>YEAR(B3518)</x:f>
        <x:v>2022</x:v>
      </x:c>
      <x:c r="F3518" s="29" t="n">
        <x:f>MONTH(B3518)</x:f>
        <x:v>5</x:v>
      </x:c>
      <x:c r="G3518" s="30" t="n">
        <x:v>-32.12</x:v>
      </x:c>
      <x:c r="H3518" s="30" t="n">
        <x:v>-71.14</x:v>
      </x:c>
      <x:c r="I3518" s="29" t="n">
        <x:v>75</x:v>
      </x:c>
      <x:c r="J3518" s="31" t="n">
        <x:v>3.7</x:v>
      </x:c>
      <x:c r="K3518" s="25" t="str">
        <x:f>IF(J3518&gt;=7,"Muy fuerte (&gt;=7)",IF(J3518&gt;=6,"Fuerte (6-6.9)",IF(J3518&gt;=5,"Moderado alto (5-5.9)",IF(J3518&gt;=4,"Moderado (4-4.9)","Menor a 4"))))</x:f>
        <x:v>Menor a 4</x:v>
      </x:c>
      <x:c r="L3518" s="25" t="str">
        <x:f>IF(I3518&lt;70,"Superficial (&lt;70 km)",IF(I3518&lt;=300,"Intermedio (70-300 km)","Profundo (&gt;300 km)"))</x:f>
        <x:v>Intermedio (70-300 km)</x:v>
      </x:c>
      <x:c r="M3518" s="25" t="str">
        <x:f>IF(J3518&gt;=5,"Sí","No")</x:f>
        <x:v>No</x:v>
      </x:c>
      <x:c r="N3518" s="25" t="str">
        <x:f>IF(J3518&gt;=6,"Sí","No")</x:f>
        <x:v>No</x:v>
      </x:c>
      <x:c r="O3518" s="25" t="str">
        <x:v>Pendiente: asignar con R/sf</x:v>
      </x:c>
    </x:row>
    <x:row r="3519">
      <x:c r="A3519" s="25" t="n">
        <x:v>3518</x:v>
      </x:c>
      <x:c r="B3519" s="26" t="n">
        <x:v>44834.32027777778</x:v>
      </x:c>
      <x:c r="C3519" s="27" t="n">
        <x:f>INT(B3519)</x:f>
        <x:v>44834</x:v>
      </x:c>
      <x:c r="D3519" s="28" t="n">
        <x:f>MOD(B3519,1)</x:f>
        <x:v>0.320277777776937</x:v>
      </x:c>
      <x:c r="E3519" s="29" t="n">
        <x:f>YEAR(B3519)</x:f>
        <x:v>2022</x:v>
      </x:c>
      <x:c r="F3519" s="29" t="n">
        <x:f>MONTH(B3519)</x:f>
        <x:v>9</x:v>
      </x:c>
      <x:c r="G3519" s="30" t="n">
        <x:v>-32.08</x:v>
      </x:c>
      <x:c r="H3519" s="30" t="n">
        <x:v>-71.67</x:v>
      </x:c>
      <x:c r="I3519" s="29" t="n">
        <x:v>36</x:v>
      </x:c>
      <x:c r="J3519" s="31" t="n">
        <x:v>4.2</x:v>
      </x:c>
      <x:c r="K3519" s="25" t="str">
        <x:f>IF(J3519&gt;=7,"Muy fuerte (&gt;=7)",IF(J3519&gt;=6,"Fuerte (6-6.9)",IF(J3519&gt;=5,"Moderado alto (5-5.9)",IF(J3519&gt;=4,"Moderado (4-4.9)","Menor a 4"))))</x:f>
        <x:v>Moderado (4-4.9)</x:v>
      </x:c>
      <x:c r="L3519" s="25" t="str">
        <x:f>IF(I3519&lt;70,"Superficial (&lt;70 km)",IF(I3519&lt;=300,"Intermedio (70-300 km)","Profundo (&gt;300 km)"))</x:f>
        <x:v>Superficial (&lt;70 km)</x:v>
      </x:c>
      <x:c r="M3519" s="25" t="str">
        <x:f>IF(J3519&gt;=5,"Sí","No")</x:f>
        <x:v>No</x:v>
      </x:c>
      <x:c r="N3519" s="25" t="str">
        <x:f>IF(J3519&gt;=6,"Sí","No")</x:f>
        <x:v>No</x:v>
      </x:c>
      <x:c r="O3519" s="25" t="str">
        <x:v>Pendiente: asignar con R/sf</x:v>
      </x:c>
    </x:row>
    <x:row r="3520">
      <x:c r="A3520" s="25" t="n">
        <x:v>3519</x:v>
      </x:c>
      <x:c r="B3520" s="26" t="n">
        <x:v>44887.836168981485</x:v>
      </x:c>
      <x:c r="C3520" s="27" t="n">
        <x:f>INT(B3520)</x:f>
        <x:v>44887</x:v>
      </x:c>
      <x:c r="D3520" s="28" t="n">
        <x:f>MOD(B3520,1)</x:f>
        <x:v>0.8361689814846613</x:v>
      </x:c>
      <x:c r="E3520" s="29" t="n">
        <x:f>YEAR(B3520)</x:f>
        <x:v>2022</x:v>
      </x:c>
      <x:c r="F3520" s="29" t="n">
        <x:f>MONTH(B3520)</x:f>
        <x:v>11</x:v>
      </x:c>
      <x:c r="G3520" s="30" t="n">
        <x:v>-32.09</x:v>
      </x:c>
      <x:c r="H3520" s="30" t="n">
        <x:v>-71.14</x:v>
      </x:c>
      <x:c r="I3520" s="29" t="n">
        <x:v>89</x:v>
      </x:c>
      <x:c r="J3520" s="31" t="n">
        <x:v>3.9</x:v>
      </x:c>
      <x:c r="K3520" s="25" t="str">
        <x:f>IF(J3520&gt;=7,"Muy fuerte (&gt;=7)",IF(J3520&gt;=6,"Fuerte (6-6.9)",IF(J3520&gt;=5,"Moderado alto (5-5.9)",IF(J3520&gt;=4,"Moderado (4-4.9)","Menor a 4"))))</x:f>
        <x:v>Menor a 4</x:v>
      </x:c>
      <x:c r="L3520" s="25" t="str">
        <x:f>IF(I3520&lt;70,"Superficial (&lt;70 km)",IF(I3520&lt;=300,"Intermedio (70-300 km)","Profundo (&gt;300 km)"))</x:f>
        <x:v>Intermedio (70-300 km)</x:v>
      </x:c>
      <x:c r="M3520" s="25" t="str">
        <x:f>IF(J3520&gt;=5,"Sí","No")</x:f>
        <x:v>No</x:v>
      </x:c>
      <x:c r="N3520" s="25" t="str">
        <x:f>IF(J3520&gt;=6,"Sí","No")</x:f>
        <x:v>No</x:v>
      </x:c>
      <x:c r="O3520" s="25" t="str">
        <x:v>Pendiente: asignar con R/sf</x:v>
      </x:c>
    </x:row>
    <x:row r="3521">
      <x:c r="A3521" s="25" t="n">
        <x:v>3520</x:v>
      </x:c>
      <x:c r="B3521" s="26" t="n">
        <x:v>43511.33474537037</x:v>
      </x:c>
      <x:c r="C3521" s="27" t="n">
        <x:f>INT(B3521)</x:f>
        <x:v>43511</x:v>
      </x:c>
      <x:c r="D3521" s="28" t="n">
        <x:f>MOD(B3521,1)</x:f>
        <x:v>0.3347453703681822</x:v>
      </x:c>
      <x:c r="E3521" s="29" t="n">
        <x:f>YEAR(B3521)</x:f>
        <x:v>2019</x:v>
      </x:c>
      <x:c r="F3521" s="29" t="n">
        <x:f>MONTH(B3521)</x:f>
        <x:v>2</x:v>
      </x:c>
      <x:c r="G3521" s="30" t="n">
        <x:v>-30</x:v>
      </x:c>
      <x:c r="H3521" s="30" t="n">
        <x:v>-71.19</x:v>
      </x:c>
      <x:c r="I3521" s="29" t="n">
        <x:v>59</x:v>
      </x:c>
      <x:c r="J3521" s="31" t="n">
        <x:v>3.6</x:v>
      </x:c>
      <x:c r="K3521" s="25" t="str">
        <x:f>IF(J3521&gt;=7,"Muy fuerte (&gt;=7)",IF(J3521&gt;=6,"Fuerte (6-6.9)",IF(J3521&gt;=5,"Moderado alto (5-5.9)",IF(J3521&gt;=4,"Moderado (4-4.9)","Menor a 4"))))</x:f>
        <x:v>Menor a 4</x:v>
      </x:c>
      <x:c r="L3521" s="25" t="str">
        <x:f>IF(I3521&lt;70,"Superficial (&lt;70 km)",IF(I3521&lt;=300,"Intermedio (70-300 km)","Profundo (&gt;300 km)"))</x:f>
        <x:v>Superficial (&lt;70 km)</x:v>
      </x:c>
      <x:c r="M3521" s="25" t="str">
        <x:f>IF(J3521&gt;=5,"Sí","No")</x:f>
        <x:v>No</x:v>
      </x:c>
      <x:c r="N3521" s="25" t="str">
        <x:f>IF(J3521&gt;=6,"Sí","No")</x:f>
        <x:v>No</x:v>
      </x:c>
      <x:c r="O3521" s="25" t="str">
        <x:v>Pendiente: asignar con R/sf</x:v>
      </x:c>
    </x:row>
    <x:row r="3522">
      <x:c r="A3522" s="25" t="n">
        <x:v>3521</x:v>
      </x:c>
      <x:c r="B3522" s="26" t="n">
        <x:v>43511.38633101852</x:v>
      </x:c>
      <x:c r="C3522" s="27" t="n">
        <x:f>INT(B3522)</x:f>
        <x:v>43511</x:v>
      </x:c>
      <x:c r="D3522" s="28" t="n">
        <x:f>MOD(B3522,1)</x:f>
        <x:v>0.3863310185188311</x:v>
      </x:c>
      <x:c r="E3522" s="29" t="n">
        <x:f>YEAR(B3522)</x:f>
        <x:v>2019</x:v>
      </x:c>
      <x:c r="F3522" s="29" t="n">
        <x:f>MONTH(B3522)</x:f>
        <x:v>2</x:v>
      </x:c>
      <x:c r="G3522" s="30" t="n">
        <x:v>-29</x:v>
      </x:c>
      <x:c r="H3522" s="30" t="n">
        <x:v>-70.17</x:v>
      </x:c>
      <x:c r="I3522" s="29" t="n">
        <x:v>120</x:v>
      </x:c>
      <x:c r="J3522" s="31" t="n">
        <x:v>3.9</x:v>
      </x:c>
      <x:c r="K3522" s="25" t="str">
        <x:f>IF(J3522&gt;=7,"Muy fuerte (&gt;=7)",IF(J3522&gt;=6,"Fuerte (6-6.9)",IF(J3522&gt;=5,"Moderado alto (5-5.9)",IF(J3522&gt;=4,"Moderado (4-4.9)","Menor a 4"))))</x:f>
        <x:v>Menor a 4</x:v>
      </x:c>
      <x:c r="L3522" s="25" t="str">
        <x:f>IF(I3522&lt;70,"Superficial (&lt;70 km)",IF(I3522&lt;=300,"Intermedio (70-300 km)","Profundo (&gt;300 km)"))</x:f>
        <x:v>Intermedio (70-300 km)</x:v>
      </x:c>
      <x:c r="M3522" s="25" t="str">
        <x:f>IF(J3522&gt;=5,"Sí","No")</x:f>
        <x:v>No</x:v>
      </x:c>
      <x:c r="N3522" s="25" t="str">
        <x:f>IF(J3522&gt;=6,"Sí","No")</x:f>
        <x:v>No</x:v>
      </x:c>
      <x:c r="O3522" s="25" t="str">
        <x:v>Pendiente: asignar con R/sf</x:v>
      </x:c>
    </x:row>
    <x:row r="3523">
      <x:c r="A3523" s="25" t="n">
        <x:v>3522</x:v>
      </x:c>
      <x:c r="B3523" s="26" t="n">
        <x:v>44805.64135416667</x:v>
      </x:c>
      <x:c r="C3523" s="27" t="n">
        <x:f>INT(B3523)</x:f>
        <x:v>44805</x:v>
      </x:c>
      <x:c r="D3523" s="28" t="n">
        <x:f>MOD(B3523,1)</x:f>
        <x:v>0.6413541666697711</x:v>
      </x:c>
      <x:c r="E3523" s="29" t="n">
        <x:f>YEAR(B3523)</x:f>
        <x:v>2022</x:v>
      </x:c>
      <x:c r="F3523" s="29" t="n">
        <x:f>MONTH(B3523)</x:f>
        <x:v>9</x:v>
      </x:c>
      <x:c r="G3523" s="30" t="n">
        <x:v>-30.56</x:v>
      </x:c>
      <x:c r="H3523" s="30" t="n">
        <x:v>-71.4</x:v>
      </x:c>
      <x:c r="I3523" s="29" t="n">
        <x:v>20</x:v>
      </x:c>
      <x:c r="J3523" s="31" t="n">
        <x:v>3.7</x:v>
      </x:c>
      <x:c r="K3523" s="25" t="str">
        <x:f>IF(J3523&gt;=7,"Muy fuerte (&gt;=7)",IF(J3523&gt;=6,"Fuerte (6-6.9)",IF(J3523&gt;=5,"Moderado alto (5-5.9)",IF(J3523&gt;=4,"Moderado (4-4.9)","Menor a 4"))))</x:f>
        <x:v>Menor a 4</x:v>
      </x:c>
      <x:c r="L3523" s="25" t="str">
        <x:f>IF(I3523&lt;70,"Superficial (&lt;70 km)",IF(I3523&lt;=300,"Intermedio (70-300 km)","Profundo (&gt;300 km)"))</x:f>
        <x:v>Superficial (&lt;70 km)</x:v>
      </x:c>
      <x:c r="M3523" s="25" t="str">
        <x:f>IF(J3523&gt;=5,"Sí","No")</x:f>
        <x:v>No</x:v>
      </x:c>
      <x:c r="N3523" s="25" t="str">
        <x:f>IF(J3523&gt;=6,"Sí","No")</x:f>
        <x:v>No</x:v>
      </x:c>
      <x:c r="O3523" s="25" t="str">
        <x:v>Pendiente: asignar con R/sf</x:v>
      </x:c>
    </x:row>
    <x:row r="3524">
      <x:c r="A3524" s="25" t="n">
        <x:v>3523</x:v>
      </x:c>
      <x:c r="B3524" s="26" t="n">
        <x:v>44008.7762037037</x:v>
      </x:c>
      <x:c r="C3524" s="27" t="n">
        <x:f>INT(B3524)</x:f>
        <x:v>44008</x:v>
      </x:c>
      <x:c r="D3524" s="28" t="n">
        <x:f>MOD(B3524,1)</x:f>
        <x:v>0.7762037037027767</x:v>
      </x:c>
      <x:c r="E3524" s="29" t="n">
        <x:f>YEAR(B3524)</x:f>
        <x:v>2020</x:v>
      </x:c>
      <x:c r="F3524" s="29" t="n">
        <x:f>MONTH(B3524)</x:f>
        <x:v>6</x:v>
      </x:c>
      <x:c r="G3524" s="30" t="n">
        <x:v>-30.84</x:v>
      </x:c>
      <x:c r="H3524" s="30" t="n">
        <x:v>-71.56</x:v>
      </x:c>
      <x:c r="I3524" s="29" t="n">
        <x:v>63</x:v>
      </x:c>
      <x:c r="J3524" s="31" t="n">
        <x:v>3.7</x:v>
      </x:c>
      <x:c r="K3524" s="25" t="str">
        <x:f>IF(J3524&gt;=7,"Muy fuerte (&gt;=7)",IF(J3524&gt;=6,"Fuerte (6-6.9)",IF(J3524&gt;=5,"Moderado alto (5-5.9)",IF(J3524&gt;=4,"Moderado (4-4.9)","Menor a 4"))))</x:f>
        <x:v>Menor a 4</x:v>
      </x:c>
      <x:c r="L3524" s="25" t="str">
        <x:f>IF(I3524&lt;70,"Superficial (&lt;70 km)",IF(I3524&lt;=300,"Intermedio (70-300 km)","Profundo (&gt;300 km)"))</x:f>
        <x:v>Superficial (&lt;70 km)</x:v>
      </x:c>
      <x:c r="M3524" s="25" t="str">
        <x:f>IF(J3524&gt;=5,"Sí","No")</x:f>
        <x:v>No</x:v>
      </x:c>
      <x:c r="N3524" s="25" t="str">
        <x:f>IF(J3524&gt;=6,"Sí","No")</x:f>
        <x:v>No</x:v>
      </x:c>
      <x:c r="O3524" s="25" t="str">
        <x:v>Pendiente: asignar con R/sf</x:v>
      </x:c>
    </x:row>
    <x:row r="3525">
      <x:c r="A3525" s="25" t="n">
        <x:v>3524</x:v>
      </x:c>
      <x:c r="B3525" s="26" t="n">
        <x:v>44026.367164351854</x:v>
      </x:c>
      <x:c r="C3525" s="27" t="n">
        <x:f>INT(B3525)</x:f>
        <x:v>44026</x:v>
      </x:c>
      <x:c r="D3525" s="28" t="n">
        <x:f>MOD(B3525,1)</x:f>
        <x:v>0.36716435185371665</x:v>
      </x:c>
      <x:c r="E3525" s="29" t="n">
        <x:f>YEAR(B3525)</x:f>
        <x:v>2020</x:v>
      </x:c>
      <x:c r="F3525" s="29" t="n">
        <x:f>MONTH(B3525)</x:f>
        <x:v>7</x:v>
      </x:c>
      <x:c r="G3525" s="30" t="n">
        <x:v>-31.31</x:v>
      </x:c>
      <x:c r="H3525" s="30" t="n">
        <x:v>-71.33</x:v>
      </x:c>
      <x:c r="I3525" s="29" t="n">
        <x:v>71</x:v>
      </x:c>
      <x:c r="J3525" s="31" t="n">
        <x:v>3.5</x:v>
      </x:c>
      <x:c r="K3525" s="25" t="str">
        <x:f>IF(J3525&gt;=7,"Muy fuerte (&gt;=7)",IF(J3525&gt;=6,"Fuerte (6-6.9)",IF(J3525&gt;=5,"Moderado alto (5-5.9)",IF(J3525&gt;=4,"Moderado (4-4.9)","Menor a 4"))))</x:f>
        <x:v>Menor a 4</x:v>
      </x:c>
      <x:c r="L3525" s="25" t="str">
        <x:f>IF(I3525&lt;70,"Superficial (&lt;70 km)",IF(I3525&lt;=300,"Intermedio (70-300 km)","Profundo (&gt;300 km)"))</x:f>
        <x:v>Intermedio (70-300 km)</x:v>
      </x:c>
      <x:c r="M3525" s="25" t="str">
        <x:f>IF(J3525&gt;=5,"Sí","No")</x:f>
        <x:v>No</x:v>
      </x:c>
      <x:c r="N3525" s="25" t="str">
        <x:f>IF(J3525&gt;=6,"Sí","No")</x:f>
        <x:v>No</x:v>
      </x:c>
      <x:c r="O3525" s="25" t="str">
        <x:v>Pendiente: asignar con R/sf</x:v>
      </x:c>
    </x:row>
    <x:row r="3526">
      <x:c r="A3526" s="25" t="n">
        <x:v>3525</x:v>
      </x:c>
      <x:c r="B3526" s="26" t="n">
        <x:v>44100.16813657407</x:v>
      </x:c>
      <x:c r="C3526" s="27" t="n">
        <x:f>INT(B3526)</x:f>
        <x:v>44100</x:v>
      </x:c>
      <x:c r="D3526" s="28" t="n">
        <x:f>MOD(B3526,1)</x:f>
        <x:v>0.1681365740732872</x:v>
      </x:c>
      <x:c r="E3526" s="29" t="n">
        <x:f>YEAR(B3526)</x:f>
        <x:v>2020</x:v>
      </x:c>
      <x:c r="F3526" s="29" t="n">
        <x:f>MONTH(B3526)</x:f>
        <x:v>9</x:v>
      </x:c>
      <x:c r="G3526" s="30" t="n">
        <x:v>-30.68</x:v>
      </x:c>
      <x:c r="H3526" s="30" t="n">
        <x:v>-71.32</x:v>
      </x:c>
      <x:c r="I3526" s="29" t="n">
        <x:v>41</x:v>
      </x:c>
      <x:c r="J3526" s="31" t="n">
        <x:v>3.7</x:v>
      </x:c>
      <x:c r="K3526" s="25" t="str">
        <x:f>IF(J3526&gt;=7,"Muy fuerte (&gt;=7)",IF(J3526&gt;=6,"Fuerte (6-6.9)",IF(J3526&gt;=5,"Moderado alto (5-5.9)",IF(J3526&gt;=4,"Moderado (4-4.9)","Menor a 4"))))</x:f>
        <x:v>Menor a 4</x:v>
      </x:c>
      <x:c r="L3526" s="25" t="str">
        <x:f>IF(I3526&lt;70,"Superficial (&lt;70 km)",IF(I3526&lt;=300,"Intermedio (70-300 km)","Profundo (&gt;300 km)"))</x:f>
        <x:v>Superficial (&lt;70 km)</x:v>
      </x:c>
      <x:c r="M3526" s="25" t="str">
        <x:f>IF(J3526&gt;=5,"Sí","No")</x:f>
        <x:v>No</x:v>
      </x:c>
      <x:c r="N3526" s="25" t="str">
        <x:f>IF(J3526&gt;=6,"Sí","No")</x:f>
        <x:v>No</x:v>
      </x:c>
      <x:c r="O3526" s="25" t="str">
        <x:v>Pendiente: asignar con R/sf</x:v>
      </x:c>
    </x:row>
    <x:row r="3527">
      <x:c r="A3527" s="25" t="n">
        <x:v>3526</x:v>
      </x:c>
      <x:c r="B3527" s="26" t="n">
        <x:v>44121.80042824074</x:v>
      </x:c>
      <x:c r="C3527" s="27" t="n">
        <x:f>INT(B3527)</x:f>
        <x:v>44121</x:v>
      </x:c>
      <x:c r="D3527" s="28" t="n">
        <x:f>MOD(B3527,1)</x:f>
        <x:v>0.8004282407418941</x:v>
      </x:c>
      <x:c r="E3527" s="29" t="n">
        <x:f>YEAR(B3527)</x:f>
        <x:v>2020</x:v>
      </x:c>
      <x:c r="F3527" s="29" t="n">
        <x:f>MONTH(B3527)</x:f>
        <x:v>10</x:v>
      </x:c>
      <x:c r="G3527" s="30" t="n">
        <x:v>-30.89</x:v>
      </x:c>
      <x:c r="H3527" s="30" t="n">
        <x:v>-71.39</x:v>
      </x:c>
      <x:c r="I3527" s="29" t="n">
        <x:v>63</x:v>
      </x:c>
      <x:c r="J3527" s="31" t="n">
        <x:v>3.9</x:v>
      </x:c>
      <x:c r="K3527" s="25" t="str">
        <x:f>IF(J3527&gt;=7,"Muy fuerte (&gt;=7)",IF(J3527&gt;=6,"Fuerte (6-6.9)",IF(J3527&gt;=5,"Moderado alto (5-5.9)",IF(J3527&gt;=4,"Moderado (4-4.9)","Menor a 4"))))</x:f>
        <x:v>Menor a 4</x:v>
      </x:c>
      <x:c r="L3527" s="25" t="str">
        <x:f>IF(I3527&lt;70,"Superficial (&lt;70 km)",IF(I3527&lt;=300,"Intermedio (70-300 km)","Profundo (&gt;300 km)"))</x:f>
        <x:v>Superficial (&lt;70 km)</x:v>
      </x:c>
      <x:c r="M3527" s="25" t="str">
        <x:f>IF(J3527&gt;=5,"Sí","No")</x:f>
        <x:v>No</x:v>
      </x:c>
      <x:c r="N3527" s="25" t="str">
        <x:f>IF(J3527&gt;=6,"Sí","No")</x:f>
        <x:v>No</x:v>
      </x:c>
      <x:c r="O3527" s="25" t="str">
        <x:v>Pendiente: asignar con R/sf</x:v>
      </x:c>
    </x:row>
    <x:row r="3528">
      <x:c r="A3528" s="25" t="n">
        <x:v>3527</x:v>
      </x:c>
      <x:c r="B3528" s="26" t="n">
        <x:v>44125.980104166665</x:v>
      </x:c>
      <x:c r="C3528" s="27" t="n">
        <x:f>INT(B3528)</x:f>
        <x:v>44125</x:v>
      </x:c>
      <x:c r="D3528" s="28" t="n">
        <x:f>MOD(B3528,1)</x:f>
        <x:v>0.9801041666651145</x:v>
      </x:c>
      <x:c r="E3528" s="29" t="n">
        <x:f>YEAR(B3528)</x:f>
        <x:v>2020</x:v>
      </x:c>
      <x:c r="F3528" s="29" t="n">
        <x:f>MONTH(B3528)</x:f>
        <x:v>10</x:v>
      </x:c>
      <x:c r="G3528" s="30" t="n">
        <x:v>-30.72</x:v>
      </x:c>
      <x:c r="H3528" s="30" t="n">
        <x:v>-71.45</x:v>
      </x:c>
      <x:c r="I3528" s="29" t="n">
        <x:v>43</x:v>
      </x:c>
      <x:c r="J3528" s="31" t="n">
        <x:v>3.7</x:v>
      </x:c>
      <x:c r="K3528" s="25" t="str">
        <x:f>IF(J3528&gt;=7,"Muy fuerte (&gt;=7)",IF(J3528&gt;=6,"Fuerte (6-6.9)",IF(J3528&gt;=5,"Moderado alto (5-5.9)",IF(J3528&gt;=4,"Moderado (4-4.9)","Menor a 4"))))</x:f>
        <x:v>Menor a 4</x:v>
      </x:c>
      <x:c r="L3528" s="25" t="str">
        <x:f>IF(I3528&lt;70,"Superficial (&lt;70 km)",IF(I3528&lt;=300,"Intermedio (70-300 km)","Profundo (&gt;300 km)"))</x:f>
        <x:v>Superficial (&lt;70 km)</x:v>
      </x:c>
      <x:c r="M3528" s="25" t="str">
        <x:f>IF(J3528&gt;=5,"Sí","No")</x:f>
        <x:v>No</x:v>
      </x:c>
      <x:c r="N3528" s="25" t="str">
        <x:f>IF(J3528&gt;=6,"Sí","No")</x:f>
        <x:v>No</x:v>
      </x:c>
      <x:c r="O3528" s="25" t="str">
        <x:v>Pendiente: asignar con R/sf</x:v>
      </x:c>
    </x:row>
    <x:row r="3529">
      <x:c r="A3529" s="25" t="n">
        <x:v>3528</x:v>
      </x:c>
      <x:c r="B3529" s="26" t="n">
        <x:v>44199.55577546296</x:v>
      </x:c>
      <x:c r="C3529" s="27" t="n">
        <x:f>INT(B3529)</x:f>
        <x:v>44199</x:v>
      </x:c>
      <x:c r="D3529" s="28" t="n">
        <x:f>MOD(B3529,1)</x:f>
        <x:v>0.5557754629626288</x:v>
      </x:c>
      <x:c r="E3529" s="29" t="n">
        <x:f>YEAR(B3529)</x:f>
        <x:v>2021</x:v>
      </x:c>
      <x:c r="F3529" s="29" t="n">
        <x:f>MONTH(B3529)</x:f>
        <x:v>1</x:v>
      </x:c>
      <x:c r="G3529" s="30" t="n">
        <x:v>-30.87</x:v>
      </x:c>
      <x:c r="H3529" s="30" t="n">
        <x:v>-71.3</x:v>
      </x:c>
      <x:c r="I3529" s="29" t="n">
        <x:v>52</x:v>
      </x:c>
      <x:c r="J3529" s="31" t="n">
        <x:v>4.2</x:v>
      </x:c>
      <x:c r="K3529" s="25" t="str">
        <x:f>IF(J3529&gt;=7,"Muy fuerte (&gt;=7)",IF(J3529&gt;=6,"Fuerte (6-6.9)",IF(J3529&gt;=5,"Moderado alto (5-5.9)",IF(J3529&gt;=4,"Moderado (4-4.9)","Menor a 4"))))</x:f>
        <x:v>Moderado (4-4.9)</x:v>
      </x:c>
      <x:c r="L3529" s="25" t="str">
        <x:f>IF(I3529&lt;70,"Superficial (&lt;70 km)",IF(I3529&lt;=300,"Intermedio (70-300 km)","Profundo (&gt;300 km)"))</x:f>
        <x:v>Superficial (&lt;70 km)</x:v>
      </x:c>
      <x:c r="M3529" s="25" t="str">
        <x:f>IF(J3529&gt;=5,"Sí","No")</x:f>
        <x:v>No</x:v>
      </x:c>
      <x:c r="N3529" s="25" t="str">
        <x:f>IF(J3529&gt;=6,"Sí","No")</x:f>
        <x:v>No</x:v>
      </x:c>
      <x:c r="O3529" s="25" t="str">
        <x:v>Pendiente: asignar con R/sf</x:v>
      </x:c>
    </x:row>
    <x:row r="3530">
      <x:c r="A3530" s="25" t="n">
        <x:v>3529</x:v>
      </x:c>
      <x:c r="B3530" s="26" t="n">
        <x:v>44214.58453703704</x:v>
      </x:c>
      <x:c r="C3530" s="27" t="n">
        <x:f>INT(B3530)</x:f>
        <x:v>44214</x:v>
      </x:c>
      <x:c r="D3530" s="28" t="n">
        <x:f>MOD(B3530,1)</x:f>
        <x:v>0.5845370370370802</x:v>
      </x:c>
      <x:c r="E3530" s="29" t="n">
        <x:f>YEAR(B3530)</x:f>
        <x:v>2021</x:v>
      </x:c>
      <x:c r="F3530" s="29" t="n">
        <x:f>MONTH(B3530)</x:f>
        <x:v>1</x:v>
      </x:c>
      <x:c r="G3530" s="30" t="n">
        <x:v>-31.02</x:v>
      </x:c>
      <x:c r="H3530" s="30" t="n">
        <x:v>-71.37</x:v>
      </x:c>
      <x:c r="I3530" s="29" t="n">
        <x:v>63</x:v>
      </x:c>
      <x:c r="J3530" s="31" t="n">
        <x:v>3.4</x:v>
      </x:c>
      <x:c r="K3530" s="25" t="str">
        <x:f>IF(J3530&gt;=7,"Muy fuerte (&gt;=7)",IF(J3530&gt;=6,"Fuerte (6-6.9)",IF(J3530&gt;=5,"Moderado alto (5-5.9)",IF(J3530&gt;=4,"Moderado (4-4.9)","Menor a 4"))))</x:f>
        <x:v>Menor a 4</x:v>
      </x:c>
      <x:c r="L3530" s="25" t="str">
        <x:f>IF(I3530&lt;70,"Superficial (&lt;70 km)",IF(I3530&lt;=300,"Intermedio (70-300 km)","Profundo (&gt;300 km)"))</x:f>
        <x:v>Superficial (&lt;70 km)</x:v>
      </x:c>
      <x:c r="M3530" s="25" t="str">
        <x:f>IF(J3530&gt;=5,"Sí","No")</x:f>
        <x:v>No</x:v>
      </x:c>
      <x:c r="N3530" s="25" t="str">
        <x:f>IF(J3530&gt;=6,"Sí","No")</x:f>
        <x:v>No</x:v>
      </x:c>
      <x:c r="O3530" s="25" t="str">
        <x:v>Pendiente: asignar con R/sf</x:v>
      </x:c>
    </x:row>
    <x:row r="3531">
      <x:c r="A3531" s="25" t="n">
        <x:v>3530</x:v>
      </x:c>
      <x:c r="B3531" s="26" t="n">
        <x:v>44252.52918981481</x:v>
      </x:c>
      <x:c r="C3531" s="27" t="n">
        <x:f>INT(B3531)</x:f>
        <x:v>44252</x:v>
      </x:c>
      <x:c r="D3531" s="28" t="n">
        <x:f>MOD(B3531,1)</x:f>
        <x:v>0.5291898148134351</x:v>
      </x:c>
      <x:c r="E3531" s="29" t="n">
        <x:f>YEAR(B3531)</x:f>
        <x:v>2021</x:v>
      </x:c>
      <x:c r="F3531" s="29" t="n">
        <x:f>MONTH(B3531)</x:f>
        <x:v>2</x:v>
      </x:c>
      <x:c r="G3531" s="30" t="n">
        <x:v>-31.41</x:v>
      </x:c>
      <x:c r="H3531" s="30" t="n">
        <x:v>-71.19</x:v>
      </x:c>
      <x:c r="I3531" s="29" t="n">
        <x:v>78</x:v>
      </x:c>
      <x:c r="J3531" s="31" t="n">
        <x:v>3.3</x:v>
      </x:c>
      <x:c r="K3531" s="25" t="str">
        <x:f>IF(J3531&gt;=7,"Muy fuerte (&gt;=7)",IF(J3531&gt;=6,"Fuerte (6-6.9)",IF(J3531&gt;=5,"Moderado alto (5-5.9)",IF(J3531&gt;=4,"Moderado (4-4.9)","Menor a 4"))))</x:f>
        <x:v>Menor a 4</x:v>
      </x:c>
      <x:c r="L3531" s="25" t="str">
        <x:f>IF(I3531&lt;70,"Superficial (&lt;70 km)",IF(I3531&lt;=300,"Intermedio (70-300 km)","Profundo (&gt;300 km)"))</x:f>
        <x:v>Intermedio (70-300 km)</x:v>
      </x:c>
      <x:c r="M3531" s="25" t="str">
        <x:f>IF(J3531&gt;=5,"Sí","No")</x:f>
        <x:v>No</x:v>
      </x:c>
      <x:c r="N3531" s="25" t="str">
        <x:f>IF(J3531&gt;=6,"Sí","No")</x:f>
        <x:v>No</x:v>
      </x:c>
      <x:c r="O3531" s="25" t="str">
        <x:v>Pendiente: asignar con R/sf</x:v>
      </x:c>
    </x:row>
    <x:row r="3532">
      <x:c r="A3532" s="25" t="n">
        <x:v>3531</x:v>
      </x:c>
      <x:c r="B3532" s="26" t="n">
        <x:v>44373.57020833333</x:v>
      </x:c>
      <x:c r="C3532" s="27" t="n">
        <x:f>INT(B3532)</x:f>
        <x:v>44373</x:v>
      </x:c>
      <x:c r="D3532" s="28" t="n">
        <x:f>MOD(B3532,1)</x:f>
        <x:v>0.570208333330811</x:v>
      </x:c>
      <x:c r="E3532" s="29" t="n">
        <x:f>YEAR(B3532)</x:f>
        <x:v>2021</x:v>
      </x:c>
      <x:c r="F3532" s="29" t="n">
        <x:f>MONTH(B3532)</x:f>
        <x:v>6</x:v>
      </x:c>
      <x:c r="G3532" s="30" t="n">
        <x:v>-31.01</x:v>
      </x:c>
      <x:c r="H3532" s="30" t="n">
        <x:v>-71.35</x:v>
      </x:c>
      <x:c r="I3532" s="29" t="n">
        <x:v>63</x:v>
      </x:c>
      <x:c r="J3532" s="31" t="n">
        <x:v>3.9</x:v>
      </x:c>
      <x:c r="K3532" s="25" t="str">
        <x:f>IF(J3532&gt;=7,"Muy fuerte (&gt;=7)",IF(J3532&gt;=6,"Fuerte (6-6.9)",IF(J3532&gt;=5,"Moderado alto (5-5.9)",IF(J3532&gt;=4,"Moderado (4-4.9)","Menor a 4"))))</x:f>
        <x:v>Menor a 4</x:v>
      </x:c>
      <x:c r="L3532" s="25" t="str">
        <x:f>IF(I3532&lt;70,"Superficial (&lt;70 km)",IF(I3532&lt;=300,"Intermedio (70-300 km)","Profundo (&gt;300 km)"))</x:f>
        <x:v>Superficial (&lt;70 km)</x:v>
      </x:c>
      <x:c r="M3532" s="25" t="str">
        <x:f>IF(J3532&gt;=5,"Sí","No")</x:f>
        <x:v>No</x:v>
      </x:c>
      <x:c r="N3532" s="25" t="str">
        <x:f>IF(J3532&gt;=6,"Sí","No")</x:f>
        <x:v>No</x:v>
      </x:c>
      <x:c r="O3532" s="25" t="str">
        <x:v>Pendiente: asignar con R/sf</x:v>
      </x:c>
    </x:row>
    <x:row r="3533">
      <x:c r="A3533" s="25" t="n">
        <x:v>3532</x:v>
      </x:c>
      <x:c r="B3533" s="26" t="n">
        <x:v>44727.58792824074</x:v>
      </x:c>
      <x:c r="C3533" s="27" t="n">
        <x:f>INT(B3533)</x:f>
        <x:v>44727</x:v>
      </x:c>
      <x:c r="D3533" s="28" t="n">
        <x:f>MOD(B3533,1)</x:f>
        <x:v>0.5879282407404389</x:v>
      </x:c>
      <x:c r="E3533" s="29" t="n">
        <x:f>YEAR(B3533)</x:f>
        <x:v>2022</x:v>
      </x:c>
      <x:c r="F3533" s="29" t="n">
        <x:f>MONTH(B3533)</x:f>
        <x:v>6</x:v>
      </x:c>
      <x:c r="G3533" s="30" t="n">
        <x:v>-31.4</x:v>
      </x:c>
      <x:c r="H3533" s="30" t="n">
        <x:v>-71.67</x:v>
      </x:c>
      <x:c r="I3533" s="29" t="n">
        <x:v>51</x:v>
      </x:c>
      <x:c r="J3533" s="31" t="n">
        <x:v>3.3</x:v>
      </x:c>
      <x:c r="K3533" s="25" t="str">
        <x:f>IF(J3533&gt;=7,"Muy fuerte (&gt;=7)",IF(J3533&gt;=6,"Fuerte (6-6.9)",IF(J3533&gt;=5,"Moderado alto (5-5.9)",IF(J3533&gt;=4,"Moderado (4-4.9)","Menor a 4"))))</x:f>
        <x:v>Menor a 4</x:v>
      </x:c>
      <x:c r="L3533" s="25" t="str">
        <x:f>IF(I3533&lt;70,"Superficial (&lt;70 km)",IF(I3533&lt;=300,"Intermedio (70-300 km)","Profundo (&gt;300 km)"))</x:f>
        <x:v>Superficial (&lt;70 km)</x:v>
      </x:c>
      <x:c r="M3533" s="25" t="str">
        <x:f>IF(J3533&gt;=5,"Sí","No")</x:f>
        <x:v>No</x:v>
      </x:c>
      <x:c r="N3533" s="25" t="str">
        <x:f>IF(J3533&gt;=6,"Sí","No")</x:f>
        <x:v>No</x:v>
      </x:c>
      <x:c r="O3533" s="25" t="str">
        <x:v>Pendiente: asignar con R/sf</x:v>
      </x:c>
    </x:row>
    <x:row r="3534">
      <x:c r="A3534" s="25" t="n">
        <x:v>3533</x:v>
      </x:c>
      <x:c r="B3534" s="26" t="n">
        <x:v>44886.79702546296</x:v>
      </x:c>
      <x:c r="C3534" s="27" t="n">
        <x:f>INT(B3534)</x:f>
        <x:v>44886</x:v>
      </x:c>
      <x:c r="D3534" s="28" t="n">
        <x:f>MOD(B3534,1)</x:f>
        <x:v>0.7970254629617557</x:v>
      </x:c>
      <x:c r="E3534" s="29" t="n">
        <x:f>YEAR(B3534)</x:f>
        <x:v>2022</x:v>
      </x:c>
      <x:c r="F3534" s="29" t="n">
        <x:f>MONTH(B3534)</x:f>
        <x:v>11</x:v>
      </x:c>
      <x:c r="G3534" s="30" t="n">
        <x:v>-30.71</x:v>
      </x:c>
      <x:c r="H3534" s="30" t="n">
        <x:v>-71.38</x:v>
      </x:c>
      <x:c r="I3534" s="29" t="n">
        <x:v>45</x:v>
      </x:c>
      <x:c r="J3534" s="31" t="n">
        <x:v>3.6</x:v>
      </x:c>
      <x:c r="K3534" s="25" t="str">
        <x:f>IF(J3534&gt;=7,"Muy fuerte (&gt;=7)",IF(J3534&gt;=6,"Fuerte (6-6.9)",IF(J3534&gt;=5,"Moderado alto (5-5.9)",IF(J3534&gt;=4,"Moderado (4-4.9)","Menor a 4"))))</x:f>
        <x:v>Menor a 4</x:v>
      </x:c>
      <x:c r="L3534" s="25" t="str">
        <x:f>IF(I3534&lt;70,"Superficial (&lt;70 km)",IF(I3534&lt;=300,"Intermedio (70-300 km)","Profundo (&gt;300 km)"))</x:f>
        <x:v>Superficial (&lt;70 km)</x:v>
      </x:c>
      <x:c r="M3534" s="25" t="str">
        <x:f>IF(J3534&gt;=5,"Sí","No")</x:f>
        <x:v>No</x:v>
      </x:c>
      <x:c r="N3534" s="25" t="str">
        <x:f>IF(J3534&gt;=6,"Sí","No")</x:f>
        <x:v>No</x:v>
      </x:c>
      <x:c r="O3534" s="25" t="str">
        <x:v>Pendiente: asignar con R/sf</x:v>
      </x:c>
    </x:row>
    <x:row r="3535">
      <x:c r="A3535" s="25" t="n">
        <x:v>3534</x:v>
      </x:c>
      <x:c r="B3535" s="26" t="n">
        <x:v>44939.75908564815</x:v>
      </x:c>
      <x:c r="C3535" s="27" t="n">
        <x:f>INT(B3535)</x:f>
        <x:v>44939</x:v>
      </x:c>
      <x:c r="D3535" s="28" t="n">
        <x:f>MOD(B3535,1)</x:f>
        <x:v>0.7590856481474475</x:v>
      </x:c>
      <x:c r="E3535" s="29" t="n">
        <x:f>YEAR(B3535)</x:f>
        <x:v>2023</x:v>
      </x:c>
      <x:c r="F3535" s="29" t="n">
        <x:f>MONTH(B3535)</x:f>
        <x:v>1</x:v>
      </x:c>
      <x:c r="G3535" s="30" t="n">
        <x:v>-31.25</x:v>
      </x:c>
      <x:c r="H3535" s="30" t="n">
        <x:v>-71.54</x:v>
      </x:c>
      <x:c r="I3535" s="29" t="n">
        <x:v>49</x:v>
      </x:c>
      <x:c r="J3535" s="31" t="n">
        <x:v>3.4</x:v>
      </x:c>
      <x:c r="K3535" s="25" t="str">
        <x:f>IF(J3535&gt;=7,"Muy fuerte (&gt;=7)",IF(J3535&gt;=6,"Fuerte (6-6.9)",IF(J3535&gt;=5,"Moderado alto (5-5.9)",IF(J3535&gt;=4,"Moderado (4-4.9)","Menor a 4"))))</x:f>
        <x:v>Menor a 4</x:v>
      </x:c>
      <x:c r="L3535" s="25" t="str">
        <x:f>IF(I3535&lt;70,"Superficial (&lt;70 km)",IF(I3535&lt;=300,"Intermedio (70-300 km)","Profundo (&gt;300 km)"))</x:f>
        <x:v>Superficial (&lt;70 km)</x:v>
      </x:c>
      <x:c r="M3535" s="25" t="str">
        <x:f>IF(J3535&gt;=5,"Sí","No")</x:f>
        <x:v>No</x:v>
      </x:c>
      <x:c r="N3535" s="25" t="str">
        <x:f>IF(J3535&gt;=6,"Sí","No")</x:f>
        <x:v>No</x:v>
      </x:c>
      <x:c r="O3535" s="25" t="str">
        <x:v>Pendiente: asignar con R/sf</x:v>
      </x:c>
    </x:row>
    <x:row r="3536">
      <x:c r="A3536" s="25" t="n">
        <x:v>3535</x:v>
      </x:c>
      <x:c r="B3536" s="26" t="n">
        <x:v>44940.21152777778</x:v>
      </x:c>
      <x:c r="C3536" s="27" t="n">
        <x:f>INT(B3536)</x:f>
        <x:v>44940</x:v>
      </x:c>
      <x:c r="D3536" s="28" t="n">
        <x:f>MOD(B3536,1)</x:f>
        <x:v>0.21152777777751908</x:v>
      </x:c>
      <x:c r="E3536" s="29" t="n">
        <x:f>YEAR(B3536)</x:f>
        <x:v>2023</x:v>
      </x:c>
      <x:c r="F3536" s="29" t="n">
        <x:f>MONTH(B3536)</x:f>
        <x:v>1</x:v>
      </x:c>
      <x:c r="G3536" s="30" t="n">
        <x:v>-31.16</x:v>
      </x:c>
      <x:c r="H3536" s="30" t="n">
        <x:v>-71.17</x:v>
      </x:c>
      <x:c r="I3536" s="29" t="n">
        <x:v>35</x:v>
      </x:c>
      <x:c r="J3536" s="31" t="n">
        <x:v>3</x:v>
      </x:c>
      <x:c r="K3536" s="25" t="str">
        <x:f>IF(J3536&gt;=7,"Muy fuerte (&gt;=7)",IF(J3536&gt;=6,"Fuerte (6-6.9)",IF(J3536&gt;=5,"Moderado alto (5-5.9)",IF(J3536&gt;=4,"Moderado (4-4.9)","Menor a 4"))))</x:f>
        <x:v>Menor a 4</x:v>
      </x:c>
      <x:c r="L3536" s="25" t="str">
        <x:f>IF(I3536&lt;70,"Superficial (&lt;70 km)",IF(I3536&lt;=300,"Intermedio (70-300 km)","Profundo (&gt;300 km)"))</x:f>
        <x:v>Superficial (&lt;70 km)</x:v>
      </x:c>
      <x:c r="M3536" s="25" t="str">
        <x:f>IF(J3536&gt;=5,"Sí","No")</x:f>
        <x:v>No</x:v>
      </x:c>
      <x:c r="N3536" s="25" t="str">
        <x:f>IF(J3536&gt;=6,"Sí","No")</x:f>
        <x:v>No</x:v>
      </x:c>
      <x:c r="O3536" s="25" t="str">
        <x:v>Pendiente: asignar con R/sf</x:v>
      </x:c>
    </x:row>
    <x:row r="3537">
      <x:c r="A3537" s="25" t="n">
        <x:v>3536</x:v>
      </x:c>
      <x:c r="B3537" s="26" t="n">
        <x:v>45041.566354166665</x:v>
      </x:c>
      <x:c r="C3537" s="27" t="n">
        <x:f>INT(B3537)</x:f>
        <x:v>45041</x:v>
      </x:c>
      <x:c r="D3537" s="28" t="n">
        <x:f>MOD(B3537,1)</x:f>
        <x:v>0.5663541666654055</x:v>
      </x:c>
      <x:c r="E3537" s="29" t="n">
        <x:f>YEAR(B3537)</x:f>
        <x:v>2023</x:v>
      </x:c>
      <x:c r="F3537" s="29" t="n">
        <x:f>MONTH(B3537)</x:f>
        <x:v>4</x:v>
      </x:c>
      <x:c r="G3537" s="30" t="n">
        <x:v>-30.7</x:v>
      </x:c>
      <x:c r="H3537" s="30" t="n">
        <x:v>-71.39</x:v>
      </x:c>
      <x:c r="I3537" s="29" t="n">
        <x:v>52</x:v>
      </x:c>
      <x:c r="J3537" s="31" t="n">
        <x:v>3.7</x:v>
      </x:c>
      <x:c r="K3537" s="25" t="str">
        <x:f>IF(J3537&gt;=7,"Muy fuerte (&gt;=7)",IF(J3537&gt;=6,"Fuerte (6-6.9)",IF(J3537&gt;=5,"Moderado alto (5-5.9)",IF(J3537&gt;=4,"Moderado (4-4.9)","Menor a 4"))))</x:f>
        <x:v>Menor a 4</x:v>
      </x:c>
      <x:c r="L3537" s="25" t="str">
        <x:f>IF(I3537&lt;70,"Superficial (&lt;70 km)",IF(I3537&lt;=300,"Intermedio (70-300 km)","Profundo (&gt;300 km)"))</x:f>
        <x:v>Superficial (&lt;70 km)</x:v>
      </x:c>
      <x:c r="M3537" s="25" t="str">
        <x:f>IF(J3537&gt;=5,"Sí","No")</x:f>
        <x:v>No</x:v>
      </x:c>
      <x:c r="N3537" s="25" t="str">
        <x:f>IF(J3537&gt;=6,"Sí","No")</x:f>
        <x:v>No</x:v>
      </x:c>
      <x:c r="O3537" s="25" t="str">
        <x:v>Pendiente: asignar con R/sf</x:v>
      </x:c>
    </x:row>
    <x:row r="3538">
      <x:c r="A3538" s="25" t="n">
        <x:v>3537</x:v>
      </x:c>
      <x:c r="B3538" s="26" t="n">
        <x:v>44029.58016203704</x:v>
      </x:c>
      <x:c r="C3538" s="27" t="n">
        <x:f>INT(B3538)</x:f>
        <x:v>44029</x:v>
      </x:c>
      <x:c r="D3538" s="28" t="n">
        <x:f>MOD(B3538,1)</x:f>
        <x:v>0.5801620370402816</x:v>
      </x:c>
      <x:c r="E3538" s="29" t="n">
        <x:f>YEAR(B3538)</x:f>
        <x:v>2020</x:v>
      </x:c>
      <x:c r="F3538" s="29" t="n">
        <x:f>MONTH(B3538)</x:f>
        <x:v>7</x:v>
      </x:c>
      <x:c r="G3538" s="30" t="n">
        <x:v>-30.82</x:v>
      </x:c>
      <x:c r="H3538" s="30" t="n">
        <x:v>-71.42</x:v>
      </x:c>
      <x:c r="I3538" s="29" t="n">
        <x:v>49</x:v>
      </x:c>
      <x:c r="J3538" s="31" t="n">
        <x:v>3.5</x:v>
      </x:c>
      <x:c r="K3538" s="25" t="str">
        <x:f>IF(J3538&gt;=7,"Muy fuerte (&gt;=7)",IF(J3538&gt;=6,"Fuerte (6-6.9)",IF(J3538&gt;=5,"Moderado alto (5-5.9)",IF(J3538&gt;=4,"Moderado (4-4.9)","Menor a 4"))))</x:f>
        <x:v>Menor a 4</x:v>
      </x:c>
      <x:c r="L3538" s="25" t="str">
        <x:f>IF(I3538&lt;70,"Superficial (&lt;70 km)",IF(I3538&lt;=300,"Intermedio (70-300 km)","Profundo (&gt;300 km)"))</x:f>
        <x:v>Superficial (&lt;70 km)</x:v>
      </x:c>
      <x:c r="M3538" s="25" t="str">
        <x:f>IF(J3538&gt;=5,"Sí","No")</x:f>
        <x:v>No</x:v>
      </x:c>
      <x:c r="N3538" s="25" t="str">
        <x:f>IF(J3538&gt;=6,"Sí","No")</x:f>
        <x:v>No</x:v>
      </x:c>
      <x:c r="O3538" s="25" t="str">
        <x:v>Pendiente: asignar con R/sf</x:v>
      </x:c>
    </x:row>
    <x:row r="3539">
      <x:c r="A3539" s="25" t="n">
        <x:v>3538</x:v>
      </x:c>
      <x:c r="B3539" s="26" t="n">
        <x:v>44050.83758101852</x:v>
      </x:c>
      <x:c r="C3539" s="27" t="n">
        <x:f>INT(B3539)</x:f>
        <x:v>44050</x:v>
      </x:c>
      <x:c r="D3539" s="28" t="n">
        <x:f>MOD(B3539,1)</x:f>
        <x:v>0.8375810185170849</x:v>
      </x:c>
      <x:c r="E3539" s="29" t="n">
        <x:f>YEAR(B3539)</x:f>
        <x:v>2020</x:v>
      </x:c>
      <x:c r="F3539" s="29" t="n">
        <x:f>MONTH(B3539)</x:f>
        <x:v>8</x:v>
      </x:c>
      <x:c r="G3539" s="30" t="n">
        <x:v>-30.76</x:v>
      </x:c>
      <x:c r="H3539" s="30" t="n">
        <x:v>-71.27</x:v>
      </x:c>
      <x:c r="I3539" s="29" t="n">
        <x:v>56</x:v>
      </x:c>
      <x:c r="J3539" s="31" t="n">
        <x:v>3.6</x:v>
      </x:c>
      <x:c r="K3539" s="25" t="str">
        <x:f>IF(J3539&gt;=7,"Muy fuerte (&gt;=7)",IF(J3539&gt;=6,"Fuerte (6-6.9)",IF(J3539&gt;=5,"Moderado alto (5-5.9)",IF(J3539&gt;=4,"Moderado (4-4.9)","Menor a 4"))))</x:f>
        <x:v>Menor a 4</x:v>
      </x:c>
      <x:c r="L3539" s="25" t="str">
        <x:f>IF(I3539&lt;70,"Superficial (&lt;70 km)",IF(I3539&lt;=300,"Intermedio (70-300 km)","Profundo (&gt;300 km)"))</x:f>
        <x:v>Superficial (&lt;70 km)</x:v>
      </x:c>
      <x:c r="M3539" s="25" t="str">
        <x:f>IF(J3539&gt;=5,"Sí","No")</x:f>
        <x:v>No</x:v>
      </x:c>
      <x:c r="N3539" s="25" t="str">
        <x:f>IF(J3539&gt;=6,"Sí","No")</x:f>
        <x:v>No</x:v>
      </x:c>
      <x:c r="O3539" s="25" t="str">
        <x:v>Pendiente: asignar con R/sf</x:v>
      </x:c>
    </x:row>
    <x:row r="3540">
      <x:c r="A3540" s="25" t="n">
        <x:v>3539</x:v>
      </x:c>
      <x:c r="B3540" s="26" t="n">
        <x:v>44057.66028935185</x:v>
      </x:c>
      <x:c r="C3540" s="27" t="n">
        <x:f>INT(B3540)</x:f>
        <x:v>44057</x:v>
      </x:c>
      <x:c r="D3540" s="28" t="n">
        <x:f>MOD(B3540,1)</x:f>
        <x:v>0.6602893518502242</x:v>
      </x:c>
      <x:c r="E3540" s="29" t="n">
        <x:f>YEAR(B3540)</x:f>
        <x:v>2020</x:v>
      </x:c>
      <x:c r="F3540" s="29" t="n">
        <x:f>MONTH(B3540)</x:f>
        <x:v>8</x:v>
      </x:c>
      <x:c r="G3540" s="30" t="n">
        <x:v>-31</x:v>
      </x:c>
      <x:c r="H3540" s="30" t="n">
        <x:v>-71.35</x:v>
      </x:c>
      <x:c r="I3540" s="29" t="n">
        <x:v>63</x:v>
      </x:c>
      <x:c r="J3540" s="31" t="n">
        <x:v>3.9</x:v>
      </x:c>
      <x:c r="K3540" s="25" t="str">
        <x:f>IF(J3540&gt;=7,"Muy fuerte (&gt;=7)",IF(J3540&gt;=6,"Fuerte (6-6.9)",IF(J3540&gt;=5,"Moderado alto (5-5.9)",IF(J3540&gt;=4,"Moderado (4-4.9)","Menor a 4"))))</x:f>
        <x:v>Menor a 4</x:v>
      </x:c>
      <x:c r="L3540" s="25" t="str">
        <x:f>IF(I3540&lt;70,"Superficial (&lt;70 km)",IF(I3540&lt;=300,"Intermedio (70-300 km)","Profundo (&gt;300 km)"))</x:f>
        <x:v>Superficial (&lt;70 km)</x:v>
      </x:c>
      <x:c r="M3540" s="25" t="str">
        <x:f>IF(J3540&gt;=5,"Sí","No")</x:f>
        <x:v>No</x:v>
      </x:c>
      <x:c r="N3540" s="25" t="str">
        <x:f>IF(J3540&gt;=6,"Sí","No")</x:f>
        <x:v>No</x:v>
      </x:c>
      <x:c r="O3540" s="25" t="str">
        <x:v>Pendiente: asignar con R/sf</x:v>
      </x:c>
    </x:row>
    <x:row r="3541">
      <x:c r="A3541" s="25" t="n">
        <x:v>3540</x:v>
      </x:c>
      <x:c r="B3541" s="26" t="n">
        <x:v>44702.68306712963</x:v>
      </x:c>
      <x:c r="C3541" s="27" t="n">
        <x:f>INT(B3541)</x:f>
        <x:v>44702</x:v>
      </x:c>
      <x:c r="D3541" s="28" t="n">
        <x:f>MOD(B3541,1)</x:f>
        <x:v>0.6830671296265791</x:v>
      </x:c>
      <x:c r="E3541" s="29" t="n">
        <x:f>YEAR(B3541)</x:f>
        <x:v>2022</x:v>
      </x:c>
      <x:c r="F3541" s="29" t="n">
        <x:f>MONTH(B3541)</x:f>
        <x:v>5</x:v>
      </x:c>
      <x:c r="G3541" s="30" t="n">
        <x:v>-30.77</x:v>
      </x:c>
      <x:c r="H3541" s="30" t="n">
        <x:v>-71.38</x:v>
      </x:c>
      <x:c r="I3541" s="29" t="n">
        <x:v>43</x:v>
      </x:c>
      <x:c r="J3541" s="31" t="n">
        <x:v>3.8</x:v>
      </x:c>
      <x:c r="K3541" s="25" t="str">
        <x:f>IF(J3541&gt;=7,"Muy fuerte (&gt;=7)",IF(J3541&gt;=6,"Fuerte (6-6.9)",IF(J3541&gt;=5,"Moderado alto (5-5.9)",IF(J3541&gt;=4,"Moderado (4-4.9)","Menor a 4"))))</x:f>
        <x:v>Menor a 4</x:v>
      </x:c>
      <x:c r="L3541" s="25" t="str">
        <x:f>IF(I3541&lt;70,"Superficial (&lt;70 km)",IF(I3541&lt;=300,"Intermedio (70-300 km)","Profundo (&gt;300 km)"))</x:f>
        <x:v>Superficial (&lt;70 km)</x:v>
      </x:c>
      <x:c r="M3541" s="25" t="str">
        <x:f>IF(J3541&gt;=5,"Sí","No")</x:f>
        <x:v>No</x:v>
      </x:c>
      <x:c r="N3541" s="25" t="str">
        <x:f>IF(J3541&gt;=6,"Sí","No")</x:f>
        <x:v>No</x:v>
      </x:c>
      <x:c r="O3541" s="25" t="str">
        <x:v>Pendiente: asignar con R/sf</x:v>
      </x:c>
    </x:row>
    <x:row r="3542">
      <x:c r="A3542" s="25" t="n">
        <x:v>3541</x:v>
      </x:c>
      <x:c r="B3542" s="26" t="n">
        <x:v>44723.92642361111</x:v>
      </x:c>
      <x:c r="C3542" s="27" t="n">
        <x:f>INT(B3542)</x:f>
        <x:v>44723</x:v>
      </x:c>
      <x:c r="D3542" s="28" t="n">
        <x:f>MOD(B3542,1)</x:f>
        <x:v>0.9264236111121136</x:v>
      </x:c>
      <x:c r="E3542" s="29" t="n">
        <x:f>YEAR(B3542)</x:f>
        <x:v>2022</x:v>
      </x:c>
      <x:c r="F3542" s="29" t="n">
        <x:f>MONTH(B3542)</x:f>
        <x:v>6</x:v>
      </x:c>
      <x:c r="G3542" s="30" t="n">
        <x:v>-30.99</x:v>
      </x:c>
      <x:c r="H3542" s="30" t="n">
        <x:v>-71.39</x:v>
      </x:c>
      <x:c r="I3542" s="29" t="n">
        <x:v>65</x:v>
      </x:c>
      <x:c r="J3542" s="31" t="n">
        <x:v>3.4</x:v>
      </x:c>
      <x:c r="K3542" s="25" t="str">
        <x:f>IF(J3542&gt;=7,"Muy fuerte (&gt;=7)",IF(J3542&gt;=6,"Fuerte (6-6.9)",IF(J3542&gt;=5,"Moderado alto (5-5.9)",IF(J3542&gt;=4,"Moderado (4-4.9)","Menor a 4"))))</x:f>
        <x:v>Menor a 4</x:v>
      </x:c>
      <x:c r="L3542" s="25" t="str">
        <x:f>IF(I3542&lt;70,"Superficial (&lt;70 km)",IF(I3542&lt;=300,"Intermedio (70-300 km)","Profundo (&gt;300 km)"))</x:f>
        <x:v>Superficial (&lt;70 km)</x:v>
      </x:c>
      <x:c r="M3542" s="25" t="str">
        <x:f>IF(J3542&gt;=5,"Sí","No")</x:f>
        <x:v>No</x:v>
      </x:c>
      <x:c r="N3542" s="25" t="str">
        <x:f>IF(J3542&gt;=6,"Sí","No")</x:f>
        <x:v>No</x:v>
      </x:c>
      <x:c r="O3542" s="25" t="str">
        <x:v>Pendiente: asignar con R/sf</x:v>
      </x:c>
    </x:row>
    <x:row r="3543">
      <x:c r="A3543" s="25" t="n">
        <x:v>3542</x:v>
      </x:c>
      <x:c r="B3543" s="26" t="n">
        <x:v>44761.6890162037</x:v>
      </x:c>
      <x:c r="C3543" s="27" t="n">
        <x:f>INT(B3543)</x:f>
        <x:v>44761</x:v>
      </x:c>
      <x:c r="D3543" s="28" t="n">
        <x:f>MOD(B3543,1)</x:f>
        <x:v>0.6890162037016125</x:v>
      </x:c>
      <x:c r="E3543" s="29" t="n">
        <x:f>YEAR(B3543)</x:f>
        <x:v>2022</x:v>
      </x:c>
      <x:c r="F3543" s="29" t="n">
        <x:f>MONTH(B3543)</x:f>
        <x:v>7</x:v>
      </x:c>
      <x:c r="G3543" s="30" t="n">
        <x:v>-30.95</x:v>
      </x:c>
      <x:c r="H3543" s="30" t="n">
        <x:v>-71.33</x:v>
      </x:c>
      <x:c r="I3543" s="29" t="n">
        <x:v>52</x:v>
      </x:c>
      <x:c r="J3543" s="31" t="n">
        <x:v>3</x:v>
      </x:c>
      <x:c r="K3543" s="25" t="str">
        <x:f>IF(J3543&gt;=7,"Muy fuerte (&gt;=7)",IF(J3543&gt;=6,"Fuerte (6-6.9)",IF(J3543&gt;=5,"Moderado alto (5-5.9)",IF(J3543&gt;=4,"Moderado (4-4.9)","Menor a 4"))))</x:f>
        <x:v>Menor a 4</x:v>
      </x:c>
      <x:c r="L3543" s="25" t="str">
        <x:f>IF(I3543&lt;70,"Superficial (&lt;70 km)",IF(I3543&lt;=300,"Intermedio (70-300 km)","Profundo (&gt;300 km)"))</x:f>
        <x:v>Superficial (&lt;70 km)</x:v>
      </x:c>
      <x:c r="M3543" s="25" t="str">
        <x:f>IF(J3543&gt;=5,"Sí","No")</x:f>
        <x:v>No</x:v>
      </x:c>
      <x:c r="N3543" s="25" t="str">
        <x:f>IF(J3543&gt;=6,"Sí","No")</x:f>
        <x:v>No</x:v>
      </x:c>
      <x:c r="O3543" s="25" t="str">
        <x:v>Pendiente: asignar con R/sf</x:v>
      </x:c>
    </x:row>
    <x:row r="3544">
      <x:c r="A3544" s="25" t="n">
        <x:v>3543</x:v>
      </x:c>
      <x:c r="B3544" s="26" t="n">
        <x:v>44930.82144675926</x:v>
      </x:c>
      <x:c r="C3544" s="27" t="n">
        <x:f>INT(B3544)</x:f>
        <x:v>44930</x:v>
      </x:c>
      <x:c r="D3544" s="28" t="n">
        <x:f>MOD(B3544,1)</x:f>
        <x:v>0.8214467592624715</x:v>
      </x:c>
      <x:c r="E3544" s="29" t="n">
        <x:f>YEAR(B3544)</x:f>
        <x:v>2023</x:v>
      </x:c>
      <x:c r="F3544" s="29" t="n">
        <x:f>MONTH(B3544)</x:f>
        <x:v>1</x:v>
      </x:c>
      <x:c r="G3544" s="30" t="n">
        <x:v>-30.78</x:v>
      </x:c>
      <x:c r="H3544" s="30" t="n">
        <x:v>-71.42</x:v>
      </x:c>
      <x:c r="I3544" s="29" t="n">
        <x:v>44</x:v>
      </x:c>
      <x:c r="J3544" s="31" t="n">
        <x:v>4</x:v>
      </x:c>
      <x:c r="K3544" s="25" t="str">
        <x:f>IF(J3544&gt;=7,"Muy fuerte (&gt;=7)",IF(J3544&gt;=6,"Fuerte (6-6.9)",IF(J3544&gt;=5,"Moderado alto (5-5.9)",IF(J3544&gt;=4,"Moderado (4-4.9)","Menor a 4"))))</x:f>
        <x:v>Moderado (4-4.9)</x:v>
      </x:c>
      <x:c r="L3544" s="25" t="str">
        <x:f>IF(I3544&lt;70,"Superficial (&lt;70 km)",IF(I3544&lt;=300,"Intermedio (70-300 km)","Profundo (&gt;300 km)"))</x:f>
        <x:v>Superficial (&lt;70 km)</x:v>
      </x:c>
      <x:c r="M3544" s="25" t="str">
        <x:f>IF(J3544&gt;=5,"Sí","No")</x:f>
        <x:v>No</x:v>
      </x:c>
      <x:c r="N3544" s="25" t="str">
        <x:f>IF(J3544&gt;=6,"Sí","No")</x:f>
        <x:v>No</x:v>
      </x:c>
      <x:c r="O3544" s="25" t="str">
        <x:v>Pendiente: asignar con R/sf</x:v>
      </x:c>
    </x:row>
    <x:row r="3545">
      <x:c r="A3545" s="25" t="n">
        <x:v>3544</x:v>
      </x:c>
      <x:c r="B3545" s="26" t="n">
        <x:v>44949.666967592595</x:v>
      </x:c>
      <x:c r="C3545" s="27" t="n">
        <x:f>INT(B3545)</x:f>
        <x:v>44949</x:v>
      </x:c>
      <x:c r="D3545" s="28" t="n">
        <x:f>MOD(B3545,1)</x:f>
        <x:v>0.6669675925950287</x:v>
      </x:c>
      <x:c r="E3545" s="29" t="n">
        <x:f>YEAR(B3545)</x:f>
        <x:v>2023</x:v>
      </x:c>
      <x:c r="F3545" s="29" t="n">
        <x:f>MONTH(B3545)</x:f>
        <x:v>1</x:v>
      </x:c>
      <x:c r="G3545" s="30" t="n">
        <x:v>-30.73</x:v>
      </x:c>
      <x:c r="H3545" s="30" t="n">
        <x:v>-71.42</x:v>
      </x:c>
      <x:c r="I3545" s="29" t="n">
        <x:v>48</x:v>
      </x:c>
      <x:c r="J3545" s="31" t="n">
        <x:v>3.3</x:v>
      </x:c>
      <x:c r="K3545" s="25" t="str">
        <x:f>IF(J3545&gt;=7,"Muy fuerte (&gt;=7)",IF(J3545&gt;=6,"Fuerte (6-6.9)",IF(J3545&gt;=5,"Moderado alto (5-5.9)",IF(J3545&gt;=4,"Moderado (4-4.9)","Menor a 4"))))</x:f>
        <x:v>Menor a 4</x:v>
      </x:c>
      <x:c r="L3545" s="25" t="str">
        <x:f>IF(I3545&lt;70,"Superficial (&lt;70 km)",IF(I3545&lt;=300,"Intermedio (70-300 km)","Profundo (&gt;300 km)"))</x:f>
        <x:v>Superficial (&lt;70 km)</x:v>
      </x:c>
      <x:c r="M3545" s="25" t="str">
        <x:f>IF(J3545&gt;=5,"Sí","No")</x:f>
        <x:v>No</x:v>
      </x:c>
      <x:c r="N3545" s="25" t="str">
        <x:f>IF(J3545&gt;=6,"Sí","No")</x:f>
        <x:v>No</x:v>
      </x:c>
      <x:c r="O3545" s="25" t="str">
        <x:v>Pendiente: asignar con R/sf</x:v>
      </x:c>
    </x:row>
    <x:row r="3546">
      <x:c r="A3546" s="25" t="n">
        <x:v>3545</x:v>
      </x:c>
      <x:c r="B3546" s="26" t="n">
        <x:v>43664.07304398148</x:v>
      </x:c>
      <x:c r="C3546" s="27" t="n">
        <x:f>INT(B3546)</x:f>
        <x:v>43664</x:v>
      </x:c>
      <x:c r="D3546" s="28" t="n">
        <x:f>MOD(B3546,1)</x:f>
        <x:v>0.0730439814797137</x:v>
      </x:c>
      <x:c r="E3546" s="29" t="n">
        <x:f>YEAR(B3546)</x:f>
        <x:v>2019</x:v>
      </x:c>
      <x:c r="F3546" s="29" t="n">
        <x:f>MONTH(B3546)</x:f>
        <x:v>7</x:v>
      </x:c>
      <x:c r="G3546" s="30" t="n">
        <x:v>-30.46</x:v>
      </x:c>
      <x:c r="H3546" s="30" t="n">
        <x:v>-71.31</x:v>
      </x:c>
      <x:c r="I3546" s="29" t="n">
        <x:v>72</x:v>
      </x:c>
      <x:c r="J3546" s="31" t="n">
        <x:v>4</x:v>
      </x:c>
      <x:c r="K3546" s="25" t="str">
        <x:f>IF(J3546&gt;=7,"Muy fuerte (&gt;=7)",IF(J3546&gt;=6,"Fuerte (6-6.9)",IF(J3546&gt;=5,"Moderado alto (5-5.9)",IF(J3546&gt;=4,"Moderado (4-4.9)","Menor a 4"))))</x:f>
        <x:v>Moderado (4-4.9)</x:v>
      </x:c>
      <x:c r="L3546" s="25" t="str">
        <x:f>IF(I3546&lt;70,"Superficial (&lt;70 km)",IF(I3546&lt;=300,"Intermedio (70-300 km)","Profundo (&gt;300 km)"))</x:f>
        <x:v>Intermedio (70-300 km)</x:v>
      </x:c>
      <x:c r="M3546" s="25" t="str">
        <x:f>IF(J3546&gt;=5,"Sí","No")</x:f>
        <x:v>No</x:v>
      </x:c>
      <x:c r="N3546" s="25" t="str">
        <x:f>IF(J3546&gt;=6,"Sí","No")</x:f>
        <x:v>No</x:v>
      </x:c>
      <x:c r="O3546" s="25" t="str">
        <x:v>Pendiente: asignar con R/sf</x:v>
      </x:c>
    </x:row>
    <x:row r="3547">
      <x:c r="A3547" s="25" t="n">
        <x:v>3546</x:v>
      </x:c>
      <x:c r="B3547" s="26" t="n">
        <x:v>44122.23701388889</x:v>
      </x:c>
      <x:c r="C3547" s="27" t="n">
        <x:f>INT(B3547)</x:f>
        <x:v>44122</x:v>
      </x:c>
      <x:c r="D3547" s="28" t="n">
        <x:f>MOD(B3547,1)</x:f>
        <x:v>0.23701388888730435</x:v>
      </x:c>
      <x:c r="E3547" s="29" t="n">
        <x:f>YEAR(B3547)</x:f>
        <x:v>2020</x:v>
      </x:c>
      <x:c r="F3547" s="29" t="n">
        <x:f>MONTH(B3547)</x:f>
        <x:v>10</x:v>
      </x:c>
      <x:c r="G3547" s="30" t="n">
        <x:v>-30.71</x:v>
      </x:c>
      <x:c r="H3547" s="30" t="n">
        <x:v>-71.34</x:v>
      </x:c>
      <x:c r="I3547" s="29" t="n">
        <x:v>52</x:v>
      </x:c>
      <x:c r="J3547" s="31" t="n">
        <x:v>3.3</x:v>
      </x:c>
      <x:c r="K3547" s="25" t="str">
        <x:f>IF(J3547&gt;=7,"Muy fuerte (&gt;=7)",IF(J3547&gt;=6,"Fuerte (6-6.9)",IF(J3547&gt;=5,"Moderado alto (5-5.9)",IF(J3547&gt;=4,"Moderado (4-4.9)","Menor a 4"))))</x:f>
        <x:v>Menor a 4</x:v>
      </x:c>
      <x:c r="L3547" s="25" t="str">
        <x:f>IF(I3547&lt;70,"Superficial (&lt;70 km)",IF(I3547&lt;=300,"Intermedio (70-300 km)","Profundo (&gt;300 km)"))</x:f>
        <x:v>Superficial (&lt;70 km)</x:v>
      </x:c>
      <x:c r="M3547" s="25" t="str">
        <x:f>IF(J3547&gt;=5,"Sí","No")</x:f>
        <x:v>No</x:v>
      </x:c>
      <x:c r="N3547" s="25" t="str">
        <x:f>IF(J3547&gt;=6,"Sí","No")</x:f>
        <x:v>No</x:v>
      </x:c>
      <x:c r="O3547" s="25" t="str">
        <x:v>Pendiente: asignar con R/sf</x:v>
      </x:c>
    </x:row>
    <x:row r="3548">
      <x:c r="A3548" s="25" t="n">
        <x:v>3547</x:v>
      </x:c>
      <x:c r="B3548" s="26" t="n">
        <x:v>44227.97278935185</x:v>
      </x:c>
      <x:c r="C3548" s="27" t="n">
        <x:f>INT(B3548)</x:f>
        <x:v>44227</x:v>
      </x:c>
      <x:c r="D3548" s="28" t="n">
        <x:f>MOD(B3548,1)</x:f>
        <x:v>0.9727893518502242</x:v>
      </x:c>
      <x:c r="E3548" s="29" t="n">
        <x:f>YEAR(B3548)</x:f>
        <x:v>2021</x:v>
      </x:c>
      <x:c r="F3548" s="29" t="n">
        <x:f>MONTH(B3548)</x:f>
        <x:v>1</x:v>
      </x:c>
      <x:c r="G3548" s="30" t="n">
        <x:v>-31.8</x:v>
      </x:c>
      <x:c r="H3548" s="30" t="n">
        <x:v>-68.98</x:v>
      </x:c>
      <x:c r="I3548" s="29" t="n">
        <x:v>9</x:v>
      </x:c>
      <x:c r="J3548" s="31" t="n">
        <x:v>4.9</x:v>
      </x:c>
      <x:c r="K3548" s="25" t="str">
        <x:f>IF(J3548&gt;=7,"Muy fuerte (&gt;=7)",IF(J3548&gt;=6,"Fuerte (6-6.9)",IF(J3548&gt;=5,"Moderado alto (5-5.9)",IF(J3548&gt;=4,"Moderado (4-4.9)","Menor a 4"))))</x:f>
        <x:v>Moderado (4-4.9)</x:v>
      </x:c>
      <x:c r="L3548" s="25" t="str">
        <x:f>IF(I3548&lt;70,"Superficial (&lt;70 km)",IF(I3548&lt;=300,"Intermedio (70-300 km)","Profundo (&gt;300 km)"))</x:f>
        <x:v>Superficial (&lt;70 km)</x:v>
      </x:c>
      <x:c r="M3548" s="25" t="str">
        <x:f>IF(J3548&gt;=5,"Sí","No")</x:f>
        <x:v>No</x:v>
      </x:c>
      <x:c r="N3548" s="25" t="str">
        <x:f>IF(J3548&gt;=6,"Sí","No")</x:f>
        <x:v>No</x:v>
      </x:c>
      <x:c r="O3548" s="25" t="str">
        <x:v>Pendiente: asignar con R/sf</x:v>
      </x:c>
    </x:row>
    <x:row r="3549">
      <x:c r="A3549" s="25" t="n">
        <x:v>3548</x:v>
      </x:c>
      <x:c r="B3549" s="26" t="n">
        <x:v>44298.91090277778</x:v>
      </x:c>
      <x:c r="C3549" s="27" t="n">
        <x:f>INT(B3549)</x:f>
        <x:v>44298</x:v>
      </x:c>
      <x:c r="D3549" s="28" t="n">
        <x:f>MOD(B3549,1)</x:f>
        <x:v>0.9109027777813026</x:v>
      </x:c>
      <x:c r="E3549" s="29" t="n">
        <x:f>YEAR(B3549)</x:f>
        <x:v>2021</x:v>
      </x:c>
      <x:c r="F3549" s="29" t="n">
        <x:f>MONTH(B3549)</x:f>
        <x:v>4</x:v>
      </x:c>
      <x:c r="G3549" s="30" t="n">
        <x:v>-30.58</x:v>
      </x:c>
      <x:c r="H3549" s="30" t="n">
        <x:v>-71.3</x:v>
      </x:c>
      <x:c r="I3549" s="29" t="n">
        <x:v>40</x:v>
      </x:c>
      <x:c r="J3549" s="31" t="n">
        <x:v>3.6</x:v>
      </x:c>
      <x:c r="K3549" s="25" t="str">
        <x:f>IF(J3549&gt;=7,"Muy fuerte (&gt;=7)",IF(J3549&gt;=6,"Fuerte (6-6.9)",IF(J3549&gt;=5,"Moderado alto (5-5.9)",IF(J3549&gt;=4,"Moderado (4-4.9)","Menor a 4"))))</x:f>
        <x:v>Menor a 4</x:v>
      </x:c>
      <x:c r="L3549" s="25" t="str">
        <x:f>IF(I3549&lt;70,"Superficial (&lt;70 km)",IF(I3549&lt;=300,"Intermedio (70-300 km)","Profundo (&gt;300 km)"))</x:f>
        <x:v>Superficial (&lt;70 km)</x:v>
      </x:c>
      <x:c r="M3549" s="25" t="str">
        <x:f>IF(J3549&gt;=5,"Sí","No")</x:f>
        <x:v>No</x:v>
      </x:c>
      <x:c r="N3549" s="25" t="str">
        <x:f>IF(J3549&gt;=6,"Sí","No")</x:f>
        <x:v>No</x:v>
      </x:c>
      <x:c r="O3549" s="25" t="str">
        <x:v>Pendiente: asignar con R/sf</x:v>
      </x:c>
    </x:row>
    <x:row r="3550">
      <x:c r="A3550" s="25" t="n">
        <x:v>3549</x:v>
      </x:c>
      <x:c r="B3550" s="26" t="n">
        <x:v>44805.30462962963</x:v>
      </x:c>
      <x:c r="C3550" s="27" t="n">
        <x:f>INT(B3550)</x:f>
        <x:v>44805</x:v>
      </x:c>
      <x:c r="D3550" s="28" t="n">
        <x:f>MOD(B3550,1)</x:f>
        <x:v>0.30462962963065365</x:v>
      </x:c>
      <x:c r="E3550" s="29" t="n">
        <x:f>YEAR(B3550)</x:f>
        <x:v>2022</x:v>
      </x:c>
      <x:c r="F3550" s="29" t="n">
        <x:f>MONTH(B3550)</x:f>
        <x:v>9</x:v>
      </x:c>
      <x:c r="G3550" s="30" t="n">
        <x:v>-30.47</x:v>
      </x:c>
      <x:c r="H3550" s="30" t="n">
        <x:v>-71.25</x:v>
      </x:c>
      <x:c r="I3550" s="29" t="n">
        <x:v>22</x:v>
      </x:c>
      <x:c r="J3550" s="31" t="n">
        <x:v>3.2</x:v>
      </x:c>
      <x:c r="K3550" s="25" t="str">
        <x:f>IF(J3550&gt;=7,"Muy fuerte (&gt;=7)",IF(J3550&gt;=6,"Fuerte (6-6.9)",IF(J3550&gt;=5,"Moderado alto (5-5.9)",IF(J3550&gt;=4,"Moderado (4-4.9)","Menor a 4"))))</x:f>
        <x:v>Menor a 4</x:v>
      </x:c>
      <x:c r="L3550" s="25" t="str">
        <x:f>IF(I3550&lt;70,"Superficial (&lt;70 km)",IF(I3550&lt;=300,"Intermedio (70-300 km)","Profundo (&gt;300 km)"))</x:f>
        <x:v>Superficial (&lt;70 km)</x:v>
      </x:c>
      <x:c r="M3550" s="25" t="str">
        <x:f>IF(J3550&gt;=5,"Sí","No")</x:f>
        <x:v>No</x:v>
      </x:c>
      <x:c r="N3550" s="25" t="str">
        <x:f>IF(J3550&gt;=6,"Sí","No")</x:f>
        <x:v>No</x:v>
      </x:c>
      <x:c r="O3550" s="25" t="str">
        <x:v>Pendiente: asignar con R/sf</x:v>
      </x:c>
    </x:row>
    <x:row r="3551">
      <x:c r="A3551" s="25" t="n">
        <x:v>3550</x:v>
      </x:c>
      <x:c r="B3551" s="26" t="n">
        <x:v>44941.39619212963</x:v>
      </x:c>
      <x:c r="C3551" s="27" t="n">
        <x:f>INT(B3551)</x:f>
        <x:v>44941</x:v>
      </x:c>
      <x:c r="D3551" s="28" t="n">
        <x:f>MOD(B3551,1)</x:f>
        <x:v>0.3961921296286164</x:v>
      </x:c>
      <x:c r="E3551" s="29" t="n">
        <x:f>YEAR(B3551)</x:f>
        <x:v>2023</x:v>
      </x:c>
      <x:c r="F3551" s="29" t="n">
        <x:f>MONTH(B3551)</x:f>
        <x:v>1</x:v>
      </x:c>
      <x:c r="G3551" s="30" t="n">
        <x:v>-30.59</x:v>
      </x:c>
      <x:c r="H3551" s="30" t="n">
        <x:v>-71.53</x:v>
      </x:c>
      <x:c r="I3551" s="29" t="n">
        <x:v>48</x:v>
      </x:c>
      <x:c r="J3551" s="31" t="n">
        <x:v>3.4</x:v>
      </x:c>
      <x:c r="K3551" s="25" t="str">
        <x:f>IF(J3551&gt;=7,"Muy fuerte (&gt;=7)",IF(J3551&gt;=6,"Fuerte (6-6.9)",IF(J3551&gt;=5,"Moderado alto (5-5.9)",IF(J3551&gt;=4,"Moderado (4-4.9)","Menor a 4"))))</x:f>
        <x:v>Menor a 4</x:v>
      </x:c>
      <x:c r="L3551" s="25" t="str">
        <x:f>IF(I3551&lt;70,"Superficial (&lt;70 km)",IF(I3551&lt;=300,"Intermedio (70-300 km)","Profundo (&gt;300 km)"))</x:f>
        <x:v>Superficial (&lt;70 km)</x:v>
      </x:c>
      <x:c r="M3551" s="25" t="str">
        <x:f>IF(J3551&gt;=5,"Sí","No")</x:f>
        <x:v>No</x:v>
      </x:c>
      <x:c r="N3551" s="25" t="str">
        <x:f>IF(J3551&gt;=6,"Sí","No")</x:f>
        <x:v>No</x:v>
      </x:c>
      <x:c r="O3551" s="25" t="str">
        <x:v>Pendiente: asignar con R/sf</x:v>
      </x:c>
    </x:row>
    <x:row r="3552">
      <x:c r="A3552" s="25" t="n">
        <x:v>3551</x:v>
      </x:c>
      <x:c r="B3552" s="26" t="n">
        <x:v>44220.768645833334</x:v>
      </x:c>
      <x:c r="C3552" s="27" t="n">
        <x:f>INT(B3552)</x:f>
        <x:v>44220</x:v>
      </x:c>
      <x:c r="D3552" s="28" t="n">
        <x:f>MOD(B3552,1)</x:f>
        <x:v>0.7686458333337214</x:v>
      </x:c>
      <x:c r="E3552" s="29" t="n">
        <x:f>YEAR(B3552)</x:f>
        <x:v>2021</x:v>
      </x:c>
      <x:c r="F3552" s="29" t="n">
        <x:f>MONTH(B3552)</x:f>
        <x:v>1</x:v>
      </x:c>
      <x:c r="G3552" s="30" t="n">
        <x:v>-33.29</x:v>
      </x:c>
      <x:c r="H3552" s="30" t="n">
        <x:v>-71.88</x:v>
      </x:c>
      <x:c r="I3552" s="29" t="n">
        <x:v>34</x:v>
      </x:c>
      <x:c r="J3552" s="31" t="n">
        <x:v>3.4</x:v>
      </x:c>
      <x:c r="K3552" s="25" t="str">
        <x:f>IF(J3552&gt;=7,"Muy fuerte (&gt;=7)",IF(J3552&gt;=6,"Fuerte (6-6.9)",IF(J3552&gt;=5,"Moderado alto (5-5.9)",IF(J3552&gt;=4,"Moderado (4-4.9)","Menor a 4"))))</x:f>
        <x:v>Menor a 4</x:v>
      </x:c>
      <x:c r="L3552" s="25" t="str">
        <x:f>IF(I3552&lt;70,"Superficial (&lt;70 km)",IF(I3552&lt;=300,"Intermedio (70-300 km)","Profundo (&gt;300 km)"))</x:f>
        <x:v>Superficial (&lt;70 km)</x:v>
      </x:c>
      <x:c r="M3552" s="25" t="str">
        <x:f>IF(J3552&gt;=5,"Sí","No")</x:f>
        <x:v>No</x:v>
      </x:c>
      <x:c r="N3552" s="25" t="str">
        <x:f>IF(J3552&gt;=6,"Sí","No")</x:f>
        <x:v>No</x:v>
      </x:c>
      <x:c r="O3552" s="25" t="str">
        <x:v>Pendiente: asignar con R/sf</x:v>
      </x:c>
    </x:row>
    <x:row r="3553">
      <x:c r="A3553" s="25" t="n">
        <x:v>3552</x:v>
      </x:c>
      <x:c r="B3553" s="26" t="n">
        <x:v>44597.30599537037</x:v>
      </x:c>
      <x:c r="C3553" s="27" t="n">
        <x:f>INT(B3553)</x:f>
        <x:v>44597</x:v>
      </x:c>
      <x:c r="D3553" s="28" t="n">
        <x:f>MOD(B3553,1)</x:f>
        <x:v>0.3059953703705105</x:v>
      </x:c>
      <x:c r="E3553" s="29" t="n">
        <x:f>YEAR(B3553)</x:f>
        <x:v>2022</x:v>
      </x:c>
      <x:c r="F3553" s="29" t="n">
        <x:f>MONTH(B3553)</x:f>
        <x:v>2</x:v>
      </x:c>
      <x:c r="G3553" s="30" t="n">
        <x:v>-32.8</x:v>
      </x:c>
      <x:c r="H3553" s="30" t="n">
        <x:v>-71.34</x:v>
      </x:c>
      <x:c r="I3553" s="29" t="n">
        <x:v>46</x:v>
      </x:c>
      <x:c r="J3553" s="31" t="n">
        <x:v>3.3</x:v>
      </x:c>
      <x:c r="K3553" s="25" t="str">
        <x:f>IF(J3553&gt;=7,"Muy fuerte (&gt;=7)",IF(J3553&gt;=6,"Fuerte (6-6.9)",IF(J3553&gt;=5,"Moderado alto (5-5.9)",IF(J3553&gt;=4,"Moderado (4-4.9)","Menor a 4"))))</x:f>
        <x:v>Menor a 4</x:v>
      </x:c>
      <x:c r="L3553" s="25" t="str">
        <x:f>IF(I3553&lt;70,"Superficial (&lt;70 km)",IF(I3553&lt;=300,"Intermedio (70-300 km)","Profundo (&gt;300 km)"))</x:f>
        <x:v>Superficial (&lt;70 km)</x:v>
      </x:c>
      <x:c r="M3553" s="25" t="str">
        <x:f>IF(J3553&gt;=5,"Sí","No")</x:f>
        <x:v>No</x:v>
      </x:c>
      <x:c r="N3553" s="25" t="str">
        <x:f>IF(J3553&gt;=6,"Sí","No")</x:f>
        <x:v>No</x:v>
      </x:c>
      <x:c r="O3553" s="25" t="str">
        <x:v>Pendiente: asignar con R/sf</x:v>
      </x:c>
    </x:row>
    <x:row r="3554">
      <x:c r="A3554" s="25" t="n">
        <x:v>3553</x:v>
      </x:c>
      <x:c r="B3554" s="26" t="n">
        <x:v>44609.239270833335</x:v>
      </x:c>
      <x:c r="C3554" s="27" t="n">
        <x:f>INT(B3554)</x:f>
        <x:v>44609</x:v>
      </x:c>
      <x:c r="D3554" s="28" t="n">
        <x:f>MOD(B3554,1)</x:f>
        <x:v>0.23927083333546761</x:v>
      </x:c>
      <x:c r="E3554" s="29" t="n">
        <x:f>YEAR(B3554)</x:f>
        <x:v>2022</x:v>
      </x:c>
      <x:c r="F3554" s="29" t="n">
        <x:f>MONTH(B3554)</x:f>
        <x:v>2</x:v>
      </x:c>
      <x:c r="G3554" s="30" t="n">
        <x:v>-32.78</x:v>
      </x:c>
      <x:c r="H3554" s="30" t="n">
        <x:v>-71.28</x:v>
      </x:c>
      <x:c r="I3554" s="29" t="n">
        <x:v>46</x:v>
      </x:c>
      <x:c r="J3554" s="31" t="n">
        <x:v>3</x:v>
      </x:c>
      <x:c r="K3554" s="25" t="str">
        <x:f>IF(J3554&gt;=7,"Muy fuerte (&gt;=7)",IF(J3554&gt;=6,"Fuerte (6-6.9)",IF(J3554&gt;=5,"Moderado alto (5-5.9)",IF(J3554&gt;=4,"Moderado (4-4.9)","Menor a 4"))))</x:f>
        <x:v>Menor a 4</x:v>
      </x:c>
      <x:c r="L3554" s="25" t="str">
        <x:f>IF(I3554&lt;70,"Superficial (&lt;70 km)",IF(I3554&lt;=300,"Intermedio (70-300 km)","Profundo (&gt;300 km)"))</x:f>
        <x:v>Superficial (&lt;70 km)</x:v>
      </x:c>
      <x:c r="M3554" s="25" t="str">
        <x:f>IF(J3554&gt;=5,"Sí","No")</x:f>
        <x:v>No</x:v>
      </x:c>
      <x:c r="N3554" s="25" t="str">
        <x:f>IF(J3554&gt;=6,"Sí","No")</x:f>
        <x:v>No</x:v>
      </x:c>
      <x:c r="O3554" s="25" t="str">
        <x:v>Pendiente: asignar con R/sf</x:v>
      </x:c>
    </x:row>
    <x:row r="3555">
      <x:c r="A3555" s="25" t="n">
        <x:v>3554</x:v>
      </x:c>
      <x:c r="B3555" s="26" t="n">
        <x:v>44692.16483796296</x:v>
      </x:c>
      <x:c r="C3555" s="27" t="n">
        <x:f>INT(B3555)</x:f>
        <x:v>44692</x:v>
      </x:c>
      <x:c r="D3555" s="28" t="n">
        <x:f>MOD(B3555,1)</x:f>
        <x:v>0.16483796296233777</x:v>
      </x:c>
      <x:c r="E3555" s="29" t="n">
        <x:f>YEAR(B3555)</x:f>
        <x:v>2022</x:v>
      </x:c>
      <x:c r="F3555" s="29" t="n">
        <x:f>MONTH(B3555)</x:f>
        <x:v>5</x:v>
      </x:c>
      <x:c r="G3555" s="30" t="n">
        <x:v>-32.82</x:v>
      </x:c>
      <x:c r="H3555" s="30" t="n">
        <x:v>-71.35</x:v>
      </x:c>
      <x:c r="I3555" s="29" t="n">
        <x:v>54</x:v>
      </x:c>
      <x:c r="J3555" s="31" t="n">
        <x:v>3.4</x:v>
      </x:c>
      <x:c r="K3555" s="25" t="str">
        <x:f>IF(J3555&gt;=7,"Muy fuerte (&gt;=7)",IF(J3555&gt;=6,"Fuerte (6-6.9)",IF(J3555&gt;=5,"Moderado alto (5-5.9)",IF(J3555&gt;=4,"Moderado (4-4.9)","Menor a 4"))))</x:f>
        <x:v>Menor a 4</x:v>
      </x:c>
      <x:c r="L3555" s="25" t="str">
        <x:f>IF(I3555&lt;70,"Superficial (&lt;70 km)",IF(I3555&lt;=300,"Intermedio (70-300 km)","Profundo (&gt;300 km)"))</x:f>
        <x:v>Superficial (&lt;70 km)</x:v>
      </x:c>
      <x:c r="M3555" s="25" t="str">
        <x:f>IF(J3555&gt;=5,"Sí","No")</x:f>
        <x:v>No</x:v>
      </x:c>
      <x:c r="N3555" s="25" t="str">
        <x:f>IF(J3555&gt;=6,"Sí","No")</x:f>
        <x:v>No</x:v>
      </x:c>
      <x:c r="O3555" s="25" t="str">
        <x:v>Pendiente: asignar con R/sf</x:v>
      </x:c>
    </x:row>
    <x:row r="3556">
      <x:c r="A3556" s="25" t="n">
        <x:v>3555</x:v>
      </x:c>
      <x:c r="B3556" s="26" t="n">
        <x:v>44797.35612268518</x:v>
      </x:c>
      <x:c r="C3556" s="27" t="n">
        <x:f>INT(B3556)</x:f>
        <x:v>44797</x:v>
      </x:c>
      <x:c r="D3556" s="28" t="n">
        <x:f>MOD(B3556,1)</x:f>
        <x:v>0.35612268518161727</x:v>
      </x:c>
      <x:c r="E3556" s="29" t="n">
        <x:f>YEAR(B3556)</x:f>
        <x:v>2022</x:v>
      </x:c>
      <x:c r="F3556" s="29" t="n">
        <x:f>MONTH(B3556)</x:f>
        <x:v>8</x:v>
      </x:c>
      <x:c r="G3556" s="30" t="n">
        <x:v>-32.61</x:v>
      </x:c>
      <x:c r="H3556" s="30" t="n">
        <x:v>-70.47</x:v>
      </x:c>
      <x:c r="I3556" s="29" t="n">
        <x:v>17</x:v>
      </x:c>
      <x:c r="J3556" s="31" t="n">
        <x:v>3.9</x:v>
      </x:c>
      <x:c r="K3556" s="25" t="str">
        <x:f>IF(J3556&gt;=7,"Muy fuerte (&gt;=7)",IF(J3556&gt;=6,"Fuerte (6-6.9)",IF(J3556&gt;=5,"Moderado alto (5-5.9)",IF(J3556&gt;=4,"Moderado (4-4.9)","Menor a 4"))))</x:f>
        <x:v>Menor a 4</x:v>
      </x:c>
      <x:c r="L3556" s="25" t="str">
        <x:f>IF(I3556&lt;70,"Superficial (&lt;70 km)",IF(I3556&lt;=300,"Intermedio (70-300 km)","Profundo (&gt;300 km)"))</x:f>
        <x:v>Superficial (&lt;70 km)</x:v>
      </x:c>
      <x:c r="M3556" s="25" t="str">
        <x:f>IF(J3556&gt;=5,"Sí","No")</x:f>
        <x:v>No</x:v>
      </x:c>
      <x:c r="N3556" s="25" t="str">
        <x:f>IF(J3556&gt;=6,"Sí","No")</x:f>
        <x:v>No</x:v>
      </x:c>
      <x:c r="O3556" s="25" t="str">
        <x:v>Pendiente: asignar con R/sf</x:v>
      </x:c>
    </x:row>
    <x:row r="3557">
      <x:c r="A3557" s="25" t="n">
        <x:v>3556</x:v>
      </x:c>
      <x:c r="B3557" s="26" t="n">
        <x:v>44891.635567129626</x:v>
      </x:c>
      <x:c r="C3557" s="27" t="n">
        <x:f>INT(B3557)</x:f>
        <x:v>44891</x:v>
      </x:c>
      <x:c r="D3557" s="28" t="n">
        <x:f>MOD(B3557,1)</x:f>
        <x:v>0.635567129625997</x:v>
      </x:c>
      <x:c r="E3557" s="29" t="n">
        <x:f>YEAR(B3557)</x:f>
        <x:v>2022</x:v>
      </x:c>
      <x:c r="F3557" s="29" t="n">
        <x:f>MONTH(B3557)</x:f>
        <x:v>11</x:v>
      </x:c>
      <x:c r="G3557" s="30" t="n">
        <x:v>-32.63</x:v>
      </x:c>
      <x:c r="H3557" s="30" t="n">
        <x:v>-71.11</x:v>
      </x:c>
      <x:c r="I3557" s="29" t="n">
        <x:v>56</x:v>
      </x:c>
      <x:c r="J3557" s="31" t="n">
        <x:v>3.9</x:v>
      </x:c>
      <x:c r="K3557" s="25" t="str">
        <x:f>IF(J3557&gt;=7,"Muy fuerte (&gt;=7)",IF(J3557&gt;=6,"Fuerte (6-6.9)",IF(J3557&gt;=5,"Moderado alto (5-5.9)",IF(J3557&gt;=4,"Moderado (4-4.9)","Menor a 4"))))</x:f>
        <x:v>Menor a 4</x:v>
      </x:c>
      <x:c r="L3557" s="25" t="str">
        <x:f>IF(I3557&lt;70,"Superficial (&lt;70 km)",IF(I3557&lt;=300,"Intermedio (70-300 km)","Profundo (&gt;300 km)"))</x:f>
        <x:v>Superficial (&lt;70 km)</x:v>
      </x:c>
      <x:c r="M3557" s="25" t="str">
        <x:f>IF(J3557&gt;=5,"Sí","No")</x:f>
        <x:v>No</x:v>
      </x:c>
      <x:c r="N3557" s="25" t="str">
        <x:f>IF(J3557&gt;=6,"Sí","No")</x:f>
        <x:v>No</x:v>
      </x:c>
      <x:c r="O3557" s="25" t="str">
        <x:v>Pendiente: asignar con R/sf</x:v>
      </x:c>
    </x:row>
    <x:row r="3558">
      <x:c r="A3558" s="25" t="n">
        <x:v>3557</x:v>
      </x:c>
      <x:c r="B3558" s="26" t="n">
        <x:v>44822.82877314815</x:v>
      </x:c>
      <x:c r="C3558" s="27" t="n">
        <x:f>INT(B3558)</x:f>
        <x:v>44822</x:v>
      </x:c>
      <x:c r="D3558" s="28" t="n">
        <x:f>MOD(B3558,1)</x:f>
        <x:v>0.8287731481468654</x:v>
      </x:c>
      <x:c r="E3558" s="29" t="n">
        <x:f>YEAR(B3558)</x:f>
        <x:v>2022</x:v>
      </x:c>
      <x:c r="F3558" s="29" t="n">
        <x:f>MONTH(B3558)</x:f>
        <x:v>9</x:v>
      </x:c>
      <x:c r="G3558" s="30" t="n">
        <x:v>-22.08</x:v>
      </x:c>
      <x:c r="H3558" s="30" t="n">
        <x:v>-69.81</x:v>
      </x:c>
      <x:c r="I3558" s="29" t="n">
        <x:v>60</x:v>
      </x:c>
      <x:c r="J3558" s="31" t="n">
        <x:v>4</x:v>
      </x:c>
      <x:c r="K3558" s="25" t="str">
        <x:f>IF(J3558&gt;=7,"Muy fuerte (&gt;=7)",IF(J3558&gt;=6,"Fuerte (6-6.9)",IF(J3558&gt;=5,"Moderado alto (5-5.9)",IF(J3558&gt;=4,"Moderado (4-4.9)","Menor a 4"))))</x:f>
        <x:v>Moderado (4-4.9)</x:v>
      </x:c>
      <x:c r="L3558" s="25" t="str">
        <x:f>IF(I3558&lt;70,"Superficial (&lt;70 km)",IF(I3558&lt;=300,"Intermedio (70-300 km)","Profundo (&gt;300 km)"))</x:f>
        <x:v>Superficial (&lt;70 km)</x:v>
      </x:c>
      <x:c r="M3558" s="25" t="str">
        <x:f>IF(J3558&gt;=5,"Sí","No")</x:f>
        <x:v>No</x:v>
      </x:c>
      <x:c r="N3558" s="25" t="str">
        <x:f>IF(J3558&gt;=6,"Sí","No")</x:f>
        <x:v>No</x:v>
      </x:c>
      <x:c r="O3558" s="25" t="str">
        <x:v>Pendiente: asignar con R/sf</x:v>
      </x:c>
    </x:row>
    <x:row r="3559">
      <x:c r="A3559" s="25" t="n">
        <x:v>3558</x:v>
      </x:c>
      <x:c r="B3559" s="26" t="n">
        <x:v>44905.367418981485</x:v>
      </x:c>
      <x:c r="C3559" s="27" t="n">
        <x:f>INT(B3559)</x:f>
        <x:v>44905</x:v>
      </x:c>
      <x:c r="D3559" s="28" t="n">
        <x:f>MOD(B3559,1)</x:f>
        <x:v>0.36741898148466134</x:v>
      </x:c>
      <x:c r="E3559" s="29" t="n">
        <x:f>YEAR(B3559)</x:f>
        <x:v>2022</x:v>
      </x:c>
      <x:c r="F3559" s="29" t="n">
        <x:f>MONTH(B3559)</x:f>
        <x:v>12</x:v>
      </x:c>
      <x:c r="G3559" s="30" t="n">
        <x:v>-31.61</x:v>
      </x:c>
      <x:c r="H3559" s="30" t="n">
        <x:v>-71.35</x:v>
      </x:c>
      <x:c r="I3559" s="29" t="n">
        <x:v>43</x:v>
      </x:c>
      <x:c r="J3559" s="31" t="n">
        <x:v>4.7</x:v>
      </x:c>
      <x:c r="K3559" s="25" t="str">
        <x:f>IF(J3559&gt;=7,"Muy fuerte (&gt;=7)",IF(J3559&gt;=6,"Fuerte (6-6.9)",IF(J3559&gt;=5,"Moderado alto (5-5.9)",IF(J3559&gt;=4,"Moderado (4-4.9)","Menor a 4"))))</x:f>
        <x:v>Moderado (4-4.9)</x:v>
      </x:c>
      <x:c r="L3559" s="25" t="str">
        <x:f>IF(I3559&lt;70,"Superficial (&lt;70 km)",IF(I3559&lt;=300,"Intermedio (70-300 km)","Profundo (&gt;300 km)"))</x:f>
        <x:v>Superficial (&lt;70 km)</x:v>
      </x:c>
      <x:c r="M3559" s="25" t="str">
        <x:f>IF(J3559&gt;=5,"Sí","No")</x:f>
        <x:v>No</x:v>
      </x:c>
      <x:c r="N3559" s="25" t="str">
        <x:f>IF(J3559&gt;=6,"Sí","No")</x:f>
        <x:v>No</x:v>
      </x:c>
      <x:c r="O3559" s="25" t="str">
        <x:v>Pendiente: asignar con R/sf</x:v>
      </x:c>
    </x:row>
    <x:row r="3560">
      <x:c r="A3560" s="25" t="n">
        <x:v>3559</x:v>
      </x:c>
      <x:c r="B3560" s="26" t="n">
        <x:v>45113.02217592593</x:v>
      </x:c>
      <x:c r="C3560" s="27" t="n">
        <x:f>INT(B3560)</x:f>
        <x:v>45113</x:v>
      </x:c>
      <x:c r="D3560" s="28" t="n">
        <x:f>MOD(B3560,1)</x:f>
        <x:v>0.022175925929332152</x:v>
      </x:c>
      <x:c r="E3560" s="29" t="n">
        <x:f>YEAR(B3560)</x:f>
        <x:v>2023</x:v>
      </x:c>
      <x:c r="F3560" s="29" t="n">
        <x:f>MONTH(B3560)</x:f>
        <x:v>7</x:v>
      </x:c>
      <x:c r="G3560" s="30" t="n">
        <x:v>-23.97</x:v>
      </x:c>
      <x:c r="H3560" s="30" t="n">
        <x:v>-67.98</x:v>
      </x:c>
      <x:c r="I3560" s="29" t="n">
        <x:v>130</x:v>
      </x:c>
      <x:c r="J3560" s="31" t="n">
        <x:v>5.7</x:v>
      </x:c>
      <x:c r="K3560" s="25" t="str">
        <x:f>IF(J3560&gt;=7,"Muy fuerte (&gt;=7)",IF(J3560&gt;=6,"Fuerte (6-6.9)",IF(J3560&gt;=5,"Moderado alto (5-5.9)",IF(J3560&gt;=4,"Moderado (4-4.9)","Menor a 4"))))</x:f>
        <x:v>Moderado alto (5-5.9)</x:v>
      </x:c>
      <x:c r="L3560" s="25" t="str">
        <x:f>IF(I3560&lt;70,"Superficial (&lt;70 km)",IF(I3560&lt;=300,"Intermedio (70-300 km)","Profundo (&gt;300 km)"))</x:f>
        <x:v>Intermedio (70-300 km)</x:v>
      </x:c>
      <x:c r="M3560" s="25" t="str">
        <x:f>IF(J3560&gt;=5,"Sí","No")</x:f>
        <x:v>Sí</x:v>
      </x:c>
      <x:c r="N3560" s="25" t="str">
        <x:f>IF(J3560&gt;=6,"Sí","No")</x:f>
        <x:v>No</x:v>
      </x:c>
      <x:c r="O3560" s="25" t="str">
        <x:v>Pendiente: asignar con R/sf</x:v>
      </x:c>
    </x:row>
    <x:row r="3561">
      <x:c r="A3561" s="25" t="n">
        <x:v>3560</x:v>
      </x:c>
      <x:c r="B3561" s="26" t="n">
        <x:v>45116.71635416667</x:v>
      </x:c>
      <x:c r="C3561" s="27" t="n">
        <x:f>INT(B3561)</x:f>
        <x:v>45116</x:v>
      </x:c>
      <x:c r="D3561" s="28" t="n">
        <x:f>MOD(B3561,1)</x:f>
        <x:v>0.7163541666668607</x:v>
      </x:c>
      <x:c r="E3561" s="29" t="n">
        <x:f>YEAR(B3561)</x:f>
        <x:v>2023</x:v>
      </x:c>
      <x:c r="F3561" s="29" t="n">
        <x:f>MONTH(B3561)</x:f>
        <x:v>7</x:v>
      </x:c>
      <x:c r="G3561" s="30" t="n">
        <x:v>-33.23</x:v>
      </x:c>
      <x:c r="H3561" s="30" t="n">
        <x:v>-70.27</x:v>
      </x:c>
      <x:c r="I3561" s="29" t="n">
        <x:v>111</x:v>
      </x:c>
      <x:c r="J3561" s="31" t="n">
        <x:v>5.6</x:v>
      </x:c>
      <x:c r="K3561" s="25" t="str">
        <x:f>IF(J3561&gt;=7,"Muy fuerte (&gt;=7)",IF(J3561&gt;=6,"Fuerte (6-6.9)",IF(J3561&gt;=5,"Moderado alto (5-5.9)",IF(J3561&gt;=4,"Moderado (4-4.9)","Menor a 4"))))</x:f>
        <x:v>Moderado alto (5-5.9)</x:v>
      </x:c>
      <x:c r="L3561" s="25" t="str">
        <x:f>IF(I3561&lt;70,"Superficial (&lt;70 km)",IF(I3561&lt;=300,"Intermedio (70-300 km)","Profundo (&gt;300 km)"))</x:f>
        <x:v>Intermedio (70-300 km)</x:v>
      </x:c>
      <x:c r="M3561" s="25" t="str">
        <x:f>IF(J3561&gt;=5,"Sí","No")</x:f>
        <x:v>Sí</x:v>
      </x:c>
      <x:c r="N3561" s="25" t="str">
        <x:f>IF(J3561&gt;=6,"Sí","No")</x:f>
        <x:v>No</x:v>
      </x:c>
      <x:c r="O3561" s="25" t="str">
        <x:v>Pendiente: asignar con R/sf</x:v>
      </x:c>
    </x:row>
    <x:row r="3562">
      <x:c r="A3562" s="25" t="n">
        <x:v>3561</x:v>
      </x:c>
      <x:c r="B3562" s="26" t="n">
        <x:v>45124.128587962965</x:v>
      </x:c>
      <x:c r="C3562" s="27" t="n">
        <x:f>INT(B3562)</x:f>
        <x:v>45124</x:v>
      </x:c>
      <x:c r="D3562" s="28" t="n">
        <x:f>MOD(B3562,1)</x:f>
        <x:v>0.12858796296495711</x:v>
      </x:c>
      <x:c r="E3562" s="29" t="n">
        <x:f>YEAR(B3562)</x:f>
        <x:v>2023</x:v>
      </x:c>
      <x:c r="F3562" s="29" t="n">
        <x:f>MONTH(B3562)</x:f>
        <x:v>7</x:v>
      </x:c>
      <x:c r="G3562" s="30" t="n">
        <x:v>-38.22</x:v>
      </x:c>
      <x:c r="H3562" s="30" t="n">
        <x:v>-70.86</x:v>
      </x:c>
      <x:c r="I3562" s="29" t="n">
        <x:v>206</x:v>
      </x:c>
      <x:c r="J3562" s="31" t="n">
        <x:v>6.4</x:v>
      </x:c>
      <x:c r="K3562" s="25" t="str">
        <x:f>IF(J3562&gt;=7,"Muy fuerte (&gt;=7)",IF(J3562&gt;=6,"Fuerte (6-6.9)",IF(J3562&gt;=5,"Moderado alto (5-5.9)",IF(J3562&gt;=4,"Moderado (4-4.9)","Menor a 4"))))</x:f>
        <x:v>Fuerte (6-6.9)</x:v>
      </x:c>
      <x:c r="L3562" s="25" t="str">
        <x:f>IF(I3562&lt;70,"Superficial (&lt;70 km)",IF(I3562&lt;=300,"Intermedio (70-300 km)","Profundo (&gt;300 km)"))</x:f>
        <x:v>Intermedio (70-300 km)</x:v>
      </x:c>
      <x:c r="M3562" s="25" t="str">
        <x:f>IF(J3562&gt;=5,"Sí","No")</x:f>
        <x:v>Sí</x:v>
      </x:c>
      <x:c r="N3562" s="25" t="str">
        <x:f>IF(J3562&gt;=6,"Sí","No")</x:f>
        <x:v>Sí</x:v>
      </x:c>
      <x:c r="O3562" s="25" t="str">
        <x:v>Pendiente: asignar con R/sf</x:v>
      </x:c>
    </x:row>
    <x:row r="3563">
      <x:c r="A3563" s="25" t="n">
        <x:v>3562</x:v>
      </x:c>
      <x:c r="B3563" s="26" t="n">
        <x:v>45128.171377314815</x:v>
      </x:c>
      <x:c r="C3563" s="27" t="n">
        <x:f>INT(B3563)</x:f>
        <x:v>45128</x:v>
      </x:c>
      <x:c r="D3563" s="28" t="n">
        <x:f>MOD(B3563,1)</x:f>
        <x:v>0.17137731481489027</x:v>
      </x:c>
      <x:c r="E3563" s="29" t="n">
        <x:f>YEAR(B3563)</x:f>
        <x:v>2023</x:v>
      </x:c>
      <x:c r="F3563" s="29" t="n">
        <x:f>MONTH(B3563)</x:f>
        <x:v>7</x:v>
      </x:c>
      <x:c r="G3563" s="30" t="n">
        <x:v>-30.61</x:v>
      </x:c>
      <x:c r="H3563" s="30" t="n">
        <x:v>-71.62</x:v>
      </x:c>
      <x:c r="I3563" s="29" t="n">
        <x:v>36</x:v>
      </x:c>
      <x:c r="J3563" s="31" t="n">
        <x:v>5</x:v>
      </x:c>
      <x:c r="K3563" s="25" t="str">
        <x:f>IF(J3563&gt;=7,"Muy fuerte (&gt;=7)",IF(J3563&gt;=6,"Fuerte (6-6.9)",IF(J3563&gt;=5,"Moderado alto (5-5.9)",IF(J3563&gt;=4,"Moderado (4-4.9)","Menor a 4"))))</x:f>
        <x:v>Moderado alto (5-5.9)</x:v>
      </x:c>
      <x:c r="L3563" s="25" t="str">
        <x:f>IF(I3563&lt;70,"Superficial (&lt;70 km)",IF(I3563&lt;=300,"Intermedio (70-300 km)","Profundo (&gt;300 km)"))</x:f>
        <x:v>Superficial (&lt;70 km)</x:v>
      </x:c>
      <x:c r="M3563" s="25" t="str">
        <x:f>IF(J3563&gt;=5,"Sí","No")</x:f>
        <x:v>Sí</x:v>
      </x:c>
      <x:c r="N3563" s="25" t="str">
        <x:f>IF(J3563&gt;=6,"Sí","No")</x:f>
        <x:v>No</x:v>
      </x:c>
      <x:c r="O3563" s="25" t="str">
        <x:v>Pendiente: asignar con R/sf</x:v>
      </x:c>
    </x:row>
    <x:row r="3564">
      <x:c r="A3564" s="25" t="n">
        <x:v>3563</x:v>
      </x:c>
      <x:c r="B3564" s="26" t="n">
        <x:v>44787.77883101852</x:v>
      </x:c>
      <x:c r="C3564" s="27" t="n">
        <x:f>INT(B3564)</x:f>
        <x:v>44787</x:v>
      </x:c>
      <x:c r="D3564" s="28" t="n">
        <x:f>MOD(B3564,1)</x:f>
        <x:v>0.7788310185205773</x:v>
      </x:c>
      <x:c r="E3564" s="29" t="n">
        <x:f>YEAR(B3564)</x:f>
        <x:v>2022</x:v>
      </x:c>
      <x:c r="F3564" s="29" t="n">
        <x:f>MONTH(B3564)</x:f>
        <x:v>8</x:v>
      </x:c>
      <x:c r="G3564" s="30" t="n">
        <x:v>-33.11</x:v>
      </x:c>
      <x:c r="H3564" s="30" t="n">
        <x:v>-72</x:v>
      </x:c>
      <x:c r="I3564" s="29" t="n">
        <x:v>24</x:v>
      </x:c>
      <x:c r="J3564" s="31" t="n">
        <x:v>4.3</x:v>
      </x:c>
      <x:c r="K3564" s="25" t="str">
        <x:f>IF(J3564&gt;=7,"Muy fuerte (&gt;=7)",IF(J3564&gt;=6,"Fuerte (6-6.9)",IF(J3564&gt;=5,"Moderado alto (5-5.9)",IF(J3564&gt;=4,"Moderado (4-4.9)","Menor a 4"))))</x:f>
        <x:v>Moderado (4-4.9)</x:v>
      </x:c>
      <x:c r="L3564" s="25" t="str">
        <x:f>IF(I3564&lt;70,"Superficial (&lt;70 km)",IF(I3564&lt;=300,"Intermedio (70-300 km)","Profundo (&gt;300 km)"))</x:f>
        <x:v>Superficial (&lt;70 km)</x:v>
      </x:c>
      <x:c r="M3564" s="25" t="str">
        <x:f>IF(J3564&gt;=5,"Sí","No")</x:f>
        <x:v>No</x:v>
      </x:c>
      <x:c r="N3564" s="25" t="str">
        <x:f>IF(J3564&gt;=6,"Sí","No")</x:f>
        <x:v>No</x:v>
      </x:c>
      <x:c r="O3564" s="25" t="str">
        <x:v>Pendiente: asignar con R/sf</x:v>
      </x:c>
    </x:row>
    <x:row r="3565">
      <x:c r="A3565" s="25" t="n">
        <x:v>3564</x:v>
      </x:c>
      <x:c r="B3565" s="26" t="n">
        <x:v>45084.07462962963</x:v>
      </x:c>
      <x:c r="C3565" s="27" t="n">
        <x:f>INT(B3565)</x:f>
        <x:v>45084</x:v>
      </x:c>
      <x:c r="D3565" s="28" t="n">
        <x:f>MOD(B3565,1)</x:f>
        <x:v>0.07462962962745223</x:v>
      </x:c>
      <x:c r="E3565" s="29" t="n">
        <x:f>YEAR(B3565)</x:f>
        <x:v>2023</x:v>
      </x:c>
      <x:c r="F3565" s="29" t="n">
        <x:f>MONTH(B3565)</x:f>
        <x:v>6</x:v>
      </x:c>
      <x:c r="G3565" s="30" t="n">
        <x:v>-32.51</x:v>
      </x:c>
      <x:c r="H3565" s="30" t="n">
        <x:v>-71.75</x:v>
      </x:c>
      <x:c r="I3565" s="29" t="n">
        <x:v>35</x:v>
      </x:c>
      <x:c r="J3565" s="31" t="n">
        <x:v>4.3</x:v>
      </x:c>
      <x:c r="K3565" s="25" t="str">
        <x:f>IF(J3565&gt;=7,"Muy fuerte (&gt;=7)",IF(J3565&gt;=6,"Fuerte (6-6.9)",IF(J3565&gt;=5,"Moderado alto (5-5.9)",IF(J3565&gt;=4,"Moderado (4-4.9)","Menor a 4"))))</x:f>
        <x:v>Moderado (4-4.9)</x:v>
      </x:c>
      <x:c r="L3565" s="25" t="str">
        <x:f>IF(I3565&lt;70,"Superficial (&lt;70 km)",IF(I3565&lt;=300,"Intermedio (70-300 km)","Profundo (&gt;300 km)"))</x:f>
        <x:v>Superficial (&lt;70 km)</x:v>
      </x:c>
      <x:c r="M3565" s="25" t="str">
        <x:f>IF(J3565&gt;=5,"Sí","No")</x:f>
        <x:v>No</x:v>
      </x:c>
      <x:c r="N3565" s="25" t="str">
        <x:f>IF(J3565&gt;=6,"Sí","No")</x:f>
        <x:v>No</x:v>
      </x:c>
      <x:c r="O3565" s="25" t="str">
        <x:v>Pendiente: asignar con R/sf</x:v>
      </x:c>
    </x:row>
    <x:row r="3566">
      <x:c r="A3566" s="25" t="n">
        <x:v>3565</x:v>
      </x:c>
      <x:c r="B3566" s="26" t="n">
        <x:v>45143.735185185185</x:v>
      </x:c>
      <x:c r="C3566" s="27" t="n">
        <x:f>INT(B3566)</x:f>
        <x:v>45143</x:v>
      </x:c>
      <x:c r="D3566" s="28" t="n">
        <x:f>MOD(B3566,1)</x:f>
        <x:v>0.7351851851854008</x:v>
      </x:c>
      <x:c r="E3566" s="29" t="n">
        <x:f>YEAR(B3566)</x:f>
        <x:v>2023</x:v>
      </x:c>
      <x:c r="F3566" s="29" t="n">
        <x:f>MONTH(B3566)</x:f>
        <x:v>8</x:v>
      </x:c>
      <x:c r="G3566" s="30" t="n">
        <x:v>-19.61</x:v>
      </x:c>
      <x:c r="H3566" s="30" t="n">
        <x:v>-69.25</x:v>
      </x:c>
      <x:c r="I3566" s="29" t="n">
        <x:v>106</x:v>
      </x:c>
      <x:c r="J3566" s="31" t="n">
        <x:v>5.1</x:v>
      </x:c>
      <x:c r="K3566" s="25" t="str">
        <x:f>IF(J3566&gt;=7,"Muy fuerte (&gt;=7)",IF(J3566&gt;=6,"Fuerte (6-6.9)",IF(J3566&gt;=5,"Moderado alto (5-5.9)",IF(J3566&gt;=4,"Moderado (4-4.9)","Menor a 4"))))</x:f>
        <x:v>Moderado alto (5-5.9)</x:v>
      </x:c>
      <x:c r="L3566" s="25" t="str">
        <x:f>IF(I3566&lt;70,"Superficial (&lt;70 km)",IF(I3566&lt;=300,"Intermedio (70-300 km)","Profundo (&gt;300 km)"))</x:f>
        <x:v>Intermedio (70-300 km)</x:v>
      </x:c>
      <x:c r="M3566" s="25" t="str">
        <x:f>IF(J3566&gt;=5,"Sí","No")</x:f>
        <x:v>Sí</x:v>
      </x:c>
      <x:c r="N3566" s="25" t="str">
        <x:f>IF(J3566&gt;=6,"Sí","No")</x:f>
        <x:v>No</x:v>
      </x:c>
      <x:c r="O3566" s="25" t="str">
        <x:v>Pendiente: asignar con R/sf</x:v>
      </x:c>
    </x:row>
    <x:row r="3567">
      <x:c r="A3567" s="25" t="n">
        <x:v>3566</x:v>
      </x:c>
      <x:c r="B3567" s="26" t="n">
        <x:v>45143.756423611114</x:v>
      </x:c>
      <x:c r="C3567" s="27" t="n">
        <x:f>INT(B3567)</x:f>
        <x:v>45143</x:v>
      </x:c>
      <x:c r="D3567" s="28" t="n">
        <x:f>MOD(B3567,1)</x:f>
        <x:v>0.7564236111138598</x:v>
      </x:c>
      <x:c r="E3567" s="29" t="n">
        <x:f>YEAR(B3567)</x:f>
        <x:v>2023</x:v>
      </x:c>
      <x:c r="F3567" s="29" t="n">
        <x:f>MONTH(B3567)</x:f>
        <x:v>8</x:v>
      </x:c>
      <x:c r="G3567" s="30" t="n">
        <x:v>-23.5</x:v>
      </x:c>
      <x:c r="H3567" s="30" t="n">
        <x:v>-69.67</x:v>
      </x:c>
      <x:c r="I3567" s="29" t="n">
        <x:v>81</x:v>
      </x:c>
      <x:c r="J3567" s="31" t="n">
        <x:v>5.2</x:v>
      </x:c>
      <x:c r="K3567" s="25" t="str">
        <x:f>IF(J3567&gt;=7,"Muy fuerte (&gt;=7)",IF(J3567&gt;=6,"Fuerte (6-6.9)",IF(J3567&gt;=5,"Moderado alto (5-5.9)",IF(J3567&gt;=4,"Moderado (4-4.9)","Menor a 4"))))</x:f>
        <x:v>Moderado alto (5-5.9)</x:v>
      </x:c>
      <x:c r="L3567" s="25" t="str">
        <x:f>IF(I3567&lt;70,"Superficial (&lt;70 km)",IF(I3567&lt;=300,"Intermedio (70-300 km)","Profundo (&gt;300 km)"))</x:f>
        <x:v>Intermedio (70-300 km)</x:v>
      </x:c>
      <x:c r="M3567" s="25" t="str">
        <x:f>IF(J3567&gt;=5,"Sí","No")</x:f>
        <x:v>Sí</x:v>
      </x:c>
      <x:c r="N3567" s="25" t="str">
        <x:f>IF(J3567&gt;=6,"Sí","No")</x:f>
        <x:v>No</x:v>
      </x:c>
      <x:c r="O3567" s="25" t="str">
        <x:v>Pendiente: asignar con R/sf</x:v>
      </x:c>
    </x:row>
    <x:row r="3568">
      <x:c r="A3568" s="25" t="n">
        <x:v>3567</x:v>
      </x:c>
      <x:c r="B3568" s="26" t="n">
        <x:v>45161.58483796296</x:v>
      </x:c>
      <x:c r="C3568" s="27" t="n">
        <x:f>INT(B3568)</x:f>
        <x:v>45161</x:v>
      </x:c>
      <x:c r="D3568" s="28" t="n">
        <x:f>MOD(B3568,1)</x:f>
        <x:v>0.5848379629605915</x:v>
      </x:c>
      <x:c r="E3568" s="29" t="n">
        <x:f>YEAR(B3568)</x:f>
        <x:v>2023</x:v>
      </x:c>
      <x:c r="F3568" s="29" t="n">
        <x:f>MONTH(B3568)</x:f>
        <x:v>8</x:v>
      </x:c>
      <x:c r="G3568" s="30" t="n">
        <x:v>-20.46</x:v>
      </x:c>
      <x:c r="H3568" s="30" t="n">
        <x:v>-69.31</x:v>
      </x:c>
      <x:c r="I3568" s="29" t="n">
        <x:v>86</x:v>
      </x:c>
      <x:c r="J3568" s="31" t="n">
        <x:v>5.2</x:v>
      </x:c>
      <x:c r="K3568" s="25" t="str">
        <x:f>IF(J3568&gt;=7,"Muy fuerte (&gt;=7)",IF(J3568&gt;=6,"Fuerte (6-6.9)",IF(J3568&gt;=5,"Moderado alto (5-5.9)",IF(J3568&gt;=4,"Moderado (4-4.9)","Menor a 4"))))</x:f>
        <x:v>Moderado alto (5-5.9)</x:v>
      </x:c>
      <x:c r="L3568" s="25" t="str">
        <x:f>IF(I3568&lt;70,"Superficial (&lt;70 km)",IF(I3568&lt;=300,"Intermedio (70-300 km)","Profundo (&gt;300 km)"))</x:f>
        <x:v>Intermedio (70-300 km)</x:v>
      </x:c>
      <x:c r="M3568" s="25" t="str">
        <x:f>IF(J3568&gt;=5,"Sí","No")</x:f>
        <x:v>Sí</x:v>
      </x:c>
      <x:c r="N3568" s="25" t="str">
        <x:f>IF(J3568&gt;=6,"Sí","No")</x:f>
        <x:v>No</x:v>
      </x:c>
      <x:c r="O3568" s="25" t="str">
        <x:v>Pendiente: asignar con R/sf</x:v>
      </x:c>
    </x:row>
    <x:row r="3569">
      <x:c r="A3569" s="25" t="n">
        <x:v>3568</x:v>
      </x:c>
      <x:c r="B3569" s="26" t="n">
        <x:v>45168.59520833333</x:v>
      </x:c>
      <x:c r="C3569" s="27" t="n">
        <x:f>INT(B3569)</x:f>
        <x:v>45168</x:v>
      </x:c>
      <x:c r="D3569" s="28" t="n">
        <x:f>MOD(B3569,1)</x:f>
        <x:v>0.5952083333322662</x:v>
      </x:c>
      <x:c r="E3569" s="29" t="n">
        <x:f>YEAR(B3569)</x:f>
        <x:v>2023</x:v>
      </x:c>
      <x:c r="F3569" s="29" t="n">
        <x:f>MONTH(B3569)</x:f>
        <x:v>8</x:v>
      </x:c>
      <x:c r="G3569" s="30" t="n">
        <x:v>-29.49</x:v>
      </x:c>
      <x:c r="H3569" s="30" t="n">
        <x:v>-71.26</x:v>
      </x:c>
      <x:c r="I3569" s="29" t="n">
        <x:v>53</x:v>
      </x:c>
      <x:c r="J3569" s="31" t="n">
        <x:v>5.4</x:v>
      </x:c>
      <x:c r="K3569" s="25" t="str">
        <x:f>IF(J3569&gt;=7,"Muy fuerte (&gt;=7)",IF(J3569&gt;=6,"Fuerte (6-6.9)",IF(J3569&gt;=5,"Moderado alto (5-5.9)",IF(J3569&gt;=4,"Moderado (4-4.9)","Menor a 4"))))</x:f>
        <x:v>Moderado alto (5-5.9)</x:v>
      </x:c>
      <x:c r="L3569" s="25" t="str">
        <x:f>IF(I3569&lt;70,"Superficial (&lt;70 km)",IF(I3569&lt;=300,"Intermedio (70-300 km)","Profundo (&gt;300 km)"))</x:f>
        <x:v>Superficial (&lt;70 km)</x:v>
      </x:c>
      <x:c r="M3569" s="25" t="str">
        <x:f>IF(J3569&gt;=5,"Sí","No")</x:f>
        <x:v>Sí</x:v>
      </x:c>
      <x:c r="N3569" s="25" t="str">
        <x:f>IF(J3569&gt;=6,"Sí","No")</x:f>
        <x:v>No</x:v>
      </x:c>
      <x:c r="O3569" s="25" t="str">
        <x:v>Pendiente: asignar con R/sf</x:v>
      </x:c>
    </x:row>
    <x:row r="3570">
      <x:c r="A3570" s="25" t="n">
        <x:v>3569</x:v>
      </x:c>
      <x:c r="B3570" s="26" t="n">
        <x:v>45121.70953703704</x:v>
      </x:c>
      <x:c r="C3570" s="27" t="n">
        <x:f>INT(B3570)</x:f>
        <x:v>45121</x:v>
      </x:c>
      <x:c r="D3570" s="28" t="n">
        <x:f>MOD(B3570,1)</x:f>
        <x:v>0.7095370370370802</x:v>
      </x:c>
      <x:c r="E3570" s="29" t="n">
        <x:f>YEAR(B3570)</x:f>
        <x:v>2023</x:v>
      </x:c>
      <x:c r="F3570" s="29" t="n">
        <x:f>MONTH(B3570)</x:f>
        <x:v>7</x:v>
      </x:c>
      <x:c r="G3570" s="30" t="n">
        <x:v>-33.67</x:v>
      </x:c>
      <x:c r="H3570" s="30" t="n">
        <x:v>-71.13</x:v>
      </x:c>
      <x:c r="I3570" s="29" t="n">
        <x:v>75</x:v>
      </x:c>
      <x:c r="J3570" s="31" t="n">
        <x:v>4.2</x:v>
      </x:c>
      <x:c r="K3570" s="25" t="str">
        <x:f>IF(J3570&gt;=7,"Muy fuerte (&gt;=7)",IF(J3570&gt;=6,"Fuerte (6-6.9)",IF(J3570&gt;=5,"Moderado alto (5-5.9)",IF(J3570&gt;=4,"Moderado (4-4.9)","Menor a 4"))))</x:f>
        <x:v>Moderado (4-4.9)</x:v>
      </x:c>
      <x:c r="L3570" s="25" t="str">
        <x:f>IF(I3570&lt;70,"Superficial (&lt;70 km)",IF(I3570&lt;=300,"Intermedio (70-300 km)","Profundo (&gt;300 km)"))</x:f>
        <x:v>Intermedio (70-300 km)</x:v>
      </x:c>
      <x:c r="M3570" s="25" t="str">
        <x:f>IF(J3570&gt;=5,"Sí","No")</x:f>
        <x:v>No</x:v>
      </x:c>
      <x:c r="N3570" s="25" t="str">
        <x:f>IF(J3570&gt;=6,"Sí","No")</x:f>
        <x:v>No</x:v>
      </x:c>
      <x:c r="O3570" s="25" t="str">
        <x:v>Pendiente: asignar con R/sf</x:v>
      </x:c>
    </x:row>
    <x:row r="3571">
      <x:c r="A3571" s="25" t="n">
        <x:v>3570</x:v>
      </x:c>
      <x:c r="B3571" s="26" t="n">
        <x:v>45721.418032407404</x:v>
      </x:c>
      <x:c r="C3571" s="27" t="n">
        <x:f>INT(B3571)</x:f>
        <x:v>45721</x:v>
      </x:c>
      <x:c r="D3571" s="28" t="n">
        <x:f>MOD(B3571,1)</x:f>
        <x:v>0.4180324074040982</x:v>
      </x:c>
      <x:c r="E3571" s="29" t="n">
        <x:f>YEAR(B3571)</x:f>
        <x:v>2025</x:v>
      </x:c>
      <x:c r="F3571" s="29" t="n">
        <x:f>MONTH(B3571)</x:f>
        <x:v>3</x:v>
      </x:c>
      <x:c r="G3571" s="30" t="n">
        <x:v>-31.53</x:v>
      </x:c>
      <x:c r="H3571" s="30" t="n">
        <x:v>-71.44</x:v>
      </x:c>
      <x:c r="I3571" s="29" t="n">
        <x:v>54</x:v>
      </x:c>
      <x:c r="J3571" s="31" t="n">
        <x:v>5.1</x:v>
      </x:c>
      <x:c r="K3571" s="25" t="str">
        <x:f>IF(J3571&gt;=7,"Muy fuerte (&gt;=7)",IF(J3571&gt;=6,"Fuerte (6-6.9)",IF(J3571&gt;=5,"Moderado alto (5-5.9)",IF(J3571&gt;=4,"Moderado (4-4.9)","Menor a 4"))))</x:f>
        <x:v>Moderado alto (5-5.9)</x:v>
      </x:c>
      <x:c r="L3571" s="25" t="str">
        <x:f>IF(I3571&lt;70,"Superficial (&lt;70 km)",IF(I3571&lt;=300,"Intermedio (70-300 km)","Profundo (&gt;300 km)"))</x:f>
        <x:v>Superficial (&lt;70 km)</x:v>
      </x:c>
      <x:c r="M3571" s="25" t="str">
        <x:f>IF(J3571&gt;=5,"Sí","No")</x:f>
        <x:v>Sí</x:v>
      </x:c>
      <x:c r="N3571" s="25" t="str">
        <x:f>IF(J3571&gt;=6,"Sí","No")</x:f>
        <x:v>No</x:v>
      </x:c>
      <x:c r="O3571" s="25" t="str">
        <x:v>Pendiente: asignar con R/sf</x:v>
      </x:c>
    </x:row>
    <x:row r="3572">
      <x:c r="A3572" s="25" t="n">
        <x:v>3571</x:v>
      </x:c>
      <x:c r="B3572" s="26" t="n">
        <x:v>45722.68170138889</x:v>
      </x:c>
      <x:c r="C3572" s="27" t="n">
        <x:f>INT(B3572)</x:f>
        <x:v>45722</x:v>
      </x:c>
      <x:c r="D3572" s="28" t="n">
        <x:f>MOD(B3572,1)</x:f>
        <x:v>0.6817013888867223</x:v>
      </x:c>
      <x:c r="E3572" s="29" t="n">
        <x:f>YEAR(B3572)</x:f>
        <x:v>2025</x:v>
      </x:c>
      <x:c r="F3572" s="29" t="n">
        <x:f>MONTH(B3572)</x:f>
        <x:v>3</x:v>
      </x:c>
      <x:c r="G3572" s="30" t="n">
        <x:v>-23.33</x:v>
      </x:c>
      <x:c r="H3572" s="30" t="n">
        <x:v>-69.21</x:v>
      </x:c>
      <x:c r="I3572" s="29" t="n">
        <x:v>103</x:v>
      </x:c>
      <x:c r="J3572" s="31" t="n">
        <x:v>6</x:v>
      </x:c>
      <x:c r="K3572" s="25" t="str">
        <x:f>IF(J3572&gt;=7,"Muy fuerte (&gt;=7)",IF(J3572&gt;=6,"Fuerte (6-6.9)",IF(J3572&gt;=5,"Moderado alto (5-5.9)",IF(J3572&gt;=4,"Moderado (4-4.9)","Menor a 4"))))</x:f>
        <x:v>Fuerte (6-6.9)</x:v>
      </x:c>
      <x:c r="L3572" s="25" t="str">
        <x:f>IF(I3572&lt;70,"Superficial (&lt;70 km)",IF(I3572&lt;=300,"Intermedio (70-300 km)","Profundo (&gt;300 km)"))</x:f>
        <x:v>Intermedio (70-300 km)</x:v>
      </x:c>
      <x:c r="M3572" s="25" t="str">
        <x:f>IF(J3572&gt;=5,"Sí","No")</x:f>
        <x:v>Sí</x:v>
      </x:c>
      <x:c r="N3572" s="25" t="str">
        <x:f>IF(J3572&gt;=6,"Sí","No")</x:f>
        <x:v>Sí</x:v>
      </x:c>
      <x:c r="O3572" s="25" t="str">
        <x:v>Pendiente: asignar con R/sf</x:v>
      </x:c>
    </x:row>
    <x:row r="3573">
      <x:c r="A3573" s="25" t="n">
        <x:v>3572</x:v>
      </x:c>
      <x:c r="B3573" s="26" t="n">
        <x:v>45732.90998842593</x:v>
      </x:c>
      <x:c r="C3573" s="27" t="n">
        <x:f>INT(B3573)</x:f>
        <x:v>45732</x:v>
      </x:c>
      <x:c r="D3573" s="28" t="n">
        <x:f>MOD(B3573,1)</x:f>
        <x:v>0.9099884259267128</x:v>
      </x:c>
      <x:c r="E3573" s="29" t="n">
        <x:f>YEAR(B3573)</x:f>
        <x:v>2025</x:v>
      </x:c>
      <x:c r="F3573" s="29" t="n">
        <x:f>MONTH(B3573)</x:f>
        <x:v>3</x:v>
      </x:c>
      <x:c r="G3573" s="30" t="n">
        <x:v>-29.28</x:v>
      </x:c>
      <x:c r="H3573" s="30" t="n">
        <x:v>-69.84</x:v>
      </x:c>
      <x:c r="I3573" s="29" t="n">
        <x:v>108</x:v>
      </x:c>
      <x:c r="J3573" s="31" t="n">
        <x:v>5.2</x:v>
      </x:c>
      <x:c r="K3573" s="25" t="str">
        <x:f>IF(J3573&gt;=7,"Muy fuerte (&gt;=7)",IF(J3573&gt;=6,"Fuerte (6-6.9)",IF(J3573&gt;=5,"Moderado alto (5-5.9)",IF(J3573&gt;=4,"Moderado (4-4.9)","Menor a 4"))))</x:f>
        <x:v>Moderado alto (5-5.9)</x:v>
      </x:c>
      <x:c r="L3573" s="25" t="str">
        <x:f>IF(I3573&lt;70,"Superficial (&lt;70 km)",IF(I3573&lt;=300,"Intermedio (70-300 km)","Profundo (&gt;300 km)"))</x:f>
        <x:v>Intermedio (70-300 km)</x:v>
      </x:c>
      <x:c r="M3573" s="25" t="str">
        <x:f>IF(J3573&gt;=5,"Sí","No")</x:f>
        <x:v>Sí</x:v>
      </x:c>
      <x:c r="N3573" s="25" t="str">
        <x:f>IF(J3573&gt;=6,"Sí","No")</x:f>
        <x:v>No</x:v>
      </x:c>
      <x:c r="O3573" s="25" t="str">
        <x:v>Pendiente: asignar con R/sf</x:v>
      </x:c>
    </x:row>
    <x:row r="3574">
      <x:c r="A3574" s="25" t="n">
        <x:v>3573</x:v>
      </x:c>
      <x:c r="B3574" s="26" t="n">
        <x:v>45734.88737268518</x:v>
      </x:c>
      <x:c r="C3574" s="27" t="n">
        <x:f>INT(B3574)</x:f>
        <x:v>45734</x:v>
      </x:c>
      <x:c r="D3574" s="28" t="n">
        <x:f>MOD(B3574,1)</x:f>
        <x:v>0.8873726851816173</x:v>
      </x:c>
      <x:c r="E3574" s="29" t="n">
        <x:f>YEAR(B3574)</x:f>
        <x:v>2025</x:v>
      </x:c>
      <x:c r="F3574" s="29" t="n">
        <x:f>MONTH(B3574)</x:f>
        <x:v>3</x:v>
      </x:c>
      <x:c r="G3574" s="30" t="n">
        <x:v>-30.06</x:v>
      </x:c>
      <x:c r="H3574" s="30" t="n">
        <x:v>-71.26</x:v>
      </x:c>
      <x:c r="I3574" s="29" t="n">
        <x:v>66</x:v>
      </x:c>
      <x:c r="J3574" s="31" t="n">
        <x:v>5.8</x:v>
      </x:c>
      <x:c r="K3574" s="25" t="str">
        <x:f>IF(J3574&gt;=7,"Muy fuerte (&gt;=7)",IF(J3574&gt;=6,"Fuerte (6-6.9)",IF(J3574&gt;=5,"Moderado alto (5-5.9)",IF(J3574&gt;=4,"Moderado (4-4.9)","Menor a 4"))))</x:f>
        <x:v>Moderado alto (5-5.9)</x:v>
      </x:c>
      <x:c r="L3574" s="25" t="str">
        <x:f>IF(I3574&lt;70,"Superficial (&lt;70 km)",IF(I3574&lt;=300,"Intermedio (70-300 km)","Profundo (&gt;300 km)"))</x:f>
        <x:v>Superficial (&lt;70 km)</x:v>
      </x:c>
      <x:c r="M3574" s="25" t="str">
        <x:f>IF(J3574&gt;=5,"Sí","No")</x:f>
        <x:v>Sí</x:v>
      </x:c>
      <x:c r="N3574" s="25" t="str">
        <x:f>IF(J3574&gt;=6,"Sí","No")</x:f>
        <x:v>No</x:v>
      </x:c>
      <x:c r="O3574" s="25" t="str">
        <x:v>Pendiente: asignar con R/sf</x:v>
      </x:c>
    </x:row>
    <x:row r="3575">
      <x:c r="A3575" s="25" t="n">
        <x:v>3574</x:v>
      </x:c>
      <x:c r="B3575" s="26" t="n">
        <x:v>45740.19106481481</x:v>
      </x:c>
      <x:c r="C3575" s="27" t="n">
        <x:f>INT(B3575)</x:f>
        <x:v>45740</x:v>
      </x:c>
      <x:c r="D3575" s="28" t="n">
        <x:f>MOD(B3575,1)</x:f>
        <x:v>0.1910648148113978</x:v>
      </x:c>
      <x:c r="E3575" s="29" t="n">
        <x:f>YEAR(B3575)</x:f>
        <x:v>2025</x:v>
      </x:c>
      <x:c r="F3575" s="29" t="n">
        <x:f>MONTH(B3575)</x:f>
        <x:v>3</x:v>
      </x:c>
      <x:c r="G3575" s="30" t="n">
        <x:v>-29.73</x:v>
      </x:c>
      <x:c r="H3575" s="30" t="n">
        <x:v>-71.24</x:v>
      </x:c>
      <x:c r="I3575" s="29" t="n">
        <x:v>75</x:v>
      </x:c>
      <x:c r="J3575" s="31" t="n">
        <x:v>5.3</x:v>
      </x:c>
      <x:c r="K3575" s="25" t="str">
        <x:f>IF(J3575&gt;=7,"Muy fuerte (&gt;=7)",IF(J3575&gt;=6,"Fuerte (6-6.9)",IF(J3575&gt;=5,"Moderado alto (5-5.9)",IF(J3575&gt;=4,"Moderado (4-4.9)","Menor a 4"))))</x:f>
        <x:v>Moderado alto (5-5.9)</x:v>
      </x:c>
      <x:c r="L3575" s="25" t="str">
        <x:f>IF(I3575&lt;70,"Superficial (&lt;70 km)",IF(I3575&lt;=300,"Intermedio (70-300 km)","Profundo (&gt;300 km)"))</x:f>
        <x:v>Intermedio (70-300 km)</x:v>
      </x:c>
      <x:c r="M3575" s="25" t="str">
        <x:f>IF(J3575&gt;=5,"Sí","No")</x:f>
        <x:v>Sí</x:v>
      </x:c>
      <x:c r="N3575" s="25" t="str">
        <x:f>IF(J3575&gt;=6,"Sí","No")</x:f>
        <x:v>No</x:v>
      </x:c>
      <x:c r="O3575" s="25" t="str">
        <x:v>Pendiente: asignar con R/sf</x:v>
      </x:c>
    </x:row>
    <x:row r="3576">
      <x:c r="A3576" s="25" t="n">
        <x:v>3575</x:v>
      </x:c>
      <x:c r="B3576" s="26" t="n">
        <x:v>45741.95547453704</x:v>
      </x:c>
      <x:c r="C3576" s="27" t="n">
        <x:f>INT(B3576)</x:f>
        <x:v>45741</x:v>
      </x:c>
      <x:c r="D3576" s="28" t="n">
        <x:f>MOD(B3576,1)</x:f>
        <x:v>0.9554745370405726</x:v>
      </x:c>
      <x:c r="E3576" s="29" t="n">
        <x:f>YEAR(B3576)</x:f>
        <x:v>2025</x:v>
      </x:c>
      <x:c r="F3576" s="29" t="n">
        <x:f>MONTH(B3576)</x:f>
        <x:v>3</x:v>
      </x:c>
      <x:c r="G3576" s="30" t="n">
        <x:v>-20.25</x:v>
      </x:c>
      <x:c r="H3576" s="30" t="n">
        <x:v>-69.2</x:v>
      </x:c>
      <x:c r="I3576" s="29" t="n">
        <x:v>96</x:v>
      </x:c>
      <x:c r="J3576" s="31" t="n">
        <x:v>5.6</x:v>
      </x:c>
      <x:c r="K3576" s="25" t="str">
        <x:f>IF(J3576&gt;=7,"Muy fuerte (&gt;=7)",IF(J3576&gt;=6,"Fuerte (6-6.9)",IF(J3576&gt;=5,"Moderado alto (5-5.9)",IF(J3576&gt;=4,"Moderado (4-4.9)","Menor a 4"))))</x:f>
        <x:v>Moderado alto (5-5.9)</x:v>
      </x:c>
      <x:c r="L3576" s="25" t="str">
        <x:f>IF(I3576&lt;70,"Superficial (&lt;70 km)",IF(I3576&lt;=300,"Intermedio (70-300 km)","Profundo (&gt;300 km)"))</x:f>
        <x:v>Intermedio (70-300 km)</x:v>
      </x:c>
      <x:c r="M3576" s="25" t="str">
        <x:f>IF(J3576&gt;=5,"Sí","No")</x:f>
        <x:v>Sí</x:v>
      </x:c>
      <x:c r="N3576" s="25" t="str">
        <x:f>IF(J3576&gt;=6,"Sí","No")</x:f>
        <x:v>No</x:v>
      </x:c>
      <x:c r="O3576" s="25" t="str">
        <x:v>Pendiente: asignar con R/sf</x:v>
      </x:c>
    </x:row>
    <x:row r="3577">
      <x:c r="A3577" s="25" t="n">
        <x:v>3576</x:v>
      </x:c>
      <x:c r="B3577" s="26" t="n">
        <x:v>45162.275671296295</x:v>
      </x:c>
      <x:c r="C3577" s="27" t="n">
        <x:f>INT(B3577)</x:f>
        <x:v>45162</x:v>
      </x:c>
      <x:c r="D3577" s="28" t="n">
        <x:f>MOD(B3577,1)</x:f>
        <x:v>0.27567129629460396</x:v>
      </x:c>
      <x:c r="E3577" s="29" t="n">
        <x:f>YEAR(B3577)</x:f>
        <x:v>2023</x:v>
      </x:c>
      <x:c r="F3577" s="29" t="n">
        <x:f>MONTH(B3577)</x:f>
        <x:v>8</x:v>
      </x:c>
      <x:c r="G3577" s="30" t="n">
        <x:v>-33.56</x:v>
      </x:c>
      <x:c r="H3577" s="30" t="n">
        <x:v>-70.87</x:v>
      </x:c>
      <x:c r="I3577" s="29" t="n">
        <x:v>80</x:v>
      </x:c>
      <x:c r="J3577" s="31" t="n">
        <x:v>4.1</x:v>
      </x:c>
      <x:c r="K3577" s="25" t="str">
        <x:f>IF(J3577&gt;=7,"Muy fuerte (&gt;=7)",IF(J3577&gt;=6,"Fuerte (6-6.9)",IF(J3577&gt;=5,"Moderado alto (5-5.9)",IF(J3577&gt;=4,"Moderado (4-4.9)","Menor a 4"))))</x:f>
        <x:v>Moderado (4-4.9)</x:v>
      </x:c>
      <x:c r="L3577" s="25" t="str">
        <x:f>IF(I3577&lt;70,"Superficial (&lt;70 km)",IF(I3577&lt;=300,"Intermedio (70-300 km)","Profundo (&gt;300 km)"))</x:f>
        <x:v>Intermedio (70-300 km)</x:v>
      </x:c>
      <x:c r="M3577" s="25" t="str">
        <x:f>IF(J3577&gt;=5,"Sí","No")</x:f>
        <x:v>No</x:v>
      </x:c>
      <x:c r="N3577" s="25" t="str">
        <x:f>IF(J3577&gt;=6,"Sí","No")</x:f>
        <x:v>No</x:v>
      </x:c>
      <x:c r="O3577" s="25" t="str">
        <x:v>Pendiente: asignar con R/sf</x:v>
      </x:c>
    </x:row>
    <x:row r="3578">
      <x:c r="A3578" s="25" t="n">
        <x:v>3577</x:v>
      </x:c>
      <x:c r="B3578" s="26" t="n">
        <x:v>45406.39803240741</x:v>
      </x:c>
      <x:c r="C3578" s="27" t="n">
        <x:f>INT(B3578)</x:f>
        <x:v>45406</x:v>
      </x:c>
      <x:c r="D3578" s="28" t="n">
        <x:f>MOD(B3578,1)</x:f>
        <x:v>0.3980324074072996</x:v>
      </x:c>
      <x:c r="E3578" s="29" t="n">
        <x:f>YEAR(B3578)</x:f>
        <x:v>2024</x:v>
      </x:c>
      <x:c r="F3578" s="29" t="n">
        <x:f>MONTH(B3578)</x:f>
        <x:v>4</x:v>
      </x:c>
      <x:c r="G3578" s="30" t="n">
        <x:v>-33.77</x:v>
      </x:c>
      <x:c r="H3578" s="30" t="n">
        <x:v>-70.26</x:v>
      </x:c>
      <x:c r="I3578" s="29" t="n">
        <x:v>116</x:v>
      </x:c>
      <x:c r="J3578" s="31" t="n">
        <x:v>4.7</x:v>
      </x:c>
      <x:c r="K3578" s="25" t="str">
        <x:f>IF(J3578&gt;=7,"Muy fuerte (&gt;=7)",IF(J3578&gt;=6,"Fuerte (6-6.9)",IF(J3578&gt;=5,"Moderado alto (5-5.9)",IF(J3578&gt;=4,"Moderado (4-4.9)","Menor a 4"))))</x:f>
        <x:v>Moderado (4-4.9)</x:v>
      </x:c>
      <x:c r="L3578" s="25" t="str">
        <x:f>IF(I3578&lt;70,"Superficial (&lt;70 km)",IF(I3578&lt;=300,"Intermedio (70-300 km)","Profundo (&gt;300 km)"))</x:f>
        <x:v>Intermedio (70-300 km)</x:v>
      </x:c>
      <x:c r="M3578" s="25" t="str">
        <x:f>IF(J3578&gt;=5,"Sí","No")</x:f>
        <x:v>No</x:v>
      </x:c>
      <x:c r="N3578" s="25" t="str">
        <x:f>IF(J3578&gt;=6,"Sí","No")</x:f>
        <x:v>No</x:v>
      </x:c>
      <x:c r="O3578" s="25" t="str">
        <x:v>Pendiente: asignar con R/sf</x:v>
      </x:c>
    </x:row>
    <x:row r="3579">
      <x:c r="A3579" s="25" t="n">
        <x:v>3578</x:v>
      </x:c>
      <x:c r="B3579" s="26" t="n">
        <x:v>45417.230462962965</x:v>
      </x:c>
      <x:c r="C3579" s="27" t="n">
        <x:f>INT(B3579)</x:f>
        <x:v>45417</x:v>
      </x:c>
      <x:c r="D3579" s="28" t="n">
        <x:f>MOD(B3579,1)</x:f>
        <x:v>0.23046296296524815</x:v>
      </x:c>
      <x:c r="E3579" s="29" t="n">
        <x:f>YEAR(B3579)</x:f>
        <x:v>2024</x:v>
      </x:c>
      <x:c r="F3579" s="29" t="n">
        <x:f>MONTH(B3579)</x:f>
        <x:v>5</x:v>
      </x:c>
      <x:c r="G3579" s="30" t="n">
        <x:v>-33.68</x:v>
      </x:c>
      <x:c r="H3579" s="30" t="n">
        <x:v>-70.82</x:v>
      </x:c>
      <x:c r="I3579" s="29" t="n">
        <x:v>71</x:v>
      </x:c>
      <x:c r="J3579" s="31" t="n">
        <x:v>3.9</x:v>
      </x:c>
      <x:c r="K3579" s="25" t="str">
        <x:f>IF(J3579&gt;=7,"Muy fuerte (&gt;=7)",IF(J3579&gt;=6,"Fuerte (6-6.9)",IF(J3579&gt;=5,"Moderado alto (5-5.9)",IF(J3579&gt;=4,"Moderado (4-4.9)","Menor a 4"))))</x:f>
        <x:v>Menor a 4</x:v>
      </x:c>
      <x:c r="L3579" s="25" t="str">
        <x:f>IF(I3579&lt;70,"Superficial (&lt;70 km)",IF(I3579&lt;=300,"Intermedio (70-300 km)","Profundo (&gt;300 km)"))</x:f>
        <x:v>Intermedio (70-300 km)</x:v>
      </x:c>
      <x:c r="M3579" s="25" t="str">
        <x:f>IF(J3579&gt;=5,"Sí","No")</x:f>
        <x:v>No</x:v>
      </x:c>
      <x:c r="N3579" s="25" t="str">
        <x:f>IF(J3579&gt;=6,"Sí","No")</x:f>
        <x:v>No</x:v>
      </x:c>
      <x:c r="O3579" s="25" t="str">
        <x:v>Pendiente: asignar con R/sf</x:v>
      </x:c>
    </x:row>
    <x:row r="3580">
      <x:c r="A3580" s="25" t="n">
        <x:v>3579</x:v>
      </x:c>
      <x:c r="B3580" s="26" t="n">
        <x:v>45043.5125462963</x:v>
      </x:c>
      <x:c r="C3580" s="27" t="n">
        <x:f>INT(B3580)</x:f>
        <x:v>45043</x:v>
      </x:c>
      <x:c r="D3580" s="28" t="n">
        <x:f>MOD(B3580,1)</x:f>
        <x:v>0.5125462962969323</x:v>
      </x:c>
      <x:c r="E3580" s="29" t="n">
        <x:f>YEAR(B3580)</x:f>
        <x:v>2023</x:v>
      </x:c>
      <x:c r="F3580" s="29" t="n">
        <x:f>MONTH(B3580)</x:f>
        <x:v>4</x:v>
      </x:c>
      <x:c r="G3580" s="30" t="n">
        <x:v>-37.14</x:v>
      </x:c>
      <x:c r="H3580" s="30" t="n">
        <x:v>-72.35</x:v>
      </x:c>
      <x:c r="I3580" s="29" t="n">
        <x:v>83</x:v>
      </x:c>
      <x:c r="J3580" s="31" t="n">
        <x:v>3.9</x:v>
      </x:c>
      <x:c r="K3580" s="25" t="str">
        <x:f>IF(J3580&gt;=7,"Muy fuerte (&gt;=7)",IF(J3580&gt;=6,"Fuerte (6-6.9)",IF(J3580&gt;=5,"Moderado alto (5-5.9)",IF(J3580&gt;=4,"Moderado (4-4.9)","Menor a 4"))))</x:f>
        <x:v>Menor a 4</x:v>
      </x:c>
      <x:c r="L3580" s="25" t="str">
        <x:f>IF(I3580&lt;70,"Superficial (&lt;70 km)",IF(I3580&lt;=300,"Intermedio (70-300 km)","Profundo (&gt;300 km)"))</x:f>
        <x:v>Intermedio (70-300 km)</x:v>
      </x:c>
      <x:c r="M3580" s="25" t="str">
        <x:f>IF(J3580&gt;=5,"Sí","No")</x:f>
        <x:v>No</x:v>
      </x:c>
      <x:c r="N3580" s="25" t="str">
        <x:f>IF(J3580&gt;=6,"Sí","No")</x:f>
        <x:v>No</x:v>
      </x:c>
      <x:c r="O3580" s="25" t="str">
        <x:v>Pendiente: asignar con R/sf</x:v>
      </x:c>
    </x:row>
    <x:row r="3581">
      <x:c r="A3581" s="25" t="n">
        <x:v>3580</x:v>
      </x:c>
      <x:c r="B3581" s="26" t="n">
        <x:v>45220.25085648148</x:v>
      </x:c>
      <x:c r="C3581" s="27" t="n">
        <x:f>INT(B3581)</x:f>
        <x:v>45220</x:v>
      </x:c>
      <x:c r="D3581" s="28" t="n">
        <x:f>MOD(B3581,1)</x:f>
        <x:v>0.25085648147796746</x:v>
      </x:c>
      <x:c r="E3581" s="29" t="n">
        <x:f>YEAR(B3581)</x:f>
        <x:v>2023</x:v>
      </x:c>
      <x:c r="F3581" s="29" t="n">
        <x:f>MONTH(B3581)</x:f>
        <x:v>10</x:v>
      </x:c>
      <x:c r="G3581" s="30" t="n">
        <x:v>-36.91</x:v>
      </x:c>
      <x:c r="H3581" s="30" t="n">
        <x:v>-72.83</x:v>
      </x:c>
      <x:c r="I3581" s="29" t="n">
        <x:v>41</x:v>
      </x:c>
      <x:c r="J3581" s="31" t="n">
        <x:v>4.1</x:v>
      </x:c>
      <x:c r="K3581" s="25" t="str">
        <x:f>IF(J3581&gt;=7,"Muy fuerte (&gt;=7)",IF(J3581&gt;=6,"Fuerte (6-6.9)",IF(J3581&gt;=5,"Moderado alto (5-5.9)",IF(J3581&gt;=4,"Moderado (4-4.9)","Menor a 4"))))</x:f>
        <x:v>Moderado (4-4.9)</x:v>
      </x:c>
      <x:c r="L3581" s="25" t="str">
        <x:f>IF(I3581&lt;70,"Superficial (&lt;70 km)",IF(I3581&lt;=300,"Intermedio (70-300 km)","Profundo (&gt;300 km)"))</x:f>
        <x:v>Superficial (&lt;70 km)</x:v>
      </x:c>
      <x:c r="M3581" s="25" t="str">
        <x:f>IF(J3581&gt;=5,"Sí","No")</x:f>
        <x:v>No</x:v>
      </x:c>
      <x:c r="N3581" s="25" t="str">
        <x:f>IF(J3581&gt;=6,"Sí","No")</x:f>
        <x:v>No</x:v>
      </x:c>
      <x:c r="O3581" s="25" t="str">
        <x:v>Pendiente: asignar con R/sf</x:v>
      </x:c>
    </x:row>
    <x:row r="3582">
      <x:c r="A3582" s="25" t="n">
        <x:v>3581</x:v>
      </x:c>
      <x:c r="B3582" s="26" t="n">
        <x:v>45409.957604166666</x:v>
      </x:c>
      <x:c r="C3582" s="27" t="n">
        <x:f>INT(B3582)</x:f>
        <x:v>45409</x:v>
      </x:c>
      <x:c r="D3582" s="28" t="n">
        <x:f>MOD(B3582,1)</x:f>
        <x:v>0.9576041666659876</x:v>
      </x:c>
      <x:c r="E3582" s="29" t="n">
        <x:f>YEAR(B3582)</x:f>
        <x:v>2024</x:v>
      </x:c>
      <x:c r="F3582" s="29" t="n">
        <x:f>MONTH(B3582)</x:f>
        <x:v>4</x:v>
      </x:c>
      <x:c r="G3582" s="30" t="n">
        <x:v>-37.34</x:v>
      </x:c>
      <x:c r="H3582" s="30" t="n">
        <x:v>-72.07</x:v>
      </x:c>
      <x:c r="I3582" s="29" t="n">
        <x:v>79</x:v>
      </x:c>
      <x:c r="J3582" s="31" t="n">
        <x:v>3.6</x:v>
      </x:c>
      <x:c r="K3582" s="25" t="str">
        <x:f>IF(J3582&gt;=7,"Muy fuerte (&gt;=7)",IF(J3582&gt;=6,"Fuerte (6-6.9)",IF(J3582&gt;=5,"Moderado alto (5-5.9)",IF(J3582&gt;=4,"Moderado (4-4.9)","Menor a 4"))))</x:f>
        <x:v>Menor a 4</x:v>
      </x:c>
      <x:c r="L3582" s="25" t="str">
        <x:f>IF(I3582&lt;70,"Superficial (&lt;70 km)",IF(I3582&lt;=300,"Intermedio (70-300 km)","Profundo (&gt;300 km)"))</x:f>
        <x:v>Intermedio (70-300 km)</x:v>
      </x:c>
      <x:c r="M3582" s="25" t="str">
        <x:f>IF(J3582&gt;=5,"Sí","No")</x:f>
        <x:v>No</x:v>
      </x:c>
      <x:c r="N3582" s="25" t="str">
        <x:f>IF(J3582&gt;=6,"Sí","No")</x:f>
        <x:v>No</x:v>
      </x:c>
      <x:c r="O3582" s="25" t="str">
        <x:v>Pendiente: asignar con R/sf</x:v>
      </x:c>
    </x:row>
    <x:row r="3583">
      <x:c r="A3583" s="25" t="n">
        <x:v>3582</x:v>
      </x:c>
      <x:c r="B3583" s="26" t="n">
        <x:v>45575.16747685185</x:v>
      </x:c>
      <x:c r="C3583" s="27" t="n">
        <x:f>INT(B3583)</x:f>
        <x:v>45575</x:v>
      </x:c>
      <x:c r="D3583" s="28" t="n">
        <x:f>MOD(B3583,1)</x:f>
        <x:v>0.16747685184964212</x:v>
      </x:c>
      <x:c r="E3583" s="29" t="n">
        <x:f>YEAR(B3583)</x:f>
        <x:v>2024</x:v>
      </x:c>
      <x:c r="F3583" s="29" t="n">
        <x:f>MONTH(B3583)</x:f>
        <x:v>10</x:v>
      </x:c>
      <x:c r="G3583" s="30" t="n">
        <x:v>-37.01</x:v>
      </x:c>
      <x:c r="H3583" s="30" t="n">
        <x:v>-72.64</x:v>
      </x:c>
      <x:c r="I3583" s="29" t="n">
        <x:v>15</x:v>
      </x:c>
      <x:c r="J3583" s="31" t="n">
        <x:v>3.4</x:v>
      </x:c>
      <x:c r="K3583" s="25" t="str">
        <x:f>IF(J3583&gt;=7,"Muy fuerte (&gt;=7)",IF(J3583&gt;=6,"Fuerte (6-6.9)",IF(J3583&gt;=5,"Moderado alto (5-5.9)",IF(J3583&gt;=4,"Moderado (4-4.9)","Menor a 4"))))</x:f>
        <x:v>Menor a 4</x:v>
      </x:c>
      <x:c r="L3583" s="25" t="str">
        <x:f>IF(I3583&lt;70,"Superficial (&lt;70 km)",IF(I3583&lt;=300,"Intermedio (70-300 km)","Profundo (&gt;300 km)"))</x:f>
        <x:v>Superficial (&lt;70 km)</x:v>
      </x:c>
      <x:c r="M3583" s="25" t="str">
        <x:f>IF(J3583&gt;=5,"Sí","No")</x:f>
        <x:v>No</x:v>
      </x:c>
      <x:c r="N3583" s="25" t="str">
        <x:f>IF(J3583&gt;=6,"Sí","No")</x:f>
        <x:v>No</x:v>
      </x:c>
      <x:c r="O3583" s="25" t="str">
        <x:v>Pendiente: asignar con R/sf</x:v>
      </x:c>
    </x:row>
    <x:row r="3584">
      <x:c r="A3584" s="25" t="n">
        <x:v>3583</x:v>
      </x:c>
      <x:c r="B3584" s="26" t="n">
        <x:v>45277.70155092593</x:v>
      </x:c>
      <x:c r="C3584" s="27" t="n">
        <x:f>INT(B3584)</x:f>
        <x:v>45277</x:v>
      </x:c>
      <x:c r="D3584" s="28" t="n">
        <x:f>MOD(B3584,1)</x:f>
        <x:v>0.7015509259290411</x:v>
      </x:c>
      <x:c r="E3584" s="29" t="n">
        <x:f>YEAR(B3584)</x:f>
        <x:v>2023</x:v>
      </x:c>
      <x:c r="F3584" s="29" t="n">
        <x:f>MONTH(B3584)</x:f>
        <x:v>12</x:v>
      </x:c>
      <x:c r="G3584" s="30" t="n">
        <x:v>-51.67</x:v>
      </x:c>
      <x:c r="H3584" s="30" t="n">
        <x:v>-72.4</x:v>
      </x:c>
      <x:c r="I3584" s="29" t="n">
        <x:v>40</x:v>
      </x:c>
      <x:c r="J3584" s="31" t="n">
        <x:v>3.8</x:v>
      </x:c>
      <x:c r="K3584" s="25" t="str">
        <x:f>IF(J3584&gt;=7,"Muy fuerte (&gt;=7)",IF(J3584&gt;=6,"Fuerte (6-6.9)",IF(J3584&gt;=5,"Moderado alto (5-5.9)",IF(J3584&gt;=4,"Moderado (4-4.9)","Menor a 4"))))</x:f>
        <x:v>Menor a 4</x:v>
      </x:c>
      <x:c r="L3584" s="25" t="str">
        <x:f>IF(I3584&lt;70,"Superficial (&lt;70 km)",IF(I3584&lt;=300,"Intermedio (70-300 km)","Profundo (&gt;300 km)"))</x:f>
        <x:v>Superficial (&lt;70 km)</x:v>
      </x:c>
      <x:c r="M3584" s="25" t="str">
        <x:f>IF(J3584&gt;=5,"Sí","No")</x:f>
        <x:v>No</x:v>
      </x:c>
      <x:c r="N3584" s="25" t="str">
        <x:f>IF(J3584&gt;=6,"Sí","No")</x:f>
        <x:v>No</x:v>
      </x:c>
      <x:c r="O3584" s="25" t="str">
        <x:v>Pendiente: asignar con R/sf</x:v>
      </x:c>
    </x:row>
    <x:row r="3585">
      <x:c r="A3585" s="25" t="n">
        <x:v>3584</x:v>
      </x:c>
      <x:c r="B3585" s="26" t="n">
        <x:v>45207.268530092595</x:v>
      </x:c>
      <x:c r="C3585" s="27" t="n">
        <x:f>INT(B3585)</x:f>
        <x:v>45207</x:v>
      </x:c>
      <x:c r="D3585" s="28" t="n">
        <x:f>MOD(B3585,1)</x:f>
        <x:v>0.2685300925950287</x:v>
      </x:c>
      <x:c r="E3585" s="29" t="n">
        <x:f>YEAR(B3585)</x:f>
        <x:v>2023</x:v>
      </x:c>
      <x:c r="F3585" s="29" t="n">
        <x:f>MONTH(B3585)</x:f>
        <x:v>10</x:v>
      </x:c>
      <x:c r="G3585" s="30" t="n">
        <x:v>-36.95</x:v>
      </x:c>
      <x:c r="H3585" s="30" t="n">
        <x:v>-72.78</x:v>
      </x:c>
      <x:c r="I3585" s="29" t="n">
        <x:v>35</x:v>
      </x:c>
      <x:c r="J3585" s="31" t="n">
        <x:v>3</x:v>
      </x:c>
      <x:c r="K3585" s="25" t="str">
        <x:f>IF(J3585&gt;=7,"Muy fuerte (&gt;=7)",IF(J3585&gt;=6,"Fuerte (6-6.9)",IF(J3585&gt;=5,"Moderado alto (5-5.9)",IF(J3585&gt;=4,"Moderado (4-4.9)","Menor a 4"))))</x:f>
        <x:v>Menor a 4</x:v>
      </x:c>
      <x:c r="L3585" s="25" t="str">
        <x:f>IF(I3585&lt;70,"Superficial (&lt;70 km)",IF(I3585&lt;=300,"Intermedio (70-300 km)","Profundo (&gt;300 km)"))</x:f>
        <x:v>Superficial (&lt;70 km)</x:v>
      </x:c>
      <x:c r="M3585" s="25" t="str">
        <x:f>IF(J3585&gt;=5,"Sí","No")</x:f>
        <x:v>No</x:v>
      </x:c>
      <x:c r="N3585" s="25" t="str">
        <x:f>IF(J3585&gt;=6,"Sí","No")</x:f>
        <x:v>No</x:v>
      </x:c>
      <x:c r="O3585" s="25" t="str">
        <x:v>Pendiente: asignar con R/sf</x:v>
      </x:c>
    </x:row>
    <x:row r="3586">
      <x:c r="A3586" s="25" t="n">
        <x:v>3585</x:v>
      </x:c>
      <x:c r="B3586" s="26" t="n">
        <x:v>46035.311377314814</x:v>
      </x:c>
      <x:c r="C3586" s="27" t="n">
        <x:f>INT(B3586)</x:f>
        <x:v>46035</x:v>
      </x:c>
      <x:c r="D3586" s="28" t="n">
        <x:f>MOD(B3586,1)</x:f>
        <x:v>0.3113773148143082</x:v>
      </x:c>
      <x:c r="E3586" s="29" t="n">
        <x:f>YEAR(B3586)</x:f>
        <x:v>2026</x:v>
      </x:c>
      <x:c r="F3586" s="29" t="n">
        <x:f>MONTH(B3586)</x:f>
        <x:v>1</x:v>
      </x:c>
      <x:c r="G3586" s="30" t="n">
        <x:v>-21.34</x:v>
      </x:c>
      <x:c r="H3586" s="30" t="n">
        <x:v>-68.92</x:v>
      </x:c>
      <x:c r="I3586" s="29" t="n">
        <x:v>114</x:v>
      </x:c>
      <x:c r="J3586" s="31" t="n">
        <x:v>5.1</x:v>
      </x:c>
      <x:c r="K3586" s="25" t="str">
        <x:f>IF(J3586&gt;=7,"Muy fuerte (&gt;=7)",IF(J3586&gt;=6,"Fuerte (6-6.9)",IF(J3586&gt;=5,"Moderado alto (5-5.9)",IF(J3586&gt;=4,"Moderado (4-4.9)","Menor a 4"))))</x:f>
        <x:v>Moderado alto (5-5.9)</x:v>
      </x:c>
      <x:c r="L3586" s="25" t="str">
        <x:f>IF(I3586&lt;70,"Superficial (&lt;70 km)",IF(I3586&lt;=300,"Intermedio (70-300 km)","Profundo (&gt;300 km)"))</x:f>
        <x:v>Intermedio (70-300 km)</x:v>
      </x:c>
      <x:c r="M3586" s="25" t="str">
        <x:f>IF(J3586&gt;=5,"Sí","No")</x:f>
        <x:v>Sí</x:v>
      </x:c>
      <x:c r="N3586" s="25" t="str">
        <x:f>IF(J3586&gt;=6,"Sí","No")</x:f>
        <x:v>No</x:v>
      </x:c>
      <x:c r="O3586" s="25" t="str">
        <x:v>Pendiente: asignar con R/sf</x:v>
      </x:c>
    </x:row>
    <x:row r="3587">
      <x:c r="A3587" s="25" t="n">
        <x:v>3586</x:v>
      </x:c>
      <x:c r="B3587" s="26" t="n">
        <x:v>46057.334641203706</x:v>
      </x:c>
      <x:c r="C3587" s="27" t="n">
        <x:f>INT(B3587)</x:f>
        <x:v>46057</x:v>
      </x:c>
      <x:c r="D3587" s="28" t="n">
        <x:f>MOD(B3587,1)</x:f>
        <x:v>0.33464120370626915</x:v>
      </x:c>
      <x:c r="E3587" s="29" t="n">
        <x:f>YEAR(B3587)</x:f>
        <x:v>2026</x:v>
      </x:c>
      <x:c r="F3587" s="29" t="n">
        <x:f>MONTH(B3587)</x:f>
        <x:v>2</x:v>
      </x:c>
      <x:c r="G3587" s="30" t="n">
        <x:v>-22.06</x:v>
      </x:c>
      <x:c r="H3587" s="30" t="n">
        <x:v>-68.95</x:v>
      </x:c>
      <x:c r="I3587" s="29" t="n">
        <x:v>103</x:v>
      </x:c>
      <x:c r="J3587" s="31" t="n">
        <x:v>5</x:v>
      </x:c>
      <x:c r="K3587" s="25" t="str">
        <x:f>IF(J3587&gt;=7,"Muy fuerte (&gt;=7)",IF(J3587&gt;=6,"Fuerte (6-6.9)",IF(J3587&gt;=5,"Moderado alto (5-5.9)",IF(J3587&gt;=4,"Moderado (4-4.9)","Menor a 4"))))</x:f>
        <x:v>Moderado alto (5-5.9)</x:v>
      </x:c>
      <x:c r="L3587" s="25" t="str">
        <x:f>IF(I3587&lt;70,"Superficial (&lt;70 km)",IF(I3587&lt;=300,"Intermedio (70-300 km)","Profundo (&gt;300 km)"))</x:f>
        <x:v>Intermedio (70-300 km)</x:v>
      </x:c>
      <x:c r="M3587" s="25" t="str">
        <x:f>IF(J3587&gt;=5,"Sí","No")</x:f>
        <x:v>Sí</x:v>
      </x:c>
      <x:c r="N3587" s="25" t="str">
        <x:f>IF(J3587&gt;=6,"Sí","No")</x:f>
        <x:v>No</x:v>
      </x:c>
      <x:c r="O3587" s="25" t="str">
        <x:v>Pendiente: asignar con R/sf</x:v>
      </x:c>
    </x:row>
    <x:row r="3588">
      <x:c r="A3588" s="25" t="n">
        <x:v>3587</x:v>
      </x:c>
      <x:c r="B3588" s="26" t="n">
        <x:v>46061.68329861111</x:v>
      </x:c>
      <x:c r="C3588" s="27" t="n">
        <x:f>INT(B3588)</x:f>
        <x:v>46061</x:v>
      </x:c>
      <x:c r="D3588" s="28" t="n">
        <x:f>MOD(B3588,1)</x:f>
        <x:v>0.6832986111112405</x:v>
      </x:c>
      <x:c r="E3588" s="29" t="n">
        <x:f>YEAR(B3588)</x:f>
        <x:v>2026</x:v>
      </x:c>
      <x:c r="F3588" s="29" t="n">
        <x:f>MONTH(B3588)</x:f>
        <x:v>2</x:v>
      </x:c>
      <x:c r="G3588" s="30" t="n">
        <x:v>-20.11</x:v>
      </x:c>
      <x:c r="H3588" s="30" t="n">
        <x:v>-68.97</x:v>
      </x:c>
      <x:c r="I3588" s="29" t="n">
        <x:v>121</x:v>
      </x:c>
      <x:c r="J3588" s="31" t="n">
        <x:v>5.8</x:v>
      </x:c>
      <x:c r="K3588" s="25" t="str">
        <x:f>IF(J3588&gt;=7,"Muy fuerte (&gt;=7)",IF(J3588&gt;=6,"Fuerte (6-6.9)",IF(J3588&gt;=5,"Moderado alto (5-5.9)",IF(J3588&gt;=4,"Moderado (4-4.9)","Menor a 4"))))</x:f>
        <x:v>Moderado alto (5-5.9)</x:v>
      </x:c>
      <x:c r="L3588" s="25" t="str">
        <x:f>IF(I3588&lt;70,"Superficial (&lt;70 km)",IF(I3588&lt;=300,"Intermedio (70-300 km)","Profundo (&gt;300 km)"))</x:f>
        <x:v>Intermedio (70-300 km)</x:v>
      </x:c>
      <x:c r="M3588" s="25" t="str">
        <x:f>IF(J3588&gt;=5,"Sí","No")</x:f>
        <x:v>Sí</x:v>
      </x:c>
      <x:c r="N3588" s="25" t="str">
        <x:f>IF(J3588&gt;=6,"Sí","No")</x:f>
        <x:v>No</x:v>
      </x:c>
      <x:c r="O3588" s="25" t="str">
        <x:v>Pendiente: asignar con R/sf</x:v>
      </x:c>
    </x:row>
    <x:row r="3589">
      <x:c r="A3589" s="25" t="n">
        <x:v>3588</x:v>
      </x:c>
      <x:c r="B3589" s="26" t="n">
        <x:v>46065.565625</x:v>
      </x:c>
      <x:c r="C3589" s="27" t="n">
        <x:f>INT(B3589)</x:f>
        <x:v>46065</x:v>
      </x:c>
      <x:c r="D3589" s="28" t="n">
        <x:f>MOD(B3589,1)</x:f>
        <x:v>0.5656250000029104</x:v>
      </x:c>
      <x:c r="E3589" s="29" t="n">
        <x:f>YEAR(B3589)</x:f>
        <x:v>2026</x:v>
      </x:c>
      <x:c r="F3589" s="29" t="n">
        <x:f>MONTH(B3589)</x:f>
        <x:v>2</x:v>
      </x:c>
      <x:c r="G3589" s="30" t="n">
        <x:v>-30.82</x:v>
      </x:c>
      <x:c r="H3589" s="30" t="n">
        <x:v>-71.39</x:v>
      </x:c>
      <x:c r="I3589" s="29" t="n">
        <x:v>54</x:v>
      </x:c>
      <x:c r="J3589" s="31" t="n">
        <x:v>6.1</x:v>
      </x:c>
      <x:c r="K3589" s="25" t="str">
        <x:f>IF(J3589&gt;=7,"Muy fuerte (&gt;=7)",IF(J3589&gt;=6,"Fuerte (6-6.9)",IF(J3589&gt;=5,"Moderado alto (5-5.9)",IF(J3589&gt;=4,"Moderado (4-4.9)","Menor a 4"))))</x:f>
        <x:v>Fuerte (6-6.9)</x:v>
      </x:c>
      <x:c r="L3589" s="25" t="str">
        <x:f>IF(I3589&lt;70,"Superficial (&lt;70 km)",IF(I3589&lt;=300,"Intermedio (70-300 km)","Profundo (&gt;300 km)"))</x:f>
        <x:v>Superficial (&lt;70 km)</x:v>
      </x:c>
      <x:c r="M3589" s="25" t="str">
        <x:f>IF(J3589&gt;=5,"Sí","No")</x:f>
        <x:v>Sí</x:v>
      </x:c>
      <x:c r="N3589" s="25" t="str">
        <x:f>IF(J3589&gt;=6,"Sí","No")</x:f>
        <x:v>Sí</x:v>
      </x:c>
      <x:c r="O3589" s="25" t="str">
        <x:v>Pendiente: asignar con R/sf</x:v>
      </x:c>
    </x:row>
    <x:row r="3590">
      <x:c r="A3590" s="25" t="n">
        <x:v>3589</x:v>
      </x:c>
      <x:c r="B3590" s="26" t="n">
        <x:v>46069.89233796296</x:v>
      </x:c>
      <x:c r="C3590" s="27" t="n">
        <x:f>INT(B3590)</x:f>
        <x:v>46069</x:v>
      </x:c>
      <x:c r="D3590" s="28" t="n">
        <x:f>MOD(B3590,1)</x:f>
        <x:v>0.8923379629632109</x:v>
      </x:c>
      <x:c r="E3590" s="29" t="n">
        <x:f>YEAR(B3590)</x:f>
        <x:v>2026</x:v>
      </x:c>
      <x:c r="F3590" s="29" t="n">
        <x:f>MONTH(B3590)</x:f>
        <x:v>2</x:v>
      </x:c>
      <x:c r="G3590" s="30" t="n">
        <x:v>-22.22</x:v>
      </x:c>
      <x:c r="H3590" s="30" t="n">
        <x:v>-69.03</x:v>
      </x:c>
      <x:c r="I3590" s="29" t="n">
        <x:v>105</x:v>
      </x:c>
      <x:c r="J3590" s="31" t="n">
        <x:v>5.2</x:v>
      </x:c>
      <x:c r="K3590" s="25" t="str">
        <x:f>IF(J3590&gt;=7,"Muy fuerte (&gt;=7)",IF(J3590&gt;=6,"Fuerte (6-6.9)",IF(J3590&gt;=5,"Moderado alto (5-5.9)",IF(J3590&gt;=4,"Moderado (4-4.9)","Menor a 4"))))</x:f>
        <x:v>Moderado alto (5-5.9)</x:v>
      </x:c>
      <x:c r="L3590" s="25" t="str">
        <x:f>IF(I3590&lt;70,"Superficial (&lt;70 km)",IF(I3590&lt;=300,"Intermedio (70-300 km)","Profundo (&gt;300 km)"))</x:f>
        <x:v>Intermedio (70-300 km)</x:v>
      </x:c>
      <x:c r="M3590" s="25" t="str">
        <x:f>IF(J3590&gt;=5,"Sí","No")</x:f>
        <x:v>Sí</x:v>
      </x:c>
      <x:c r="N3590" s="25" t="str">
        <x:f>IF(J3590&gt;=6,"Sí","No")</x:f>
        <x:v>No</x:v>
      </x:c>
      <x:c r="O3590" s="25" t="str">
        <x:v>Pendiente: asignar con R/sf</x:v>
      </x:c>
    </x:row>
    <x:row r="3591">
      <x:c r="A3591" s="25" t="n">
        <x:v>3590</x:v>
      </x:c>
      <x:c r="B3591" s="26" t="n">
        <x:v>45865.442407407405</x:v>
      </x:c>
      <x:c r="C3591" s="27" t="n">
        <x:f>INT(B3591)</x:f>
        <x:v>45865</x:v>
      </x:c>
      <x:c r="D3591" s="28" t="n">
        <x:f>MOD(B3591,1)</x:f>
        <x:v>0.4424074074049713</x:v>
      </x:c>
      <x:c r="E3591" s="29" t="n">
        <x:f>YEAR(B3591)</x:f>
        <x:v>2025</x:v>
      </x:c>
      <x:c r="F3591" s="29" t="n">
        <x:f>MONTH(B3591)</x:f>
        <x:v>7</x:v>
      </x:c>
      <x:c r="G3591" s="30" t="n">
        <x:v>-29.31</x:v>
      </x:c>
      <x:c r="H3591" s="30" t="n">
        <x:v>-71.82</x:v>
      </x:c>
      <x:c r="I3591" s="29" t="n">
        <x:v>44</x:v>
      </x:c>
      <x:c r="J3591" s="31" t="n">
        <x:v>4.8</x:v>
      </x:c>
      <x:c r="K3591" s="25" t="str">
        <x:f>IF(J3591&gt;=7,"Muy fuerte (&gt;=7)",IF(J3591&gt;=6,"Fuerte (6-6.9)",IF(J3591&gt;=5,"Moderado alto (5-5.9)",IF(J3591&gt;=4,"Moderado (4-4.9)","Menor a 4"))))</x:f>
        <x:v>Moderado (4-4.9)</x:v>
      </x:c>
      <x:c r="L3591" s="25" t="str">
        <x:f>IF(I3591&lt;70,"Superficial (&lt;70 km)",IF(I3591&lt;=300,"Intermedio (70-300 km)","Profundo (&gt;300 km)"))</x:f>
        <x:v>Superficial (&lt;70 km)</x:v>
      </x:c>
      <x:c r="M3591" s="25" t="str">
        <x:f>IF(J3591&gt;=5,"Sí","No")</x:f>
        <x:v>No</x:v>
      </x:c>
      <x:c r="N3591" s="25" t="str">
        <x:f>IF(J3591&gt;=6,"Sí","No")</x:f>
        <x:v>No</x:v>
      </x:c>
      <x:c r="O3591" s="25" t="str">
        <x:v>Pendiente: asignar con R/sf</x:v>
      </x:c>
    </x:row>
    <x:row r="3592">
      <x:c r="A3592" s="25" t="n">
        <x:v>3591</x:v>
      </x:c>
      <x:c r="B3592" s="26" t="n">
        <x:v>45685.68771990741</x:v>
      </x:c>
      <x:c r="C3592" s="27" t="n">
        <x:f>INT(B3592)</x:f>
        <x:v>45685</x:v>
      </x:c>
      <x:c r="D3592" s="28" t="n">
        <x:f>MOD(B3592,1)</x:f>
        <x:v>0.6877199074078817</x:v>
      </x:c>
      <x:c r="E3592" s="29" t="n">
        <x:f>YEAR(B3592)</x:f>
        <x:v>2025</x:v>
      </x:c>
      <x:c r="F3592" s="29" t="n">
        <x:f>MONTH(B3592)</x:f>
        <x:v>1</x:v>
      </x:c>
      <x:c r="G3592" s="30" t="n">
        <x:v>-30.47</x:v>
      </x:c>
      <x:c r="H3592" s="30" t="n">
        <x:v>-71.61</x:v>
      </x:c>
      <x:c r="I3592" s="29" t="n">
        <x:v>20</x:v>
      </x:c>
      <x:c r="J3592" s="31" t="n">
        <x:v>3.8</x:v>
      </x:c>
      <x:c r="K3592" s="25" t="str">
        <x:f>IF(J3592&gt;=7,"Muy fuerte (&gt;=7)",IF(J3592&gt;=6,"Fuerte (6-6.9)",IF(J3592&gt;=5,"Moderado alto (5-5.9)",IF(J3592&gt;=4,"Moderado (4-4.9)","Menor a 4"))))</x:f>
        <x:v>Menor a 4</x:v>
      </x:c>
      <x:c r="L3592" s="25" t="str">
        <x:f>IF(I3592&lt;70,"Superficial (&lt;70 km)",IF(I3592&lt;=300,"Intermedio (70-300 km)","Profundo (&gt;300 km)"))</x:f>
        <x:v>Superficial (&lt;70 km)</x:v>
      </x:c>
      <x:c r="M3592" s="25" t="str">
        <x:f>IF(J3592&gt;=5,"Sí","No")</x:f>
        <x:v>No</x:v>
      </x:c>
      <x:c r="N3592" s="25" t="str">
        <x:f>IF(J3592&gt;=6,"Sí","No")</x:f>
        <x:v>No</x:v>
      </x:c>
      <x:c r="O3592" s="25" t="str">
        <x:v>Pendiente: asignar con R/sf</x:v>
      </x:c>
    </x:row>
    <x:row r="3593">
      <x:c r="A3593" s="25" t="n">
        <x:v>3592</x:v>
      </x:c>
      <x:c r="B3593" s="26" t="n">
        <x:v>45871.20291666667</x:v>
      </x:c>
      <x:c r="C3593" s="27" t="n">
        <x:f>INT(B3593)</x:f>
        <x:v>45871</x:v>
      </x:c>
      <x:c r="D3593" s="28" t="n">
        <x:f>MOD(B3593,1)</x:f>
        <x:v>0.20291666666889796</x:v>
      </x:c>
      <x:c r="E3593" s="29" t="n">
        <x:f>YEAR(B3593)</x:f>
        <x:v>2025</x:v>
      </x:c>
      <x:c r="F3593" s="29" t="n">
        <x:f>MONTH(B3593)</x:f>
        <x:v>8</x:v>
      </x:c>
      <x:c r="G3593" s="30" t="n">
        <x:v>-29.86</x:v>
      </x:c>
      <x:c r="H3593" s="30" t="n">
        <x:v>-71.47</x:v>
      </x:c>
      <x:c r="I3593" s="29" t="n">
        <x:v>65</x:v>
      </x:c>
      <x:c r="J3593" s="31" t="n">
        <x:v>4.4</x:v>
      </x:c>
      <x:c r="K3593" s="25" t="str">
        <x:f>IF(J3593&gt;=7,"Muy fuerte (&gt;=7)",IF(J3593&gt;=6,"Fuerte (6-6.9)",IF(J3593&gt;=5,"Moderado alto (5-5.9)",IF(J3593&gt;=4,"Moderado (4-4.9)","Menor a 4"))))</x:f>
        <x:v>Moderado (4-4.9)</x:v>
      </x:c>
      <x:c r="L3593" s="25" t="str">
        <x:f>IF(I3593&lt;70,"Superficial (&lt;70 km)",IF(I3593&lt;=300,"Intermedio (70-300 km)","Profundo (&gt;300 km)"))</x:f>
        <x:v>Superficial (&lt;70 km)</x:v>
      </x:c>
      <x:c r="M3593" s="25" t="str">
        <x:f>IF(J3593&gt;=5,"Sí","No")</x:f>
        <x:v>No</x:v>
      </x:c>
      <x:c r="N3593" s="25" t="str">
        <x:f>IF(J3593&gt;=6,"Sí","No")</x:f>
        <x:v>No</x:v>
      </x:c>
      <x:c r="O3593" s="25" t="str">
        <x:v>Pendiente: asignar con R/sf</x:v>
      </x:c>
    </x:row>
    <x:row r="3594">
      <x:c r="A3594" s="25" t="n">
        <x:v>3593</x:v>
      </x:c>
      <x:c r="B3594" s="26" t="n">
        <x:v>45888.015914351854</x:v>
      </x:c>
      <x:c r="C3594" s="27" t="n">
        <x:f>INT(B3594)</x:f>
        <x:v>45888</x:v>
      </x:c>
      <x:c r="D3594" s="28" t="n">
        <x:f>MOD(B3594,1)</x:f>
        <x:v>0.01591435185400769</x:v>
      </x:c>
      <x:c r="E3594" s="29" t="n">
        <x:f>YEAR(B3594)</x:f>
        <x:v>2025</x:v>
      </x:c>
      <x:c r="F3594" s="29" t="n">
        <x:f>MONTH(B3594)</x:f>
        <x:v>8</x:v>
      </x:c>
      <x:c r="G3594" s="30" t="n">
        <x:v>-29.8</x:v>
      </x:c>
      <x:c r="H3594" s="30" t="n">
        <x:v>-71.25</x:v>
      </x:c>
      <x:c r="I3594" s="29" t="n">
        <x:v>47</x:v>
      </x:c>
      <x:c r="J3594" s="31" t="n">
        <x:v>3.9</x:v>
      </x:c>
      <x:c r="K3594" s="25" t="str">
        <x:f>IF(J3594&gt;=7,"Muy fuerte (&gt;=7)",IF(J3594&gt;=6,"Fuerte (6-6.9)",IF(J3594&gt;=5,"Moderado alto (5-5.9)",IF(J3594&gt;=4,"Moderado (4-4.9)","Menor a 4"))))</x:f>
        <x:v>Menor a 4</x:v>
      </x:c>
      <x:c r="L3594" s="25" t="str">
        <x:f>IF(I3594&lt;70,"Superficial (&lt;70 km)",IF(I3594&lt;=300,"Intermedio (70-300 km)","Profundo (&gt;300 km)"))</x:f>
        <x:v>Superficial (&lt;70 km)</x:v>
      </x:c>
      <x:c r="M3594" s="25" t="str">
        <x:f>IF(J3594&gt;=5,"Sí","No")</x:f>
        <x:v>No</x:v>
      </x:c>
      <x:c r="N3594" s="25" t="str">
        <x:f>IF(J3594&gt;=6,"Sí","No")</x:f>
        <x:v>No</x:v>
      </x:c>
      <x:c r="O3594" s="25" t="str">
        <x:v>Pendiente: asignar con R/sf</x:v>
      </x:c>
    </x:row>
    <x:row r="3595">
      <x:c r="A3595" s="25" t="n">
        <x:v>3594</x:v>
      </x:c>
      <x:c r="B3595" s="26" t="n">
        <x:v>45954.83074074074</x:v>
      </x:c>
      <x:c r="C3595" s="27" t="n">
        <x:f>INT(B3595)</x:f>
        <x:v>45954</x:v>
      </x:c>
      <x:c r="D3595" s="28" t="n">
        <x:f>MOD(B3595,1)</x:f>
        <x:v>0.830740740741021</x:v>
      </x:c>
      <x:c r="E3595" s="29" t="n">
        <x:f>YEAR(B3595)</x:f>
        <x:v>2025</x:v>
      </x:c>
      <x:c r="F3595" s="29" t="n">
        <x:f>MONTH(B3595)</x:f>
        <x:v>10</x:v>
      </x:c>
      <x:c r="G3595" s="30" t="n">
        <x:v>-29.87</x:v>
      </x:c>
      <x:c r="H3595" s="30" t="n">
        <x:v>-71.62</x:v>
      </x:c>
      <x:c r="I3595" s="29" t="n">
        <x:v>36</x:v>
      </x:c>
      <x:c r="J3595" s="31" t="n">
        <x:v>4.4</x:v>
      </x:c>
      <x:c r="K3595" s="25" t="str">
        <x:f>IF(J3595&gt;=7,"Muy fuerte (&gt;=7)",IF(J3595&gt;=6,"Fuerte (6-6.9)",IF(J3595&gt;=5,"Moderado alto (5-5.9)",IF(J3595&gt;=4,"Moderado (4-4.9)","Menor a 4"))))</x:f>
        <x:v>Moderado (4-4.9)</x:v>
      </x:c>
      <x:c r="L3595" s="25" t="str">
        <x:f>IF(I3595&lt;70,"Superficial (&lt;70 km)",IF(I3595&lt;=300,"Intermedio (70-300 km)","Profundo (&gt;300 km)"))</x:f>
        <x:v>Superficial (&lt;70 km)</x:v>
      </x:c>
      <x:c r="M3595" s="25" t="str">
        <x:f>IF(J3595&gt;=5,"Sí","No")</x:f>
        <x:v>No</x:v>
      </x:c>
      <x:c r="N3595" s="25" t="str">
        <x:f>IF(J3595&gt;=6,"Sí","No")</x:f>
        <x:v>No</x:v>
      </x:c>
      <x:c r="O3595" s="25" t="str">
        <x:v>Pendiente: asignar con R/sf</x:v>
      </x:c>
    </x:row>
    <x:row r="3596">
      <x:c r="A3596" s="25" t="n">
        <x:v>3595</x:v>
      </x:c>
      <x:c r="B3596" s="26" t="n">
        <x:v>45892.118784722225</x:v>
      </x:c>
      <x:c r="C3596" s="27" t="n">
        <x:f>INT(B3596)</x:f>
        <x:v>45892</x:v>
      </x:c>
      <x:c r="D3596" s="28" t="n">
        <x:f>MOD(B3596,1)</x:f>
        <x:v>0.11878472222451819</x:v>
      </x:c>
      <x:c r="E3596" s="29" t="n">
        <x:f>YEAR(B3596)</x:f>
        <x:v>2025</x:v>
      </x:c>
      <x:c r="F3596" s="29" t="n">
        <x:f>MONTH(B3596)</x:f>
        <x:v>8</x:v>
      </x:c>
      <x:c r="G3596" s="30" t="n">
        <x:v>-31.67</x:v>
      </x:c>
      <x:c r="H3596" s="30" t="n">
        <x:v>-71.63</x:v>
      </x:c>
      <x:c r="I3596" s="29" t="n">
        <x:v>40</x:v>
      </x:c>
      <x:c r="J3596" s="31" t="n">
        <x:v>3.9</x:v>
      </x:c>
      <x:c r="K3596" s="25" t="str">
        <x:f>IF(J3596&gt;=7,"Muy fuerte (&gt;=7)",IF(J3596&gt;=6,"Fuerte (6-6.9)",IF(J3596&gt;=5,"Moderado alto (5-5.9)",IF(J3596&gt;=4,"Moderado (4-4.9)","Menor a 4"))))</x:f>
        <x:v>Menor a 4</x:v>
      </x:c>
      <x:c r="L3596" s="25" t="str">
        <x:f>IF(I3596&lt;70,"Superficial (&lt;70 km)",IF(I3596&lt;=300,"Intermedio (70-300 km)","Profundo (&gt;300 km)"))</x:f>
        <x:v>Superficial (&lt;70 km)</x:v>
      </x:c>
      <x:c r="M3596" s="25" t="str">
        <x:f>IF(J3596&gt;=5,"Sí","No")</x:f>
        <x:v>No</x:v>
      </x:c>
      <x:c r="N3596" s="25" t="str">
        <x:f>IF(J3596&gt;=6,"Sí","No")</x:f>
        <x:v>No</x:v>
      </x:c>
      <x:c r="O3596" s="25" t="str">
        <x:v>Pendiente: asignar con R/sf</x:v>
      </x:c>
    </x:row>
    <x:row r="3597">
      <x:c r="A3597" s="25" t="n">
        <x:v>3596</x:v>
      </x:c>
      <x:c r="B3597" s="26" t="n">
        <x:v>46001.659050925926</x:v>
      </x:c>
      <x:c r="C3597" s="27" t="n">
        <x:f>INT(B3597)</x:f>
        <x:v>46001</x:v>
      </x:c>
      <x:c r="D3597" s="28" t="n">
        <x:f>MOD(B3597,1)</x:f>
        <x:v>0.6590509259258397</x:v>
      </x:c>
      <x:c r="E3597" s="29" t="n">
        <x:f>YEAR(B3597)</x:f>
        <x:v>2025</x:v>
      </x:c>
      <x:c r="F3597" s="29" t="n">
        <x:f>MONTH(B3597)</x:f>
        <x:v>12</x:v>
      </x:c>
      <x:c r="G3597" s="30" t="n">
        <x:v>-31.82</x:v>
      </x:c>
      <x:c r="H3597" s="30" t="n">
        <x:v>-71.3</x:v>
      </x:c>
      <x:c r="I3597" s="29" t="n">
        <x:v>56</x:v>
      </x:c>
      <x:c r="J3597" s="31" t="n">
        <x:v>4.1</x:v>
      </x:c>
      <x:c r="K3597" s="25" t="str">
        <x:f>IF(J3597&gt;=7,"Muy fuerte (&gt;=7)",IF(J3597&gt;=6,"Fuerte (6-6.9)",IF(J3597&gt;=5,"Moderado alto (5-5.9)",IF(J3597&gt;=4,"Moderado (4-4.9)","Menor a 4"))))</x:f>
        <x:v>Moderado (4-4.9)</x:v>
      </x:c>
      <x:c r="L3597" s="25" t="str">
        <x:f>IF(I3597&lt;70,"Superficial (&lt;70 km)",IF(I3597&lt;=300,"Intermedio (70-300 km)","Profundo (&gt;300 km)"))</x:f>
        <x:v>Superficial (&lt;70 km)</x:v>
      </x:c>
      <x:c r="M3597" s="25" t="str">
        <x:f>IF(J3597&gt;=5,"Sí","No")</x:f>
        <x:v>No</x:v>
      </x:c>
      <x:c r="N3597" s="25" t="str">
        <x:f>IF(J3597&gt;=6,"Sí","No")</x:f>
        <x:v>No</x:v>
      </x:c>
      <x:c r="O3597" s="25" t="str">
        <x:v>Pendiente: asignar con R/sf</x:v>
      </x:c>
    </x:row>
    <x:row r="3598">
      <x:c r="A3598" s="25" t="n">
        <x:v>3597</x:v>
      </x:c>
      <x:c r="B3598" s="26" t="n">
        <x:v>46018.35407407407</x:v>
      </x:c>
      <x:c r="C3598" s="27" t="n">
        <x:f>INT(B3598)</x:f>
        <x:v>46018</x:v>
      </x:c>
      <x:c r="D3598" s="28" t="n">
        <x:f>MOD(B3598,1)</x:f>
        <x:v>0.354074074071832</x:v>
      </x:c>
      <x:c r="E3598" s="29" t="n">
        <x:f>YEAR(B3598)</x:f>
        <x:v>2025</x:v>
      </x:c>
      <x:c r="F3598" s="29" t="n">
        <x:f>MONTH(B3598)</x:f>
        <x:v>12</x:v>
      </x:c>
      <x:c r="G3598" s="30" t="n">
        <x:v>-31.95</x:v>
      </x:c>
      <x:c r="H3598" s="30" t="n">
        <x:v>-71.39</x:v>
      </x:c>
      <x:c r="I3598" s="29" t="n">
        <x:v>65</x:v>
      </x:c>
      <x:c r="J3598" s="31" t="n">
        <x:v>3.9</x:v>
      </x:c>
      <x:c r="K3598" s="25" t="str">
        <x:f>IF(J3598&gt;=7,"Muy fuerte (&gt;=7)",IF(J3598&gt;=6,"Fuerte (6-6.9)",IF(J3598&gt;=5,"Moderado alto (5-5.9)",IF(J3598&gt;=4,"Moderado (4-4.9)","Menor a 4"))))</x:f>
        <x:v>Menor a 4</x:v>
      </x:c>
      <x:c r="L3598" s="25" t="str">
        <x:f>IF(I3598&lt;70,"Superficial (&lt;70 km)",IF(I3598&lt;=300,"Intermedio (70-300 km)","Profundo (&gt;300 km)"))</x:f>
        <x:v>Superficial (&lt;70 km)</x:v>
      </x:c>
      <x:c r="M3598" s="25" t="str">
        <x:f>IF(J3598&gt;=5,"Sí","No")</x:f>
        <x:v>No</x:v>
      </x:c>
      <x:c r="N3598" s="25" t="str">
        <x:f>IF(J3598&gt;=6,"Sí","No")</x:f>
        <x:v>No</x:v>
      </x:c>
      <x:c r="O3598" s="25" t="str">
        <x:v>Pendiente: asignar con R/sf</x:v>
      </x:c>
    </x:row>
    <x:row r="3599">
      <x:c r="A3599" s="25" t="n">
        <x:v>3598</x:v>
      </x:c>
      <x:c r="B3599" s="26" t="n">
        <x:v>46047.80877314815</x:v>
      </x:c>
      <x:c r="C3599" s="27" t="n">
        <x:f>INT(B3599)</x:f>
        <x:v>46047</x:v>
      </x:c>
      <x:c r="D3599" s="28" t="n">
        <x:f>MOD(B3599,1)</x:f>
        <x:v>0.8087731481500668</x:v>
      </x:c>
      <x:c r="E3599" s="29" t="n">
        <x:f>YEAR(B3599)</x:f>
        <x:v>2026</x:v>
      </x:c>
      <x:c r="F3599" s="29" t="n">
        <x:f>MONTH(B3599)</x:f>
        <x:v>1</x:v>
      </x:c>
      <x:c r="G3599" s="30" t="n">
        <x:v>-31.48</x:v>
      </x:c>
      <x:c r="H3599" s="30" t="n">
        <x:v>-71.49</x:v>
      </x:c>
      <x:c r="I3599" s="29" t="n">
        <x:v>40</x:v>
      </x:c>
      <x:c r="J3599" s="31" t="n">
        <x:v>4.7</x:v>
      </x:c>
      <x:c r="K3599" s="25" t="str">
        <x:f>IF(J3599&gt;=7,"Muy fuerte (&gt;=7)",IF(J3599&gt;=6,"Fuerte (6-6.9)",IF(J3599&gt;=5,"Moderado alto (5-5.9)",IF(J3599&gt;=4,"Moderado (4-4.9)","Menor a 4"))))</x:f>
        <x:v>Moderado (4-4.9)</x:v>
      </x:c>
      <x:c r="L3599" s="25" t="str">
        <x:f>IF(I3599&lt;70,"Superficial (&lt;70 km)",IF(I3599&lt;=300,"Intermedio (70-300 km)","Profundo (&gt;300 km)"))</x:f>
        <x:v>Superficial (&lt;70 km)</x:v>
      </x:c>
      <x:c r="M3599" s="25" t="str">
        <x:f>IF(J3599&gt;=5,"Sí","No")</x:f>
        <x:v>No</x:v>
      </x:c>
      <x:c r="N3599" s="25" t="str">
        <x:f>IF(J3599&gt;=6,"Sí","No")</x:f>
        <x:v>No</x:v>
      </x:c>
      <x:c r="O3599" s="25" t="str">
        <x:v>Pendiente: asignar con R/sf</x:v>
      </x:c>
    </x:row>
    <x:row r="3600">
      <x:c r="A3600" s="25" t="n">
        <x:v>3599</x:v>
      </x:c>
      <x:c r="B3600" s="26" t="n">
        <x:v>45884.09521990741</x:v>
      </x:c>
      <x:c r="C3600" s="27" t="n">
        <x:f>INT(B3600)</x:f>
        <x:v>45884</x:v>
      </x:c>
      <x:c r="D3600" s="28" t="n">
        <x:f>MOD(B3600,1)</x:f>
        <x:v>0.09521990740904585</x:v>
      </x:c>
      <x:c r="E3600" s="29" t="n">
        <x:f>YEAR(B3600)</x:f>
        <x:v>2025</x:v>
      </x:c>
      <x:c r="F3600" s="29" t="n">
        <x:f>MONTH(B3600)</x:f>
        <x:v>8</x:v>
      </x:c>
      <x:c r="G3600" s="30" t="n">
        <x:v>-30</x:v>
      </x:c>
      <x:c r="H3600" s="30" t="n">
        <x:v>-71.06</x:v>
      </x:c>
      <x:c r="I3600" s="29" t="n">
        <x:v>82</x:v>
      </x:c>
      <x:c r="J3600" s="31" t="n">
        <x:v>3.8</x:v>
      </x:c>
      <x:c r="K3600" s="25" t="str">
        <x:f>IF(J3600&gt;=7,"Muy fuerte (&gt;=7)",IF(J3600&gt;=6,"Fuerte (6-6.9)",IF(J3600&gt;=5,"Moderado alto (5-5.9)",IF(J3600&gt;=4,"Moderado (4-4.9)","Menor a 4"))))</x:f>
        <x:v>Menor a 4</x:v>
      </x:c>
      <x:c r="L3600" s="25" t="str">
        <x:f>IF(I3600&lt;70,"Superficial (&lt;70 km)",IF(I3600&lt;=300,"Intermedio (70-300 km)","Profundo (&gt;300 km)"))</x:f>
        <x:v>Intermedio (70-300 km)</x:v>
      </x:c>
      <x:c r="M3600" s="25" t="str">
        <x:f>IF(J3600&gt;=5,"Sí","No")</x:f>
        <x:v>No</x:v>
      </x:c>
      <x:c r="N3600" s="25" t="str">
        <x:f>IF(J3600&gt;=6,"Sí","No")</x:f>
        <x:v>No</x:v>
      </x:c>
      <x:c r="O3600" s="25" t="str">
        <x:v>Pendiente: asignar con R/sf</x:v>
      </x:c>
    </x:row>
    <x:row r="3601">
      <x:c r="A3601" s="25" t="n">
        <x:v>3600</x:v>
      </x:c>
      <x:c r="B3601" s="26" t="n">
        <x:v>45649.18493055556</x:v>
      </x:c>
      <x:c r="C3601" s="27" t="n">
        <x:f>INT(B3601)</x:f>
        <x:v>45649</x:v>
      </x:c>
      <x:c r="D3601" s="28" t="n">
        <x:f>MOD(B3601,1)</x:f>
        <x:v>0.18493055555882165</x:v>
      </x:c>
      <x:c r="E3601" s="29" t="n">
        <x:f>YEAR(B3601)</x:f>
        <x:v>2024</x:v>
      </x:c>
      <x:c r="F3601" s="29" t="n">
        <x:f>MONTH(B3601)</x:f>
        <x:v>12</x:v>
      </x:c>
      <x:c r="G3601" s="30" t="n">
        <x:v>-29.13</x:v>
      </x:c>
      <x:c r="H3601" s="30" t="n">
        <x:v>-70.58</x:v>
      </x:c>
      <x:c r="I3601" s="29" t="n">
        <x:v>90</x:v>
      </x:c>
      <x:c r="J3601" s="31" t="n">
        <x:v>4</x:v>
      </x:c>
      <x:c r="K3601" s="25" t="str">
        <x:f>IF(J3601&gt;=7,"Muy fuerte (&gt;=7)",IF(J3601&gt;=6,"Fuerte (6-6.9)",IF(J3601&gt;=5,"Moderado alto (5-5.9)",IF(J3601&gt;=4,"Moderado (4-4.9)","Menor a 4"))))</x:f>
        <x:v>Moderado (4-4.9)</x:v>
      </x:c>
      <x:c r="L3601" s="25" t="str">
        <x:f>IF(I3601&lt;70,"Superficial (&lt;70 km)",IF(I3601&lt;=300,"Intermedio (70-300 km)","Profundo (&gt;300 km)"))</x:f>
        <x:v>Intermedio (70-300 km)</x:v>
      </x:c>
      <x:c r="M3601" s="25" t="str">
        <x:f>IF(J3601&gt;=5,"Sí","No")</x:f>
        <x:v>No</x:v>
      </x:c>
      <x:c r="N3601" s="25" t="str">
        <x:f>IF(J3601&gt;=6,"Sí","No")</x:f>
        <x:v>No</x:v>
      </x:c>
      <x:c r="O3601" s="25" t="str">
        <x:v>Pendiente: asignar con R/sf</x:v>
      </x:c>
    </x:row>
    <x:row r="3602">
      <x:c r="A3602" s="25" t="n">
        <x:v>3601</x:v>
      </x:c>
      <x:c r="B3602" s="26" t="n">
        <x:v>45460.963842592595</x:v>
      </x:c>
      <x:c r="C3602" s="27" t="n">
        <x:f>INT(B3602)</x:f>
        <x:v>45460</x:v>
      </x:c>
      <x:c r="D3602" s="28" t="n">
        <x:f>MOD(B3602,1)</x:f>
        <x:v>0.9638425925950287</x:v>
      </x:c>
      <x:c r="E3602" s="29" t="n">
        <x:f>YEAR(B3602)</x:f>
        <x:v>2024</x:v>
      </x:c>
      <x:c r="F3602" s="29" t="n">
        <x:f>MONTH(B3602)</x:f>
        <x:v>6</x:v>
      </x:c>
      <x:c r="G3602" s="30" t="n">
        <x:v>-32.37</x:v>
      </x:c>
      <x:c r="H3602" s="30" t="n">
        <x:v>-70.44</x:v>
      </x:c>
      <x:c r="I3602" s="29" t="n">
        <x:v>102</x:v>
      </x:c>
      <x:c r="J3602" s="31" t="n">
        <x:v>4.2</x:v>
      </x:c>
      <x:c r="K3602" s="25" t="str">
        <x:f>IF(J3602&gt;=7,"Muy fuerte (&gt;=7)",IF(J3602&gt;=6,"Fuerte (6-6.9)",IF(J3602&gt;=5,"Moderado alto (5-5.9)",IF(J3602&gt;=4,"Moderado (4-4.9)","Menor a 4"))))</x:f>
        <x:v>Moderado (4-4.9)</x:v>
      </x:c>
      <x:c r="L3602" s="25" t="str">
        <x:f>IF(I3602&lt;70,"Superficial (&lt;70 km)",IF(I3602&lt;=300,"Intermedio (70-300 km)","Profundo (&gt;300 km)"))</x:f>
        <x:v>Intermedio (70-300 km)</x:v>
      </x:c>
      <x:c r="M3602" s="25" t="str">
        <x:f>IF(J3602&gt;=5,"Sí","No")</x:f>
        <x:v>No</x:v>
      </x:c>
      <x:c r="N3602" s="25" t="str">
        <x:f>IF(J3602&gt;=6,"Sí","No")</x:f>
        <x:v>No</x:v>
      </x:c>
      <x:c r="O3602" s="25" t="str">
        <x:v>Pendiente: asignar con R/sf</x:v>
      </x:c>
    </x:row>
    <x:row r="3603">
      <x:c r="A3603" s="25" t="n">
        <x:v>3602</x:v>
      </x:c>
      <x:c r="B3603" s="26" t="n">
        <x:v>45492.41364583333</x:v>
      </x:c>
      <x:c r="C3603" s="27" t="n">
        <x:f>INT(B3603)</x:f>
        <x:v>45492</x:v>
      </x:c>
      <x:c r="D3603" s="28" t="n">
        <x:f>MOD(B3603,1)</x:f>
        <x:v>0.41364583333051996</x:v>
      </x:c>
      <x:c r="E3603" s="29" t="n">
        <x:f>YEAR(B3603)</x:f>
        <x:v>2024</x:v>
      </x:c>
      <x:c r="F3603" s="29" t="n">
        <x:f>MONTH(B3603)</x:f>
        <x:v>7</x:v>
      </x:c>
      <x:c r="G3603" s="30" t="n">
        <x:v>-32.13</x:v>
      </x:c>
      <x:c r="H3603" s="30" t="n">
        <x:v>-71.67</x:v>
      </x:c>
      <x:c r="I3603" s="29" t="n">
        <x:v>28</x:v>
      </x:c>
      <x:c r="J3603" s="31" t="n">
        <x:v>4.4</x:v>
      </x:c>
      <x:c r="K3603" s="25" t="str">
        <x:f>IF(J3603&gt;=7,"Muy fuerte (&gt;=7)",IF(J3603&gt;=6,"Fuerte (6-6.9)",IF(J3603&gt;=5,"Moderado alto (5-5.9)",IF(J3603&gt;=4,"Moderado (4-4.9)","Menor a 4"))))</x:f>
        <x:v>Moderado (4-4.9)</x:v>
      </x:c>
      <x:c r="L3603" s="25" t="str">
        <x:f>IF(I3603&lt;70,"Superficial (&lt;70 km)",IF(I3603&lt;=300,"Intermedio (70-300 km)","Profundo (&gt;300 km)"))</x:f>
        <x:v>Superficial (&lt;70 km)</x:v>
      </x:c>
      <x:c r="M3603" s="25" t="str">
        <x:f>IF(J3603&gt;=5,"Sí","No")</x:f>
        <x:v>No</x:v>
      </x:c>
      <x:c r="N3603" s="25" t="str">
        <x:f>IF(J3603&gt;=6,"Sí","No")</x:f>
        <x:v>No</x:v>
      </x:c>
      <x:c r="O3603" s="25" t="str">
        <x:v>Pendiente: asignar con R/sf</x:v>
      </x:c>
    </x:row>
    <x:row r="3604">
      <x:c r="A3604" s="25" t="n">
        <x:v>3603</x:v>
      </x:c>
      <x:c r="B3604" s="26" t="n">
        <x:v>45577.95130787037</x:v>
      </x:c>
      <x:c r="C3604" s="27" t="n">
        <x:f>INT(B3604)</x:f>
        <x:v>45577</x:v>
      </x:c>
      <x:c r="D3604" s="28" t="n">
        <x:f>MOD(B3604,1)</x:f>
        <x:v>0.9513078703676001</x:v>
      </x:c>
      <x:c r="E3604" s="29" t="n">
        <x:f>YEAR(B3604)</x:f>
        <x:v>2024</x:v>
      </x:c>
      <x:c r="F3604" s="29" t="n">
        <x:f>MONTH(B3604)</x:f>
        <x:v>10</x:v>
      </x:c>
      <x:c r="G3604" s="30" t="n">
        <x:v>-31.6</x:v>
      </x:c>
      <x:c r="H3604" s="30" t="n">
        <x:v>-70.38</x:v>
      </x:c>
      <x:c r="I3604" s="29" t="n">
        <x:v>137</x:v>
      </x:c>
      <x:c r="J3604" s="31" t="n">
        <x:v>4.1</x:v>
      </x:c>
      <x:c r="K3604" s="25" t="str">
        <x:f>IF(J3604&gt;=7,"Muy fuerte (&gt;=7)",IF(J3604&gt;=6,"Fuerte (6-6.9)",IF(J3604&gt;=5,"Moderado alto (5-5.9)",IF(J3604&gt;=4,"Moderado (4-4.9)","Menor a 4"))))</x:f>
        <x:v>Moderado (4-4.9)</x:v>
      </x:c>
      <x:c r="L3604" s="25" t="str">
        <x:f>IF(I3604&lt;70,"Superficial (&lt;70 km)",IF(I3604&lt;=300,"Intermedio (70-300 km)","Profundo (&gt;300 km)"))</x:f>
        <x:v>Intermedio (70-300 km)</x:v>
      </x:c>
      <x:c r="M3604" s="25" t="str">
        <x:f>IF(J3604&gt;=5,"Sí","No")</x:f>
        <x:v>No</x:v>
      </x:c>
      <x:c r="N3604" s="25" t="str">
        <x:f>IF(J3604&gt;=6,"Sí","No")</x:f>
        <x:v>No</x:v>
      </x:c>
      <x:c r="O3604" s="25" t="str">
        <x:v>Pendiente: asignar con R/sf</x:v>
      </x:c>
    </x:row>
    <x:row r="3605">
      <x:c r="A3605" s="25" t="n">
        <x:v>3604</x:v>
      </x:c>
      <x:c r="B3605" s="26" t="n">
        <x:v>45817.04116898148</x:v>
      </x:c>
      <x:c r="C3605" s="27" t="n">
        <x:f>INT(B3605)</x:f>
        <x:v>45817</x:v>
      </x:c>
      <x:c r="D3605" s="28" t="n">
        <x:f>MOD(B3605,1)</x:f>
        <x:v>0.04116898147913162</x:v>
      </x:c>
      <x:c r="E3605" s="29" t="n">
        <x:f>YEAR(B3605)</x:f>
        <x:v>2025</x:v>
      </x:c>
      <x:c r="F3605" s="29" t="n">
        <x:f>MONTH(B3605)</x:f>
        <x:v>6</x:v>
      </x:c>
      <x:c r="G3605" s="30" t="n">
        <x:v>-32.25</x:v>
      </x:c>
      <x:c r="H3605" s="30" t="n">
        <x:v>-71.06</x:v>
      </x:c>
      <x:c r="I3605" s="29" t="n">
        <x:v>90</x:v>
      </x:c>
      <x:c r="J3605" s="31" t="n">
        <x:v>4.2</x:v>
      </x:c>
      <x:c r="K3605" s="25" t="str">
        <x:f>IF(J3605&gt;=7,"Muy fuerte (&gt;=7)",IF(J3605&gt;=6,"Fuerte (6-6.9)",IF(J3605&gt;=5,"Moderado alto (5-5.9)",IF(J3605&gt;=4,"Moderado (4-4.9)","Menor a 4"))))</x:f>
        <x:v>Moderado (4-4.9)</x:v>
      </x:c>
      <x:c r="L3605" s="25" t="str">
        <x:f>IF(I3605&lt;70,"Superficial (&lt;70 km)",IF(I3605&lt;=300,"Intermedio (70-300 km)","Profundo (&gt;300 km)"))</x:f>
        <x:v>Intermedio (70-300 km)</x:v>
      </x:c>
      <x:c r="M3605" s="25" t="str">
        <x:f>IF(J3605&gt;=5,"Sí","No")</x:f>
        <x:v>No</x:v>
      </x:c>
      <x:c r="N3605" s="25" t="str">
        <x:f>IF(J3605&gt;=6,"Sí","No")</x:f>
        <x:v>No</x:v>
      </x:c>
      <x:c r="O3605" s="25" t="str">
        <x:v>Pendiente: asignar con R/sf</x:v>
      </x:c>
    </x:row>
    <x:row r="3606">
      <x:c r="A3606" s="25" t="n">
        <x:v>3605</x:v>
      </x:c>
      <x:c r="B3606" s="26" t="n">
        <x:v>45830.615335648145</x:v>
      </x:c>
      <x:c r="C3606" s="27" t="n">
        <x:f>INT(B3606)</x:f>
        <x:v>45830</x:v>
      </x:c>
      <x:c r="D3606" s="28" t="n">
        <x:f>MOD(B3606,1)</x:f>
        <x:v>0.6153356481445371</x:v>
      </x:c>
      <x:c r="E3606" s="29" t="n">
        <x:f>YEAR(B3606)</x:f>
        <x:v>2025</x:v>
      </x:c>
      <x:c r="F3606" s="29" t="n">
        <x:f>MONTH(B3606)</x:f>
        <x:v>6</x:v>
      </x:c>
      <x:c r="G3606" s="30" t="n">
        <x:v>-31.72</x:v>
      </x:c>
      <x:c r="H3606" s="30" t="n">
        <x:v>-69.65</x:v>
      </x:c>
      <x:c r="I3606" s="29" t="n">
        <x:v>150</x:v>
      </x:c>
      <x:c r="J3606" s="31" t="n">
        <x:v>4.6</x:v>
      </x:c>
      <x:c r="K3606" s="25" t="str">
        <x:f>IF(J3606&gt;=7,"Muy fuerte (&gt;=7)",IF(J3606&gt;=6,"Fuerte (6-6.9)",IF(J3606&gt;=5,"Moderado alto (5-5.9)",IF(J3606&gt;=4,"Moderado (4-4.9)","Menor a 4"))))</x:f>
        <x:v>Moderado (4-4.9)</x:v>
      </x:c>
      <x:c r="L3606" s="25" t="str">
        <x:f>IF(I3606&lt;70,"Superficial (&lt;70 km)",IF(I3606&lt;=300,"Intermedio (70-300 km)","Profundo (&gt;300 km)"))</x:f>
        <x:v>Intermedio (70-300 km)</x:v>
      </x:c>
      <x:c r="M3606" s="25" t="str">
        <x:f>IF(J3606&gt;=5,"Sí","No")</x:f>
        <x:v>No</x:v>
      </x:c>
      <x:c r="N3606" s="25" t="str">
        <x:f>IF(J3606&gt;=6,"Sí","No")</x:f>
        <x:v>No</x:v>
      </x:c>
      <x:c r="O3606" s="25" t="str">
        <x:v>Pendiente: asignar con R/sf</x:v>
      </x:c>
    </x:row>
    <x:row r="3607">
      <x:c r="A3607" s="25" t="n">
        <x:v>3606</x:v>
      </x:c>
      <x:c r="B3607" s="26" t="n">
        <x:v>45883.39545138889</x:v>
      </x:c>
      <x:c r="C3607" s="27" t="n">
        <x:f>INT(B3607)</x:f>
        <x:v>45883</x:v>
      </x:c>
      <x:c r="D3607" s="28" t="n">
        <x:f>MOD(B3607,1)</x:f>
        <x:v>0.3954513888893416</x:v>
      </x:c>
      <x:c r="E3607" s="29" t="n">
        <x:f>YEAR(B3607)</x:f>
        <x:v>2025</x:v>
      </x:c>
      <x:c r="F3607" s="29" t="n">
        <x:f>MONTH(B3607)</x:f>
        <x:v>8</x:v>
      </x:c>
      <x:c r="G3607" s="30" t="n">
        <x:v>-31.76</x:v>
      </x:c>
      <x:c r="H3607" s="30" t="n">
        <x:v>-71.57</x:v>
      </x:c>
      <x:c r="I3607" s="29" t="n">
        <x:v>31</x:v>
      </x:c>
      <x:c r="J3607" s="31" t="n">
        <x:v>3.6</x:v>
      </x:c>
      <x:c r="K3607" s="25" t="str">
        <x:f>IF(J3607&gt;=7,"Muy fuerte (&gt;=7)",IF(J3607&gt;=6,"Fuerte (6-6.9)",IF(J3607&gt;=5,"Moderado alto (5-5.9)",IF(J3607&gt;=4,"Moderado (4-4.9)","Menor a 4"))))</x:f>
        <x:v>Menor a 4</x:v>
      </x:c>
      <x:c r="L3607" s="25" t="str">
        <x:f>IF(I3607&lt;70,"Superficial (&lt;70 km)",IF(I3607&lt;=300,"Intermedio (70-300 km)","Profundo (&gt;300 km)"))</x:f>
        <x:v>Superficial (&lt;70 km)</x:v>
      </x:c>
      <x:c r="M3607" s="25" t="str">
        <x:f>IF(J3607&gt;=5,"Sí","No")</x:f>
        <x:v>No</x:v>
      </x:c>
      <x:c r="N3607" s="25" t="str">
        <x:f>IF(J3607&gt;=6,"Sí","No")</x:f>
        <x:v>No</x:v>
      </x:c>
      <x:c r="O3607" s="25" t="str">
        <x:v>Pendiente: asignar con R/sf</x:v>
      </x:c>
    </x:row>
    <x:row r="3608">
      <x:c r="A3608" s="25" t="n">
        <x:v>3607</x:v>
      </x:c>
      <x:c r="B3608" s="26" t="n">
        <x:v>45680.31857638889</x:v>
      </x:c>
      <x:c r="C3608" s="27" t="n">
        <x:f>INT(B3608)</x:f>
        <x:v>45680</x:v>
      </x:c>
      <x:c r="D3608" s="28" t="n">
        <x:f>MOD(B3608,1)</x:f>
        <x:v>0.31857638889050577</x:v>
      </x:c>
      <x:c r="E3608" s="29" t="n">
        <x:f>YEAR(B3608)</x:f>
        <x:v>2025</x:v>
      </x:c>
      <x:c r="F3608" s="29" t="n">
        <x:f>MONTH(B3608)</x:f>
        <x:v>1</x:v>
      </x:c>
      <x:c r="G3608" s="30" t="n">
        <x:v>-32.05</x:v>
      </x:c>
      <x:c r="H3608" s="30" t="n">
        <x:v>-71.27</x:v>
      </x:c>
      <x:c r="I3608" s="29" t="n">
        <x:v>79</x:v>
      </x:c>
      <x:c r="J3608" s="31" t="n">
        <x:v>4.1</x:v>
      </x:c>
      <x:c r="K3608" s="25" t="str">
        <x:f>IF(J3608&gt;=7,"Muy fuerte (&gt;=7)",IF(J3608&gt;=6,"Fuerte (6-6.9)",IF(J3608&gt;=5,"Moderado alto (5-5.9)",IF(J3608&gt;=4,"Moderado (4-4.9)","Menor a 4"))))</x:f>
        <x:v>Moderado (4-4.9)</x:v>
      </x:c>
      <x:c r="L3608" s="25" t="str">
        <x:f>IF(I3608&lt;70,"Superficial (&lt;70 km)",IF(I3608&lt;=300,"Intermedio (70-300 km)","Profundo (&gt;300 km)"))</x:f>
        <x:v>Intermedio (70-300 km)</x:v>
      </x:c>
      <x:c r="M3608" s="25" t="str">
        <x:f>IF(J3608&gt;=5,"Sí","No")</x:f>
        <x:v>No</x:v>
      </x:c>
      <x:c r="N3608" s="25" t="str">
        <x:f>IF(J3608&gt;=6,"Sí","No")</x:f>
        <x:v>No</x:v>
      </x:c>
      <x:c r="O3608" s="25" t="str">
        <x:v>Pendiente: asignar con R/sf</x:v>
      </x:c>
    </x:row>
    <x:row r="3609">
      <x:c r="A3609" s="25" t="n">
        <x:v>3608</x:v>
      </x:c>
      <x:c r="B3609" s="26" t="n">
        <x:v>45473.43722222222</x:v>
      </x:c>
      <x:c r="C3609" s="27" t="n">
        <x:f>INT(B3609)</x:f>
        <x:v>45473</x:v>
      </x:c>
      <x:c r="D3609" s="28" t="n">
        <x:f>MOD(B3609,1)</x:f>
        <x:v>0.43722222222277196</x:v>
      </x:c>
      <x:c r="E3609" s="29" t="n">
        <x:f>YEAR(B3609)</x:f>
        <x:v>2024</x:v>
      </x:c>
      <x:c r="F3609" s="29" t="n">
        <x:f>MONTH(B3609)</x:f>
        <x:v>6</x:v>
      </x:c>
      <x:c r="G3609" s="30" t="n">
        <x:v>-30.81</x:v>
      </x:c>
      <x:c r="H3609" s="30" t="n">
        <x:v>-71.34</x:v>
      </x:c>
      <x:c r="I3609" s="29" t="n">
        <x:v>53</x:v>
      </x:c>
      <x:c r="J3609" s="31" t="n">
        <x:v>4</x:v>
      </x:c>
      <x:c r="K3609" s="25" t="str">
        <x:f>IF(J3609&gt;=7,"Muy fuerte (&gt;=7)",IF(J3609&gt;=6,"Fuerte (6-6.9)",IF(J3609&gt;=5,"Moderado alto (5-5.9)",IF(J3609&gt;=4,"Moderado (4-4.9)","Menor a 4"))))</x:f>
        <x:v>Moderado (4-4.9)</x:v>
      </x:c>
      <x:c r="L3609" s="25" t="str">
        <x:f>IF(I3609&lt;70,"Superficial (&lt;70 km)",IF(I3609&lt;=300,"Intermedio (70-300 km)","Profundo (&gt;300 km)"))</x:f>
        <x:v>Superficial (&lt;70 km)</x:v>
      </x:c>
      <x:c r="M3609" s="25" t="str">
        <x:f>IF(J3609&gt;=5,"Sí","No")</x:f>
        <x:v>No</x:v>
      </x:c>
      <x:c r="N3609" s="25" t="str">
        <x:f>IF(J3609&gt;=6,"Sí","No")</x:f>
        <x:v>No</x:v>
      </x:c>
      <x:c r="O3609" s="25" t="str">
        <x:v>Pendiente: asignar con R/sf</x:v>
      </x:c>
    </x:row>
    <x:row r="3610">
      <x:c r="A3610" s="25" t="n">
        <x:v>3609</x:v>
      </x:c>
      <x:c r="B3610" s="26" t="n">
        <x:v>45880.59539351852</x:v>
      </x:c>
      <x:c r="C3610" s="27" t="n">
        <x:f>INT(B3610)</x:f>
        <x:v>45880</x:v>
      </x:c>
      <x:c r="D3610" s="28" t="n">
        <x:f>MOD(B3610,1)</x:f>
        <x:v>0.5953935185170849</x:v>
      </x:c>
      <x:c r="E3610" s="29" t="n">
        <x:f>YEAR(B3610)</x:f>
        <x:v>2025</x:v>
      </x:c>
      <x:c r="F3610" s="29" t="n">
        <x:f>MONTH(B3610)</x:f>
        <x:v>8</x:v>
      </x:c>
      <x:c r="G3610" s="30" t="n">
        <x:v>-30.69</x:v>
      </x:c>
      <x:c r="H3610" s="30" t="n">
        <x:v>-71.63</x:v>
      </x:c>
      <x:c r="I3610" s="29" t="n">
        <x:v>32</x:v>
      </x:c>
      <x:c r="J3610" s="31" t="n">
        <x:v>4.3</x:v>
      </x:c>
      <x:c r="K3610" s="25" t="str">
        <x:f>IF(J3610&gt;=7,"Muy fuerte (&gt;=7)",IF(J3610&gt;=6,"Fuerte (6-6.9)",IF(J3610&gt;=5,"Moderado alto (5-5.9)",IF(J3610&gt;=4,"Moderado (4-4.9)","Menor a 4"))))</x:f>
        <x:v>Moderado (4-4.9)</x:v>
      </x:c>
      <x:c r="L3610" s="25" t="str">
        <x:f>IF(I3610&lt;70,"Superficial (&lt;70 km)",IF(I3610&lt;=300,"Intermedio (70-300 km)","Profundo (&gt;300 km)"))</x:f>
        <x:v>Superficial (&lt;70 km)</x:v>
      </x:c>
      <x:c r="M3610" s="25" t="str">
        <x:f>IF(J3610&gt;=5,"Sí","No")</x:f>
        <x:v>No</x:v>
      </x:c>
      <x:c r="N3610" s="25" t="str">
        <x:f>IF(J3610&gt;=6,"Sí","No")</x:f>
        <x:v>No</x:v>
      </x:c>
      <x:c r="O3610" s="25" t="str">
        <x:v>Pendiente: asignar con R/sf</x:v>
      </x:c>
    </x:row>
    <x:row r="3611">
      <x:c r="A3611" s="25" t="n">
        <x:v>3610</x:v>
      </x:c>
      <x:c r="B3611" s="26" t="n">
        <x:v>46065.76349537037</x:v>
      </x:c>
      <x:c r="C3611" s="27" t="n">
        <x:f>INT(B3611)</x:f>
        <x:v>46065</x:v>
      </x:c>
      <x:c r="D3611" s="28" t="n">
        <x:f>MOD(B3611,1)</x:f>
        <x:v>0.7634953703673091</x:v>
      </x:c>
      <x:c r="E3611" s="29" t="n">
        <x:f>YEAR(B3611)</x:f>
        <x:v>2026</x:v>
      </x:c>
      <x:c r="F3611" s="29" t="n">
        <x:f>MONTH(B3611)</x:f>
        <x:v>2</x:v>
      </x:c>
      <x:c r="G3611" s="30" t="n">
        <x:v>-30.79</x:v>
      </x:c>
      <x:c r="H3611" s="30" t="n">
        <x:v>-71.36</x:v>
      </x:c>
      <x:c r="I3611" s="29" t="n">
        <x:v>35</x:v>
      </x:c>
      <x:c r="J3611" s="31" t="n">
        <x:v>4.1</x:v>
      </x:c>
      <x:c r="K3611" s="25" t="str">
        <x:f>IF(J3611&gt;=7,"Muy fuerte (&gt;=7)",IF(J3611&gt;=6,"Fuerte (6-6.9)",IF(J3611&gt;=5,"Moderado alto (5-5.9)",IF(J3611&gt;=4,"Moderado (4-4.9)","Menor a 4"))))</x:f>
        <x:v>Moderado (4-4.9)</x:v>
      </x:c>
      <x:c r="L3611" s="25" t="str">
        <x:f>IF(I3611&lt;70,"Superficial (&lt;70 km)",IF(I3611&lt;=300,"Intermedio (70-300 km)","Profundo (&gt;300 km)"))</x:f>
        <x:v>Superficial (&lt;70 km)</x:v>
      </x:c>
      <x:c r="M3611" s="25" t="str">
        <x:f>IF(J3611&gt;=5,"Sí","No")</x:f>
        <x:v>No</x:v>
      </x:c>
      <x:c r="N3611" s="25" t="str">
        <x:f>IF(J3611&gt;=6,"Sí","No")</x:f>
        <x:v>No</x:v>
      </x:c>
      <x:c r="O3611" s="25" t="str">
        <x:v>Pendiente: asignar con R/sf</x:v>
      </x:c>
    </x:row>
    <x:row r="3612">
      <x:c r="A3612" s="25" t="n">
        <x:v>3611</x:v>
      </x:c>
      <x:c r="B3612" s="26" t="n">
        <x:v>46066.04056712963</x:v>
      </x:c>
      <x:c r="C3612" s="27" t="n">
        <x:f>INT(B3612)</x:f>
        <x:v>46066</x:v>
      </x:c>
      <x:c r="D3612" s="28" t="n">
        <x:f>MOD(B3612,1)</x:f>
        <x:v>0.040567129632108845</x:v>
      </x:c>
      <x:c r="E3612" s="29" t="n">
        <x:f>YEAR(B3612)</x:f>
        <x:v>2026</x:v>
      </x:c>
      <x:c r="F3612" s="29" t="n">
        <x:f>MONTH(B3612)</x:f>
        <x:v>2</x:v>
      </x:c>
      <x:c r="G3612" s="30" t="n">
        <x:v>-30.78</x:v>
      </x:c>
      <x:c r="H3612" s="30" t="n">
        <x:v>-71.37</x:v>
      </x:c>
      <x:c r="I3612" s="29" t="n">
        <x:v>44</x:v>
      </x:c>
      <x:c r="J3612" s="31" t="n">
        <x:v>4.6</x:v>
      </x:c>
      <x:c r="K3612" s="25" t="str">
        <x:f>IF(J3612&gt;=7,"Muy fuerte (&gt;=7)",IF(J3612&gt;=6,"Fuerte (6-6.9)",IF(J3612&gt;=5,"Moderado alto (5-5.9)",IF(J3612&gt;=4,"Moderado (4-4.9)","Menor a 4"))))</x:f>
        <x:v>Moderado (4-4.9)</x:v>
      </x:c>
      <x:c r="L3612" s="25" t="str">
        <x:f>IF(I3612&lt;70,"Superficial (&lt;70 km)",IF(I3612&lt;=300,"Intermedio (70-300 km)","Profundo (&gt;300 km)"))</x:f>
        <x:v>Superficial (&lt;70 km)</x:v>
      </x:c>
      <x:c r="M3612" s="25" t="str">
        <x:f>IF(J3612&gt;=5,"Sí","No")</x:f>
        <x:v>No</x:v>
      </x:c>
      <x:c r="N3612" s="25" t="str">
        <x:f>IF(J3612&gt;=6,"Sí","No")</x:f>
        <x:v>No</x:v>
      </x:c>
      <x:c r="O3612" s="25" t="str">
        <x:v>Pendiente: asignar con R/sf</x:v>
      </x:c>
    </x:row>
    <x:row r="3613">
      <x:c r="A3613" s="25" t="n">
        <x:v>3612</x:v>
      </x:c>
      <x:c r="B3613" s="26" t="n">
        <x:v>46068.9184375</x:v>
      </x:c>
      <x:c r="C3613" s="27" t="n">
        <x:f>INT(B3613)</x:f>
        <x:v>46068</x:v>
      </x:c>
      <x:c r="D3613" s="28" t="n">
        <x:f>MOD(B3613,1)</x:f>
        <x:v>0.9184374999967986</x:v>
      </x:c>
      <x:c r="E3613" s="29" t="n">
        <x:f>YEAR(B3613)</x:f>
        <x:v>2026</x:v>
      </x:c>
      <x:c r="F3613" s="29" t="n">
        <x:f>MONTH(B3613)</x:f>
        <x:v>2</x:v>
      </x:c>
      <x:c r="G3613" s="30" t="n">
        <x:v>-30.79</x:v>
      </x:c>
      <x:c r="H3613" s="30" t="n">
        <x:v>-71.38</x:v>
      </x:c>
      <x:c r="I3613" s="29" t="n">
        <x:v>50</x:v>
      </x:c>
      <x:c r="J3613" s="31" t="n">
        <x:v>3.8</x:v>
      </x:c>
      <x:c r="K3613" s="25" t="str">
        <x:f>IF(J3613&gt;=7,"Muy fuerte (&gt;=7)",IF(J3613&gt;=6,"Fuerte (6-6.9)",IF(J3613&gt;=5,"Moderado alto (5-5.9)",IF(J3613&gt;=4,"Moderado (4-4.9)","Menor a 4"))))</x:f>
        <x:v>Menor a 4</x:v>
      </x:c>
      <x:c r="L3613" s="25" t="str">
        <x:f>IF(I3613&lt;70,"Superficial (&lt;70 km)",IF(I3613&lt;=300,"Intermedio (70-300 km)","Profundo (&gt;300 km)"))</x:f>
        <x:v>Superficial (&lt;70 km)</x:v>
      </x:c>
      <x:c r="M3613" s="25" t="str">
        <x:f>IF(J3613&gt;=5,"Sí","No")</x:f>
        <x:v>No</x:v>
      </x:c>
      <x:c r="N3613" s="25" t="str">
        <x:f>IF(J3613&gt;=6,"Sí","No")</x:f>
        <x:v>No</x:v>
      </x:c>
      <x:c r="O3613" s="25" t="str">
        <x:v>Pendiente: asignar con R/sf</x:v>
      </x:c>
    </x:row>
    <x:row r="3614">
      <x:c r="A3614" s="25" t="n">
        <x:v>3613</x:v>
      </x:c>
      <x:c r="B3614" s="26" t="n">
        <x:v>46069.388645833336</x:v>
      </x:c>
      <x:c r="C3614" s="27" t="n">
        <x:f>INT(B3614)</x:f>
        <x:v>46069</x:v>
      </x:c>
      <x:c r="D3614" s="28" t="n">
        <x:f>MOD(B3614,1)</x:f>
        <x:v>0.38864583333634073</x:v>
      </x:c>
      <x:c r="E3614" s="29" t="n">
        <x:f>YEAR(B3614)</x:f>
        <x:v>2026</x:v>
      </x:c>
      <x:c r="F3614" s="29" t="n">
        <x:f>MONTH(B3614)</x:f>
        <x:v>2</x:v>
      </x:c>
      <x:c r="G3614" s="30" t="n">
        <x:v>-30.82</x:v>
      </x:c>
      <x:c r="H3614" s="30" t="n">
        <x:v>-71.38</x:v>
      </x:c>
      <x:c r="I3614" s="29" t="n">
        <x:v>45</x:v>
      </x:c>
      <x:c r="J3614" s="31" t="n">
        <x:v>4.7</x:v>
      </x:c>
      <x:c r="K3614" s="25" t="str">
        <x:f>IF(J3614&gt;=7,"Muy fuerte (&gt;=7)",IF(J3614&gt;=6,"Fuerte (6-6.9)",IF(J3614&gt;=5,"Moderado alto (5-5.9)",IF(J3614&gt;=4,"Moderado (4-4.9)","Menor a 4"))))</x:f>
        <x:v>Moderado (4-4.9)</x:v>
      </x:c>
      <x:c r="L3614" s="25" t="str">
        <x:f>IF(I3614&lt;70,"Superficial (&lt;70 km)",IF(I3614&lt;=300,"Intermedio (70-300 km)","Profundo (&gt;300 km)"))</x:f>
        <x:v>Superficial (&lt;70 km)</x:v>
      </x:c>
      <x:c r="M3614" s="25" t="str">
        <x:f>IF(J3614&gt;=5,"Sí","No")</x:f>
        <x:v>No</x:v>
      </x:c>
      <x:c r="N3614" s="25" t="str">
        <x:f>IF(J3614&gt;=6,"Sí","No")</x:f>
        <x:v>No</x:v>
      </x:c>
      <x:c r="O3614" s="25" t="str">
        <x:v>Pendiente: asignar con R/sf</x:v>
      </x:c>
    </x:row>
    <x:row r="3615">
      <x:c r="A3615" s="25" t="n">
        <x:v>3614</x:v>
      </x:c>
      <x:c r="B3615" s="26" t="n">
        <x:v>45901.575011574074</x:v>
      </x:c>
      <x:c r="C3615" s="27" t="n">
        <x:f>INT(B3615)</x:f>
        <x:v>45901</x:v>
      </x:c>
      <x:c r="D3615" s="28" t="n">
        <x:f>MOD(B3615,1)</x:f>
        <x:v>0.5750115740738693</x:v>
      </x:c>
      <x:c r="E3615" s="29" t="n">
        <x:f>YEAR(B3615)</x:f>
        <x:v>2025</x:v>
      </x:c>
      <x:c r="F3615" s="29" t="n">
        <x:f>MONTH(B3615)</x:f>
        <x:v>9</x:v>
      </x:c>
      <x:c r="G3615" s="30" t="n">
        <x:v>-30.64</x:v>
      </x:c>
      <x:c r="H3615" s="30" t="n">
        <x:v>-71.23</x:v>
      </x:c>
      <x:c r="I3615" s="29" t="n">
        <x:v>55</x:v>
      </x:c>
      <x:c r="J3615" s="31" t="n">
        <x:v>4.4</x:v>
      </x:c>
      <x:c r="K3615" s="25" t="str">
        <x:f>IF(J3615&gt;=7,"Muy fuerte (&gt;=7)",IF(J3615&gt;=6,"Fuerte (6-6.9)",IF(J3615&gt;=5,"Moderado alto (5-5.9)",IF(J3615&gt;=4,"Moderado (4-4.9)","Menor a 4"))))</x:f>
        <x:v>Moderado (4-4.9)</x:v>
      </x:c>
      <x:c r="L3615" s="25" t="str">
        <x:f>IF(I3615&lt;70,"Superficial (&lt;70 km)",IF(I3615&lt;=300,"Intermedio (70-300 km)","Profundo (&gt;300 km)"))</x:f>
        <x:v>Superficial (&lt;70 km)</x:v>
      </x:c>
      <x:c r="M3615" s="25" t="str">
        <x:f>IF(J3615&gt;=5,"Sí","No")</x:f>
        <x:v>No</x:v>
      </x:c>
      <x:c r="N3615" s="25" t="str">
        <x:f>IF(J3615&gt;=6,"Sí","No")</x:f>
        <x:v>No</x:v>
      </x:c>
      <x:c r="O3615" s="25" t="str">
        <x:v>Pendiente: asignar con R/sf</x:v>
      </x:c>
    </x:row>
    <x:row r="3616">
      <x:c r="A3616" s="25" t="n">
        <x:v>3615</x:v>
      </x:c>
      <x:c r="B3616" s="26" t="n">
        <x:v>45886.214155092595</x:v>
      </x:c>
      <x:c r="C3616" s="27" t="n">
        <x:f>INT(B3616)</x:f>
        <x:v>45886</x:v>
      </x:c>
      <x:c r="D3616" s="28" t="n">
        <x:f>MOD(B3616,1)</x:f>
        <x:v>0.21415509259531973</x:v>
      </x:c>
      <x:c r="E3616" s="29" t="n">
        <x:f>YEAR(B3616)</x:f>
        <x:v>2025</x:v>
      </x:c>
      <x:c r="F3616" s="29" t="n">
        <x:f>MONTH(B3616)</x:f>
        <x:v>8</x:v>
      </x:c>
      <x:c r="G3616" s="30" t="n">
        <x:v>-29.93</x:v>
      </x:c>
      <x:c r="H3616" s="30" t="n">
        <x:v>-71.4</x:v>
      </x:c>
      <x:c r="I3616" s="29" t="n">
        <x:v>50</x:v>
      </x:c>
      <x:c r="J3616" s="31" t="n">
        <x:v>4</x:v>
      </x:c>
      <x:c r="K3616" s="25" t="str">
        <x:f>IF(J3616&gt;=7,"Muy fuerte (&gt;=7)",IF(J3616&gt;=6,"Fuerte (6-6.9)",IF(J3616&gt;=5,"Moderado alto (5-5.9)",IF(J3616&gt;=4,"Moderado (4-4.9)","Menor a 4"))))</x:f>
        <x:v>Moderado (4-4.9)</x:v>
      </x:c>
      <x:c r="L3616" s="25" t="str">
        <x:f>IF(I3616&lt;70,"Superficial (&lt;70 km)",IF(I3616&lt;=300,"Intermedio (70-300 km)","Profundo (&gt;300 km)"))</x:f>
        <x:v>Superficial (&lt;70 km)</x:v>
      </x:c>
      <x:c r="M3616" s="25" t="str">
        <x:f>IF(J3616&gt;=5,"Sí","No")</x:f>
        <x:v>No</x:v>
      </x:c>
      <x:c r="N3616" s="25" t="str">
        <x:f>IF(J3616&gt;=6,"Sí","No")</x:f>
        <x:v>No</x:v>
      </x:c>
      <x:c r="O3616" s="25" t="str">
        <x:v>Pendiente: asignar con R/sf</x:v>
      </x:c>
    </x:row>
    <x:row r="3617">
      <x:c r="A3617" s="25" t="n">
        <x:v>3616</x:v>
      </x:c>
      <x:c r="B3617" s="26" t="n">
        <x:v>45960.88628472222</x:v>
      </x:c>
      <x:c r="C3617" s="27" t="n">
        <x:f>INT(B3617)</x:f>
        <x:v>45960</x:v>
      </x:c>
      <x:c r="D3617" s="28" t="n">
        <x:f>MOD(B3617,1)</x:f>
        <x:v>0.8862847222189885</x:v>
      </x:c>
      <x:c r="E3617" s="29" t="n">
        <x:f>YEAR(B3617)</x:f>
        <x:v>2025</x:v>
      </x:c>
      <x:c r="F3617" s="29" t="n">
        <x:f>MONTH(B3617)</x:f>
        <x:v>10</x:v>
      </x:c>
      <x:c r="G3617" s="30" t="n">
        <x:v>-34.76</x:v>
      </x:c>
      <x:c r="H3617" s="30" t="n">
        <x:v>-71.66</x:v>
      </x:c>
      <x:c r="I3617" s="29" t="n">
        <x:v>49</x:v>
      </x:c>
      <x:c r="J3617" s="31" t="n">
        <x:v>4.3</x:v>
      </x:c>
      <x:c r="K3617" s="25" t="str">
        <x:f>IF(J3617&gt;=7,"Muy fuerte (&gt;=7)",IF(J3617&gt;=6,"Fuerte (6-6.9)",IF(J3617&gt;=5,"Moderado alto (5-5.9)",IF(J3617&gt;=4,"Moderado (4-4.9)","Menor a 4"))))</x:f>
        <x:v>Moderado (4-4.9)</x:v>
      </x:c>
      <x:c r="L3617" s="25" t="str">
        <x:f>IF(I3617&lt;70,"Superficial (&lt;70 km)",IF(I3617&lt;=300,"Intermedio (70-300 km)","Profundo (&gt;300 km)"))</x:f>
        <x:v>Superficial (&lt;70 km)</x:v>
      </x:c>
      <x:c r="M3617" s="25" t="str">
        <x:f>IF(J3617&gt;=5,"Sí","No")</x:f>
        <x:v>No</x:v>
      </x:c>
      <x:c r="N3617" s="25" t="str">
        <x:f>IF(J3617&gt;=6,"Sí","No")</x:f>
        <x:v>No</x:v>
      </x:c>
      <x:c r="O3617" s="25" t="str">
        <x:v>Pendiente: asignar con R/sf</x:v>
      </x:c>
    </x:row>
    <x:row r="3618">
      <x:c r="A3618" s="25" t="n">
        <x:v>3617</x:v>
      </x:c>
      <x:c r="B3618" s="26" t="n">
        <x:v>45885.62615740741</x:v>
      </x:c>
      <x:c r="C3618" s="27" t="n">
        <x:f>INT(B3618)</x:f>
        <x:v>45885</x:v>
      </x:c>
      <x:c r="D3618" s="28" t="n">
        <x:f>MOD(B3618,1)</x:f>
        <x:v>0.6261574074087548</x:v>
      </x:c>
      <x:c r="E3618" s="29" t="n">
        <x:f>YEAR(B3618)</x:f>
        <x:v>2025</x:v>
      </x:c>
      <x:c r="F3618" s="29" t="n">
        <x:f>MONTH(B3618)</x:f>
        <x:v>8</x:v>
      </x:c>
      <x:c r="G3618" s="30" t="n">
        <x:v>-28.39</x:v>
      </x:c>
      <x:c r="H3618" s="30" t="n">
        <x:v>-70.67</x:v>
      </x:c>
      <x:c r="I3618" s="29" t="n">
        <x:v>72</x:v>
      </x:c>
      <x:c r="J3618" s="31" t="n">
        <x:v>3.8</x:v>
      </x:c>
      <x:c r="K3618" s="25" t="str">
        <x:f>IF(J3618&gt;=7,"Muy fuerte (&gt;=7)",IF(J3618&gt;=6,"Fuerte (6-6.9)",IF(J3618&gt;=5,"Moderado alto (5-5.9)",IF(J3618&gt;=4,"Moderado (4-4.9)","Menor a 4"))))</x:f>
        <x:v>Menor a 4</x:v>
      </x:c>
      <x:c r="L3618" s="25" t="str">
        <x:f>IF(I3618&lt;70,"Superficial (&lt;70 km)",IF(I3618&lt;=300,"Intermedio (70-300 km)","Profundo (&gt;300 km)"))</x:f>
        <x:v>Intermedio (70-300 km)</x:v>
      </x:c>
      <x:c r="M3618" s="25" t="str">
        <x:f>IF(J3618&gt;=5,"Sí","No")</x:f>
        <x:v>No</x:v>
      </x:c>
      <x:c r="N3618" s="25" t="str">
        <x:f>IF(J3618&gt;=6,"Sí","No")</x:f>
        <x:v>No</x:v>
      </x:c>
      <x:c r="O3618" s="25" t="str">
        <x:v>Pendiente: asignar con R/sf</x:v>
      </x:c>
    </x:row>
    <x:row r="3619">
      <x:c r="A3619" s="25" t="n">
        <x:v>3618</x:v>
      </x:c>
      <x:c r="B3619" s="26" t="n">
        <x:v>45707.236342592594</x:v>
      </x:c>
      <x:c r="C3619" s="27" t="n">
        <x:f>INT(B3619)</x:f>
        <x:v>45707</x:v>
      </x:c>
      <x:c r="D3619" s="28" t="n">
        <x:f>MOD(B3619,1)</x:f>
        <x:v>0.23634259259415558</x:v>
      </x:c>
      <x:c r="E3619" s="29" t="n">
        <x:f>YEAR(B3619)</x:f>
        <x:v>2025</x:v>
      </x:c>
      <x:c r="F3619" s="29" t="n">
        <x:f>MONTH(B3619)</x:f>
        <x:v>2</x:v>
      </x:c>
      <x:c r="G3619" s="30" t="n">
        <x:v>-26.29</x:v>
      </x:c>
      <x:c r="H3619" s="30" t="n">
        <x:v>-70.68</x:v>
      </x:c>
      <x:c r="I3619" s="29" t="n">
        <x:v>34</x:v>
      </x:c>
      <x:c r="J3619" s="31" t="n">
        <x:v>4.7</x:v>
      </x:c>
      <x:c r="K3619" s="25" t="str">
        <x:f>IF(J3619&gt;=7,"Muy fuerte (&gt;=7)",IF(J3619&gt;=6,"Fuerte (6-6.9)",IF(J3619&gt;=5,"Moderado alto (5-5.9)",IF(J3619&gt;=4,"Moderado (4-4.9)","Menor a 4"))))</x:f>
        <x:v>Moderado (4-4.9)</x:v>
      </x:c>
      <x:c r="L3619" s="25" t="str">
        <x:f>IF(I3619&lt;70,"Superficial (&lt;70 km)",IF(I3619&lt;=300,"Intermedio (70-300 km)","Profundo (&gt;300 km)"))</x:f>
        <x:v>Superficial (&lt;70 km)</x:v>
      </x:c>
      <x:c r="M3619" s="25" t="str">
        <x:f>IF(J3619&gt;=5,"Sí","No")</x:f>
        <x:v>No</x:v>
      </x:c>
      <x:c r="N3619" s="25" t="str">
        <x:f>IF(J3619&gt;=6,"Sí","No")</x:f>
        <x:v>No</x:v>
      </x:c>
      <x:c r="O3619" s="25" t="str">
        <x:v>Pendiente: asignar con R/sf</x:v>
      </x:c>
    </x:row>
    <x:row r="3620">
      <x:c r="A3620" s="25" t="n">
        <x:v>3619</x:v>
      </x:c>
      <x:c r="B3620" s="26" t="n">
        <x:v>45859.972592592596</x:v>
      </x:c>
      <x:c r="C3620" s="27" t="n">
        <x:f>INT(B3620)</x:f>
        <x:v>45859</x:v>
      </x:c>
      <x:c r="D3620" s="28" t="n">
        <x:f>MOD(B3620,1)</x:f>
        <x:v>0.9725925925959018</x:v>
      </x:c>
      <x:c r="E3620" s="29" t="n">
        <x:f>YEAR(B3620)</x:f>
        <x:v>2025</x:v>
      </x:c>
      <x:c r="F3620" s="29" t="n">
        <x:f>MONTH(B3620)</x:f>
        <x:v>7</x:v>
      </x:c>
      <x:c r="G3620" s="30" t="n">
        <x:v>-26.11</x:v>
      </x:c>
      <x:c r="H3620" s="30" t="n">
        <x:v>-69.24</x:v>
      </x:c>
      <x:c r="I3620" s="29" t="n">
        <x:v>109</x:v>
      </x:c>
      <x:c r="J3620" s="31" t="n">
        <x:v>4.4</x:v>
      </x:c>
      <x:c r="K3620" s="25" t="str">
        <x:f>IF(J3620&gt;=7,"Muy fuerte (&gt;=7)",IF(J3620&gt;=6,"Fuerte (6-6.9)",IF(J3620&gt;=5,"Moderado alto (5-5.9)",IF(J3620&gt;=4,"Moderado (4-4.9)","Menor a 4"))))</x:f>
        <x:v>Moderado (4-4.9)</x:v>
      </x:c>
      <x:c r="L3620" s="25" t="str">
        <x:f>IF(I3620&lt;70,"Superficial (&lt;70 km)",IF(I3620&lt;=300,"Intermedio (70-300 km)","Profundo (&gt;300 km)"))</x:f>
        <x:v>Intermedio (70-300 km)</x:v>
      </x:c>
      <x:c r="M3620" s="25" t="str">
        <x:f>IF(J3620&gt;=5,"Sí","No")</x:f>
        <x:v>No</x:v>
      </x:c>
      <x:c r="N3620" s="25" t="str">
        <x:f>IF(J3620&gt;=6,"Sí","No")</x:f>
        <x:v>No</x:v>
      </x:c>
      <x:c r="O3620" s="25" t="str">
        <x:v>Pendiente: asignar con R/sf</x:v>
      </x:c>
    </x:row>
    <x:row r="3621">
      <x:c r="A3621" s="25" t="n">
        <x:v>3620</x:v>
      </x:c>
      <x:c r="B3621" s="26" t="n">
        <x:v>45657.244421296295</x:v>
      </x:c>
      <x:c r="C3621" s="27" t="n">
        <x:f>INT(B3621)</x:f>
        <x:v>45657</x:v>
      </x:c>
      <x:c r="D3621" s="28" t="n">
        <x:f>MOD(B3621,1)</x:f>
        <x:v>0.24442129629460396</x:v>
      </x:c>
      <x:c r="E3621" s="29" t="n">
        <x:f>YEAR(B3621)</x:f>
        <x:v>2024</x:v>
      </x:c>
      <x:c r="F3621" s="29" t="n">
        <x:f>MONTH(B3621)</x:f>
        <x:v>12</x:v>
      </x:c>
      <x:c r="G3621" s="30" t="n">
        <x:v>-28.74</x:v>
      </x:c>
      <x:c r="H3621" s="30" t="n">
        <x:v>-70.14</x:v>
      </x:c>
      <x:c r="I3621" s="29" t="n">
        <x:v>102</x:v>
      </x:c>
      <x:c r="J3621" s="31" t="n">
        <x:v>3.9</x:v>
      </x:c>
      <x:c r="K3621" s="25" t="str">
        <x:f>IF(J3621&gt;=7,"Muy fuerte (&gt;=7)",IF(J3621&gt;=6,"Fuerte (6-6.9)",IF(J3621&gt;=5,"Moderado alto (5-5.9)",IF(J3621&gt;=4,"Moderado (4-4.9)","Menor a 4"))))</x:f>
        <x:v>Menor a 4</x:v>
      </x:c>
      <x:c r="L3621" s="25" t="str">
        <x:f>IF(I3621&lt;70,"Superficial (&lt;70 km)",IF(I3621&lt;=300,"Intermedio (70-300 km)","Profundo (&gt;300 km)"))</x:f>
        <x:v>Intermedio (70-300 km)</x:v>
      </x:c>
      <x:c r="M3621" s="25" t="str">
        <x:f>IF(J3621&gt;=5,"Sí","No")</x:f>
        <x:v>No</x:v>
      </x:c>
      <x:c r="N3621" s="25" t="str">
        <x:f>IF(J3621&gt;=6,"Sí","No")</x:f>
        <x:v>No</x:v>
      </x:c>
      <x:c r="O3621" s="25" t="str">
        <x:v>Pendiente: asignar con R/sf</x:v>
      </x:c>
    </x:row>
    <x:row r="3622">
      <x:c r="A3622" s="25" t="n">
        <x:v>3621</x:v>
      </x:c>
      <x:c r="B3622" s="26" t="n">
        <x:v>45871.283483796295</x:v>
      </x:c>
      <x:c r="C3622" s="27" t="n">
        <x:f>INT(B3622)</x:f>
        <x:v>45871</x:v>
      </x:c>
      <x:c r="D3622" s="28" t="n">
        <x:f>MOD(B3622,1)</x:f>
        <x:v>0.28348379629460396</x:v>
      </x:c>
      <x:c r="E3622" s="29" t="n">
        <x:f>YEAR(B3622)</x:f>
        <x:v>2025</x:v>
      </x:c>
      <x:c r="F3622" s="29" t="n">
        <x:f>MONTH(B3622)</x:f>
        <x:v>8</x:v>
      </x:c>
      <x:c r="G3622" s="30" t="n">
        <x:v>-29.08</x:v>
      </x:c>
      <x:c r="H3622" s="30" t="n">
        <x:v>-71.43</x:v>
      </x:c>
      <x:c r="I3622" s="29" t="n">
        <x:v>39</x:v>
      </x:c>
      <x:c r="J3622" s="31" t="n">
        <x:v>4.1</x:v>
      </x:c>
      <x:c r="K3622" s="25" t="str">
        <x:f>IF(J3622&gt;=7,"Muy fuerte (&gt;=7)",IF(J3622&gt;=6,"Fuerte (6-6.9)",IF(J3622&gt;=5,"Moderado alto (5-5.9)",IF(J3622&gt;=4,"Moderado (4-4.9)","Menor a 4"))))</x:f>
        <x:v>Moderado (4-4.9)</x:v>
      </x:c>
      <x:c r="L3622" s="25" t="str">
        <x:f>IF(I3622&lt;70,"Superficial (&lt;70 km)",IF(I3622&lt;=300,"Intermedio (70-300 km)","Profundo (&gt;300 km)"))</x:f>
        <x:v>Superficial (&lt;70 km)</x:v>
      </x:c>
      <x:c r="M3622" s="25" t="str">
        <x:f>IF(J3622&gt;=5,"Sí","No")</x:f>
        <x:v>No</x:v>
      </x:c>
      <x:c r="N3622" s="25" t="str">
        <x:f>IF(J3622&gt;=6,"Sí","No")</x:f>
        <x:v>No</x:v>
      </x:c>
      <x:c r="O3622" s="25" t="str">
        <x:v>Pendiente: asignar con R/sf</x:v>
      </x:c>
    </x:row>
    <x:row r="3623">
      <x:c r="A3623" s="25" t="n">
        <x:v>3622</x:v>
      </x:c>
      <x:c r="B3623" s="26" t="n">
        <x:v>45897.43708333333</x:v>
      </x:c>
      <x:c r="C3623" s="27" t="n">
        <x:f>INT(B3623)</x:f>
        <x:v>45897</x:v>
      </x:c>
      <x:c r="D3623" s="28" t="n">
        <x:f>MOD(B3623,1)</x:f>
        <x:v>0.43708333333051996</x:v>
      </x:c>
      <x:c r="E3623" s="29" t="n">
        <x:f>YEAR(B3623)</x:f>
        <x:v>2025</x:v>
      </x:c>
      <x:c r="F3623" s="29" t="n">
        <x:f>MONTH(B3623)</x:f>
        <x:v>8</x:v>
      </x:c>
      <x:c r="G3623" s="30" t="n">
        <x:v>-28.81</x:v>
      </x:c>
      <x:c r="H3623" s="30" t="n">
        <x:v>-70.41</x:v>
      </x:c>
      <x:c r="I3623" s="29" t="n">
        <x:v>102</x:v>
      </x:c>
      <x:c r="J3623" s="31" t="n">
        <x:v>3.9</x:v>
      </x:c>
      <x:c r="K3623" s="25" t="str">
        <x:f>IF(J3623&gt;=7,"Muy fuerte (&gt;=7)",IF(J3623&gt;=6,"Fuerte (6-6.9)",IF(J3623&gt;=5,"Moderado alto (5-5.9)",IF(J3623&gt;=4,"Moderado (4-4.9)","Menor a 4"))))</x:f>
        <x:v>Menor a 4</x:v>
      </x:c>
      <x:c r="L3623" s="25" t="str">
        <x:f>IF(I3623&lt;70,"Superficial (&lt;70 km)",IF(I3623&lt;=300,"Intermedio (70-300 km)","Profundo (&gt;300 km)"))</x:f>
        <x:v>Intermedio (70-300 km)</x:v>
      </x:c>
      <x:c r="M3623" s="25" t="str">
        <x:f>IF(J3623&gt;=5,"Sí","No")</x:f>
        <x:v>No</x:v>
      </x:c>
      <x:c r="N3623" s="25" t="str">
        <x:f>IF(J3623&gt;=6,"Sí","No")</x:f>
        <x:v>No</x:v>
      </x:c>
      <x:c r="O3623" s="25" t="str">
        <x:v>Pendiente: asignar con R/sf</x:v>
      </x:c>
    </x:row>
    <x:row r="3624">
      <x:c r="A3624" s="25" t="n">
        <x:v>3623</x:v>
      </x:c>
      <x:c r="B3624" s="26" t="n">
        <x:v>45912.24903935185</x:v>
      </x:c>
      <x:c r="C3624" s="27" t="n">
        <x:f>INT(B3624)</x:f>
        <x:v>45912</x:v>
      </x:c>
      <x:c r="D3624" s="28" t="n">
        <x:f>MOD(B3624,1)</x:f>
        <x:v>0.24903935185284354</x:v>
      </x:c>
      <x:c r="E3624" s="29" t="n">
        <x:f>YEAR(B3624)</x:f>
        <x:v>2025</x:v>
      </x:c>
      <x:c r="F3624" s="29" t="n">
        <x:f>MONTH(B3624)</x:f>
        <x:v>9</x:v>
      </x:c>
      <x:c r="G3624" s="30" t="n">
        <x:v>-28.69</x:v>
      </x:c>
      <x:c r="H3624" s="30" t="n">
        <x:v>-70.38</x:v>
      </x:c>
      <x:c r="I3624" s="29" t="n">
        <x:v>92</x:v>
      </x:c>
      <x:c r="J3624" s="31" t="n">
        <x:v>4.2</x:v>
      </x:c>
      <x:c r="K3624" s="25" t="str">
        <x:f>IF(J3624&gt;=7,"Muy fuerte (&gt;=7)",IF(J3624&gt;=6,"Fuerte (6-6.9)",IF(J3624&gt;=5,"Moderado alto (5-5.9)",IF(J3624&gt;=4,"Moderado (4-4.9)","Menor a 4"))))</x:f>
        <x:v>Moderado (4-4.9)</x:v>
      </x:c>
      <x:c r="L3624" s="25" t="str">
        <x:f>IF(I3624&lt;70,"Superficial (&lt;70 km)",IF(I3624&lt;=300,"Intermedio (70-300 km)","Profundo (&gt;300 km)"))</x:f>
        <x:v>Intermedio (70-300 km)</x:v>
      </x:c>
      <x:c r="M3624" s="25" t="str">
        <x:f>IF(J3624&gt;=5,"Sí","No")</x:f>
        <x:v>No</x:v>
      </x:c>
      <x:c r="N3624" s="25" t="str">
        <x:f>IF(J3624&gt;=6,"Sí","No")</x:f>
        <x:v>No</x:v>
      </x:c>
      <x:c r="O3624" s="25" t="str">
        <x:v>Pendiente: asignar con R/sf</x:v>
      </x:c>
    </x:row>
    <x:row r="3625">
      <x:c r="A3625" s="25" t="n">
        <x:v>3624</x:v>
      </x:c>
      <x:c r="B3625" s="26" t="n">
        <x:v>45613.45175925926</x:v>
      </x:c>
      <x:c r="C3625" s="27" t="n">
        <x:f>INT(B3625)</x:f>
        <x:v>45613</x:v>
      </x:c>
      <x:c r="D3625" s="28" t="n">
        <x:f>MOD(B3625,1)</x:f>
        <x:v>0.45175925926014315</x:v>
      </x:c>
      <x:c r="E3625" s="29" t="n">
        <x:f>YEAR(B3625)</x:f>
        <x:v>2024</x:v>
      </x:c>
      <x:c r="F3625" s="29" t="n">
        <x:f>MONTH(B3625)</x:f>
        <x:v>11</x:v>
      </x:c>
      <x:c r="G3625" s="30" t="n">
        <x:v>-29.67</x:v>
      </x:c>
      <x:c r="H3625" s="30" t="n">
        <x:v>-70.7</x:v>
      </x:c>
      <x:c r="I3625" s="29" t="n">
        <x:v>74</x:v>
      </x:c>
      <x:c r="J3625" s="31" t="n">
        <x:v>3.5</x:v>
      </x:c>
      <x:c r="K3625" s="25" t="str">
        <x:f>IF(J3625&gt;=7,"Muy fuerte (&gt;=7)",IF(J3625&gt;=6,"Fuerte (6-6.9)",IF(J3625&gt;=5,"Moderado alto (5-5.9)",IF(J3625&gt;=4,"Moderado (4-4.9)","Menor a 4"))))</x:f>
        <x:v>Menor a 4</x:v>
      </x:c>
      <x:c r="L3625" s="25" t="str">
        <x:f>IF(I3625&lt;70,"Superficial (&lt;70 km)",IF(I3625&lt;=300,"Intermedio (70-300 km)","Profundo (&gt;300 km)"))</x:f>
        <x:v>Intermedio (70-300 km)</x:v>
      </x:c>
      <x:c r="M3625" s="25" t="str">
        <x:f>IF(J3625&gt;=5,"Sí","No")</x:f>
        <x:v>No</x:v>
      </x:c>
      <x:c r="N3625" s="25" t="str">
        <x:f>IF(J3625&gt;=6,"Sí","No")</x:f>
        <x:v>No</x:v>
      </x:c>
      <x:c r="O3625" s="25" t="str">
        <x:v>Pendiente: asignar con R/sf</x:v>
      </x:c>
    </x:row>
    <x:row r="3626">
      <x:c r="A3626" s="25" t="n">
        <x:v>3625</x:v>
      </x:c>
      <x:c r="B3626" s="26" t="n">
        <x:v>45922.66751157407</x:v>
      </x:c>
      <x:c r="C3626" s="27" t="n">
        <x:f>INT(B3626)</x:f>
        <x:v>45922</x:v>
      </x:c>
      <x:c r="D3626" s="28" t="n">
        <x:f>MOD(B3626,1)</x:f>
        <x:v>0.6675115740727051</x:v>
      </x:c>
      <x:c r="E3626" s="29" t="n">
        <x:f>YEAR(B3626)</x:f>
        <x:v>2025</x:v>
      </x:c>
      <x:c r="F3626" s="29" t="n">
        <x:f>MONTH(B3626)</x:f>
        <x:v>9</x:v>
      </x:c>
      <x:c r="G3626" s="30" t="n">
        <x:v>-29.31</x:v>
      </x:c>
      <x:c r="H3626" s="30" t="n">
        <x:v>-71.23</x:v>
      </x:c>
      <x:c r="I3626" s="29" t="n">
        <x:v>47</x:v>
      </x:c>
      <x:c r="J3626" s="31" t="n">
        <x:v>4.5</x:v>
      </x:c>
      <x:c r="K3626" s="25" t="str">
        <x:f>IF(J3626&gt;=7,"Muy fuerte (&gt;=7)",IF(J3626&gt;=6,"Fuerte (6-6.9)",IF(J3626&gt;=5,"Moderado alto (5-5.9)",IF(J3626&gt;=4,"Moderado (4-4.9)","Menor a 4"))))</x:f>
        <x:v>Moderado (4-4.9)</x:v>
      </x:c>
      <x:c r="L3626" s="25" t="str">
        <x:f>IF(I3626&lt;70,"Superficial (&lt;70 km)",IF(I3626&lt;=300,"Intermedio (70-300 km)","Profundo (&gt;300 km)"))</x:f>
        <x:v>Superficial (&lt;70 km)</x:v>
      </x:c>
      <x:c r="M3626" s="25" t="str">
        <x:f>IF(J3626&gt;=5,"Sí","No")</x:f>
        <x:v>No</x:v>
      </x:c>
      <x:c r="N3626" s="25" t="str">
        <x:f>IF(J3626&gt;=6,"Sí","No")</x:f>
        <x:v>No</x:v>
      </x:c>
      <x:c r="O3626" s="25" t="str">
        <x:v>Pendiente: asignar con R/sf</x:v>
      </x:c>
    </x:row>
    <x:row r="3627">
      <x:c r="A3627" s="25" t="n">
        <x:v>3626</x:v>
      </x:c>
      <x:c r="B3627" s="26" t="n">
        <x:v>45976.259675925925</x:v>
      </x:c>
      <x:c r="C3627" s="27" t="n">
        <x:f>INT(B3627)</x:f>
        <x:v>45976</x:v>
      </x:c>
      <x:c r="D3627" s="28" t="n">
        <x:f>MOD(B3627,1)</x:f>
        <x:v>0.2596759259249666</x:v>
      </x:c>
      <x:c r="E3627" s="29" t="n">
        <x:f>YEAR(B3627)</x:f>
        <x:v>2025</x:v>
      </x:c>
      <x:c r="F3627" s="29" t="n">
        <x:f>MONTH(B3627)</x:f>
        <x:v>11</x:v>
      </x:c>
      <x:c r="G3627" s="30" t="n">
        <x:v>-28.87</x:v>
      </x:c>
      <x:c r="H3627" s="30" t="n">
        <x:v>-71.35</x:v>
      </x:c>
      <x:c r="I3627" s="29" t="n">
        <x:v>43</x:v>
      </x:c>
      <x:c r="J3627" s="31" t="n">
        <x:v>5.1</x:v>
      </x:c>
      <x:c r="K3627" s="25" t="str">
        <x:f>IF(J3627&gt;=7,"Muy fuerte (&gt;=7)",IF(J3627&gt;=6,"Fuerte (6-6.9)",IF(J3627&gt;=5,"Moderado alto (5-5.9)",IF(J3627&gt;=4,"Moderado (4-4.9)","Menor a 4"))))</x:f>
        <x:v>Moderado alto (5-5.9)</x:v>
      </x:c>
      <x:c r="L3627" s="25" t="str">
        <x:f>IF(I3627&lt;70,"Superficial (&lt;70 km)",IF(I3627&lt;=300,"Intermedio (70-300 km)","Profundo (&gt;300 km)"))</x:f>
        <x:v>Superficial (&lt;70 km)</x:v>
      </x:c>
      <x:c r="M3627" s="25" t="str">
        <x:f>IF(J3627&gt;=5,"Sí","No")</x:f>
        <x:v>Sí</x:v>
      </x:c>
      <x:c r="N3627" s="25" t="str">
        <x:f>IF(J3627&gt;=6,"Sí","No")</x:f>
        <x:v>No</x:v>
      </x:c>
      <x:c r="O3627" s="25" t="str">
        <x:v>Pendiente: asignar con R/sf</x:v>
      </x:c>
    </x:row>
    <x:row r="3628">
      <x:c r="A3628" s="25" t="n">
        <x:v>3627</x:v>
      </x:c>
      <x:c r="B3628" s="26" t="n">
        <x:v>45976.27365740741</x:v>
      </x:c>
      <x:c r="C3628" s="27" t="n">
        <x:f>INT(B3628)</x:f>
        <x:v>45976</x:v>
      </x:c>
      <x:c r="D3628" s="28" t="n">
        <x:f>MOD(B3628,1)</x:f>
        <x:v>0.2736574074078817</x:v>
      </x:c>
      <x:c r="E3628" s="29" t="n">
        <x:f>YEAR(B3628)</x:f>
        <x:v>2025</x:v>
      </x:c>
      <x:c r="F3628" s="29" t="n">
        <x:f>MONTH(B3628)</x:f>
        <x:v>11</x:v>
      </x:c>
      <x:c r="G3628" s="30" t="n">
        <x:v>-28.86</x:v>
      </x:c>
      <x:c r="H3628" s="30" t="n">
        <x:v>-71.44</x:v>
      </x:c>
      <x:c r="I3628" s="29" t="n">
        <x:v>45</x:v>
      </x:c>
      <x:c r="J3628" s="31" t="n">
        <x:v>4.1</x:v>
      </x:c>
      <x:c r="K3628" s="25" t="str">
        <x:f>IF(J3628&gt;=7,"Muy fuerte (&gt;=7)",IF(J3628&gt;=6,"Fuerte (6-6.9)",IF(J3628&gt;=5,"Moderado alto (5-5.9)",IF(J3628&gt;=4,"Moderado (4-4.9)","Menor a 4"))))</x:f>
        <x:v>Moderado (4-4.9)</x:v>
      </x:c>
      <x:c r="L3628" s="25" t="str">
        <x:f>IF(I3628&lt;70,"Superficial (&lt;70 km)",IF(I3628&lt;=300,"Intermedio (70-300 km)","Profundo (&gt;300 km)"))</x:f>
        <x:v>Superficial (&lt;70 km)</x:v>
      </x:c>
      <x:c r="M3628" s="25" t="str">
        <x:f>IF(J3628&gt;=5,"Sí","No")</x:f>
        <x:v>No</x:v>
      </x:c>
      <x:c r="N3628" s="25" t="str">
        <x:f>IF(J3628&gt;=6,"Sí","No")</x:f>
        <x:v>No</x:v>
      </x:c>
      <x:c r="O3628" s="25" t="str">
        <x:v>Pendiente: asignar con R/sf</x:v>
      </x:c>
    </x:row>
    <x:row r="3629">
      <x:c r="A3629" s="25" t="n">
        <x:v>3628</x:v>
      </x:c>
      <x:c r="B3629" s="26" t="n">
        <x:v>45985.06445601852</x:v>
      </x:c>
      <x:c r="C3629" s="27" t="n">
        <x:f>INT(B3629)</x:f>
        <x:v>45985</x:v>
      </x:c>
      <x:c r="D3629" s="28" t="n">
        <x:f>MOD(B3629,1)</x:f>
        <x:v>0.06445601851737592</x:v>
      </x:c>
      <x:c r="E3629" s="29" t="n">
        <x:f>YEAR(B3629)</x:f>
        <x:v>2025</x:v>
      </x:c>
      <x:c r="F3629" s="29" t="n">
        <x:f>MONTH(B3629)</x:f>
        <x:v>11</x:v>
      </x:c>
      <x:c r="G3629" s="30" t="n">
        <x:v>-28.61</x:v>
      </x:c>
      <x:c r="H3629" s="30" t="n">
        <x:v>-70.4</x:v>
      </x:c>
      <x:c r="I3629" s="29" t="n">
        <x:v>95</x:v>
      </x:c>
      <x:c r="J3629" s="31" t="n">
        <x:v>4.1</x:v>
      </x:c>
      <x:c r="K3629" s="25" t="str">
        <x:f>IF(J3629&gt;=7,"Muy fuerte (&gt;=7)",IF(J3629&gt;=6,"Fuerte (6-6.9)",IF(J3629&gt;=5,"Moderado alto (5-5.9)",IF(J3629&gt;=4,"Moderado (4-4.9)","Menor a 4"))))</x:f>
        <x:v>Moderado (4-4.9)</x:v>
      </x:c>
      <x:c r="L3629" s="25" t="str">
        <x:f>IF(I3629&lt;70,"Superficial (&lt;70 km)",IF(I3629&lt;=300,"Intermedio (70-300 km)","Profundo (&gt;300 km)"))</x:f>
        <x:v>Intermedio (70-300 km)</x:v>
      </x:c>
      <x:c r="M3629" s="25" t="str">
        <x:f>IF(J3629&gt;=5,"Sí","No")</x:f>
        <x:v>No</x:v>
      </x:c>
      <x:c r="N3629" s="25" t="str">
        <x:f>IF(J3629&gt;=6,"Sí","No")</x:f>
        <x:v>No</x:v>
      </x:c>
      <x:c r="O3629" s="25" t="str">
        <x:v>Pendiente: asignar con R/sf</x:v>
      </x:c>
    </x:row>
    <x:row r="3630">
      <x:c r="A3630" s="25" t="n">
        <x:v>3629</x:v>
      </x:c>
      <x:c r="B3630" s="26" t="n">
        <x:v>46016.02701388889</x:v>
      </x:c>
      <x:c r="C3630" s="27" t="n">
        <x:f>INT(B3630)</x:f>
        <x:v>46016</x:v>
      </x:c>
      <x:c r="D3630" s="28" t="n">
        <x:f>MOD(B3630,1)</x:f>
        <x:v>0.027013888888177462</x:v>
      </x:c>
      <x:c r="E3630" s="29" t="n">
        <x:f>YEAR(B3630)</x:f>
        <x:v>2025</x:v>
      </x:c>
      <x:c r="F3630" s="29" t="n">
        <x:f>MONTH(B3630)</x:f>
        <x:v>12</x:v>
      </x:c>
      <x:c r="G3630" s="30" t="n">
        <x:v>-28.85</x:v>
      </x:c>
      <x:c r="H3630" s="30" t="n">
        <x:v>-71.43</x:v>
      </x:c>
      <x:c r="I3630" s="29" t="n">
        <x:v>30</x:v>
      </x:c>
      <x:c r="J3630" s="31" t="n">
        <x:v>4.1</x:v>
      </x:c>
      <x:c r="K3630" s="25" t="str">
        <x:f>IF(J3630&gt;=7,"Muy fuerte (&gt;=7)",IF(J3630&gt;=6,"Fuerte (6-6.9)",IF(J3630&gt;=5,"Moderado alto (5-5.9)",IF(J3630&gt;=4,"Moderado (4-4.9)","Menor a 4"))))</x:f>
        <x:v>Moderado (4-4.9)</x:v>
      </x:c>
      <x:c r="L3630" s="25" t="str">
        <x:f>IF(I3630&lt;70,"Superficial (&lt;70 km)",IF(I3630&lt;=300,"Intermedio (70-300 km)","Profundo (&gt;300 km)"))</x:f>
        <x:v>Superficial (&lt;70 km)</x:v>
      </x:c>
      <x:c r="M3630" s="25" t="str">
        <x:f>IF(J3630&gt;=5,"Sí","No")</x:f>
        <x:v>No</x:v>
      </x:c>
      <x:c r="N3630" s="25" t="str">
        <x:f>IF(J3630&gt;=6,"Sí","No")</x:f>
        <x:v>No</x:v>
      </x:c>
      <x:c r="O3630" s="25" t="str">
        <x:v>Pendiente: asignar con R/sf</x:v>
      </x:c>
    </x:row>
    <x:row r="3631">
      <x:c r="A3631" s="25" t="n">
        <x:v>3630</x:v>
      </x:c>
      <x:c r="B3631" s="26" t="n">
        <x:v>46021.407164351855</x:v>
      </x:c>
      <x:c r="C3631" s="27" t="n">
        <x:f>INT(B3631)</x:f>
        <x:v>46021</x:v>
      </x:c>
      <x:c r="D3631" s="28" t="n">
        <x:f>MOD(B3631,1)</x:f>
        <x:v>0.40716435185458977</x:v>
      </x:c>
      <x:c r="E3631" s="29" t="n">
        <x:f>YEAR(B3631)</x:f>
        <x:v>2025</x:v>
      </x:c>
      <x:c r="F3631" s="29" t="n">
        <x:f>MONTH(B3631)</x:f>
        <x:v>12</x:v>
      </x:c>
      <x:c r="G3631" s="30" t="n">
        <x:v>-28.56</x:v>
      </x:c>
      <x:c r="H3631" s="30" t="n">
        <x:v>-71.36</x:v>
      </x:c>
      <x:c r="I3631" s="29" t="n">
        <x:v>26</x:v>
      </x:c>
      <x:c r="J3631" s="31" t="n">
        <x:v>4.2</x:v>
      </x:c>
      <x:c r="K3631" s="25" t="str">
        <x:f>IF(J3631&gt;=7,"Muy fuerte (&gt;=7)",IF(J3631&gt;=6,"Fuerte (6-6.9)",IF(J3631&gt;=5,"Moderado alto (5-5.9)",IF(J3631&gt;=4,"Moderado (4-4.9)","Menor a 4"))))</x:f>
        <x:v>Moderado (4-4.9)</x:v>
      </x:c>
      <x:c r="L3631" s="25" t="str">
        <x:f>IF(I3631&lt;70,"Superficial (&lt;70 km)",IF(I3631&lt;=300,"Intermedio (70-300 km)","Profundo (&gt;300 km)"))</x:f>
        <x:v>Superficial (&lt;70 km)</x:v>
      </x:c>
      <x:c r="M3631" s="25" t="str">
        <x:f>IF(J3631&gt;=5,"Sí","No")</x:f>
        <x:v>No</x:v>
      </x:c>
      <x:c r="N3631" s="25" t="str">
        <x:f>IF(J3631&gt;=6,"Sí","No")</x:f>
        <x:v>No</x:v>
      </x:c>
      <x:c r="O3631" s="25" t="str">
        <x:v>Pendiente: asignar con R/sf</x:v>
      </x:c>
    </x:row>
    <x:row r="3632">
      <x:c r="A3632" s="25" t="n">
        <x:v>3631</x:v>
      </x:c>
      <x:c r="B3632" s="26" t="n">
        <x:v>46023.48606481482</x:v>
      </x:c>
      <x:c r="C3632" s="27" t="n">
        <x:f>INT(B3632)</x:f>
        <x:v>46023</x:v>
      </x:c>
      <x:c r="D3632" s="28" t="n">
        <x:f>MOD(B3632,1)</x:f>
        <x:v>0.48606481481692754</x:v>
      </x:c>
      <x:c r="E3632" s="29" t="n">
        <x:f>YEAR(B3632)</x:f>
        <x:v>2026</x:v>
      </x:c>
      <x:c r="F3632" s="29" t="n">
        <x:f>MONTH(B3632)</x:f>
        <x:v>1</x:v>
      </x:c>
      <x:c r="G3632" s="30" t="n">
        <x:v>-29.17</x:v>
      </x:c>
      <x:c r="H3632" s="30" t="n">
        <x:v>-71.43</x:v>
      </x:c>
      <x:c r="I3632" s="29" t="n">
        <x:v>48</x:v>
      </x:c>
      <x:c r="J3632" s="31" t="n">
        <x:v>4</x:v>
      </x:c>
      <x:c r="K3632" s="25" t="str">
        <x:f>IF(J3632&gt;=7,"Muy fuerte (&gt;=7)",IF(J3632&gt;=6,"Fuerte (6-6.9)",IF(J3632&gt;=5,"Moderado alto (5-5.9)",IF(J3632&gt;=4,"Moderado (4-4.9)","Menor a 4"))))</x:f>
        <x:v>Moderado (4-4.9)</x:v>
      </x:c>
      <x:c r="L3632" s="25" t="str">
        <x:f>IF(I3632&lt;70,"Superficial (&lt;70 km)",IF(I3632&lt;=300,"Intermedio (70-300 km)","Profundo (&gt;300 km)"))</x:f>
        <x:v>Superficial (&lt;70 km)</x:v>
      </x:c>
      <x:c r="M3632" s="25" t="str">
        <x:f>IF(J3632&gt;=5,"Sí","No")</x:f>
        <x:v>No</x:v>
      </x:c>
      <x:c r="N3632" s="25" t="str">
        <x:f>IF(J3632&gt;=6,"Sí","No")</x:f>
        <x:v>No</x:v>
      </x:c>
      <x:c r="O3632" s="25" t="str">
        <x:v>Pendiente: asignar con R/sf</x:v>
      </x:c>
    </x:row>
    <x:row r="3633">
      <x:c r="A3633" s="25" t="n">
        <x:v>3632</x:v>
      </x:c>
      <x:c r="B3633" s="26" t="n">
        <x:v>46082.83603009259</x:v>
      </x:c>
      <x:c r="C3633" s="27" t="n">
        <x:f>INT(B3633)</x:f>
        <x:v>46082</x:v>
      </x:c>
      <x:c r="D3633" s="28" t="n">
        <x:f>MOD(B3633,1)</x:f>
        <x:v>0.8360300925924093</x:v>
      </x:c>
      <x:c r="E3633" s="29" t="n">
        <x:f>YEAR(B3633)</x:f>
        <x:v>2026</x:v>
      </x:c>
      <x:c r="F3633" s="29" t="n">
        <x:f>MONTH(B3633)</x:f>
        <x:v>3</x:v>
      </x:c>
      <x:c r="G3633" s="30" t="n">
        <x:v>-22.09</x:v>
      </x:c>
      <x:c r="H3633" s="30" t="n">
        <x:v>-68.72</x:v>
      </x:c>
      <x:c r="I3633" s="29" t="n">
        <x:v>114</x:v>
      </x:c>
      <x:c r="J3633" s="31" t="n">
        <x:v>5.6</x:v>
      </x:c>
      <x:c r="K3633" s="25" t="str">
        <x:f>IF(J3633&gt;=7,"Muy fuerte (&gt;=7)",IF(J3633&gt;=6,"Fuerte (6-6.9)",IF(J3633&gt;=5,"Moderado alto (5-5.9)",IF(J3633&gt;=4,"Moderado (4-4.9)","Menor a 4"))))</x:f>
        <x:v>Moderado alto (5-5.9)</x:v>
      </x:c>
      <x:c r="L3633" s="25" t="str">
        <x:f>IF(I3633&lt;70,"Superficial (&lt;70 km)",IF(I3633&lt;=300,"Intermedio (70-300 km)","Profundo (&gt;300 km)"))</x:f>
        <x:v>Intermedio (70-300 km)</x:v>
      </x:c>
      <x:c r="M3633" s="25" t="str">
        <x:f>IF(J3633&gt;=5,"Sí","No")</x:f>
        <x:v>Sí</x:v>
      </x:c>
      <x:c r="N3633" s="25" t="str">
        <x:f>IF(J3633&gt;=6,"Sí","No")</x:f>
        <x:v>No</x:v>
      </x:c>
      <x:c r="O3633" s="25" t="str">
        <x:v>Pendiente: asignar con R/sf</x:v>
      </x:c>
    </x:row>
    <x:row r="3634">
      <x:c r="A3634" s="25" t="n">
        <x:v>3633</x:v>
      </x:c>
      <x:c r="B3634" s="26" t="n">
        <x:v>46086.0474537037</x:v>
      </x:c>
      <x:c r="C3634" s="27" t="n">
        <x:f>INT(B3634)</x:f>
        <x:v>46086</x:v>
      </x:c>
      <x:c r="D3634" s="28" t="n">
        <x:f>MOD(B3634,1)</x:f>
        <x:v>0.047453703700739425</x:v>
      </x:c>
      <x:c r="E3634" s="29" t="n">
        <x:f>YEAR(B3634)</x:f>
        <x:v>2026</x:v>
      </x:c>
      <x:c r="F3634" s="29" t="n">
        <x:f>MONTH(B3634)</x:f>
        <x:v>3</x:v>
      </x:c>
      <x:c r="G3634" s="30" t="n">
        <x:v>-29.67</x:v>
      </x:c>
      <x:c r="H3634" s="30" t="n">
        <x:v>-71.53</x:v>
      </x:c>
      <x:c r="I3634" s="29" t="n">
        <x:v>51</x:v>
      </x:c>
      <x:c r="J3634" s="31" t="n">
        <x:v>5</x:v>
      </x:c>
      <x:c r="K3634" s="25" t="str">
        <x:f>IF(J3634&gt;=7,"Muy fuerte (&gt;=7)",IF(J3634&gt;=6,"Fuerte (6-6.9)",IF(J3634&gt;=5,"Moderado alto (5-5.9)",IF(J3634&gt;=4,"Moderado (4-4.9)","Menor a 4"))))</x:f>
        <x:v>Moderado alto (5-5.9)</x:v>
      </x:c>
      <x:c r="L3634" s="25" t="str">
        <x:f>IF(I3634&lt;70,"Superficial (&lt;70 km)",IF(I3634&lt;=300,"Intermedio (70-300 km)","Profundo (&gt;300 km)"))</x:f>
        <x:v>Superficial (&lt;70 km)</x:v>
      </x:c>
      <x:c r="M3634" s="25" t="str">
        <x:f>IF(J3634&gt;=5,"Sí","No")</x:f>
        <x:v>Sí</x:v>
      </x:c>
      <x:c r="N3634" s="25" t="str">
        <x:f>IF(J3634&gt;=6,"Sí","No")</x:f>
        <x:v>No</x:v>
      </x:c>
      <x:c r="O3634" s="25" t="str">
        <x:v>Pendiente: asignar con R/sf</x:v>
      </x:c>
    </x:row>
    <x:row r="3635">
      <x:c r="A3635" s="25" t="n">
        <x:v>3634</x:v>
      </x:c>
      <x:c r="B3635" s="26" t="n">
        <x:v>46094.56899305555</x:v>
      </x:c>
      <x:c r="C3635" s="27" t="n">
        <x:f>INT(B3635)</x:f>
        <x:v>46094</x:v>
      </x:c>
      <x:c r="D3635" s="28" t="n">
        <x:f>MOD(B3635,1)</x:f>
        <x:v>0.5689930555527098</x:v>
      </x:c>
      <x:c r="E3635" s="29" t="n">
        <x:f>YEAR(B3635)</x:f>
        <x:v>2026</x:v>
      </x:c>
      <x:c r="F3635" s="29" t="n">
        <x:f>MONTH(B3635)</x:f>
        <x:v>3</x:v>
      </x:c>
      <x:c r="G3635" s="30" t="n">
        <x:v>-28.63</x:v>
      </x:c>
      <x:c r="H3635" s="30" t="n">
        <x:v>-71.78</x:v>
      </x:c>
      <x:c r="I3635" s="29" t="n">
        <x:v>30</x:v>
      </x:c>
      <x:c r="J3635" s="31" t="n">
        <x:v>6.4</x:v>
      </x:c>
      <x:c r="K3635" s="25" t="str">
        <x:f>IF(J3635&gt;=7,"Muy fuerte (&gt;=7)",IF(J3635&gt;=6,"Fuerte (6-6.9)",IF(J3635&gt;=5,"Moderado alto (5-5.9)",IF(J3635&gt;=4,"Moderado (4-4.9)","Menor a 4"))))</x:f>
        <x:v>Fuerte (6-6.9)</x:v>
      </x:c>
      <x:c r="L3635" s="25" t="str">
        <x:f>IF(I3635&lt;70,"Superficial (&lt;70 km)",IF(I3635&lt;=300,"Intermedio (70-300 km)","Profundo (&gt;300 km)"))</x:f>
        <x:v>Superficial (&lt;70 km)</x:v>
      </x:c>
      <x:c r="M3635" s="25" t="str">
        <x:f>IF(J3635&gt;=5,"Sí","No")</x:f>
        <x:v>Sí</x:v>
      </x:c>
      <x:c r="N3635" s="25" t="str">
        <x:f>IF(J3635&gt;=6,"Sí","No")</x:f>
        <x:v>Sí</x:v>
      </x:c>
      <x:c r="O3635" s="25" t="str">
        <x:v>Pendiente: asignar con R/sf</x:v>
      </x:c>
    </x:row>
    <x:row r="3636">
      <x:c r="A3636" s="25" t="n">
        <x:v>3635</x:v>
      </x:c>
      <x:c r="B3636" s="26" t="n">
        <x:v>46102.417083333334</x:v>
      </x:c>
      <x:c r="C3636" s="27" t="n">
        <x:f>INT(B3636)</x:f>
        <x:v>46102</x:v>
      </x:c>
      <x:c r="D3636" s="28" t="n">
        <x:f>MOD(B3636,1)</x:f>
        <x:v>0.4170833333337214</x:v>
      </x:c>
      <x:c r="E3636" s="29" t="n">
        <x:f>YEAR(B3636)</x:f>
        <x:v>2026</x:v>
      </x:c>
      <x:c r="F3636" s="29" t="n">
        <x:f>MONTH(B3636)</x:f>
        <x:v>3</x:v>
      </x:c>
      <x:c r="G3636" s="30" t="n">
        <x:v>-24.1</x:v>
      </x:c>
      <x:c r="H3636" s="30" t="n">
        <x:v>-67.09</x:v>
      </x:c>
      <x:c r="I3636" s="29" t="n">
        <x:v>227</x:v>
      </x:c>
      <x:c r="J3636" s="31" t="n">
        <x:v>5.7</x:v>
      </x:c>
      <x:c r="K3636" s="25" t="str">
        <x:f>IF(J3636&gt;=7,"Muy fuerte (&gt;=7)",IF(J3636&gt;=6,"Fuerte (6-6.9)",IF(J3636&gt;=5,"Moderado alto (5-5.9)",IF(J3636&gt;=4,"Moderado (4-4.9)","Menor a 4"))))</x:f>
        <x:v>Moderado alto (5-5.9)</x:v>
      </x:c>
      <x:c r="L3636" s="25" t="str">
        <x:f>IF(I3636&lt;70,"Superficial (&lt;70 km)",IF(I3636&lt;=300,"Intermedio (70-300 km)","Profundo (&gt;300 km)"))</x:f>
        <x:v>Intermedio (70-300 km)</x:v>
      </x:c>
      <x:c r="M3636" s="25" t="str">
        <x:f>IF(J3636&gt;=5,"Sí","No")</x:f>
        <x:v>Sí</x:v>
      </x:c>
      <x:c r="N3636" s="25" t="str">
        <x:f>IF(J3636&gt;=6,"Sí","No")</x:f>
        <x:v>No</x:v>
      </x:c>
      <x:c r="O3636" s="25" t="str">
        <x:v>Pendiente: asignar con R/sf</x:v>
      </x:c>
    </x:row>
    <x:row r="3637">
      <x:c r="A3637" s="25" t="n">
        <x:v>3636</x:v>
      </x:c>
      <x:c r="B3637" s="26" t="n">
        <x:v>45247.2037037037</x:v>
      </x:c>
      <x:c r="C3637" s="27" t="n">
        <x:f>INT(B3637)</x:f>
        <x:v>45247</x:v>
      </x:c>
      <x:c r="D3637" s="28" t="n">
        <x:f>MOD(B3637,1)</x:f>
        <x:v>0.20370370370073942</x:v>
      </x:c>
      <x:c r="E3637" s="29" t="n">
        <x:f>YEAR(B3637)</x:f>
        <x:v>2023</x:v>
      </x:c>
      <x:c r="F3637" s="29" t="n">
        <x:f>MONTH(B3637)</x:f>
        <x:v>11</x:v>
      </x:c>
      <x:c r="G3637" s="30" t="n">
        <x:v>-33.35</x:v>
      </x:c>
      <x:c r="H3637" s="30" t="n">
        <x:v>-71.73</x:v>
      </x:c>
      <x:c r="I3637" s="29" t="n">
        <x:v>31</x:v>
      </x:c>
      <x:c r="J3637" s="31" t="n">
        <x:v>3.4</x:v>
      </x:c>
      <x:c r="K3637" s="25" t="str">
        <x:f>IF(J3637&gt;=7,"Muy fuerte (&gt;=7)",IF(J3637&gt;=6,"Fuerte (6-6.9)",IF(J3637&gt;=5,"Moderado alto (5-5.9)",IF(J3637&gt;=4,"Moderado (4-4.9)","Menor a 4"))))</x:f>
        <x:v>Menor a 4</x:v>
      </x:c>
      <x:c r="L3637" s="25" t="str">
        <x:f>IF(I3637&lt;70,"Superficial (&lt;70 km)",IF(I3637&lt;=300,"Intermedio (70-300 km)","Profundo (&gt;300 km)"))</x:f>
        <x:v>Superficial (&lt;70 km)</x:v>
      </x:c>
      <x:c r="M3637" s="25" t="str">
        <x:f>IF(J3637&gt;=5,"Sí","No")</x:f>
        <x:v>No</x:v>
      </x:c>
      <x:c r="N3637" s="25" t="str">
        <x:f>IF(J3637&gt;=6,"Sí","No")</x:f>
        <x:v>No</x:v>
      </x:c>
      <x:c r="O3637" s="25" t="str">
        <x:v>Pendiente: asignar con R/sf</x:v>
      </x:c>
    </x:row>
    <x:row r="3638">
      <x:c r="A3638" s="25" t="n">
        <x:v>3637</x:v>
      </x:c>
      <x:c r="B3638" s="26" t="n">
        <x:v>45677.317557870374</x:v>
      </x:c>
      <x:c r="C3638" s="27" t="n">
        <x:f>INT(B3638)</x:f>
        <x:v>45677</x:v>
      </x:c>
      <x:c r="D3638" s="28" t="n">
        <x:f>MOD(B3638,1)</x:f>
        <x:v>0.31755787037400296</x:v>
      </x:c>
      <x:c r="E3638" s="29" t="n">
        <x:f>YEAR(B3638)</x:f>
        <x:v>2025</x:v>
      </x:c>
      <x:c r="F3638" s="29" t="n">
        <x:f>MONTH(B3638)</x:f>
        <x:v>1</x:v>
      </x:c>
      <x:c r="G3638" s="30" t="n">
        <x:v>-20.55</x:v>
      </x:c>
      <x:c r="H3638" s="30" t="n">
        <x:v>-69.96</x:v>
      </x:c>
      <x:c r="I3638" s="29" t="n">
        <x:v>72</x:v>
      </x:c>
      <x:c r="J3638" s="31" t="n">
        <x:v>3.5</x:v>
      </x:c>
      <x:c r="K3638" s="25" t="str">
        <x:f>IF(J3638&gt;=7,"Muy fuerte (&gt;=7)",IF(J3638&gt;=6,"Fuerte (6-6.9)",IF(J3638&gt;=5,"Moderado alto (5-5.9)",IF(J3638&gt;=4,"Moderado (4-4.9)","Menor a 4"))))</x:f>
        <x:v>Menor a 4</x:v>
      </x:c>
      <x:c r="L3638" s="25" t="str">
        <x:f>IF(I3638&lt;70,"Superficial (&lt;70 km)",IF(I3638&lt;=300,"Intermedio (70-300 km)","Profundo (&gt;300 km)"))</x:f>
        <x:v>Intermedio (70-300 km)</x:v>
      </x:c>
      <x:c r="M3638" s="25" t="str">
        <x:f>IF(J3638&gt;=5,"Sí","No")</x:f>
        <x:v>No</x:v>
      </x:c>
      <x:c r="N3638" s="25" t="str">
        <x:f>IF(J3638&gt;=6,"Sí","No")</x:f>
        <x:v>No</x:v>
      </x:c>
      <x:c r="O3638" s="25" t="str">
        <x:v>Pendiente: asignar con R/sf</x:v>
      </x:c>
    </x:row>
    <x:row r="3639">
      <x:c r="A3639" s="25" t="n">
        <x:v>3638</x:v>
      </x:c>
      <x:c r="B3639" s="26" t="n">
        <x:v>45997.84737268519</x:v>
      </x:c>
      <x:c r="C3639" s="27" t="n">
        <x:f>INT(B3639)</x:f>
        <x:v>45997</x:v>
      </x:c>
      <x:c r="D3639" s="28" t="n">
        <x:f>MOD(B3639,1)</x:f>
        <x:v>0.8473726851880201</x:v>
      </x:c>
      <x:c r="E3639" s="29" t="n">
        <x:f>YEAR(B3639)</x:f>
        <x:v>2025</x:v>
      </x:c>
      <x:c r="F3639" s="29" t="n">
        <x:f>MONTH(B3639)</x:f>
        <x:v>12</x:v>
      </x:c>
      <x:c r="G3639" s="30" t="n">
        <x:v>-20.51</x:v>
      </x:c>
      <x:c r="H3639" s="30" t="n">
        <x:v>-69.09</x:v>
      </x:c>
      <x:c r="I3639" s="29" t="n">
        <x:v>96</x:v>
      </x:c>
      <x:c r="J3639" s="31" t="n">
        <x:v>4.4</x:v>
      </x:c>
      <x:c r="K3639" s="25" t="str">
        <x:f>IF(J3639&gt;=7,"Muy fuerte (&gt;=7)",IF(J3639&gt;=6,"Fuerte (6-6.9)",IF(J3639&gt;=5,"Moderado alto (5-5.9)",IF(J3639&gt;=4,"Moderado (4-4.9)","Menor a 4"))))</x:f>
        <x:v>Moderado (4-4.9)</x:v>
      </x:c>
      <x:c r="L3639" s="25" t="str">
        <x:f>IF(I3639&lt;70,"Superficial (&lt;70 km)",IF(I3639&lt;=300,"Intermedio (70-300 km)","Profundo (&gt;300 km)"))</x:f>
        <x:v>Intermedio (70-300 km)</x:v>
      </x:c>
      <x:c r="M3639" s="25" t="str">
        <x:f>IF(J3639&gt;=5,"Sí","No")</x:f>
        <x:v>No</x:v>
      </x:c>
      <x:c r="N3639" s="25" t="str">
        <x:f>IF(J3639&gt;=6,"Sí","No")</x:f>
        <x:v>No</x:v>
      </x:c>
      <x:c r="O3639" s="25" t="str">
        <x:v>Pendiente: asignar con R/sf</x:v>
      </x:c>
    </x:row>
    <x:row r="3640">
      <x:c r="A3640" s="25" t="n">
        <x:v>3639</x:v>
      </x:c>
      <x:c r="B3640" s="26" t="n">
        <x:v>45779.449016203704</x:v>
      </x:c>
      <x:c r="C3640" s="27" t="n">
        <x:f>INT(B3640)</x:f>
        <x:v>45779</x:v>
      </x:c>
      <x:c r="D3640" s="28" t="n">
        <x:f>MOD(B3640,1)</x:f>
        <x:v>0.4490162037036498</x:v>
      </x:c>
      <x:c r="E3640" s="29" t="n">
        <x:f>YEAR(B3640)</x:f>
        <x:v>2025</x:v>
      </x:c>
      <x:c r="F3640" s="29" t="n">
        <x:f>MONTH(B3640)</x:f>
        <x:v>5</x:v>
      </x:c>
      <x:c r="G3640" s="30" t="n">
        <x:v>-41.21</x:v>
      </x:c>
      <x:c r="H3640" s="30" t="n">
        <x:v>-73.85</x:v>
      </x:c>
      <x:c r="I3640" s="29" t="n">
        <x:v>41</x:v>
      </x:c>
      <x:c r="J3640" s="31" t="n">
        <x:v>4.2</x:v>
      </x:c>
      <x:c r="K3640" s="25" t="str">
        <x:f>IF(J3640&gt;=7,"Muy fuerte (&gt;=7)",IF(J3640&gt;=6,"Fuerte (6-6.9)",IF(J3640&gt;=5,"Moderado alto (5-5.9)",IF(J3640&gt;=4,"Moderado (4-4.9)","Menor a 4"))))</x:f>
        <x:v>Moderado (4-4.9)</x:v>
      </x:c>
      <x:c r="L3640" s="25" t="str">
        <x:f>IF(I3640&lt;70,"Superficial (&lt;70 km)",IF(I3640&lt;=300,"Intermedio (70-300 km)","Profundo (&gt;300 km)"))</x:f>
        <x:v>Superficial (&lt;70 km)</x:v>
      </x:c>
      <x:c r="M3640" s="25" t="str">
        <x:f>IF(J3640&gt;=5,"Sí","No")</x:f>
        <x:v>No</x:v>
      </x:c>
      <x:c r="N3640" s="25" t="str">
        <x:f>IF(J3640&gt;=6,"Sí","No")</x:f>
        <x:v>No</x:v>
      </x:c>
      <x:c r="O3640" s="25" t="str">
        <x:v>Pendiente: asignar con R/sf</x:v>
      </x:c>
    </x:row>
    <x:row r="3641">
      <x:c r="A3641" s="25" t="n">
        <x:v>3640</x:v>
      </x:c>
      <x:c r="B3641" s="26" t="n">
        <x:v>45752.50545138889</x:v>
      </x:c>
      <x:c r="C3641" s="27" t="n">
        <x:f>INT(B3641)</x:f>
        <x:v>45752</x:v>
      </x:c>
      <x:c r="D3641" s="28" t="n">
        <x:f>MOD(B3641,1)</x:f>
        <x:v>0.5054513888899237</x:v>
      </x:c>
      <x:c r="E3641" s="29" t="n">
        <x:f>YEAR(B3641)</x:f>
        <x:v>2025</x:v>
      </x:c>
      <x:c r="F3641" s="29" t="n">
        <x:f>MONTH(B3641)</x:f>
        <x:v>4</x:v>
      </x:c>
      <x:c r="G3641" s="30" t="n">
        <x:v>-20.55</x:v>
      </x:c>
      <x:c r="H3641" s="30" t="n">
        <x:v>-69.17</x:v>
      </x:c>
      <x:c r="I3641" s="29" t="n">
        <x:v>98</x:v>
      </x:c>
      <x:c r="J3641" s="31" t="n">
        <x:v>3.4</x:v>
      </x:c>
      <x:c r="K3641" s="25" t="str">
        <x:f>IF(J3641&gt;=7,"Muy fuerte (&gt;=7)",IF(J3641&gt;=6,"Fuerte (6-6.9)",IF(J3641&gt;=5,"Moderado alto (5-5.9)",IF(J3641&gt;=4,"Moderado (4-4.9)","Menor a 4"))))</x:f>
        <x:v>Menor a 4</x:v>
      </x:c>
      <x:c r="L3641" s="25" t="str">
        <x:f>IF(I3641&lt;70,"Superficial (&lt;70 km)",IF(I3641&lt;=300,"Intermedio (70-300 km)","Profundo (&gt;300 km)"))</x:f>
        <x:v>Intermedio (70-300 km)</x:v>
      </x:c>
      <x:c r="M3641" s="25" t="str">
        <x:f>IF(J3641&gt;=5,"Sí","No")</x:f>
        <x:v>No</x:v>
      </x:c>
      <x:c r="N3641" s="25" t="str">
        <x:f>IF(J3641&gt;=6,"Sí","No")</x:f>
        <x:v>No</x:v>
      </x:c>
      <x:c r="O3641" s="25" t="str">
        <x:v>Pendiente: asignar con R/sf</x:v>
      </x:c>
    </x:row>
    <x:row r="3642">
      <x:c r="A3642" s="25" t="n">
        <x:v>3641</x:v>
      </x:c>
      <x:c r="B3642" s="26" t="n">
        <x:v>45828.12002314815</x:v>
      </x:c>
      <x:c r="C3642" s="27" t="n">
        <x:f>INT(B3642)</x:f>
        <x:v>45828</x:v>
      </x:c>
      <x:c r="D3642" s="28" t="n">
        <x:f>MOD(B3642,1)</x:f>
        <x:v>0.12002314814890269</x:v>
      </x:c>
      <x:c r="E3642" s="29" t="n">
        <x:f>YEAR(B3642)</x:f>
        <x:v>2025</x:v>
      </x:c>
      <x:c r="F3642" s="29" t="n">
        <x:f>MONTH(B3642)</x:f>
        <x:v>6</x:v>
      </x:c>
      <x:c r="G3642" s="30" t="n">
        <x:v>-20.76</x:v>
      </x:c>
      <x:c r="H3642" s="30" t="n">
        <x:v>-69.1</x:v>
      </x:c>
      <x:c r="I3642" s="29" t="n">
        <x:v>102</x:v>
      </x:c>
      <x:c r="J3642" s="31" t="n">
        <x:v>3.7</x:v>
      </x:c>
      <x:c r="K3642" s="25" t="str">
        <x:f>IF(J3642&gt;=7,"Muy fuerte (&gt;=7)",IF(J3642&gt;=6,"Fuerte (6-6.9)",IF(J3642&gt;=5,"Moderado alto (5-5.9)",IF(J3642&gt;=4,"Moderado (4-4.9)","Menor a 4"))))</x:f>
        <x:v>Menor a 4</x:v>
      </x:c>
      <x:c r="L3642" s="25" t="str">
        <x:f>IF(I3642&lt;70,"Superficial (&lt;70 km)",IF(I3642&lt;=300,"Intermedio (70-300 km)","Profundo (&gt;300 km)"))</x:f>
        <x:v>Intermedio (70-300 km)</x:v>
      </x:c>
      <x:c r="M3642" s="25" t="str">
        <x:f>IF(J3642&gt;=5,"Sí","No")</x:f>
        <x:v>No</x:v>
      </x:c>
      <x:c r="N3642" s="25" t="str">
        <x:f>IF(J3642&gt;=6,"Sí","No")</x:f>
        <x:v>No</x:v>
      </x:c>
      <x:c r="O3642" s="25" t="str">
        <x:v>Pendiente: asignar con R/sf</x:v>
      </x:c>
    </x:row>
    <x:row r="3643">
      <x:c r="A3643" s="25" t="n">
        <x:v>3642</x:v>
      </x:c>
      <x:c r="B3643" s="26" t="n">
        <x:v>45907.992418981485</x:v>
      </x:c>
      <x:c r="C3643" s="27" t="n">
        <x:f>INT(B3643)</x:f>
        <x:v>45907</x:v>
      </x:c>
      <x:c r="D3643" s="28" t="n">
        <x:f>MOD(B3643,1)</x:f>
        <x:v>0.9924189814846613</x:v>
      </x:c>
      <x:c r="E3643" s="29" t="n">
        <x:f>YEAR(B3643)</x:f>
        <x:v>2025</x:v>
      </x:c>
      <x:c r="F3643" s="29" t="n">
        <x:f>MONTH(B3643)</x:f>
        <x:v>9</x:v>
      </x:c>
      <x:c r="G3643" s="30" t="n">
        <x:v>-20.98</x:v>
      </x:c>
      <x:c r="H3643" s="30" t="n">
        <x:v>-69.08</x:v>
      </x:c>
      <x:c r="I3643" s="29" t="n">
        <x:v>115</x:v>
      </x:c>
      <x:c r="J3643" s="31" t="n">
        <x:v>4.4</x:v>
      </x:c>
      <x:c r="K3643" s="25" t="str">
        <x:f>IF(J3643&gt;=7,"Muy fuerte (&gt;=7)",IF(J3643&gt;=6,"Fuerte (6-6.9)",IF(J3643&gt;=5,"Moderado alto (5-5.9)",IF(J3643&gt;=4,"Moderado (4-4.9)","Menor a 4"))))</x:f>
        <x:v>Moderado (4-4.9)</x:v>
      </x:c>
      <x:c r="L3643" s="25" t="str">
        <x:f>IF(I3643&lt;70,"Superficial (&lt;70 km)",IF(I3643&lt;=300,"Intermedio (70-300 km)","Profundo (&gt;300 km)"))</x:f>
        <x:v>Intermedio (70-300 km)</x:v>
      </x:c>
      <x:c r="M3643" s="25" t="str">
        <x:f>IF(J3643&gt;=5,"Sí","No")</x:f>
        <x:v>No</x:v>
      </x:c>
      <x:c r="N3643" s="25" t="str">
        <x:f>IF(J3643&gt;=6,"Sí","No")</x:f>
        <x:v>No</x:v>
      </x:c>
      <x:c r="O3643" s="25" t="str">
        <x:v>Pendiente: asignar con R/sf</x:v>
      </x:c>
    </x:row>
    <x:row r="3644">
      <x:c r="A3644" s="25" t="n">
        <x:v>3643</x:v>
      </x:c>
      <x:c r="B3644" s="26" t="n">
        <x:v>45604.48467592592</x:v>
      </x:c>
      <x:c r="C3644" s="27" t="n">
        <x:f>INT(B3644)</x:f>
        <x:v>45604</x:v>
      </x:c>
      <x:c r="D3644" s="28" t="n">
        <x:f>MOD(B3644,1)</x:f>
        <x:v>0.4846759259235114</x:v>
      </x:c>
      <x:c r="E3644" s="29" t="n">
        <x:f>YEAR(B3644)</x:f>
        <x:v>2024</x:v>
      </x:c>
      <x:c r="F3644" s="29" t="n">
        <x:f>MONTH(B3644)</x:f>
        <x:v>11</x:v>
      </x:c>
      <x:c r="G3644" s="30" t="n">
        <x:v>-46.91</x:v>
      </x:c>
      <x:c r="H3644" s="30" t="n">
        <x:v>-75.75</x:v>
      </x:c>
      <x:c r="I3644" s="29" t="n">
        <x:v>10</x:v>
      </x:c>
      <x:c r="J3644" s="31" t="n">
        <x:v>6.2</x:v>
      </x:c>
      <x:c r="K3644" s="25" t="str">
        <x:f>IF(J3644&gt;=7,"Muy fuerte (&gt;=7)",IF(J3644&gt;=6,"Fuerte (6-6.9)",IF(J3644&gt;=5,"Moderado alto (5-5.9)",IF(J3644&gt;=4,"Moderado (4-4.9)","Menor a 4"))))</x:f>
        <x:v>Fuerte (6-6.9)</x:v>
      </x:c>
      <x:c r="L3644" s="25" t="str">
        <x:f>IF(I3644&lt;70,"Superficial (&lt;70 km)",IF(I3644&lt;=300,"Intermedio (70-300 km)","Profundo (&gt;300 km)"))</x:f>
        <x:v>Superficial (&lt;70 km)</x:v>
      </x:c>
      <x:c r="M3644" s="25" t="str">
        <x:f>IF(J3644&gt;=5,"Sí","No")</x:f>
        <x:v>Sí</x:v>
      </x:c>
      <x:c r="N3644" s="25" t="str">
        <x:f>IF(J3644&gt;=6,"Sí","No")</x:f>
        <x:v>Sí</x:v>
      </x:c>
      <x:c r="O3644" s="25" t="str">
        <x:v>Pendiente: asignar con R/sf</x:v>
      </x:c>
    </x:row>
    <x:row r="3645">
      <x:c r="A3645" s="25" t="n">
        <x:v>3644</x:v>
      </x:c>
      <x:c r="B3645" s="26" t="n">
        <x:v>45661.37755787037</x:v>
      </x:c>
      <x:c r="C3645" s="27" t="n">
        <x:f>INT(B3645)</x:f>
        <x:v>45661</x:v>
      </x:c>
      <x:c r="D3645" s="28" t="n">
        <x:f>MOD(B3645,1)</x:f>
        <x:v>0.37755787037167465</x:v>
      </x:c>
      <x:c r="E3645" s="29" t="n">
        <x:f>YEAR(B3645)</x:f>
        <x:v>2025</x:v>
      </x:c>
      <x:c r="F3645" s="29" t="n">
        <x:f>MONTH(B3645)</x:f>
        <x:v>1</x:v>
      </x:c>
      <x:c r="G3645" s="30" t="n">
        <x:v>-20.09</x:v>
      </x:c>
      <x:c r="H3645" s="30" t="n">
        <x:v>-70.44</x:v>
      </x:c>
      <x:c r="I3645" s="29" t="n">
        <x:v>41</x:v>
      </x:c>
      <x:c r="J3645" s="31" t="n">
        <x:v>3.9</x:v>
      </x:c>
      <x:c r="K3645" s="25" t="str">
        <x:f>IF(J3645&gt;=7,"Muy fuerte (&gt;=7)",IF(J3645&gt;=6,"Fuerte (6-6.9)",IF(J3645&gt;=5,"Moderado alto (5-5.9)",IF(J3645&gt;=4,"Moderado (4-4.9)","Menor a 4"))))</x:f>
        <x:v>Menor a 4</x:v>
      </x:c>
      <x:c r="L3645" s="25" t="str">
        <x:f>IF(I3645&lt;70,"Superficial (&lt;70 km)",IF(I3645&lt;=300,"Intermedio (70-300 km)","Profundo (&gt;300 km)"))</x:f>
        <x:v>Superficial (&lt;70 km)</x:v>
      </x:c>
      <x:c r="M3645" s="25" t="str">
        <x:f>IF(J3645&gt;=5,"Sí","No")</x:f>
        <x:v>No</x:v>
      </x:c>
      <x:c r="N3645" s="25" t="str">
        <x:f>IF(J3645&gt;=6,"Sí","No")</x:f>
        <x:v>No</x:v>
      </x:c>
      <x:c r="O3645" s="25" t="str">
        <x:v>Pendiente: asignar con R/sf</x:v>
      </x:c>
    </x:row>
    <x:row r="3646">
      <x:c r="A3646" s="25" t="n">
        <x:v>3645</x:v>
      </x:c>
      <x:c r="B3646" s="26" t="n">
        <x:v>46136.57616898148</x:v>
      </x:c>
      <x:c r="C3646" s="27" t="n">
        <x:f>INT(B3646)</x:f>
        <x:v>46136</x:v>
      </x:c>
      <x:c r="D3646" s="28" t="n">
        <x:f>MOD(B3646,1)</x:f>
        <x:v>0.5761689814826241</x:v>
      </x:c>
      <x:c r="E3646" s="29" t="n">
        <x:f>YEAR(B3646)</x:f>
        <x:v>2026</x:v>
      </x:c>
      <x:c r="F3646" s="29" t="n">
        <x:f>MONTH(B3646)</x:f>
        <x:v>4</x:v>
      </x:c>
      <x:c r="G3646" s="30" t="n">
        <x:v>-27.92</x:v>
      </x:c>
      <x:c r="H3646" s="30" t="n">
        <x:v>-70.88</x:v>
      </x:c>
      <x:c r="I3646" s="29" t="n">
        <x:v>54</x:v>
      </x:c>
      <x:c r="J3646" s="31" t="n">
        <x:v>5.3</x:v>
      </x:c>
      <x:c r="K3646" s="25" t="str">
        <x:f>IF(J3646&gt;=7,"Muy fuerte (&gt;=7)",IF(J3646&gt;=6,"Fuerte (6-6.9)",IF(J3646&gt;=5,"Moderado alto (5-5.9)",IF(J3646&gt;=4,"Moderado (4-4.9)","Menor a 4"))))</x:f>
        <x:v>Moderado alto (5-5.9)</x:v>
      </x:c>
      <x:c r="L3646" s="25" t="str">
        <x:f>IF(I3646&lt;70,"Superficial (&lt;70 km)",IF(I3646&lt;=300,"Intermedio (70-300 km)","Profundo (&gt;300 km)"))</x:f>
        <x:v>Superficial (&lt;70 km)</x:v>
      </x:c>
      <x:c r="M3646" s="25" t="str">
        <x:f>IF(J3646&gt;=5,"Sí","No")</x:f>
        <x:v>Sí</x:v>
      </x:c>
      <x:c r="N3646" s="25" t="str">
        <x:f>IF(J3646&gt;=6,"Sí","No")</x:f>
        <x:v>No</x:v>
      </x:c>
      <x:c r="O3646" s="25" t="str">
        <x:v>Pendiente: asignar con R/sf</x:v>
      </x:c>
    </x:row>
    <x:row r="3647">
      <x:c r="A3647" s="25" t="n">
        <x:v>3646</x:v>
      </x:c>
      <x:c r="B3647" s="26" t="n">
        <x:v>45952.13800925926</x:v>
      </x:c>
      <x:c r="C3647" s="27" t="n">
        <x:f>INT(B3647)</x:f>
        <x:v>45952</x:v>
      </x:c>
      <x:c r="D3647" s="28" t="n">
        <x:f>MOD(B3647,1)</x:f>
        <x:v>0.138009259258979</x:v>
      </x:c>
      <x:c r="E3647" s="29" t="n">
        <x:f>YEAR(B3647)</x:f>
        <x:v>2025</x:v>
      </x:c>
      <x:c r="F3647" s="29" t="n">
        <x:f>MONTH(B3647)</x:f>
        <x:v>10</x:v>
      </x:c>
      <x:c r="G3647" s="30" t="n">
        <x:v>-33.62</x:v>
      </x:c>
      <x:c r="H3647" s="30" t="n">
        <x:v>-71.11</x:v>
      </x:c>
      <x:c r="I3647" s="29" t="n">
        <x:v>75</x:v>
      </x:c>
      <x:c r="J3647" s="31" t="n">
        <x:v>4</x:v>
      </x:c>
      <x:c r="K3647" s="25" t="str">
        <x:f>IF(J3647&gt;=7,"Muy fuerte (&gt;=7)",IF(J3647&gt;=6,"Fuerte (6-6.9)",IF(J3647&gt;=5,"Moderado alto (5-5.9)",IF(J3647&gt;=4,"Moderado (4-4.9)","Menor a 4"))))</x:f>
        <x:v>Moderado (4-4.9)</x:v>
      </x:c>
      <x:c r="L3647" s="25" t="str">
        <x:f>IF(I3647&lt;70,"Superficial (&lt;70 km)",IF(I3647&lt;=300,"Intermedio (70-300 km)","Profundo (&gt;300 km)"))</x:f>
        <x:v>Intermedio (70-300 km)</x:v>
      </x:c>
      <x:c r="M3647" s="25" t="str">
        <x:f>IF(J3647&gt;=5,"Sí","No")</x:f>
        <x:v>No</x:v>
      </x:c>
      <x:c r="N3647" s="25" t="str">
        <x:f>IF(J3647&gt;=6,"Sí","No")</x:f>
        <x:v>No</x:v>
      </x:c>
      <x:c r="O3647" s="25" t="str">
        <x:v>Pendiente: asignar con R/sf</x:v>
      </x:c>
    </x:row>
    <x:row r="3648">
      <x:c r="A3648" s="25" t="n">
        <x:v>3647</x:v>
      </x:c>
      <x:c r="B3648" s="26" t="n">
        <x:v>46015.32962962963</x:v>
      </x:c>
      <x:c r="C3648" s="27" t="n">
        <x:f>INT(B3648)</x:f>
        <x:v>46015</x:v>
      </x:c>
      <x:c r="D3648" s="28" t="n">
        <x:f>MOD(B3648,1)</x:f>
        <x:v>0.32962962963210884</x:v>
      </x:c>
      <x:c r="E3648" s="29" t="n">
        <x:f>YEAR(B3648)</x:f>
        <x:v>2025</x:v>
      </x:c>
      <x:c r="F3648" s="29" t="n">
        <x:f>MONTH(B3648)</x:f>
        <x:v>12</x:v>
      </x:c>
      <x:c r="G3648" s="30" t="n">
        <x:v>-33.97</x:v>
      </x:c>
      <x:c r="H3648" s="30" t="n">
        <x:v>-71.16</x:v>
      </x:c>
      <x:c r="I3648" s="29" t="n">
        <x:v>67</x:v>
      </x:c>
      <x:c r="J3648" s="31" t="n">
        <x:v>3.8</x:v>
      </x:c>
      <x:c r="K3648" s="25" t="str">
        <x:f>IF(J3648&gt;=7,"Muy fuerte (&gt;=7)",IF(J3648&gt;=6,"Fuerte (6-6.9)",IF(J3648&gt;=5,"Moderado alto (5-5.9)",IF(J3648&gt;=4,"Moderado (4-4.9)","Menor a 4"))))</x:f>
        <x:v>Menor a 4</x:v>
      </x:c>
      <x:c r="L3648" s="25" t="str">
        <x:f>IF(I3648&lt;70,"Superficial (&lt;70 km)",IF(I3648&lt;=300,"Intermedio (70-300 km)","Profundo (&gt;300 km)"))</x:f>
        <x:v>Superficial (&lt;70 km)</x:v>
      </x:c>
      <x:c r="M3648" s="25" t="str">
        <x:f>IF(J3648&gt;=5,"Sí","No")</x:f>
        <x:v>No</x:v>
      </x:c>
      <x:c r="N3648" s="25" t="str">
        <x:f>IF(J3648&gt;=6,"Sí","No")</x:f>
        <x:v>No</x:v>
      </x:c>
      <x:c r="O3648" s="25" t="str">
        <x:v>Pendiente: asignar con R/sf</x:v>
      </x:c>
    </x:row>
    <x:row r="3649">
      <x:c r="A3649" s="25" t="n">
        <x:v>3648</x:v>
      </x:c>
      <x:c r="B3649" s="26" t="n">
        <x:v>46152.10702546296</x:v>
      </x:c>
      <x:c r="C3649" s="27" t="n">
        <x:f>INT(B3649)</x:f>
        <x:v>46152</x:v>
      </x:c>
      <x:c r="D3649" s="28" t="n">
        <x:f>MOD(B3649,1)</x:f>
        <x:v>0.10702546295942739</x:v>
      </x:c>
      <x:c r="E3649" s="29" t="n">
        <x:f>YEAR(B3649)</x:f>
        <x:v>2026</x:v>
      </x:c>
      <x:c r="F3649" s="29" t="n">
        <x:f>MONTH(B3649)</x:f>
        <x:v>5</x:v>
      </x:c>
      <x:c r="G3649" s="30" t="n">
        <x:v>-37.74</x:v>
      </x:c>
      <x:c r="H3649" s="30" t="n">
        <x:v>-73.2</x:v>
      </x:c>
      <x:c r="I3649" s="29" t="n">
        <x:v>10</x:v>
      </x:c>
      <x:c r="J3649" s="31" t="n">
        <x:v>5.7</x:v>
      </x:c>
      <x:c r="K3649" s="25" t="str">
        <x:f>IF(J3649&gt;=7,"Muy fuerte (&gt;=7)",IF(J3649&gt;=6,"Fuerte (6-6.9)",IF(J3649&gt;=5,"Moderado alto (5-5.9)",IF(J3649&gt;=4,"Moderado (4-4.9)","Menor a 4"))))</x:f>
        <x:v>Moderado alto (5-5.9)</x:v>
      </x:c>
      <x:c r="L3649" s="25" t="str">
        <x:f>IF(I3649&lt;70,"Superficial (&lt;70 km)",IF(I3649&lt;=300,"Intermedio (70-300 km)","Profundo (&gt;300 km)"))</x:f>
        <x:v>Superficial (&lt;70 km)</x:v>
      </x:c>
      <x:c r="M3649" s="25" t="str">
        <x:f>IF(J3649&gt;=5,"Sí","No")</x:f>
        <x:v>Sí</x:v>
      </x:c>
      <x:c r="N3649" s="25" t="str">
        <x:f>IF(J3649&gt;=6,"Sí","No")</x:f>
        <x:v>No</x:v>
      </x:c>
      <x:c r="O3649" s="25" t="str">
        <x:v>Pendiente: asignar con R/sf</x:v>
      </x:c>
    </x:row>
    <x:row r="3650">
      <x:c r="A3650" s="25" t="n">
        <x:v>3649</x:v>
      </x:c>
      <x:c r="B3650" s="26" t="n">
        <x:v>46167.91131944444</x:v>
      </x:c>
      <x:c r="C3650" s="27" t="n">
        <x:f>INT(B3650)</x:f>
        <x:v>46167</x:v>
      </x:c>
      <x:c r="D3650" s="28" t="n">
        <x:f>MOD(B3650,1)</x:f>
        <x:v>0.9113194444435067</x:v>
      </x:c>
      <x:c r="E3650" s="29" t="n">
        <x:f>YEAR(B3650)</x:f>
        <x:v>2026</x:v>
      </x:c>
      <x:c r="F3650" s="29" t="n">
        <x:f>MONTH(B3650)</x:f>
        <x:v>5</x:v>
      </x:c>
      <x:c r="G3650" s="30" t="n">
        <x:v>-22.38</x:v>
      </x:c>
      <x:c r="H3650" s="30" t="n">
        <x:v>-68.76</x:v>
      </x:c>
      <x:c r="I3650" s="29" t="n">
        <x:v>114</x:v>
      </x:c>
      <x:c r="J3650" s="31" t="n">
        <x:v>6.9</x:v>
      </x:c>
      <x:c r="K3650" s="25" t="str">
        <x:f>IF(J3650&gt;=7,"Muy fuerte (&gt;=7)",IF(J3650&gt;=6,"Fuerte (6-6.9)",IF(J3650&gt;=5,"Moderado alto (5-5.9)",IF(J3650&gt;=4,"Moderado (4-4.9)","Menor a 4"))))</x:f>
        <x:v>Fuerte (6-6.9)</x:v>
      </x:c>
      <x:c r="L3650" s="25" t="str">
        <x:f>IF(I3650&lt;70,"Superficial (&lt;70 km)",IF(I3650&lt;=300,"Intermedio (70-300 km)","Profundo (&gt;300 km)"))</x:f>
        <x:v>Intermedio (70-300 km)</x:v>
      </x:c>
      <x:c r="M3650" s="25" t="str">
        <x:f>IF(J3650&gt;=5,"Sí","No")</x:f>
        <x:v>Sí</x:v>
      </x:c>
      <x:c r="N3650" s="25" t="str">
        <x:f>IF(J3650&gt;=6,"Sí","No")</x:f>
        <x:v>Sí</x:v>
      </x:c>
      <x:c r="O3650" s="25" t="str">
        <x:v>Pendiente: asignar con R/sf</x:v>
      </x:c>
    </x:row>
    <x:row r="3651">
      <x:c r="A3651" s="25" t="n">
        <x:v>3650</x:v>
      </x:c>
      <x:c r="B3651" s="26" t="n">
        <x:v>46169.22461805555</x:v>
      </x:c>
      <x:c r="C3651" s="27" t="n">
        <x:f>INT(B3651)</x:f>
        <x:v>46169</x:v>
      </x:c>
      <x:c r="D3651" s="28" t="n">
        <x:f>MOD(B3651,1)</x:f>
        <x:v>0.22461805555212777</x:v>
      </x:c>
      <x:c r="E3651" s="29" t="n">
        <x:f>YEAR(B3651)</x:f>
        <x:v>2026</x:v>
      </x:c>
      <x:c r="F3651" s="29" t="n">
        <x:f>MONTH(B3651)</x:f>
        <x:v>5</x:v>
      </x:c>
      <x:c r="G3651" s="30" t="n">
        <x:v>-22.34</x:v>
      </x:c>
      <x:c r="H3651" s="30" t="n">
        <x:v>-68.62</x:v>
      </x:c>
      <x:c r="I3651" s="29" t="n">
        <x:v>137</x:v>
      </x:c>
      <x:c r="J3651" s="31" t="n">
        <x:v>5.3</x:v>
      </x:c>
      <x:c r="K3651" s="25" t="str">
        <x:f>IF(J3651&gt;=7,"Muy fuerte (&gt;=7)",IF(J3651&gt;=6,"Fuerte (6-6.9)",IF(J3651&gt;=5,"Moderado alto (5-5.9)",IF(J3651&gt;=4,"Moderado (4-4.9)","Menor a 4"))))</x:f>
        <x:v>Moderado alto (5-5.9)</x:v>
      </x:c>
      <x:c r="L3651" s="25" t="str">
        <x:f>IF(I3651&lt;70,"Superficial (&lt;70 km)",IF(I3651&lt;=300,"Intermedio (70-300 km)","Profundo (&gt;300 km)"))</x:f>
        <x:v>Intermedio (70-300 km)</x:v>
      </x:c>
      <x:c r="M3651" s="25" t="str">
        <x:f>IF(J3651&gt;=5,"Sí","No")</x:f>
        <x:v>Sí</x:v>
      </x:c>
      <x:c r="N3651" s="25" t="str">
        <x:f>IF(J3651&gt;=6,"Sí","No")</x:f>
        <x:v>No</x:v>
      </x:c>
      <x:c r="O3651" s="25" t="str">
        <x:v>Pendiente: asignar con R/sf</x:v>
      </x:c>
    </x:row>
    <x:row r="3652">
      <x:c r="A3652" s="25" t="n">
        <x:v>3651</x:v>
      </x:c>
      <x:c r="B3652" s="26" t="n">
        <x:v>45956.797326388885</x:v>
      </x:c>
      <x:c r="C3652" s="27" t="n">
        <x:f>INT(B3652)</x:f>
        <x:v>45956</x:v>
      </x:c>
      <x:c r="D3652" s="28" t="n">
        <x:f>MOD(B3652,1)</x:f>
        <x:v>0.7973263888852671</x:v>
      </x:c>
      <x:c r="E3652" s="29" t="n">
        <x:f>YEAR(B3652)</x:f>
        <x:v>2025</x:v>
      </x:c>
      <x:c r="F3652" s="29" t="n">
        <x:f>MONTH(B3652)</x:f>
        <x:v>10</x:v>
      </x:c>
      <x:c r="G3652" s="30" t="n">
        <x:v>-33.82</x:v>
      </x:c>
      <x:c r="H3652" s="30" t="n">
        <x:v>-70.53</x:v>
      </x:c>
      <x:c r="I3652" s="29" t="n">
        <x:v>103</x:v>
      </x:c>
      <x:c r="J3652" s="31" t="n">
        <x:v>4.4</x:v>
      </x:c>
      <x:c r="K3652" s="25" t="str">
        <x:f>IF(J3652&gt;=7,"Muy fuerte (&gt;=7)",IF(J3652&gt;=6,"Fuerte (6-6.9)",IF(J3652&gt;=5,"Moderado alto (5-5.9)",IF(J3652&gt;=4,"Moderado (4-4.9)","Menor a 4"))))</x:f>
        <x:v>Moderado (4-4.9)</x:v>
      </x:c>
      <x:c r="L3652" s="25" t="str">
        <x:f>IF(I3652&lt;70,"Superficial (&lt;70 km)",IF(I3652&lt;=300,"Intermedio (70-300 km)","Profundo (&gt;300 km)"))</x:f>
        <x:v>Intermedio (70-300 km)</x:v>
      </x:c>
      <x:c r="M3652" s="25" t="str">
        <x:f>IF(J3652&gt;=5,"Sí","No")</x:f>
        <x:v>No</x:v>
      </x:c>
      <x:c r="N3652" s="25" t="str">
        <x:f>IF(J3652&gt;=6,"Sí","No")</x:f>
        <x:v>No</x:v>
      </x:c>
      <x:c r="O3652" s="25" t="str">
        <x:v>Pendiente: asignar con R/sf</x:v>
      </x:c>
    </x:row>
    <x:row r="3653">
      <x:c r="A3653" s="25" t="n">
        <x:v>3652</x:v>
      </x:c>
      <x:c r="B3653" s="26" t="n">
        <x:v>46015.32962962963</x:v>
      </x:c>
      <x:c r="C3653" s="27" t="n">
        <x:f>INT(B3653)</x:f>
        <x:v>46015</x:v>
      </x:c>
      <x:c r="D3653" s="28" t="n">
        <x:f>MOD(B3653,1)</x:f>
        <x:v>0.32962962963210884</x:v>
      </x:c>
      <x:c r="E3653" s="29" t="n">
        <x:f>YEAR(B3653)</x:f>
        <x:v>2025</x:v>
      </x:c>
      <x:c r="F3653" s="29" t="n">
        <x:f>MONTH(B3653)</x:f>
        <x:v>12</x:v>
      </x:c>
      <x:c r="G3653" s="30" t="n">
        <x:v>-33.97</x:v>
      </x:c>
      <x:c r="H3653" s="30" t="n">
        <x:v>-71.16</x:v>
      </x:c>
      <x:c r="I3653" s="29" t="n">
        <x:v>67</x:v>
      </x:c>
      <x:c r="J3653" s="31" t="n">
        <x:v>3.8</x:v>
      </x:c>
      <x:c r="K3653" s="25" t="str">
        <x:f>IF(J3653&gt;=7,"Muy fuerte (&gt;=7)",IF(J3653&gt;=6,"Fuerte (6-6.9)",IF(J3653&gt;=5,"Moderado alto (5-5.9)",IF(J3653&gt;=4,"Moderado (4-4.9)","Menor a 4"))))</x:f>
        <x:v>Menor a 4</x:v>
      </x:c>
      <x:c r="L3653" s="25" t="str">
        <x:f>IF(I3653&lt;70,"Superficial (&lt;70 km)",IF(I3653&lt;=300,"Intermedio (70-300 km)","Profundo (&gt;300 km)"))</x:f>
        <x:v>Superficial (&lt;70 km)</x:v>
      </x:c>
      <x:c r="M3653" s="25" t="str">
        <x:f>IF(J3653&gt;=5,"Sí","No")</x:f>
        <x:v>No</x:v>
      </x:c>
      <x:c r="N3653" s="25" t="str">
        <x:f>IF(J3653&gt;=6,"Sí","No")</x:f>
        <x:v>No</x:v>
      </x:c>
      <x:c r="O3653" s="25" t="str">
        <x:v>Pendiente: asignar con R/sf</x:v>
      </x:c>
    </x:row>
    <x:row r="3654">
      <x:c r="A3654" s="25" t="n">
        <x:v>3653</x:v>
      </x:c>
      <x:c r="B3654" s="26" t="n">
        <x:v>45792.08275462963</x:v>
      </x:c>
      <x:c r="C3654" s="27" t="n">
        <x:f>INT(B3654)</x:f>
        <x:v>45792</x:v>
      </x:c>
      <x:c r="D3654" s="28" t="n">
        <x:f>MOD(B3654,1)</x:f>
        <x:v>0.08275462962774327</x:v>
      </x:c>
      <x:c r="E3654" s="29" t="n">
        <x:f>YEAR(B3654)</x:f>
        <x:v>2025</x:v>
      </x:c>
      <x:c r="F3654" s="29" t="n">
        <x:f>MONTH(B3654)</x:f>
        <x:v>5</x:v>
      </x:c>
      <x:c r="G3654" s="30" t="n">
        <x:v>-22.75</x:v>
      </x:c>
      <x:c r="H3654" s="30" t="n">
        <x:v>-69.93</x:v>
      </x:c>
      <x:c r="I3654" s="29" t="n">
        <x:v>4</x:v>
      </x:c>
      <x:c r="J3654" s="31" t="n">
        <x:v>3.7</x:v>
      </x:c>
      <x:c r="K3654" s="25" t="str">
        <x:f>IF(J3654&gt;=7,"Muy fuerte (&gt;=7)",IF(J3654&gt;=6,"Fuerte (6-6.9)",IF(J3654&gt;=5,"Moderado alto (5-5.9)",IF(J3654&gt;=4,"Moderado (4-4.9)","Menor a 4"))))</x:f>
        <x:v>Menor a 4</x:v>
      </x:c>
      <x:c r="L3654" s="25" t="str">
        <x:f>IF(I3654&lt;70,"Superficial (&lt;70 km)",IF(I3654&lt;=300,"Intermedio (70-300 km)","Profundo (&gt;300 km)"))</x:f>
        <x:v>Superficial (&lt;70 km)</x:v>
      </x:c>
      <x:c r="M3654" s="25" t="str">
        <x:f>IF(J3654&gt;=5,"Sí","No")</x:f>
        <x:v>No</x:v>
      </x:c>
      <x:c r="N3654" s="25" t="str">
        <x:f>IF(J3654&gt;=6,"Sí","No")</x:f>
        <x:v>No</x:v>
      </x:c>
      <x:c r="O3654" s="25" t="str">
        <x:v>Pendiente: asignar con R/sf</x:v>
      </x:c>
    </x:row>
    <x:row r="3655">
      <x:c r="A3655" s="25" t="n">
        <x:v>3654</x:v>
      </x:c>
      <x:c r="B3655" s="26" t="n">
        <x:v>45806.36105324074</x:v>
      </x:c>
      <x:c r="C3655" s="27" t="n">
        <x:f>INT(B3655)</x:f>
        <x:v>45806</x:v>
      </x:c>
      <x:c r="D3655" s="28" t="n">
        <x:f>MOD(B3655,1)</x:f>
        <x:v>0.3610532407401479</x:v>
      </x:c>
      <x:c r="E3655" s="29" t="n">
        <x:f>YEAR(B3655)</x:f>
        <x:v>2025</x:v>
      </x:c>
      <x:c r="F3655" s="29" t="n">
        <x:f>MONTH(B3655)</x:f>
        <x:v>5</x:v>
      </x:c>
      <x:c r="G3655" s="30" t="n">
        <x:v>-21.78</x:v>
      </x:c>
      <x:c r="H3655" s="30" t="n">
        <x:v>-68.5</x:v>
      </x:c>
      <x:c r="I3655" s="29" t="n">
        <x:v>130</x:v>
      </x:c>
      <x:c r="J3655" s="31" t="n">
        <x:v>4.8</x:v>
      </x:c>
      <x:c r="K3655" s="25" t="str">
        <x:f>IF(J3655&gt;=7,"Muy fuerte (&gt;=7)",IF(J3655&gt;=6,"Fuerte (6-6.9)",IF(J3655&gt;=5,"Moderado alto (5-5.9)",IF(J3655&gt;=4,"Moderado (4-4.9)","Menor a 4"))))</x:f>
        <x:v>Moderado (4-4.9)</x:v>
      </x:c>
      <x:c r="L3655" s="25" t="str">
        <x:f>IF(I3655&lt;70,"Superficial (&lt;70 km)",IF(I3655&lt;=300,"Intermedio (70-300 km)","Profundo (&gt;300 km)"))</x:f>
        <x:v>Intermedio (70-300 km)</x:v>
      </x:c>
      <x:c r="M3655" s="25" t="str">
        <x:f>IF(J3655&gt;=5,"Sí","No")</x:f>
        <x:v>No</x:v>
      </x:c>
      <x:c r="N3655" s="25" t="str">
        <x:f>IF(J3655&gt;=6,"Sí","No")</x:f>
        <x:v>No</x:v>
      </x:c>
      <x:c r="O3655" s="25" t="str">
        <x:v>Pendiente: asignar con R/sf</x:v>
      </x:c>
    </x:row>
    <x:row r="3656">
      <x:c r="A3656" s="25" t="n">
        <x:v>3655</x:v>
      </x:c>
      <x:c r="B3656" s="26" t="n">
        <x:v>45858.52527777778</x:v>
      </x:c>
      <x:c r="C3656" s="27" t="n">
        <x:f>INT(B3656)</x:f>
        <x:v>45858</x:v>
      </x:c>
      <x:c r="D3656" s="28" t="n">
        <x:f>MOD(B3656,1)</x:f>
        <x:v>0.5252777777786832</x:v>
      </x:c>
      <x:c r="E3656" s="29" t="n">
        <x:f>YEAR(B3656)</x:f>
        <x:v>2025</x:v>
      </x:c>
      <x:c r="F3656" s="29" t="n">
        <x:f>MONTH(B3656)</x:f>
        <x:v>7</x:v>
      </x:c>
      <x:c r="G3656" s="30" t="n">
        <x:v>-22.88</x:v>
      </x:c>
      <x:c r="H3656" s="30" t="n">
        <x:v>-68.97</x:v>
      </x:c>
      <x:c r="I3656" s="29" t="n">
        <x:v>98</x:v>
      </x:c>
      <x:c r="J3656" s="31" t="n">
        <x:v>4.5</x:v>
      </x:c>
      <x:c r="K3656" s="25" t="str">
        <x:f>IF(J3656&gt;=7,"Muy fuerte (&gt;=7)",IF(J3656&gt;=6,"Fuerte (6-6.9)",IF(J3656&gt;=5,"Moderado alto (5-5.9)",IF(J3656&gt;=4,"Moderado (4-4.9)","Menor a 4"))))</x:f>
        <x:v>Moderado (4-4.9)</x:v>
      </x:c>
      <x:c r="L3656" s="25" t="str">
        <x:f>IF(I3656&lt;70,"Superficial (&lt;70 km)",IF(I3656&lt;=300,"Intermedio (70-300 km)","Profundo (&gt;300 km)"))</x:f>
        <x:v>Intermedio (70-300 km)</x:v>
      </x:c>
      <x:c r="M3656" s="25" t="str">
        <x:f>IF(J3656&gt;=5,"Sí","No")</x:f>
        <x:v>No</x:v>
      </x:c>
      <x:c r="N3656" s="25" t="str">
        <x:f>IF(J3656&gt;=6,"Sí","No")</x:f>
        <x:v>No</x:v>
      </x:c>
      <x:c r="O3656" s="25" t="str">
        <x:v>Pendiente: asignar con R/sf</x:v>
      </x:c>
    </x:row>
    <x:row r="3657">
      <x:c r="A3657" s="25" t="n">
        <x:v>3656</x:v>
      </x:c>
      <x:c r="B3657" s="26" t="n">
        <x:v>45879.754594907405</x:v>
      </x:c>
      <x:c r="C3657" s="27" t="n">
        <x:f>INT(B3657)</x:f>
        <x:v>45879</x:v>
      </x:c>
      <x:c r="D3657" s="28" t="n">
        <x:f>MOD(B3657,1)</x:f>
        <x:v>0.7545949074046803</x:v>
      </x:c>
      <x:c r="E3657" s="29" t="n">
        <x:f>YEAR(B3657)</x:f>
        <x:v>2025</x:v>
      </x:c>
      <x:c r="F3657" s="29" t="n">
        <x:f>MONTH(B3657)</x:f>
        <x:v>8</x:v>
      </x:c>
      <x:c r="G3657" s="30" t="n">
        <x:v>-22.37</x:v>
      </x:c>
      <x:c r="H3657" s="30" t="n">
        <x:v>-69.68</x:v>
      </x:c>
      <x:c r="I3657" s="29" t="n">
        <x:v>73</x:v>
      </x:c>
      <x:c r="J3657" s="31" t="n">
        <x:v>4</x:v>
      </x:c>
      <x:c r="K3657" s="25" t="str">
        <x:f>IF(J3657&gt;=7,"Muy fuerte (&gt;=7)",IF(J3657&gt;=6,"Fuerte (6-6.9)",IF(J3657&gt;=5,"Moderado alto (5-5.9)",IF(J3657&gt;=4,"Moderado (4-4.9)","Menor a 4"))))</x:f>
        <x:v>Moderado (4-4.9)</x:v>
      </x:c>
      <x:c r="L3657" s="25" t="str">
        <x:f>IF(I3657&lt;70,"Superficial (&lt;70 km)",IF(I3657&lt;=300,"Intermedio (70-300 km)","Profundo (&gt;300 km)"))</x:f>
        <x:v>Intermedio (70-300 km)</x:v>
      </x:c>
      <x:c r="M3657" s="25" t="str">
        <x:f>IF(J3657&gt;=5,"Sí","No")</x:f>
        <x:v>No</x:v>
      </x:c>
      <x:c r="N3657" s="25" t="str">
        <x:f>IF(J3657&gt;=6,"Sí","No")</x:f>
        <x:v>No</x:v>
      </x:c>
      <x:c r="O3657" s="25" t="str">
        <x:v>Pendiente: asignar con R/sf</x:v>
      </x:c>
    </x:row>
    <x:row r="3658">
      <x:c r="A3658" s="25" t="n">
        <x:v>3657</x:v>
      </x:c>
      <x:c r="B3658" s="26" t="n">
        <x:v>45924.21275462963</x:v>
      </x:c>
      <x:c r="C3658" s="27" t="n">
        <x:f>INT(B3658)</x:f>
        <x:v>45924</x:v>
      </x:c>
      <x:c r="D3658" s="28" t="n">
        <x:f>MOD(B3658,1)</x:f>
        <x:v>0.21275462963239988</x:v>
      </x:c>
      <x:c r="E3658" s="29" t="n">
        <x:f>YEAR(B3658)</x:f>
        <x:v>2025</x:v>
      </x:c>
      <x:c r="F3658" s="29" t="n">
        <x:f>MONTH(B3658)</x:f>
        <x:v>9</x:v>
      </x:c>
      <x:c r="G3658" s="30" t="n">
        <x:v>-22.1</x:v>
      </x:c>
      <x:c r="H3658" s="30" t="n">
        <x:v>-68.98</x:v>
      </x:c>
      <x:c r="I3658" s="29" t="n">
        <x:v>106</x:v>
      </x:c>
      <x:c r="J3658" s="31" t="n">
        <x:v>4.8</x:v>
      </x:c>
      <x:c r="K3658" s="25" t="str">
        <x:f>IF(J3658&gt;=7,"Muy fuerte (&gt;=7)",IF(J3658&gt;=6,"Fuerte (6-6.9)",IF(J3658&gt;=5,"Moderado alto (5-5.9)",IF(J3658&gt;=4,"Moderado (4-4.9)","Menor a 4"))))</x:f>
        <x:v>Moderado (4-4.9)</x:v>
      </x:c>
      <x:c r="L3658" s="25" t="str">
        <x:f>IF(I3658&lt;70,"Superficial (&lt;70 km)",IF(I3658&lt;=300,"Intermedio (70-300 km)","Profundo (&gt;300 km)"))</x:f>
        <x:v>Intermedio (70-300 km)</x:v>
      </x:c>
      <x:c r="M3658" s="25" t="str">
        <x:f>IF(J3658&gt;=5,"Sí","No")</x:f>
        <x:v>No</x:v>
      </x:c>
      <x:c r="N3658" s="25" t="str">
        <x:f>IF(J3658&gt;=6,"Sí","No")</x:f>
        <x:v>No</x:v>
      </x:c>
      <x:c r="O3658" s="25" t="str">
        <x:v>Pendiente: asignar con R/sf</x:v>
      </x:c>
    </x:row>
    <x:row r="3659">
      <x:c r="A3659" s="25" t="n">
        <x:v>3658</x:v>
      </x:c>
      <x:c r="B3659" s="26" t="n">
        <x:v>45944.19694444445</x:v>
      </x:c>
      <x:c r="C3659" s="27" t="n">
        <x:f>INT(B3659)</x:f>
        <x:v>45944</x:v>
      </x:c>
      <x:c r="D3659" s="28" t="n">
        <x:f>MOD(B3659,1)</x:f>
        <x:v>0.1969444444475812</x:v>
      </x:c>
      <x:c r="E3659" s="29" t="n">
        <x:f>YEAR(B3659)</x:f>
        <x:v>2025</x:v>
      </x:c>
      <x:c r="F3659" s="29" t="n">
        <x:f>MONTH(B3659)</x:f>
        <x:v>10</x:v>
      </x:c>
      <x:c r="G3659" s="30" t="n">
        <x:v>-21.88</x:v>
      </x:c>
      <x:c r="H3659" s="30" t="n">
        <x:v>-68.63</x:v>
      </x:c>
      <x:c r="I3659" s="29" t="n">
        <x:v>110</x:v>
      </x:c>
      <x:c r="J3659" s="31" t="n">
        <x:v>4.8</x:v>
      </x:c>
      <x:c r="K3659" s="25" t="str">
        <x:f>IF(J3659&gt;=7,"Muy fuerte (&gt;=7)",IF(J3659&gt;=6,"Fuerte (6-6.9)",IF(J3659&gt;=5,"Moderado alto (5-5.9)",IF(J3659&gt;=4,"Moderado (4-4.9)","Menor a 4"))))</x:f>
        <x:v>Moderado (4-4.9)</x:v>
      </x:c>
      <x:c r="L3659" s="25" t="str">
        <x:f>IF(I3659&lt;70,"Superficial (&lt;70 km)",IF(I3659&lt;=300,"Intermedio (70-300 km)","Profundo (&gt;300 km)"))</x:f>
        <x:v>Intermedio (70-300 km)</x:v>
      </x:c>
      <x:c r="M3659" s="25" t="str">
        <x:f>IF(J3659&gt;=5,"Sí","No")</x:f>
        <x:v>No</x:v>
      </x:c>
      <x:c r="N3659" s="25" t="str">
        <x:f>IF(J3659&gt;=6,"Sí","No")</x:f>
        <x:v>No</x:v>
      </x:c>
      <x:c r="O3659" s="25" t="str">
        <x:v>Pendiente: asignar con R/sf</x:v>
      </x:c>
    </x:row>
    <x:row r="3660">
      <x:c r="A3660" s="25" t="n">
        <x:v>3659</x:v>
      </x:c>
      <x:c r="B3660" s="26" t="n">
        <x:v>46015.25707175926</x:v>
      </x:c>
      <x:c r="C3660" s="27" t="n">
        <x:f>INT(B3660)</x:f>
        <x:v>46015</x:v>
      </x:c>
      <x:c r="D3660" s="28" t="n">
        <x:f>MOD(B3660,1)</x:f>
        <x:v>0.25707175926072523</x:v>
      </x:c>
      <x:c r="E3660" s="29" t="n">
        <x:f>YEAR(B3660)</x:f>
        <x:v>2025</x:v>
      </x:c>
      <x:c r="F3660" s="29" t="n">
        <x:f>MONTH(B3660)</x:f>
        <x:v>12</x:v>
      </x:c>
      <x:c r="G3660" s="30" t="n">
        <x:v>-22.59</x:v>
      </x:c>
      <x:c r="H3660" s="30" t="n">
        <x:v>-69.04</x:v>
      </x:c>
      <x:c r="I3660" s="29" t="n">
        <x:v>113</x:v>
      </x:c>
      <x:c r="J3660" s="31" t="n">
        <x:v>4.3</x:v>
      </x:c>
      <x:c r="K3660" s="25" t="str">
        <x:f>IF(J3660&gt;=7,"Muy fuerte (&gt;=7)",IF(J3660&gt;=6,"Fuerte (6-6.9)",IF(J3660&gt;=5,"Moderado alto (5-5.9)",IF(J3660&gt;=4,"Moderado (4-4.9)","Menor a 4"))))</x:f>
        <x:v>Moderado (4-4.9)</x:v>
      </x:c>
      <x:c r="L3660" s="25" t="str">
        <x:f>IF(I3660&lt;70,"Superficial (&lt;70 km)",IF(I3660&lt;=300,"Intermedio (70-300 km)","Profundo (&gt;300 km)"))</x:f>
        <x:v>Intermedio (70-300 km)</x:v>
      </x:c>
      <x:c r="M3660" s="25" t="str">
        <x:f>IF(J3660&gt;=5,"Sí","No")</x:f>
        <x:v>No</x:v>
      </x:c>
      <x:c r="N3660" s="25" t="str">
        <x:f>IF(J3660&gt;=6,"Sí","No")</x:f>
        <x:v>No</x:v>
      </x:c>
      <x:c r="O3660" s="25" t="str">
        <x:v>Pendiente: asignar con R/sf</x:v>
      </x:c>
    </x:row>
    <x:row r="3661">
      <x:c r="A3661" s="25" t="n">
        <x:v>3660</x:v>
      </x:c>
      <x:c r="B3661" s="26" t="n">
        <x:v>46104.02618055556</x:v>
      </x:c>
      <x:c r="C3661" s="27" t="n">
        <x:f>INT(B3661)</x:f>
        <x:v>46104</x:v>
      </x:c>
      <x:c r="D3661" s="28" t="n">
        <x:f>MOD(B3661,1)</x:f>
        <x:v>0.026180555556493346</x:v>
      </x:c>
      <x:c r="E3661" s="29" t="n">
        <x:f>YEAR(B3661)</x:f>
        <x:v>2026</x:v>
      </x:c>
      <x:c r="F3661" s="29" t="n">
        <x:f>MONTH(B3661)</x:f>
        <x:v>3</x:v>
      </x:c>
      <x:c r="G3661" s="30" t="n">
        <x:v>-22.71</x:v>
      </x:c>
      <x:c r="H3661" s="30" t="n">
        <x:v>-69.46</x:v>
      </x:c>
      <x:c r="I3661" s="29" t="n">
        <x:v>88</x:v>
      </x:c>
      <x:c r="J3661" s="31" t="n">
        <x:v>4.2</x:v>
      </x:c>
      <x:c r="K3661" s="25" t="str">
        <x:f>IF(J3661&gt;=7,"Muy fuerte (&gt;=7)",IF(J3661&gt;=6,"Fuerte (6-6.9)",IF(J3661&gt;=5,"Moderado alto (5-5.9)",IF(J3661&gt;=4,"Moderado (4-4.9)","Menor a 4"))))</x:f>
        <x:v>Moderado (4-4.9)</x:v>
      </x:c>
      <x:c r="L3661" s="25" t="str">
        <x:f>IF(I3661&lt;70,"Superficial (&lt;70 km)",IF(I3661&lt;=300,"Intermedio (70-300 km)","Profundo (&gt;300 km)"))</x:f>
        <x:v>Intermedio (70-300 km)</x:v>
      </x:c>
      <x:c r="M3661" s="25" t="str">
        <x:f>IF(J3661&gt;=5,"Sí","No")</x:f>
        <x:v>No</x:v>
      </x:c>
      <x:c r="N3661" s="25" t="str">
        <x:f>IF(J3661&gt;=6,"Sí","No")</x:f>
        <x:v>No</x:v>
      </x:c>
      <x:c r="O3661" s="25" t="str">
        <x:v>Pendiente: asignar con R/sf</x:v>
      </x:c>
    </x:row>
    <x:row r="3662">
      <x:c r="A3662" s="25" t="n">
        <x:v>3661</x:v>
      </x:c>
      <x:c r="B3662" s="26" t="n">
        <x:v>46104.16162037037</x:v>
      </x:c>
      <x:c r="C3662" s="27" t="n">
        <x:f>INT(B3662)</x:f>
        <x:v>46104</x:v>
      </x:c>
      <x:c r="D3662" s="28" t="n">
        <x:f>MOD(B3662,1)</x:f>
        <x:v>0.16162037036701804</x:v>
      </x:c>
      <x:c r="E3662" s="29" t="n">
        <x:f>YEAR(B3662)</x:f>
        <x:v>2026</x:v>
      </x:c>
      <x:c r="F3662" s="29" t="n">
        <x:f>MONTH(B3662)</x:f>
        <x:v>3</x:v>
      </x:c>
      <x:c r="G3662" s="30" t="n">
        <x:v>-22.71</x:v>
      </x:c>
      <x:c r="H3662" s="30" t="n">
        <x:v>-69.46</x:v>
      </x:c>
      <x:c r="I3662" s="29" t="n">
        <x:v>85</x:v>
      </x:c>
      <x:c r="J3662" s="31" t="n">
        <x:v>3.8</x:v>
      </x:c>
      <x:c r="K3662" s="25" t="str">
        <x:f>IF(J3662&gt;=7,"Muy fuerte (&gt;=7)",IF(J3662&gt;=6,"Fuerte (6-6.9)",IF(J3662&gt;=5,"Moderado alto (5-5.9)",IF(J3662&gt;=4,"Moderado (4-4.9)","Menor a 4"))))</x:f>
        <x:v>Menor a 4</x:v>
      </x:c>
      <x:c r="L3662" s="25" t="str">
        <x:f>IF(I3662&lt;70,"Superficial (&lt;70 km)",IF(I3662&lt;=300,"Intermedio (70-300 km)","Profundo (&gt;300 km)"))</x:f>
        <x:v>Intermedio (70-300 km)</x:v>
      </x:c>
      <x:c r="M3662" s="25" t="str">
        <x:f>IF(J3662&gt;=5,"Sí","No")</x:f>
        <x:v>No</x:v>
      </x:c>
      <x:c r="N3662" s="25" t="str">
        <x:f>IF(J3662&gt;=6,"Sí","No")</x:f>
        <x:v>No</x:v>
      </x:c>
      <x:c r="O3662" s="25" t="str">
        <x:v>Pendiente: asignar con R/sf</x:v>
      </x:c>
    </x:row>
    <x:row r="3663">
      <x:c r="A3663" s="25" t="n">
        <x:v>3662</x:v>
      </x:c>
      <x:c r="B3663" s="26" t="n">
        <x:v>45800.57648148148</x:v>
      </x:c>
      <x:c r="C3663" s="27" t="n">
        <x:f>INT(B3663)</x:f>
        <x:v>45800</x:v>
      </x:c>
      <x:c r="D3663" s="28" t="n">
        <x:f>MOD(B3663,1)</x:f>
        <x:v>0.5764814814829151</x:v>
      </x:c>
      <x:c r="E3663" s="29" t="n">
        <x:f>YEAR(B3663)</x:f>
        <x:v>2025</x:v>
      </x:c>
      <x:c r="F3663" s="29" t="n">
        <x:f>MONTH(B3663)</x:f>
        <x:v>5</x:v>
      </x:c>
      <x:c r="G3663" s="30" t="n">
        <x:v>-22.21</x:v>
      </x:c>
      <x:c r="H3663" s="30" t="n">
        <x:v>-68.85</x:v>
      </x:c>
      <x:c r="I3663" s="29" t="n">
        <x:v>127</x:v>
      </x:c>
      <x:c r="J3663" s="31" t="n">
        <x:v>4.3</x:v>
      </x:c>
      <x:c r="K3663" s="25" t="str">
        <x:f>IF(J3663&gt;=7,"Muy fuerte (&gt;=7)",IF(J3663&gt;=6,"Fuerte (6-6.9)",IF(J3663&gt;=5,"Moderado alto (5-5.9)",IF(J3663&gt;=4,"Moderado (4-4.9)","Menor a 4"))))</x:f>
        <x:v>Moderado (4-4.9)</x:v>
      </x:c>
      <x:c r="L3663" s="25" t="str">
        <x:f>IF(I3663&lt;70,"Superficial (&lt;70 km)",IF(I3663&lt;=300,"Intermedio (70-300 km)","Profundo (&gt;300 km)"))</x:f>
        <x:v>Intermedio (70-300 km)</x:v>
      </x:c>
      <x:c r="M3663" s="25" t="str">
        <x:f>IF(J3663&gt;=5,"Sí","No")</x:f>
        <x:v>No</x:v>
      </x:c>
      <x:c r="N3663" s="25" t="str">
        <x:f>IF(J3663&gt;=6,"Sí","No")</x:f>
        <x:v>No</x:v>
      </x:c>
      <x:c r="O3663" s="25" t="str">
        <x:v>Pendiente: asignar con R/sf</x:v>
      </x:c>
    </x:row>
    <x:row r="3664">
      <x:c r="A3664" s="25" t="n">
        <x:v>3663</x:v>
      </x:c>
      <x:c r="B3664" s="26" t="n">
        <x:v>46167.919016203705</x:v>
      </x:c>
      <x:c r="C3664" s="27" t="n">
        <x:f>INT(B3664)</x:f>
        <x:v>46167</x:v>
      </x:c>
      <x:c r="D3664" s="28" t="n">
        <x:f>MOD(B3664,1)</x:f>
        <x:v>0.919016203704814</x:v>
      </x:c>
      <x:c r="E3664" s="29" t="n">
        <x:f>YEAR(B3664)</x:f>
        <x:v>2026</x:v>
      </x:c>
      <x:c r="F3664" s="29" t="n">
        <x:f>MONTH(B3664)</x:f>
        <x:v>5</x:v>
      </x:c>
      <x:c r="G3664" s="30" t="n">
        <x:v>-22.38</x:v>
      </x:c>
      <x:c r="H3664" s="30" t="n">
        <x:v>-68.86</x:v>
      </x:c>
      <x:c r="I3664" s="29" t="n">
        <x:v>106</x:v>
      </x:c>
      <x:c r="J3664" s="31" t="n">
        <x:v>4.3</x:v>
      </x:c>
      <x:c r="K3664" s="25" t="str">
        <x:f>IF(J3664&gt;=7,"Muy fuerte (&gt;=7)",IF(J3664&gt;=6,"Fuerte (6-6.9)",IF(J3664&gt;=5,"Moderado alto (5-5.9)",IF(J3664&gt;=4,"Moderado (4-4.9)","Menor a 4"))))</x:f>
        <x:v>Moderado (4-4.9)</x:v>
      </x:c>
      <x:c r="L3664" s="25" t="str">
        <x:f>IF(I3664&lt;70,"Superficial (&lt;70 km)",IF(I3664&lt;=300,"Intermedio (70-300 km)","Profundo (&gt;300 km)"))</x:f>
        <x:v>Intermedio (70-300 km)</x:v>
      </x:c>
      <x:c r="M3664" s="25" t="str">
        <x:f>IF(J3664&gt;=5,"Sí","No")</x:f>
        <x:v>No</x:v>
      </x:c>
      <x:c r="N3664" s="25" t="str">
        <x:f>IF(J3664&gt;=6,"Sí","No")</x:f>
        <x:v>No</x:v>
      </x:c>
      <x:c r="O3664" s="25" t="str">
        <x:v>Pendiente: asignar con R/sf</x:v>
      </x:c>
    </x:row>
    <x:row r="3665">
      <x:c r="A3665" s="25" t="n">
        <x:v>3664</x:v>
      </x:c>
      <x:c r="B3665" s="26" t="n">
        <x:v>46169.02905092593</x:v>
      </x:c>
      <x:c r="C3665" s="27" t="n">
        <x:f>INT(B3665)</x:f>
        <x:v>46169</x:v>
      </x:c>
      <x:c r="D3665" s="28" t="n">
        <x:f>MOD(B3665,1)</x:f>
        <x:v>0.029050925928459037</x:v>
      </x:c>
      <x:c r="E3665" s="29" t="n">
        <x:f>YEAR(B3665)</x:f>
        <x:v>2026</x:v>
      </x:c>
      <x:c r="F3665" s="29" t="n">
        <x:f>MONTH(B3665)</x:f>
        <x:v>5</x:v>
      </x:c>
      <x:c r="G3665" s="30" t="n">
        <x:v>-23.22</x:v>
      </x:c>
      <x:c r="H3665" s="30" t="n">
        <x:v>-69.14</x:v>
      </x:c>
      <x:c r="I3665" s="29" t="n">
        <x:v>97</x:v>
      </x:c>
      <x:c r="J3665" s="31" t="n">
        <x:v>5</x:v>
      </x:c>
      <x:c r="K3665" s="25" t="str">
        <x:f>IF(J3665&gt;=7,"Muy fuerte (&gt;=7)",IF(J3665&gt;=6,"Fuerte (6-6.9)",IF(J3665&gt;=5,"Moderado alto (5-5.9)",IF(J3665&gt;=4,"Moderado (4-4.9)","Menor a 4"))))</x:f>
        <x:v>Moderado alto (5-5.9)</x:v>
      </x:c>
      <x:c r="L3665" s="25" t="str">
        <x:f>IF(I3665&lt;70,"Superficial (&lt;70 km)",IF(I3665&lt;=300,"Intermedio (70-300 km)","Profundo (&gt;300 km)"))</x:f>
        <x:v>Intermedio (70-300 km)</x:v>
      </x:c>
      <x:c r="M3665" s="25" t="str">
        <x:f>IF(J3665&gt;=5,"Sí","No")</x:f>
        <x:v>Sí</x:v>
      </x:c>
      <x:c r="N3665" s="25" t="str">
        <x:f>IF(J3665&gt;=6,"Sí","No")</x:f>
        <x:v>No</x:v>
      </x:c>
      <x:c r="O3665" s="25" t="str">
        <x:v>Pendiente: asignar con R/sf</x:v>
      </x:c>
    </x:row>
    <x:row r="3666">
      <x:c r="A3666" s="25" t="n">
        <x:v>3665</x:v>
      </x:c>
      <x:c r="B3666" s="26" t="n">
        <x:v>46169.224641203706</x:v>
      </x:c>
      <x:c r="C3666" s="27" t="n">
        <x:f>INT(B3666)</x:f>
        <x:v>46169</x:v>
      </x:c>
      <x:c r="D3666" s="28" t="n">
        <x:f>MOD(B3666,1)</x:f>
        <x:v>0.22464120370568708</x:v>
      </x:c>
      <x:c r="E3666" s="29" t="n">
        <x:f>YEAR(B3666)</x:f>
        <x:v>2026</x:v>
      </x:c>
      <x:c r="F3666" s="29" t="n">
        <x:f>MONTH(B3666)</x:f>
        <x:v>5</x:v>
      </x:c>
      <x:c r="G3666" s="30" t="n">
        <x:v>-22.23</x:v>
      </x:c>
      <x:c r="H3666" s="30" t="n">
        <x:v>-68.74</x:v>
      </x:c>
      <x:c r="I3666" s="29" t="n">
        <x:v>103</x:v>
      </x:c>
      <x:c r="J3666" s="31" t="n">
        <x:v>5.3</x:v>
      </x:c>
      <x:c r="K3666" s="25" t="str">
        <x:f>IF(J3666&gt;=7,"Muy fuerte (&gt;=7)",IF(J3666&gt;=6,"Fuerte (6-6.9)",IF(J3666&gt;=5,"Moderado alto (5-5.9)",IF(J3666&gt;=4,"Moderado (4-4.9)","Menor a 4"))))</x:f>
        <x:v>Moderado alto (5-5.9)</x:v>
      </x:c>
      <x:c r="L3666" s="25" t="str">
        <x:f>IF(I3666&lt;70,"Superficial (&lt;70 km)",IF(I3666&lt;=300,"Intermedio (70-300 km)","Profundo (&gt;300 km)"))</x:f>
        <x:v>Intermedio (70-300 km)</x:v>
      </x:c>
      <x:c r="M3666" s="25" t="str">
        <x:f>IF(J3666&gt;=5,"Sí","No")</x:f>
        <x:v>Sí</x:v>
      </x:c>
      <x:c r="N3666" s="25" t="str">
        <x:f>IF(J3666&gt;=6,"Sí","No")</x:f>
        <x:v>No</x:v>
      </x:c>
      <x:c r="O3666" s="25" t="str">
        <x:v>Pendiente: asignar con R/sf</x:v>
      </x:c>
    </x:row>
    <x:row r="3667">
      <x:c r="A3667" s="25" t="n">
        <x:v>3666</x:v>
      </x:c>
      <x:c r="B3667" s="26" t="n">
        <x:v>45237.37825231482</x:v>
      </x:c>
      <x:c r="C3667" s="27" t="n">
        <x:f>INT(B3667)</x:f>
        <x:v>45237</x:v>
      </x:c>
      <x:c r="D3667" s="28" t="n">
        <x:f>MOD(B3667,1)</x:f>
        <x:v>0.37825231481838273</x:v>
      </x:c>
      <x:c r="E3667" s="29" t="n">
        <x:f>YEAR(B3667)</x:f>
        <x:v>2023</x:v>
      </x:c>
      <x:c r="F3667" s="29" t="n">
        <x:f>MONTH(B3667)</x:f>
        <x:v>11</x:v>
      </x:c>
      <x:c r="G3667" s="30" t="n">
        <x:v>-21.11</x:v>
      </x:c>
      <x:c r="H3667" s="30" t="n">
        <x:v>-68.98</x:v>
      </x:c>
      <x:c r="I3667" s="29" t="n">
        <x:v>121</x:v>
      </x:c>
      <x:c r="J3667" s="31" t="n">
        <x:v>4.5</x:v>
      </x:c>
      <x:c r="K3667" s="25" t="str">
        <x:f>IF(J3667&gt;=7,"Muy fuerte (&gt;=7)",IF(J3667&gt;=6,"Fuerte (6-6.9)",IF(J3667&gt;=5,"Moderado alto (5-5.9)",IF(J3667&gt;=4,"Moderado (4-4.9)","Menor a 4"))))</x:f>
        <x:v>Moderado (4-4.9)</x:v>
      </x:c>
      <x:c r="L3667" s="25" t="str">
        <x:f>IF(I3667&lt;70,"Superficial (&lt;70 km)",IF(I3667&lt;=300,"Intermedio (70-300 km)","Profundo (&gt;300 km)"))</x:f>
        <x:v>Intermedio (70-300 km)</x:v>
      </x:c>
      <x:c r="M3667" s="25" t="str">
        <x:f>IF(J3667&gt;=5,"Sí","No")</x:f>
        <x:v>No</x:v>
      </x:c>
      <x:c r="N3667" s="25" t="str">
        <x:f>IF(J3667&gt;=6,"Sí","No")</x:f>
        <x:v>No</x:v>
      </x:c>
      <x:c r="O3667" s="25" t="str">
        <x:v>Pendiente: asignar con R/sf</x:v>
      </x:c>
    </x:row>
    <x:row r="3668">
      <x:c r="A3668" s="25" t="n">
        <x:v>3667</x:v>
      </x:c>
      <x:c r="B3668" s="26" t="n">
        <x:v>45241.9690162037</x:v>
      </x:c>
      <x:c r="C3668" s="27" t="n">
        <x:f>INT(B3668)</x:f>
        <x:v>45241</x:v>
      </x:c>
      <x:c r="D3668" s="28" t="n">
        <x:f>MOD(B3668,1)</x:f>
        <x:v>0.9690162037004484</x:v>
      </x:c>
      <x:c r="E3668" s="29" t="n">
        <x:f>YEAR(B3668)</x:f>
        <x:v>2023</x:v>
      </x:c>
      <x:c r="F3668" s="29" t="n">
        <x:f>MONTH(B3668)</x:f>
        <x:v>11</x:v>
      </x:c>
      <x:c r="G3668" s="30" t="n">
        <x:v>-21.95</x:v>
      </x:c>
      <x:c r="H3668" s="30" t="n">
        <x:v>-68.79</x:v>
      </x:c>
      <x:c r="I3668" s="29" t="n">
        <x:v>118</x:v>
      </x:c>
      <x:c r="J3668" s="31" t="n">
        <x:v>4.5</x:v>
      </x:c>
      <x:c r="K3668" s="25" t="str">
        <x:f>IF(J3668&gt;=7,"Muy fuerte (&gt;=7)",IF(J3668&gt;=6,"Fuerte (6-6.9)",IF(J3668&gt;=5,"Moderado alto (5-5.9)",IF(J3668&gt;=4,"Moderado (4-4.9)","Menor a 4"))))</x:f>
        <x:v>Moderado (4-4.9)</x:v>
      </x:c>
      <x:c r="L3668" s="25" t="str">
        <x:f>IF(I3668&lt;70,"Superficial (&lt;70 km)",IF(I3668&lt;=300,"Intermedio (70-300 km)","Profundo (&gt;300 km)"))</x:f>
        <x:v>Intermedio (70-300 km)</x:v>
      </x:c>
      <x:c r="M3668" s="25" t="str">
        <x:f>IF(J3668&gt;=5,"Sí","No")</x:f>
        <x:v>No</x:v>
      </x:c>
      <x:c r="N3668" s="25" t="str">
        <x:f>IF(J3668&gt;=6,"Sí","No")</x:f>
        <x:v>No</x:v>
      </x:c>
      <x:c r="O3668" s="25" t="str">
        <x:v>Pendiente: asignar con R/sf</x:v>
      </x:c>
    </x:row>
    <x:row r="3669">
      <x:c r="A3669" s="25" t="n">
        <x:v>3668</x:v>
      </x:c>
      <x:c r="B3669" s="26" t="n">
        <x:v>45280.527650462966</x:v>
      </x:c>
      <x:c r="C3669" s="27" t="n">
        <x:f>INT(B3669)</x:f>
        <x:v>45280</x:v>
      </x:c>
      <x:c r="D3669" s="28" t="n">
        <x:f>MOD(B3669,1)</x:f>
        <x:v>0.5276504629655392</x:v>
      </x:c>
      <x:c r="E3669" s="29" t="n">
        <x:f>YEAR(B3669)</x:f>
        <x:v>2023</x:v>
      </x:c>
      <x:c r="F3669" s="29" t="n">
        <x:f>MONTH(B3669)</x:f>
        <x:v>12</x:v>
      </x:c>
      <x:c r="G3669" s="30" t="n">
        <x:v>-21.43</x:v>
      </x:c>
      <x:c r="H3669" s="30" t="n">
        <x:v>-68.64</x:v>
      </x:c>
      <x:c r="I3669" s="29" t="n">
        <x:v>114</x:v>
      </x:c>
      <x:c r="J3669" s="31" t="n">
        <x:v>4.5</x:v>
      </x:c>
      <x:c r="K3669" s="25" t="str">
        <x:f>IF(J3669&gt;=7,"Muy fuerte (&gt;=7)",IF(J3669&gt;=6,"Fuerte (6-6.9)",IF(J3669&gt;=5,"Moderado alto (5-5.9)",IF(J3669&gt;=4,"Moderado (4-4.9)","Menor a 4"))))</x:f>
        <x:v>Moderado (4-4.9)</x:v>
      </x:c>
      <x:c r="L3669" s="25" t="str">
        <x:f>IF(I3669&lt;70,"Superficial (&lt;70 km)",IF(I3669&lt;=300,"Intermedio (70-300 km)","Profundo (&gt;300 km)"))</x:f>
        <x:v>Intermedio (70-300 km)</x:v>
      </x:c>
      <x:c r="M3669" s="25" t="str">
        <x:f>IF(J3669&gt;=5,"Sí","No")</x:f>
        <x:v>No</x:v>
      </x:c>
      <x:c r="N3669" s="25" t="str">
        <x:f>IF(J3669&gt;=6,"Sí","No")</x:f>
        <x:v>No</x:v>
      </x:c>
      <x:c r="O3669" s="25" t="str">
        <x:v>Pendiente: asignar con R/sf</x:v>
      </x:c>
    </x:row>
    <x:row r="3670">
      <x:c r="A3670" s="25" t="n">
        <x:v>3669</x:v>
      </x:c>
      <x:c r="B3670" s="26" t="n">
        <x:v>45294.352164351854</x:v>
      </x:c>
      <x:c r="C3670" s="27" t="n">
        <x:f>INT(B3670)</x:f>
        <x:v>45294</x:v>
      </x:c>
      <x:c r="D3670" s="28" t="n">
        <x:f>MOD(B3670,1)</x:f>
        <x:v>0.35216435185429873</x:v>
      </x:c>
      <x:c r="E3670" s="29" t="n">
        <x:f>YEAR(B3670)</x:f>
        <x:v>2024</x:v>
      </x:c>
      <x:c r="F3670" s="29" t="n">
        <x:f>MONTH(B3670)</x:f>
        <x:v>1</x:v>
      </x:c>
      <x:c r="G3670" s="30" t="n">
        <x:v>-21.46</x:v>
      </x:c>
      <x:c r="H3670" s="30" t="n">
        <x:v>-68.86</x:v>
      </x:c>
      <x:c r="I3670" s="29" t="n">
        <x:v>108</x:v>
      </x:c>
      <x:c r="J3670" s="31" t="n">
        <x:v>4.6</x:v>
      </x:c>
      <x:c r="K3670" s="25" t="str">
        <x:f>IF(J3670&gt;=7,"Muy fuerte (&gt;=7)",IF(J3670&gt;=6,"Fuerte (6-6.9)",IF(J3670&gt;=5,"Moderado alto (5-5.9)",IF(J3670&gt;=4,"Moderado (4-4.9)","Menor a 4"))))</x:f>
        <x:v>Moderado (4-4.9)</x:v>
      </x:c>
      <x:c r="L3670" s="25" t="str">
        <x:f>IF(I3670&lt;70,"Superficial (&lt;70 km)",IF(I3670&lt;=300,"Intermedio (70-300 km)","Profundo (&gt;300 km)"))</x:f>
        <x:v>Intermedio (70-300 km)</x:v>
      </x:c>
      <x:c r="M3670" s="25" t="str">
        <x:f>IF(J3670&gt;=5,"Sí","No")</x:f>
        <x:v>No</x:v>
      </x:c>
      <x:c r="N3670" s="25" t="str">
        <x:f>IF(J3670&gt;=6,"Sí","No")</x:f>
        <x:v>No</x:v>
      </x:c>
      <x:c r="O3670" s="25" t="str">
        <x:v>Pendiente: asignar con R/sf</x:v>
      </x:c>
    </x:row>
    <x:row r="3671">
      <x:c r="A3671" s="25" t="n">
        <x:v>3670</x:v>
      </x:c>
      <x:c r="B3671" s="26" t="n">
        <x:v>45393.167395833334</x:v>
      </x:c>
      <x:c r="C3671" s="27" t="n">
        <x:f>INT(B3671)</x:f>
        <x:v>45393</x:v>
      </x:c>
      <x:c r="D3671" s="28" t="n">
        <x:f>MOD(B3671,1)</x:f>
        <x:v>0.16739583333401242</x:v>
      </x:c>
      <x:c r="E3671" s="29" t="n">
        <x:f>YEAR(B3671)</x:f>
        <x:v>2024</x:v>
      </x:c>
      <x:c r="F3671" s="29" t="n">
        <x:f>MONTH(B3671)</x:f>
        <x:v>4</x:v>
      </x:c>
      <x:c r="G3671" s="30" t="n">
        <x:v>-21.26</x:v>
      </x:c>
      <x:c r="H3671" s="30" t="n">
        <x:v>-69.94</x:v>
      </x:c>
      <x:c r="I3671" s="29" t="n">
        <x:v>51</x:v>
      </x:c>
      <x:c r="J3671" s="31" t="n">
        <x:v>4.5</x:v>
      </x:c>
      <x:c r="K3671" s="25" t="str">
        <x:f>IF(J3671&gt;=7,"Muy fuerte (&gt;=7)",IF(J3671&gt;=6,"Fuerte (6-6.9)",IF(J3671&gt;=5,"Moderado alto (5-5.9)",IF(J3671&gt;=4,"Moderado (4-4.9)","Menor a 4"))))</x:f>
        <x:v>Moderado (4-4.9)</x:v>
      </x:c>
      <x:c r="L3671" s="25" t="str">
        <x:f>IF(I3671&lt;70,"Superficial (&lt;70 km)",IF(I3671&lt;=300,"Intermedio (70-300 km)","Profundo (&gt;300 km)"))</x:f>
        <x:v>Superficial (&lt;70 km)</x:v>
      </x:c>
      <x:c r="M3671" s="25" t="str">
        <x:f>IF(J3671&gt;=5,"Sí","No")</x:f>
        <x:v>No</x:v>
      </x:c>
      <x:c r="N3671" s="25" t="str">
        <x:f>IF(J3671&gt;=6,"Sí","No")</x:f>
        <x:v>No</x:v>
      </x:c>
      <x:c r="O3671" s="25" t="str">
        <x:v>Pendiente: asignar con R/sf</x:v>
      </x:c>
    </x:row>
    <x:row r="3672">
      <x:c r="A3672" s="25" t="n">
        <x:v>3671</x:v>
      </x:c>
      <x:c r="B3672" s="26" t="n">
        <x:v>45487.843993055554</x:v>
      </x:c>
      <x:c r="C3672" s="27" t="n">
        <x:f>INT(B3672)</x:f>
        <x:v>45487</x:v>
      </x:c>
      <x:c r="D3672" s="28" t="n">
        <x:f>MOD(B3672,1)</x:f>
        <x:v>0.843993055554165</x:v>
      </x:c>
      <x:c r="E3672" s="29" t="n">
        <x:f>YEAR(B3672)</x:f>
        <x:v>2024</x:v>
      </x:c>
      <x:c r="F3672" s="29" t="n">
        <x:f>MONTH(B3672)</x:f>
        <x:v>7</x:v>
      </x:c>
      <x:c r="G3672" s="30" t="n">
        <x:v>-21.34</x:v>
      </x:c>
      <x:c r="H3672" s="30" t="n">
        <x:v>-68.55</x:v>
      </x:c>
      <x:c r="I3672" s="29" t="n">
        <x:v>130</x:v>
      </x:c>
      <x:c r="J3672" s="31" t="n">
        <x:v>4.9</x:v>
      </x:c>
      <x:c r="K3672" s="25" t="str">
        <x:f>IF(J3672&gt;=7,"Muy fuerte (&gt;=7)",IF(J3672&gt;=6,"Fuerte (6-6.9)",IF(J3672&gt;=5,"Moderado alto (5-5.9)",IF(J3672&gt;=4,"Moderado (4-4.9)","Menor a 4"))))</x:f>
        <x:v>Moderado (4-4.9)</x:v>
      </x:c>
      <x:c r="L3672" s="25" t="str">
        <x:f>IF(I3672&lt;70,"Superficial (&lt;70 km)",IF(I3672&lt;=300,"Intermedio (70-300 km)","Profundo (&gt;300 km)"))</x:f>
        <x:v>Intermedio (70-300 km)</x:v>
      </x:c>
      <x:c r="M3672" s="25" t="str">
        <x:f>IF(J3672&gt;=5,"Sí","No")</x:f>
        <x:v>No</x:v>
      </x:c>
      <x:c r="N3672" s="25" t="str">
        <x:f>IF(J3672&gt;=6,"Sí","No")</x:f>
        <x:v>No</x:v>
      </x:c>
      <x:c r="O3672" s="25" t="str">
        <x:v>Pendiente: asignar con R/sf</x:v>
      </x:c>
    </x:row>
    <x:row r="3673">
      <x:c r="A3673" s="25" t="n">
        <x:v>3672</x:v>
      </x:c>
      <x:c r="B3673" s="26" t="n">
        <x:v>45602.292592592596</x:v>
      </x:c>
      <x:c r="C3673" s="27" t="n">
        <x:f>INT(B3673)</x:f>
        <x:v>45602</x:v>
      </x:c>
      <x:c r="D3673" s="28" t="n">
        <x:f>MOD(B3673,1)</x:f>
        <x:v>0.29259259259561077</x:v>
      </x:c>
      <x:c r="E3673" s="29" t="n">
        <x:f>YEAR(B3673)</x:f>
        <x:v>2024</x:v>
      </x:c>
      <x:c r="F3673" s="29" t="n">
        <x:f>MONTH(B3673)</x:f>
        <x:v>11</x:v>
      </x:c>
      <x:c r="G3673" s="30" t="n">
        <x:v>-21.35</x:v>
      </x:c>
      <x:c r="H3673" s="30" t="n">
        <x:v>-68.63</x:v>
      </x:c>
      <x:c r="I3673" s="29" t="n">
        <x:v>103</x:v>
      </x:c>
      <x:c r="J3673" s="31" t="n">
        <x:v>4.8</x:v>
      </x:c>
      <x:c r="K3673" s="25" t="str">
        <x:f>IF(J3673&gt;=7,"Muy fuerte (&gt;=7)",IF(J3673&gt;=6,"Fuerte (6-6.9)",IF(J3673&gt;=5,"Moderado alto (5-5.9)",IF(J3673&gt;=4,"Moderado (4-4.9)","Menor a 4"))))</x:f>
        <x:v>Moderado (4-4.9)</x:v>
      </x:c>
      <x:c r="L3673" s="25" t="str">
        <x:f>IF(I3673&lt;70,"Superficial (&lt;70 km)",IF(I3673&lt;=300,"Intermedio (70-300 km)","Profundo (&gt;300 km)"))</x:f>
        <x:v>Intermedio (70-300 km)</x:v>
      </x:c>
      <x:c r="M3673" s="25" t="str">
        <x:f>IF(J3673&gt;=5,"Sí","No")</x:f>
        <x:v>No</x:v>
      </x:c>
      <x:c r="N3673" s="25" t="str">
        <x:f>IF(J3673&gt;=6,"Sí","No")</x:f>
        <x:v>No</x:v>
      </x:c>
      <x:c r="O3673" s="25" t="str">
        <x:v>Pendiente: asignar con R/sf</x:v>
      </x:c>
    </x:row>
    <x:row r="3674">
      <x:c r="A3674" s="25" t="n">
        <x:v>3673</x:v>
      </x:c>
      <x:c r="B3674" s="26" t="n">
        <x:v>45789.386041666665</x:v>
      </x:c>
      <x:c r="C3674" s="27" t="n">
        <x:f>INT(B3674)</x:f>
        <x:v>45789</x:v>
      </x:c>
      <x:c r="D3674" s="28" t="n">
        <x:f>MOD(B3674,1)</x:f>
        <x:v>0.3860416666648234</x:v>
      </x:c>
      <x:c r="E3674" s="29" t="n">
        <x:f>YEAR(B3674)</x:f>
        <x:v>2025</x:v>
      </x:c>
      <x:c r="F3674" s="29" t="n">
        <x:f>MONTH(B3674)</x:f>
        <x:v>5</x:v>
      </x:c>
      <x:c r="G3674" s="30" t="n">
        <x:v>-21.51</x:v>
      </x:c>
      <x:c r="H3674" s="30" t="n">
        <x:v>-69.11</x:v>
      </x:c>
      <x:c r="I3674" s="29" t="n">
        <x:v>93</x:v>
      </x:c>
      <x:c r="J3674" s="31" t="n">
        <x:v>3.9</x:v>
      </x:c>
      <x:c r="K3674" s="25" t="str">
        <x:f>IF(J3674&gt;=7,"Muy fuerte (&gt;=7)",IF(J3674&gt;=6,"Fuerte (6-6.9)",IF(J3674&gt;=5,"Moderado alto (5-5.9)",IF(J3674&gt;=4,"Moderado (4-4.9)","Menor a 4"))))</x:f>
        <x:v>Menor a 4</x:v>
      </x:c>
      <x:c r="L3674" s="25" t="str">
        <x:f>IF(I3674&lt;70,"Superficial (&lt;70 km)",IF(I3674&lt;=300,"Intermedio (70-300 km)","Profundo (&gt;300 km)"))</x:f>
        <x:v>Intermedio (70-300 km)</x:v>
      </x:c>
      <x:c r="M3674" s="25" t="str">
        <x:f>IF(J3674&gt;=5,"Sí","No")</x:f>
        <x:v>No</x:v>
      </x:c>
      <x:c r="N3674" s="25" t="str">
        <x:f>IF(J3674&gt;=6,"Sí","No")</x:f>
        <x:v>No</x:v>
      </x:c>
      <x:c r="O3674" s="25" t="str">
        <x:v>Pendiente: asignar con R/sf</x:v>
      </x:c>
    </x:row>
    <x:row r="3675">
      <x:c r="A3675" s="25" t="n">
        <x:v>3674</x:v>
      </x:c>
      <x:c r="B3675" s="26" t="n">
        <x:v>45874.20774305556</x:v>
      </x:c>
      <x:c r="C3675" s="27" t="n">
        <x:f>INT(B3675)</x:f>
        <x:v>45874</x:v>
      </x:c>
      <x:c r="D3675" s="28" t="n">
        <x:f>MOD(B3675,1)</x:f>
        <x:v>0.20774305555823958</x:v>
      </x:c>
      <x:c r="E3675" s="29" t="n">
        <x:f>YEAR(B3675)</x:f>
        <x:v>2025</x:v>
      </x:c>
      <x:c r="F3675" s="29" t="n">
        <x:f>MONTH(B3675)</x:f>
        <x:v>8</x:v>
      </x:c>
      <x:c r="G3675" s="30" t="n">
        <x:v>-21.93</x:v>
      </x:c>
      <x:c r="H3675" s="30" t="n">
        <x:v>-68.81</x:v>
      </x:c>
      <x:c r="I3675" s="29" t="n">
        <x:v>104</x:v>
      </x:c>
      <x:c r="J3675" s="31" t="n">
        <x:v>4.5</x:v>
      </x:c>
      <x:c r="K3675" s="25" t="str">
        <x:f>IF(J3675&gt;=7,"Muy fuerte (&gt;=7)",IF(J3675&gt;=6,"Fuerte (6-6.9)",IF(J3675&gt;=5,"Moderado alto (5-5.9)",IF(J3675&gt;=4,"Moderado (4-4.9)","Menor a 4"))))</x:f>
        <x:v>Moderado (4-4.9)</x:v>
      </x:c>
      <x:c r="L3675" s="25" t="str">
        <x:f>IF(I3675&lt;70,"Superficial (&lt;70 km)",IF(I3675&lt;=300,"Intermedio (70-300 km)","Profundo (&gt;300 km)"))</x:f>
        <x:v>Intermedio (70-300 km)</x:v>
      </x:c>
      <x:c r="M3675" s="25" t="str">
        <x:f>IF(J3675&gt;=5,"Sí","No")</x:f>
        <x:v>No</x:v>
      </x:c>
      <x:c r="N3675" s="25" t="str">
        <x:f>IF(J3675&gt;=6,"Sí","No")</x:f>
        <x:v>No</x:v>
      </x:c>
      <x:c r="O3675" s="25" t="str">
        <x:v>Pendiente: asignar con R/sf</x:v>
      </x:c>
    </x:row>
    <x:row r="3676">
      <x:c r="A3676" s="25" t="n">
        <x:v>3675</x:v>
      </x:c>
      <x:c r="B3676" s="26" t="n">
        <x:v>45823.56260416667</x:v>
      </x:c>
      <x:c r="C3676" s="27" t="n">
        <x:f>INT(B3676)</x:f>
        <x:v>45823</x:v>
      </x:c>
      <x:c r="D3676" s="28" t="n">
        <x:f>MOD(B3676,1)</x:f>
        <x:v>0.562604166669189</x:v>
      </x:c>
      <x:c r="E3676" s="29" t="n">
        <x:f>YEAR(B3676)</x:f>
        <x:v>2025</x:v>
      </x:c>
      <x:c r="F3676" s="29" t="n">
        <x:f>MONTH(B3676)</x:f>
        <x:v>6</x:v>
      </x:c>
      <x:c r="G3676" s="30" t="n">
        <x:v>-22.33</x:v>
      </x:c>
      <x:c r="H3676" s="30" t="n">
        <x:v>-68.71</x:v>
      </x:c>
      <x:c r="I3676" s="29" t="n">
        <x:v>117</x:v>
      </x:c>
      <x:c r="J3676" s="31" t="n">
        <x:v>4.2</x:v>
      </x:c>
      <x:c r="K3676" s="25" t="str">
        <x:f>IF(J3676&gt;=7,"Muy fuerte (&gt;=7)",IF(J3676&gt;=6,"Fuerte (6-6.9)",IF(J3676&gt;=5,"Moderado alto (5-5.9)",IF(J3676&gt;=4,"Moderado (4-4.9)","Menor a 4"))))</x:f>
        <x:v>Moderado (4-4.9)</x:v>
      </x:c>
      <x:c r="L3676" s="25" t="str">
        <x:f>IF(I3676&lt;70,"Superficial (&lt;70 km)",IF(I3676&lt;=300,"Intermedio (70-300 km)","Profundo (&gt;300 km)"))</x:f>
        <x:v>Intermedio (70-300 km)</x:v>
      </x:c>
      <x:c r="M3676" s="25" t="str">
        <x:f>IF(J3676&gt;=5,"Sí","No")</x:f>
        <x:v>No</x:v>
      </x:c>
      <x:c r="N3676" s="25" t="str">
        <x:f>IF(J3676&gt;=6,"Sí","No")</x:f>
        <x:v>No</x:v>
      </x:c>
      <x:c r="O3676" s="25" t="str">
        <x:v>Pendiente: asignar con R/sf</x:v>
      </x:c>
    </x:row>
    <x:row r="3677">
      <x:c r="A3677" s="25" t="n">
        <x:v>3676</x:v>
      </x:c>
      <x:c r="B3677" s="26" t="n">
        <x:v>45323.87820601852</x:v>
      </x:c>
      <x:c r="C3677" s="27" t="n">
        <x:f>INT(B3677)</x:f>
        <x:v>45323</x:v>
      </x:c>
      <x:c r="D3677" s="28" t="n">
        <x:f>MOD(B3677,1)</x:f>
        <x:v>0.8782060185185401</x:v>
      </x:c>
      <x:c r="E3677" s="29" t="n">
        <x:f>YEAR(B3677)</x:f>
        <x:v>2024</x:v>
      </x:c>
      <x:c r="F3677" s="29" t="n">
        <x:f>MONTH(B3677)</x:f>
        <x:v>2</x:v>
      </x:c>
      <x:c r="G3677" s="30" t="n">
        <x:v>-21.54</x:v>
      </x:c>
      <x:c r="H3677" s="30" t="n">
        <x:v>-69.64</x:v>
      </x:c>
      <x:c r="I3677" s="29" t="n">
        <x:v>19</x:v>
      </x:c>
      <x:c r="J3677" s="31" t="n">
        <x:v>3.7</x:v>
      </x:c>
      <x:c r="K3677" s="25" t="str">
        <x:f>IF(J3677&gt;=7,"Muy fuerte (&gt;=7)",IF(J3677&gt;=6,"Fuerte (6-6.9)",IF(J3677&gt;=5,"Moderado alto (5-5.9)",IF(J3677&gt;=4,"Moderado (4-4.9)","Menor a 4"))))</x:f>
        <x:v>Menor a 4</x:v>
      </x:c>
      <x:c r="L3677" s="25" t="str">
        <x:f>IF(I3677&lt;70,"Superficial (&lt;70 km)",IF(I3677&lt;=300,"Intermedio (70-300 km)","Profundo (&gt;300 km)"))</x:f>
        <x:v>Superficial (&lt;70 km)</x:v>
      </x:c>
      <x:c r="M3677" s="25" t="str">
        <x:f>IF(J3677&gt;=5,"Sí","No")</x:f>
        <x:v>No</x:v>
      </x:c>
      <x:c r="N3677" s="25" t="str">
        <x:f>IF(J3677&gt;=6,"Sí","No")</x:f>
        <x:v>No</x:v>
      </x:c>
      <x:c r="O3677" s="25" t="str">
        <x:v>Pendiente: asignar con R/sf</x:v>
      </x:c>
    </x:row>
    <x:row r="3678">
      <x:c r="A3678" s="25" t="n">
        <x:v>3677</x:v>
      </x:c>
      <x:c r="B3678" s="26" t="n">
        <x:v>45374.724490740744</x:v>
      </x:c>
      <x:c r="C3678" s="27" t="n">
        <x:f>INT(B3678)</x:f>
        <x:v>45374</x:v>
      </x:c>
      <x:c r="D3678" s="28" t="n">
        <x:f>MOD(B3678,1)</x:f>
        <x:v>0.7244907407439314</x:v>
      </x:c>
      <x:c r="E3678" s="29" t="n">
        <x:f>YEAR(B3678)</x:f>
        <x:v>2024</x:v>
      </x:c>
      <x:c r="F3678" s="29" t="n">
        <x:f>MONTH(B3678)</x:f>
        <x:v>3</x:v>
      </x:c>
      <x:c r="G3678" s="30" t="n">
        <x:v>-22.19</x:v>
      </x:c>
      <x:c r="H3678" s="30" t="n">
        <x:v>-70.36</x:v>
      </x:c>
      <x:c r="I3678" s="29" t="n">
        <x:v>31</x:v>
      </x:c>
      <x:c r="J3678" s="31" t="n">
        <x:v>4</x:v>
      </x:c>
      <x:c r="K3678" s="25" t="str">
        <x:f>IF(J3678&gt;=7,"Muy fuerte (&gt;=7)",IF(J3678&gt;=6,"Fuerte (6-6.9)",IF(J3678&gt;=5,"Moderado alto (5-5.9)",IF(J3678&gt;=4,"Moderado (4-4.9)","Menor a 4"))))</x:f>
        <x:v>Moderado (4-4.9)</x:v>
      </x:c>
      <x:c r="L3678" s="25" t="str">
        <x:f>IF(I3678&lt;70,"Superficial (&lt;70 km)",IF(I3678&lt;=300,"Intermedio (70-300 km)","Profundo (&gt;300 km)"))</x:f>
        <x:v>Superficial (&lt;70 km)</x:v>
      </x:c>
      <x:c r="M3678" s="25" t="str">
        <x:f>IF(J3678&gt;=5,"Sí","No")</x:f>
        <x:v>No</x:v>
      </x:c>
      <x:c r="N3678" s="25" t="str">
        <x:f>IF(J3678&gt;=6,"Sí","No")</x:f>
        <x:v>No</x:v>
      </x:c>
      <x:c r="O3678" s="25" t="str">
        <x:v>Pendiente: asignar con R/sf</x:v>
      </x:c>
    </x:row>
    <x:row r="3679">
      <x:c r="A3679" s="25" t="n">
        <x:v>3678</x:v>
      </x:c>
      <x:c r="B3679" s="26" t="n">
        <x:v>45730.483773148146</x:v>
      </x:c>
      <x:c r="C3679" s="27" t="n">
        <x:f>INT(B3679)</x:f>
        <x:v>45730</x:v>
      </x:c>
      <x:c r="D3679" s="28" t="n">
        <x:f>MOD(B3679,1)</x:f>
        <x:v>0.48377314814570127</x:v>
      </x:c>
      <x:c r="E3679" s="29" t="n">
        <x:f>YEAR(B3679)</x:f>
        <x:v>2025</x:v>
      </x:c>
      <x:c r="F3679" s="29" t="n">
        <x:f>MONTH(B3679)</x:f>
        <x:v>3</x:v>
      </x:c>
      <x:c r="G3679" s="30" t="n">
        <x:v>-21.34</x:v>
      </x:c>
      <x:c r="H3679" s="30" t="n">
        <x:v>-68.64</x:v>
      </x:c>
      <x:c r="I3679" s="29" t="n">
        <x:v>138</x:v>
      </x:c>
      <x:c r="J3679" s="31" t="n">
        <x:v>4.3</x:v>
      </x:c>
      <x:c r="K3679" s="25" t="str">
        <x:f>IF(J3679&gt;=7,"Muy fuerte (&gt;=7)",IF(J3679&gt;=6,"Fuerte (6-6.9)",IF(J3679&gt;=5,"Moderado alto (5-5.9)",IF(J3679&gt;=4,"Moderado (4-4.9)","Menor a 4"))))</x:f>
        <x:v>Moderado (4-4.9)</x:v>
      </x:c>
      <x:c r="L3679" s="25" t="str">
        <x:f>IF(I3679&lt;70,"Superficial (&lt;70 km)",IF(I3679&lt;=300,"Intermedio (70-300 km)","Profundo (&gt;300 km)"))</x:f>
        <x:v>Intermedio (70-300 km)</x:v>
      </x:c>
      <x:c r="M3679" s="25" t="str">
        <x:f>IF(J3679&gt;=5,"Sí","No")</x:f>
        <x:v>No</x:v>
      </x:c>
      <x:c r="N3679" s="25" t="str">
        <x:f>IF(J3679&gt;=6,"Sí","No")</x:f>
        <x:v>No</x:v>
      </x:c>
      <x:c r="O3679" s="25" t="str">
        <x:v>Pendiente: asignar con R/sf</x:v>
      </x:c>
    </x:row>
    <x:row r="3680">
      <x:c r="A3680" s="25" t="n">
        <x:v>3679</x:v>
      </x:c>
      <x:c r="B3680" s="26" t="n">
        <x:v>45830.86547453704</x:v>
      </x:c>
      <x:c r="C3680" s="27" t="n">
        <x:f>INT(B3680)</x:f>
        <x:v>45830</x:v>
      </x:c>
      <x:c r="D3680" s="28" t="n">
        <x:f>MOD(B3680,1)</x:f>
        <x:v>0.8654745370367891</x:v>
      </x:c>
      <x:c r="E3680" s="29" t="n">
        <x:f>YEAR(B3680)</x:f>
        <x:v>2025</x:v>
      </x:c>
      <x:c r="F3680" s="29" t="n">
        <x:f>MONTH(B3680)</x:f>
        <x:v>6</x:v>
      </x:c>
      <x:c r="G3680" s="30" t="n">
        <x:v>-21.71</x:v>
      </x:c>
      <x:c r="H3680" s="30" t="n">
        <x:v>-68.77</x:v>
      </x:c>
      <x:c r="I3680" s="29" t="n">
        <x:v>117</x:v>
      </x:c>
      <x:c r="J3680" s="31" t="n">
        <x:v>4.5</x:v>
      </x:c>
      <x:c r="K3680" s="25" t="str">
        <x:f>IF(J3680&gt;=7,"Muy fuerte (&gt;=7)",IF(J3680&gt;=6,"Fuerte (6-6.9)",IF(J3680&gt;=5,"Moderado alto (5-5.9)",IF(J3680&gt;=4,"Moderado (4-4.9)","Menor a 4"))))</x:f>
        <x:v>Moderado (4-4.9)</x:v>
      </x:c>
      <x:c r="L3680" s="25" t="str">
        <x:f>IF(I3680&lt;70,"Superficial (&lt;70 km)",IF(I3680&lt;=300,"Intermedio (70-300 km)","Profundo (&gt;300 km)"))</x:f>
        <x:v>Intermedio (70-300 km)</x:v>
      </x:c>
      <x:c r="M3680" s="25" t="str">
        <x:f>IF(J3680&gt;=5,"Sí","No")</x:f>
        <x:v>No</x:v>
      </x:c>
      <x:c r="N3680" s="25" t="str">
        <x:f>IF(J3680&gt;=6,"Sí","No")</x:f>
        <x:v>No</x:v>
      </x:c>
      <x:c r="O3680" s="25" t="str">
        <x:v>Pendiente: asignar con R/sf</x:v>
      </x:c>
    </x:row>
    <x:row r="3681">
      <x:c r="A3681" s="25" t="n">
        <x:v>3680</x:v>
      </x:c>
      <x:c r="B3681" s="26" t="n">
        <x:v>45175.99172453704</x:v>
      </x:c>
      <x:c r="C3681" s="27" t="n">
        <x:f>INT(B3681)</x:f>
        <x:v>45175</x:v>
      </x:c>
      <x:c r="D3681" s="28" t="n">
        <x:f>MOD(B3681,1)</x:f>
        <x:v>0.9917245370379533</x:v>
      </x:c>
      <x:c r="E3681" s="29" t="n">
        <x:f>YEAR(B3681)</x:f>
        <x:v>2023</x:v>
      </x:c>
      <x:c r="F3681" s="29" t="n">
        <x:f>MONTH(B3681)</x:f>
        <x:v>9</x:v>
      </x:c>
      <x:c r="G3681" s="30" t="n">
        <x:v>-30.34</x:v>
      </x:c>
      <x:c r="H3681" s="30" t="n">
        <x:v>-71.46</x:v>
      </x:c>
      <x:c r="I3681" s="29" t="n">
        <x:v>46</x:v>
      </x:c>
      <x:c r="J3681" s="31" t="n">
        <x:v>6.5</x:v>
      </x:c>
      <x:c r="K3681" s="25" t="str">
        <x:f>IF(J3681&gt;=7,"Muy fuerte (&gt;=7)",IF(J3681&gt;=6,"Fuerte (6-6.9)",IF(J3681&gt;=5,"Moderado alto (5-5.9)",IF(J3681&gt;=4,"Moderado (4-4.9)","Menor a 4"))))</x:f>
        <x:v>Fuerte (6-6.9)</x:v>
      </x:c>
      <x:c r="L3681" s="25" t="str">
        <x:f>IF(I3681&lt;70,"Superficial (&lt;70 km)",IF(I3681&lt;=300,"Intermedio (70-300 km)","Profundo (&gt;300 km)"))</x:f>
        <x:v>Superficial (&lt;70 km)</x:v>
      </x:c>
      <x:c r="M3681" s="25" t="str">
        <x:f>IF(J3681&gt;=5,"Sí","No")</x:f>
        <x:v>Sí</x:v>
      </x:c>
      <x:c r="N3681" s="25" t="str">
        <x:f>IF(J3681&gt;=6,"Sí","No")</x:f>
        <x:v>Sí</x:v>
      </x:c>
      <x:c r="O3681" s="25" t="str">
        <x:v>Pendiente: asignar con R/sf</x:v>
      </x:c>
    </x:row>
    <x:row r="3682">
      <x:c r="A3682" s="25" t="n">
        <x:v>3681</x:v>
      </x:c>
      <x:c r="B3682" s="26" t="n">
        <x:v>45181.207407407404</x:v>
      </x:c>
      <x:c r="C3682" s="27" t="n">
        <x:f>INT(B3682)</x:f>
        <x:v>45181</x:v>
      </x:c>
      <x:c r="D3682" s="28" t="n">
        <x:f>MOD(B3682,1)</x:f>
        <x:v>0.20740740740438923</x:v>
      </x:c>
      <x:c r="E3682" s="29" t="n">
        <x:f>YEAR(B3682)</x:f>
        <x:v>2023</x:v>
      </x:c>
      <x:c r="F3682" s="29" t="n">
        <x:f>MONTH(B3682)</x:f>
        <x:v>9</x:v>
      </x:c>
      <x:c r="G3682" s="30" t="n">
        <x:v>-20.57</x:v>
      </x:c>
      <x:c r="H3682" s="30" t="n">
        <x:v>-68.74</x:v>
      </x:c>
      <x:c r="I3682" s="29" t="n">
        <x:v>116</x:v>
      </x:c>
      <x:c r="J3682" s="31" t="n">
        <x:v>5.3</x:v>
      </x:c>
      <x:c r="K3682" s="25" t="str">
        <x:f>IF(J3682&gt;=7,"Muy fuerte (&gt;=7)",IF(J3682&gt;=6,"Fuerte (6-6.9)",IF(J3682&gt;=5,"Moderado alto (5-5.9)",IF(J3682&gt;=4,"Moderado (4-4.9)","Menor a 4"))))</x:f>
        <x:v>Moderado alto (5-5.9)</x:v>
      </x:c>
      <x:c r="L3682" s="25" t="str">
        <x:f>IF(I3682&lt;70,"Superficial (&lt;70 km)",IF(I3682&lt;=300,"Intermedio (70-300 km)","Profundo (&gt;300 km)"))</x:f>
        <x:v>Intermedio (70-300 km)</x:v>
      </x:c>
      <x:c r="M3682" s="25" t="str">
        <x:f>IF(J3682&gt;=5,"Sí","No")</x:f>
        <x:v>Sí</x:v>
      </x:c>
      <x:c r="N3682" s="25" t="str">
        <x:f>IF(J3682&gt;=6,"Sí","No")</x:f>
        <x:v>No</x:v>
      </x:c>
      <x:c r="O3682" s="25" t="str">
        <x:v>Pendiente: asignar con R/sf</x:v>
      </x:c>
    </x:row>
    <x:row r="3683">
      <x:c r="A3683" s="25" t="n">
        <x:v>3682</x:v>
      </x:c>
      <x:c r="B3683" s="26" t="n">
        <x:v>45186.16788194444</x:v>
      </x:c>
      <x:c r="C3683" s="27" t="n">
        <x:f>INT(B3683)</x:f>
        <x:v>45186</x:v>
      </x:c>
      <x:c r="D3683" s="28" t="n">
        <x:f>MOD(B3683,1)</x:f>
        <x:v>0.1678819444423425</x:v>
      </x:c>
      <x:c r="E3683" s="29" t="n">
        <x:f>YEAR(B3683)</x:f>
        <x:v>2023</x:v>
      </x:c>
      <x:c r="F3683" s="29" t="n">
        <x:f>MONTH(B3683)</x:f>
        <x:v>9</x:v>
      </x:c>
      <x:c r="G3683" s="30" t="n">
        <x:v>-29.46</x:v>
      </x:c>
      <x:c r="H3683" s="30" t="n">
        <x:v>-71.3</x:v>
      </x:c>
      <x:c r="I3683" s="29" t="n">
        <x:v>50</x:v>
      </x:c>
      <x:c r="J3683" s="31" t="n">
        <x:v>5.1</x:v>
      </x:c>
      <x:c r="K3683" s="25" t="str">
        <x:f>IF(J3683&gt;=7,"Muy fuerte (&gt;=7)",IF(J3683&gt;=6,"Fuerte (6-6.9)",IF(J3683&gt;=5,"Moderado alto (5-5.9)",IF(J3683&gt;=4,"Moderado (4-4.9)","Menor a 4"))))</x:f>
        <x:v>Moderado alto (5-5.9)</x:v>
      </x:c>
      <x:c r="L3683" s="25" t="str">
        <x:f>IF(I3683&lt;70,"Superficial (&lt;70 km)",IF(I3683&lt;=300,"Intermedio (70-300 km)","Profundo (&gt;300 km)"))</x:f>
        <x:v>Superficial (&lt;70 km)</x:v>
      </x:c>
      <x:c r="M3683" s="25" t="str">
        <x:f>IF(J3683&gt;=5,"Sí","No")</x:f>
        <x:v>Sí</x:v>
      </x:c>
      <x:c r="N3683" s="25" t="str">
        <x:f>IF(J3683&gt;=6,"Sí","No")</x:f>
        <x:v>No</x:v>
      </x:c>
      <x:c r="O3683" s="25" t="str">
        <x:v>Pendiente: asignar con R/sf</x:v>
      </x:c>
    </x:row>
    <x:row r="3684">
      <x:c r="A3684" s="25" t="n">
        <x:v>3683</x:v>
      </x:c>
      <x:c r="B3684" s="26" t="n">
        <x:v>44923.581712962965</x:v>
      </x:c>
      <x:c r="C3684" s="27" t="n">
        <x:f>INT(B3684)</x:f>
        <x:v>44923</x:v>
      </x:c>
      <x:c r="D3684" s="28" t="n">
        <x:f>MOD(B3684,1)</x:f>
        <x:v>0.5817129629649571</x:v>
      </x:c>
      <x:c r="E3684" s="29" t="n">
        <x:f>YEAR(B3684)</x:f>
        <x:v>2022</x:v>
      </x:c>
      <x:c r="F3684" s="29" t="n">
        <x:f>MONTH(B3684)</x:f>
        <x:v>12</x:v>
      </x:c>
      <x:c r="G3684" s="30" t="n">
        <x:v>-19.08</x:v>
      </x:c>
      <x:c r="H3684" s="30" t="n">
        <x:v>-69.76</x:v>
      </x:c>
      <x:c r="I3684" s="29" t="n">
        <x:v>82</x:v>
      </x:c>
      <x:c r="J3684" s="31" t="n">
        <x:v>4.7</x:v>
      </x:c>
      <x:c r="K3684" s="25" t="str">
        <x:f>IF(J3684&gt;=7,"Muy fuerte (&gt;=7)",IF(J3684&gt;=6,"Fuerte (6-6.9)",IF(J3684&gt;=5,"Moderado alto (5-5.9)",IF(J3684&gt;=4,"Moderado (4-4.9)","Menor a 4"))))</x:f>
        <x:v>Moderado (4-4.9)</x:v>
      </x:c>
      <x:c r="L3684" s="25" t="str">
        <x:f>IF(I3684&lt;70,"Superficial (&lt;70 km)",IF(I3684&lt;=300,"Intermedio (70-300 km)","Profundo (&gt;300 km)"))</x:f>
        <x:v>Intermedio (70-300 km)</x:v>
      </x:c>
      <x:c r="M3684" s="25" t="str">
        <x:f>IF(J3684&gt;=5,"Sí","No")</x:f>
        <x:v>No</x:v>
      </x:c>
      <x:c r="N3684" s="25" t="str">
        <x:f>IF(J3684&gt;=6,"Sí","No")</x:f>
        <x:v>No</x:v>
      </x:c>
      <x:c r="O3684" s="25" t="str">
        <x:v>Pendiente: asignar con R/sf</x:v>
      </x:c>
    </x:row>
    <x:row r="3685">
      <x:c r="A3685" s="25" t="n">
        <x:v>3684</x:v>
      </x:c>
      <x:c r="B3685" s="26" t="n">
        <x:v>44947.170486111114</x:v>
      </x:c>
      <x:c r="C3685" s="27" t="n">
        <x:f>INT(B3685)</x:f>
        <x:v>44947</x:v>
      </x:c>
      <x:c r="D3685" s="28" t="n">
        <x:f>MOD(B3685,1)</x:f>
        <x:v>0.1704861111138598</x:v>
      </x:c>
      <x:c r="E3685" s="29" t="n">
        <x:f>YEAR(B3685)</x:f>
        <x:v>2023</x:v>
      </x:c>
      <x:c r="F3685" s="29" t="n">
        <x:f>MONTH(B3685)</x:f>
        <x:v>1</x:v>
      </x:c>
      <x:c r="G3685" s="30" t="n">
        <x:v>-18.29</x:v>
      </x:c>
      <x:c r="H3685" s="30" t="n">
        <x:v>-70.8</x:v>
      </x:c>
      <x:c r="I3685" s="29" t="n">
        <x:v>30</x:v>
      </x:c>
      <x:c r="J3685" s="31" t="n">
        <x:v>4.3</x:v>
      </x:c>
      <x:c r="K3685" s="25" t="str">
        <x:f>IF(J3685&gt;=7,"Muy fuerte (&gt;=7)",IF(J3685&gt;=6,"Fuerte (6-6.9)",IF(J3685&gt;=5,"Moderado alto (5-5.9)",IF(J3685&gt;=4,"Moderado (4-4.9)","Menor a 4"))))</x:f>
        <x:v>Moderado (4-4.9)</x:v>
      </x:c>
      <x:c r="L3685" s="25" t="str">
        <x:f>IF(I3685&lt;70,"Superficial (&lt;70 km)",IF(I3685&lt;=300,"Intermedio (70-300 km)","Profundo (&gt;300 km)"))</x:f>
        <x:v>Superficial (&lt;70 km)</x:v>
      </x:c>
      <x:c r="M3685" s="25" t="str">
        <x:f>IF(J3685&gt;=5,"Sí","No")</x:f>
        <x:v>No</x:v>
      </x:c>
      <x:c r="N3685" s="25" t="str">
        <x:f>IF(J3685&gt;=6,"Sí","No")</x:f>
        <x:v>No</x:v>
      </x:c>
      <x:c r="O3685" s="25" t="str">
        <x:v>Pendiente: asignar con R/sf</x:v>
      </x:c>
    </x:row>
    <x:row r="3686">
      <x:c r="A3686" s="25" t="n">
        <x:v>3685</x:v>
      </x:c>
      <x:c r="B3686" s="26" t="n">
        <x:v>44373.10797453704</x:v>
      </x:c>
      <x:c r="C3686" s="27" t="n">
        <x:f>INT(B3686)</x:f>
        <x:v>44373</x:v>
      </x:c>
      <x:c r="D3686" s="28" t="n">
        <x:f>MOD(B3686,1)</x:f>
        <x:v>0.10797453703708015</x:v>
      </x:c>
      <x:c r="E3686" s="29" t="n">
        <x:f>YEAR(B3686)</x:f>
        <x:v>2021</x:v>
      </x:c>
      <x:c r="F3686" s="29" t="n">
        <x:f>MONTH(B3686)</x:f>
        <x:v>6</x:v>
      </x:c>
      <x:c r="G3686" s="30" t="n">
        <x:v>-18.5</x:v>
      </x:c>
      <x:c r="H3686" s="30" t="n">
        <x:v>-69.37</x:v>
      </x:c>
      <x:c r="I3686" s="29" t="n">
        <x:v>124</x:v>
      </x:c>
      <x:c r="J3686" s="31" t="n">
        <x:v>4.5</x:v>
      </x:c>
      <x:c r="K3686" s="25" t="str">
        <x:f>IF(J3686&gt;=7,"Muy fuerte (&gt;=7)",IF(J3686&gt;=6,"Fuerte (6-6.9)",IF(J3686&gt;=5,"Moderado alto (5-5.9)",IF(J3686&gt;=4,"Moderado (4-4.9)","Menor a 4"))))</x:f>
        <x:v>Moderado (4-4.9)</x:v>
      </x:c>
      <x:c r="L3686" s="25" t="str">
        <x:f>IF(I3686&lt;70,"Superficial (&lt;70 km)",IF(I3686&lt;=300,"Intermedio (70-300 km)","Profundo (&gt;300 km)"))</x:f>
        <x:v>Intermedio (70-300 km)</x:v>
      </x:c>
      <x:c r="M3686" s="25" t="str">
        <x:f>IF(J3686&gt;=5,"Sí","No")</x:f>
        <x:v>No</x:v>
      </x:c>
      <x:c r="N3686" s="25" t="str">
        <x:f>IF(J3686&gt;=6,"Sí","No")</x:f>
        <x:v>No</x:v>
      </x:c>
      <x:c r="O3686" s="25" t="str">
        <x:v>Pendiente: asignar con R/sf</x:v>
      </x:c>
    </x:row>
    <x:row r="3687">
      <x:c r="A3687" s="25" t="n">
        <x:v>3686</x:v>
      </x:c>
      <x:c r="B3687" s="26" t="n">
        <x:v>44449.14282407407</x:v>
      </x:c>
      <x:c r="C3687" s="27" t="n">
        <x:f>INT(B3687)</x:f>
        <x:v>44449</x:v>
      </x:c>
      <x:c r="D3687" s="28" t="n">
        <x:f>MOD(B3687,1)</x:f>
        <x:v>0.14282407407154096</x:v>
      </x:c>
      <x:c r="E3687" s="29" t="n">
        <x:f>YEAR(B3687)</x:f>
        <x:v>2021</x:v>
      </x:c>
      <x:c r="F3687" s="29" t="n">
        <x:f>MONTH(B3687)</x:f>
        <x:v>9</x:v>
      </x:c>
      <x:c r="G3687" s="30" t="n">
        <x:v>-18.23</x:v>
      </x:c>
      <x:c r="H3687" s="30" t="n">
        <x:v>-70</x:v>
      </x:c>
      <x:c r="I3687" s="29" t="n">
        <x:v>96</x:v>
      </x:c>
      <x:c r="J3687" s="31" t="n">
        <x:v>4.4</x:v>
      </x:c>
      <x:c r="K3687" s="25" t="str">
        <x:f>IF(J3687&gt;=7,"Muy fuerte (&gt;=7)",IF(J3687&gt;=6,"Fuerte (6-6.9)",IF(J3687&gt;=5,"Moderado alto (5-5.9)",IF(J3687&gt;=4,"Moderado (4-4.9)","Menor a 4"))))</x:f>
        <x:v>Moderado (4-4.9)</x:v>
      </x:c>
      <x:c r="L3687" s="25" t="str">
        <x:f>IF(I3687&lt;70,"Superficial (&lt;70 km)",IF(I3687&lt;=300,"Intermedio (70-300 km)","Profundo (&gt;300 km)"))</x:f>
        <x:v>Intermedio (70-300 km)</x:v>
      </x:c>
      <x:c r="M3687" s="25" t="str">
        <x:f>IF(J3687&gt;=5,"Sí","No")</x:f>
        <x:v>No</x:v>
      </x:c>
      <x:c r="N3687" s="25" t="str">
        <x:f>IF(J3687&gt;=6,"Sí","No")</x:f>
        <x:v>No</x:v>
      </x:c>
      <x:c r="O3687" s="25" t="str">
        <x:v>Pendiente: asignar con R/sf</x:v>
      </x:c>
    </x:row>
    <x:row r="3688">
      <x:c r="A3688" s="25" t="n">
        <x:v>3687</x:v>
      </x:c>
      <x:c r="B3688" s="26" t="n">
        <x:v>44772.64696759259</x:v>
      </x:c>
      <x:c r="C3688" s="27" t="n">
        <x:f>INT(B3688)</x:f>
        <x:v>44772</x:v>
      </x:c>
      <x:c r="D3688" s="28" t="n">
        <x:f>MOD(B3688,1)</x:f>
        <x:v>0.6469675925909542</x:v>
      </x:c>
      <x:c r="E3688" s="29" t="n">
        <x:f>YEAR(B3688)</x:f>
        <x:v>2022</x:v>
      </x:c>
      <x:c r="F3688" s="29" t="n">
        <x:f>MONTH(B3688)</x:f>
        <x:v>7</x:v>
      </x:c>
      <x:c r="G3688" s="30" t="n">
        <x:v>-18.44</x:v>
      </x:c>
      <x:c r="H3688" s="30" t="n">
        <x:v>-69.83</x:v>
      </x:c>
      <x:c r="I3688" s="29" t="n">
        <x:v>120</x:v>
      </x:c>
      <x:c r="J3688" s="31" t="n">
        <x:v>4.4</x:v>
      </x:c>
      <x:c r="K3688" s="25" t="str">
        <x:f>IF(J3688&gt;=7,"Muy fuerte (&gt;=7)",IF(J3688&gt;=6,"Fuerte (6-6.9)",IF(J3688&gt;=5,"Moderado alto (5-5.9)",IF(J3688&gt;=4,"Moderado (4-4.9)","Menor a 4"))))</x:f>
        <x:v>Moderado (4-4.9)</x:v>
      </x:c>
      <x:c r="L3688" s="25" t="str">
        <x:f>IF(I3688&lt;70,"Superficial (&lt;70 km)",IF(I3688&lt;=300,"Intermedio (70-300 km)","Profundo (&gt;300 km)"))</x:f>
        <x:v>Intermedio (70-300 km)</x:v>
      </x:c>
      <x:c r="M3688" s="25" t="str">
        <x:f>IF(J3688&gt;=5,"Sí","No")</x:f>
        <x:v>No</x:v>
      </x:c>
      <x:c r="N3688" s="25" t="str">
        <x:f>IF(J3688&gt;=6,"Sí","No")</x:f>
        <x:v>No</x:v>
      </x:c>
      <x:c r="O3688" s="25" t="str">
        <x:v>Pendiente: asignar con R/sf</x:v>
      </x:c>
    </x:row>
    <x:row r="3689">
      <x:c r="A3689" s="25" t="n">
        <x:v>3688</x:v>
      </x:c>
      <x:c r="B3689" s="26" t="n">
        <x:v>44851.568333333336</x:v>
      </x:c>
      <x:c r="C3689" s="27" t="n">
        <x:f>INT(B3689)</x:f>
        <x:v>44851</x:v>
      </x:c>
      <x:c r="D3689" s="28" t="n">
        <x:f>MOD(B3689,1)</x:f>
        <x:v>0.5683333333363407</x:v>
      </x:c>
      <x:c r="E3689" s="29" t="n">
        <x:f>YEAR(B3689)</x:f>
        <x:v>2022</x:v>
      </x:c>
      <x:c r="F3689" s="29" t="n">
        <x:f>MONTH(B3689)</x:f>
        <x:v>10</x:v>
      </x:c>
      <x:c r="G3689" s="30" t="n">
        <x:v>-18.51</x:v>
      </x:c>
      <x:c r="H3689" s="30" t="n">
        <x:v>-69.35</x:v>
      </x:c>
      <x:c r="I3689" s="29" t="n">
        <x:v>120</x:v>
      </x:c>
      <x:c r="J3689" s="31" t="n">
        <x:v>5.1</x:v>
      </x:c>
      <x:c r="K3689" s="25" t="str">
        <x:f>IF(J3689&gt;=7,"Muy fuerte (&gt;=7)",IF(J3689&gt;=6,"Fuerte (6-6.9)",IF(J3689&gt;=5,"Moderado alto (5-5.9)",IF(J3689&gt;=4,"Moderado (4-4.9)","Menor a 4"))))</x:f>
        <x:v>Moderado alto (5-5.9)</x:v>
      </x:c>
      <x:c r="L3689" s="25" t="str">
        <x:f>IF(I3689&lt;70,"Superficial (&lt;70 km)",IF(I3689&lt;=300,"Intermedio (70-300 km)","Profundo (&gt;300 km)"))</x:f>
        <x:v>Intermedio (70-300 km)</x:v>
      </x:c>
      <x:c r="M3689" s="25" t="str">
        <x:f>IF(J3689&gt;=5,"Sí","No")</x:f>
        <x:v>Sí</x:v>
      </x:c>
      <x:c r="N3689" s="25" t="str">
        <x:f>IF(J3689&gt;=6,"Sí","No")</x:f>
        <x:v>No</x:v>
      </x:c>
      <x:c r="O3689" s="25" t="str">
        <x:v>Pendiente: asignar con R/sf</x:v>
      </x:c>
    </x:row>
    <x:row r="3690">
      <x:c r="A3690" s="25" t="n">
        <x:v>3689</x:v>
      </x:c>
      <x:c r="B3690" s="26" t="n">
        <x:v>44957.67166666667</x:v>
      </x:c>
      <x:c r="C3690" s="27" t="n">
        <x:f>INT(B3690)</x:f>
        <x:v>44957</x:v>
      </x:c>
      <x:c r="D3690" s="28" t="n">
        <x:f>MOD(B3690,1)</x:f>
        <x:v>0.671666666668898</x:v>
      </x:c>
      <x:c r="E3690" s="29" t="n">
        <x:f>YEAR(B3690)</x:f>
        <x:v>2023</x:v>
      </x:c>
      <x:c r="F3690" s="29" t="n">
        <x:f>MONTH(B3690)</x:f>
        <x:v>1</x:v>
      </x:c>
      <x:c r="G3690" s="30" t="n">
        <x:v>-19.05</x:v>
      </x:c>
      <x:c r="H3690" s="30" t="n">
        <x:v>-69.42</x:v>
      </x:c>
      <x:c r="I3690" s="29" t="n">
        <x:v>116</x:v>
      </x:c>
      <x:c r="J3690" s="31" t="n">
        <x:v>4.7</x:v>
      </x:c>
      <x:c r="K3690" s="25" t="str">
        <x:f>IF(J3690&gt;=7,"Muy fuerte (&gt;=7)",IF(J3690&gt;=6,"Fuerte (6-6.9)",IF(J3690&gt;=5,"Moderado alto (5-5.9)",IF(J3690&gt;=4,"Moderado (4-4.9)","Menor a 4"))))</x:f>
        <x:v>Moderado (4-4.9)</x:v>
      </x:c>
      <x:c r="L3690" s="25" t="str">
        <x:f>IF(I3690&lt;70,"Superficial (&lt;70 km)",IF(I3690&lt;=300,"Intermedio (70-300 km)","Profundo (&gt;300 km)"))</x:f>
        <x:v>Intermedio (70-300 km)</x:v>
      </x:c>
      <x:c r="M3690" s="25" t="str">
        <x:f>IF(J3690&gt;=5,"Sí","No")</x:f>
        <x:v>No</x:v>
      </x:c>
      <x:c r="N3690" s="25" t="str">
        <x:f>IF(J3690&gt;=6,"Sí","No")</x:f>
        <x:v>No</x:v>
      </x:c>
      <x:c r="O3690" s="25" t="str">
        <x:v>Pendiente: asignar con R/sf</x:v>
      </x:c>
    </x:row>
    <x:row r="3691">
      <x:c r="A3691" s="25" t="n">
        <x:v>3690</x:v>
      </x:c>
      <x:c r="B3691" s="26" t="n">
        <x:v>44960.41032407407</x:v>
      </x:c>
      <x:c r="C3691" s="27" t="n">
        <x:f>INT(B3691)</x:f>
        <x:v>44960</x:v>
      </x:c>
      <x:c r="D3691" s="28" t="n">
        <x:f>MOD(B3691,1)</x:f>
        <x:v>0.4103240740732872</x:v>
      </x:c>
      <x:c r="E3691" s="29" t="n">
        <x:f>YEAR(B3691)</x:f>
        <x:v>2023</x:v>
      </x:c>
      <x:c r="F3691" s="29" t="n">
        <x:f>MONTH(B3691)</x:f>
        <x:v>2</x:v>
      </x:c>
      <x:c r="G3691" s="30" t="n">
        <x:v>-18.86</x:v>
      </x:c>
      <x:c r="H3691" s="30" t="n">
        <x:v>-69.71</x:v>
      </x:c>
      <x:c r="I3691" s="29" t="n">
        <x:v>92</x:v>
      </x:c>
      <x:c r="J3691" s="31" t="n">
        <x:v>4.6</x:v>
      </x:c>
      <x:c r="K3691" s="25" t="str">
        <x:f>IF(J3691&gt;=7,"Muy fuerte (&gt;=7)",IF(J3691&gt;=6,"Fuerte (6-6.9)",IF(J3691&gt;=5,"Moderado alto (5-5.9)",IF(J3691&gt;=4,"Moderado (4-4.9)","Menor a 4"))))</x:f>
        <x:v>Moderado (4-4.9)</x:v>
      </x:c>
      <x:c r="L3691" s="25" t="str">
        <x:f>IF(I3691&lt;70,"Superficial (&lt;70 km)",IF(I3691&lt;=300,"Intermedio (70-300 km)","Profundo (&gt;300 km)"))</x:f>
        <x:v>Intermedio (70-300 km)</x:v>
      </x:c>
      <x:c r="M3691" s="25" t="str">
        <x:f>IF(J3691&gt;=5,"Sí","No")</x:f>
        <x:v>No</x:v>
      </x:c>
      <x:c r="N3691" s="25" t="str">
        <x:f>IF(J3691&gt;=6,"Sí","No")</x:f>
        <x:v>No</x:v>
      </x:c>
      <x:c r="O3691" s="25" t="str">
        <x:v>Pendiente: asignar con R/sf</x:v>
      </x:c>
    </x:row>
    <x:row r="3692">
      <x:c r="A3692" s="25" t="n">
        <x:v>3691</x:v>
      </x:c>
      <x:c r="B3692" s="26" t="n">
        <x:v>44778.847233796296</x:v>
      </x:c>
      <x:c r="C3692" s="27" t="n">
        <x:f>INT(B3692)</x:f>
        <x:v>44778</x:v>
      </x:c>
      <x:c r="D3692" s="28" t="n">
        <x:f>MOD(B3692,1)</x:f>
        <x:v>0.8472337962957681</x:v>
      </x:c>
      <x:c r="E3692" s="29" t="n">
        <x:f>YEAR(B3692)</x:f>
        <x:v>2022</x:v>
      </x:c>
      <x:c r="F3692" s="29" t="n">
        <x:f>MONTH(B3692)</x:f>
        <x:v>8</x:v>
      </x:c>
      <x:c r="G3692" s="30" t="n">
        <x:v>-19.16</x:v>
      </x:c>
      <x:c r="H3692" s="30" t="n">
        <x:v>-70.03</x:v>
      </x:c>
      <x:c r="I3692" s="29" t="n">
        <x:v>56</x:v>
      </x:c>
      <x:c r="J3692" s="31" t="n">
        <x:v>4.2</x:v>
      </x:c>
      <x:c r="K3692" s="25" t="str">
        <x:f>IF(J3692&gt;=7,"Muy fuerte (&gt;=7)",IF(J3692&gt;=6,"Fuerte (6-6.9)",IF(J3692&gt;=5,"Moderado alto (5-5.9)",IF(J3692&gt;=4,"Moderado (4-4.9)","Menor a 4"))))</x:f>
        <x:v>Moderado (4-4.9)</x:v>
      </x:c>
      <x:c r="L3692" s="25" t="str">
        <x:f>IF(I3692&lt;70,"Superficial (&lt;70 km)",IF(I3692&lt;=300,"Intermedio (70-300 km)","Profundo (&gt;300 km)"))</x:f>
        <x:v>Superficial (&lt;70 km)</x:v>
      </x:c>
      <x:c r="M3692" s="25" t="str">
        <x:f>IF(J3692&gt;=5,"Sí","No")</x:f>
        <x:v>No</x:v>
      </x:c>
      <x:c r="N3692" s="25" t="str">
        <x:f>IF(J3692&gt;=6,"Sí","No")</x:f>
        <x:v>No</x:v>
      </x:c>
      <x:c r="O3692" s="25" t="str">
        <x:v>Pendiente: asignar con R/sf</x:v>
      </x:c>
    </x:row>
    <x:row r="3693">
      <x:c r="A3693" s="25" t="n">
        <x:v>3692</x:v>
      </x:c>
      <x:c r="B3693" s="26" t="n">
        <x:v>44801.16291666667</x:v>
      </x:c>
      <x:c r="C3693" s="27" t="n">
        <x:f>INT(B3693)</x:f>
        <x:v>44801</x:v>
      </x:c>
      <x:c r="D3693" s="28" t="n">
        <x:f>MOD(B3693,1)</x:f>
        <x:v>0.16291666666802485</x:v>
      </x:c>
      <x:c r="E3693" s="29" t="n">
        <x:f>YEAR(B3693)</x:f>
        <x:v>2022</x:v>
      </x:c>
      <x:c r="F3693" s="29" t="n">
        <x:f>MONTH(B3693)</x:f>
        <x:v>8</x:v>
      </x:c>
      <x:c r="G3693" s="30" t="n">
        <x:v>-18.88</x:v>
      </x:c>
      <x:c r="H3693" s="30" t="n">
        <x:v>-69.78</x:v>
      </x:c>
      <x:c r="I3693" s="29" t="n">
        <x:v>91</x:v>
      </x:c>
      <x:c r="J3693" s="31" t="n">
        <x:v>4.4</x:v>
      </x:c>
      <x:c r="K3693" s="25" t="str">
        <x:f>IF(J3693&gt;=7,"Muy fuerte (&gt;=7)",IF(J3693&gt;=6,"Fuerte (6-6.9)",IF(J3693&gt;=5,"Moderado alto (5-5.9)",IF(J3693&gt;=4,"Moderado (4-4.9)","Menor a 4"))))</x:f>
        <x:v>Moderado (4-4.9)</x:v>
      </x:c>
      <x:c r="L3693" s="25" t="str">
        <x:f>IF(I3693&lt;70,"Superficial (&lt;70 km)",IF(I3693&lt;=300,"Intermedio (70-300 km)","Profundo (&gt;300 km)"))</x:f>
        <x:v>Intermedio (70-300 km)</x:v>
      </x:c>
      <x:c r="M3693" s="25" t="str">
        <x:f>IF(J3693&gt;=5,"Sí","No")</x:f>
        <x:v>No</x:v>
      </x:c>
      <x:c r="N3693" s="25" t="str">
        <x:f>IF(J3693&gt;=6,"Sí","No")</x:f>
        <x:v>No</x:v>
      </x:c>
      <x:c r="O3693" s="25" t="str">
        <x:v>Pendiente: asignar con R/sf</x:v>
      </x:c>
    </x:row>
    <x:row r="3694">
      <x:c r="A3694" s="25" t="n">
        <x:v>3693</x:v>
      </x:c>
      <x:c r="B3694" s="26" t="n">
        <x:v>44832.14125</x:v>
      </x:c>
      <x:c r="C3694" s="27" t="n">
        <x:f>INT(B3694)</x:f>
        <x:v>44832</x:v>
      </x:c>
      <x:c r="D3694" s="28" t="n">
        <x:f>MOD(B3694,1)</x:f>
        <x:v>0.14125000000058208</x:v>
      </x:c>
      <x:c r="E3694" s="29" t="n">
        <x:f>YEAR(B3694)</x:f>
        <x:v>2022</x:v>
      </x:c>
      <x:c r="F3694" s="29" t="n">
        <x:f>MONTH(B3694)</x:f>
        <x:v>9</x:v>
      </x:c>
      <x:c r="G3694" s="30" t="n">
        <x:v>-19.2</x:v>
      </x:c>
      <x:c r="H3694" s="30" t="n">
        <x:v>-69.87</x:v>
      </x:c>
      <x:c r="I3694" s="29" t="n">
        <x:v>45</x:v>
      </x:c>
      <x:c r="J3694" s="31" t="n">
        <x:v>4</x:v>
      </x:c>
      <x:c r="K3694" s="25" t="str">
        <x:f>IF(J3694&gt;=7,"Muy fuerte (&gt;=7)",IF(J3694&gt;=6,"Fuerte (6-6.9)",IF(J3694&gt;=5,"Moderado alto (5-5.9)",IF(J3694&gt;=4,"Moderado (4-4.9)","Menor a 4"))))</x:f>
        <x:v>Moderado (4-4.9)</x:v>
      </x:c>
      <x:c r="L3694" s="25" t="str">
        <x:f>IF(I3694&lt;70,"Superficial (&lt;70 km)",IF(I3694&lt;=300,"Intermedio (70-300 km)","Profundo (&gt;300 km)"))</x:f>
        <x:v>Superficial (&lt;70 km)</x:v>
      </x:c>
      <x:c r="M3694" s="25" t="str">
        <x:f>IF(J3694&gt;=5,"Sí","No")</x:f>
        <x:v>No</x:v>
      </x:c>
      <x:c r="N3694" s="25" t="str">
        <x:f>IF(J3694&gt;=6,"Sí","No")</x:f>
        <x:v>No</x:v>
      </x:c>
      <x:c r="O3694" s="25" t="str">
        <x:v>Pendiente: asignar con R/sf</x:v>
      </x:c>
    </x:row>
    <x:row r="3695">
      <x:c r="A3695" s="25" t="n">
        <x:v>3694</x:v>
      </x:c>
      <x:c r="B3695" s="26" t="n">
        <x:v>44882.74377314815</x:v>
      </x:c>
      <x:c r="C3695" s="27" t="n">
        <x:f>INT(B3695)</x:f>
        <x:v>44882</x:v>
      </x:c>
      <x:c r="D3695" s="28" t="n">
        <x:f>MOD(B3695,1)</x:f>
        <x:v>0.7437731481477385</x:v>
      </x:c>
      <x:c r="E3695" s="29" t="n">
        <x:f>YEAR(B3695)</x:f>
        <x:v>2022</x:v>
      </x:c>
      <x:c r="F3695" s="29" t="n">
        <x:f>MONTH(B3695)</x:f>
        <x:v>11</x:v>
      </x:c>
      <x:c r="G3695" s="30" t="n">
        <x:v>-18.39</x:v>
      </x:c>
      <x:c r="H3695" s="30" t="n">
        <x:v>-69.87</x:v>
      </x:c>
      <x:c r="I3695" s="29" t="n">
        <x:v>84</x:v>
      </x:c>
      <x:c r="J3695" s="31" t="n">
        <x:v>4.1</x:v>
      </x:c>
      <x:c r="K3695" s="25" t="str">
        <x:f>IF(J3695&gt;=7,"Muy fuerte (&gt;=7)",IF(J3695&gt;=6,"Fuerte (6-6.9)",IF(J3695&gt;=5,"Moderado alto (5-5.9)",IF(J3695&gt;=4,"Moderado (4-4.9)","Menor a 4"))))</x:f>
        <x:v>Moderado (4-4.9)</x:v>
      </x:c>
      <x:c r="L3695" s="25" t="str">
        <x:f>IF(I3695&lt;70,"Superficial (&lt;70 km)",IF(I3695&lt;=300,"Intermedio (70-300 km)","Profundo (&gt;300 km)"))</x:f>
        <x:v>Intermedio (70-300 km)</x:v>
      </x:c>
      <x:c r="M3695" s="25" t="str">
        <x:f>IF(J3695&gt;=5,"Sí","No")</x:f>
        <x:v>No</x:v>
      </x:c>
      <x:c r="N3695" s="25" t="str">
        <x:f>IF(J3695&gt;=6,"Sí","No")</x:f>
        <x:v>No</x:v>
      </x:c>
      <x:c r="O3695" s="25" t="str">
        <x:v>Pendiente: asignar con R/sf</x:v>
      </x:c>
    </x:row>
    <x:row r="3696">
      <x:c r="A3696" s="25" t="n">
        <x:v>3695</x:v>
      </x:c>
      <x:c r="B3696" s="26" t="n">
        <x:v>44957.91065972222</x:v>
      </x:c>
      <x:c r="C3696" s="27" t="n">
        <x:f>INT(B3696)</x:f>
        <x:v>44957</x:v>
      </x:c>
      <x:c r="D3696" s="28" t="n">
        <x:f>MOD(B3696,1)</x:f>
        <x:v>0.9106597222198616</x:v>
      </x:c>
      <x:c r="E3696" s="29" t="n">
        <x:f>YEAR(B3696)</x:f>
        <x:v>2023</x:v>
      </x:c>
      <x:c r="F3696" s="29" t="n">
        <x:f>MONTH(B3696)</x:f>
        <x:v>1</x:v>
      </x:c>
      <x:c r="G3696" s="30" t="n">
        <x:v>-18.91</x:v>
      </x:c>
      <x:c r="H3696" s="30" t="n">
        <x:v>-69.89</x:v>
      </x:c>
      <x:c r="I3696" s="29" t="n">
        <x:v>100</x:v>
      </x:c>
      <x:c r="J3696" s="31" t="n">
        <x:v>4</x:v>
      </x:c>
      <x:c r="K3696" s="25" t="str">
        <x:f>IF(J3696&gt;=7,"Muy fuerte (&gt;=7)",IF(J3696&gt;=6,"Fuerte (6-6.9)",IF(J3696&gt;=5,"Moderado alto (5-5.9)",IF(J3696&gt;=4,"Moderado (4-4.9)","Menor a 4"))))</x:f>
        <x:v>Moderado (4-4.9)</x:v>
      </x:c>
      <x:c r="L3696" s="25" t="str">
        <x:f>IF(I3696&lt;70,"Superficial (&lt;70 km)",IF(I3696&lt;=300,"Intermedio (70-300 km)","Profundo (&gt;300 km)"))</x:f>
        <x:v>Intermedio (70-300 km)</x:v>
      </x:c>
      <x:c r="M3696" s="25" t="str">
        <x:f>IF(J3696&gt;=5,"Sí","No")</x:f>
        <x:v>No</x:v>
      </x:c>
      <x:c r="N3696" s="25" t="str">
        <x:f>IF(J3696&gt;=6,"Sí","No")</x:f>
        <x:v>No</x:v>
      </x:c>
      <x:c r="O3696" s="25" t="str">
        <x:v>Pendiente: asignar con R/sf</x:v>
      </x:c>
    </x:row>
    <x:row r="3697">
      <x:c r="A3697" s="25" t="n">
        <x:v>3696</x:v>
      </x:c>
      <x:c r="B3697" s="26" t="n">
        <x:v>44978.05138888889</x:v>
      </x:c>
      <x:c r="C3697" s="27" t="n">
        <x:f>INT(B3697)</x:f>
        <x:v>44978</x:v>
      </x:c>
      <x:c r="D3697" s="28" t="n">
        <x:f>MOD(B3697,1)</x:f>
        <x:v>0.05138888888905058</x:v>
      </x:c>
      <x:c r="E3697" s="29" t="n">
        <x:f>YEAR(B3697)</x:f>
        <x:v>2023</x:v>
      </x:c>
      <x:c r="F3697" s="29" t="n">
        <x:f>MONTH(B3697)</x:f>
        <x:v>2</x:v>
      </x:c>
      <x:c r="G3697" s="30" t="n">
        <x:v>-19.07</x:v>
      </x:c>
      <x:c r="H3697" s="30" t="n">
        <x:v>-70.08</x:v>
      </x:c>
      <x:c r="I3697" s="29" t="n">
        <x:v>62</x:v>
      </x:c>
      <x:c r="J3697" s="31" t="n">
        <x:v>3.9</x:v>
      </x:c>
      <x:c r="K3697" s="25" t="str">
        <x:f>IF(J3697&gt;=7,"Muy fuerte (&gt;=7)",IF(J3697&gt;=6,"Fuerte (6-6.9)",IF(J3697&gt;=5,"Moderado alto (5-5.9)",IF(J3697&gt;=4,"Moderado (4-4.9)","Menor a 4"))))</x:f>
        <x:v>Menor a 4</x:v>
      </x:c>
      <x:c r="L3697" s="25" t="str">
        <x:f>IF(I3697&lt;70,"Superficial (&lt;70 km)",IF(I3697&lt;=300,"Intermedio (70-300 km)","Profundo (&gt;300 km)"))</x:f>
        <x:v>Superficial (&lt;70 km)</x:v>
      </x:c>
      <x:c r="M3697" s="25" t="str">
        <x:f>IF(J3697&gt;=5,"Sí","No")</x:f>
        <x:v>No</x:v>
      </x:c>
      <x:c r="N3697" s="25" t="str">
        <x:f>IF(J3697&gt;=6,"Sí","No")</x:f>
        <x:v>No</x:v>
      </x:c>
      <x:c r="O3697" s="25" t="str">
        <x:v>Pendiente: asignar con R/sf</x:v>
      </x:c>
    </x:row>
    <x:row r="3698">
      <x:c r="A3698" s="25" t="n">
        <x:v>3697</x:v>
      </x:c>
      <x:c r="B3698" s="26" t="n">
        <x:v>44880.11346064815</x:v>
      </x:c>
      <x:c r="C3698" s="27" t="n">
        <x:f>INT(B3698)</x:f>
        <x:v>44880</x:v>
      </x:c>
      <x:c r="D3698" s="28" t="n">
        <x:f>MOD(B3698,1)</x:f>
        <x:v>0.11346064815006685</x:v>
      </x:c>
      <x:c r="E3698" s="29" t="n">
        <x:f>YEAR(B3698)</x:f>
        <x:v>2022</x:v>
      </x:c>
      <x:c r="F3698" s="29" t="n">
        <x:f>MONTH(B3698)</x:f>
        <x:v>11</x:v>
      </x:c>
      <x:c r="G3698" s="30" t="n">
        <x:v>-33.21</x:v>
      </x:c>
      <x:c r="H3698" s="30" t="n">
        <x:v>-71.92</x:v>
      </x:c>
      <x:c r="I3698" s="29" t="n">
        <x:v>34</x:v>
      </x:c>
      <x:c r="J3698" s="31" t="n">
        <x:v>4.5</x:v>
      </x:c>
      <x:c r="K3698" s="25" t="str">
        <x:f>IF(J3698&gt;=7,"Muy fuerte (&gt;=7)",IF(J3698&gt;=6,"Fuerte (6-6.9)",IF(J3698&gt;=5,"Moderado alto (5-5.9)",IF(J3698&gt;=4,"Moderado (4-4.9)","Menor a 4"))))</x:f>
        <x:v>Moderado (4-4.9)</x:v>
      </x:c>
      <x:c r="L3698" s="25" t="str">
        <x:f>IF(I3698&lt;70,"Superficial (&lt;70 km)",IF(I3698&lt;=300,"Intermedio (70-300 km)","Profundo (&gt;300 km)"))</x:f>
        <x:v>Superficial (&lt;70 km)</x:v>
      </x:c>
      <x:c r="M3698" s="25" t="str">
        <x:f>IF(J3698&gt;=5,"Sí","No")</x:f>
        <x:v>No</x:v>
      </x:c>
      <x:c r="N3698" s="25" t="str">
        <x:f>IF(J3698&gt;=6,"Sí","No")</x:f>
        <x:v>No</x:v>
      </x:c>
      <x:c r="O3698" s="25" t="str">
        <x:v>Pendiente: asignar con R/sf</x:v>
      </x:c>
    </x:row>
    <x:row r="3699">
      <x:c r="A3699" s="25" t="n">
        <x:v>3698</x:v>
      </x:c>
      <x:c r="B3699" s="26" t="n">
        <x:v>45117.65121527778</x:v>
      </x:c>
      <x:c r="C3699" s="27" t="n">
        <x:f>INT(B3699)</x:f>
        <x:v>45117</x:v>
      </x:c>
      <x:c r="D3699" s="28" t="n">
        <x:f>MOD(B3699,1)</x:f>
        <x:v>0.6512152777795563</x:v>
      </x:c>
      <x:c r="E3699" s="29" t="n">
        <x:f>YEAR(B3699)</x:f>
        <x:v>2023</x:v>
      </x:c>
      <x:c r="F3699" s="29" t="n">
        <x:f>MONTH(B3699)</x:f>
        <x:v>7</x:v>
      </x:c>
      <x:c r="G3699" s="30" t="n">
        <x:v>-32.62</x:v>
      </x:c>
      <x:c r="H3699" s="30" t="n">
        <x:v>-71.49</x:v>
      </x:c>
      <x:c r="I3699" s="29" t="n">
        <x:v>35</x:v>
      </x:c>
      <x:c r="J3699" s="31" t="n">
        <x:v>4.1</x:v>
      </x:c>
      <x:c r="K3699" s="25" t="str">
        <x:f>IF(J3699&gt;=7,"Muy fuerte (&gt;=7)",IF(J3699&gt;=6,"Fuerte (6-6.9)",IF(J3699&gt;=5,"Moderado alto (5-5.9)",IF(J3699&gt;=4,"Moderado (4-4.9)","Menor a 4"))))</x:f>
        <x:v>Moderado (4-4.9)</x:v>
      </x:c>
      <x:c r="L3699" s="25" t="str">
        <x:f>IF(I3699&lt;70,"Superficial (&lt;70 km)",IF(I3699&lt;=300,"Intermedio (70-300 km)","Profundo (&gt;300 km)"))</x:f>
        <x:v>Superficial (&lt;70 km)</x:v>
      </x:c>
      <x:c r="M3699" s="25" t="str">
        <x:f>IF(J3699&gt;=5,"Sí","No")</x:f>
        <x:v>No</x:v>
      </x:c>
      <x:c r="N3699" s="25" t="str">
        <x:f>IF(J3699&gt;=6,"Sí","No")</x:f>
        <x:v>No</x:v>
      </x:c>
      <x:c r="O3699" s="25" t="str">
        <x:v>Pendiente: asignar con R/sf</x:v>
      </x:c>
    </x:row>
    <x:row r="3700">
      <x:c r="A3700" s="25" t="n">
        <x:v>3699</x:v>
      </x:c>
      <x:c r="B3700" s="26" t="n">
        <x:v>45114.38706018519</x:v>
      </x:c>
      <x:c r="C3700" s="27" t="n">
        <x:f>INT(B3700)</x:f>
        <x:v>45114</x:v>
      </x:c>
      <x:c r="D3700" s="28" t="n">
        <x:f>MOD(B3700,1)</x:f>
        <x:v>0.3870601851886022</x:v>
      </x:c>
      <x:c r="E3700" s="29" t="n">
        <x:f>YEAR(B3700)</x:f>
        <x:v>2023</x:v>
      </x:c>
      <x:c r="F3700" s="29" t="n">
        <x:f>MONTH(B3700)</x:f>
        <x:v>7</x:v>
      </x:c>
      <x:c r="G3700" s="30" t="n">
        <x:v>-32.74</x:v>
      </x:c>
      <x:c r="H3700" s="30" t="n">
        <x:v>-71.83</x:v>
      </x:c>
      <x:c r="I3700" s="29" t="n">
        <x:v>35</x:v>
      </x:c>
      <x:c r="J3700" s="31" t="n">
        <x:v>4.3</x:v>
      </x:c>
      <x:c r="K3700" s="25" t="str">
        <x:f>IF(J3700&gt;=7,"Muy fuerte (&gt;=7)",IF(J3700&gt;=6,"Fuerte (6-6.9)",IF(J3700&gt;=5,"Moderado alto (5-5.9)",IF(J3700&gt;=4,"Moderado (4-4.9)","Menor a 4"))))</x:f>
        <x:v>Moderado (4-4.9)</x:v>
      </x:c>
      <x:c r="L3700" s="25" t="str">
        <x:f>IF(I3700&lt;70,"Superficial (&lt;70 km)",IF(I3700&lt;=300,"Intermedio (70-300 km)","Profundo (&gt;300 km)"))</x:f>
        <x:v>Superficial (&lt;70 km)</x:v>
      </x:c>
      <x:c r="M3700" s="25" t="str">
        <x:f>IF(J3700&gt;=5,"Sí","No")</x:f>
        <x:v>No</x:v>
      </x:c>
      <x:c r="N3700" s="25" t="str">
        <x:f>IF(J3700&gt;=6,"Sí","No")</x:f>
        <x:v>No</x:v>
      </x:c>
      <x:c r="O3700" s="25" t="str">
        <x:v>Pendiente: asignar con R/sf</x:v>
      </x:c>
    </x:row>
    <x:row r="3701">
      <x:c r="A3701" s="25" t="n">
        <x:v>3700</x:v>
      </x:c>
      <x:c r="B3701" s="26" t="n">
        <x:v>45125.88081018518</x:v>
      </x:c>
      <x:c r="C3701" s="27" t="n">
        <x:f>INT(B3701)</x:f>
        <x:v>45125</x:v>
      </x:c>
      <x:c r="D3701" s="28" t="n">
        <x:f>MOD(B3701,1)</x:f>
        <x:v>0.8808101851827814</x:v>
      </x:c>
      <x:c r="E3701" s="29" t="n">
        <x:f>YEAR(B3701)</x:f>
        <x:v>2023</x:v>
      </x:c>
      <x:c r="F3701" s="29" t="n">
        <x:f>MONTH(B3701)</x:f>
        <x:v>7</x:v>
      </x:c>
      <x:c r="G3701" s="30" t="n">
        <x:v>-32.88</x:v>
      </x:c>
      <x:c r="H3701" s="30" t="n">
        <x:v>-72</x:v>
      </x:c>
      <x:c r="I3701" s="29" t="n">
        <x:v>39</x:v>
      </x:c>
      <x:c r="J3701" s="31" t="n">
        <x:v>4</x:v>
      </x:c>
      <x:c r="K3701" s="25" t="str">
        <x:f>IF(J3701&gt;=7,"Muy fuerte (&gt;=7)",IF(J3701&gt;=6,"Fuerte (6-6.9)",IF(J3701&gt;=5,"Moderado alto (5-5.9)",IF(J3701&gt;=4,"Moderado (4-4.9)","Menor a 4"))))</x:f>
        <x:v>Moderado (4-4.9)</x:v>
      </x:c>
      <x:c r="L3701" s="25" t="str">
        <x:f>IF(I3701&lt;70,"Superficial (&lt;70 km)",IF(I3701&lt;=300,"Intermedio (70-300 km)","Profundo (&gt;300 km)"))</x:f>
        <x:v>Superficial (&lt;70 km)</x:v>
      </x:c>
      <x:c r="M3701" s="25" t="str">
        <x:f>IF(J3701&gt;=5,"Sí","No")</x:f>
        <x:v>No</x:v>
      </x:c>
      <x:c r="N3701" s="25" t="str">
        <x:f>IF(J3701&gt;=6,"Sí","No")</x:f>
        <x:v>No</x:v>
      </x:c>
      <x:c r="O3701" s="25" t="str">
        <x:v>Pendiente: asignar con R/sf</x:v>
      </x:c>
    </x:row>
    <x:row r="3702">
      <x:c r="A3702" s="25" t="n">
        <x:v>3701</x:v>
      </x:c>
      <x:c r="B3702" s="26" t="n">
        <x:v>45147.1941087963</x:v>
      </x:c>
      <x:c r="C3702" s="27" t="n">
        <x:f>INT(B3702)</x:f>
        <x:v>45147</x:v>
      </x:c>
      <x:c r="D3702" s="28" t="n">
        <x:f>MOD(B3702,1)</x:f>
        <x:v>0.1941087962986785</x:v>
      </x:c>
      <x:c r="E3702" s="29" t="n">
        <x:f>YEAR(B3702)</x:f>
        <x:v>2023</x:v>
      </x:c>
      <x:c r="F3702" s="29" t="n">
        <x:f>MONTH(B3702)</x:f>
        <x:v>8</x:v>
      </x:c>
      <x:c r="G3702" s="30" t="n">
        <x:v>-33.29</x:v>
      </x:c>
      <x:c r="H3702" s="30" t="n">
        <x:v>-71.38</x:v>
      </x:c>
      <x:c r="I3702" s="29" t="n">
        <x:v>57</x:v>
      </x:c>
      <x:c r="J3702" s="31" t="n">
        <x:v>3.8</x:v>
      </x:c>
      <x:c r="K3702" s="25" t="str">
        <x:f>IF(J3702&gt;=7,"Muy fuerte (&gt;=7)",IF(J3702&gt;=6,"Fuerte (6-6.9)",IF(J3702&gt;=5,"Moderado alto (5-5.9)",IF(J3702&gt;=4,"Moderado (4-4.9)","Menor a 4"))))</x:f>
        <x:v>Menor a 4</x:v>
      </x:c>
      <x:c r="L3702" s="25" t="str">
        <x:f>IF(I3702&lt;70,"Superficial (&lt;70 km)",IF(I3702&lt;=300,"Intermedio (70-300 km)","Profundo (&gt;300 km)"))</x:f>
        <x:v>Superficial (&lt;70 km)</x:v>
      </x:c>
      <x:c r="M3702" s="25" t="str">
        <x:f>IF(J3702&gt;=5,"Sí","No")</x:f>
        <x:v>No</x:v>
      </x:c>
      <x:c r="N3702" s="25" t="str">
        <x:f>IF(J3702&gt;=6,"Sí","No")</x:f>
        <x:v>No</x:v>
      </x:c>
      <x:c r="O3702" s="25" t="str">
        <x:v>Pendiente: asignar con R/sf</x:v>
      </x:c>
    </x:row>
    <x:row r="3703">
      <x:c r="A3703" s="25" t="n">
        <x:v>3702</x:v>
      </x:c>
      <x:c r="B3703" s="26" t="n">
        <x:v>44888.31684027778</x:v>
      </x:c>
      <x:c r="C3703" s="27" t="n">
        <x:f>INT(B3703)</x:f>
        <x:v>44888</x:v>
      </x:c>
      <x:c r="D3703" s="28" t="n">
        <x:f>MOD(B3703,1)</x:f>
        <x:v>0.31684027778101154</x:v>
      </x:c>
      <x:c r="E3703" s="29" t="n">
        <x:f>YEAR(B3703)</x:f>
        <x:v>2022</x:v>
      </x:c>
      <x:c r="F3703" s="29" t="n">
        <x:f>MONTH(B3703)</x:f>
        <x:v>11</x:v>
      </x:c>
      <x:c r="G3703" s="30" t="n">
        <x:v>-33.58</x:v>
      </x:c>
      <x:c r="H3703" s="30" t="n">
        <x:v>-71.33</x:v>
      </x:c>
      <x:c r="I3703" s="29" t="n">
        <x:v>53</x:v>
      </x:c>
      <x:c r="J3703" s="31" t="n">
        <x:v>4</x:v>
      </x:c>
      <x:c r="K3703" s="25" t="str">
        <x:f>IF(J3703&gt;=7,"Muy fuerte (&gt;=7)",IF(J3703&gt;=6,"Fuerte (6-6.9)",IF(J3703&gt;=5,"Moderado alto (5-5.9)",IF(J3703&gt;=4,"Moderado (4-4.9)","Menor a 4"))))</x:f>
        <x:v>Moderado (4-4.9)</x:v>
      </x:c>
      <x:c r="L3703" s="25" t="str">
        <x:f>IF(I3703&lt;70,"Superficial (&lt;70 km)",IF(I3703&lt;=300,"Intermedio (70-300 km)","Profundo (&gt;300 km)"))</x:f>
        <x:v>Superficial (&lt;70 km)</x:v>
      </x:c>
      <x:c r="M3703" s="25" t="str">
        <x:f>IF(J3703&gt;=5,"Sí","No")</x:f>
        <x:v>No</x:v>
      </x:c>
      <x:c r="N3703" s="25" t="str">
        <x:f>IF(J3703&gt;=6,"Sí","No")</x:f>
        <x:v>No</x:v>
      </x:c>
      <x:c r="O3703" s="25" t="str">
        <x:v>Pendiente: asignar con R/sf</x:v>
      </x:c>
    </x:row>
    <x:row r="3704">
      <x:c r="A3704" s="25" t="n">
        <x:v>3703</x:v>
      </x:c>
      <x:c r="B3704" s="26" t="n">
        <x:v>44699.49486111111</x:v>
      </x:c>
      <x:c r="C3704" s="27" t="n">
        <x:f>INT(B3704)</x:f>
        <x:v>44699</x:v>
      </x:c>
      <x:c r="D3704" s="28" t="n">
        <x:f>MOD(B3704,1)</x:f>
        <x:v>0.49486111111036735</x:v>
      </x:c>
      <x:c r="E3704" s="29" t="n">
        <x:f>YEAR(B3704)</x:f>
        <x:v>2022</x:v>
      </x:c>
      <x:c r="F3704" s="29" t="n">
        <x:f>MONTH(B3704)</x:f>
        <x:v>5</x:v>
      </x:c>
      <x:c r="G3704" s="30" t="n">
        <x:v>-33.77</x:v>
      </x:c>
      <x:c r="H3704" s="30" t="n">
        <x:v>-71.12</x:v>
      </x:c>
      <x:c r="I3704" s="29" t="n">
        <x:v>57</x:v>
      </x:c>
      <x:c r="J3704" s="31" t="n">
        <x:v>3.6</x:v>
      </x:c>
      <x:c r="K3704" s="25" t="str">
        <x:f>IF(J3704&gt;=7,"Muy fuerte (&gt;=7)",IF(J3704&gt;=6,"Fuerte (6-6.9)",IF(J3704&gt;=5,"Moderado alto (5-5.9)",IF(J3704&gt;=4,"Moderado (4-4.9)","Menor a 4"))))</x:f>
        <x:v>Menor a 4</x:v>
      </x:c>
      <x:c r="L3704" s="25" t="str">
        <x:f>IF(I3704&lt;70,"Superficial (&lt;70 km)",IF(I3704&lt;=300,"Intermedio (70-300 km)","Profundo (&gt;300 km)"))</x:f>
        <x:v>Superficial (&lt;70 km)</x:v>
      </x:c>
      <x:c r="M3704" s="25" t="str">
        <x:f>IF(J3704&gt;=5,"Sí","No")</x:f>
        <x:v>No</x:v>
      </x:c>
      <x:c r="N3704" s="25" t="str">
        <x:f>IF(J3704&gt;=6,"Sí","No")</x:f>
        <x:v>No</x:v>
      </x:c>
      <x:c r="O3704" s="25" t="str">
        <x:v>Pendiente: asignar con R/sf</x:v>
      </x:c>
    </x:row>
    <x:row r="3705">
      <x:c r="A3705" s="25" t="n">
        <x:v>3704</x:v>
      </x:c>
      <x:c r="B3705" s="26" t="n">
        <x:v>45131.35005787037</x:v>
      </x:c>
      <x:c r="C3705" s="27" t="n">
        <x:f>INT(B3705)</x:f>
        <x:v>45131</x:v>
      </x:c>
      <x:c r="D3705" s="28" t="n">
        <x:f>MOD(B3705,1)</x:f>
        <x:v>0.35005787036789116</x:v>
      </x:c>
      <x:c r="E3705" s="29" t="n">
        <x:f>YEAR(B3705)</x:f>
        <x:v>2023</x:v>
      </x:c>
      <x:c r="F3705" s="29" t="n">
        <x:f>MONTH(B3705)</x:f>
        <x:v>7</x:v>
      </x:c>
      <x:c r="G3705" s="30" t="n">
        <x:v>-34.08</x:v>
      </x:c>
      <x:c r="H3705" s="30" t="n">
        <x:v>-70.35</x:v>
      </x:c>
      <x:c r="I3705" s="29" t="n">
        <x:v>6</x:v>
      </x:c>
      <x:c r="J3705" s="31" t="n">
        <x:v>3.9</x:v>
      </x:c>
      <x:c r="K3705" s="25" t="str">
        <x:f>IF(J3705&gt;=7,"Muy fuerte (&gt;=7)",IF(J3705&gt;=6,"Fuerte (6-6.9)",IF(J3705&gt;=5,"Moderado alto (5-5.9)",IF(J3705&gt;=4,"Moderado (4-4.9)","Menor a 4"))))</x:f>
        <x:v>Menor a 4</x:v>
      </x:c>
      <x:c r="L3705" s="25" t="str">
        <x:f>IF(I3705&lt;70,"Superficial (&lt;70 km)",IF(I3705&lt;=300,"Intermedio (70-300 km)","Profundo (&gt;300 km)"))</x:f>
        <x:v>Superficial (&lt;70 km)</x:v>
      </x:c>
      <x:c r="M3705" s="25" t="str">
        <x:f>IF(J3705&gt;=5,"Sí","No")</x:f>
        <x:v>No</x:v>
      </x:c>
      <x:c r="N3705" s="25" t="str">
        <x:f>IF(J3705&gt;=6,"Sí","No")</x:f>
        <x:v>No</x:v>
      </x:c>
      <x:c r="O3705" s="25" t="str">
        <x:v>Pendiente: asignar con R/sf</x:v>
      </x:c>
    </x:row>
    <x:row r="3706">
      <x:c r="A3706" s="25" t="n">
        <x:v>3705</x:v>
      </x:c>
      <x:c r="B3706" s="26" t="n">
        <x:v>44932.56459490741</x:v>
      </x:c>
      <x:c r="C3706" s="27" t="n">
        <x:f>INT(B3706)</x:f>
        <x:v>44932</x:v>
      </x:c>
      <x:c r="D3706" s="28" t="n">
        <x:f>MOD(B3706,1)</x:f>
        <x:v>0.5645949074096279</x:v>
      </x:c>
      <x:c r="E3706" s="29" t="n">
        <x:f>YEAR(B3706)</x:f>
        <x:v>2023</x:v>
      </x:c>
      <x:c r="F3706" s="29" t="n">
        <x:f>MONTH(B3706)</x:f>
        <x:v>1</x:v>
      </x:c>
      <x:c r="G3706" s="30" t="n">
        <x:v>-34.23</x:v>
      </x:c>
      <x:c r="H3706" s="30" t="n">
        <x:v>-71.59</x:v>
      </x:c>
      <x:c r="I3706" s="29" t="n">
        <x:v>49</x:v>
      </x:c>
      <x:c r="J3706" s="31" t="n">
        <x:v>4</x:v>
      </x:c>
      <x:c r="K3706" s="25" t="str">
        <x:f>IF(J3706&gt;=7,"Muy fuerte (&gt;=7)",IF(J3706&gt;=6,"Fuerte (6-6.9)",IF(J3706&gt;=5,"Moderado alto (5-5.9)",IF(J3706&gt;=4,"Moderado (4-4.9)","Menor a 4"))))</x:f>
        <x:v>Moderado (4-4.9)</x:v>
      </x:c>
      <x:c r="L3706" s="25" t="str">
        <x:f>IF(I3706&lt;70,"Superficial (&lt;70 km)",IF(I3706&lt;=300,"Intermedio (70-300 km)","Profundo (&gt;300 km)"))</x:f>
        <x:v>Superficial (&lt;70 km)</x:v>
      </x:c>
      <x:c r="M3706" s="25" t="str">
        <x:f>IF(J3706&gt;=5,"Sí","No")</x:f>
        <x:v>No</x:v>
      </x:c>
      <x:c r="N3706" s="25" t="str">
        <x:f>IF(J3706&gt;=6,"Sí","No")</x:f>
        <x:v>No</x:v>
      </x:c>
      <x:c r="O3706" s="25" t="str">
        <x:v>Pendiente: asignar con R/sf</x:v>
      </x:c>
    </x:row>
    <x:row r="3707">
      <x:c r="A3707" s="25" t="n">
        <x:v>3706</x:v>
      </x:c>
      <x:c r="B3707" s="26" t="n">
        <x:v>44821.57127314815</x:v>
      </x:c>
      <x:c r="C3707" s="27" t="n">
        <x:f>INT(B3707)</x:f>
        <x:v>44821</x:v>
      </x:c>
      <x:c r="D3707" s="28" t="n">
        <x:f>MOD(B3707,1)</x:f>
        <x:v>0.5712731481471565</x:v>
      </x:c>
      <x:c r="E3707" s="29" t="n">
        <x:f>YEAR(B3707)</x:f>
        <x:v>2022</x:v>
      </x:c>
      <x:c r="F3707" s="29" t="n">
        <x:f>MONTH(B3707)</x:f>
        <x:v>9</x:v>
      </x:c>
      <x:c r="G3707" s="30" t="n">
        <x:v>-20.18</x:v>
      </x:c>
      <x:c r="H3707" s="30" t="n">
        <x:v>-69.17</x:v>
      </x:c>
      <x:c r="I3707" s="29" t="n">
        <x:v>93</x:v>
      </x:c>
      <x:c r="J3707" s="31" t="n">
        <x:v>4.8</x:v>
      </x:c>
      <x:c r="K3707" s="25" t="str">
        <x:f>IF(J3707&gt;=7,"Muy fuerte (&gt;=7)",IF(J3707&gt;=6,"Fuerte (6-6.9)",IF(J3707&gt;=5,"Moderado alto (5-5.9)",IF(J3707&gt;=4,"Moderado (4-4.9)","Menor a 4"))))</x:f>
        <x:v>Moderado (4-4.9)</x:v>
      </x:c>
      <x:c r="L3707" s="25" t="str">
        <x:f>IF(I3707&lt;70,"Superficial (&lt;70 km)",IF(I3707&lt;=300,"Intermedio (70-300 km)","Profundo (&gt;300 km)"))</x:f>
        <x:v>Intermedio (70-300 km)</x:v>
      </x:c>
      <x:c r="M3707" s="25" t="str">
        <x:f>IF(J3707&gt;=5,"Sí","No")</x:f>
        <x:v>No</x:v>
      </x:c>
      <x:c r="N3707" s="25" t="str">
        <x:f>IF(J3707&gt;=6,"Sí","No")</x:f>
        <x:v>No</x:v>
      </x:c>
      <x:c r="O3707" s="25" t="str">
        <x:v>Pendiente: asignar con R/sf</x:v>
      </x:c>
    </x:row>
    <x:row r="3708">
      <x:c r="A3708" s="25" t="n">
        <x:v>3707</x:v>
      </x:c>
      <x:c r="B3708" s="26" t="n">
        <x:v>44869.610497685186</x:v>
      </x:c>
      <x:c r="C3708" s="27" t="n">
        <x:f>INT(B3708)</x:f>
        <x:v>44869</x:v>
      </x:c>
      <x:c r="D3708" s="28" t="n">
        <x:f>MOD(B3708,1)</x:f>
        <x:v>0.6104976851856918</x:v>
      </x:c>
      <x:c r="E3708" s="29" t="n">
        <x:f>YEAR(B3708)</x:f>
        <x:v>2022</x:v>
      </x:c>
      <x:c r="F3708" s="29" t="n">
        <x:f>MONTH(B3708)</x:f>
        <x:v>11</x:v>
      </x:c>
      <x:c r="G3708" s="30" t="n">
        <x:v>-20.15</x:v>
      </x:c>
      <x:c r="H3708" s="30" t="n">
        <x:v>-70.59</x:v>
      </x:c>
      <x:c r="I3708" s="29" t="n">
        <x:v>26</x:v>
      </x:c>
      <x:c r="J3708" s="31" t="n">
        <x:v>5</x:v>
      </x:c>
      <x:c r="K3708" s="25" t="str">
        <x:f>IF(J3708&gt;=7,"Muy fuerte (&gt;=7)",IF(J3708&gt;=6,"Fuerte (6-6.9)",IF(J3708&gt;=5,"Moderado alto (5-5.9)",IF(J3708&gt;=4,"Moderado (4-4.9)","Menor a 4"))))</x:f>
        <x:v>Moderado alto (5-5.9)</x:v>
      </x:c>
      <x:c r="L3708" s="25" t="str">
        <x:f>IF(I3708&lt;70,"Superficial (&lt;70 km)",IF(I3708&lt;=300,"Intermedio (70-300 km)","Profundo (&gt;300 km)"))</x:f>
        <x:v>Superficial (&lt;70 km)</x:v>
      </x:c>
      <x:c r="M3708" s="25" t="str">
        <x:f>IF(J3708&gt;=5,"Sí","No")</x:f>
        <x:v>Sí</x:v>
      </x:c>
      <x:c r="N3708" s="25" t="str">
        <x:f>IF(J3708&gt;=6,"Sí","No")</x:f>
        <x:v>No</x:v>
      </x:c>
      <x:c r="O3708" s="25" t="str">
        <x:v>Pendiente: asignar con R/sf</x:v>
      </x:c>
    </x:row>
    <x:row r="3709">
      <x:c r="A3709" s="25" t="n">
        <x:v>3708</x:v>
      </x:c>
      <x:c r="B3709" s="26" t="n">
        <x:v>44939.734351851854</x:v>
      </x:c>
      <x:c r="C3709" s="27" t="n">
        <x:f>INT(B3709)</x:f>
        <x:v>44939</x:v>
      </x:c>
      <x:c r="D3709" s="28" t="n">
        <x:f>MOD(B3709,1)</x:f>
        <x:v>0.7343518518537167</x:v>
      </x:c>
      <x:c r="E3709" s="29" t="n">
        <x:f>YEAR(B3709)</x:f>
        <x:v>2023</x:v>
      </x:c>
      <x:c r="F3709" s="29" t="n">
        <x:f>MONTH(B3709)</x:f>
        <x:v>1</x:v>
      </x:c>
      <x:c r="G3709" s="30" t="n">
        <x:v>-20.73</x:v>
      </x:c>
      <x:c r="H3709" s="30" t="n">
        <x:v>-70.35</x:v>
      </x:c>
      <x:c r="I3709" s="29" t="n">
        <x:v>39</x:v>
      </x:c>
      <x:c r="J3709" s="31" t="n">
        <x:v>4.2</x:v>
      </x:c>
      <x:c r="K3709" s="25" t="str">
        <x:f>IF(J3709&gt;=7,"Muy fuerte (&gt;=7)",IF(J3709&gt;=6,"Fuerte (6-6.9)",IF(J3709&gt;=5,"Moderado alto (5-5.9)",IF(J3709&gt;=4,"Moderado (4-4.9)","Menor a 4"))))</x:f>
        <x:v>Moderado (4-4.9)</x:v>
      </x:c>
      <x:c r="L3709" s="25" t="str">
        <x:f>IF(I3709&lt;70,"Superficial (&lt;70 km)",IF(I3709&lt;=300,"Intermedio (70-300 km)","Profundo (&gt;300 km)"))</x:f>
        <x:v>Superficial (&lt;70 km)</x:v>
      </x:c>
      <x:c r="M3709" s="25" t="str">
        <x:f>IF(J3709&gt;=5,"Sí","No")</x:f>
        <x:v>No</x:v>
      </x:c>
      <x:c r="N3709" s="25" t="str">
        <x:f>IF(J3709&gt;=6,"Sí","No")</x:f>
        <x:v>No</x:v>
      </x:c>
      <x:c r="O3709" s="25" t="str">
        <x:v>Pendiente: asignar con R/sf</x:v>
      </x:c>
    </x:row>
    <x:row r="3710">
      <x:c r="A3710" s="25" t="n">
        <x:v>3709</x:v>
      </x:c>
      <x:c r="B3710" s="26" t="n">
        <x:v>44994.084756944445</x:v>
      </x:c>
      <x:c r="C3710" s="27" t="n">
        <x:f>INT(B3710)</x:f>
        <x:v>44994</x:v>
      </x:c>
      <x:c r="D3710" s="28" t="n">
        <x:f>MOD(B3710,1)</x:f>
        <x:v>0.08475694444496185</x:v>
      </x:c>
      <x:c r="E3710" s="29" t="n">
        <x:f>YEAR(B3710)</x:f>
        <x:v>2023</x:v>
      </x:c>
      <x:c r="F3710" s="29" t="n">
        <x:f>MONTH(B3710)</x:f>
        <x:v>3</x:v>
      </x:c>
      <x:c r="G3710" s="30" t="n">
        <x:v>-19.53</x:v>
      </x:c>
      <x:c r="H3710" s="30" t="n">
        <x:v>-69.78</x:v>
      </x:c>
      <x:c r="I3710" s="29" t="n">
        <x:v>31</x:v>
      </x:c>
      <x:c r="J3710" s="31" t="n">
        <x:v>4.2</x:v>
      </x:c>
      <x:c r="K3710" s="25" t="str">
        <x:f>IF(J3710&gt;=7,"Muy fuerte (&gt;=7)",IF(J3710&gt;=6,"Fuerte (6-6.9)",IF(J3710&gt;=5,"Moderado alto (5-5.9)",IF(J3710&gt;=4,"Moderado (4-4.9)","Menor a 4"))))</x:f>
        <x:v>Moderado (4-4.9)</x:v>
      </x:c>
      <x:c r="L3710" s="25" t="str">
        <x:f>IF(I3710&lt;70,"Superficial (&lt;70 km)",IF(I3710&lt;=300,"Intermedio (70-300 km)","Profundo (&gt;300 km)"))</x:f>
        <x:v>Superficial (&lt;70 km)</x:v>
      </x:c>
      <x:c r="M3710" s="25" t="str">
        <x:f>IF(J3710&gt;=5,"Sí","No")</x:f>
        <x:v>No</x:v>
      </x:c>
      <x:c r="N3710" s="25" t="str">
        <x:f>IF(J3710&gt;=6,"Sí","No")</x:f>
        <x:v>No</x:v>
      </x:c>
      <x:c r="O3710" s="25" t="str">
        <x:v>Pendiente: asignar con R/sf</x:v>
      </x:c>
    </x:row>
    <x:row r="3711">
      <x:c r="A3711" s="25" t="n">
        <x:v>3710</x:v>
      </x:c>
      <x:c r="B3711" s="26" t="n">
        <x:v>45148.718981481485</x:v>
      </x:c>
      <x:c r="C3711" s="27" t="n">
        <x:f>INT(B3711)</x:f>
        <x:v>45148</x:v>
      </x:c>
      <x:c r="D3711" s="28" t="n">
        <x:f>MOD(B3711,1)</x:f>
        <x:v>0.7189814814846613</x:v>
      </x:c>
      <x:c r="E3711" s="29" t="n">
        <x:f>YEAR(B3711)</x:f>
        <x:v>2023</x:v>
      </x:c>
      <x:c r="F3711" s="29" t="n">
        <x:f>MONTH(B3711)</x:f>
        <x:v>8</x:v>
      </x:c>
      <x:c r="G3711" s="30" t="n">
        <x:v>-20.17</x:v>
      </x:c>
      <x:c r="H3711" s="30" t="n">
        <x:v>-69.22</x:v>
      </x:c>
      <x:c r="I3711" s="29" t="n">
        <x:v>95</x:v>
      </x:c>
      <x:c r="J3711" s="31" t="n">
        <x:v>4.5</x:v>
      </x:c>
      <x:c r="K3711" s="25" t="str">
        <x:f>IF(J3711&gt;=7,"Muy fuerte (&gt;=7)",IF(J3711&gt;=6,"Fuerte (6-6.9)",IF(J3711&gt;=5,"Moderado alto (5-5.9)",IF(J3711&gt;=4,"Moderado (4-4.9)","Menor a 4"))))</x:f>
        <x:v>Moderado (4-4.9)</x:v>
      </x:c>
      <x:c r="L3711" s="25" t="str">
        <x:f>IF(I3711&lt;70,"Superficial (&lt;70 km)",IF(I3711&lt;=300,"Intermedio (70-300 km)","Profundo (&gt;300 km)"))</x:f>
        <x:v>Intermedio (70-300 km)</x:v>
      </x:c>
      <x:c r="M3711" s="25" t="str">
        <x:f>IF(J3711&gt;=5,"Sí","No")</x:f>
        <x:v>No</x:v>
      </x:c>
      <x:c r="N3711" s="25" t="str">
        <x:f>IF(J3711&gt;=6,"Sí","No")</x:f>
        <x:v>No</x:v>
      </x:c>
      <x:c r="O3711" s="25" t="str">
        <x:v>Pendiente: asignar con R/sf</x:v>
      </x:c>
    </x:row>
    <x:row r="3712">
      <x:c r="A3712" s="25" t="n">
        <x:v>3711</x:v>
      </x:c>
      <x:c r="B3712" s="26" t="n">
        <x:v>44960.42265046296</x:v>
      </x:c>
      <x:c r="C3712" s="27" t="n">
        <x:f>INT(B3712)</x:f>
        <x:v>44960</x:v>
      </x:c>
      <x:c r="D3712" s="28" t="n">
        <x:f>MOD(B3712,1)</x:f>
        <x:v>0.42265046296233777</x:v>
      </x:c>
      <x:c r="E3712" s="29" t="n">
        <x:f>YEAR(B3712)</x:f>
        <x:v>2023</x:v>
      </x:c>
      <x:c r="F3712" s="29" t="n">
        <x:f>MONTH(B3712)</x:f>
        <x:v>2</x:v>
      </x:c>
      <x:c r="G3712" s="30" t="n">
        <x:v>-20.87</x:v>
      </x:c>
      <x:c r="H3712" s="30" t="n">
        <x:v>-69.91</x:v>
      </x:c>
      <x:c r="I3712" s="29" t="n">
        <x:v>15</x:v>
      </x:c>
      <x:c r="J3712" s="31" t="n">
        <x:v>4.3</x:v>
      </x:c>
      <x:c r="K3712" s="25" t="str">
        <x:f>IF(J3712&gt;=7,"Muy fuerte (&gt;=7)",IF(J3712&gt;=6,"Fuerte (6-6.9)",IF(J3712&gt;=5,"Moderado alto (5-5.9)",IF(J3712&gt;=4,"Moderado (4-4.9)","Menor a 4"))))</x:f>
        <x:v>Moderado (4-4.9)</x:v>
      </x:c>
      <x:c r="L3712" s="25" t="str">
        <x:f>IF(I3712&lt;70,"Superficial (&lt;70 km)",IF(I3712&lt;=300,"Intermedio (70-300 km)","Profundo (&gt;300 km)"))</x:f>
        <x:v>Superficial (&lt;70 km)</x:v>
      </x:c>
      <x:c r="M3712" s="25" t="str">
        <x:f>IF(J3712&gt;=5,"Sí","No")</x:f>
        <x:v>No</x:v>
      </x:c>
      <x:c r="N3712" s="25" t="str">
        <x:f>IF(J3712&gt;=6,"Sí","No")</x:f>
        <x:v>No</x:v>
      </x:c>
      <x:c r="O3712" s="25" t="str">
        <x:v>Pendiente: asignar con R/sf</x:v>
      </x:c>
    </x:row>
    <x:row r="3713">
      <x:c r="A3713" s="25" t="n">
        <x:v>3712</x:v>
      </x:c>
      <x:c r="B3713" s="26" t="n">
        <x:v>45017.03314814815</x:v>
      </x:c>
      <x:c r="C3713" s="27" t="n">
        <x:f>INT(B3713)</x:f>
        <x:v>45017</x:v>
      </x:c>
      <x:c r="D3713" s="28" t="n">
        <x:f>MOD(B3713,1)</x:f>
        <x:v>0.03314814814802958</x:v>
      </x:c>
      <x:c r="E3713" s="29" t="n">
        <x:f>YEAR(B3713)</x:f>
        <x:v>2023</x:v>
      </x:c>
      <x:c r="F3713" s="29" t="n">
        <x:f>MONTH(B3713)</x:f>
        <x:v>4</x:v>
      </x:c>
      <x:c r="G3713" s="30" t="n">
        <x:v>-20.88</x:v>
      </x:c>
      <x:c r="H3713" s="30" t="n">
        <x:v>-70.44</x:v>
      </x:c>
      <x:c r="I3713" s="29" t="n">
        <x:v>30</x:v>
      </x:c>
      <x:c r="J3713" s="31" t="n">
        <x:v>4.2</x:v>
      </x:c>
      <x:c r="K3713" s="25" t="str">
        <x:f>IF(J3713&gt;=7,"Muy fuerte (&gt;=7)",IF(J3713&gt;=6,"Fuerte (6-6.9)",IF(J3713&gt;=5,"Moderado alto (5-5.9)",IF(J3713&gt;=4,"Moderado (4-4.9)","Menor a 4"))))</x:f>
        <x:v>Moderado (4-4.9)</x:v>
      </x:c>
      <x:c r="L3713" s="25" t="str">
        <x:f>IF(I3713&lt;70,"Superficial (&lt;70 km)",IF(I3713&lt;=300,"Intermedio (70-300 km)","Profundo (&gt;300 km)"))</x:f>
        <x:v>Superficial (&lt;70 km)</x:v>
      </x:c>
      <x:c r="M3713" s="25" t="str">
        <x:f>IF(J3713&gt;=5,"Sí","No")</x:f>
        <x:v>No</x:v>
      </x:c>
      <x:c r="N3713" s="25" t="str">
        <x:f>IF(J3713&gt;=6,"Sí","No")</x:f>
        <x:v>No</x:v>
      </x:c>
      <x:c r="O3713" s="25" t="str">
        <x:v>Pendiente: asignar con R/sf</x:v>
      </x:c>
    </x:row>
    <x:row r="3714">
      <x:c r="A3714" s="25" t="n">
        <x:v>3713</x:v>
      </x:c>
      <x:c r="B3714" s="26" t="n">
        <x:v>45115.16170138889</x:v>
      </x:c>
      <x:c r="C3714" s="27" t="n">
        <x:f>INT(B3714)</x:f>
        <x:v>45115</x:v>
      </x:c>
      <x:c r="D3714" s="28" t="n">
        <x:f>MOD(B3714,1)</x:f>
        <x:v>0.1617013888899237</x:v>
      </x:c>
      <x:c r="E3714" s="29" t="n">
        <x:f>YEAR(B3714)</x:f>
        <x:v>2023</x:v>
      </x:c>
      <x:c r="F3714" s="29" t="n">
        <x:f>MONTH(B3714)</x:f>
        <x:v>7</x:v>
      </x:c>
      <x:c r="G3714" s="30" t="n">
        <x:v>-32.07</x:v>
      </x:c>
      <x:c r="H3714" s="30" t="n">
        <x:v>-71.41</x:v>
      </x:c>
      <x:c r="I3714" s="29" t="n">
        <x:v>70</x:v>
      </x:c>
      <x:c r="J3714" s="31" t="n">
        <x:v>4</x:v>
      </x:c>
      <x:c r="K3714" s="25" t="str">
        <x:f>IF(J3714&gt;=7,"Muy fuerte (&gt;=7)",IF(J3714&gt;=6,"Fuerte (6-6.9)",IF(J3714&gt;=5,"Moderado alto (5-5.9)",IF(J3714&gt;=4,"Moderado (4-4.9)","Menor a 4"))))</x:f>
        <x:v>Moderado (4-4.9)</x:v>
      </x:c>
      <x:c r="L3714" s="25" t="str">
        <x:f>IF(I3714&lt;70,"Superficial (&lt;70 km)",IF(I3714&lt;=300,"Intermedio (70-300 km)","Profundo (&gt;300 km)"))</x:f>
        <x:v>Intermedio (70-300 km)</x:v>
      </x:c>
      <x:c r="M3714" s="25" t="str">
        <x:f>IF(J3714&gt;=5,"Sí","No")</x:f>
        <x:v>No</x:v>
      </x:c>
      <x:c r="N3714" s="25" t="str">
        <x:f>IF(J3714&gt;=6,"Sí","No")</x:f>
        <x:v>No</x:v>
      </x:c>
      <x:c r="O3714" s="25" t="str">
        <x:v>Pendiente: asignar con R/sf</x:v>
      </x:c>
    </x:row>
    <x:row r="3715">
      <x:c r="A3715" s="25" t="n">
        <x:v>3714</x:v>
      </x:c>
      <x:c r="B3715" s="26" t="n">
        <x:v>45161.311319444445</x:v>
      </x:c>
      <x:c r="C3715" s="27" t="n">
        <x:f>INT(B3715)</x:f>
        <x:v>45161</x:v>
      </x:c>
      <x:c r="D3715" s="28" t="n">
        <x:f>MOD(B3715,1)</x:f>
        <x:v>0.31131944444496185</x:v>
      </x:c>
      <x:c r="E3715" s="29" t="n">
        <x:f>YEAR(B3715)</x:f>
        <x:v>2023</x:v>
      </x:c>
      <x:c r="F3715" s="29" t="n">
        <x:f>MONTH(B3715)</x:f>
        <x:v>8</x:v>
      </x:c>
      <x:c r="G3715" s="30" t="n">
        <x:v>-34.15</x:v>
      </x:c>
      <x:c r="H3715" s="30" t="n">
        <x:v>-71.05</x:v>
      </x:c>
      <x:c r="I3715" s="29" t="n">
        <x:v>69</x:v>
      </x:c>
      <x:c r="J3715" s="31" t="n">
        <x:v>3.4</x:v>
      </x:c>
      <x:c r="K3715" s="25" t="str">
        <x:f>IF(J3715&gt;=7,"Muy fuerte (&gt;=7)",IF(J3715&gt;=6,"Fuerte (6-6.9)",IF(J3715&gt;=5,"Moderado alto (5-5.9)",IF(J3715&gt;=4,"Moderado (4-4.9)","Menor a 4"))))</x:f>
        <x:v>Menor a 4</x:v>
      </x:c>
      <x:c r="L3715" s="25" t="str">
        <x:f>IF(I3715&lt;70,"Superficial (&lt;70 km)",IF(I3715&lt;=300,"Intermedio (70-300 km)","Profundo (&gt;300 km)"))</x:f>
        <x:v>Superficial (&lt;70 km)</x:v>
      </x:c>
      <x:c r="M3715" s="25" t="str">
        <x:f>IF(J3715&gt;=5,"Sí","No")</x:f>
        <x:v>No</x:v>
      </x:c>
      <x:c r="N3715" s="25" t="str">
        <x:f>IF(J3715&gt;=6,"Sí","No")</x:f>
        <x:v>No</x:v>
      </x:c>
      <x:c r="O3715" s="25" t="str">
        <x:v>Pendiente: asignar con R/sf</x:v>
      </x:c>
    </x:row>
    <x:row r="3716">
      <x:c r="A3716" s="25" t="n">
        <x:v>3715</x:v>
      </x:c>
      <x:c r="B3716" s="26" t="n">
        <x:v>43964.946608796294</x:v>
      </x:c>
      <x:c r="C3716" s="27" t="n">
        <x:f>INT(B3716)</x:f>
        <x:v>43964</x:v>
      </x:c>
      <x:c r="D3716" s="28" t="n">
        <x:f>MOD(B3716,1)</x:f>
        <x:v>0.9466087962937308</x:v>
      </x:c>
      <x:c r="E3716" s="29" t="n">
        <x:f>YEAR(B3716)</x:f>
        <x:v>2020</x:v>
      </x:c>
      <x:c r="F3716" s="29" t="n">
        <x:f>MONTH(B3716)</x:f>
        <x:v>5</x:v>
      </x:c>
      <x:c r="G3716" s="30" t="n">
        <x:v>-27.75</x:v>
      </x:c>
      <x:c r="H3716" s="30" t="n">
        <x:v>-70.95</x:v>
      </x:c>
      <x:c r="I3716" s="29" t="n">
        <x:v>69</x:v>
      </x:c>
      <x:c r="J3716" s="31" t="n">
        <x:v>4</x:v>
      </x:c>
      <x:c r="K3716" s="25" t="str">
        <x:f>IF(J3716&gt;=7,"Muy fuerte (&gt;=7)",IF(J3716&gt;=6,"Fuerte (6-6.9)",IF(J3716&gt;=5,"Moderado alto (5-5.9)",IF(J3716&gt;=4,"Moderado (4-4.9)","Menor a 4"))))</x:f>
        <x:v>Moderado (4-4.9)</x:v>
      </x:c>
      <x:c r="L3716" s="25" t="str">
        <x:f>IF(I3716&lt;70,"Superficial (&lt;70 km)",IF(I3716&lt;=300,"Intermedio (70-300 km)","Profundo (&gt;300 km)"))</x:f>
        <x:v>Superficial (&lt;70 km)</x:v>
      </x:c>
      <x:c r="M3716" s="25" t="str">
        <x:f>IF(J3716&gt;=5,"Sí","No")</x:f>
        <x:v>No</x:v>
      </x:c>
      <x:c r="N3716" s="25" t="str">
        <x:f>IF(J3716&gt;=6,"Sí","No")</x:f>
        <x:v>No</x:v>
      </x:c>
      <x:c r="O3716" s="25" t="str">
        <x:v>Pendiente: asignar con R/sf</x:v>
      </x:c>
    </x:row>
    <x:row r="3717">
      <x:c r="A3717" s="25" t="n">
        <x:v>3716</x:v>
      </x:c>
      <x:c r="B3717" s="26" t="n">
        <x:v>44125.384108796294</x:v>
      </x:c>
      <x:c r="C3717" s="27" t="n">
        <x:f>INT(B3717)</x:f>
        <x:v>44125</x:v>
      </x:c>
      <x:c r="D3717" s="28" t="n">
        <x:f>MOD(B3717,1)</x:f>
        <x:v>0.38410879629373085</x:v>
      </x:c>
      <x:c r="E3717" s="29" t="n">
        <x:f>YEAR(B3717)</x:f>
        <x:v>2020</x:v>
      </x:c>
      <x:c r="F3717" s="29" t="n">
        <x:f>MONTH(B3717)</x:f>
        <x:v>10</x:v>
      </x:c>
      <x:c r="G3717" s="30" t="n">
        <x:v>-25.57</x:v>
      </x:c>
      <x:c r="H3717" s="30" t="n">
        <x:v>-70.83</x:v>
      </x:c>
      <x:c r="I3717" s="29" t="n">
        <x:v>24</x:v>
      </x:c>
      <x:c r="J3717" s="31" t="n">
        <x:v>5.6</x:v>
      </x:c>
      <x:c r="K3717" s="25" t="str">
        <x:f>IF(J3717&gt;=7,"Muy fuerte (&gt;=7)",IF(J3717&gt;=6,"Fuerte (6-6.9)",IF(J3717&gt;=5,"Moderado alto (5-5.9)",IF(J3717&gt;=4,"Moderado (4-4.9)","Menor a 4"))))</x:f>
        <x:v>Moderado alto (5-5.9)</x:v>
      </x:c>
      <x:c r="L3717" s="25" t="str">
        <x:f>IF(I3717&lt;70,"Superficial (&lt;70 km)",IF(I3717&lt;=300,"Intermedio (70-300 km)","Profundo (&gt;300 km)"))</x:f>
        <x:v>Superficial (&lt;70 km)</x:v>
      </x:c>
      <x:c r="M3717" s="25" t="str">
        <x:f>IF(J3717&gt;=5,"Sí","No")</x:f>
        <x:v>Sí</x:v>
      </x:c>
      <x:c r="N3717" s="25" t="str">
        <x:f>IF(J3717&gt;=6,"Sí","No")</x:f>
        <x:v>No</x:v>
      </x:c>
      <x:c r="O3717" s="25" t="str">
        <x:v>Pendiente: asignar con R/sf</x:v>
      </x:c>
    </x:row>
    <x:row r="3718">
      <x:c r="A3718" s="25" t="n">
        <x:v>3717</x:v>
      </x:c>
      <x:c r="B3718" s="26" t="n">
        <x:v>44070.871979166666</x:v>
      </x:c>
      <x:c r="C3718" s="27" t="n">
        <x:f>INT(B3718)</x:f>
        <x:v>44070</x:v>
      </x:c>
      <x:c r="D3718" s="28" t="n">
        <x:f>MOD(B3718,1)</x:f>
        <x:v>0.8719791666662786</x:v>
      </x:c>
      <x:c r="E3718" s="29" t="n">
        <x:f>YEAR(B3718)</x:f>
        <x:v>2020</x:v>
      </x:c>
      <x:c r="F3718" s="29" t="n">
        <x:f>MONTH(B3718)</x:f>
        <x:v>8</x:v>
      </x:c>
      <x:c r="G3718" s="30" t="n">
        <x:v>-28.11</x:v>
      </x:c>
      <x:c r="H3718" s="30" t="n">
        <x:v>-71.33</x:v>
      </x:c>
      <x:c r="I3718" s="29" t="n">
        <x:v>43</x:v>
      </x:c>
      <x:c r="J3718" s="31" t="n">
        <x:v>4.5</x:v>
      </x:c>
      <x:c r="K3718" s="25" t="str">
        <x:f>IF(J3718&gt;=7,"Muy fuerte (&gt;=7)",IF(J3718&gt;=6,"Fuerte (6-6.9)",IF(J3718&gt;=5,"Moderado alto (5-5.9)",IF(J3718&gt;=4,"Moderado (4-4.9)","Menor a 4"))))</x:f>
        <x:v>Moderado (4-4.9)</x:v>
      </x:c>
      <x:c r="L3718" s="25" t="str">
        <x:f>IF(I3718&lt;70,"Superficial (&lt;70 km)",IF(I3718&lt;=300,"Intermedio (70-300 km)","Profundo (&gt;300 km)"))</x:f>
        <x:v>Superficial (&lt;70 km)</x:v>
      </x:c>
      <x:c r="M3718" s="25" t="str">
        <x:f>IF(J3718&gt;=5,"Sí","No")</x:f>
        <x:v>No</x:v>
      </x:c>
      <x:c r="N3718" s="25" t="str">
        <x:f>IF(J3718&gt;=6,"Sí","No")</x:f>
        <x:v>No</x:v>
      </x:c>
      <x:c r="O3718" s="25" t="str">
        <x:v>Pendiente: asignar con R/sf</x:v>
      </x:c>
    </x:row>
    <x:row r="3719">
      <x:c r="A3719" s="25" t="n">
        <x:v>3718</x:v>
      </x:c>
      <x:c r="B3719" s="26" t="n">
        <x:v>43923.1046875</x:v>
      </x:c>
      <x:c r="C3719" s="27" t="n">
        <x:f>INT(B3719)</x:f>
        <x:v>43923</x:v>
      </x:c>
      <x:c r="D3719" s="28" t="n">
        <x:f>MOD(B3719,1)</x:f>
        <x:v>0.10468750000291038</x:v>
      </x:c>
      <x:c r="E3719" s="29" t="n">
        <x:f>YEAR(B3719)</x:f>
        <x:v>2020</x:v>
      </x:c>
      <x:c r="F3719" s="29" t="n">
        <x:f>MONTH(B3719)</x:f>
        <x:v>4</x:v>
      </x:c>
      <x:c r="G3719" s="30" t="n">
        <x:v>-26.19</x:v>
      </x:c>
      <x:c r="H3719" s="30" t="n">
        <x:v>-70.54</x:v>
      </x:c>
      <x:c r="I3719" s="29" t="n">
        <x:v>59</x:v>
      </x:c>
      <x:c r="J3719" s="31" t="n">
        <x:v>4.9</x:v>
      </x:c>
      <x:c r="K3719" s="25" t="str">
        <x:f>IF(J3719&gt;=7,"Muy fuerte (&gt;=7)",IF(J3719&gt;=6,"Fuerte (6-6.9)",IF(J3719&gt;=5,"Moderado alto (5-5.9)",IF(J3719&gt;=4,"Moderado (4-4.9)","Menor a 4"))))</x:f>
        <x:v>Moderado (4-4.9)</x:v>
      </x:c>
      <x:c r="L3719" s="25" t="str">
        <x:f>IF(I3719&lt;70,"Superficial (&lt;70 km)",IF(I3719&lt;=300,"Intermedio (70-300 km)","Profundo (&gt;300 km)"))</x:f>
        <x:v>Superficial (&lt;70 km)</x:v>
      </x:c>
      <x:c r="M3719" s="25" t="str">
        <x:f>IF(J3719&gt;=5,"Sí","No")</x:f>
        <x:v>No</x:v>
      </x:c>
      <x:c r="N3719" s="25" t="str">
        <x:f>IF(J3719&gt;=6,"Sí","No")</x:f>
        <x:v>No</x:v>
      </x:c>
      <x:c r="O3719" s="25" t="str">
        <x:v>Pendiente: asignar con R/sf</x:v>
      </x:c>
    </x:row>
    <x:row r="3720">
      <x:c r="A3720" s="25" t="n">
        <x:v>3719</x:v>
      </x:c>
      <x:c r="B3720" s="26" t="n">
        <x:v>43538.74986111111</x:v>
      </x:c>
      <x:c r="C3720" s="27" t="n">
        <x:f>INT(B3720)</x:f>
        <x:v>43538</x:v>
      </x:c>
      <x:c r="D3720" s="28" t="n">
        <x:f>MOD(B3720,1)</x:f>
        <x:v>0.749861111107748</x:v>
      </x:c>
      <x:c r="E3720" s="29" t="n">
        <x:f>YEAR(B3720)</x:f>
        <x:v>2019</x:v>
      </x:c>
      <x:c r="F3720" s="29" t="n">
        <x:f>MONTH(B3720)</x:f>
        <x:v>3</x:v>
      </x:c>
      <x:c r="G3720" s="30" t="n">
        <x:v>-27.99</x:v>
      </x:c>
      <x:c r="H3720" s="30" t="n">
        <x:v>-70.05</x:v>
      </x:c>
      <x:c r="I3720" s="29" t="n">
        <x:v>90</x:v>
      </x:c>
      <x:c r="J3720" s="31" t="n">
        <x:v>3.7</x:v>
      </x:c>
      <x:c r="K3720" s="25" t="str">
        <x:f>IF(J3720&gt;=7,"Muy fuerte (&gt;=7)",IF(J3720&gt;=6,"Fuerte (6-6.9)",IF(J3720&gt;=5,"Moderado alto (5-5.9)",IF(J3720&gt;=4,"Moderado (4-4.9)","Menor a 4"))))</x:f>
        <x:v>Menor a 4</x:v>
      </x:c>
      <x:c r="L3720" s="25" t="str">
        <x:f>IF(I3720&lt;70,"Superficial (&lt;70 km)",IF(I3720&lt;=300,"Intermedio (70-300 km)","Profundo (&gt;300 km)"))</x:f>
        <x:v>Intermedio (70-300 km)</x:v>
      </x:c>
      <x:c r="M3720" s="25" t="str">
        <x:f>IF(J3720&gt;=5,"Sí","No")</x:f>
        <x:v>No</x:v>
      </x:c>
      <x:c r="N3720" s="25" t="str">
        <x:f>IF(J3720&gt;=6,"Sí","No")</x:f>
        <x:v>No</x:v>
      </x:c>
      <x:c r="O3720" s="25" t="str">
        <x:v>Pendiente: asignar con R/sf</x:v>
      </x:c>
    </x:row>
    <x:row r="3721">
      <x:c r="A3721" s="25" t="n">
        <x:v>3720</x:v>
      </x:c>
      <x:c r="B3721" s="26" t="n">
        <x:v>43359.5324537037</x:v>
      </x:c>
      <x:c r="C3721" s="27" t="n">
        <x:f>INT(B3721)</x:f>
        <x:v>43359</x:v>
      </x:c>
      <x:c r="D3721" s="28" t="n">
        <x:f>MOD(B3721,1)</x:f>
        <x:v>0.5324537037013215</x:v>
      </x:c>
      <x:c r="E3721" s="29" t="n">
        <x:f>YEAR(B3721)</x:f>
        <x:v>2018</x:v>
      </x:c>
      <x:c r="F3721" s="29" t="n">
        <x:f>MONTH(B3721)</x:f>
        <x:v>9</x:v>
      </x:c>
      <x:c r="G3721" s="30" t="n">
        <x:v>-27.37</x:v>
      </x:c>
      <x:c r="H3721" s="30" t="n">
        <x:v>-70.84</x:v>
      </x:c>
      <x:c r="I3721" s="29" t="n">
        <x:v>47</x:v>
      </x:c>
      <x:c r="J3721" s="31" t="n">
        <x:v>3.6</x:v>
      </x:c>
      <x:c r="K3721" s="25" t="str">
        <x:f>IF(J3721&gt;=7,"Muy fuerte (&gt;=7)",IF(J3721&gt;=6,"Fuerte (6-6.9)",IF(J3721&gt;=5,"Moderado alto (5-5.9)",IF(J3721&gt;=4,"Moderado (4-4.9)","Menor a 4"))))</x:f>
        <x:v>Menor a 4</x:v>
      </x:c>
      <x:c r="L3721" s="25" t="str">
        <x:f>IF(I3721&lt;70,"Superficial (&lt;70 km)",IF(I3721&lt;=300,"Intermedio (70-300 km)","Profundo (&gt;300 km)"))</x:f>
        <x:v>Superficial (&lt;70 km)</x:v>
      </x:c>
      <x:c r="M3721" s="25" t="str">
        <x:f>IF(J3721&gt;=5,"Sí","No")</x:f>
        <x:v>No</x:v>
      </x:c>
      <x:c r="N3721" s="25" t="str">
        <x:f>IF(J3721&gt;=6,"Sí","No")</x:f>
        <x:v>No</x:v>
      </x:c>
      <x:c r="O3721" s="25" t="str">
        <x:v>Pendiente: asignar con R/sf</x:v>
      </x:c>
    </x:row>
    <x:row r="3722">
      <x:c r="A3722" s="25" t="n">
        <x:v>3721</x:v>
      </x:c>
      <x:c r="B3722" s="26" t="n">
        <x:v>43625.917291666665</x:v>
      </x:c>
      <x:c r="C3722" s="27" t="n">
        <x:f>INT(B3722)</x:f>
        <x:v>43625</x:v>
      </x:c>
      <x:c r="D3722" s="28" t="n">
        <x:f>MOD(B3722,1)</x:f>
        <x:v>0.9172916666648234</x:v>
      </x:c>
      <x:c r="E3722" s="29" t="n">
        <x:f>YEAR(B3722)</x:f>
        <x:v>2019</x:v>
      </x:c>
      <x:c r="F3722" s="29" t="n">
        <x:f>MONTH(B3722)</x:f>
        <x:v>6</x:v>
      </x:c>
      <x:c r="G3722" s="30" t="n">
        <x:v>-27.37</x:v>
      </x:c>
      <x:c r="H3722" s="30" t="n">
        <x:v>-71.21</x:v>
      </x:c>
      <x:c r="I3722" s="29" t="n">
        <x:v>17</x:v>
      </x:c>
      <x:c r="J3722" s="31" t="n">
        <x:v>4.1</x:v>
      </x:c>
      <x:c r="K3722" s="25" t="str">
        <x:f>IF(J3722&gt;=7,"Muy fuerte (&gt;=7)",IF(J3722&gt;=6,"Fuerte (6-6.9)",IF(J3722&gt;=5,"Moderado alto (5-5.9)",IF(J3722&gt;=4,"Moderado (4-4.9)","Menor a 4"))))</x:f>
        <x:v>Moderado (4-4.9)</x:v>
      </x:c>
      <x:c r="L3722" s="25" t="str">
        <x:f>IF(I3722&lt;70,"Superficial (&lt;70 km)",IF(I3722&lt;=300,"Intermedio (70-300 km)","Profundo (&gt;300 km)"))</x:f>
        <x:v>Superficial (&lt;70 km)</x:v>
      </x:c>
      <x:c r="M3722" s="25" t="str">
        <x:f>IF(J3722&gt;=5,"Sí","No")</x:f>
        <x:v>No</x:v>
      </x:c>
      <x:c r="N3722" s="25" t="str">
        <x:f>IF(J3722&gt;=6,"Sí","No")</x:f>
        <x:v>No</x:v>
      </x:c>
      <x:c r="O3722" s="25" t="str">
        <x:v>Pendiente: asignar con R/sf</x:v>
      </x:c>
    </x:row>
    <x:row r="3723">
      <x:c r="A3723" s="25" t="n">
        <x:v>3722</x:v>
      </x:c>
      <x:c r="B3723" s="26" t="n">
        <x:v>44038.976643518516</x:v>
      </x:c>
      <x:c r="C3723" s="27" t="n">
        <x:f>INT(B3723)</x:f>
        <x:v>44038</x:v>
      </x:c>
      <x:c r="D3723" s="28" t="n">
        <x:f>MOD(B3723,1)</x:f>
        <x:v>0.9766435185156297</x:v>
      </x:c>
      <x:c r="E3723" s="29" t="n">
        <x:f>YEAR(B3723)</x:f>
        <x:v>2020</x:v>
      </x:c>
      <x:c r="F3723" s="29" t="n">
        <x:f>MONTH(B3723)</x:f>
        <x:v>7</x:v>
      </x:c>
      <x:c r="G3723" s="30" t="n">
        <x:v>-28.96</x:v>
      </x:c>
      <x:c r="H3723" s="30" t="n">
        <x:v>-71.39</x:v>
      </x:c>
      <x:c r="I3723" s="29" t="n">
        <x:v>55</x:v>
      </x:c>
      <x:c r="J3723" s="31" t="n">
        <x:v>3.7</x:v>
      </x:c>
      <x:c r="K3723" s="25" t="str">
        <x:f>IF(J3723&gt;=7,"Muy fuerte (&gt;=7)",IF(J3723&gt;=6,"Fuerte (6-6.9)",IF(J3723&gt;=5,"Moderado alto (5-5.9)",IF(J3723&gt;=4,"Moderado (4-4.9)","Menor a 4"))))</x:f>
        <x:v>Menor a 4</x:v>
      </x:c>
      <x:c r="L3723" s="25" t="str">
        <x:f>IF(I3723&lt;70,"Superficial (&lt;70 km)",IF(I3723&lt;=300,"Intermedio (70-300 km)","Profundo (&gt;300 km)"))</x:f>
        <x:v>Superficial (&lt;70 km)</x:v>
      </x:c>
      <x:c r="M3723" s="25" t="str">
        <x:f>IF(J3723&gt;=5,"Sí","No")</x:f>
        <x:v>No</x:v>
      </x:c>
      <x:c r="N3723" s="25" t="str">
        <x:f>IF(J3723&gt;=6,"Sí","No")</x:f>
        <x:v>No</x:v>
      </x:c>
      <x:c r="O3723" s="25" t="str">
        <x:v>Pendiente: asignar con R/sf</x:v>
      </x:c>
    </x:row>
    <x:row r="3724">
      <x:c r="A3724" s="25" t="n">
        <x:v>3723</x:v>
      </x:c>
      <x:c r="B3724" s="26" t="n">
        <x:v>43748.773680555554</x:v>
      </x:c>
      <x:c r="C3724" s="27" t="n">
        <x:f>INT(B3724)</x:f>
        <x:v>43748</x:v>
      </x:c>
      <x:c r="D3724" s="28" t="n">
        <x:f>MOD(B3724,1)</x:f>
        <x:v>0.773680555554165</x:v>
      </x:c>
      <x:c r="E3724" s="29" t="n">
        <x:f>YEAR(B3724)</x:f>
        <x:v>2019</x:v>
      </x:c>
      <x:c r="F3724" s="29" t="n">
        <x:f>MONTH(B3724)</x:f>
        <x:v>10</x:v>
      </x:c>
      <x:c r="G3724" s="30" t="n">
        <x:v>-26.32</x:v>
      </x:c>
      <x:c r="H3724" s="30" t="n">
        <x:v>-70.71</x:v>
      </x:c>
      <x:c r="I3724" s="29" t="n">
        <x:v>42</x:v>
      </x:c>
      <x:c r="J3724" s="31" t="n">
        <x:v>3.4</x:v>
      </x:c>
      <x:c r="K3724" s="25" t="str">
        <x:f>IF(J3724&gt;=7,"Muy fuerte (&gt;=7)",IF(J3724&gt;=6,"Fuerte (6-6.9)",IF(J3724&gt;=5,"Moderado alto (5-5.9)",IF(J3724&gt;=4,"Moderado (4-4.9)","Menor a 4"))))</x:f>
        <x:v>Menor a 4</x:v>
      </x:c>
      <x:c r="L3724" s="25" t="str">
        <x:f>IF(I3724&lt;70,"Superficial (&lt;70 km)",IF(I3724&lt;=300,"Intermedio (70-300 km)","Profundo (&gt;300 km)"))</x:f>
        <x:v>Superficial (&lt;70 km)</x:v>
      </x:c>
      <x:c r="M3724" s="25" t="str">
        <x:f>IF(J3724&gt;=5,"Sí","No")</x:f>
        <x:v>No</x:v>
      </x:c>
      <x:c r="N3724" s="25" t="str">
        <x:f>IF(J3724&gt;=6,"Sí","No")</x:f>
        <x:v>No</x:v>
      </x:c>
      <x:c r="O3724" s="25" t="str">
        <x:v>Pendiente: asignar con R/sf</x:v>
      </x:c>
    </x:row>
    <x:row r="3725">
      <x:c r="A3725" s="25" t="n">
        <x:v>3724</x:v>
      </x:c>
      <x:c r="B3725" s="26" t="n">
        <x:v>44067.68409722222</x:v>
      </x:c>
      <x:c r="C3725" s="27" t="n">
        <x:f>INT(B3725)</x:f>
        <x:v>44067</x:v>
      </x:c>
      <x:c r="D3725" s="28" t="n">
        <x:f>MOD(B3725,1)</x:f>
        <x:v>0.6840972222198616</x:v>
      </x:c>
      <x:c r="E3725" s="29" t="n">
        <x:f>YEAR(B3725)</x:f>
        <x:v>2020</x:v>
      </x:c>
      <x:c r="F3725" s="29" t="n">
        <x:f>MONTH(B3725)</x:f>
        <x:v>8</x:v>
      </x:c>
      <x:c r="G3725" s="30" t="n">
        <x:v>-29.22</x:v>
      </x:c>
      <x:c r="H3725" s="30" t="n">
        <x:v>-71.2</x:v>
      </x:c>
      <x:c r="I3725" s="29" t="n">
        <x:v>75</x:v>
      </x:c>
      <x:c r="J3725" s="31" t="n">
        <x:v>3.5</x:v>
      </x:c>
      <x:c r="K3725" s="25" t="str">
        <x:f>IF(J3725&gt;=7,"Muy fuerte (&gt;=7)",IF(J3725&gt;=6,"Fuerte (6-6.9)",IF(J3725&gt;=5,"Moderado alto (5-5.9)",IF(J3725&gt;=4,"Moderado (4-4.9)","Menor a 4"))))</x:f>
        <x:v>Menor a 4</x:v>
      </x:c>
      <x:c r="L3725" s="25" t="str">
        <x:f>IF(I3725&lt;70,"Superficial (&lt;70 km)",IF(I3725&lt;=300,"Intermedio (70-300 km)","Profundo (&gt;300 km)"))</x:f>
        <x:v>Intermedio (70-300 km)</x:v>
      </x:c>
      <x:c r="M3725" s="25" t="str">
        <x:f>IF(J3725&gt;=5,"Sí","No")</x:f>
        <x:v>No</x:v>
      </x:c>
      <x:c r="N3725" s="25" t="str">
        <x:f>IF(J3725&gt;=6,"Sí","No")</x:f>
        <x:v>No</x:v>
      </x:c>
      <x:c r="O3725" s="25" t="str">
        <x:v>Pendiente: asignar con R/sf</x:v>
      </x:c>
    </x:row>
    <x:row r="3726">
      <x:c r="A3726" s="25" t="n">
        <x:v>3725</x:v>
      </x:c>
      <x:c r="B3726" s="26" t="n">
        <x:v>43336.803032407406</x:v>
      </x:c>
      <x:c r="C3726" s="27" t="n">
        <x:f>INT(B3726)</x:f>
        <x:v>43336</x:v>
      </x:c>
      <x:c r="D3726" s="28" t="n">
        <x:f>MOD(B3726,1)</x:f>
        <x:v>0.8030324074061355</x:v>
      </x:c>
      <x:c r="E3726" s="29" t="n">
        <x:f>YEAR(B3726)</x:f>
        <x:v>2018</x:v>
      </x:c>
      <x:c r="F3726" s="29" t="n">
        <x:f>MONTH(B3726)</x:f>
        <x:v>8</x:v>
      </x:c>
      <x:c r="G3726" s="30" t="n">
        <x:v>-27.55</x:v>
      </x:c>
      <x:c r="H3726" s="30" t="n">
        <x:v>-70.19</x:v>
      </x:c>
      <x:c r="I3726" s="29" t="n">
        <x:v>91</x:v>
      </x:c>
      <x:c r="J3726" s="31" t="n">
        <x:v>3.4</x:v>
      </x:c>
      <x:c r="K3726" s="25" t="str">
        <x:f>IF(J3726&gt;=7,"Muy fuerte (&gt;=7)",IF(J3726&gt;=6,"Fuerte (6-6.9)",IF(J3726&gt;=5,"Moderado alto (5-5.9)",IF(J3726&gt;=4,"Moderado (4-4.9)","Menor a 4"))))</x:f>
        <x:v>Menor a 4</x:v>
      </x:c>
      <x:c r="L3726" s="25" t="str">
        <x:f>IF(I3726&lt;70,"Superficial (&lt;70 km)",IF(I3726&lt;=300,"Intermedio (70-300 km)","Profundo (&gt;300 km)"))</x:f>
        <x:v>Intermedio (70-300 km)</x:v>
      </x:c>
      <x:c r="M3726" s="25" t="str">
        <x:f>IF(J3726&gt;=5,"Sí","No")</x:f>
        <x:v>No</x:v>
      </x:c>
      <x:c r="N3726" s="25" t="str">
        <x:f>IF(J3726&gt;=6,"Sí","No")</x:f>
        <x:v>No</x:v>
      </x:c>
      <x:c r="O3726" s="25" t="str">
        <x:v>Pendiente: asignar con R/sf</x:v>
      </x:c>
    </x:row>
    <x:row r="3727">
      <x:c r="A3727" s="25" t="n">
        <x:v>3726</x:v>
      </x:c>
      <x:c r="B3727" s="26" t="n">
        <x:v>43562.64592592593</x:v>
      </x:c>
      <x:c r="C3727" s="27" t="n">
        <x:f>INT(B3727)</x:f>
        <x:v>43562</x:v>
      </x:c>
      <x:c r="D3727" s="28" t="n">
        <x:f>MOD(B3727,1)</x:f>
        <x:v>0.645925925928168</x:v>
      </x:c>
      <x:c r="E3727" s="29" t="n">
        <x:f>YEAR(B3727)</x:f>
        <x:v>2019</x:v>
      </x:c>
      <x:c r="F3727" s="29" t="n">
        <x:f>MONTH(B3727)</x:f>
        <x:v>4</x:v>
      </x:c>
      <x:c r="G3727" s="30" t="n">
        <x:v>-28.43</x:v>
      </x:c>
      <x:c r="H3727" s="30" t="n">
        <x:v>-70.12</x:v>
      </x:c>
      <x:c r="I3727" s="29" t="n">
        <x:v>88</x:v>
      </x:c>
      <x:c r="J3727" s="31" t="n">
        <x:v>3.7</x:v>
      </x:c>
      <x:c r="K3727" s="25" t="str">
        <x:f>IF(J3727&gt;=7,"Muy fuerte (&gt;=7)",IF(J3727&gt;=6,"Fuerte (6-6.9)",IF(J3727&gt;=5,"Moderado alto (5-5.9)",IF(J3727&gt;=4,"Moderado (4-4.9)","Menor a 4"))))</x:f>
        <x:v>Menor a 4</x:v>
      </x:c>
      <x:c r="L3727" s="25" t="str">
        <x:f>IF(I3727&lt;70,"Superficial (&lt;70 km)",IF(I3727&lt;=300,"Intermedio (70-300 km)","Profundo (&gt;300 km)"))</x:f>
        <x:v>Intermedio (70-300 km)</x:v>
      </x:c>
      <x:c r="M3727" s="25" t="str">
        <x:f>IF(J3727&gt;=5,"Sí","No")</x:f>
        <x:v>No</x:v>
      </x:c>
      <x:c r="N3727" s="25" t="str">
        <x:f>IF(J3727&gt;=6,"Sí","No")</x:f>
        <x:v>No</x:v>
      </x:c>
      <x:c r="O3727" s="25" t="str">
        <x:v>Pendiente: asignar con R/sf</x:v>
      </x:c>
    </x:row>
    <x:row r="3728">
      <x:c r="A3728" s="25" t="n">
        <x:v>3727</x:v>
      </x:c>
      <x:c r="B3728" s="26" t="n">
        <x:v>43479.84361111111</x:v>
      </x:c>
      <x:c r="C3728" s="27" t="n">
        <x:f>INT(B3728)</x:f>
        <x:v>43479</x:v>
      </x:c>
      <x:c r="D3728" s="28" t="n">
        <x:f>MOD(B3728,1)</x:f>
        <x:v>0.843611111107748</x:v>
      </x:c>
      <x:c r="E3728" s="29" t="n">
        <x:f>YEAR(B3728)</x:f>
        <x:v>2019</x:v>
      </x:c>
      <x:c r="F3728" s="29" t="n">
        <x:f>MONTH(B3728)</x:f>
        <x:v>1</x:v>
      </x:c>
      <x:c r="G3728" s="30" t="n">
        <x:v>-27.05</x:v>
      </x:c>
      <x:c r="H3728" s="30" t="n">
        <x:v>-70.16</x:v>
      </x:c>
      <x:c r="I3728" s="29" t="n">
        <x:v>98</x:v>
      </x:c>
      <x:c r="J3728" s="31" t="n">
        <x:v>3.9</x:v>
      </x:c>
      <x:c r="K3728" s="25" t="str">
        <x:f>IF(J3728&gt;=7,"Muy fuerte (&gt;=7)",IF(J3728&gt;=6,"Fuerte (6-6.9)",IF(J3728&gt;=5,"Moderado alto (5-5.9)",IF(J3728&gt;=4,"Moderado (4-4.9)","Menor a 4"))))</x:f>
        <x:v>Menor a 4</x:v>
      </x:c>
      <x:c r="L3728" s="25" t="str">
        <x:f>IF(I3728&lt;70,"Superficial (&lt;70 km)",IF(I3728&lt;=300,"Intermedio (70-300 km)","Profundo (&gt;300 km)"))</x:f>
        <x:v>Intermedio (70-300 km)</x:v>
      </x:c>
      <x:c r="M3728" s="25" t="str">
        <x:f>IF(J3728&gt;=5,"Sí","No")</x:f>
        <x:v>No</x:v>
      </x:c>
      <x:c r="N3728" s="25" t="str">
        <x:f>IF(J3728&gt;=6,"Sí","No")</x:f>
        <x:v>No</x:v>
      </x:c>
      <x:c r="O3728" s="25" t="str">
        <x:v>Pendiente: asignar con R/sf</x:v>
      </x:c>
    </x:row>
    <x:row r="3729">
      <x:c r="A3729" s="25" t="n">
        <x:v>3728</x:v>
      </x:c>
      <x:c r="B3729" s="26" t="n">
        <x:v>43761.9981712963</x:v>
      </x:c>
      <x:c r="C3729" s="27" t="n">
        <x:f>INT(B3729)</x:f>
        <x:v>43761</x:v>
      </x:c>
      <x:c r="D3729" s="28" t="n">
        <x:f>MOD(B3729,1)</x:f>
        <x:v>0.9981712962980964</x:v>
      </x:c>
      <x:c r="E3729" s="29" t="n">
        <x:f>YEAR(B3729)</x:f>
        <x:v>2019</x:v>
      </x:c>
      <x:c r="F3729" s="29" t="n">
        <x:f>MONTH(B3729)</x:f>
        <x:v>10</x:v>
      </x:c>
      <x:c r="G3729" s="30" t="n">
        <x:v>-26.32</x:v>
      </x:c>
      <x:c r="H3729" s="30" t="n">
        <x:v>-70.78</x:v>
      </x:c>
      <x:c r="I3729" s="29" t="n">
        <x:v>42</x:v>
      </x:c>
      <x:c r="J3729" s="31" t="n">
        <x:v>3.7</x:v>
      </x:c>
      <x:c r="K3729" s="25" t="str">
        <x:f>IF(J3729&gt;=7,"Muy fuerte (&gt;=7)",IF(J3729&gt;=6,"Fuerte (6-6.9)",IF(J3729&gt;=5,"Moderado alto (5-5.9)",IF(J3729&gt;=4,"Moderado (4-4.9)","Menor a 4"))))</x:f>
        <x:v>Menor a 4</x:v>
      </x:c>
      <x:c r="L3729" s="25" t="str">
        <x:f>IF(I3729&lt;70,"Superficial (&lt;70 km)",IF(I3729&lt;=300,"Intermedio (70-300 km)","Profundo (&gt;300 km)"))</x:f>
        <x:v>Superficial (&lt;70 km)</x:v>
      </x:c>
      <x:c r="M3729" s="25" t="str">
        <x:f>IF(J3729&gt;=5,"Sí","No")</x:f>
        <x:v>No</x:v>
      </x:c>
      <x:c r="N3729" s="25" t="str">
        <x:f>IF(J3729&gt;=6,"Sí","No")</x:f>
        <x:v>No</x:v>
      </x:c>
      <x:c r="O3729" s="25" t="str">
        <x:v>Pendiente: asignar con R/sf</x:v>
      </x:c>
    </x:row>
    <x:row r="3730">
      <x:c r="A3730" s="25" t="n">
        <x:v>3729</x:v>
      </x:c>
      <x:c r="B3730" s="26" t="n">
        <x:v>44068.94755787037</x:v>
      </x:c>
      <x:c r="C3730" s="27" t="n">
        <x:f>INT(B3730)</x:f>
        <x:v>44068</x:v>
      </x:c>
      <x:c r="D3730" s="28" t="n">
        <x:f>MOD(B3730,1)</x:f>
        <x:v>0.9475578703713836</x:v>
      </x:c>
      <x:c r="E3730" s="29" t="n">
        <x:f>YEAR(B3730)</x:f>
        <x:v>2020</x:v>
      </x:c>
      <x:c r="F3730" s="29" t="n">
        <x:f>MONTH(B3730)</x:f>
        <x:v>8</x:v>
      </x:c>
      <x:c r="G3730" s="30" t="n">
        <x:v>-26.17</x:v>
      </x:c>
      <x:c r="H3730" s="30" t="n">
        <x:v>-69.48</x:v>
      </x:c>
      <x:c r="I3730" s="29" t="n">
        <x:v>16</x:v>
      </x:c>
      <x:c r="J3730" s="31" t="n">
        <x:v>4.7</x:v>
      </x:c>
      <x:c r="K3730" s="25" t="str">
        <x:f>IF(J3730&gt;=7,"Muy fuerte (&gt;=7)",IF(J3730&gt;=6,"Fuerte (6-6.9)",IF(J3730&gt;=5,"Moderado alto (5-5.9)",IF(J3730&gt;=4,"Moderado (4-4.9)","Menor a 4"))))</x:f>
        <x:v>Moderado (4-4.9)</x:v>
      </x:c>
      <x:c r="L3730" s="25" t="str">
        <x:f>IF(I3730&lt;70,"Superficial (&lt;70 km)",IF(I3730&lt;=300,"Intermedio (70-300 km)","Profundo (&gt;300 km)"))</x:f>
        <x:v>Superficial (&lt;70 km)</x:v>
      </x:c>
      <x:c r="M3730" s="25" t="str">
        <x:f>IF(J3730&gt;=5,"Sí","No")</x:f>
        <x:v>No</x:v>
      </x:c>
      <x:c r="N3730" s="25" t="str">
        <x:f>IF(J3730&gt;=6,"Sí","No")</x:f>
        <x:v>No</x:v>
      </x:c>
      <x:c r="O3730" s="25" t="str">
        <x:v>Pendiente: asignar con R/sf</x:v>
      </x:c>
    </x:row>
    <x:row r="3731">
      <x:c r="A3731" s="25" t="n">
        <x:v>3730</x:v>
      </x:c>
      <x:c r="B3731" s="26" t="n">
        <x:v>43611.56568287037</x:v>
      </x:c>
      <x:c r="C3731" s="27" t="n">
        <x:f>INT(B3731)</x:f>
        <x:v>43611</x:v>
      </x:c>
      <x:c r="D3731" s="28" t="n">
        <x:f>MOD(B3731,1)</x:f>
        <x:v>0.5656828703722567</x:v>
      </x:c>
      <x:c r="E3731" s="29" t="n">
        <x:f>YEAR(B3731)</x:f>
        <x:v>2019</x:v>
      </x:c>
      <x:c r="F3731" s="29" t="n">
        <x:f>MONTH(B3731)</x:f>
        <x:v>5</x:v>
      </x:c>
      <x:c r="G3731" s="30" t="n">
        <x:v>-25.96</x:v>
      </x:c>
      <x:c r="H3731" s="30" t="n">
        <x:v>-69.05</x:v>
      </x:c>
      <x:c r="I3731" s="29" t="n">
        <x:v>121</x:v>
      </x:c>
      <x:c r="J3731" s="31" t="n">
        <x:v>4.1</x:v>
      </x:c>
      <x:c r="K3731" s="25" t="str">
        <x:f>IF(J3731&gt;=7,"Muy fuerte (&gt;=7)",IF(J3731&gt;=6,"Fuerte (6-6.9)",IF(J3731&gt;=5,"Moderado alto (5-5.9)",IF(J3731&gt;=4,"Moderado (4-4.9)","Menor a 4"))))</x:f>
        <x:v>Moderado (4-4.9)</x:v>
      </x:c>
      <x:c r="L3731" s="25" t="str">
        <x:f>IF(I3731&lt;70,"Superficial (&lt;70 km)",IF(I3731&lt;=300,"Intermedio (70-300 km)","Profundo (&gt;300 km)"))</x:f>
        <x:v>Intermedio (70-300 km)</x:v>
      </x:c>
      <x:c r="M3731" s="25" t="str">
        <x:f>IF(J3731&gt;=5,"Sí","No")</x:f>
        <x:v>No</x:v>
      </x:c>
      <x:c r="N3731" s="25" t="str">
        <x:f>IF(J3731&gt;=6,"Sí","No")</x:f>
        <x:v>No</x:v>
      </x:c>
      <x:c r="O3731" s="25" t="str">
        <x:v>Pendiente: asignar con R/sf</x:v>
      </x:c>
    </x:row>
    <x:row r="3732">
      <x:c r="A3732" s="25" t="n">
        <x:v>3731</x:v>
      </x:c>
      <x:c r="B3732" s="26" t="n">
        <x:v>43658.71431712963</x:v>
      </x:c>
      <x:c r="C3732" s="27" t="n">
        <x:f>INT(B3732)</x:f>
        <x:v>43658</x:v>
      </x:c>
      <x:c r="D3732" s="28" t="n">
        <x:f>MOD(B3732,1)</x:f>
        <x:v>0.7143171296265791</x:v>
      </x:c>
      <x:c r="E3732" s="29" t="n">
        <x:f>YEAR(B3732)</x:f>
        <x:v>2019</x:v>
      </x:c>
      <x:c r="F3732" s="29" t="n">
        <x:f>MONTH(B3732)</x:f>
        <x:v>7</x:v>
      </x:c>
      <x:c r="G3732" s="30" t="n">
        <x:v>-27.63</x:v>
      </x:c>
      <x:c r="H3732" s="30" t="n">
        <x:v>-70.21</x:v>
      </x:c>
      <x:c r="I3732" s="29" t="n">
        <x:v>88</x:v>
      </x:c>
      <x:c r="J3732" s="31" t="n">
        <x:v>3.6</x:v>
      </x:c>
      <x:c r="K3732" s="25" t="str">
        <x:f>IF(J3732&gt;=7,"Muy fuerte (&gt;=7)",IF(J3732&gt;=6,"Fuerte (6-6.9)",IF(J3732&gt;=5,"Moderado alto (5-5.9)",IF(J3732&gt;=4,"Moderado (4-4.9)","Menor a 4"))))</x:f>
        <x:v>Menor a 4</x:v>
      </x:c>
      <x:c r="L3732" s="25" t="str">
        <x:f>IF(I3732&lt;70,"Superficial (&lt;70 km)",IF(I3732&lt;=300,"Intermedio (70-300 km)","Profundo (&gt;300 km)"))</x:f>
        <x:v>Intermedio (70-300 km)</x:v>
      </x:c>
      <x:c r="M3732" s="25" t="str">
        <x:f>IF(J3732&gt;=5,"Sí","No")</x:f>
        <x:v>No</x:v>
      </x:c>
      <x:c r="N3732" s="25" t="str">
        <x:f>IF(J3732&gt;=6,"Sí","No")</x:f>
        <x:v>No</x:v>
      </x:c>
      <x:c r="O3732" s="25" t="str">
        <x:v>Pendiente: asignar con R/sf</x:v>
      </x:c>
    </x:row>
    <x:row r="3733">
      <x:c r="A3733" s="25" t="n">
        <x:v>3732</x:v>
      </x:c>
      <x:c r="B3733" s="26" t="n">
        <x:v>44034.93415509259</x:v>
      </x:c>
      <x:c r="C3733" s="27" t="n">
        <x:f>INT(B3733)</x:f>
        <x:v>44034</x:v>
      </x:c>
      <x:c r="D3733" s="28" t="n">
        <x:f>MOD(B3733,1)</x:f>
        <x:v>0.9341550925892079</x:v>
      </x:c>
      <x:c r="E3733" s="29" t="n">
        <x:f>YEAR(B3733)</x:f>
        <x:v>2020</x:v>
      </x:c>
      <x:c r="F3733" s="29" t="n">
        <x:f>MONTH(B3733)</x:f>
        <x:v>7</x:v>
      </x:c>
      <x:c r="G3733" s="30" t="n">
        <x:v>-27.3</x:v>
      </x:c>
      <x:c r="H3733" s="30" t="n">
        <x:v>-70.08</x:v>
      </x:c>
      <x:c r="I3733" s="29" t="n">
        <x:v>99</x:v>
      </x:c>
      <x:c r="J3733" s="31" t="n">
        <x:v>4.9</x:v>
      </x:c>
      <x:c r="K3733" s="25" t="str">
        <x:f>IF(J3733&gt;=7,"Muy fuerte (&gt;=7)",IF(J3733&gt;=6,"Fuerte (6-6.9)",IF(J3733&gt;=5,"Moderado alto (5-5.9)",IF(J3733&gt;=4,"Moderado (4-4.9)","Menor a 4"))))</x:f>
        <x:v>Moderado (4-4.9)</x:v>
      </x:c>
      <x:c r="L3733" s="25" t="str">
        <x:f>IF(I3733&lt;70,"Superficial (&lt;70 km)",IF(I3733&lt;=300,"Intermedio (70-300 km)","Profundo (&gt;300 km)"))</x:f>
        <x:v>Intermedio (70-300 km)</x:v>
      </x:c>
      <x:c r="M3733" s="25" t="str">
        <x:f>IF(J3733&gt;=5,"Sí","No")</x:f>
        <x:v>No</x:v>
      </x:c>
      <x:c r="N3733" s="25" t="str">
        <x:f>IF(J3733&gt;=6,"Sí","No")</x:f>
        <x:v>No</x:v>
      </x:c>
      <x:c r="O3733" s="25" t="str">
        <x:v>Pendiente: asignar con R/sf</x:v>
      </x:c>
    </x:row>
    <x:row r="3734">
      <x:c r="A3734" s="25" t="n">
        <x:v>3733</x:v>
      </x:c>
      <x:c r="B3734" s="26" t="n">
        <x:v>43796.322071759256</x:v>
      </x:c>
      <x:c r="C3734" s="27" t="n">
        <x:f>INT(B3734)</x:f>
        <x:v>43796</x:v>
      </x:c>
      <x:c r="D3734" s="28" t="n">
        <x:f>MOD(B3734,1)</x:f>
        <x:v>0.3220717592557776</x:v>
      </x:c>
      <x:c r="E3734" s="29" t="n">
        <x:f>YEAR(B3734)</x:f>
        <x:v>2019</x:v>
      </x:c>
      <x:c r="F3734" s="29" t="n">
        <x:f>MONTH(B3734)</x:f>
        <x:v>11</x:v>
      </x:c>
      <x:c r="G3734" s="30" t="n">
        <x:v>-28.59</x:v>
      </x:c>
      <x:c r="H3734" s="30" t="n">
        <x:v>-70.93</x:v>
      </x:c>
      <x:c r="I3734" s="29" t="n">
        <x:v>65</x:v>
      </x:c>
      <x:c r="J3734" s="31" t="n">
        <x:v>3.2</x:v>
      </x:c>
      <x:c r="K3734" s="25" t="str">
        <x:f>IF(J3734&gt;=7,"Muy fuerte (&gt;=7)",IF(J3734&gt;=6,"Fuerte (6-6.9)",IF(J3734&gt;=5,"Moderado alto (5-5.9)",IF(J3734&gt;=4,"Moderado (4-4.9)","Menor a 4"))))</x:f>
        <x:v>Menor a 4</x:v>
      </x:c>
      <x:c r="L3734" s="25" t="str">
        <x:f>IF(I3734&lt;70,"Superficial (&lt;70 km)",IF(I3734&lt;=300,"Intermedio (70-300 km)","Profundo (&gt;300 km)"))</x:f>
        <x:v>Superficial (&lt;70 km)</x:v>
      </x:c>
      <x:c r="M3734" s="25" t="str">
        <x:f>IF(J3734&gt;=5,"Sí","No")</x:f>
        <x:v>No</x:v>
      </x:c>
      <x:c r="N3734" s="25" t="str">
        <x:f>IF(J3734&gt;=6,"Sí","No")</x:f>
        <x:v>No</x:v>
      </x:c>
      <x:c r="O3734" s="25" t="str">
        <x:v>Pendiente: asignar con R/sf</x:v>
      </x:c>
    </x:row>
    <x:row r="3735">
      <x:c r="A3735" s="25" t="n">
        <x:v>3734</x:v>
      </x:c>
      <x:c r="B3735" s="26" t="n">
        <x:v>43388.68125</x:v>
      </x:c>
      <x:c r="C3735" s="27" t="n">
        <x:f>INT(B3735)</x:f>
        <x:v>43388</x:v>
      </x:c>
      <x:c r="D3735" s="28" t="n">
        <x:f>MOD(B3735,1)</x:f>
        <x:v>0.6812500000014552</x:v>
      </x:c>
      <x:c r="E3735" s="29" t="n">
        <x:f>YEAR(B3735)</x:f>
        <x:v>2018</x:v>
      </x:c>
      <x:c r="F3735" s="29" t="n">
        <x:f>MONTH(B3735)</x:f>
        <x:v>10</x:v>
      </x:c>
      <x:c r="G3735" s="30" t="n">
        <x:v>-27.78</x:v>
      </x:c>
      <x:c r="H3735" s="30" t="n">
        <x:v>-69.26</x:v>
      </x:c>
      <x:c r="I3735" s="29" t="n">
        <x:v>49</x:v>
      </x:c>
      <x:c r="J3735" s="31" t="n">
        <x:v>4.3</x:v>
      </x:c>
      <x:c r="K3735" s="25" t="str">
        <x:f>IF(J3735&gt;=7,"Muy fuerte (&gt;=7)",IF(J3735&gt;=6,"Fuerte (6-6.9)",IF(J3735&gt;=5,"Moderado alto (5-5.9)",IF(J3735&gt;=4,"Moderado (4-4.9)","Menor a 4"))))</x:f>
        <x:v>Moderado (4-4.9)</x:v>
      </x:c>
      <x:c r="L3735" s="25" t="str">
        <x:f>IF(I3735&lt;70,"Superficial (&lt;70 km)",IF(I3735&lt;=300,"Intermedio (70-300 km)","Profundo (&gt;300 km)"))</x:f>
        <x:v>Superficial (&lt;70 km)</x:v>
      </x:c>
      <x:c r="M3735" s="25" t="str">
        <x:f>IF(J3735&gt;=5,"Sí","No")</x:f>
        <x:v>No</x:v>
      </x:c>
      <x:c r="N3735" s="25" t="str">
        <x:f>IF(J3735&gt;=6,"Sí","No")</x:f>
        <x:v>No</x:v>
      </x:c>
      <x:c r="O3735" s="25" t="str">
        <x:v>Pendiente: asignar con R/sf</x:v>
      </x:c>
    </x:row>
    <x:row r="3736">
      <x:c r="A3736" s="25" t="n">
        <x:v>3735</x:v>
      </x:c>
      <x:c r="B3736" s="26" t="n">
        <x:v>43890.65657407408</x:v>
      </x:c>
      <x:c r="C3736" s="27" t="n">
        <x:f>INT(B3736)</x:f>
        <x:v>43890</x:v>
      </x:c>
      <x:c r="D3736" s="28" t="n">
        <x:f>MOD(B3736,1)</x:f>
        <x:v>0.6565740740770707</x:v>
      </x:c>
      <x:c r="E3736" s="29" t="n">
        <x:f>YEAR(B3736)</x:f>
        <x:v>2020</x:v>
      </x:c>
      <x:c r="F3736" s="29" t="n">
        <x:f>MONTH(B3736)</x:f>
        <x:v>2</x:v>
      </x:c>
      <x:c r="G3736" s="30" t="n">
        <x:v>-25.84</x:v>
      </x:c>
      <x:c r="H3736" s="30" t="n">
        <x:v>-69.35</x:v>
      </x:c>
      <x:c r="I3736" s="29" t="n">
        <x:v>107</x:v>
      </x:c>
      <x:c r="J3736" s="31" t="n">
        <x:v>4.4</x:v>
      </x:c>
      <x:c r="K3736" s="25" t="str">
        <x:f>IF(J3736&gt;=7,"Muy fuerte (&gt;=7)",IF(J3736&gt;=6,"Fuerte (6-6.9)",IF(J3736&gt;=5,"Moderado alto (5-5.9)",IF(J3736&gt;=4,"Moderado (4-4.9)","Menor a 4"))))</x:f>
        <x:v>Moderado (4-4.9)</x:v>
      </x:c>
      <x:c r="L3736" s="25" t="str">
        <x:f>IF(I3736&lt;70,"Superficial (&lt;70 km)",IF(I3736&lt;=300,"Intermedio (70-300 km)","Profundo (&gt;300 km)"))</x:f>
        <x:v>Intermedio (70-300 km)</x:v>
      </x:c>
      <x:c r="M3736" s="25" t="str">
        <x:f>IF(J3736&gt;=5,"Sí","No")</x:f>
        <x:v>No</x:v>
      </x:c>
      <x:c r="N3736" s="25" t="str">
        <x:f>IF(J3736&gt;=6,"Sí","No")</x:f>
        <x:v>No</x:v>
      </x:c>
      <x:c r="O3736" s="25" t="str">
        <x:v>Pendiente: asignar con R/sf</x:v>
      </x:c>
    </x:row>
    <x:row r="3737">
      <x:c r="A3737" s="25" t="n">
        <x:v>3736</x:v>
      </x:c>
      <x:c r="B3737" s="26" t="n">
        <x:v>43401.68237268519</x:v>
      </x:c>
      <x:c r="C3737" s="27" t="n">
        <x:f>INT(B3737)</x:f>
        <x:v>43401</x:v>
      </x:c>
      <x:c r="D3737" s="28" t="n">
        <x:f>MOD(B3737,1)</x:f>
        <x:v>0.682372685187147</x:v>
      </x:c>
      <x:c r="E3737" s="29" t="n">
        <x:f>YEAR(B3737)</x:f>
        <x:v>2018</x:v>
      </x:c>
      <x:c r="F3737" s="29" t="n">
        <x:f>MONTH(B3737)</x:f>
        <x:v>10</x:v>
      </x:c>
      <x:c r="G3737" s="30" t="n">
        <x:v>-27.49</x:v>
      </x:c>
      <x:c r="H3737" s="30" t="n">
        <x:v>-71.1</x:v>
      </x:c>
      <x:c r="I3737" s="29" t="n">
        <x:v>45</x:v>
      </x:c>
      <x:c r="J3737" s="31" t="n">
        <x:v>3.8</x:v>
      </x:c>
      <x:c r="K3737" s="25" t="str">
        <x:f>IF(J3737&gt;=7,"Muy fuerte (&gt;=7)",IF(J3737&gt;=6,"Fuerte (6-6.9)",IF(J3737&gt;=5,"Moderado alto (5-5.9)",IF(J3737&gt;=4,"Moderado (4-4.9)","Menor a 4"))))</x:f>
        <x:v>Menor a 4</x:v>
      </x:c>
      <x:c r="L3737" s="25" t="str">
        <x:f>IF(I3737&lt;70,"Superficial (&lt;70 km)",IF(I3737&lt;=300,"Intermedio (70-300 km)","Profundo (&gt;300 km)"))</x:f>
        <x:v>Superficial (&lt;70 km)</x:v>
      </x:c>
      <x:c r="M3737" s="25" t="str">
        <x:f>IF(J3737&gt;=5,"Sí","No")</x:f>
        <x:v>No</x:v>
      </x:c>
      <x:c r="N3737" s="25" t="str">
        <x:f>IF(J3737&gt;=6,"Sí","No")</x:f>
        <x:v>No</x:v>
      </x:c>
      <x:c r="O3737" s="25" t="str">
        <x:v>Pendiente: asignar con R/sf</x:v>
      </x:c>
    </x:row>
    <x:row r="3738">
      <x:c r="A3738" s="25" t="n">
        <x:v>3737</x:v>
      </x:c>
      <x:c r="B3738" s="26" t="n">
        <x:v>43609.844456018516</x:v>
      </x:c>
      <x:c r="C3738" s="27" t="n">
        <x:f>INT(B3738)</x:f>
        <x:v>43609</x:v>
      </x:c>
      <x:c r="D3738" s="28" t="n">
        <x:f>MOD(B3738,1)</x:f>
        <x:v>0.8444560185162118</x:v>
      </x:c>
      <x:c r="E3738" s="29" t="n">
        <x:f>YEAR(B3738)</x:f>
        <x:v>2019</x:v>
      </x:c>
      <x:c r="F3738" s="29" t="n">
        <x:f>MONTH(B3738)</x:f>
        <x:v>5</x:v>
      </x:c>
      <x:c r="G3738" s="30" t="n">
        <x:v>-27.91</x:v>
      </x:c>
      <x:c r="H3738" s="30" t="n">
        <x:v>-66.95</x:v>
      </x:c>
      <x:c r="I3738" s="29" t="n">
        <x:v>176</x:v>
      </x:c>
      <x:c r="J3738" s="31" t="n">
        <x:v>5.8</x:v>
      </x:c>
      <x:c r="K3738" s="25" t="str">
        <x:f>IF(J3738&gt;=7,"Muy fuerte (&gt;=7)",IF(J3738&gt;=6,"Fuerte (6-6.9)",IF(J3738&gt;=5,"Moderado alto (5-5.9)",IF(J3738&gt;=4,"Moderado (4-4.9)","Menor a 4"))))</x:f>
        <x:v>Moderado alto (5-5.9)</x:v>
      </x:c>
      <x:c r="L3738" s="25" t="str">
        <x:f>IF(I3738&lt;70,"Superficial (&lt;70 km)",IF(I3738&lt;=300,"Intermedio (70-300 km)","Profundo (&gt;300 km)"))</x:f>
        <x:v>Intermedio (70-300 km)</x:v>
      </x:c>
      <x:c r="M3738" s="25" t="str">
        <x:f>IF(J3738&gt;=5,"Sí","No")</x:f>
        <x:v>Sí</x:v>
      </x:c>
      <x:c r="N3738" s="25" t="str">
        <x:f>IF(J3738&gt;=6,"Sí","No")</x:f>
        <x:v>No</x:v>
      </x:c>
      <x:c r="O3738" s="25" t="str">
        <x:v>Pendiente: asignar con R/sf</x:v>
      </x:c>
    </x:row>
    <x:row r="3739">
      <x:c r="A3739" s="25" t="n">
        <x:v>3738</x:v>
      </x:c>
      <x:c r="B3739" s="26" t="n">
        <x:v>43677.459710648145</x:v>
      </x:c>
      <x:c r="C3739" s="27" t="n">
        <x:f>INT(B3739)</x:f>
        <x:v>43677</x:v>
      </x:c>
      <x:c r="D3739" s="28" t="n">
        <x:f>MOD(B3739,1)</x:f>
        <x:v>0.4597106481451192</x:v>
      </x:c>
      <x:c r="E3739" s="29" t="n">
        <x:f>YEAR(B3739)</x:f>
        <x:v>2019</x:v>
      </x:c>
      <x:c r="F3739" s="29" t="n">
        <x:f>MONTH(B3739)</x:f>
        <x:v>7</x:v>
      </x:c>
      <x:c r="G3739" s="30" t="n">
        <x:v>-28.41</x:v>
      </x:c>
      <x:c r="H3739" s="30" t="n">
        <x:v>-70.94</x:v>
      </x:c>
      <x:c r="I3739" s="29" t="n">
        <x:v>72</x:v>
      </x:c>
      <x:c r="J3739" s="31" t="n">
        <x:v>3.8</x:v>
      </x:c>
      <x:c r="K3739" s="25" t="str">
        <x:f>IF(J3739&gt;=7,"Muy fuerte (&gt;=7)",IF(J3739&gt;=6,"Fuerte (6-6.9)",IF(J3739&gt;=5,"Moderado alto (5-5.9)",IF(J3739&gt;=4,"Moderado (4-4.9)","Menor a 4"))))</x:f>
        <x:v>Menor a 4</x:v>
      </x:c>
      <x:c r="L3739" s="25" t="str">
        <x:f>IF(I3739&lt;70,"Superficial (&lt;70 km)",IF(I3739&lt;=300,"Intermedio (70-300 km)","Profundo (&gt;300 km)"))</x:f>
        <x:v>Intermedio (70-300 km)</x:v>
      </x:c>
      <x:c r="M3739" s="25" t="str">
        <x:f>IF(J3739&gt;=5,"Sí","No")</x:f>
        <x:v>No</x:v>
      </x:c>
      <x:c r="N3739" s="25" t="str">
        <x:f>IF(J3739&gt;=6,"Sí","No")</x:f>
        <x:v>No</x:v>
      </x:c>
      <x:c r="O3739" s="25" t="str">
        <x:v>Pendiente: asignar con R/sf</x:v>
      </x:c>
    </x:row>
    <x:row r="3740">
      <x:c r="A3740" s="25" t="n">
        <x:v>3739</x:v>
      </x:c>
      <x:c r="B3740" s="26" t="n">
        <x:v>43867.28560185185</x:v>
      </x:c>
      <x:c r="C3740" s="27" t="n">
        <x:f>INT(B3740)</x:f>
        <x:v>43867</x:v>
      </x:c>
      <x:c r="D3740" s="28" t="n">
        <x:f>MOD(B3740,1)</x:f>
        <x:v>0.28560185185051523</x:v>
      </x:c>
      <x:c r="E3740" s="29" t="n">
        <x:f>YEAR(B3740)</x:f>
        <x:v>2020</x:v>
      </x:c>
      <x:c r="F3740" s="29" t="n">
        <x:f>MONTH(B3740)</x:f>
        <x:v>2</x:v>
      </x:c>
      <x:c r="G3740" s="30" t="n">
        <x:v>-29.34</x:v>
      </x:c>
      <x:c r="H3740" s="30" t="n">
        <x:v>-70.64</x:v>
      </x:c>
      <x:c r="I3740" s="29" t="n">
        <x:v>87</x:v>
      </x:c>
      <x:c r="J3740" s="31" t="n">
        <x:v>4.1</x:v>
      </x:c>
      <x:c r="K3740" s="25" t="str">
        <x:f>IF(J3740&gt;=7,"Muy fuerte (&gt;=7)",IF(J3740&gt;=6,"Fuerte (6-6.9)",IF(J3740&gt;=5,"Moderado alto (5-5.9)",IF(J3740&gt;=4,"Moderado (4-4.9)","Menor a 4"))))</x:f>
        <x:v>Moderado (4-4.9)</x:v>
      </x:c>
      <x:c r="L3740" s="25" t="str">
        <x:f>IF(I3740&lt;70,"Superficial (&lt;70 km)",IF(I3740&lt;=300,"Intermedio (70-300 km)","Profundo (&gt;300 km)"))</x:f>
        <x:v>Intermedio (70-300 km)</x:v>
      </x:c>
      <x:c r="M3740" s="25" t="str">
        <x:f>IF(J3740&gt;=5,"Sí","No")</x:f>
        <x:v>No</x:v>
      </x:c>
      <x:c r="N3740" s="25" t="str">
        <x:f>IF(J3740&gt;=6,"Sí","No")</x:f>
        <x:v>No</x:v>
      </x:c>
      <x:c r="O3740" s="25" t="str">
        <x:v>Pendiente: asignar con R/sf</x:v>
      </x:c>
    </x:row>
    <x:row r="3741">
      <x:c r="A3741" s="25" t="n">
        <x:v>3740</x:v>
      </x:c>
      <x:c r="B3741" s="26" t="n">
        <x:v>43709.61814814815</x:v>
      </x:c>
      <x:c r="C3741" s="27" t="n">
        <x:f>INT(B3741)</x:f>
        <x:v>43709</x:v>
      </x:c>
      <x:c r="D3741" s="28" t="n">
        <x:f>MOD(B3741,1)</x:f>
        <x:v>0.6181481481471565</x:v>
      </x:c>
      <x:c r="E3741" s="29" t="n">
        <x:f>YEAR(B3741)</x:f>
        <x:v>2019</x:v>
      </x:c>
      <x:c r="F3741" s="29" t="n">
        <x:f>MONTH(B3741)</x:f>
        <x:v>9</x:v>
      </x:c>
      <x:c r="G3741" s="30" t="n">
        <x:v>-27.48</x:v>
      </x:c>
      <x:c r="H3741" s="30" t="n">
        <x:v>-70.26</x:v>
      </x:c>
      <x:c r="I3741" s="29" t="n">
        <x:v>101</x:v>
      </x:c>
      <x:c r="J3741" s="31" t="n">
        <x:v>4.3</x:v>
      </x:c>
      <x:c r="K3741" s="25" t="str">
        <x:f>IF(J3741&gt;=7,"Muy fuerte (&gt;=7)",IF(J3741&gt;=6,"Fuerte (6-6.9)",IF(J3741&gt;=5,"Moderado alto (5-5.9)",IF(J3741&gt;=4,"Moderado (4-4.9)","Menor a 4"))))</x:f>
        <x:v>Moderado (4-4.9)</x:v>
      </x:c>
      <x:c r="L3741" s="25" t="str">
        <x:f>IF(I3741&lt;70,"Superficial (&lt;70 km)",IF(I3741&lt;=300,"Intermedio (70-300 km)","Profundo (&gt;300 km)"))</x:f>
        <x:v>Intermedio (70-300 km)</x:v>
      </x:c>
      <x:c r="M3741" s="25" t="str">
        <x:f>IF(J3741&gt;=5,"Sí","No")</x:f>
        <x:v>No</x:v>
      </x:c>
      <x:c r="N3741" s="25" t="str">
        <x:f>IF(J3741&gt;=6,"Sí","No")</x:f>
        <x:v>No</x:v>
      </x:c>
      <x:c r="O3741" s="25" t="str">
        <x:v>Pendiente: asignar con R/sf</x:v>
      </x:c>
    </x:row>
    <x:row r="3742">
      <x:c r="A3742" s="25" t="n">
        <x:v>3741</x:v>
      </x:c>
      <x:c r="B3742" s="26" t="n">
        <x:v>43868.22744212963</x:v>
      </x:c>
      <x:c r="C3742" s="27" t="n">
        <x:f>INT(B3742)</x:f>
        <x:v>43868</x:v>
      </x:c>
      <x:c r="D3742" s="28" t="n">
        <x:f>MOD(B3742,1)</x:f>
        <x:v>0.22744212963152677</x:v>
      </x:c>
      <x:c r="E3742" s="29" t="n">
        <x:f>YEAR(B3742)</x:f>
        <x:v>2020</x:v>
      </x:c>
      <x:c r="F3742" s="29" t="n">
        <x:f>MONTH(B3742)</x:f>
        <x:v>2</x:v>
      </x:c>
      <x:c r="G3742" s="30" t="n">
        <x:v>-26.46</x:v>
      </x:c>
      <x:c r="H3742" s="30" t="n">
        <x:v>-70.69</x:v>
      </x:c>
      <x:c r="I3742" s="29" t="n">
        <x:v>50</x:v>
      </x:c>
      <x:c r="J3742" s="31" t="n">
        <x:v>3.6</x:v>
      </x:c>
      <x:c r="K3742" s="25" t="str">
        <x:f>IF(J3742&gt;=7,"Muy fuerte (&gt;=7)",IF(J3742&gt;=6,"Fuerte (6-6.9)",IF(J3742&gt;=5,"Moderado alto (5-5.9)",IF(J3742&gt;=4,"Moderado (4-4.9)","Menor a 4"))))</x:f>
        <x:v>Menor a 4</x:v>
      </x:c>
      <x:c r="L3742" s="25" t="str">
        <x:f>IF(I3742&lt;70,"Superficial (&lt;70 km)",IF(I3742&lt;=300,"Intermedio (70-300 km)","Profundo (&gt;300 km)"))</x:f>
        <x:v>Superficial (&lt;70 km)</x:v>
      </x:c>
      <x:c r="M3742" s="25" t="str">
        <x:f>IF(J3742&gt;=5,"Sí","No")</x:f>
        <x:v>No</x:v>
      </x:c>
      <x:c r="N3742" s="25" t="str">
        <x:f>IF(J3742&gt;=6,"Sí","No")</x:f>
        <x:v>No</x:v>
      </x:c>
      <x:c r="O3742" s="25" t="str">
        <x:v>Pendiente: asignar con R/sf</x:v>
      </x:c>
    </x:row>
    <x:row r="3743">
      <x:c r="A3743" s="25" t="n">
        <x:v>3742</x:v>
      </x:c>
      <x:c r="B3743" s="26" t="n">
        <x:v>43871.08400462963</x:v>
      </x:c>
      <x:c r="C3743" s="27" t="n">
        <x:f>INT(B3743)</x:f>
        <x:v>43871</x:v>
      </x:c>
      <x:c r="D3743" s="28" t="n">
        <x:f>MOD(B3743,1)</x:f>
        <x:v>0.08400462962890742</x:v>
      </x:c>
      <x:c r="E3743" s="29" t="n">
        <x:f>YEAR(B3743)</x:f>
        <x:v>2020</x:v>
      </x:c>
      <x:c r="F3743" s="29" t="n">
        <x:f>MONTH(B3743)</x:f>
        <x:v>2</x:v>
      </x:c>
      <x:c r="G3743" s="30" t="n">
        <x:v>-29.32</x:v>
      </x:c>
      <x:c r="H3743" s="30" t="n">
        <x:v>-70.67</x:v>
      </x:c>
      <x:c r="I3743" s="29" t="n">
        <x:v>78</x:v>
      </x:c>
      <x:c r="J3743" s="31" t="n">
        <x:v>3.3</x:v>
      </x:c>
      <x:c r="K3743" s="25" t="str">
        <x:f>IF(J3743&gt;=7,"Muy fuerte (&gt;=7)",IF(J3743&gt;=6,"Fuerte (6-6.9)",IF(J3743&gt;=5,"Moderado alto (5-5.9)",IF(J3743&gt;=4,"Moderado (4-4.9)","Menor a 4"))))</x:f>
        <x:v>Menor a 4</x:v>
      </x:c>
      <x:c r="L3743" s="25" t="str">
        <x:f>IF(I3743&lt;70,"Superficial (&lt;70 km)",IF(I3743&lt;=300,"Intermedio (70-300 km)","Profundo (&gt;300 km)"))</x:f>
        <x:v>Intermedio (70-300 km)</x:v>
      </x:c>
      <x:c r="M3743" s="25" t="str">
        <x:f>IF(J3743&gt;=5,"Sí","No")</x:f>
        <x:v>No</x:v>
      </x:c>
      <x:c r="N3743" s="25" t="str">
        <x:f>IF(J3743&gt;=6,"Sí","No")</x:f>
        <x:v>No</x:v>
      </x:c>
      <x:c r="O3743" s="25" t="str">
        <x:v>Pendiente: asignar con R/sf</x:v>
      </x:c>
    </x:row>
    <x:row r="3744">
      <x:c r="A3744" s="25" t="n">
        <x:v>3743</x:v>
      </x:c>
      <x:c r="B3744" s="26" t="n">
        <x:v>43918.80803240741</x:v>
      </x:c>
      <x:c r="C3744" s="27" t="n">
        <x:f>INT(B3744)</x:f>
        <x:v>43918</x:v>
      </x:c>
      <x:c r="D3744" s="28" t="n">
        <x:f>MOD(B3744,1)</x:f>
        <x:v>0.8080324074107921</x:v>
      </x:c>
      <x:c r="E3744" s="29" t="n">
        <x:f>YEAR(B3744)</x:f>
        <x:v>2020</x:v>
      </x:c>
      <x:c r="F3744" s="29" t="n">
        <x:f>MONTH(B3744)</x:f>
        <x:v>3</x:v>
      </x:c>
      <x:c r="G3744" s="30" t="n">
        <x:v>-26.26</x:v>
      </x:c>
      <x:c r="H3744" s="30" t="n">
        <x:v>-69.57</x:v>
      </x:c>
      <x:c r="I3744" s="29" t="n">
        <x:v>15</x:v>
      </x:c>
      <x:c r="J3744" s="31" t="n">
        <x:v>3.3</x:v>
      </x:c>
      <x:c r="K3744" s="25" t="str">
        <x:f>IF(J3744&gt;=7,"Muy fuerte (&gt;=7)",IF(J3744&gt;=6,"Fuerte (6-6.9)",IF(J3744&gt;=5,"Moderado alto (5-5.9)",IF(J3744&gt;=4,"Moderado (4-4.9)","Menor a 4"))))</x:f>
        <x:v>Menor a 4</x:v>
      </x:c>
      <x:c r="L3744" s="25" t="str">
        <x:f>IF(I3744&lt;70,"Superficial (&lt;70 km)",IF(I3744&lt;=300,"Intermedio (70-300 km)","Profundo (&gt;300 km)"))</x:f>
        <x:v>Superficial (&lt;70 km)</x:v>
      </x:c>
      <x:c r="M3744" s="25" t="str">
        <x:f>IF(J3744&gt;=5,"Sí","No")</x:f>
        <x:v>No</x:v>
      </x:c>
      <x:c r="N3744" s="25" t="str">
        <x:f>IF(J3744&gt;=6,"Sí","No")</x:f>
        <x:v>No</x:v>
      </x:c>
      <x:c r="O3744" s="25" t="str">
        <x:v>Pendiente: asignar con R/sf</x:v>
      </x:c>
    </x:row>
    <x:row r="3745">
      <x:c r="A3745" s="25" t="n">
        <x:v>3744</x:v>
      </x:c>
      <x:c r="B3745" s="26" t="n">
        <x:v>43721.040868055556</x:v>
      </x:c>
      <x:c r="C3745" s="27" t="n">
        <x:f>INT(B3745)</x:f>
        <x:v>43721</x:v>
      </x:c>
      <x:c r="D3745" s="28" t="n">
        <x:f>MOD(B3745,1)</x:f>
        <x:v>0.04086805555562023</x:v>
      </x:c>
      <x:c r="E3745" s="29" t="n">
        <x:f>YEAR(B3745)</x:f>
        <x:v>2019</x:v>
      </x:c>
      <x:c r="F3745" s="29" t="n">
        <x:f>MONTH(B3745)</x:f>
        <x:v>9</x:v>
      </x:c>
      <x:c r="G3745" s="30" t="n">
        <x:v>-27.35</x:v>
      </x:c>
      <x:c r="H3745" s="30" t="n">
        <x:v>-70.87</x:v>
      </x:c>
      <x:c r="I3745" s="29" t="n">
        <x:v>37</x:v>
      </x:c>
      <x:c r="J3745" s="31" t="n">
        <x:v>3.2</x:v>
      </x:c>
      <x:c r="K3745" s="25" t="str">
        <x:f>IF(J3745&gt;=7,"Muy fuerte (&gt;=7)",IF(J3745&gt;=6,"Fuerte (6-6.9)",IF(J3745&gt;=5,"Moderado alto (5-5.9)",IF(J3745&gt;=4,"Moderado (4-4.9)","Menor a 4"))))</x:f>
        <x:v>Menor a 4</x:v>
      </x:c>
      <x:c r="L3745" s="25" t="str">
        <x:f>IF(I3745&lt;70,"Superficial (&lt;70 km)",IF(I3745&lt;=300,"Intermedio (70-300 km)","Profundo (&gt;300 km)"))</x:f>
        <x:v>Superficial (&lt;70 km)</x:v>
      </x:c>
      <x:c r="M3745" s="25" t="str">
        <x:f>IF(J3745&gt;=5,"Sí","No")</x:f>
        <x:v>No</x:v>
      </x:c>
      <x:c r="N3745" s="25" t="str">
        <x:f>IF(J3745&gt;=6,"Sí","No")</x:f>
        <x:v>No</x:v>
      </x:c>
      <x:c r="O3745" s="25" t="str">
        <x:v>Pendiente: asignar con R/sf</x:v>
      </x:c>
    </x:row>
    <x:row r="3746">
      <x:c r="A3746" s="25" t="n">
        <x:v>3745</x:v>
      </x:c>
      <x:c r="B3746" s="26" t="n">
        <x:v>43617.6409375</x:v>
      </x:c>
      <x:c r="C3746" s="27" t="n">
        <x:f>INT(B3746)</x:f>
        <x:v>43617</x:v>
      </x:c>
      <x:c r="D3746" s="28" t="n">
        <x:f>MOD(B3746,1)</x:f>
        <x:v>0.640937500000291</x:v>
      </x:c>
      <x:c r="E3746" s="29" t="n">
        <x:f>YEAR(B3746)</x:f>
        <x:v>2019</x:v>
      </x:c>
      <x:c r="F3746" s="29" t="n">
        <x:f>MONTH(B3746)</x:f>
        <x:v>6</x:v>
      </x:c>
      <x:c r="G3746" s="30" t="n">
        <x:v>-27.12</x:v>
      </x:c>
      <x:c r="H3746" s="30" t="n">
        <x:v>-70.91</x:v>
      </x:c>
      <x:c r="I3746" s="29" t="n">
        <x:v>35</x:v>
      </x:c>
      <x:c r="J3746" s="31" t="n">
        <x:v>3.9</x:v>
      </x:c>
      <x:c r="K3746" s="25" t="str">
        <x:f>IF(J3746&gt;=7,"Muy fuerte (&gt;=7)",IF(J3746&gt;=6,"Fuerte (6-6.9)",IF(J3746&gt;=5,"Moderado alto (5-5.9)",IF(J3746&gt;=4,"Moderado (4-4.9)","Menor a 4"))))</x:f>
        <x:v>Menor a 4</x:v>
      </x:c>
      <x:c r="L3746" s="25" t="str">
        <x:f>IF(I3746&lt;70,"Superficial (&lt;70 km)",IF(I3746&lt;=300,"Intermedio (70-300 km)","Profundo (&gt;300 km)"))</x:f>
        <x:v>Superficial (&lt;70 km)</x:v>
      </x:c>
      <x:c r="M3746" s="25" t="str">
        <x:f>IF(J3746&gt;=5,"Sí","No")</x:f>
        <x:v>No</x:v>
      </x:c>
      <x:c r="N3746" s="25" t="str">
        <x:f>IF(J3746&gt;=6,"Sí","No")</x:f>
        <x:v>No</x:v>
      </x:c>
      <x:c r="O3746" s="25" t="str">
        <x:v>Pendiente: asignar con R/sf</x:v>
      </x:c>
    </x:row>
    <x:row r="3747">
      <x:c r="A3747" s="25" t="n">
        <x:v>3746</x:v>
      </x:c>
      <x:c r="B3747" s="26" t="n">
        <x:v>43816.94325231481</x:v>
      </x:c>
      <x:c r="C3747" s="27" t="n">
        <x:f>INT(B3747)</x:f>
        <x:v>43816</x:v>
      </x:c>
      <x:c r="D3747" s="28" t="n">
        <x:f>MOD(B3747,1)</x:f>
        <x:v>0.9432523148134351</x:v>
      </x:c>
      <x:c r="E3747" s="29" t="n">
        <x:f>YEAR(B3747)</x:f>
        <x:v>2019</x:v>
      </x:c>
      <x:c r="F3747" s="29" t="n">
        <x:f>MONTH(B3747)</x:f>
        <x:v>12</x:v>
      </x:c>
      <x:c r="G3747" s="30" t="n">
        <x:v>-27.04</x:v>
      </x:c>
      <x:c r="H3747" s="30" t="n">
        <x:v>-69.33</x:v>
      </x:c>
      <x:c r="I3747" s="29" t="n">
        <x:v>122</x:v>
      </x:c>
      <x:c r="J3747" s="31" t="n">
        <x:v>4.1</x:v>
      </x:c>
      <x:c r="K3747" s="25" t="str">
        <x:f>IF(J3747&gt;=7,"Muy fuerte (&gt;=7)",IF(J3747&gt;=6,"Fuerte (6-6.9)",IF(J3747&gt;=5,"Moderado alto (5-5.9)",IF(J3747&gt;=4,"Moderado (4-4.9)","Menor a 4"))))</x:f>
        <x:v>Moderado (4-4.9)</x:v>
      </x:c>
      <x:c r="L3747" s="25" t="str">
        <x:f>IF(I3747&lt;70,"Superficial (&lt;70 km)",IF(I3747&lt;=300,"Intermedio (70-300 km)","Profundo (&gt;300 km)"))</x:f>
        <x:v>Intermedio (70-300 km)</x:v>
      </x:c>
      <x:c r="M3747" s="25" t="str">
        <x:f>IF(J3747&gt;=5,"Sí","No")</x:f>
        <x:v>No</x:v>
      </x:c>
      <x:c r="N3747" s="25" t="str">
        <x:f>IF(J3747&gt;=6,"Sí","No")</x:f>
        <x:v>No</x:v>
      </x:c>
      <x:c r="O3747" s="25" t="str">
        <x:v>Pendiente: asignar con R/sf</x:v>
      </x:c>
    </x:row>
    <x:row r="3748">
      <x:c r="A3748" s="25" t="n">
        <x:v>3747</x:v>
      </x:c>
      <x:c r="B3748" s="26" t="n">
        <x:v>43821.47994212963</x:v>
      </x:c>
      <x:c r="C3748" s="27" t="n">
        <x:f>INT(B3748)</x:f>
        <x:v>43821</x:v>
      </x:c>
      <x:c r="D3748" s="28" t="n">
        <x:f>MOD(B3748,1)</x:f>
        <x:v>0.4799421296265791</x:v>
      </x:c>
      <x:c r="E3748" s="29" t="n">
        <x:f>YEAR(B3748)</x:f>
        <x:v>2019</x:v>
      </x:c>
      <x:c r="F3748" s="29" t="n">
        <x:f>MONTH(B3748)</x:f>
        <x:v>12</x:v>
      </x:c>
      <x:c r="G3748" s="30" t="n">
        <x:v>-27.91</x:v>
      </x:c>
      <x:c r="H3748" s="30" t="n">
        <x:v>-71.29</x:v>
      </x:c>
      <x:c r="I3748" s="29" t="n">
        <x:v>26</x:v>
      </x:c>
      <x:c r="J3748" s="31" t="n">
        <x:v>3.9</x:v>
      </x:c>
      <x:c r="K3748" s="25" t="str">
        <x:f>IF(J3748&gt;=7,"Muy fuerte (&gt;=7)",IF(J3748&gt;=6,"Fuerte (6-6.9)",IF(J3748&gt;=5,"Moderado alto (5-5.9)",IF(J3748&gt;=4,"Moderado (4-4.9)","Menor a 4"))))</x:f>
        <x:v>Menor a 4</x:v>
      </x:c>
      <x:c r="L3748" s="25" t="str">
        <x:f>IF(I3748&lt;70,"Superficial (&lt;70 km)",IF(I3748&lt;=300,"Intermedio (70-300 km)","Profundo (&gt;300 km)"))</x:f>
        <x:v>Superficial (&lt;70 km)</x:v>
      </x:c>
      <x:c r="M3748" s="25" t="str">
        <x:f>IF(J3748&gt;=5,"Sí","No")</x:f>
        <x:v>No</x:v>
      </x:c>
      <x:c r="N3748" s="25" t="str">
        <x:f>IF(J3748&gt;=6,"Sí","No")</x:f>
        <x:v>No</x:v>
      </x:c>
      <x:c r="O3748" s="25" t="str">
        <x:v>Pendiente: asignar con R/sf</x:v>
      </x:c>
    </x:row>
    <x:row r="3749">
      <x:c r="A3749" s="25" t="n">
        <x:v>3748</x:v>
      </x:c>
      <x:c r="B3749" s="26" t="n">
        <x:v>43746.58623842592</x:v>
      </x:c>
      <x:c r="C3749" s="27" t="n">
        <x:f>INT(B3749)</x:f>
        <x:v>43746</x:v>
      </x:c>
      <x:c r="D3749" s="28" t="n">
        <x:f>MOD(B3749,1)</x:f>
        <x:v>0.5862384259235114</x:v>
      </x:c>
      <x:c r="E3749" s="29" t="n">
        <x:f>YEAR(B3749)</x:f>
        <x:v>2019</x:v>
      </x:c>
      <x:c r="F3749" s="29" t="n">
        <x:f>MONTH(B3749)</x:f>
        <x:v>10</x:v>
      </x:c>
      <x:c r="G3749" s="30" t="n">
        <x:v>-27.35</x:v>
      </x:c>
      <x:c r="H3749" s="30" t="n">
        <x:v>-70.97</x:v>
      </x:c>
      <x:c r="I3749" s="29" t="n">
        <x:v>33</x:v>
      </x:c>
      <x:c r="J3749" s="31" t="n">
        <x:v>3.7</x:v>
      </x:c>
      <x:c r="K3749" s="25" t="str">
        <x:f>IF(J3749&gt;=7,"Muy fuerte (&gt;=7)",IF(J3749&gt;=6,"Fuerte (6-6.9)",IF(J3749&gt;=5,"Moderado alto (5-5.9)",IF(J3749&gt;=4,"Moderado (4-4.9)","Menor a 4"))))</x:f>
        <x:v>Menor a 4</x:v>
      </x:c>
      <x:c r="L3749" s="25" t="str">
        <x:f>IF(I3749&lt;70,"Superficial (&lt;70 km)",IF(I3749&lt;=300,"Intermedio (70-300 km)","Profundo (&gt;300 km)"))</x:f>
        <x:v>Superficial (&lt;70 km)</x:v>
      </x:c>
      <x:c r="M3749" s="25" t="str">
        <x:f>IF(J3749&gt;=5,"Sí","No")</x:f>
        <x:v>No</x:v>
      </x:c>
      <x:c r="N3749" s="25" t="str">
        <x:f>IF(J3749&gt;=6,"Sí","No")</x:f>
        <x:v>No</x:v>
      </x:c>
      <x:c r="O3749" s="25" t="str">
        <x:v>Pendiente: asignar con R/sf</x:v>
      </x:c>
    </x:row>
    <x:row r="3750">
      <x:c r="A3750" s="25" t="n">
        <x:v>3749</x:v>
      </x:c>
      <x:c r="B3750" s="26" t="n">
        <x:v>43790.634675925925</x:v>
      </x:c>
      <x:c r="C3750" s="27" t="n">
        <x:f>INT(B3750)</x:f>
        <x:v>43790</x:v>
      </x:c>
      <x:c r="D3750" s="28" t="n">
        <x:f>MOD(B3750,1)</x:f>
        <x:v>0.6346759259249666</x:v>
      </x:c>
      <x:c r="E3750" s="29" t="n">
        <x:f>YEAR(B3750)</x:f>
        <x:v>2019</x:v>
      </x:c>
      <x:c r="F3750" s="29" t="n">
        <x:f>MONTH(B3750)</x:f>
        <x:v>11</x:v>
      </x:c>
      <x:c r="G3750" s="30" t="n">
        <x:v>-27.76</x:v>
      </x:c>
      <x:c r="H3750" s="30" t="n">
        <x:v>-70.56</x:v>
      </x:c>
      <x:c r="I3750" s="29" t="n">
        <x:v>65</x:v>
      </x:c>
      <x:c r="J3750" s="31" t="n">
        <x:v>4.4</x:v>
      </x:c>
      <x:c r="K3750" s="25" t="str">
        <x:f>IF(J3750&gt;=7,"Muy fuerte (&gt;=7)",IF(J3750&gt;=6,"Fuerte (6-6.9)",IF(J3750&gt;=5,"Moderado alto (5-5.9)",IF(J3750&gt;=4,"Moderado (4-4.9)","Menor a 4"))))</x:f>
        <x:v>Moderado (4-4.9)</x:v>
      </x:c>
      <x:c r="L3750" s="25" t="str">
        <x:f>IF(I3750&lt;70,"Superficial (&lt;70 km)",IF(I3750&lt;=300,"Intermedio (70-300 km)","Profundo (&gt;300 km)"))</x:f>
        <x:v>Superficial (&lt;70 km)</x:v>
      </x:c>
      <x:c r="M3750" s="25" t="str">
        <x:f>IF(J3750&gt;=5,"Sí","No")</x:f>
        <x:v>No</x:v>
      </x:c>
      <x:c r="N3750" s="25" t="str">
        <x:f>IF(J3750&gt;=6,"Sí","No")</x:f>
        <x:v>No</x:v>
      </x:c>
      <x:c r="O3750" s="25" t="str">
        <x:v>Pendiente: asignar con R/sf</x:v>
      </x:c>
    </x:row>
    <x:row r="3751">
      <x:c r="A3751" s="25" t="n">
        <x:v>3750</x:v>
      </x:c>
      <x:c r="B3751" s="26" t="n">
        <x:v>43892.715949074074</x:v>
      </x:c>
      <x:c r="C3751" s="27" t="n">
        <x:f>INT(B3751)</x:f>
        <x:v>43892</x:v>
      </x:c>
      <x:c r="D3751" s="28" t="n">
        <x:f>MOD(B3751,1)</x:f>
        <x:v>0.7159490740741603</x:v>
      </x:c>
      <x:c r="E3751" s="29" t="n">
        <x:f>YEAR(B3751)</x:f>
        <x:v>2020</x:v>
      </x:c>
      <x:c r="F3751" s="29" t="n">
        <x:f>MONTH(B3751)</x:f>
        <x:v>3</x:v>
      </x:c>
      <x:c r="G3751" s="30" t="n">
        <x:v>-27.67</x:v>
      </x:c>
      <x:c r="H3751" s="30" t="n">
        <x:v>-70.34</x:v>
      </x:c>
      <x:c r="I3751" s="29" t="n">
        <x:v>88</x:v>
      </x:c>
      <x:c r="J3751" s="31" t="n">
        <x:v>3.8</x:v>
      </x:c>
      <x:c r="K3751" s="25" t="str">
        <x:f>IF(J3751&gt;=7,"Muy fuerte (&gt;=7)",IF(J3751&gt;=6,"Fuerte (6-6.9)",IF(J3751&gt;=5,"Moderado alto (5-5.9)",IF(J3751&gt;=4,"Moderado (4-4.9)","Menor a 4"))))</x:f>
        <x:v>Menor a 4</x:v>
      </x:c>
      <x:c r="L3751" s="25" t="str">
        <x:f>IF(I3751&lt;70,"Superficial (&lt;70 km)",IF(I3751&lt;=300,"Intermedio (70-300 km)","Profundo (&gt;300 km)"))</x:f>
        <x:v>Intermedio (70-300 km)</x:v>
      </x:c>
      <x:c r="M3751" s="25" t="str">
        <x:f>IF(J3751&gt;=5,"Sí","No")</x:f>
        <x:v>No</x:v>
      </x:c>
      <x:c r="N3751" s="25" t="str">
        <x:f>IF(J3751&gt;=6,"Sí","No")</x:f>
        <x:v>No</x:v>
      </x:c>
      <x:c r="O3751" s="25" t="str">
        <x:v>Pendiente: asignar con R/sf</x:v>
      </x:c>
    </x:row>
    <x:row r="3752">
      <x:c r="A3752" s="25" t="n">
        <x:v>3751</x:v>
      </x:c>
      <x:c r="B3752" s="26" t="n">
        <x:v>43836.3409375</x:v>
      </x:c>
      <x:c r="C3752" s="27" t="n">
        <x:f>INT(B3752)</x:f>
        <x:v>43836</x:v>
      </x:c>
      <x:c r="D3752" s="28" t="n">
        <x:f>MOD(B3752,1)</x:f>
        <x:v>0.34093749999738066</x:v>
      </x:c>
      <x:c r="E3752" s="29" t="n">
        <x:f>YEAR(B3752)</x:f>
        <x:v>2020</x:v>
      </x:c>
      <x:c r="F3752" s="29" t="n">
        <x:f>MONTH(B3752)</x:f>
        <x:v>1</x:v>
      </x:c>
      <x:c r="G3752" s="30" t="n">
        <x:v>-27.21</x:v>
      </x:c>
      <x:c r="H3752" s="30" t="n">
        <x:v>-71.11</x:v>
      </x:c>
      <x:c r="I3752" s="29" t="n">
        <x:v>25</x:v>
      </x:c>
      <x:c r="J3752" s="31" t="n">
        <x:v>3.8</x:v>
      </x:c>
      <x:c r="K3752" s="25" t="str">
        <x:f>IF(J3752&gt;=7,"Muy fuerte (&gt;=7)",IF(J3752&gt;=6,"Fuerte (6-6.9)",IF(J3752&gt;=5,"Moderado alto (5-5.9)",IF(J3752&gt;=4,"Moderado (4-4.9)","Menor a 4"))))</x:f>
        <x:v>Menor a 4</x:v>
      </x:c>
      <x:c r="L3752" s="25" t="str">
        <x:f>IF(I3752&lt;70,"Superficial (&lt;70 km)",IF(I3752&lt;=300,"Intermedio (70-300 km)","Profundo (&gt;300 km)"))</x:f>
        <x:v>Superficial (&lt;70 km)</x:v>
      </x:c>
      <x:c r="M3752" s="25" t="str">
        <x:f>IF(J3752&gt;=5,"Sí","No")</x:f>
        <x:v>No</x:v>
      </x:c>
      <x:c r="N3752" s="25" t="str">
        <x:f>IF(J3752&gt;=6,"Sí","No")</x:f>
        <x:v>No</x:v>
      </x:c>
      <x:c r="O3752" s="25" t="str">
        <x:v>Pendiente: asignar con R/sf</x:v>
      </x:c>
    </x:row>
    <x:row r="3753">
      <x:c r="A3753" s="25" t="n">
        <x:v>3752</x:v>
      </x:c>
      <x:c r="B3753" s="26" t="n">
        <x:v>43935.503125</x:v>
      </x:c>
      <x:c r="C3753" s="27" t="n">
        <x:f>INT(B3753)</x:f>
        <x:v>43935</x:v>
      </x:c>
      <x:c r="D3753" s="28" t="n">
        <x:f>MOD(B3753,1)</x:f>
        <x:v>0.5031250000029104</x:v>
      </x:c>
      <x:c r="E3753" s="29" t="n">
        <x:f>YEAR(B3753)</x:f>
        <x:v>2020</x:v>
      </x:c>
      <x:c r="F3753" s="29" t="n">
        <x:f>MONTH(B3753)</x:f>
        <x:v>4</x:v>
      </x:c>
      <x:c r="G3753" s="30" t="n">
        <x:v>-25.81</x:v>
      </x:c>
      <x:c r="H3753" s="30" t="n">
        <x:v>-69.35</x:v>
      </x:c>
      <x:c r="I3753" s="29" t="n">
        <x:v>25</x:v>
      </x:c>
      <x:c r="J3753" s="31" t="n">
        <x:v>5.2</x:v>
      </x:c>
      <x:c r="K3753" s="25" t="str">
        <x:f>IF(J3753&gt;=7,"Muy fuerte (&gt;=7)",IF(J3753&gt;=6,"Fuerte (6-6.9)",IF(J3753&gt;=5,"Moderado alto (5-5.9)",IF(J3753&gt;=4,"Moderado (4-4.9)","Menor a 4"))))</x:f>
        <x:v>Moderado alto (5-5.9)</x:v>
      </x:c>
      <x:c r="L3753" s="25" t="str">
        <x:f>IF(I3753&lt;70,"Superficial (&lt;70 km)",IF(I3753&lt;=300,"Intermedio (70-300 km)","Profundo (&gt;300 km)"))</x:f>
        <x:v>Superficial (&lt;70 km)</x:v>
      </x:c>
      <x:c r="M3753" s="25" t="str">
        <x:f>IF(J3753&gt;=5,"Sí","No")</x:f>
        <x:v>Sí</x:v>
      </x:c>
      <x:c r="N3753" s="25" t="str">
        <x:f>IF(J3753&gt;=6,"Sí","No")</x:f>
        <x:v>No</x:v>
      </x:c>
      <x:c r="O3753" s="25" t="str">
        <x:v>Pendiente: asignar con R/sf</x:v>
      </x:c>
    </x:row>
    <x:row r="3754">
      <x:c r="A3754" s="25" t="n">
        <x:v>3753</x:v>
      </x:c>
      <x:c r="B3754" s="26" t="n">
        <x:v>44132.67634259259</x:v>
      </x:c>
      <x:c r="C3754" s="27" t="n">
        <x:f>INT(B3754)</x:f>
        <x:v>44132</x:v>
      </x:c>
      <x:c r="D3754" s="28" t="n">
        <x:f>MOD(B3754,1)</x:f>
        <x:v>0.6763425925892079</x:v>
      </x:c>
      <x:c r="E3754" s="29" t="n">
        <x:f>YEAR(B3754)</x:f>
        <x:v>2020</x:v>
      </x:c>
      <x:c r="F3754" s="29" t="n">
        <x:f>MONTH(B3754)</x:f>
        <x:v>10</x:v>
      </x:c>
      <x:c r="G3754" s="30" t="n">
        <x:v>-21.36</x:v>
      </x:c>
      <x:c r="H3754" s="30" t="n">
        <x:v>-69.85</x:v>
      </x:c>
      <x:c r="I3754" s="29" t="n">
        <x:v>53</x:v>
      </x:c>
      <x:c r="J3754" s="31" t="n">
        <x:v>4</x:v>
      </x:c>
      <x:c r="K3754" s="25" t="str">
        <x:f>IF(J3754&gt;=7,"Muy fuerte (&gt;=7)",IF(J3754&gt;=6,"Fuerte (6-6.9)",IF(J3754&gt;=5,"Moderado alto (5-5.9)",IF(J3754&gt;=4,"Moderado (4-4.9)","Menor a 4"))))</x:f>
        <x:v>Moderado (4-4.9)</x:v>
      </x:c>
      <x:c r="L3754" s="25" t="str">
        <x:f>IF(I3754&lt;70,"Superficial (&lt;70 km)",IF(I3754&lt;=300,"Intermedio (70-300 km)","Profundo (&gt;300 km)"))</x:f>
        <x:v>Superficial (&lt;70 km)</x:v>
      </x:c>
      <x:c r="M3754" s="25" t="str">
        <x:f>IF(J3754&gt;=5,"Sí","No")</x:f>
        <x:v>No</x:v>
      </x:c>
      <x:c r="N3754" s="25" t="str">
        <x:f>IF(J3754&gt;=6,"Sí","No")</x:f>
        <x:v>No</x:v>
      </x:c>
      <x:c r="O3754" s="25" t="str">
        <x:v>Pendiente: asignar con R/sf</x:v>
      </x:c>
    </x:row>
    <x:row r="3755">
      <x:c r="A3755" s="25" t="n">
        <x:v>3754</x:v>
      </x:c>
      <x:c r="B3755" s="26" t="n">
        <x:v>44066.59457175926</x:v>
      </x:c>
      <x:c r="C3755" s="27" t="n">
        <x:f>INT(B3755)</x:f>
        <x:v>44066</x:v>
      </x:c>
      <x:c r="D3755" s="28" t="n">
        <x:f>MOD(B3755,1)</x:f>
        <x:v>0.5945717592621804</x:v>
      </x:c>
      <x:c r="E3755" s="29" t="n">
        <x:f>YEAR(B3755)</x:f>
        <x:v>2020</x:v>
      </x:c>
      <x:c r="F3755" s="29" t="n">
        <x:f>MONTH(B3755)</x:f>
        <x:v>8</x:v>
      </x:c>
      <x:c r="G3755" s="30" t="n">
        <x:v>-27.89</x:v>
      </x:c>
      <x:c r="H3755" s="30" t="n">
        <x:v>-71.2</x:v>
      </x:c>
      <x:c r="I3755" s="29" t="n">
        <x:v>28</x:v>
      </x:c>
      <x:c r="J3755" s="31" t="n">
        <x:v>4.5</x:v>
      </x:c>
      <x:c r="K3755" s="25" t="str">
        <x:f>IF(J3755&gt;=7,"Muy fuerte (&gt;=7)",IF(J3755&gt;=6,"Fuerte (6-6.9)",IF(J3755&gt;=5,"Moderado alto (5-5.9)",IF(J3755&gt;=4,"Moderado (4-4.9)","Menor a 4"))))</x:f>
        <x:v>Moderado (4-4.9)</x:v>
      </x:c>
      <x:c r="L3755" s="25" t="str">
        <x:f>IF(I3755&lt;70,"Superficial (&lt;70 km)",IF(I3755&lt;=300,"Intermedio (70-300 km)","Profundo (&gt;300 km)"))</x:f>
        <x:v>Superficial (&lt;70 km)</x:v>
      </x:c>
      <x:c r="M3755" s="25" t="str">
        <x:f>IF(J3755&gt;=5,"Sí","No")</x:f>
        <x:v>No</x:v>
      </x:c>
      <x:c r="N3755" s="25" t="str">
        <x:f>IF(J3755&gt;=6,"Sí","No")</x:f>
        <x:v>No</x:v>
      </x:c>
      <x:c r="O3755" s="25" t="str">
        <x:v>Pendiente: asignar con R/sf</x:v>
      </x:c>
    </x:row>
    <x:row r="3756">
      <x:c r="A3756" s="25" t="n">
        <x:v>3755</x:v>
      </x:c>
      <x:c r="B3756" s="26" t="n">
        <x:v>44034.414131944446</x:v>
      </x:c>
      <x:c r="C3756" s="27" t="n">
        <x:f>INT(B3756)</x:f>
        <x:v>44034</x:v>
      </x:c>
      <x:c r="D3756" s="28" t="n">
        <x:f>MOD(B3756,1)</x:f>
        <x:v>0.414131944446126</x:v>
      </x:c>
      <x:c r="E3756" s="29" t="n">
        <x:f>YEAR(B3756)</x:f>
        <x:v>2020</x:v>
      </x:c>
      <x:c r="F3756" s="29" t="n">
        <x:f>MONTH(B3756)</x:f>
        <x:v>7</x:v>
      </x:c>
      <x:c r="G3756" s="30" t="n">
        <x:v>-26.2</x:v>
      </x:c>
      <x:c r="H3756" s="30" t="n">
        <x:v>-70.68</x:v>
      </x:c>
      <x:c r="I3756" s="29" t="n">
        <x:v>48</x:v>
      </x:c>
      <x:c r="J3756" s="31" t="n">
        <x:v>4.1</x:v>
      </x:c>
      <x:c r="K3756" s="25" t="str">
        <x:f>IF(J3756&gt;=7,"Muy fuerte (&gt;=7)",IF(J3756&gt;=6,"Fuerte (6-6.9)",IF(J3756&gt;=5,"Moderado alto (5-5.9)",IF(J3756&gt;=4,"Moderado (4-4.9)","Menor a 4"))))</x:f>
        <x:v>Moderado (4-4.9)</x:v>
      </x:c>
      <x:c r="L3756" s="25" t="str">
        <x:f>IF(I3756&lt;70,"Superficial (&lt;70 km)",IF(I3756&lt;=300,"Intermedio (70-300 km)","Profundo (&gt;300 km)"))</x:f>
        <x:v>Superficial (&lt;70 km)</x:v>
      </x:c>
      <x:c r="M3756" s="25" t="str">
        <x:f>IF(J3756&gt;=5,"Sí","No")</x:f>
        <x:v>No</x:v>
      </x:c>
      <x:c r="N3756" s="25" t="str">
        <x:f>IF(J3756&gt;=6,"Sí","No")</x:f>
        <x:v>No</x:v>
      </x:c>
      <x:c r="O3756" s="25" t="str">
        <x:v>Pendiente: asignar con R/sf</x:v>
      </x:c>
    </x:row>
    <x:row r="3757">
      <x:c r="A3757" s="25" t="n">
        <x:v>3756</x:v>
      </x:c>
      <x:c r="B3757" s="26" t="n">
        <x:v>44016.139027777775</x:v>
      </x:c>
      <x:c r="C3757" s="27" t="n">
        <x:f>INT(B3757)</x:f>
        <x:v>44016</x:v>
      </x:c>
      <x:c r="D3757" s="28" t="n">
        <x:f>MOD(B3757,1)</x:f>
        <x:v>0.1390277777754818</x:v>
      </x:c>
      <x:c r="E3757" s="29" t="n">
        <x:f>YEAR(B3757)</x:f>
        <x:v>2020</x:v>
      </x:c>
      <x:c r="F3757" s="29" t="n">
        <x:f>MONTH(B3757)</x:f>
        <x:v>7</x:v>
      </x:c>
      <x:c r="G3757" s="30" t="n">
        <x:v>-28.43</x:v>
      </x:c>
      <x:c r="H3757" s="30" t="n">
        <x:v>-70.58</x:v>
      </x:c>
      <x:c r="I3757" s="29" t="n">
        <x:v>82</x:v>
      </x:c>
      <x:c r="J3757" s="31" t="n">
        <x:v>4.3</x:v>
      </x:c>
      <x:c r="K3757" s="25" t="str">
        <x:f>IF(J3757&gt;=7,"Muy fuerte (&gt;=7)",IF(J3757&gt;=6,"Fuerte (6-6.9)",IF(J3757&gt;=5,"Moderado alto (5-5.9)",IF(J3757&gt;=4,"Moderado (4-4.9)","Menor a 4"))))</x:f>
        <x:v>Moderado (4-4.9)</x:v>
      </x:c>
      <x:c r="L3757" s="25" t="str">
        <x:f>IF(I3757&lt;70,"Superficial (&lt;70 km)",IF(I3757&lt;=300,"Intermedio (70-300 km)","Profundo (&gt;300 km)"))</x:f>
        <x:v>Intermedio (70-300 km)</x:v>
      </x:c>
      <x:c r="M3757" s="25" t="str">
        <x:f>IF(J3757&gt;=5,"Sí","No")</x:f>
        <x:v>No</x:v>
      </x:c>
      <x:c r="N3757" s="25" t="str">
        <x:f>IF(J3757&gt;=6,"Sí","No")</x:f>
        <x:v>No</x:v>
      </x:c>
      <x:c r="O3757" s="25" t="str">
        <x:v>Pendiente: asignar con R/sf</x:v>
      </x:c>
    </x:row>
    <x:row r="3758">
      <x:c r="A3758" s="25" t="n">
        <x:v>3757</x:v>
      </x:c>
      <x:c r="B3758" s="26" t="n">
        <x:v>43404.29542824074</x:v>
      </x:c>
      <x:c r="C3758" s="27" t="n">
        <x:f>INT(B3758)</x:f>
        <x:v>43404</x:v>
      </x:c>
      <x:c r="D3758" s="28" t="n">
        <x:f>MOD(B3758,1)</x:f>
        <x:v>0.2954282407372375</x:v>
      </x:c>
      <x:c r="E3758" s="29" t="n">
        <x:f>YEAR(B3758)</x:f>
        <x:v>2018</x:v>
      </x:c>
      <x:c r="F3758" s="29" t="n">
        <x:f>MONTH(B3758)</x:f>
        <x:v>10</x:v>
      </x:c>
      <x:c r="G3758" s="30" t="n">
        <x:v>-27.65</x:v>
      </x:c>
      <x:c r="H3758" s="30" t="n">
        <x:v>-70.35</x:v>
      </x:c>
      <x:c r="I3758" s="29" t="n">
        <x:v>76</x:v>
      </x:c>
      <x:c r="J3758" s="31" t="n">
        <x:v>3.7</x:v>
      </x:c>
      <x:c r="K3758" s="25" t="str">
        <x:f>IF(J3758&gt;=7,"Muy fuerte (&gt;=7)",IF(J3758&gt;=6,"Fuerte (6-6.9)",IF(J3758&gt;=5,"Moderado alto (5-5.9)",IF(J3758&gt;=4,"Moderado (4-4.9)","Menor a 4"))))</x:f>
        <x:v>Menor a 4</x:v>
      </x:c>
      <x:c r="L3758" s="25" t="str">
        <x:f>IF(I3758&lt;70,"Superficial (&lt;70 km)",IF(I3758&lt;=300,"Intermedio (70-300 km)","Profundo (&gt;300 km)"))</x:f>
        <x:v>Intermedio (70-300 km)</x:v>
      </x:c>
      <x:c r="M3758" s="25" t="str">
        <x:f>IF(J3758&gt;=5,"Sí","No")</x:f>
        <x:v>No</x:v>
      </x:c>
      <x:c r="N3758" s="25" t="str">
        <x:f>IF(J3758&gt;=6,"Sí","No")</x:f>
        <x:v>No</x:v>
      </x:c>
      <x:c r="O3758" s="25" t="str">
        <x:v>Pendiente: asignar con R/sf</x:v>
      </x:c>
    </x:row>
    <x:row r="3759">
      <x:c r="A3759" s="25" t="n">
        <x:v>3758</x:v>
      </x:c>
      <x:c r="B3759" s="26" t="n">
        <x:v>43995.55511574074</x:v>
      </x:c>
      <x:c r="C3759" s="27" t="n">
        <x:f>INT(B3759)</x:f>
        <x:v>43995</x:v>
      </x:c>
      <x:c r="D3759" s="28" t="n">
        <x:f>MOD(B3759,1)</x:f>
        <x:v>0.5551157407389837</x:v>
      </x:c>
      <x:c r="E3759" s="29" t="n">
        <x:f>YEAR(B3759)</x:f>
        <x:v>2020</x:v>
      </x:c>
      <x:c r="F3759" s="29" t="n">
        <x:f>MONTH(B3759)</x:f>
        <x:v>6</x:v>
      </x:c>
      <x:c r="G3759" s="30" t="n">
        <x:v>-27.73</x:v>
      </x:c>
      <x:c r="H3759" s="30" t="n">
        <x:v>-70.36</x:v>
      </x:c>
      <x:c r="I3759" s="29" t="n">
        <x:v>90</x:v>
      </x:c>
      <x:c r="J3759" s="31" t="n">
        <x:v>3.7</x:v>
      </x:c>
      <x:c r="K3759" s="25" t="str">
        <x:f>IF(J3759&gt;=7,"Muy fuerte (&gt;=7)",IF(J3759&gt;=6,"Fuerte (6-6.9)",IF(J3759&gt;=5,"Moderado alto (5-5.9)",IF(J3759&gt;=4,"Moderado (4-4.9)","Menor a 4"))))</x:f>
        <x:v>Menor a 4</x:v>
      </x:c>
      <x:c r="L3759" s="25" t="str">
        <x:f>IF(I3759&lt;70,"Superficial (&lt;70 km)",IF(I3759&lt;=300,"Intermedio (70-300 km)","Profundo (&gt;300 km)"))</x:f>
        <x:v>Intermedio (70-300 km)</x:v>
      </x:c>
      <x:c r="M3759" s="25" t="str">
        <x:f>IF(J3759&gt;=5,"Sí","No")</x:f>
        <x:v>No</x:v>
      </x:c>
      <x:c r="N3759" s="25" t="str">
        <x:f>IF(J3759&gt;=6,"Sí","No")</x:f>
        <x:v>No</x:v>
      </x:c>
      <x:c r="O3759" s="25" t="str">
        <x:v>Pendiente: asignar con R/sf</x:v>
      </x:c>
    </x:row>
    <x:row r="3760">
      <x:c r="A3760" s="25" t="n">
        <x:v>3759</x:v>
      </x:c>
      <x:c r="B3760" s="26" t="n">
        <x:v>43797.27516203704</x:v>
      </x:c>
      <x:c r="C3760" s="27" t="n">
        <x:f>INT(B3760)</x:f>
        <x:v>43797</x:v>
      </x:c>
      <x:c r="D3760" s="28" t="n">
        <x:f>MOD(B3760,1)</x:f>
        <x:v>0.27516203703999054</x:v>
      </x:c>
      <x:c r="E3760" s="29" t="n">
        <x:f>YEAR(B3760)</x:f>
        <x:v>2019</x:v>
      </x:c>
      <x:c r="F3760" s="29" t="n">
        <x:f>MONTH(B3760)</x:f>
        <x:v>11</x:v>
      </x:c>
      <x:c r="G3760" s="30" t="n">
        <x:v>-27.29</x:v>
      </x:c>
      <x:c r="H3760" s="30" t="n">
        <x:v>-71.1</x:v>
      </x:c>
      <x:c r="I3760" s="29" t="n">
        <x:v>15</x:v>
      </x:c>
      <x:c r="J3760" s="31" t="n">
        <x:v>4.2</x:v>
      </x:c>
      <x:c r="K3760" s="25" t="str">
        <x:f>IF(J3760&gt;=7,"Muy fuerte (&gt;=7)",IF(J3760&gt;=6,"Fuerte (6-6.9)",IF(J3760&gt;=5,"Moderado alto (5-5.9)",IF(J3760&gt;=4,"Moderado (4-4.9)","Menor a 4"))))</x:f>
        <x:v>Moderado (4-4.9)</x:v>
      </x:c>
      <x:c r="L3760" s="25" t="str">
        <x:f>IF(I3760&lt;70,"Superficial (&lt;70 km)",IF(I3760&lt;=300,"Intermedio (70-300 km)","Profundo (&gt;300 km)"))</x:f>
        <x:v>Superficial (&lt;70 km)</x:v>
      </x:c>
      <x:c r="M3760" s="25" t="str">
        <x:f>IF(J3760&gt;=5,"Sí","No")</x:f>
        <x:v>No</x:v>
      </x:c>
      <x:c r="N3760" s="25" t="str">
        <x:f>IF(J3760&gt;=6,"Sí","No")</x:f>
        <x:v>No</x:v>
      </x:c>
      <x:c r="O3760" s="25" t="str">
        <x:v>Pendiente: asignar con R/sf</x:v>
      </x:c>
    </x:row>
    <x:row r="3761">
      <x:c r="A3761" s="25" t="n">
        <x:v>3760</x:v>
      </x:c>
      <x:c r="B3761" s="26" t="n">
        <x:v>44132.203148148146</x:v>
      </x:c>
      <x:c r="C3761" s="27" t="n">
        <x:f>INT(B3761)</x:f>
        <x:v>44132</x:v>
      </x:c>
      <x:c r="D3761" s="28" t="n">
        <x:f>MOD(B3761,1)</x:f>
        <x:v>0.20314814814628335</x:v>
      </x:c>
      <x:c r="E3761" s="29" t="n">
        <x:f>YEAR(B3761)</x:f>
        <x:v>2020</x:v>
      </x:c>
      <x:c r="F3761" s="29" t="n">
        <x:f>MONTH(B3761)</x:f>
        <x:v>10</x:v>
      </x:c>
      <x:c r="G3761" s="30" t="n">
        <x:v>-34.91</x:v>
      </x:c>
      <x:c r="H3761" s="30" t="n">
        <x:v>-71.68</x:v>
      </x:c>
      <x:c r="I3761" s="29" t="n">
        <x:v>64</x:v>
      </x:c>
      <x:c r="J3761" s="31" t="n">
        <x:v>5.3</x:v>
      </x:c>
      <x:c r="K3761" s="25" t="str">
        <x:f>IF(J3761&gt;=7,"Muy fuerte (&gt;=7)",IF(J3761&gt;=6,"Fuerte (6-6.9)",IF(J3761&gt;=5,"Moderado alto (5-5.9)",IF(J3761&gt;=4,"Moderado (4-4.9)","Menor a 4"))))</x:f>
        <x:v>Moderado alto (5-5.9)</x:v>
      </x:c>
      <x:c r="L3761" s="25" t="str">
        <x:f>IF(I3761&lt;70,"Superficial (&lt;70 km)",IF(I3761&lt;=300,"Intermedio (70-300 km)","Profundo (&gt;300 km)"))</x:f>
        <x:v>Superficial (&lt;70 km)</x:v>
      </x:c>
      <x:c r="M3761" s="25" t="str">
        <x:f>IF(J3761&gt;=5,"Sí","No")</x:f>
        <x:v>Sí</x:v>
      </x:c>
      <x:c r="N3761" s="25" t="str">
        <x:f>IF(J3761&gt;=6,"Sí","No")</x:f>
        <x:v>No</x:v>
      </x:c>
      <x:c r="O3761" s="25" t="str">
        <x:v>Pendiente: asignar con R/sf</x:v>
      </x:c>
    </x:row>
    <x:row r="3762">
      <x:c r="A3762" s="25" t="n">
        <x:v>3761</x:v>
      </x:c>
      <x:c r="B3762" s="26" t="n">
        <x:v>43792.23265046296</x:v>
      </x:c>
      <x:c r="C3762" s="27" t="n">
        <x:f>INT(B3762)</x:f>
        <x:v>43792</x:v>
      </x:c>
      <x:c r="D3762" s="28" t="n">
        <x:f>MOD(B3762,1)</x:f>
        <x:v>0.23265046296000946</x:v>
      </x:c>
      <x:c r="E3762" s="29" t="n">
        <x:f>YEAR(B3762)</x:f>
        <x:v>2019</x:v>
      </x:c>
      <x:c r="F3762" s="29" t="n">
        <x:f>MONTH(B3762)</x:f>
        <x:v>11</x:v>
      </x:c>
      <x:c r="G3762" s="30" t="n">
        <x:v>-27.21</x:v>
      </x:c>
      <x:c r="H3762" s="30" t="n">
        <x:v>-70.9</x:v>
      </x:c>
      <x:c r="I3762" s="29" t="n">
        <x:v>44</x:v>
      </x:c>
      <x:c r="J3762" s="31" t="n">
        <x:v>3.5</x:v>
      </x:c>
      <x:c r="K3762" s="25" t="str">
        <x:f>IF(J3762&gt;=7,"Muy fuerte (&gt;=7)",IF(J3762&gt;=6,"Fuerte (6-6.9)",IF(J3762&gt;=5,"Moderado alto (5-5.9)",IF(J3762&gt;=4,"Moderado (4-4.9)","Menor a 4"))))</x:f>
        <x:v>Menor a 4</x:v>
      </x:c>
      <x:c r="L3762" s="25" t="str">
        <x:f>IF(I3762&lt;70,"Superficial (&lt;70 km)",IF(I3762&lt;=300,"Intermedio (70-300 km)","Profundo (&gt;300 km)"))</x:f>
        <x:v>Superficial (&lt;70 km)</x:v>
      </x:c>
      <x:c r="M3762" s="25" t="str">
        <x:f>IF(J3762&gt;=5,"Sí","No")</x:f>
        <x:v>No</x:v>
      </x:c>
      <x:c r="N3762" s="25" t="str">
        <x:f>IF(J3762&gt;=6,"Sí","No")</x:f>
        <x:v>No</x:v>
      </x:c>
      <x:c r="O3762" s="25" t="str">
        <x:v>Pendiente: asignar con R/sf</x:v>
      </x:c>
    </x:row>
    <x:row r="3763">
      <x:c r="A3763" s="25" t="n">
        <x:v>3762</x:v>
      </x:c>
      <x:c r="B3763" s="26" t="n">
        <x:v>44132.6202662037</x:v>
      </x:c>
      <x:c r="C3763" s="27" t="n">
        <x:f>INT(B3763)</x:f>
        <x:v>44132</x:v>
      </x:c>
      <x:c r="D3763" s="28" t="n">
        <x:f>MOD(B3763,1)</x:f>
        <x:v>0.6202662037030677</x:v>
      </x:c>
      <x:c r="E3763" s="29" t="n">
        <x:f>YEAR(B3763)</x:f>
        <x:v>2020</x:v>
      </x:c>
      <x:c r="F3763" s="29" t="n">
        <x:f>MONTH(B3763)</x:f>
        <x:v>10</x:v>
      </x:c>
      <x:c r="G3763" s="30" t="n">
        <x:v>-29.33</x:v>
      </x:c>
      <x:c r="H3763" s="30" t="n">
        <x:v>-71.2</x:v>
      </x:c>
      <x:c r="I3763" s="29" t="n">
        <x:v>60</x:v>
      </x:c>
      <x:c r="J3763" s="31" t="n">
        <x:v>5.9</x:v>
      </x:c>
      <x:c r="K3763" s="25" t="str">
        <x:f>IF(J3763&gt;=7,"Muy fuerte (&gt;=7)",IF(J3763&gt;=6,"Fuerte (6-6.9)",IF(J3763&gt;=5,"Moderado alto (5-5.9)",IF(J3763&gt;=4,"Moderado (4-4.9)","Menor a 4"))))</x:f>
        <x:v>Moderado alto (5-5.9)</x:v>
      </x:c>
      <x:c r="L3763" s="25" t="str">
        <x:f>IF(I3763&lt;70,"Superficial (&lt;70 km)",IF(I3763&lt;=300,"Intermedio (70-300 km)","Profundo (&gt;300 km)"))</x:f>
        <x:v>Superficial (&lt;70 km)</x:v>
      </x:c>
      <x:c r="M3763" s="25" t="str">
        <x:f>IF(J3763&gt;=5,"Sí","No")</x:f>
        <x:v>Sí</x:v>
      </x:c>
      <x:c r="N3763" s="25" t="str">
        <x:f>IF(J3763&gt;=6,"Sí","No")</x:f>
        <x:v>No</x:v>
      </x:c>
      <x:c r="O3763" s="25" t="str">
        <x:v>Pendiente: asignar con R/sf</x:v>
      </x:c>
    </x:row>
    <x:row r="3764">
      <x:c r="A3764" s="25" t="n">
        <x:v>3763</x:v>
      </x:c>
      <x:c r="B3764" s="26" t="n">
        <x:v>43561.91806712963</x:v>
      </x:c>
      <x:c r="C3764" s="27" t="n">
        <x:f>INT(B3764)</x:f>
        <x:v>43561</x:v>
      </x:c>
      <x:c r="D3764" s="28" t="n">
        <x:f>MOD(B3764,1)</x:f>
        <x:v>0.9180671296271612</x:v>
      </x:c>
      <x:c r="E3764" s="29" t="n">
        <x:f>YEAR(B3764)</x:f>
        <x:v>2019</x:v>
      </x:c>
      <x:c r="F3764" s="29" t="n">
        <x:f>MONTH(B3764)</x:f>
        <x:v>4</x:v>
      </x:c>
      <x:c r="G3764" s="30" t="n">
        <x:v>-27.32</x:v>
      </x:c>
      <x:c r="H3764" s="30" t="n">
        <x:v>-70.69</x:v>
      </x:c>
      <x:c r="I3764" s="29" t="n">
        <x:v>51</x:v>
      </x:c>
      <x:c r="J3764" s="31" t="n">
        <x:v>3.6</x:v>
      </x:c>
      <x:c r="K3764" s="25" t="str">
        <x:f>IF(J3764&gt;=7,"Muy fuerte (&gt;=7)",IF(J3764&gt;=6,"Fuerte (6-6.9)",IF(J3764&gt;=5,"Moderado alto (5-5.9)",IF(J3764&gt;=4,"Moderado (4-4.9)","Menor a 4"))))</x:f>
        <x:v>Menor a 4</x:v>
      </x:c>
      <x:c r="L3764" s="25" t="str">
        <x:f>IF(I3764&lt;70,"Superficial (&lt;70 km)",IF(I3764&lt;=300,"Intermedio (70-300 km)","Profundo (&gt;300 km)"))</x:f>
        <x:v>Superficial (&lt;70 km)</x:v>
      </x:c>
      <x:c r="M3764" s="25" t="str">
        <x:f>IF(J3764&gt;=5,"Sí","No")</x:f>
        <x:v>No</x:v>
      </x:c>
      <x:c r="N3764" s="25" t="str">
        <x:f>IF(J3764&gt;=6,"Sí","No")</x:f>
        <x:v>No</x:v>
      </x:c>
      <x:c r="O3764" s="25" t="str">
        <x:v>Pendiente: asignar con R/sf</x:v>
      </x:c>
    </x:row>
    <x:row r="3765">
      <x:c r="A3765" s="25" t="n">
        <x:v>3764</x:v>
      </x:c>
      <x:c r="B3765" s="26" t="n">
        <x:v>44033.54938657407</x:v>
      </x:c>
      <x:c r="C3765" s="27" t="n">
        <x:f>INT(B3765)</x:f>
        <x:v>44033</x:v>
      </x:c>
      <x:c r="D3765" s="28" t="n">
        <x:f>MOD(B3765,1)</x:f>
        <x:v>0.549386574071832</x:v>
      </x:c>
      <x:c r="E3765" s="29" t="n">
        <x:f>YEAR(B3765)</x:f>
        <x:v>2020</x:v>
      </x:c>
      <x:c r="F3765" s="29" t="n">
        <x:f>MONTH(B3765)</x:f>
        <x:v>7</x:v>
      </x:c>
      <x:c r="G3765" s="30" t="n">
        <x:v>-29.29</x:v>
      </x:c>
      <x:c r="H3765" s="30" t="n">
        <x:v>-71.25</x:v>
      </x:c>
      <x:c r="I3765" s="29" t="n">
        <x:v>57</x:v>
      </x:c>
      <x:c r="J3765" s="31" t="n">
        <x:v>3.2</x:v>
      </x:c>
      <x:c r="K3765" s="25" t="str">
        <x:f>IF(J3765&gt;=7,"Muy fuerte (&gt;=7)",IF(J3765&gt;=6,"Fuerte (6-6.9)",IF(J3765&gt;=5,"Moderado alto (5-5.9)",IF(J3765&gt;=4,"Moderado (4-4.9)","Menor a 4"))))</x:f>
        <x:v>Menor a 4</x:v>
      </x:c>
      <x:c r="L3765" s="25" t="str">
        <x:f>IF(I3765&lt;70,"Superficial (&lt;70 km)",IF(I3765&lt;=300,"Intermedio (70-300 km)","Profundo (&gt;300 km)"))</x:f>
        <x:v>Superficial (&lt;70 km)</x:v>
      </x:c>
      <x:c r="M3765" s="25" t="str">
        <x:f>IF(J3765&gt;=5,"Sí","No")</x:f>
        <x:v>No</x:v>
      </x:c>
      <x:c r="N3765" s="25" t="str">
        <x:f>IF(J3765&gt;=6,"Sí","No")</x:f>
        <x:v>No</x:v>
      </x:c>
      <x:c r="O3765" s="25" t="str">
        <x:v>Pendiente: asignar con R/sf</x:v>
      </x:c>
    </x:row>
    <x:row r="3766">
      <x:c r="A3766" s="25" t="n">
        <x:v>3765</x:v>
      </x:c>
      <x:c r="B3766" s="26" t="n">
        <x:v>44110.559166666666</x:v>
      </x:c>
      <x:c r="C3766" s="27" t="n">
        <x:f>INT(B3766)</x:f>
        <x:v>44110</x:v>
      </x:c>
      <x:c r="D3766" s="28" t="n">
        <x:f>MOD(B3766,1)</x:f>
        <x:v>0.5591666666659876</x:v>
      </x:c>
      <x:c r="E3766" s="29" t="n">
        <x:f>YEAR(B3766)</x:f>
        <x:v>2020</x:v>
      </x:c>
      <x:c r="F3766" s="29" t="n">
        <x:f>MONTH(B3766)</x:f>
        <x:v>10</x:v>
      </x:c>
      <x:c r="G3766" s="30" t="n">
        <x:v>-21.4</x:v>
      </x:c>
      <x:c r="H3766" s="30" t="n">
        <x:v>-69.78</x:v>
      </x:c>
      <x:c r="I3766" s="29" t="n">
        <x:v>46</x:v>
      </x:c>
      <x:c r="J3766" s="31" t="n">
        <x:v>4.2</x:v>
      </x:c>
      <x:c r="K3766" s="25" t="str">
        <x:f>IF(J3766&gt;=7,"Muy fuerte (&gt;=7)",IF(J3766&gt;=6,"Fuerte (6-6.9)",IF(J3766&gt;=5,"Moderado alto (5-5.9)",IF(J3766&gt;=4,"Moderado (4-4.9)","Menor a 4"))))</x:f>
        <x:v>Moderado (4-4.9)</x:v>
      </x:c>
      <x:c r="L3766" s="25" t="str">
        <x:f>IF(I3766&lt;70,"Superficial (&lt;70 km)",IF(I3766&lt;=300,"Intermedio (70-300 km)","Profundo (&gt;300 km)"))</x:f>
        <x:v>Superficial (&lt;70 km)</x:v>
      </x:c>
      <x:c r="M3766" s="25" t="str">
        <x:f>IF(J3766&gt;=5,"Sí","No")</x:f>
        <x:v>No</x:v>
      </x:c>
      <x:c r="N3766" s="25" t="str">
        <x:f>IF(J3766&gt;=6,"Sí","No")</x:f>
        <x:v>No</x:v>
      </x:c>
      <x:c r="O3766" s="25" t="str">
        <x:v>Pendiente: asignar con R/sf</x:v>
      </x:c>
    </x:row>
    <x:row r="3767">
      <x:c r="A3767" s="25" t="n">
        <x:v>3766</x:v>
      </x:c>
      <x:c r="B3767" s="26" t="n">
        <x:v>43920.62055555556</x:v>
      </x:c>
      <x:c r="C3767" s="27" t="n">
        <x:f>INT(B3767)</x:f>
        <x:v>43920</x:v>
      </x:c>
      <x:c r="D3767" s="28" t="n">
        <x:f>MOD(B3767,1)</x:f>
        <x:v>0.6205555555570754</x:v>
      </x:c>
      <x:c r="E3767" s="29" t="n">
        <x:f>YEAR(B3767)</x:f>
        <x:v>2020</x:v>
      </x:c>
      <x:c r="F3767" s="29" t="n">
        <x:f>MONTH(B3767)</x:f>
        <x:v>3</x:v>
      </x:c>
      <x:c r="G3767" s="30" t="n">
        <x:v>-27.08</x:v>
      </x:c>
      <x:c r="H3767" s="30" t="n">
        <x:v>-71.23</x:v>
      </x:c>
      <x:c r="I3767" s="29" t="n">
        <x:v>24</x:v>
      </x:c>
      <x:c r="J3767" s="31" t="n">
        <x:v>4.5</x:v>
      </x:c>
      <x:c r="K3767" s="25" t="str">
        <x:f>IF(J3767&gt;=7,"Muy fuerte (&gt;=7)",IF(J3767&gt;=6,"Fuerte (6-6.9)",IF(J3767&gt;=5,"Moderado alto (5-5.9)",IF(J3767&gt;=4,"Moderado (4-4.9)","Menor a 4"))))</x:f>
        <x:v>Moderado (4-4.9)</x:v>
      </x:c>
      <x:c r="L3767" s="25" t="str">
        <x:f>IF(I3767&lt;70,"Superficial (&lt;70 km)",IF(I3767&lt;=300,"Intermedio (70-300 km)","Profundo (&gt;300 km)"))</x:f>
        <x:v>Superficial (&lt;70 km)</x:v>
      </x:c>
      <x:c r="M3767" s="25" t="str">
        <x:f>IF(J3767&gt;=5,"Sí","No")</x:f>
        <x:v>No</x:v>
      </x:c>
      <x:c r="N3767" s="25" t="str">
        <x:f>IF(J3767&gt;=6,"Sí","No")</x:f>
        <x:v>No</x:v>
      </x:c>
      <x:c r="O3767" s="25" t="str">
        <x:v>Pendiente: asignar con R/sf</x:v>
      </x:c>
    </x:row>
    <x:row r="3768">
      <x:c r="A3768" s="25" t="n">
        <x:v>3767</x:v>
      </x:c>
      <x:c r="B3768" s="26" t="n">
        <x:v>44010.706712962965</x:v>
      </x:c>
      <x:c r="C3768" s="27" t="n">
        <x:f>INT(B3768)</x:f>
        <x:v>44010</x:v>
      </x:c>
      <x:c r="D3768" s="28" t="n">
        <x:f>MOD(B3768,1)</x:f>
        <x:v>0.7067129629649571</x:v>
      </x:c>
      <x:c r="E3768" s="29" t="n">
        <x:f>YEAR(B3768)</x:f>
        <x:v>2020</x:v>
      </x:c>
      <x:c r="F3768" s="29" t="n">
        <x:f>MONTH(B3768)</x:f>
        <x:v>6</x:v>
      </x:c>
      <x:c r="G3768" s="30" t="n">
        <x:v>-27.48</x:v>
      </x:c>
      <x:c r="H3768" s="30" t="n">
        <x:v>-69.4</x:v>
      </x:c>
      <x:c r="I3768" s="29" t="n">
        <x:v>120</x:v>
      </x:c>
      <x:c r="J3768" s="31" t="n">
        <x:v>4.2</x:v>
      </x:c>
      <x:c r="K3768" s="25" t="str">
        <x:f>IF(J3768&gt;=7,"Muy fuerte (&gt;=7)",IF(J3768&gt;=6,"Fuerte (6-6.9)",IF(J3768&gt;=5,"Moderado alto (5-5.9)",IF(J3768&gt;=4,"Moderado (4-4.9)","Menor a 4"))))</x:f>
        <x:v>Moderado (4-4.9)</x:v>
      </x:c>
      <x:c r="L3768" s="25" t="str">
        <x:f>IF(I3768&lt;70,"Superficial (&lt;70 km)",IF(I3768&lt;=300,"Intermedio (70-300 km)","Profundo (&gt;300 km)"))</x:f>
        <x:v>Intermedio (70-300 km)</x:v>
      </x:c>
      <x:c r="M3768" s="25" t="str">
        <x:f>IF(J3768&gt;=5,"Sí","No")</x:f>
        <x:v>No</x:v>
      </x:c>
      <x:c r="N3768" s="25" t="str">
        <x:f>IF(J3768&gt;=6,"Sí","No")</x:f>
        <x:v>No</x:v>
      </x:c>
      <x:c r="O3768" s="25" t="str">
        <x:v>Pendiente: asignar con R/sf</x:v>
      </x:c>
    </x:row>
    <x:row r="3769">
      <x:c r="A3769" s="25" t="n">
        <x:v>3768</x:v>
      </x:c>
      <x:c r="B3769" s="26" t="n">
        <x:v>43365.81291666667</x:v>
      </x:c>
      <x:c r="C3769" s="27" t="n">
        <x:f>INT(B3769)</x:f>
        <x:v>43365</x:v>
      </x:c>
      <x:c r="D3769" s="28" t="n">
        <x:f>MOD(B3769,1)</x:f>
        <x:v>0.81291666666948</x:v>
      </x:c>
      <x:c r="E3769" s="29" t="n">
        <x:f>YEAR(B3769)</x:f>
        <x:v>2018</x:v>
      </x:c>
      <x:c r="F3769" s="29" t="n">
        <x:f>MONTH(B3769)</x:f>
        <x:v>9</x:v>
      </x:c>
      <x:c r="G3769" s="30" t="n">
        <x:v>-27.46</x:v>
      </x:c>
      <x:c r="H3769" s="30" t="n">
        <x:v>-70.87</x:v>
      </x:c>
      <x:c r="I3769" s="29" t="n">
        <x:v>48</x:v>
      </x:c>
      <x:c r="J3769" s="31" t="n">
        <x:v>3.9</x:v>
      </x:c>
      <x:c r="K3769" s="25" t="str">
        <x:f>IF(J3769&gt;=7,"Muy fuerte (&gt;=7)",IF(J3769&gt;=6,"Fuerte (6-6.9)",IF(J3769&gt;=5,"Moderado alto (5-5.9)",IF(J3769&gt;=4,"Moderado (4-4.9)","Menor a 4"))))</x:f>
        <x:v>Menor a 4</x:v>
      </x:c>
      <x:c r="L3769" s="25" t="str">
        <x:f>IF(I3769&lt;70,"Superficial (&lt;70 km)",IF(I3769&lt;=300,"Intermedio (70-300 km)","Profundo (&gt;300 km)"))</x:f>
        <x:v>Superficial (&lt;70 km)</x:v>
      </x:c>
      <x:c r="M3769" s="25" t="str">
        <x:f>IF(J3769&gt;=5,"Sí","No")</x:f>
        <x:v>No</x:v>
      </x:c>
      <x:c r="N3769" s="25" t="str">
        <x:f>IF(J3769&gt;=6,"Sí","No")</x:f>
        <x:v>No</x:v>
      </x:c>
      <x:c r="O3769" s="25" t="str">
        <x:v>Pendiente: asignar con R/sf</x:v>
      </x:c>
    </x:row>
    <x:row r="3770">
      <x:c r="A3770" s="25" t="n">
        <x:v>3769</x:v>
      </x:c>
      <x:c r="B3770" s="26" t="n">
        <x:v>43999.224178240744</x:v>
      </x:c>
      <x:c r="C3770" s="27" t="n">
        <x:f>INT(B3770)</x:f>
        <x:v>43999</x:v>
      </x:c>
      <x:c r="D3770" s="28" t="n">
        <x:f>MOD(B3770,1)</x:f>
        <x:v>0.22417824074364034</x:v>
      </x:c>
      <x:c r="E3770" s="29" t="n">
        <x:f>YEAR(B3770)</x:f>
        <x:v>2020</x:v>
      </x:c>
      <x:c r="F3770" s="29" t="n">
        <x:f>MONTH(B3770)</x:f>
        <x:v>6</x:v>
      </x:c>
      <x:c r="G3770" s="30" t="n">
        <x:v>-27.1</x:v>
      </x:c>
      <x:c r="H3770" s="30" t="n">
        <x:v>-70.46</x:v>
      </x:c>
      <x:c r="I3770" s="29" t="n">
        <x:v>28</x:v>
      </x:c>
      <x:c r="J3770" s="31" t="n">
        <x:v>3.4</x:v>
      </x:c>
      <x:c r="K3770" s="25" t="str">
        <x:f>IF(J3770&gt;=7,"Muy fuerte (&gt;=7)",IF(J3770&gt;=6,"Fuerte (6-6.9)",IF(J3770&gt;=5,"Moderado alto (5-5.9)",IF(J3770&gt;=4,"Moderado (4-4.9)","Menor a 4"))))</x:f>
        <x:v>Menor a 4</x:v>
      </x:c>
      <x:c r="L3770" s="25" t="str">
        <x:f>IF(I3770&lt;70,"Superficial (&lt;70 km)",IF(I3770&lt;=300,"Intermedio (70-300 km)","Profundo (&gt;300 km)"))</x:f>
        <x:v>Superficial (&lt;70 km)</x:v>
      </x:c>
      <x:c r="M3770" s="25" t="str">
        <x:f>IF(J3770&gt;=5,"Sí","No")</x:f>
        <x:v>No</x:v>
      </x:c>
      <x:c r="N3770" s="25" t="str">
        <x:f>IF(J3770&gt;=6,"Sí","No")</x:f>
        <x:v>No</x:v>
      </x:c>
      <x:c r="O3770" s="25" t="str">
        <x:v>Pendiente: asignar con R/sf</x:v>
      </x:c>
    </x:row>
    <x:row r="3771">
      <x:c r="A3771" s="25" t="n">
        <x:v>3770</x:v>
      </x:c>
      <x:c r="B3771" s="26" t="n">
        <x:v>43704.85954861111</x:v>
      </x:c>
      <x:c r="C3771" s="27" t="n">
        <x:f>INT(B3771)</x:f>
        <x:v>43704</x:v>
      </x:c>
      <x:c r="D3771" s="28" t="n">
        <x:f>MOD(B3771,1)</x:f>
        <x:v>0.859548611108039</x:v>
      </x:c>
      <x:c r="E3771" s="29" t="n">
        <x:f>YEAR(B3771)</x:f>
        <x:v>2019</x:v>
      </x:c>
      <x:c r="F3771" s="29" t="n">
        <x:f>MONTH(B3771)</x:f>
        <x:v>8</x:v>
      </x:c>
      <x:c r="G3771" s="30" t="n">
        <x:v>-26.83</x:v>
      </x:c>
      <x:c r="H3771" s="30" t="n">
        <x:v>-71.09</x:v>
      </x:c>
      <x:c r="I3771" s="29" t="n">
        <x:v>55</x:v>
      </x:c>
      <x:c r="J3771" s="31" t="n">
        <x:v>3.4</x:v>
      </x:c>
      <x:c r="K3771" s="25" t="str">
        <x:f>IF(J3771&gt;=7,"Muy fuerte (&gt;=7)",IF(J3771&gt;=6,"Fuerte (6-6.9)",IF(J3771&gt;=5,"Moderado alto (5-5.9)",IF(J3771&gt;=4,"Moderado (4-4.9)","Menor a 4"))))</x:f>
        <x:v>Menor a 4</x:v>
      </x:c>
      <x:c r="L3771" s="25" t="str">
        <x:f>IF(I3771&lt;70,"Superficial (&lt;70 km)",IF(I3771&lt;=300,"Intermedio (70-300 km)","Profundo (&gt;300 km)"))</x:f>
        <x:v>Superficial (&lt;70 km)</x:v>
      </x:c>
      <x:c r="M3771" s="25" t="str">
        <x:f>IF(J3771&gt;=5,"Sí","No")</x:f>
        <x:v>No</x:v>
      </x:c>
      <x:c r="N3771" s="25" t="str">
        <x:f>IF(J3771&gt;=6,"Sí","No")</x:f>
        <x:v>No</x:v>
      </x:c>
      <x:c r="O3771" s="25" t="str">
        <x:v>Pendiente: asignar con R/sf</x:v>
      </x:c>
    </x:row>
    <x:row r="3772">
      <x:c r="A3772" s="25" t="n">
        <x:v>3771</x:v>
      </x:c>
      <x:c r="B3772" s="26" t="n">
        <x:v>44109.81135416667</x:v>
      </x:c>
      <x:c r="C3772" s="27" t="n">
        <x:f>INT(B3772)</x:f>
        <x:v>44109</x:v>
      </x:c>
      <x:c r="D3772" s="28" t="n">
        <x:f>MOD(B3772,1)</x:f>
        <x:v>0.8113541666680248</x:v>
      </x:c>
      <x:c r="E3772" s="29" t="n">
        <x:f>YEAR(B3772)</x:f>
        <x:v>2020</x:v>
      </x:c>
      <x:c r="F3772" s="29" t="n">
        <x:f>MONTH(B3772)</x:f>
        <x:v>10</x:v>
      </x:c>
      <x:c r="G3772" s="30" t="n">
        <x:v>-20.24</x:v>
      </x:c>
      <x:c r="H3772" s="30" t="n">
        <x:v>-70.28</x:v>
      </x:c>
      <x:c r="I3772" s="29" t="n">
        <x:v>40</x:v>
      </x:c>
      <x:c r="J3772" s="31" t="n">
        <x:v>3.6</x:v>
      </x:c>
      <x:c r="K3772" s="25" t="str">
        <x:f>IF(J3772&gt;=7,"Muy fuerte (&gt;=7)",IF(J3772&gt;=6,"Fuerte (6-6.9)",IF(J3772&gt;=5,"Moderado alto (5-5.9)",IF(J3772&gt;=4,"Moderado (4-4.9)","Menor a 4"))))</x:f>
        <x:v>Menor a 4</x:v>
      </x:c>
      <x:c r="L3772" s="25" t="str">
        <x:f>IF(I3772&lt;70,"Superficial (&lt;70 km)",IF(I3772&lt;=300,"Intermedio (70-300 km)","Profundo (&gt;300 km)"))</x:f>
        <x:v>Superficial (&lt;70 km)</x:v>
      </x:c>
      <x:c r="M3772" s="25" t="str">
        <x:f>IF(J3772&gt;=5,"Sí","No")</x:f>
        <x:v>No</x:v>
      </x:c>
      <x:c r="N3772" s="25" t="str">
        <x:f>IF(J3772&gt;=6,"Sí","No")</x:f>
        <x:v>No</x:v>
      </x:c>
      <x:c r="O3772" s="25" t="str">
        <x:v>Pendiente: asignar con R/sf</x:v>
      </x:c>
    </x:row>
    <x:row r="3773">
      <x:c r="A3773" s="25" t="n">
        <x:v>3772</x:v>
      </x:c>
      <x:c r="B3773" s="26" t="n">
        <x:v>44116.619363425925</x:v>
      </x:c>
      <x:c r="C3773" s="27" t="n">
        <x:f>INT(B3773)</x:f>
        <x:v>44116</x:v>
      </x:c>
      <x:c r="D3773" s="28" t="n">
        <x:f>MOD(B3773,1)</x:f>
        <x:v>0.6193634259252576</x:v>
      </x:c>
      <x:c r="E3773" s="29" t="n">
        <x:f>YEAR(B3773)</x:f>
        <x:v>2020</x:v>
      </x:c>
      <x:c r="F3773" s="29" t="n">
        <x:f>MONTH(B3773)</x:f>
        <x:v>10</x:v>
      </x:c>
      <x:c r="G3773" s="30" t="n">
        <x:v>-21.94</x:v>
      </x:c>
      <x:c r="H3773" s="30" t="n">
        <x:v>-69.97</x:v>
      </x:c>
      <x:c r="I3773" s="29" t="n">
        <x:v>70</x:v>
      </x:c>
      <x:c r="J3773" s="31" t="n">
        <x:v>4</x:v>
      </x:c>
      <x:c r="K3773" s="25" t="str">
        <x:f>IF(J3773&gt;=7,"Muy fuerte (&gt;=7)",IF(J3773&gt;=6,"Fuerte (6-6.9)",IF(J3773&gt;=5,"Moderado alto (5-5.9)",IF(J3773&gt;=4,"Moderado (4-4.9)","Menor a 4"))))</x:f>
        <x:v>Moderado (4-4.9)</x:v>
      </x:c>
      <x:c r="L3773" s="25" t="str">
        <x:f>IF(I3773&lt;70,"Superficial (&lt;70 km)",IF(I3773&lt;=300,"Intermedio (70-300 km)","Profundo (&gt;300 km)"))</x:f>
        <x:v>Intermedio (70-300 km)</x:v>
      </x:c>
      <x:c r="M3773" s="25" t="str">
        <x:f>IF(J3773&gt;=5,"Sí","No")</x:f>
        <x:v>No</x:v>
      </x:c>
      <x:c r="N3773" s="25" t="str">
        <x:f>IF(J3773&gt;=6,"Sí","No")</x:f>
        <x:v>No</x:v>
      </x:c>
      <x:c r="O3773" s="25" t="str">
        <x:v>Pendiente: asignar con R/sf</x:v>
      </x:c>
    </x:row>
    <x:row r="3774">
      <x:c r="A3774" s="25" t="n">
        <x:v>3773</x:v>
      </x:c>
      <x:c r="B3774" s="26" t="n">
        <x:v>44015.01273148148</x:v>
      </x:c>
      <x:c r="C3774" s="27" t="n">
        <x:f>INT(B3774)</x:f>
        <x:v>44015</x:v>
      </x:c>
      <x:c r="D3774" s="28" t="n">
        <x:f>MOD(B3774,1)</x:f>
        <x:v>0.012731481481750961</x:v>
      </x:c>
      <x:c r="E3774" s="29" t="n">
        <x:f>YEAR(B3774)</x:f>
        <x:v>2020</x:v>
      </x:c>
      <x:c r="F3774" s="29" t="n">
        <x:f>MONTH(B3774)</x:f>
        <x:v>7</x:v>
      </x:c>
      <x:c r="G3774" s="30" t="n">
        <x:v>-27.3</x:v>
      </x:c>
      <x:c r="H3774" s="30" t="n">
        <x:v>-71.06</x:v>
      </x:c>
      <x:c r="I3774" s="29" t="n">
        <x:v>44</x:v>
      </x:c>
      <x:c r="J3774" s="31" t="n">
        <x:v>3.9</x:v>
      </x:c>
      <x:c r="K3774" s="25" t="str">
        <x:f>IF(J3774&gt;=7,"Muy fuerte (&gt;=7)",IF(J3774&gt;=6,"Fuerte (6-6.9)",IF(J3774&gt;=5,"Moderado alto (5-5.9)",IF(J3774&gt;=4,"Moderado (4-4.9)","Menor a 4"))))</x:f>
        <x:v>Menor a 4</x:v>
      </x:c>
      <x:c r="L3774" s="25" t="str">
        <x:f>IF(I3774&lt;70,"Superficial (&lt;70 km)",IF(I3774&lt;=300,"Intermedio (70-300 km)","Profundo (&gt;300 km)"))</x:f>
        <x:v>Superficial (&lt;70 km)</x:v>
      </x:c>
      <x:c r="M3774" s="25" t="str">
        <x:f>IF(J3774&gt;=5,"Sí","No")</x:f>
        <x:v>No</x:v>
      </x:c>
      <x:c r="N3774" s="25" t="str">
        <x:f>IF(J3774&gt;=6,"Sí","No")</x:f>
        <x:v>No</x:v>
      </x:c>
      <x:c r="O3774" s="25" t="str">
        <x:v>Pendiente: asignar con R/sf</x:v>
      </x:c>
    </x:row>
    <x:row r="3775">
      <x:c r="A3775" s="25" t="n">
        <x:v>3774</x:v>
      </x:c>
      <x:c r="B3775" s="26" t="n">
        <x:v>43727.41266203704</x:v>
      </x:c>
      <x:c r="C3775" s="27" t="n">
        <x:f>INT(B3775)</x:f>
        <x:v>43727</x:v>
      </x:c>
      <x:c r="D3775" s="28" t="n">
        <x:f>MOD(B3775,1)</x:f>
        <x:v>0.41266203703708015</x:v>
      </x:c>
      <x:c r="E3775" s="29" t="n">
        <x:f>YEAR(B3775)</x:f>
        <x:v>2019</x:v>
      </x:c>
      <x:c r="F3775" s="29" t="n">
        <x:f>MONTH(B3775)</x:f>
        <x:v>9</x:v>
      </x:c>
      <x:c r="G3775" s="30" t="n">
        <x:v>-27.19</x:v>
      </x:c>
      <x:c r="H3775" s="30" t="n">
        <x:v>-71.07</x:v>
      </x:c>
      <x:c r="I3775" s="29" t="n">
        <x:v>37</x:v>
      </x:c>
      <x:c r="J3775" s="31" t="n">
        <x:v>4.5</x:v>
      </x:c>
      <x:c r="K3775" s="25" t="str">
        <x:f>IF(J3775&gt;=7,"Muy fuerte (&gt;=7)",IF(J3775&gt;=6,"Fuerte (6-6.9)",IF(J3775&gt;=5,"Moderado alto (5-5.9)",IF(J3775&gt;=4,"Moderado (4-4.9)","Menor a 4"))))</x:f>
        <x:v>Moderado (4-4.9)</x:v>
      </x:c>
      <x:c r="L3775" s="25" t="str">
        <x:f>IF(I3775&lt;70,"Superficial (&lt;70 km)",IF(I3775&lt;=300,"Intermedio (70-300 km)","Profundo (&gt;300 km)"))</x:f>
        <x:v>Superficial (&lt;70 km)</x:v>
      </x:c>
      <x:c r="M3775" s="25" t="str">
        <x:f>IF(J3775&gt;=5,"Sí","No")</x:f>
        <x:v>No</x:v>
      </x:c>
      <x:c r="N3775" s="25" t="str">
        <x:f>IF(J3775&gt;=6,"Sí","No")</x:f>
        <x:v>No</x:v>
      </x:c>
      <x:c r="O3775" s="25" t="str">
        <x:v>Pendiente: asignar con R/sf</x:v>
      </x:c>
    </x:row>
    <x:row r="3776">
      <x:c r="A3776" s="25" t="n">
        <x:v>3775</x:v>
      </x:c>
      <x:c r="B3776" s="26" t="n">
        <x:v>43810.47409722222</x:v>
      </x:c>
      <x:c r="C3776" s="27" t="n">
        <x:f>INT(B3776)</x:f>
        <x:v>43810</x:v>
      </x:c>
      <x:c r="D3776" s="28" t="n">
        <x:f>MOD(B3776,1)</x:f>
        <x:v>0.4740972222207347</x:v>
      </x:c>
      <x:c r="E3776" s="29" t="n">
        <x:f>YEAR(B3776)</x:f>
        <x:v>2019</x:v>
      </x:c>
      <x:c r="F3776" s="29" t="n">
        <x:f>MONTH(B3776)</x:f>
        <x:v>12</x:v>
      </x:c>
      <x:c r="G3776" s="30" t="n">
        <x:v>-29.94</x:v>
      </x:c>
      <x:c r="H3776" s="30" t="n">
        <x:v>-71.39</x:v>
      </x:c>
      <x:c r="I3776" s="29" t="n">
        <x:v>45</x:v>
      </x:c>
      <x:c r="J3776" s="31" t="n">
        <x:v>3.1</x:v>
      </x:c>
      <x:c r="K3776" s="25" t="str">
        <x:f>IF(J3776&gt;=7,"Muy fuerte (&gt;=7)",IF(J3776&gt;=6,"Fuerte (6-6.9)",IF(J3776&gt;=5,"Moderado alto (5-5.9)",IF(J3776&gt;=4,"Moderado (4-4.9)","Menor a 4"))))</x:f>
        <x:v>Menor a 4</x:v>
      </x:c>
      <x:c r="L3776" s="25" t="str">
        <x:f>IF(I3776&lt;70,"Superficial (&lt;70 km)",IF(I3776&lt;=300,"Intermedio (70-300 km)","Profundo (&gt;300 km)"))</x:f>
        <x:v>Superficial (&lt;70 km)</x:v>
      </x:c>
      <x:c r="M3776" s="25" t="str">
        <x:f>IF(J3776&gt;=5,"Sí","No")</x:f>
        <x:v>No</x:v>
      </x:c>
      <x:c r="N3776" s="25" t="str">
        <x:f>IF(J3776&gt;=6,"Sí","No")</x:f>
        <x:v>No</x:v>
      </x:c>
      <x:c r="O3776" s="25" t="str">
        <x:v>Pendiente: asignar con R/sf</x:v>
      </x:c>
    </x:row>
    <x:row r="3777">
      <x:c r="A3777" s="25" t="n">
        <x:v>3776</x:v>
      </x:c>
      <x:c r="B3777" s="26" t="n">
        <x:v>44155.71019675926</x:v>
      </x:c>
      <x:c r="C3777" s="27" t="n">
        <x:f>INT(B3777)</x:f>
        <x:v>44155</x:v>
      </x:c>
      <x:c r="D3777" s="28" t="n">
        <x:f>MOD(B3777,1)</x:f>
        <x:v>0.7101967592607252</x:v>
      </x:c>
      <x:c r="E3777" s="29" t="n">
        <x:f>YEAR(B3777)</x:f>
        <x:v>2020</x:v>
      </x:c>
      <x:c r="F3777" s="29" t="n">
        <x:f>MONTH(B3777)</x:f>
        <x:v>11</x:v>
      </x:c>
      <x:c r="G3777" s="30" t="n">
        <x:v>-18.18</x:v>
      </x:c>
      <x:c r="H3777" s="30" t="n">
        <x:v>-69.95</x:v>
      </x:c>
      <x:c r="I3777" s="29" t="n">
        <x:v>131</x:v>
      </x:c>
      <x:c r="J3777" s="31" t="n">
        <x:v>4.6</x:v>
      </x:c>
      <x:c r="K3777" s="25" t="str">
        <x:f>IF(J3777&gt;=7,"Muy fuerte (&gt;=7)",IF(J3777&gt;=6,"Fuerte (6-6.9)",IF(J3777&gt;=5,"Moderado alto (5-5.9)",IF(J3777&gt;=4,"Moderado (4-4.9)","Menor a 4"))))</x:f>
        <x:v>Moderado (4-4.9)</x:v>
      </x:c>
      <x:c r="L3777" s="25" t="str">
        <x:f>IF(I3777&lt;70,"Superficial (&lt;70 km)",IF(I3777&lt;=300,"Intermedio (70-300 km)","Profundo (&gt;300 km)"))</x:f>
        <x:v>Intermedio (70-300 km)</x:v>
      </x:c>
      <x:c r="M3777" s="25" t="str">
        <x:f>IF(J3777&gt;=5,"Sí","No")</x:f>
        <x:v>No</x:v>
      </x:c>
      <x:c r="N3777" s="25" t="str">
        <x:f>IF(J3777&gt;=6,"Sí","No")</x:f>
        <x:v>No</x:v>
      </x:c>
      <x:c r="O3777" s="25" t="str">
        <x:v>Pendiente: asignar con R/sf</x:v>
      </x:c>
    </x:row>
    <x:row r="3778">
      <x:c r="A3778" s="25" t="n">
        <x:v>3777</x:v>
      </x:c>
      <x:c r="B3778" s="26" t="n">
        <x:v>44151.84621527778</x:v>
      </x:c>
      <x:c r="C3778" s="27" t="n">
        <x:f>INT(B3778)</x:f>
        <x:v>44151</x:v>
      </x:c>
      <x:c r="D3778" s="28" t="n">
        <x:f>MOD(B3778,1)</x:f>
        <x:v>0.8462152777792653</x:v>
      </x:c>
      <x:c r="E3778" s="29" t="n">
        <x:f>YEAR(B3778)</x:f>
        <x:v>2020</x:v>
      </x:c>
      <x:c r="F3778" s="29" t="n">
        <x:f>MONTH(B3778)</x:f>
        <x:v>11</x:v>
      </x:c>
      <x:c r="G3778" s="30" t="n">
        <x:v>-28.42</x:v>
      </x:c>
      <x:c r="H3778" s="30" t="n">
        <x:v>-71.1</x:v>
      </x:c>
      <x:c r="I3778" s="29" t="n">
        <x:v>49</x:v>
      </x:c>
      <x:c r="J3778" s="31" t="n">
        <x:v>5.1</x:v>
      </x:c>
      <x:c r="K3778" s="25" t="str">
        <x:f>IF(J3778&gt;=7,"Muy fuerte (&gt;=7)",IF(J3778&gt;=6,"Fuerte (6-6.9)",IF(J3778&gt;=5,"Moderado alto (5-5.9)",IF(J3778&gt;=4,"Moderado (4-4.9)","Menor a 4"))))</x:f>
        <x:v>Moderado alto (5-5.9)</x:v>
      </x:c>
      <x:c r="L3778" s="25" t="str">
        <x:f>IF(I3778&lt;70,"Superficial (&lt;70 km)",IF(I3778&lt;=300,"Intermedio (70-300 km)","Profundo (&gt;300 km)"))</x:f>
        <x:v>Superficial (&lt;70 km)</x:v>
      </x:c>
      <x:c r="M3778" s="25" t="str">
        <x:f>IF(J3778&gt;=5,"Sí","No")</x:f>
        <x:v>Sí</x:v>
      </x:c>
      <x:c r="N3778" s="25" t="str">
        <x:f>IF(J3778&gt;=6,"Sí","No")</x:f>
        <x:v>No</x:v>
      </x:c>
      <x:c r="O3778" s="25" t="str">
        <x:v>Pendiente: asignar con R/sf</x:v>
      </x:c>
    </x:row>
    <x:row r="3779">
      <x:c r="A3779" s="25" t="n">
        <x:v>3778</x:v>
      </x:c>
      <x:c r="B3779" s="26" t="n">
        <x:v>43595.15813657407</x:v>
      </x:c>
      <x:c r="C3779" s="27" t="n">
        <x:f>INT(B3779)</x:f>
        <x:v>43595</x:v>
      </x:c>
      <x:c r="D3779" s="28" t="n">
        <x:f>MOD(B3779,1)</x:f>
        <x:v>0.15813657407124992</x:v>
      </x:c>
      <x:c r="E3779" s="29" t="n">
        <x:f>YEAR(B3779)</x:f>
        <x:v>2019</x:v>
      </x:c>
      <x:c r="F3779" s="29" t="n">
        <x:f>MONTH(B3779)</x:f>
        <x:v>5</x:v>
      </x:c>
      <x:c r="G3779" s="30" t="n">
        <x:v>-29.92</x:v>
      </x:c>
      <x:c r="H3779" s="30" t="n">
        <x:v>-71.38</x:v>
      </x:c>
      <x:c r="I3779" s="29" t="n">
        <x:v>50</x:v>
      </x:c>
      <x:c r="J3779" s="31" t="n">
        <x:v>3</x:v>
      </x:c>
      <x:c r="K3779" s="25" t="str">
        <x:f>IF(J3779&gt;=7,"Muy fuerte (&gt;=7)",IF(J3779&gt;=6,"Fuerte (6-6.9)",IF(J3779&gt;=5,"Moderado alto (5-5.9)",IF(J3779&gt;=4,"Moderado (4-4.9)","Menor a 4"))))</x:f>
        <x:v>Menor a 4</x:v>
      </x:c>
      <x:c r="L3779" s="25" t="str">
        <x:f>IF(I3779&lt;70,"Superficial (&lt;70 km)",IF(I3779&lt;=300,"Intermedio (70-300 km)","Profundo (&gt;300 km)"))</x:f>
        <x:v>Superficial (&lt;70 km)</x:v>
      </x:c>
      <x:c r="M3779" s="25" t="str">
        <x:f>IF(J3779&gt;=5,"Sí","No")</x:f>
        <x:v>No</x:v>
      </x:c>
      <x:c r="N3779" s="25" t="str">
        <x:f>IF(J3779&gt;=6,"Sí","No")</x:f>
        <x:v>No</x:v>
      </x:c>
      <x:c r="O3779" s="25" t="str">
        <x:v>Pendiente: asignar con R/sf</x:v>
      </x:c>
    </x:row>
    <x:row r="3780">
      <x:c r="A3780" s="25" t="n">
        <x:v>3779</x:v>
      </x:c>
      <x:c r="B3780" s="26" t="n">
        <x:v>44157.03815972222</x:v>
      </x:c>
      <x:c r="C3780" s="27" t="n">
        <x:f>INT(B3780)</x:f>
        <x:v>44157</x:v>
      </x:c>
      <x:c r="D3780" s="28" t="n">
        <x:f>MOD(B3780,1)</x:f>
        <x:v>0.038159722222189885</x:v>
      </x:c>
      <x:c r="E3780" s="29" t="n">
        <x:f>YEAR(B3780)</x:f>
        <x:v>2020</x:v>
      </x:c>
      <x:c r="F3780" s="29" t="n">
        <x:f>MONTH(B3780)</x:f>
        <x:v>11</x:v>
      </x:c>
      <x:c r="G3780" s="30" t="n">
        <x:v>-34.63</x:v>
      </x:c>
      <x:c r="H3780" s="30" t="n">
        <x:v>-73.06</x:v>
      </x:c>
      <x:c r="I3780" s="29" t="n">
        <x:v>41</x:v>
      </x:c>
      <x:c r="J3780" s="31" t="n">
        <x:v>6</x:v>
      </x:c>
      <x:c r="K3780" s="25" t="str">
        <x:f>IF(J3780&gt;=7,"Muy fuerte (&gt;=7)",IF(J3780&gt;=6,"Fuerte (6-6.9)",IF(J3780&gt;=5,"Moderado alto (5-5.9)",IF(J3780&gt;=4,"Moderado (4-4.9)","Menor a 4"))))</x:f>
        <x:v>Fuerte (6-6.9)</x:v>
      </x:c>
      <x:c r="L3780" s="25" t="str">
        <x:f>IF(I3780&lt;70,"Superficial (&lt;70 km)",IF(I3780&lt;=300,"Intermedio (70-300 km)","Profundo (&gt;300 km)"))</x:f>
        <x:v>Superficial (&lt;70 km)</x:v>
      </x:c>
      <x:c r="M3780" s="25" t="str">
        <x:f>IF(J3780&gt;=5,"Sí","No")</x:f>
        <x:v>Sí</x:v>
      </x:c>
      <x:c r="N3780" s="25" t="str">
        <x:f>IF(J3780&gt;=6,"Sí","No")</x:f>
        <x:v>Sí</x:v>
      </x:c>
      <x:c r="O3780" s="25" t="str">
        <x:v>Pendiente: asignar con R/sf</x:v>
      </x:c>
    </x:row>
    <x:row r="3781">
      <x:c r="A3781" s="25" t="n">
        <x:v>3780</x:v>
      </x:c>
      <x:c r="B3781" s="26" t="n">
        <x:v>43677.34446759259</x:v>
      </x:c>
      <x:c r="C3781" s="27" t="n">
        <x:f>INT(B3781)</x:f>
        <x:v>43677</x:v>
      </x:c>
      <x:c r="D3781" s="28" t="n">
        <x:f>MOD(B3781,1)</x:f>
        <x:v>0.3444675925929914</x:v>
      </x:c>
      <x:c r="E3781" s="29" t="n">
        <x:f>YEAR(B3781)</x:f>
        <x:v>2019</x:v>
      </x:c>
      <x:c r="F3781" s="29" t="n">
        <x:f>MONTH(B3781)</x:f>
        <x:v>7</x:v>
      </x:c>
      <x:c r="G3781" s="30" t="n">
        <x:v>-30.21</x:v>
      </x:c>
      <x:c r="H3781" s="30" t="n">
        <x:v>-71.25</x:v>
      </x:c>
      <x:c r="I3781" s="29" t="n">
        <x:v>54</x:v>
      </x:c>
      <x:c r="J3781" s="31" t="n">
        <x:v>3.7</x:v>
      </x:c>
      <x:c r="K3781" s="25" t="str">
        <x:f>IF(J3781&gt;=7,"Muy fuerte (&gt;=7)",IF(J3781&gt;=6,"Fuerte (6-6.9)",IF(J3781&gt;=5,"Moderado alto (5-5.9)",IF(J3781&gt;=4,"Moderado (4-4.9)","Menor a 4"))))</x:f>
        <x:v>Menor a 4</x:v>
      </x:c>
      <x:c r="L3781" s="25" t="str">
        <x:f>IF(I3781&lt;70,"Superficial (&lt;70 km)",IF(I3781&lt;=300,"Intermedio (70-300 km)","Profundo (&gt;300 km)"))</x:f>
        <x:v>Superficial (&lt;70 km)</x:v>
      </x:c>
      <x:c r="M3781" s="25" t="str">
        <x:f>IF(J3781&gt;=5,"Sí","No")</x:f>
        <x:v>No</x:v>
      </x:c>
      <x:c r="N3781" s="25" t="str">
        <x:f>IF(J3781&gt;=6,"Sí","No")</x:f>
        <x:v>No</x:v>
      </x:c>
      <x:c r="O3781" s="25" t="str">
        <x:v>Pendiente: asignar con R/sf</x:v>
      </x:c>
    </x:row>
    <x:row r="3782">
      <x:c r="A3782" s="25" t="n">
        <x:v>3781</x:v>
      </x:c>
      <x:c r="B3782" s="26" t="n">
        <x:v>43601.18921296296</x:v>
      </x:c>
      <x:c r="C3782" s="27" t="n">
        <x:f>INT(B3782)</x:f>
        <x:v>43601</x:v>
      </x:c>
      <x:c r="D3782" s="28" t="n">
        <x:f>MOD(B3782,1)</x:f>
        <x:v>0.18921296296321088</x:v>
      </x:c>
      <x:c r="E3782" s="29" t="n">
        <x:f>YEAR(B3782)</x:f>
        <x:v>2019</x:v>
      </x:c>
      <x:c r="F3782" s="29" t="n">
        <x:f>MONTH(B3782)</x:f>
        <x:v>5</x:v>
      </x:c>
      <x:c r="G3782" s="30" t="n">
        <x:v>-29.92</x:v>
      </x:c>
      <x:c r="H3782" s="30" t="n">
        <x:v>-71.42</x:v>
      </x:c>
      <x:c r="I3782" s="29" t="n">
        <x:v>53</x:v>
      </x:c>
      <x:c r="J3782" s="31" t="n">
        <x:v>3.8</x:v>
      </x:c>
      <x:c r="K3782" s="25" t="str">
        <x:f>IF(J3782&gt;=7,"Muy fuerte (&gt;=7)",IF(J3782&gt;=6,"Fuerte (6-6.9)",IF(J3782&gt;=5,"Moderado alto (5-5.9)",IF(J3782&gt;=4,"Moderado (4-4.9)","Menor a 4"))))</x:f>
        <x:v>Menor a 4</x:v>
      </x:c>
      <x:c r="L3782" s="25" t="str">
        <x:f>IF(I3782&lt;70,"Superficial (&lt;70 km)",IF(I3782&lt;=300,"Intermedio (70-300 km)","Profundo (&gt;300 km)"))</x:f>
        <x:v>Superficial (&lt;70 km)</x:v>
      </x:c>
      <x:c r="M3782" s="25" t="str">
        <x:f>IF(J3782&gt;=5,"Sí","No")</x:f>
        <x:v>No</x:v>
      </x:c>
      <x:c r="N3782" s="25" t="str">
        <x:f>IF(J3782&gt;=6,"Sí","No")</x:f>
        <x:v>No</x:v>
      </x:c>
      <x:c r="O3782" s="25" t="str">
        <x:v>Pendiente: asignar con R/sf</x:v>
      </x:c>
    </x:row>
    <x:row r="3783">
      <x:c r="A3783" s="25" t="n">
        <x:v>3782</x:v>
      </x:c>
      <x:c r="B3783" s="26" t="n">
        <x:v>43875.90094907407</x:v>
      </x:c>
      <x:c r="C3783" s="27" t="n">
        <x:f>INT(B3783)</x:f>
        <x:v>43875</x:v>
      </x:c>
      <x:c r="D3783" s="28" t="n">
        <x:f>MOD(B3783,1)</x:f>
        <x:v>0.900949074071832</x:v>
      </x:c>
      <x:c r="E3783" s="29" t="n">
        <x:f>YEAR(B3783)</x:f>
        <x:v>2020</x:v>
      </x:c>
      <x:c r="F3783" s="29" t="n">
        <x:f>MONTH(B3783)</x:f>
        <x:v>2</x:v>
      </x:c>
      <x:c r="G3783" s="30" t="n">
        <x:v>-30.1</x:v>
      </x:c>
      <x:c r="H3783" s="30" t="n">
        <x:v>-71.27</x:v>
      </x:c>
      <x:c r="I3783" s="29" t="n">
        <x:v>63</x:v>
      </x:c>
      <x:c r="J3783" s="31" t="n">
        <x:v>3.5</x:v>
      </x:c>
      <x:c r="K3783" s="25" t="str">
        <x:f>IF(J3783&gt;=7,"Muy fuerte (&gt;=7)",IF(J3783&gt;=6,"Fuerte (6-6.9)",IF(J3783&gt;=5,"Moderado alto (5-5.9)",IF(J3783&gt;=4,"Moderado (4-4.9)","Menor a 4"))))</x:f>
        <x:v>Menor a 4</x:v>
      </x:c>
      <x:c r="L3783" s="25" t="str">
        <x:f>IF(I3783&lt;70,"Superficial (&lt;70 km)",IF(I3783&lt;=300,"Intermedio (70-300 km)","Profundo (&gt;300 km)"))</x:f>
        <x:v>Superficial (&lt;70 km)</x:v>
      </x:c>
      <x:c r="M3783" s="25" t="str">
        <x:f>IF(J3783&gt;=5,"Sí","No")</x:f>
        <x:v>No</x:v>
      </x:c>
      <x:c r="N3783" s="25" t="str">
        <x:f>IF(J3783&gt;=6,"Sí","No")</x:f>
        <x:v>No</x:v>
      </x:c>
      <x:c r="O3783" s="25" t="str">
        <x:v>Pendiente: asignar con R/sf</x:v>
      </x:c>
    </x:row>
    <x:row r="3784">
      <x:c r="A3784" s="25" t="n">
        <x:v>3783</x:v>
      </x:c>
      <x:c r="B3784" s="26" t="n">
        <x:v>43785.29064814815</x:v>
      </x:c>
      <x:c r="C3784" s="27" t="n">
        <x:f>INT(B3784)</x:f>
        <x:v>43785</x:v>
      </x:c>
      <x:c r="D3784" s="28" t="n">
        <x:f>MOD(B3784,1)</x:f>
        <x:v>0.29064814814773854</x:v>
      </x:c>
      <x:c r="E3784" s="29" t="n">
        <x:f>YEAR(B3784)</x:f>
        <x:v>2019</x:v>
      </x:c>
      <x:c r="F3784" s="29" t="n">
        <x:f>MONTH(B3784)</x:f>
        <x:v>11</x:v>
      </x:c>
      <x:c r="G3784" s="30" t="n">
        <x:v>-30.26</x:v>
      </x:c>
      <x:c r="H3784" s="30" t="n">
        <x:v>-71.21</x:v>
      </x:c>
      <x:c r="I3784" s="29" t="n">
        <x:v>63</x:v>
      </x:c>
      <x:c r="J3784" s="31" t="n">
        <x:v>3.9</x:v>
      </x:c>
      <x:c r="K3784" s="25" t="str">
        <x:f>IF(J3784&gt;=7,"Muy fuerte (&gt;=7)",IF(J3784&gt;=6,"Fuerte (6-6.9)",IF(J3784&gt;=5,"Moderado alto (5-5.9)",IF(J3784&gt;=4,"Moderado (4-4.9)","Menor a 4"))))</x:f>
        <x:v>Menor a 4</x:v>
      </x:c>
      <x:c r="L3784" s="25" t="str">
        <x:f>IF(I3784&lt;70,"Superficial (&lt;70 km)",IF(I3784&lt;=300,"Intermedio (70-300 km)","Profundo (&gt;300 km)"))</x:f>
        <x:v>Superficial (&lt;70 km)</x:v>
      </x:c>
      <x:c r="M3784" s="25" t="str">
        <x:f>IF(J3784&gt;=5,"Sí","No")</x:f>
        <x:v>No</x:v>
      </x:c>
      <x:c r="N3784" s="25" t="str">
        <x:f>IF(J3784&gt;=6,"Sí","No")</x:f>
        <x:v>No</x:v>
      </x:c>
      <x:c r="O3784" s="25" t="str">
        <x:v>Pendiente: asignar con R/sf</x:v>
      </x:c>
    </x:row>
    <x:row r="3785">
      <x:c r="A3785" s="25" t="n">
        <x:v>3784</x:v>
      </x:c>
      <x:c r="B3785" s="26" t="n">
        <x:v>43846.487442129626</x:v>
      </x:c>
      <x:c r="C3785" s="27" t="n">
        <x:f>INT(B3785)</x:f>
        <x:v>43846</x:v>
      </x:c>
      <x:c r="D3785" s="28" t="n">
        <x:f>MOD(B3785,1)</x:f>
        <x:v>0.4874421296262881</x:v>
      </x:c>
      <x:c r="E3785" s="29" t="n">
        <x:f>YEAR(B3785)</x:f>
        <x:v>2020</x:v>
      </x:c>
      <x:c r="F3785" s="29" t="n">
        <x:f>MONTH(B3785)</x:f>
        <x:v>1</x:v>
      </x:c>
      <x:c r="G3785" s="30" t="n">
        <x:v>-29.93</x:v>
      </x:c>
      <x:c r="H3785" s="30" t="n">
        <x:v>-71.36</x:v>
      </x:c>
      <x:c r="I3785" s="29" t="n">
        <x:v>50</x:v>
      </x:c>
      <x:c r="J3785" s="31" t="n">
        <x:v>3.4</x:v>
      </x:c>
      <x:c r="K3785" s="25" t="str">
        <x:f>IF(J3785&gt;=7,"Muy fuerte (&gt;=7)",IF(J3785&gt;=6,"Fuerte (6-6.9)",IF(J3785&gt;=5,"Moderado alto (5-5.9)",IF(J3785&gt;=4,"Moderado (4-4.9)","Menor a 4"))))</x:f>
        <x:v>Menor a 4</x:v>
      </x:c>
      <x:c r="L3785" s="25" t="str">
        <x:f>IF(I3785&lt;70,"Superficial (&lt;70 km)",IF(I3785&lt;=300,"Intermedio (70-300 km)","Profundo (&gt;300 km)"))</x:f>
        <x:v>Superficial (&lt;70 km)</x:v>
      </x:c>
      <x:c r="M3785" s="25" t="str">
        <x:f>IF(J3785&gt;=5,"Sí","No")</x:f>
        <x:v>No</x:v>
      </x:c>
      <x:c r="N3785" s="25" t="str">
        <x:f>IF(J3785&gt;=6,"Sí","No")</x:f>
        <x:v>No</x:v>
      </x:c>
      <x:c r="O3785" s="25" t="str">
        <x:v>Pendiente: asignar con R/sf</x:v>
      </x:c>
    </x:row>
    <x:row r="3786">
      <x:c r="A3786" s="25" t="n">
        <x:v>3785</x:v>
      </x:c>
      <x:c r="B3786" s="26" t="n">
        <x:v>43905.31905092593</x:v>
      </x:c>
      <x:c r="C3786" s="27" t="n">
        <x:f>INT(B3786)</x:f>
        <x:v>43905</x:v>
      </x:c>
      <x:c r="D3786" s="28" t="n">
        <x:f>MOD(B3786,1)</x:f>
        <x:v>0.31905092592933215</x:v>
      </x:c>
      <x:c r="E3786" s="29" t="n">
        <x:f>YEAR(B3786)</x:f>
        <x:v>2020</x:v>
      </x:c>
      <x:c r="F3786" s="29" t="n">
        <x:f>MONTH(B3786)</x:f>
        <x:v>3</x:v>
      </x:c>
      <x:c r="G3786" s="30" t="n">
        <x:v>-30.07</x:v>
      </x:c>
      <x:c r="H3786" s="30" t="n">
        <x:v>-71.28</x:v>
      </x:c>
      <x:c r="I3786" s="29" t="n">
        <x:v>64</x:v>
      </x:c>
      <x:c r="J3786" s="31" t="n">
        <x:v>3.6</x:v>
      </x:c>
      <x:c r="K3786" s="25" t="str">
        <x:f>IF(J3786&gt;=7,"Muy fuerte (&gt;=7)",IF(J3786&gt;=6,"Fuerte (6-6.9)",IF(J3786&gt;=5,"Moderado alto (5-5.9)",IF(J3786&gt;=4,"Moderado (4-4.9)","Menor a 4"))))</x:f>
        <x:v>Menor a 4</x:v>
      </x:c>
      <x:c r="L3786" s="25" t="str">
        <x:f>IF(I3786&lt;70,"Superficial (&lt;70 km)",IF(I3786&lt;=300,"Intermedio (70-300 km)","Profundo (&gt;300 km)"))</x:f>
        <x:v>Superficial (&lt;70 km)</x:v>
      </x:c>
      <x:c r="M3786" s="25" t="str">
        <x:f>IF(J3786&gt;=5,"Sí","No")</x:f>
        <x:v>No</x:v>
      </x:c>
      <x:c r="N3786" s="25" t="str">
        <x:f>IF(J3786&gt;=6,"Sí","No")</x:f>
        <x:v>No</x:v>
      </x:c>
      <x:c r="O3786" s="25" t="str">
        <x:v>Pendiente: asignar con R/sf</x:v>
      </x:c>
    </x:row>
    <x:row r="3787">
      <x:c r="A3787" s="25" t="n">
        <x:v>3786</x:v>
      </x:c>
      <x:c r="B3787" s="26" t="n">
        <x:v>44156.091516203705</x:v>
      </x:c>
      <x:c r="C3787" s="27" t="n">
        <x:f>INT(B3787)</x:f>
        <x:v>44156</x:v>
      </x:c>
      <x:c r="D3787" s="28" t="n">
        <x:f>MOD(B3787,1)</x:f>
        <x:v>0.09151620370539604</x:v>
      </x:c>
      <x:c r="E3787" s="29" t="n">
        <x:f>YEAR(B3787)</x:f>
        <x:v>2020</x:v>
      </x:c>
      <x:c r="F3787" s="29" t="n">
        <x:f>MONTH(B3787)</x:f>
        <x:v>11</x:v>
      </x:c>
      <x:c r="G3787" s="30" t="n">
        <x:v>-30.92</x:v>
      </x:c>
      <x:c r="H3787" s="30" t="n">
        <x:v>-71.26</x:v>
      </x:c>
      <x:c r="I3787" s="29" t="n">
        <x:v>56</x:v>
      </x:c>
      <x:c r="J3787" s="31" t="n">
        <x:v>5.6</x:v>
      </x:c>
      <x:c r="K3787" s="25" t="str">
        <x:f>IF(J3787&gt;=7,"Muy fuerte (&gt;=7)",IF(J3787&gt;=6,"Fuerte (6-6.9)",IF(J3787&gt;=5,"Moderado alto (5-5.9)",IF(J3787&gt;=4,"Moderado (4-4.9)","Menor a 4"))))</x:f>
        <x:v>Moderado alto (5-5.9)</x:v>
      </x:c>
      <x:c r="L3787" s="25" t="str">
        <x:f>IF(I3787&lt;70,"Superficial (&lt;70 km)",IF(I3787&lt;=300,"Intermedio (70-300 km)","Profundo (&gt;300 km)"))</x:f>
        <x:v>Superficial (&lt;70 km)</x:v>
      </x:c>
      <x:c r="M3787" s="25" t="str">
        <x:f>IF(J3787&gt;=5,"Sí","No")</x:f>
        <x:v>Sí</x:v>
      </x:c>
      <x:c r="N3787" s="25" t="str">
        <x:f>IF(J3787&gt;=6,"Sí","No")</x:f>
        <x:v>No</x:v>
      </x:c>
      <x:c r="O3787" s="25" t="str">
        <x:v>Pendiente: asignar con R/sf</x:v>
      </x:c>
    </x:row>
    <x:row r="3788">
      <x:c r="A3788" s="25" t="n">
        <x:v>3787</x:v>
      </x:c>
      <x:c r="B3788" s="26" t="n">
        <x:v>43763.45381944445</x:v>
      </x:c>
      <x:c r="C3788" s="27" t="n">
        <x:f>INT(B3788)</x:f>
        <x:v>43763</x:v>
      </x:c>
      <x:c r="D3788" s="28" t="n">
        <x:f>MOD(B3788,1)</x:f>
        <x:v>0.4538194444467081</x:v>
      </x:c>
      <x:c r="E3788" s="29" t="n">
        <x:f>YEAR(B3788)</x:f>
        <x:v>2019</x:v>
      </x:c>
      <x:c r="F3788" s="29" t="n">
        <x:f>MONTH(B3788)</x:f>
        <x:v>10</x:v>
      </x:c>
      <x:c r="G3788" s="30" t="n">
        <x:v>-29.9</x:v>
      </x:c>
      <x:c r="H3788" s="30" t="n">
        <x:v>-71.4</x:v>
      </x:c>
      <x:c r="I3788" s="29" t="n">
        <x:v>50</x:v>
      </x:c>
      <x:c r="J3788" s="31" t="n">
        <x:v>3.4</x:v>
      </x:c>
      <x:c r="K3788" s="25" t="str">
        <x:f>IF(J3788&gt;=7,"Muy fuerte (&gt;=7)",IF(J3788&gt;=6,"Fuerte (6-6.9)",IF(J3788&gt;=5,"Moderado alto (5-5.9)",IF(J3788&gt;=4,"Moderado (4-4.9)","Menor a 4"))))</x:f>
        <x:v>Menor a 4</x:v>
      </x:c>
      <x:c r="L3788" s="25" t="str">
        <x:f>IF(I3788&lt;70,"Superficial (&lt;70 km)",IF(I3788&lt;=300,"Intermedio (70-300 km)","Profundo (&gt;300 km)"))</x:f>
        <x:v>Superficial (&lt;70 km)</x:v>
      </x:c>
      <x:c r="M3788" s="25" t="str">
        <x:f>IF(J3788&gt;=5,"Sí","No")</x:f>
        <x:v>No</x:v>
      </x:c>
      <x:c r="N3788" s="25" t="str">
        <x:f>IF(J3788&gt;=6,"Sí","No")</x:f>
        <x:v>No</x:v>
      </x:c>
      <x:c r="O3788" s="25" t="str">
        <x:v>Pendiente: asignar con R/sf</x:v>
      </x:c>
    </x:row>
    <x:row r="3789">
      <x:c r="A3789" s="25" t="n">
        <x:v>3788</x:v>
      </x:c>
      <x:c r="B3789" s="26" t="n">
        <x:v>44160.45722222222</x:v>
      </x:c>
      <x:c r="C3789" s="27" t="n">
        <x:f>INT(B3789)</x:f>
        <x:v>44160</x:v>
      </x:c>
      <x:c r="D3789" s="28" t="n">
        <x:f>MOD(B3789,1)</x:f>
        <x:v>0.45722222221957054</x:v>
      </x:c>
      <x:c r="E3789" s="29" t="n">
        <x:f>YEAR(B3789)</x:f>
        <x:v>2020</x:v>
      </x:c>
      <x:c r="F3789" s="29" t="n">
        <x:f>MONTH(B3789)</x:f>
        <x:v>11</x:v>
      </x:c>
      <x:c r="G3789" s="30" t="n">
        <x:v>-35.61</x:v>
      </x:c>
      <x:c r="H3789" s="30" t="n">
        <x:v>-71.62</x:v>
      </x:c>
      <x:c r="I3789" s="29" t="n">
        <x:v>84</x:v>
      </x:c>
      <x:c r="J3789" s="31" t="n">
        <x:v>5</x:v>
      </x:c>
      <x:c r="K3789" s="25" t="str">
        <x:f>IF(J3789&gt;=7,"Muy fuerte (&gt;=7)",IF(J3789&gt;=6,"Fuerte (6-6.9)",IF(J3789&gt;=5,"Moderado alto (5-5.9)",IF(J3789&gt;=4,"Moderado (4-4.9)","Menor a 4"))))</x:f>
        <x:v>Moderado alto (5-5.9)</x:v>
      </x:c>
      <x:c r="L3789" s="25" t="str">
        <x:f>IF(I3789&lt;70,"Superficial (&lt;70 km)",IF(I3789&lt;=300,"Intermedio (70-300 km)","Profundo (&gt;300 km)"))</x:f>
        <x:v>Intermedio (70-300 km)</x:v>
      </x:c>
      <x:c r="M3789" s="25" t="str">
        <x:f>IF(J3789&gt;=5,"Sí","No")</x:f>
        <x:v>Sí</x:v>
      </x:c>
      <x:c r="N3789" s="25" t="str">
        <x:f>IF(J3789&gt;=6,"Sí","No")</x:f>
        <x:v>No</x:v>
      </x:c>
      <x:c r="O3789" s="25" t="str">
        <x:v>Pendiente: asignar con R/sf</x:v>
      </x:c>
    </x:row>
    <x:row r="3790">
      <x:c r="A3790" s="25" t="n">
        <x:v>3789</x:v>
      </x:c>
      <x:c r="B3790" s="26" t="n">
        <x:v>43670.383935185186</x:v>
      </x:c>
      <x:c r="C3790" s="27" t="n">
        <x:f>INT(B3790)</x:f>
        <x:v>43670</x:v>
      </x:c>
      <x:c r="D3790" s="28" t="n">
        <x:f>MOD(B3790,1)</x:f>
        <x:v>0.3839351851856918</x:v>
      </x:c>
      <x:c r="E3790" s="29" t="n">
        <x:f>YEAR(B3790)</x:f>
        <x:v>2019</x:v>
      </x:c>
      <x:c r="F3790" s="29" t="n">
        <x:f>MONTH(B3790)</x:f>
        <x:v>7</x:v>
      </x:c>
      <x:c r="G3790" s="30" t="n">
        <x:v>-30.07</x:v>
      </x:c>
      <x:c r="H3790" s="30" t="n">
        <x:v>-71.26</x:v>
      </x:c>
      <x:c r="I3790" s="29" t="n">
        <x:v>68</x:v>
      </x:c>
      <x:c r="J3790" s="31" t="n">
        <x:v>3.5</x:v>
      </x:c>
      <x:c r="K3790" s="25" t="str">
        <x:f>IF(J3790&gt;=7,"Muy fuerte (&gt;=7)",IF(J3790&gt;=6,"Fuerte (6-6.9)",IF(J3790&gt;=5,"Moderado alto (5-5.9)",IF(J3790&gt;=4,"Moderado (4-4.9)","Menor a 4"))))</x:f>
        <x:v>Menor a 4</x:v>
      </x:c>
      <x:c r="L3790" s="25" t="str">
        <x:f>IF(I3790&lt;70,"Superficial (&lt;70 km)",IF(I3790&lt;=300,"Intermedio (70-300 km)","Profundo (&gt;300 km)"))</x:f>
        <x:v>Superficial (&lt;70 km)</x:v>
      </x:c>
      <x:c r="M3790" s="25" t="str">
        <x:f>IF(J3790&gt;=5,"Sí","No")</x:f>
        <x:v>No</x:v>
      </x:c>
      <x:c r="N3790" s="25" t="str">
        <x:f>IF(J3790&gt;=6,"Sí","No")</x:f>
        <x:v>No</x:v>
      </x:c>
      <x:c r="O3790" s="25" t="str">
        <x:v>Pendiente: asignar con R/sf</x:v>
      </x:c>
    </x:row>
    <x:row r="3791">
      <x:c r="A3791" s="25" t="n">
        <x:v>3790</x:v>
      </x:c>
      <x:c r="B3791" s="26" t="n">
        <x:v>44149.6037037037</x:v>
      </x:c>
      <x:c r="C3791" s="27" t="n">
        <x:f>INT(B3791)</x:f>
        <x:v>44149</x:v>
      </x:c>
      <x:c r="D3791" s="28" t="n">
        <x:f>MOD(B3791,1)</x:f>
        <x:v>0.6037037037021946</x:v>
      </x:c>
      <x:c r="E3791" s="29" t="n">
        <x:f>YEAR(B3791)</x:f>
        <x:v>2020</x:v>
      </x:c>
      <x:c r="F3791" s="29" t="n">
        <x:f>MONTH(B3791)</x:f>
        <x:v>11</x:v>
      </x:c>
      <x:c r="G3791" s="30" t="n">
        <x:v>-20.39</x:v>
      </x:c>
      <x:c r="H3791" s="30" t="n">
        <x:v>-69.22</x:v>
      </x:c>
      <x:c r="I3791" s="29" t="n">
        <x:v>97</x:v>
      </x:c>
      <x:c r="J3791" s="31" t="n">
        <x:v>4.9</x:v>
      </x:c>
      <x:c r="K3791" s="25" t="str">
        <x:f>IF(J3791&gt;=7,"Muy fuerte (&gt;=7)",IF(J3791&gt;=6,"Fuerte (6-6.9)",IF(J3791&gt;=5,"Moderado alto (5-5.9)",IF(J3791&gt;=4,"Moderado (4-4.9)","Menor a 4"))))</x:f>
        <x:v>Moderado (4-4.9)</x:v>
      </x:c>
      <x:c r="L3791" s="25" t="str">
        <x:f>IF(I3791&lt;70,"Superficial (&lt;70 km)",IF(I3791&lt;=300,"Intermedio (70-300 km)","Profundo (&gt;300 km)"))</x:f>
        <x:v>Intermedio (70-300 km)</x:v>
      </x:c>
      <x:c r="M3791" s="25" t="str">
        <x:f>IF(J3791&gt;=5,"Sí","No")</x:f>
        <x:v>No</x:v>
      </x:c>
      <x:c r="N3791" s="25" t="str">
        <x:f>IF(J3791&gt;=6,"Sí","No")</x:f>
        <x:v>No</x:v>
      </x:c>
      <x:c r="O3791" s="25" t="str">
        <x:v>Pendiente: asignar con R/sf</x:v>
      </x:c>
    </x:row>
    <x:row r="3792">
      <x:c r="A3792" s="25" t="n">
        <x:v>3791</x:v>
      </x:c>
      <x:c r="B3792" s="26" t="n">
        <x:v>44153.35193287037</x:v>
      </x:c>
      <x:c r="C3792" s="27" t="n">
        <x:f>INT(B3792)</x:f>
        <x:v>44153</x:v>
      </x:c>
      <x:c r="D3792" s="28" t="n">
        <x:f>MOD(B3792,1)</x:f>
        <x:v>0.3519328703696374</x:v>
      </x:c>
      <x:c r="E3792" s="29" t="n">
        <x:f>YEAR(B3792)</x:f>
        <x:v>2020</x:v>
      </x:c>
      <x:c r="F3792" s="29" t="n">
        <x:f>MONTH(B3792)</x:f>
        <x:v>11</x:v>
      </x:c>
      <x:c r="G3792" s="30" t="n">
        <x:v>-20.32</x:v>
      </x:c>
      <x:c r="H3792" s="30" t="n">
        <x:v>-69.07</x:v>
      </x:c>
      <x:c r="I3792" s="29" t="n">
        <x:v>97</x:v>
      </x:c>
      <x:c r="J3792" s="31" t="n">
        <x:v>4.3</x:v>
      </x:c>
      <x:c r="K3792" s="25" t="str">
        <x:f>IF(J3792&gt;=7,"Muy fuerte (&gt;=7)",IF(J3792&gt;=6,"Fuerte (6-6.9)",IF(J3792&gt;=5,"Moderado alto (5-5.9)",IF(J3792&gt;=4,"Moderado (4-4.9)","Menor a 4"))))</x:f>
        <x:v>Moderado (4-4.9)</x:v>
      </x:c>
      <x:c r="L3792" s="25" t="str">
        <x:f>IF(I3792&lt;70,"Superficial (&lt;70 km)",IF(I3792&lt;=300,"Intermedio (70-300 km)","Profundo (&gt;300 km)"))</x:f>
        <x:v>Intermedio (70-300 km)</x:v>
      </x:c>
      <x:c r="M3792" s="25" t="str">
        <x:f>IF(J3792&gt;=5,"Sí","No")</x:f>
        <x:v>No</x:v>
      </x:c>
      <x:c r="N3792" s="25" t="str">
        <x:f>IF(J3792&gt;=6,"Sí","No")</x:f>
        <x:v>No</x:v>
      </x:c>
      <x:c r="O3792" s="25" t="str">
        <x:v>Pendiente: asignar con R/sf</x:v>
      </x:c>
    </x:row>
    <x:row r="3793">
      <x:c r="A3793" s="25" t="n">
        <x:v>3792</x:v>
      </x:c>
      <x:c r="B3793" s="26" t="n">
        <x:v>43963.35395833333</x:v>
      </x:c>
      <x:c r="C3793" s="27" t="n">
        <x:f>INT(B3793)</x:f>
        <x:v>43963</x:v>
      </x:c>
      <x:c r="D3793" s="28" t="n">
        <x:f>MOD(B3793,1)</x:f>
        <x:v>0.3539583333331393</x:v>
      </x:c>
      <x:c r="E3793" s="29" t="n">
        <x:f>YEAR(B3793)</x:f>
        <x:v>2020</x:v>
      </x:c>
      <x:c r="F3793" s="29" t="n">
        <x:f>MONTH(B3793)</x:f>
        <x:v>5</x:v>
      </x:c>
      <x:c r="G3793" s="30" t="n">
        <x:v>-29.99</x:v>
      </x:c>
      <x:c r="H3793" s="30" t="n">
        <x:v>-71.22</x:v>
      </x:c>
      <x:c r="I3793" s="29" t="n">
        <x:v>59</x:v>
      </x:c>
      <x:c r="J3793" s="31" t="n">
        <x:v>3.7</x:v>
      </x:c>
      <x:c r="K3793" s="25" t="str">
        <x:f>IF(J3793&gt;=7,"Muy fuerte (&gt;=7)",IF(J3793&gt;=6,"Fuerte (6-6.9)",IF(J3793&gt;=5,"Moderado alto (5-5.9)",IF(J3793&gt;=4,"Moderado (4-4.9)","Menor a 4"))))</x:f>
        <x:v>Menor a 4</x:v>
      </x:c>
      <x:c r="L3793" s="25" t="str">
        <x:f>IF(I3793&lt;70,"Superficial (&lt;70 km)",IF(I3793&lt;=300,"Intermedio (70-300 km)","Profundo (&gt;300 km)"))</x:f>
        <x:v>Superficial (&lt;70 km)</x:v>
      </x:c>
      <x:c r="M3793" s="25" t="str">
        <x:f>IF(J3793&gt;=5,"Sí","No")</x:f>
        <x:v>No</x:v>
      </x:c>
      <x:c r="N3793" s="25" t="str">
        <x:f>IF(J3793&gt;=6,"Sí","No")</x:f>
        <x:v>No</x:v>
      </x:c>
      <x:c r="O3793" s="25" t="str">
        <x:v>Pendiente: asignar con R/sf</x:v>
      </x:c>
    </x:row>
    <x:row r="3794">
      <x:c r="A3794" s="25" t="n">
        <x:v>3793</x:v>
      </x:c>
      <x:c r="B3794" s="26" t="n">
        <x:v>43999.03525462963</x:v>
      </x:c>
      <x:c r="C3794" s="27" t="n">
        <x:f>INT(B3794)</x:f>
        <x:v>43999</x:v>
      </x:c>
      <x:c r="D3794" s="28" t="n">
        <x:f>MOD(B3794,1)</x:f>
        <x:v>0.035254629627161194</x:v>
      </x:c>
      <x:c r="E3794" s="29" t="n">
        <x:f>YEAR(B3794)</x:f>
        <x:v>2020</x:v>
      </x:c>
      <x:c r="F3794" s="29" t="n">
        <x:f>MONTH(B3794)</x:f>
        <x:v>6</x:v>
      </x:c>
      <x:c r="G3794" s="30" t="n">
        <x:v>-36.66</x:v>
      </x:c>
      <x:c r="H3794" s="30" t="n">
        <x:v>-73.13</x:v>
      </x:c>
      <x:c r="I3794" s="29" t="n">
        <x:v>29</x:v>
      </x:c>
      <x:c r="J3794" s="31" t="n">
        <x:v>4.7</x:v>
      </x:c>
      <x:c r="K3794" s="25" t="str">
        <x:f>IF(J3794&gt;=7,"Muy fuerte (&gt;=7)",IF(J3794&gt;=6,"Fuerte (6-6.9)",IF(J3794&gt;=5,"Moderado alto (5-5.9)",IF(J3794&gt;=4,"Moderado (4-4.9)","Menor a 4"))))</x:f>
        <x:v>Moderado (4-4.9)</x:v>
      </x:c>
      <x:c r="L3794" s="25" t="str">
        <x:f>IF(I3794&lt;70,"Superficial (&lt;70 km)",IF(I3794&lt;=300,"Intermedio (70-300 km)","Profundo (&gt;300 km)"))</x:f>
        <x:v>Superficial (&lt;70 km)</x:v>
      </x:c>
      <x:c r="M3794" s="25" t="str">
        <x:f>IF(J3794&gt;=5,"Sí","No")</x:f>
        <x:v>No</x:v>
      </x:c>
      <x:c r="N3794" s="25" t="str">
        <x:f>IF(J3794&gt;=6,"Sí","No")</x:f>
        <x:v>No</x:v>
      </x:c>
      <x:c r="O3794" s="25" t="str">
        <x:v>Pendiente: asignar con R/sf</x:v>
      </x:c>
    </x:row>
    <x:row r="3795">
      <x:c r="A3795" s="25" t="n">
        <x:v>3794</x:v>
      </x:c>
      <x:c r="B3795" s="26" t="n">
        <x:v>44165.954872685186</x:v>
      </x:c>
      <x:c r="C3795" s="27" t="n">
        <x:f>INT(B3795)</x:f>
        <x:v>44165</x:v>
      </x:c>
      <x:c r="D3795" s="28" t="n">
        <x:f>MOD(B3795,1)</x:f>
        <x:v>0.9548726851862739</x:v>
      </x:c>
      <x:c r="E3795" s="29" t="n">
        <x:f>YEAR(B3795)</x:f>
        <x:v>2020</x:v>
      </x:c>
      <x:c r="F3795" s="29" t="n">
        <x:f>MONTH(B3795)</x:f>
        <x:v>11</x:v>
      </x:c>
      <x:c r="G3795" s="30" t="n">
        <x:v>-24.26</x:v>
      </x:c>
      <x:c r="H3795" s="30" t="n">
        <x:v>-67.49</x:v>
      </x:c>
      <x:c r="I3795" s="29" t="n">
        <x:v>213</x:v>
      </x:c>
      <x:c r="J3795" s="31" t="n">
        <x:v>6.4</x:v>
      </x:c>
      <x:c r="K3795" s="25" t="str">
        <x:f>IF(J3795&gt;=7,"Muy fuerte (&gt;=7)",IF(J3795&gt;=6,"Fuerte (6-6.9)",IF(J3795&gt;=5,"Moderado alto (5-5.9)",IF(J3795&gt;=4,"Moderado (4-4.9)","Menor a 4"))))</x:f>
        <x:v>Fuerte (6-6.9)</x:v>
      </x:c>
      <x:c r="L3795" s="25" t="str">
        <x:f>IF(I3795&lt;70,"Superficial (&lt;70 km)",IF(I3795&lt;=300,"Intermedio (70-300 km)","Profundo (&gt;300 km)"))</x:f>
        <x:v>Intermedio (70-300 km)</x:v>
      </x:c>
      <x:c r="M3795" s="25" t="str">
        <x:f>IF(J3795&gt;=5,"Sí","No")</x:f>
        <x:v>Sí</x:v>
      </x:c>
      <x:c r="N3795" s="25" t="str">
        <x:f>IF(J3795&gt;=6,"Sí","No")</x:f>
        <x:v>Sí</x:v>
      </x:c>
      <x:c r="O3795" s="25" t="str">
        <x:v>Pendiente: asignar con R/sf</x:v>
      </x:c>
    </x:row>
    <x:row r="3796">
      <x:c r="A3796" s="25" t="n">
        <x:v>3795</x:v>
      </x:c>
      <x:c r="B3796" s="26" t="n">
        <x:v>43782.13752314815</x:v>
      </x:c>
      <x:c r="C3796" s="27" t="n">
        <x:f>INT(B3796)</x:f>
        <x:v>43782</x:v>
      </x:c>
      <x:c r="D3796" s="28" t="n">
        <x:f>MOD(B3796,1)</x:f>
        <x:v>0.13752314815064892</x:v>
      </x:c>
      <x:c r="E3796" s="29" t="n">
        <x:f>YEAR(B3796)</x:f>
        <x:v>2019</x:v>
      </x:c>
      <x:c r="F3796" s="29" t="n">
        <x:f>MONTH(B3796)</x:f>
        <x:v>11</x:v>
      </x:c>
      <x:c r="G3796" s="30" t="n">
        <x:v>-30.15</x:v>
      </x:c>
      <x:c r="H3796" s="30" t="n">
        <x:v>-71.29</x:v>
      </x:c>
      <x:c r="I3796" s="29" t="n">
        <x:v>63</x:v>
      </x:c>
      <x:c r="J3796" s="31" t="n">
        <x:v>3.7</x:v>
      </x:c>
      <x:c r="K3796" s="25" t="str">
        <x:f>IF(J3796&gt;=7,"Muy fuerte (&gt;=7)",IF(J3796&gt;=6,"Fuerte (6-6.9)",IF(J3796&gt;=5,"Moderado alto (5-5.9)",IF(J3796&gt;=4,"Moderado (4-4.9)","Menor a 4"))))</x:f>
        <x:v>Menor a 4</x:v>
      </x:c>
      <x:c r="L3796" s="25" t="str">
        <x:f>IF(I3796&lt;70,"Superficial (&lt;70 km)",IF(I3796&lt;=300,"Intermedio (70-300 km)","Profundo (&gt;300 km)"))</x:f>
        <x:v>Superficial (&lt;70 km)</x:v>
      </x:c>
      <x:c r="M3796" s="25" t="str">
        <x:f>IF(J3796&gt;=5,"Sí","No")</x:f>
        <x:v>No</x:v>
      </x:c>
      <x:c r="N3796" s="25" t="str">
        <x:f>IF(J3796&gt;=6,"Sí","No")</x:f>
        <x:v>No</x:v>
      </x:c>
      <x:c r="O3796" s="25" t="str">
        <x:v>Pendiente: asignar con R/sf</x:v>
      </x:c>
    </x:row>
    <x:row r="3797">
      <x:c r="A3797" s="25" t="n">
        <x:v>3796</x:v>
      </x:c>
      <x:c r="B3797" s="26" t="n">
        <x:v>44179.63946759259</x:v>
      </x:c>
      <x:c r="C3797" s="27" t="n">
        <x:f>INT(B3797)</x:f>
        <x:v>44179</x:v>
      </x:c>
      <x:c r="D3797" s="28" t="n">
        <x:f>MOD(B3797,1)</x:f>
        <x:v>0.6394675925912452</x:v>
      </x:c>
      <x:c r="E3797" s="29" t="n">
        <x:f>YEAR(B3797)</x:f>
        <x:v>2020</x:v>
      </x:c>
      <x:c r="F3797" s="29" t="n">
        <x:f>MONTH(B3797)</x:f>
        <x:v>12</x:v>
      </x:c>
      <x:c r="G3797" s="30" t="n">
        <x:v>-21.8</x:v>
      </x:c>
      <x:c r="H3797" s="30" t="n">
        <x:v>-68.71</x:v>
      </x:c>
      <x:c r="I3797" s="29" t="n">
        <x:v>109</x:v>
      </x:c>
      <x:c r="J3797" s="31" t="n">
        <x:v>5.9</x:v>
      </x:c>
      <x:c r="K3797" s="25" t="str">
        <x:f>IF(J3797&gt;=7,"Muy fuerte (&gt;=7)",IF(J3797&gt;=6,"Fuerte (6-6.9)",IF(J3797&gt;=5,"Moderado alto (5-5.9)",IF(J3797&gt;=4,"Moderado (4-4.9)","Menor a 4"))))</x:f>
        <x:v>Moderado alto (5-5.9)</x:v>
      </x:c>
      <x:c r="L3797" s="25" t="str">
        <x:f>IF(I3797&lt;70,"Superficial (&lt;70 km)",IF(I3797&lt;=300,"Intermedio (70-300 km)","Profundo (&gt;300 km)"))</x:f>
        <x:v>Intermedio (70-300 km)</x:v>
      </x:c>
      <x:c r="M3797" s="25" t="str">
        <x:f>IF(J3797&gt;=5,"Sí","No")</x:f>
        <x:v>Sí</x:v>
      </x:c>
      <x:c r="N3797" s="25" t="str">
        <x:f>IF(J3797&gt;=6,"Sí","No")</x:f>
        <x:v>No</x:v>
      </x:c>
      <x:c r="O3797" s="25" t="str">
        <x:v>Pendiente: asignar con R/sf</x:v>
      </x:c>
    </x:row>
    <x:row r="3798">
      <x:c r="A3798" s="25" t="n">
        <x:v>3797</x:v>
      </x:c>
      <x:c r="B3798" s="26" t="n">
        <x:v>44167.70875</x:v>
      </x:c>
      <x:c r="C3798" s="27" t="n">
        <x:f>INT(B3798)</x:f>
        <x:v>44167</x:v>
      </x:c>
      <x:c r="D3798" s="28" t="n">
        <x:f>MOD(B3798,1)</x:f>
        <x:v>0.7087499999979627</x:v>
      </x:c>
      <x:c r="E3798" s="29" t="n">
        <x:f>YEAR(B3798)</x:f>
        <x:v>2020</x:v>
      </x:c>
      <x:c r="F3798" s="29" t="n">
        <x:f>MONTH(B3798)</x:f>
        <x:v>12</x:v>
      </x:c>
      <x:c r="G3798" s="30" t="n">
        <x:v>-24.27</x:v>
      </x:c>
      <x:c r="H3798" s="30" t="n">
        <x:v>-69.5</x:v>
      </x:c>
      <x:c r="I3798" s="29" t="n">
        <x:v>88</x:v>
      </x:c>
      <x:c r="J3798" s="31" t="n">
        <x:v>5.5</x:v>
      </x:c>
      <x:c r="K3798" s="25" t="str">
        <x:f>IF(J3798&gt;=7,"Muy fuerte (&gt;=7)",IF(J3798&gt;=6,"Fuerte (6-6.9)",IF(J3798&gt;=5,"Moderado alto (5-5.9)",IF(J3798&gt;=4,"Moderado (4-4.9)","Menor a 4"))))</x:f>
        <x:v>Moderado alto (5-5.9)</x:v>
      </x:c>
      <x:c r="L3798" s="25" t="str">
        <x:f>IF(I3798&lt;70,"Superficial (&lt;70 km)",IF(I3798&lt;=300,"Intermedio (70-300 km)","Profundo (&gt;300 km)"))</x:f>
        <x:v>Intermedio (70-300 km)</x:v>
      </x:c>
      <x:c r="M3798" s="25" t="str">
        <x:f>IF(J3798&gt;=5,"Sí","No")</x:f>
        <x:v>Sí</x:v>
      </x:c>
      <x:c r="N3798" s="25" t="str">
        <x:f>IF(J3798&gt;=6,"Sí","No")</x:f>
        <x:v>No</x:v>
      </x:c>
      <x:c r="O3798" s="25" t="str">
        <x:v>Pendiente: asignar con R/sf</x:v>
      </x:c>
    </x:row>
    <x:row r="3799">
      <x:c r="A3799" s="25" t="n">
        <x:v>3798</x:v>
      </x:c>
      <x:c r="B3799" s="26" t="n">
        <x:v>44192.902280092596</x:v>
      </x:c>
      <x:c r="C3799" s="27" t="n">
        <x:f>INT(B3799)</x:f>
        <x:v>44192</x:v>
      </x:c>
      <x:c r="D3799" s="28" t="n">
        <x:f>MOD(B3799,1)</x:f>
        <x:v>0.9022800925959018</x:v>
      </x:c>
      <x:c r="E3799" s="29" t="n">
        <x:f>YEAR(B3799)</x:f>
        <x:v>2020</x:v>
      </x:c>
      <x:c r="F3799" s="29" t="n">
        <x:f>MONTH(B3799)</x:f>
        <x:v>12</x:v>
      </x:c>
      <x:c r="G3799" s="30" t="n">
        <x:v>-39.33</x:v>
      </x:c>
      <x:c r="H3799" s="30" t="n">
        <x:v>-74.82</x:v>
      </x:c>
      <x:c r="I3799" s="29" t="n">
        <x:v>26</x:v>
      </x:c>
      <x:c r="J3799" s="31" t="n">
        <x:v>6.2</x:v>
      </x:c>
      <x:c r="K3799" s="25" t="str">
        <x:f>IF(J3799&gt;=7,"Muy fuerte (&gt;=7)",IF(J3799&gt;=6,"Fuerte (6-6.9)",IF(J3799&gt;=5,"Moderado alto (5-5.9)",IF(J3799&gt;=4,"Moderado (4-4.9)","Menor a 4"))))</x:f>
        <x:v>Fuerte (6-6.9)</x:v>
      </x:c>
      <x:c r="L3799" s="25" t="str">
        <x:f>IF(I3799&lt;70,"Superficial (&lt;70 km)",IF(I3799&lt;=300,"Intermedio (70-300 km)","Profundo (&gt;300 km)"))</x:f>
        <x:v>Superficial (&lt;70 km)</x:v>
      </x:c>
      <x:c r="M3799" s="25" t="str">
        <x:f>IF(J3799&gt;=5,"Sí","No")</x:f>
        <x:v>Sí</x:v>
      </x:c>
      <x:c r="N3799" s="25" t="str">
        <x:f>IF(J3799&gt;=6,"Sí","No")</x:f>
        <x:v>Sí</x:v>
      </x:c>
      <x:c r="O3799" s="25" t="str">
        <x:v>Pendiente: asignar con R/sf</x:v>
      </x:c>
    </x:row>
    <x:row r="3800">
      <x:c r="A3800" s="25" t="n">
        <x:v>3799</x:v>
      </x:c>
      <x:c r="B3800" s="26" t="n">
        <x:v>44173.29675925926</x:v>
      </x:c>
      <x:c r="C3800" s="27" t="n">
        <x:f>INT(B3800)</x:f>
        <x:v>44173</x:v>
      </x:c>
      <x:c r="D3800" s="28" t="n">
        <x:f>MOD(B3800,1)</x:f>
        <x:v>0.2967592592613073</x:v>
      </x:c>
      <x:c r="E3800" s="29" t="n">
        <x:f>YEAR(B3800)</x:f>
        <x:v>2020</x:v>
      </x:c>
      <x:c r="F3800" s="29" t="n">
        <x:f>MONTH(B3800)</x:f>
        <x:v>12</x:v>
      </x:c>
      <x:c r="G3800" s="30" t="n">
        <x:v>-32.09</x:v>
      </x:c>
      <x:c r="H3800" s="30" t="n">
        <x:v>-71.47</x:v>
      </x:c>
      <x:c r="I3800" s="29" t="n">
        <x:v>58</x:v>
      </x:c>
      <x:c r="J3800" s="31" t="n">
        <x:v>5</x:v>
      </x:c>
      <x:c r="K3800" s="25" t="str">
        <x:f>IF(J3800&gt;=7,"Muy fuerte (&gt;=7)",IF(J3800&gt;=6,"Fuerte (6-6.9)",IF(J3800&gt;=5,"Moderado alto (5-5.9)",IF(J3800&gt;=4,"Moderado (4-4.9)","Menor a 4"))))</x:f>
        <x:v>Moderado alto (5-5.9)</x:v>
      </x:c>
      <x:c r="L3800" s="25" t="str">
        <x:f>IF(I3800&lt;70,"Superficial (&lt;70 km)",IF(I3800&lt;=300,"Intermedio (70-300 km)","Profundo (&gt;300 km)"))</x:f>
        <x:v>Superficial (&lt;70 km)</x:v>
      </x:c>
      <x:c r="M3800" s="25" t="str">
        <x:f>IF(J3800&gt;=5,"Sí","No")</x:f>
        <x:v>Sí</x:v>
      </x:c>
      <x:c r="N3800" s="25" t="str">
        <x:f>IF(J3800&gt;=6,"Sí","No")</x:f>
        <x:v>No</x:v>
      </x:c>
      <x:c r="O3800" s="25" t="str">
        <x:v>Pendiente: asignar con R/sf</x:v>
      </x:c>
    </x:row>
    <x:row r="3801">
      <x:c r="A3801" s="25" t="n">
        <x:v>3800</x:v>
      </x:c>
      <x:c r="B3801" s="26" t="n">
        <x:v>44171.699791666666</x:v>
      </x:c>
      <x:c r="C3801" s="27" t="n">
        <x:f>INT(B3801)</x:f>
        <x:v>44171</x:v>
      </x:c>
      <x:c r="D3801" s="28" t="n">
        <x:f>MOD(B3801,1)</x:f>
        <x:v>0.6997916666659876</x:v>
      </x:c>
      <x:c r="E3801" s="29" t="n">
        <x:f>YEAR(B3801)</x:f>
        <x:v>2020</x:v>
      </x:c>
      <x:c r="F3801" s="29" t="n">
        <x:f>MONTH(B3801)</x:f>
        <x:v>12</x:v>
      </x:c>
      <x:c r="G3801" s="30" t="n">
        <x:v>-20.36</x:v>
      </x:c>
      <x:c r="H3801" s="30" t="n">
        <x:v>-69.07</x:v>
      </x:c>
      <x:c r="I3801" s="29" t="n">
        <x:v>108</x:v>
      </x:c>
      <x:c r="J3801" s="31" t="n">
        <x:v>6.1</x:v>
      </x:c>
      <x:c r="K3801" s="25" t="str">
        <x:f>IF(J3801&gt;=7,"Muy fuerte (&gt;=7)",IF(J3801&gt;=6,"Fuerte (6-6.9)",IF(J3801&gt;=5,"Moderado alto (5-5.9)",IF(J3801&gt;=4,"Moderado (4-4.9)","Menor a 4"))))</x:f>
        <x:v>Fuerte (6-6.9)</x:v>
      </x:c>
      <x:c r="L3801" s="25" t="str">
        <x:f>IF(I3801&lt;70,"Superficial (&lt;70 km)",IF(I3801&lt;=300,"Intermedio (70-300 km)","Profundo (&gt;300 km)"))</x:f>
        <x:v>Intermedio (70-300 km)</x:v>
      </x:c>
      <x:c r="M3801" s="25" t="str">
        <x:f>IF(J3801&gt;=5,"Sí","No")</x:f>
        <x:v>Sí</x:v>
      </x:c>
      <x:c r="N3801" s="25" t="str">
        <x:f>IF(J3801&gt;=6,"Sí","No")</x:f>
        <x:v>Sí</x:v>
      </x:c>
      <x:c r="O3801" s="25" t="str">
        <x:v>Pendiente: asignar con R/sf</x:v>
      </x:c>
    </x:row>
    <x:row r="3802">
      <x:c r="A3802" s="25" t="n">
        <x:v>3801</x:v>
      </x:c>
      <x:c r="B3802" s="26" t="n">
        <x:v>44192.580104166664</x:v>
      </x:c>
      <x:c r="C3802" s="27" t="n">
        <x:f>INT(B3802)</x:f>
        <x:v>44192</x:v>
      </x:c>
      <x:c r="D3802" s="28" t="n">
        <x:f>MOD(B3802,1)</x:f>
        <x:v>0.5801041666636593</x:v>
      </x:c>
      <x:c r="E3802" s="29" t="n">
        <x:f>YEAR(B3802)</x:f>
        <x:v>2020</x:v>
      </x:c>
      <x:c r="F3802" s="29" t="n">
        <x:f>MONTH(B3802)</x:f>
        <x:v>12</x:v>
      </x:c>
      <x:c r="G3802" s="30" t="n">
        <x:v>-19.12</x:v>
      </x:c>
      <x:c r="H3802" s="30" t="n">
        <x:v>-69.52</x:v>
      </x:c>
      <x:c r="I3802" s="29" t="n">
        <x:v>115</x:v>
      </x:c>
      <x:c r="J3802" s="31" t="n">
        <x:v>5.1</x:v>
      </x:c>
      <x:c r="K3802" s="25" t="str">
        <x:f>IF(J3802&gt;=7,"Muy fuerte (&gt;=7)",IF(J3802&gt;=6,"Fuerte (6-6.9)",IF(J3802&gt;=5,"Moderado alto (5-5.9)",IF(J3802&gt;=4,"Moderado (4-4.9)","Menor a 4"))))</x:f>
        <x:v>Moderado alto (5-5.9)</x:v>
      </x:c>
      <x:c r="L3802" s="25" t="str">
        <x:f>IF(I3802&lt;70,"Superficial (&lt;70 km)",IF(I3802&lt;=300,"Intermedio (70-300 km)","Profundo (&gt;300 km)"))</x:f>
        <x:v>Intermedio (70-300 km)</x:v>
      </x:c>
      <x:c r="M3802" s="25" t="str">
        <x:f>IF(J3802&gt;=5,"Sí","No")</x:f>
        <x:v>Sí</x:v>
      </x:c>
      <x:c r="N3802" s="25" t="str">
        <x:f>IF(J3802&gt;=6,"Sí","No")</x:f>
        <x:v>No</x:v>
      </x:c>
      <x:c r="O3802" s="25" t="str">
        <x:v>Pendiente: asignar con R/sf</x:v>
      </x:c>
    </x:row>
    <x:row r="3803">
      <x:c r="A3803" s="25" t="n">
        <x:v>3802</x:v>
      </x:c>
      <x:c r="B3803" s="26" t="n">
        <x:v>44226.34868055556</x:v>
      </x:c>
      <x:c r="C3803" s="27" t="n">
        <x:f>INT(B3803)</x:f>
        <x:v>44226</x:v>
      </x:c>
      <x:c r="D3803" s="28" t="n">
        <x:f>MOD(B3803,1)</x:f>
        <x:v>0.3486805555585306</x:v>
      </x:c>
      <x:c r="E3803" s="29" t="n">
        <x:f>YEAR(B3803)</x:f>
        <x:v>2021</x:v>
      </x:c>
      <x:c r="F3803" s="29" t="n">
        <x:f>MONTH(B3803)</x:f>
        <x:v>1</x:v>
      </x:c>
      <x:c r="G3803" s="30" t="n">
        <x:v>-18.24</x:v>
      </x:c>
      <x:c r="H3803" s="30" t="n">
        <x:v>-69.78</x:v>
      </x:c>
      <x:c r="I3803" s="29" t="n">
        <x:v>118</x:v>
      </x:c>
      <x:c r="J3803" s="31" t="n">
        <x:v>4.5</x:v>
      </x:c>
      <x:c r="K3803" s="25" t="str">
        <x:f>IF(J3803&gt;=7,"Muy fuerte (&gt;=7)",IF(J3803&gt;=6,"Fuerte (6-6.9)",IF(J3803&gt;=5,"Moderado alto (5-5.9)",IF(J3803&gt;=4,"Moderado (4-4.9)","Menor a 4"))))</x:f>
        <x:v>Moderado (4-4.9)</x:v>
      </x:c>
      <x:c r="L3803" s="25" t="str">
        <x:f>IF(I3803&lt;70,"Superficial (&lt;70 km)",IF(I3803&lt;=300,"Intermedio (70-300 km)","Profundo (&gt;300 km)"))</x:f>
        <x:v>Intermedio (70-300 km)</x:v>
      </x:c>
      <x:c r="M3803" s="25" t="str">
        <x:f>IF(J3803&gt;=5,"Sí","No")</x:f>
        <x:v>No</x:v>
      </x:c>
      <x:c r="N3803" s="25" t="str">
        <x:f>IF(J3803&gt;=6,"Sí","No")</x:f>
        <x:v>No</x:v>
      </x:c>
      <x:c r="O3803" s="25" t="str">
        <x:v>Pendiente: asignar con R/sf</x:v>
      </x:c>
    </x:row>
    <x:row r="3804">
      <x:c r="A3804" s="25" t="n">
        <x:v>3803</x:v>
      </x:c>
      <x:c r="B3804" s="26" t="n">
        <x:v>44206.16265046296</x:v>
      </x:c>
      <x:c r="C3804" s="27" t="n">
        <x:f>INT(B3804)</x:f>
        <x:v>44206</x:v>
      </x:c>
      <x:c r="D3804" s="28" t="n">
        <x:f>MOD(B3804,1)</x:f>
        <x:v>0.1626504629603005</x:v>
      </x:c>
      <x:c r="E3804" s="29" t="n">
        <x:f>YEAR(B3804)</x:f>
        <x:v>2021</x:v>
      </x:c>
      <x:c r="F3804" s="29" t="n">
        <x:f>MONTH(B3804)</x:f>
        <x:v>1</x:v>
      </x:c>
      <x:c r="G3804" s="30" t="n">
        <x:v>-23.97</x:v>
      </x:c>
      <x:c r="H3804" s="30" t="n">
        <x:v>-67.06</x:v>
      </x:c>
      <x:c r="I3804" s="29" t="n">
        <x:v>226</x:v>
      </x:c>
      <x:c r="J3804" s="31" t="n">
        <x:v>6.4</x:v>
      </x:c>
      <x:c r="K3804" s="25" t="str">
        <x:f>IF(J3804&gt;=7,"Muy fuerte (&gt;=7)",IF(J3804&gt;=6,"Fuerte (6-6.9)",IF(J3804&gt;=5,"Moderado alto (5-5.9)",IF(J3804&gt;=4,"Moderado (4-4.9)","Menor a 4"))))</x:f>
        <x:v>Fuerte (6-6.9)</x:v>
      </x:c>
      <x:c r="L3804" s="25" t="str">
        <x:f>IF(I3804&lt;70,"Superficial (&lt;70 km)",IF(I3804&lt;=300,"Intermedio (70-300 km)","Profundo (&gt;300 km)"))</x:f>
        <x:v>Intermedio (70-300 km)</x:v>
      </x:c>
      <x:c r="M3804" s="25" t="str">
        <x:f>IF(J3804&gt;=5,"Sí","No")</x:f>
        <x:v>Sí</x:v>
      </x:c>
      <x:c r="N3804" s="25" t="str">
        <x:f>IF(J3804&gt;=6,"Sí","No")</x:f>
        <x:v>Sí</x:v>
      </x:c>
      <x:c r="O3804" s="25" t="str">
        <x:v>Pendiente: asignar con R/sf</x:v>
      </x:c>
    </x:row>
    <x:row r="3805">
      <x:c r="A3805" s="25" t="n">
        <x:v>3804</x:v>
      </x:c>
      <x:c r="B3805" s="26" t="n">
        <x:v>44210.49891203704</x:v>
      </x:c>
      <x:c r="C3805" s="27" t="n">
        <x:f>INT(B3805)</x:f>
        <x:v>44210</x:v>
      </x:c>
      <x:c r="D3805" s="28" t="n">
        <x:f>MOD(B3805,1)</x:f>
        <x:v>0.4989120370373712</x:v>
      </x:c>
      <x:c r="E3805" s="29" t="n">
        <x:f>YEAR(B3805)</x:f>
        <x:v>2021</x:v>
      </x:c>
      <x:c r="F3805" s="29" t="n">
        <x:f>MONTH(B3805)</x:f>
        <x:v>1</x:v>
      </x:c>
      <x:c r="G3805" s="30" t="n">
        <x:v>-22.26</x:v>
      </x:c>
      <x:c r="H3805" s="30" t="n">
        <x:v>-70.57</x:v>
      </x:c>
      <x:c r="I3805" s="29" t="n">
        <x:v>24</x:v>
      </x:c>
      <x:c r="J3805" s="31" t="n">
        <x:v>3.8</x:v>
      </x:c>
      <x:c r="K3805" s="25" t="str">
        <x:f>IF(J3805&gt;=7,"Muy fuerte (&gt;=7)",IF(J3805&gt;=6,"Fuerte (6-6.9)",IF(J3805&gt;=5,"Moderado alto (5-5.9)",IF(J3805&gt;=4,"Moderado (4-4.9)","Menor a 4"))))</x:f>
        <x:v>Menor a 4</x:v>
      </x:c>
      <x:c r="L3805" s="25" t="str">
        <x:f>IF(I3805&lt;70,"Superficial (&lt;70 km)",IF(I3805&lt;=300,"Intermedio (70-300 km)","Profundo (&gt;300 km)"))</x:f>
        <x:v>Superficial (&lt;70 km)</x:v>
      </x:c>
      <x:c r="M3805" s="25" t="str">
        <x:f>IF(J3805&gt;=5,"Sí","No")</x:f>
        <x:v>No</x:v>
      </x:c>
      <x:c r="N3805" s="25" t="str">
        <x:f>IF(J3805&gt;=6,"Sí","No")</x:f>
        <x:v>No</x:v>
      </x:c>
      <x:c r="O3805" s="25" t="str">
        <x:v>Pendiente: asignar con R/sf</x:v>
      </x:c>
    </x:row>
    <x:row r="3806">
      <x:c r="A3806" s="25" t="n">
        <x:v>3805</x:v>
      </x:c>
      <x:c r="B3806" s="26" t="n">
        <x:v>44222.6980787037</x:v>
      </x:c>
      <x:c r="C3806" s="27" t="n">
        <x:f>INT(B3806)</x:f>
        <x:v>44222</x:v>
      </x:c>
      <x:c r="D3806" s="28" t="n">
        <x:f>MOD(B3806,1)</x:f>
        <x:v>0.6980787037027767</x:v>
      </x:c>
      <x:c r="E3806" s="29" t="n">
        <x:f>YEAR(B3806)</x:f>
        <x:v>2021</x:v>
      </x:c>
      <x:c r="F3806" s="29" t="n">
        <x:f>MONTH(B3806)</x:f>
        <x:v>1</x:v>
      </x:c>
      <x:c r="G3806" s="30" t="n">
        <x:v>-19.94</x:v>
      </x:c>
      <x:c r="H3806" s="30" t="n">
        <x:v>-69.74</x:v>
      </x:c>
      <x:c r="I3806" s="29" t="n">
        <x:v>58</x:v>
      </x:c>
      <x:c r="J3806" s="31" t="n">
        <x:v>3.8</x:v>
      </x:c>
      <x:c r="K3806" s="25" t="str">
        <x:f>IF(J3806&gt;=7,"Muy fuerte (&gt;=7)",IF(J3806&gt;=6,"Fuerte (6-6.9)",IF(J3806&gt;=5,"Moderado alto (5-5.9)",IF(J3806&gt;=4,"Moderado (4-4.9)","Menor a 4"))))</x:f>
        <x:v>Menor a 4</x:v>
      </x:c>
      <x:c r="L3806" s="25" t="str">
        <x:f>IF(I3806&lt;70,"Superficial (&lt;70 km)",IF(I3806&lt;=300,"Intermedio (70-300 km)","Profundo (&gt;300 km)"))</x:f>
        <x:v>Superficial (&lt;70 km)</x:v>
      </x:c>
      <x:c r="M3806" s="25" t="str">
        <x:f>IF(J3806&gt;=5,"Sí","No")</x:f>
        <x:v>No</x:v>
      </x:c>
      <x:c r="N3806" s="25" t="str">
        <x:f>IF(J3806&gt;=6,"Sí","No")</x:f>
        <x:v>No</x:v>
      </x:c>
      <x:c r="O3806" s="25" t="str">
        <x:v>Pendiente: asignar con R/sf</x:v>
      </x:c>
    </x:row>
    <x:row r="3807">
      <x:c r="A3807" s="25" t="n">
        <x:v>3806</x:v>
      </x:c>
      <x:c r="B3807" s="26" t="n">
        <x:v>44226.559016203704</x:v>
      </x:c>
      <x:c r="C3807" s="27" t="n">
        <x:f>INT(B3807)</x:f>
        <x:v>44226</x:v>
      </x:c>
      <x:c r="D3807" s="28" t="n">
        <x:f>MOD(B3807,1)</x:f>
        <x:v>0.5590162037042319</x:v>
      </x:c>
      <x:c r="E3807" s="29" t="n">
        <x:f>YEAR(B3807)</x:f>
        <x:v>2021</x:v>
      </x:c>
      <x:c r="F3807" s="29" t="n">
        <x:f>MONTH(B3807)</x:f>
        <x:v>1</x:v>
      </x:c>
      <x:c r="G3807" s="30" t="n">
        <x:v>-19.93</x:v>
      </x:c>
      <x:c r="H3807" s="30" t="n">
        <x:v>-70.33</x:v>
      </x:c>
      <x:c r="I3807" s="29" t="n">
        <x:v>61</x:v>
      </x:c>
      <x:c r="J3807" s="31" t="n">
        <x:v>5.1</x:v>
      </x:c>
      <x:c r="K3807" s="25" t="str">
        <x:f>IF(J3807&gt;=7,"Muy fuerte (&gt;=7)",IF(J3807&gt;=6,"Fuerte (6-6.9)",IF(J3807&gt;=5,"Moderado alto (5-5.9)",IF(J3807&gt;=4,"Moderado (4-4.9)","Menor a 4"))))</x:f>
        <x:v>Moderado alto (5-5.9)</x:v>
      </x:c>
      <x:c r="L3807" s="25" t="str">
        <x:f>IF(I3807&lt;70,"Superficial (&lt;70 km)",IF(I3807&lt;=300,"Intermedio (70-300 km)","Profundo (&gt;300 km)"))</x:f>
        <x:v>Superficial (&lt;70 km)</x:v>
      </x:c>
      <x:c r="M3807" s="25" t="str">
        <x:f>IF(J3807&gt;=5,"Sí","No")</x:f>
        <x:v>Sí</x:v>
      </x:c>
      <x:c r="N3807" s="25" t="str">
        <x:f>IF(J3807&gt;=6,"Sí","No")</x:f>
        <x:v>No</x:v>
      </x:c>
      <x:c r="O3807" s="25" t="str">
        <x:v>Pendiente: asignar con R/sf</x:v>
      </x:c>
    </x:row>
    <x:row r="3808">
      <x:c r="A3808" s="25" t="n">
        <x:v>3807</x:v>
      </x:c>
      <x:c r="B3808" s="26" t="n">
        <x:v>44220.00537037037</x:v>
      </x:c>
      <x:c r="C3808" s="27" t="n">
        <x:f>INT(B3808)</x:f>
        <x:v>44220</x:v>
      </x:c>
      <x:c r="D3808" s="28" t="n">
        <x:f>MOD(B3808,1)</x:f>
        <x:v>0.00537037036701804</x:v>
      </x:c>
      <x:c r="E3808" s="29" t="n">
        <x:f>YEAR(B3808)</x:f>
        <x:v>2021</x:v>
      </x:c>
      <x:c r="F3808" s="29" t="n">
        <x:f>MONTH(B3808)</x:f>
        <x:v>1</x:v>
      </x:c>
      <x:c r="G3808" s="30" t="n">
        <x:v>-33.35</x:v>
      </x:c>
      <x:c r="H3808" s="30" t="n">
        <x:v>-70.21</x:v>
      </x:c>
      <x:c r="I3808" s="29" t="n">
        <x:v>123</x:v>
      </x:c>
      <x:c r="J3808" s="31" t="n">
        <x:v>5.7</x:v>
      </x:c>
      <x:c r="K3808" s="25" t="str">
        <x:f>IF(J3808&gt;=7,"Muy fuerte (&gt;=7)",IF(J3808&gt;=6,"Fuerte (6-6.9)",IF(J3808&gt;=5,"Moderado alto (5-5.9)",IF(J3808&gt;=4,"Moderado (4-4.9)","Menor a 4"))))</x:f>
        <x:v>Moderado alto (5-5.9)</x:v>
      </x:c>
      <x:c r="L3808" s="25" t="str">
        <x:f>IF(I3808&lt;70,"Superficial (&lt;70 km)",IF(I3808&lt;=300,"Intermedio (70-300 km)","Profundo (&gt;300 km)"))</x:f>
        <x:v>Intermedio (70-300 km)</x:v>
      </x:c>
      <x:c r="M3808" s="25" t="str">
        <x:f>IF(J3808&gt;=5,"Sí","No")</x:f>
        <x:v>Sí</x:v>
      </x:c>
      <x:c r="N3808" s="25" t="str">
        <x:f>IF(J3808&gt;=6,"Sí","No")</x:f>
        <x:v>No</x:v>
      </x:c>
      <x:c r="O3808" s="25" t="str">
        <x:v>Pendiente: asignar con R/sf</x:v>
      </x:c>
    </x:row>
    <x:row r="3809">
      <x:c r="A3809" s="25" t="n">
        <x:v>3808</x:v>
      </x:c>
      <x:c r="B3809" s="26" t="n">
        <x:v>44215.11552083334</x:v>
      </x:c>
      <x:c r="C3809" s="27" t="n">
        <x:f>INT(B3809)</x:f>
        <x:v>44215</x:v>
      </x:c>
      <x:c r="D3809" s="28" t="n">
        <x:f>MOD(B3809,1)</x:f>
        <x:v>0.11552083333663177</x:v>
      </x:c>
      <x:c r="E3809" s="29" t="n">
        <x:f>YEAR(B3809)</x:f>
        <x:v>2021</x:v>
      </x:c>
      <x:c r="F3809" s="29" t="n">
        <x:f>MONTH(B3809)</x:f>
        <x:v>1</x:v>
      </x:c>
      <x:c r="G3809" s="30" t="n">
        <x:v>-31.83</x:v>
      </x:c>
      <x:c r="H3809" s="30" t="n">
        <x:v>-69.03</x:v>
      </x:c>
      <x:c r="I3809" s="29" t="n">
        <x:v>5</x:v>
      </x:c>
      <x:c r="J3809" s="31" t="n">
        <x:v>6.3</x:v>
      </x:c>
      <x:c r="K3809" s="25" t="str">
        <x:f>IF(J3809&gt;=7,"Muy fuerte (&gt;=7)",IF(J3809&gt;=6,"Fuerte (6-6.9)",IF(J3809&gt;=5,"Moderado alto (5-5.9)",IF(J3809&gt;=4,"Moderado (4-4.9)","Menor a 4"))))</x:f>
        <x:v>Fuerte (6-6.9)</x:v>
      </x:c>
      <x:c r="L3809" s="25" t="str">
        <x:f>IF(I3809&lt;70,"Superficial (&lt;70 km)",IF(I3809&lt;=300,"Intermedio (70-300 km)","Profundo (&gt;300 km)"))</x:f>
        <x:v>Superficial (&lt;70 km)</x:v>
      </x:c>
      <x:c r="M3809" s="25" t="str">
        <x:f>IF(J3809&gt;=5,"Sí","No")</x:f>
        <x:v>Sí</x:v>
      </x:c>
      <x:c r="N3809" s="25" t="str">
        <x:f>IF(J3809&gt;=6,"Sí","No")</x:f>
        <x:v>Sí</x:v>
      </x:c>
      <x:c r="O3809" s="25" t="str">
        <x:v>Pendiente: asignar con R/sf</x:v>
      </x:c>
    </x:row>
    <x:row r="3810">
      <x:c r="A3810" s="25" t="n">
        <x:v>3809</x:v>
      </x:c>
      <x:c r="B3810" s="26" t="n">
        <x:v>44202.69353009259</x:v>
      </x:c>
      <x:c r="C3810" s="27" t="n">
        <x:f>INT(B3810)</x:f>
        <x:v>44202</x:v>
      </x:c>
      <x:c r="D3810" s="28" t="n">
        <x:f>MOD(B3810,1)</x:f>
        <x:v>0.6935300925906631</x:v>
      </x:c>
      <x:c r="E3810" s="29" t="n">
        <x:f>YEAR(B3810)</x:f>
        <x:v>2021</x:v>
      </x:c>
      <x:c r="F3810" s="29" t="n">
        <x:f>MONTH(B3810)</x:f>
        <x:v>1</x:v>
      </x:c>
      <x:c r="G3810" s="30" t="n">
        <x:v>-19.55</x:v>
      </x:c>
      <x:c r="H3810" s="30" t="n">
        <x:v>-69.25</x:v>
      </x:c>
      <x:c r="I3810" s="29" t="n">
        <x:v>99</x:v>
      </x:c>
      <x:c r="J3810" s="31" t="n">
        <x:v>5.1</x:v>
      </x:c>
      <x:c r="K3810" s="25" t="str">
        <x:f>IF(J3810&gt;=7,"Muy fuerte (&gt;=7)",IF(J3810&gt;=6,"Fuerte (6-6.9)",IF(J3810&gt;=5,"Moderado alto (5-5.9)",IF(J3810&gt;=4,"Moderado (4-4.9)","Menor a 4"))))</x:f>
        <x:v>Moderado alto (5-5.9)</x:v>
      </x:c>
      <x:c r="L3810" s="25" t="str">
        <x:f>IF(I3810&lt;70,"Superficial (&lt;70 km)",IF(I3810&lt;=300,"Intermedio (70-300 km)","Profundo (&gt;300 km)"))</x:f>
        <x:v>Intermedio (70-300 km)</x:v>
      </x:c>
      <x:c r="M3810" s="25" t="str">
        <x:f>IF(J3810&gt;=5,"Sí","No")</x:f>
        <x:v>Sí</x:v>
      </x:c>
      <x:c r="N3810" s="25" t="str">
        <x:f>IF(J3810&gt;=6,"Sí","No")</x:f>
        <x:v>No</x:v>
      </x:c>
      <x:c r="O3810" s="25" t="str">
        <x:v>Pendiente: asignar con R/sf</x:v>
      </x:c>
    </x:row>
    <x:row r="3811">
      <x:c r="A3811" s="25" t="n">
        <x:v>3810</x:v>
      </x:c>
      <x:c r="B3811" s="26" t="n">
        <x:v>44212.162210648145</x:v>
      </x:c>
      <x:c r="C3811" s="27" t="n">
        <x:f>INT(B3811)</x:f>
        <x:v>44212</x:v>
      </x:c>
      <x:c r="D3811" s="28" t="n">
        <x:f>MOD(B3811,1)</x:f>
        <x:v>0.16221064814453712</x:v>
      </x:c>
      <x:c r="E3811" s="29" t="n">
        <x:f>YEAR(B3811)</x:f>
        <x:v>2021</x:v>
      </x:c>
      <x:c r="F3811" s="29" t="n">
        <x:f>MONTH(B3811)</x:f>
        <x:v>1</x:v>
      </x:c>
      <x:c r="G3811" s="30" t="n">
        <x:v>-31.02</x:v>
      </x:c>
      <x:c r="H3811" s="30" t="n">
        <x:v>-71.39</x:v>
      </x:c>
      <x:c r="I3811" s="29" t="n">
        <x:v>67</x:v>
      </x:c>
      <x:c r="J3811" s="31" t="n">
        <x:v>5.1</x:v>
      </x:c>
      <x:c r="K3811" s="25" t="str">
        <x:f>IF(J3811&gt;=7,"Muy fuerte (&gt;=7)",IF(J3811&gt;=6,"Fuerte (6-6.9)",IF(J3811&gt;=5,"Moderado alto (5-5.9)",IF(J3811&gt;=4,"Moderado (4-4.9)","Menor a 4"))))</x:f>
        <x:v>Moderado alto (5-5.9)</x:v>
      </x:c>
      <x:c r="L3811" s="25" t="str">
        <x:f>IF(I3811&lt;70,"Superficial (&lt;70 km)",IF(I3811&lt;=300,"Intermedio (70-300 km)","Profundo (&gt;300 km)"))</x:f>
        <x:v>Superficial (&lt;70 km)</x:v>
      </x:c>
      <x:c r="M3811" s="25" t="str">
        <x:f>IF(J3811&gt;=5,"Sí","No")</x:f>
        <x:v>Sí</x:v>
      </x:c>
      <x:c r="N3811" s="25" t="str">
        <x:f>IF(J3811&gt;=6,"Sí","No")</x:f>
        <x:v>No</x:v>
      </x:c>
      <x:c r="O3811" s="25" t="str">
        <x:v>Pendiente: asignar con R/sf</x:v>
      </x:c>
    </x:row>
    <x:row r="3812">
      <x:c r="A3812" s="25" t="n">
        <x:v>3811</x:v>
      </x:c>
      <x:c r="B3812" s="26" t="n">
        <x:v>44176.92475694444</x:v>
      </x:c>
      <x:c r="C3812" s="27" t="n">
        <x:f>INT(B3812)</x:f>
        <x:v>44176</x:v>
      </x:c>
      <x:c r="D3812" s="28" t="n">
        <x:f>MOD(B3812,1)</x:f>
        <x:v>0.9247569444414694</x:v>
      </x:c>
      <x:c r="E3812" s="29" t="n">
        <x:f>YEAR(B3812)</x:f>
        <x:v>2020</x:v>
      </x:c>
      <x:c r="F3812" s="29" t="n">
        <x:f>MONTH(B3812)</x:f>
        <x:v>12</x:v>
      </x:c>
      <x:c r="G3812" s="30" t="n">
        <x:v>-19.2</x:v>
      </x:c>
      <x:c r="H3812" s="30" t="n">
        <x:v>-70.16</x:v>
      </x:c>
      <x:c r="I3812" s="29" t="n">
        <x:v>46</x:v>
      </x:c>
      <x:c r="J3812" s="31" t="n">
        <x:v>4.7</x:v>
      </x:c>
      <x:c r="K3812" s="25" t="str">
        <x:f>IF(J3812&gt;=7,"Muy fuerte (&gt;=7)",IF(J3812&gt;=6,"Fuerte (6-6.9)",IF(J3812&gt;=5,"Moderado alto (5-5.9)",IF(J3812&gt;=4,"Moderado (4-4.9)","Menor a 4"))))</x:f>
        <x:v>Moderado (4-4.9)</x:v>
      </x:c>
      <x:c r="L3812" s="25" t="str">
        <x:f>IF(I3812&lt;70,"Superficial (&lt;70 km)",IF(I3812&lt;=300,"Intermedio (70-300 km)","Profundo (&gt;300 km)"))</x:f>
        <x:v>Superficial (&lt;70 km)</x:v>
      </x:c>
      <x:c r="M3812" s="25" t="str">
        <x:f>IF(J3812&gt;=5,"Sí","No")</x:f>
        <x:v>No</x:v>
      </x:c>
      <x:c r="N3812" s="25" t="str">
        <x:f>IF(J3812&gt;=6,"Sí","No")</x:f>
        <x:v>No</x:v>
      </x:c>
      <x:c r="O3812" s="25" t="str">
        <x:v>Pendiente: asignar con R/sf</x:v>
      </x:c>
    </x:row>
    <x:row r="3813">
      <x:c r="A3813" s="25" t="n">
        <x:v>3812</x:v>
      </x:c>
      <x:c r="B3813" s="26" t="n">
        <x:v>44211.003125</x:v>
      </x:c>
      <x:c r="C3813" s="27" t="n">
        <x:f>INT(B3813)</x:f>
        <x:v>44211</x:v>
      </x:c>
      <x:c r="D3813" s="28" t="n">
        <x:f>MOD(B3813,1)</x:f>
        <x:v>0.003125000002910383</x:v>
      </x:c>
      <x:c r="E3813" s="29" t="n">
        <x:f>YEAR(B3813)</x:f>
        <x:v>2021</x:v>
      </x:c>
      <x:c r="F3813" s="29" t="n">
        <x:f>MONTH(B3813)</x:f>
        <x:v>1</x:v>
      </x:c>
      <x:c r="G3813" s="30" t="n">
        <x:v>-19.65</x:v>
      </x:c>
      <x:c r="H3813" s="30" t="n">
        <x:v>-69.35</x:v>
      </x:c>
      <x:c r="I3813" s="29" t="n">
        <x:v>100</x:v>
      </x:c>
      <x:c r="J3813" s="31" t="n">
        <x:v>3.8</x:v>
      </x:c>
      <x:c r="K3813" s="25" t="str">
        <x:f>IF(J3813&gt;=7,"Muy fuerte (&gt;=7)",IF(J3813&gt;=6,"Fuerte (6-6.9)",IF(J3813&gt;=5,"Moderado alto (5-5.9)",IF(J3813&gt;=4,"Moderado (4-4.9)","Menor a 4"))))</x:f>
        <x:v>Menor a 4</x:v>
      </x:c>
      <x:c r="L3813" s="25" t="str">
        <x:f>IF(I3813&lt;70,"Superficial (&lt;70 km)",IF(I3813&lt;=300,"Intermedio (70-300 km)","Profundo (&gt;300 km)"))</x:f>
        <x:v>Intermedio (70-300 km)</x:v>
      </x:c>
      <x:c r="M3813" s="25" t="str">
        <x:f>IF(J3813&gt;=5,"Sí","No")</x:f>
        <x:v>No</x:v>
      </x:c>
      <x:c r="N3813" s="25" t="str">
        <x:f>IF(J3813&gt;=6,"Sí","No")</x:f>
        <x:v>No</x:v>
      </x:c>
      <x:c r="O3813" s="25" t="str">
        <x:v>Pendiente: asignar con R/sf</x:v>
      </x:c>
    </x:row>
    <x:row r="3814">
      <x:c r="A3814" s="25" t="n">
        <x:v>3813</x:v>
      </x:c>
      <x:c r="B3814" s="26" t="n">
        <x:v>44240.78451388889</x:v>
      </x:c>
      <x:c r="C3814" s="27" t="n">
        <x:f>INT(B3814)</x:f>
        <x:v>44240</x:v>
      </x:c>
      <x:c r="D3814" s="28" t="n">
        <x:f>MOD(B3814,1)</x:f>
        <x:v>0.7845138888878864</x:v>
      </x:c>
      <x:c r="E3814" s="29" t="n">
        <x:f>YEAR(B3814)</x:f>
        <x:v>2021</x:v>
      </x:c>
      <x:c r="F3814" s="29" t="n">
        <x:f>MONTH(B3814)</x:f>
        <x:v>2</x:v>
      </x:c>
      <x:c r="G3814" s="30" t="n">
        <x:v>-20.51</x:v>
      </x:c>
      <x:c r="H3814" s="30" t="n">
        <x:v>-70.59</x:v>
      </x:c>
      <x:c r="I3814" s="29" t="n">
        <x:v>41</x:v>
      </x:c>
      <x:c r="J3814" s="31" t="n">
        <x:v>5.2</x:v>
      </x:c>
      <x:c r="K3814" s="25" t="str">
        <x:f>IF(J3814&gt;=7,"Muy fuerte (&gt;=7)",IF(J3814&gt;=6,"Fuerte (6-6.9)",IF(J3814&gt;=5,"Moderado alto (5-5.9)",IF(J3814&gt;=4,"Moderado (4-4.9)","Menor a 4"))))</x:f>
        <x:v>Moderado alto (5-5.9)</x:v>
      </x:c>
      <x:c r="L3814" s="25" t="str">
        <x:f>IF(I3814&lt;70,"Superficial (&lt;70 km)",IF(I3814&lt;=300,"Intermedio (70-300 km)","Profundo (&gt;300 km)"))</x:f>
        <x:v>Superficial (&lt;70 km)</x:v>
      </x:c>
      <x:c r="M3814" s="25" t="str">
        <x:f>IF(J3814&gt;=5,"Sí","No")</x:f>
        <x:v>Sí</x:v>
      </x:c>
      <x:c r="N3814" s="25" t="str">
        <x:f>IF(J3814&gt;=6,"Sí","No")</x:f>
        <x:v>No</x:v>
      </x:c>
      <x:c r="O3814" s="25" t="str">
        <x:v>Pendiente: asignar con R/sf</x:v>
      </x:c>
    </x:row>
    <x:row r="3815">
      <x:c r="A3815" s="25" t="n">
        <x:v>3814</x:v>
      </x:c>
      <x:c r="B3815" s="26" t="n">
        <x:v>44237.84616898148</x:v>
      </x:c>
      <x:c r="C3815" s="27" t="n">
        <x:f>INT(B3815)</x:f>
        <x:v>44237</x:v>
      </x:c>
      <x:c r="D3815" s="28" t="n">
        <x:f>MOD(B3815,1)</x:f>
        <x:v>0.8461689814794227</x:v>
      </x:c>
      <x:c r="E3815" s="29" t="n">
        <x:f>YEAR(B3815)</x:f>
        <x:v>2021</x:v>
      </x:c>
      <x:c r="F3815" s="29" t="n">
        <x:f>MONTH(B3815)</x:f>
        <x:v>2</x:v>
      </x:c>
      <x:c r="G3815" s="30" t="n">
        <x:v>-31.77</x:v>
      </x:c>
      <x:c r="H3815" s="30" t="n">
        <x:v>-71.25</x:v>
      </x:c>
      <x:c r="I3815" s="29" t="n">
        <x:v>52</x:v>
      </x:c>
      <x:c r="J3815" s="31" t="n">
        <x:v>5.2</x:v>
      </x:c>
      <x:c r="K3815" s="25" t="str">
        <x:f>IF(J3815&gt;=7,"Muy fuerte (&gt;=7)",IF(J3815&gt;=6,"Fuerte (6-6.9)",IF(J3815&gt;=5,"Moderado alto (5-5.9)",IF(J3815&gt;=4,"Moderado (4-4.9)","Menor a 4"))))</x:f>
        <x:v>Moderado alto (5-5.9)</x:v>
      </x:c>
      <x:c r="L3815" s="25" t="str">
        <x:f>IF(I3815&lt;70,"Superficial (&lt;70 km)",IF(I3815&lt;=300,"Intermedio (70-300 km)","Profundo (&gt;300 km)"))</x:f>
        <x:v>Superficial (&lt;70 km)</x:v>
      </x:c>
      <x:c r="M3815" s="25" t="str">
        <x:f>IF(J3815&gt;=5,"Sí","No")</x:f>
        <x:v>Sí</x:v>
      </x:c>
      <x:c r="N3815" s="25" t="str">
        <x:f>IF(J3815&gt;=6,"Sí","No")</x:f>
        <x:v>No</x:v>
      </x:c>
      <x:c r="O3815" s="25" t="str">
        <x:v>Pendiente: asignar con R/sf</x:v>
      </x:c>
    </x:row>
    <x:row r="3816">
      <x:c r="A3816" s="25" t="n">
        <x:v>3815</x:v>
      </x:c>
      <x:c r="B3816" s="26" t="n">
        <x:v>44050.99575231481</x:v>
      </x:c>
      <x:c r="C3816" s="27" t="n">
        <x:f>INT(B3816)</x:f>
        <x:v>44050</x:v>
      </x:c>
      <x:c r="D3816" s="28" t="n">
        <x:f>MOD(B3816,1)</x:f>
        <x:v>0.9957523148113978</x:v>
      </x:c>
      <x:c r="E3816" s="29" t="n">
        <x:f>YEAR(B3816)</x:f>
        <x:v>2020</x:v>
      </x:c>
      <x:c r="F3816" s="29" t="n">
        <x:f>MONTH(B3816)</x:f>
        <x:v>8</x:v>
      </x:c>
      <x:c r="G3816" s="30" t="n">
        <x:v>-32.97</x:v>
      </x:c>
      <x:c r="H3816" s="30" t="n">
        <x:v>-70.19</x:v>
      </x:c>
      <x:c r="I3816" s="29" t="n">
        <x:v>115</x:v>
      </x:c>
      <x:c r="J3816" s="31" t="n">
        <x:v>4.6</x:v>
      </x:c>
      <x:c r="K3816" s="25" t="str">
        <x:f>IF(J3816&gt;=7,"Muy fuerte (&gt;=7)",IF(J3816&gt;=6,"Fuerte (6-6.9)",IF(J3816&gt;=5,"Moderado alto (5-5.9)",IF(J3816&gt;=4,"Moderado (4-4.9)","Menor a 4"))))</x:f>
        <x:v>Moderado (4-4.9)</x:v>
      </x:c>
      <x:c r="L3816" s="25" t="str">
        <x:f>IF(I3816&lt;70,"Superficial (&lt;70 km)",IF(I3816&lt;=300,"Intermedio (70-300 km)","Profundo (&gt;300 km)"))</x:f>
        <x:v>Intermedio (70-300 km)</x:v>
      </x:c>
      <x:c r="M3816" s="25" t="str">
        <x:f>IF(J3816&gt;=5,"Sí","No")</x:f>
        <x:v>No</x:v>
      </x:c>
      <x:c r="N3816" s="25" t="str">
        <x:f>IF(J3816&gt;=6,"Sí","No")</x:f>
        <x:v>No</x:v>
      </x:c>
      <x:c r="O3816" s="25" t="str">
        <x:v>Pendiente: asignar con R/sf</x:v>
      </x:c>
    </x:row>
    <x:row r="3817">
      <x:c r="A3817" s="25" t="n">
        <x:v>3816</x:v>
      </x:c>
      <x:c r="B3817" s="26" t="n">
        <x:v>44112.186747685184</x:v>
      </x:c>
      <x:c r="C3817" s="27" t="n">
        <x:f>INT(B3817)</x:f>
        <x:v>44112</x:v>
      </x:c>
      <x:c r="D3817" s="28" t="n">
        <x:f>MOD(B3817,1)</x:f>
        <x:v>0.18674768518394558</x:v>
      </x:c>
      <x:c r="E3817" s="29" t="n">
        <x:f>YEAR(B3817)</x:f>
        <x:v>2020</x:v>
      </x:c>
      <x:c r="F3817" s="29" t="n">
        <x:f>MONTH(B3817)</x:f>
        <x:v>10</x:v>
      </x:c>
      <x:c r="G3817" s="30" t="n">
        <x:v>-32.71</x:v>
      </x:c>
      <x:c r="H3817" s="30" t="n">
        <x:v>-71.62</x:v>
      </x:c>
      <x:c r="I3817" s="29" t="n">
        <x:v>34</x:v>
      </x:c>
      <x:c r="J3817" s="31" t="n">
        <x:v>4.1</x:v>
      </x:c>
      <x:c r="K3817" s="25" t="str">
        <x:f>IF(J3817&gt;=7,"Muy fuerte (&gt;=7)",IF(J3817&gt;=6,"Fuerte (6-6.9)",IF(J3817&gt;=5,"Moderado alto (5-5.9)",IF(J3817&gt;=4,"Moderado (4-4.9)","Menor a 4"))))</x:f>
        <x:v>Moderado (4-4.9)</x:v>
      </x:c>
      <x:c r="L3817" s="25" t="str">
        <x:f>IF(I3817&lt;70,"Superficial (&lt;70 km)",IF(I3817&lt;=300,"Intermedio (70-300 km)","Profundo (&gt;300 km)"))</x:f>
        <x:v>Superficial (&lt;70 km)</x:v>
      </x:c>
      <x:c r="M3817" s="25" t="str">
        <x:f>IF(J3817&gt;=5,"Sí","No")</x:f>
        <x:v>No</x:v>
      </x:c>
      <x:c r="N3817" s="25" t="str">
        <x:f>IF(J3817&gt;=6,"Sí","No")</x:f>
        <x:v>No</x:v>
      </x:c>
      <x:c r="O3817" s="25" t="str">
        <x:v>Pendiente: asignar con R/sf</x:v>
      </x:c>
    </x:row>
    <x:row r="3818">
      <x:c r="A3818" s="25" t="n">
        <x:v>3817</x:v>
      </x:c>
      <x:c r="B3818" s="26" t="n">
        <x:v>43603.119733796295</x:v>
      </x:c>
      <x:c r="C3818" s="27" t="n">
        <x:f>INT(B3818)</x:f>
        <x:v>43603</x:v>
      </x:c>
      <x:c r="D3818" s="28" t="n">
        <x:f>MOD(B3818,1)</x:f>
        <x:v>0.119733796294895</x:v>
      </x:c>
      <x:c r="E3818" s="29" t="n">
        <x:f>YEAR(B3818)</x:f>
        <x:v>2019</x:v>
      </x:c>
      <x:c r="F3818" s="29" t="n">
        <x:f>MONTH(B3818)</x:f>
        <x:v>5</x:v>
      </x:c>
      <x:c r="G3818" s="30" t="n">
        <x:v>-33.3</x:v>
      </x:c>
      <x:c r="H3818" s="30" t="n">
        <x:v>-70.34</x:v>
      </x:c>
      <x:c r="I3818" s="29" t="n">
        <x:v>105</x:v>
      </x:c>
      <x:c r="J3818" s="31" t="n">
        <x:v>4</x:v>
      </x:c>
      <x:c r="K3818" s="25" t="str">
        <x:f>IF(J3818&gt;=7,"Muy fuerte (&gt;=7)",IF(J3818&gt;=6,"Fuerte (6-6.9)",IF(J3818&gt;=5,"Moderado alto (5-5.9)",IF(J3818&gt;=4,"Moderado (4-4.9)","Menor a 4"))))</x:f>
        <x:v>Moderado (4-4.9)</x:v>
      </x:c>
      <x:c r="L3818" s="25" t="str">
        <x:f>IF(I3818&lt;70,"Superficial (&lt;70 km)",IF(I3818&lt;=300,"Intermedio (70-300 km)","Profundo (&gt;300 km)"))</x:f>
        <x:v>Intermedio (70-300 km)</x:v>
      </x:c>
      <x:c r="M3818" s="25" t="str">
        <x:f>IF(J3818&gt;=5,"Sí","No")</x:f>
        <x:v>No</x:v>
      </x:c>
      <x:c r="N3818" s="25" t="str">
        <x:f>IF(J3818&gt;=6,"Sí","No")</x:f>
        <x:v>No</x:v>
      </x:c>
      <x:c r="O3818" s="25" t="str">
        <x:v>Pendiente: asignar con R/sf</x:v>
      </x:c>
    </x:row>
    <x:row r="3819">
      <x:c r="A3819" s="25" t="n">
        <x:v>3818</x:v>
      </x:c>
      <x:c r="B3819" s="26" t="n">
        <x:v>44233.885046296295</x:v>
      </x:c>
      <x:c r="C3819" s="27" t="n">
        <x:f>INT(B3819)</x:f>
        <x:v>44233</x:v>
      </x:c>
      <x:c r="D3819" s="28" t="n">
        <x:f>MOD(B3819,1)</x:f>
        <x:v>0.885046296294604</x:v>
      </x:c>
      <x:c r="E3819" s="29" t="n">
        <x:f>YEAR(B3819)</x:f>
        <x:v>2021</x:v>
      </x:c>
      <x:c r="F3819" s="29" t="n">
        <x:f>MONTH(B3819)</x:f>
        <x:v>2</x:v>
      </x:c>
      <x:c r="G3819" s="30" t="n">
        <x:v>-20.11</x:v>
      </x:c>
      <x:c r="H3819" s="30" t="n">
        <x:v>-70.12</x:v>
      </x:c>
      <x:c r="I3819" s="29" t="n">
        <x:v>54</x:v>
      </x:c>
      <x:c r="J3819" s="31" t="n">
        <x:v>3.7</x:v>
      </x:c>
      <x:c r="K3819" s="25" t="str">
        <x:f>IF(J3819&gt;=7,"Muy fuerte (&gt;=7)",IF(J3819&gt;=6,"Fuerte (6-6.9)",IF(J3819&gt;=5,"Moderado alto (5-5.9)",IF(J3819&gt;=4,"Moderado (4-4.9)","Menor a 4"))))</x:f>
        <x:v>Menor a 4</x:v>
      </x:c>
      <x:c r="L3819" s="25" t="str">
        <x:f>IF(I3819&lt;70,"Superficial (&lt;70 km)",IF(I3819&lt;=300,"Intermedio (70-300 km)","Profundo (&gt;300 km)"))</x:f>
        <x:v>Superficial (&lt;70 km)</x:v>
      </x:c>
      <x:c r="M3819" s="25" t="str">
        <x:f>IF(J3819&gt;=5,"Sí","No")</x:f>
        <x:v>No</x:v>
      </x:c>
      <x:c r="N3819" s="25" t="str">
        <x:f>IF(J3819&gt;=6,"Sí","No")</x:f>
        <x:v>No</x:v>
      </x:c>
      <x:c r="O3819" s="25" t="str">
        <x:v>Pendiente: asignar con R/sf</x:v>
      </x:c>
    </x:row>
    <x:row r="3820">
      <x:c r="A3820" s="25" t="n">
        <x:v>3819</x:v>
      </x:c>
      <x:c r="B3820" s="26" t="n">
        <x:v>43827.94446759259</x:v>
      </x:c>
      <x:c r="C3820" s="27" t="n">
        <x:f>INT(B3820)</x:f>
        <x:v>43827</x:v>
      </x:c>
      <x:c r="D3820" s="28" t="n">
        <x:f>MOD(B3820,1)</x:f>
        <x:v>0.9444675925915362</x:v>
      </x:c>
      <x:c r="E3820" s="29" t="n">
        <x:f>YEAR(B3820)</x:f>
        <x:v>2019</x:v>
      </x:c>
      <x:c r="F3820" s="29" t="n">
        <x:f>MONTH(B3820)</x:f>
        <x:v>12</x:v>
      </x:c>
      <x:c r="G3820" s="30" t="n">
        <x:v>-33.07</x:v>
      </x:c>
      <x:c r="H3820" s="30" t="n">
        <x:v>-70.22</x:v>
      </x:c>
      <x:c r="I3820" s="29" t="n">
        <x:v>114</x:v>
      </x:c>
      <x:c r="J3820" s="31" t="n">
        <x:v>4.5</x:v>
      </x:c>
      <x:c r="K3820" s="25" t="str">
        <x:f>IF(J3820&gt;=7,"Muy fuerte (&gt;=7)",IF(J3820&gt;=6,"Fuerte (6-6.9)",IF(J3820&gt;=5,"Moderado alto (5-5.9)",IF(J3820&gt;=4,"Moderado (4-4.9)","Menor a 4"))))</x:f>
        <x:v>Moderado (4-4.9)</x:v>
      </x:c>
      <x:c r="L3820" s="25" t="str">
        <x:f>IF(I3820&lt;70,"Superficial (&lt;70 km)",IF(I3820&lt;=300,"Intermedio (70-300 km)","Profundo (&gt;300 km)"))</x:f>
        <x:v>Intermedio (70-300 km)</x:v>
      </x:c>
      <x:c r="M3820" s="25" t="str">
        <x:f>IF(J3820&gt;=5,"Sí","No")</x:f>
        <x:v>No</x:v>
      </x:c>
      <x:c r="N3820" s="25" t="str">
        <x:f>IF(J3820&gt;=6,"Sí","No")</x:f>
        <x:v>No</x:v>
      </x:c>
      <x:c r="O3820" s="25" t="str">
        <x:v>Pendiente: asignar con R/sf</x:v>
      </x:c>
    </x:row>
    <x:row r="3821">
      <x:c r="A3821" s="25" t="n">
        <x:v>3820</x:v>
      </x:c>
      <x:c r="B3821" s="26" t="n">
        <x:v>44118.84454861111</x:v>
      </x:c>
      <x:c r="C3821" s="27" t="n">
        <x:f>INT(B3821)</x:f>
        <x:v>44118</x:v>
      </x:c>
      <x:c r="D3821" s="28" t="n">
        <x:f>MOD(B3821,1)</x:f>
        <x:v>0.8445486111086211</x:v>
      </x:c>
      <x:c r="E3821" s="29" t="n">
        <x:f>YEAR(B3821)</x:f>
        <x:v>2020</x:v>
      </x:c>
      <x:c r="F3821" s="29" t="n">
        <x:f>MONTH(B3821)</x:f>
        <x:v>10</x:v>
      </x:c>
      <x:c r="G3821" s="30" t="n">
        <x:v>-33.01</x:v>
      </x:c>
      <x:c r="H3821" s="30" t="n">
        <x:v>-70.19</x:v>
      </x:c>
      <x:c r="I3821" s="29" t="n">
        <x:v>126</x:v>
      </x:c>
      <x:c r="J3821" s="31" t="n">
        <x:v>4.3</x:v>
      </x:c>
      <x:c r="K3821" s="25" t="str">
        <x:f>IF(J3821&gt;=7,"Muy fuerte (&gt;=7)",IF(J3821&gt;=6,"Fuerte (6-6.9)",IF(J3821&gt;=5,"Moderado alto (5-5.9)",IF(J3821&gt;=4,"Moderado (4-4.9)","Menor a 4"))))</x:f>
        <x:v>Moderado (4-4.9)</x:v>
      </x:c>
      <x:c r="L3821" s="25" t="str">
        <x:f>IF(I3821&lt;70,"Superficial (&lt;70 km)",IF(I3821&lt;=300,"Intermedio (70-300 km)","Profundo (&gt;300 km)"))</x:f>
        <x:v>Intermedio (70-300 km)</x:v>
      </x:c>
      <x:c r="M3821" s="25" t="str">
        <x:f>IF(J3821&gt;=5,"Sí","No")</x:f>
        <x:v>No</x:v>
      </x:c>
      <x:c r="N3821" s="25" t="str">
        <x:f>IF(J3821&gt;=6,"Sí","No")</x:f>
        <x:v>No</x:v>
      </x:c>
      <x:c r="O3821" s="25" t="str">
        <x:v>Pendiente: asignar con R/sf</x:v>
      </x:c>
    </x:row>
    <x:row r="3822">
      <x:c r="A3822" s="25" t="n">
        <x:v>3821</x:v>
      </x:c>
      <x:c r="B3822" s="26" t="n">
        <x:v>44056.52457175926</x:v>
      </x:c>
      <x:c r="C3822" s="27" t="n">
        <x:f>INT(B3822)</x:f>
        <x:v>44056</x:v>
      </x:c>
      <x:c r="D3822" s="28" t="n">
        <x:f>MOD(B3822,1)</x:f>
        <x:v>0.5245717592624715</x:v>
      </x:c>
      <x:c r="E3822" s="29" t="n">
        <x:f>YEAR(B3822)</x:f>
        <x:v>2020</x:v>
      </x:c>
      <x:c r="F3822" s="29" t="n">
        <x:f>MONTH(B3822)</x:f>
        <x:v>8</x:v>
      </x:c>
      <x:c r="G3822" s="30" t="n">
        <x:v>-32.68</x:v>
      </x:c>
      <x:c r="H3822" s="30" t="n">
        <x:v>-71.52</x:v>
      </x:c>
      <x:c r="I3822" s="29" t="n">
        <x:v>31</x:v>
      </x:c>
      <x:c r="J3822" s="31" t="n">
        <x:v>3.7</x:v>
      </x:c>
      <x:c r="K3822" s="25" t="str">
        <x:f>IF(J3822&gt;=7,"Muy fuerte (&gt;=7)",IF(J3822&gt;=6,"Fuerte (6-6.9)",IF(J3822&gt;=5,"Moderado alto (5-5.9)",IF(J3822&gt;=4,"Moderado (4-4.9)","Menor a 4"))))</x:f>
        <x:v>Menor a 4</x:v>
      </x:c>
      <x:c r="L3822" s="25" t="str">
        <x:f>IF(I3822&lt;70,"Superficial (&lt;70 km)",IF(I3822&lt;=300,"Intermedio (70-300 km)","Profundo (&gt;300 km)"))</x:f>
        <x:v>Superficial (&lt;70 km)</x:v>
      </x:c>
      <x:c r="M3822" s="25" t="str">
        <x:f>IF(J3822&gt;=5,"Sí","No")</x:f>
        <x:v>No</x:v>
      </x:c>
      <x:c r="N3822" s="25" t="str">
        <x:f>IF(J3822&gt;=6,"Sí","No")</x:f>
        <x:v>No</x:v>
      </x:c>
      <x:c r="O3822" s="25" t="str">
        <x:v>Pendiente: asignar con R/sf</x:v>
      </x:c>
    </x:row>
    <x:row r="3823">
      <x:c r="A3823" s="25" t="n">
        <x:v>3822</x:v>
      </x:c>
      <x:c r="B3823" s="26" t="n">
        <x:v>44172.83767361111</x:v>
      </x:c>
      <x:c r="C3823" s="27" t="n">
        <x:f>INT(B3823)</x:f>
        <x:v>44172</x:v>
      </x:c>
      <x:c r="D3823" s="28" t="n">
        <x:f>MOD(B3823,1)</x:f>
        <x:v>0.8376736111094942</x:v>
      </x:c>
      <x:c r="E3823" s="29" t="n">
        <x:f>YEAR(B3823)</x:f>
        <x:v>2020</x:v>
      </x:c>
      <x:c r="F3823" s="29" t="n">
        <x:f>MONTH(B3823)</x:f>
        <x:v>12</x:v>
      </x:c>
      <x:c r="G3823" s="30" t="n">
        <x:v>-32.87</x:v>
      </x:c>
      <x:c r="H3823" s="30" t="n">
        <x:v>-71.11</x:v>
      </x:c>
      <x:c r="I3823" s="29" t="n">
        <x:v>70</x:v>
      </x:c>
      <x:c r="J3823" s="31" t="n">
        <x:v>4.3</x:v>
      </x:c>
      <x:c r="K3823" s="25" t="str">
        <x:f>IF(J3823&gt;=7,"Muy fuerte (&gt;=7)",IF(J3823&gt;=6,"Fuerte (6-6.9)",IF(J3823&gt;=5,"Moderado alto (5-5.9)",IF(J3823&gt;=4,"Moderado (4-4.9)","Menor a 4"))))</x:f>
        <x:v>Moderado (4-4.9)</x:v>
      </x:c>
      <x:c r="L3823" s="25" t="str">
        <x:f>IF(I3823&lt;70,"Superficial (&lt;70 km)",IF(I3823&lt;=300,"Intermedio (70-300 km)","Profundo (&gt;300 km)"))</x:f>
        <x:v>Intermedio (70-300 km)</x:v>
      </x:c>
      <x:c r="M3823" s="25" t="str">
        <x:f>IF(J3823&gt;=5,"Sí","No")</x:f>
        <x:v>No</x:v>
      </x:c>
      <x:c r="N3823" s="25" t="str">
        <x:f>IF(J3823&gt;=6,"Sí","No")</x:f>
        <x:v>No</x:v>
      </x:c>
      <x:c r="O3823" s="25" t="str">
        <x:v>Pendiente: asignar con R/sf</x:v>
      </x:c>
    </x:row>
    <x:row r="3824">
      <x:c r="A3824" s="25" t="n">
        <x:v>3823</x:v>
      </x:c>
      <x:c r="B3824" s="26" t="n">
        <x:v>43706.60517361111</x:v>
      </x:c>
      <x:c r="C3824" s="27" t="n">
        <x:f>INT(B3824)</x:f>
        <x:v>43706</x:v>
      </x:c>
      <x:c r="D3824" s="28" t="n">
        <x:f>MOD(B3824,1)</x:f>
        <x:v>0.6051736111112405</x:v>
      </x:c>
      <x:c r="E3824" s="29" t="n">
        <x:f>YEAR(B3824)</x:f>
        <x:v>2019</x:v>
      </x:c>
      <x:c r="F3824" s="29" t="n">
        <x:f>MONTH(B3824)</x:f>
        <x:v>8</x:v>
      </x:c>
      <x:c r="G3824" s="30" t="n">
        <x:v>-34.36</x:v>
      </x:c>
      <x:c r="H3824" s="30" t="n">
        <x:v>-72.07</x:v>
      </x:c>
      <x:c r="I3824" s="29" t="n">
        <x:v>21</x:v>
      </x:c>
      <x:c r="J3824" s="31" t="n">
        <x:v>3.9</x:v>
      </x:c>
      <x:c r="K3824" s="25" t="str">
        <x:f>IF(J3824&gt;=7,"Muy fuerte (&gt;=7)",IF(J3824&gt;=6,"Fuerte (6-6.9)",IF(J3824&gt;=5,"Moderado alto (5-5.9)",IF(J3824&gt;=4,"Moderado (4-4.9)","Menor a 4"))))</x:f>
        <x:v>Menor a 4</x:v>
      </x:c>
      <x:c r="L3824" s="25" t="str">
        <x:f>IF(I3824&lt;70,"Superficial (&lt;70 km)",IF(I3824&lt;=300,"Intermedio (70-300 km)","Profundo (&gt;300 km)"))</x:f>
        <x:v>Superficial (&lt;70 km)</x:v>
      </x:c>
      <x:c r="M3824" s="25" t="str">
        <x:f>IF(J3824&gt;=5,"Sí","No")</x:f>
        <x:v>No</x:v>
      </x:c>
      <x:c r="N3824" s="25" t="str">
        <x:f>IF(J3824&gt;=6,"Sí","No")</x:f>
        <x:v>No</x:v>
      </x:c>
      <x:c r="O3824" s="25" t="str">
        <x:v>Pendiente: asignar con R/sf</x:v>
      </x:c>
    </x:row>
    <x:row r="3825">
      <x:c r="A3825" s="25" t="n">
        <x:v>3824</x:v>
      </x:c>
      <x:c r="B3825" s="26" t="n">
        <x:v>44058.466631944444</x:v>
      </x:c>
      <x:c r="C3825" s="27" t="n">
        <x:f>INT(B3825)</x:f>
        <x:v>44058</x:v>
      </x:c>
      <x:c r="D3825" s="28" t="n">
        <x:f>MOD(B3825,1)</x:f>
        <x:v>0.46663194444408873</x:v>
      </x:c>
      <x:c r="E3825" s="29" t="n">
        <x:f>YEAR(B3825)</x:f>
        <x:v>2020</x:v>
      </x:c>
      <x:c r="F3825" s="29" t="n">
        <x:f>MONTH(B3825)</x:f>
        <x:v>8</x:v>
      </x:c>
      <x:c r="G3825" s="30" t="n">
        <x:v>-33.2</x:v>
      </x:c>
      <x:c r="H3825" s="30" t="n">
        <x:v>-70.07</x:v>
      </x:c>
      <x:c r="I3825" s="29" t="n">
        <x:v>10</x:v>
      </x:c>
      <x:c r="J3825" s="31" t="n">
        <x:v>4.7</x:v>
      </x:c>
      <x:c r="K3825" s="25" t="str">
        <x:f>IF(J3825&gt;=7,"Muy fuerte (&gt;=7)",IF(J3825&gt;=6,"Fuerte (6-6.9)",IF(J3825&gt;=5,"Moderado alto (5-5.9)",IF(J3825&gt;=4,"Moderado (4-4.9)","Menor a 4"))))</x:f>
        <x:v>Moderado (4-4.9)</x:v>
      </x:c>
      <x:c r="L3825" s="25" t="str">
        <x:f>IF(I3825&lt;70,"Superficial (&lt;70 km)",IF(I3825&lt;=300,"Intermedio (70-300 km)","Profundo (&gt;300 km)"))</x:f>
        <x:v>Superficial (&lt;70 km)</x:v>
      </x:c>
      <x:c r="M3825" s="25" t="str">
        <x:f>IF(J3825&gt;=5,"Sí","No")</x:f>
        <x:v>No</x:v>
      </x:c>
      <x:c r="N3825" s="25" t="str">
        <x:f>IF(J3825&gt;=6,"Sí","No")</x:f>
        <x:v>No</x:v>
      </x:c>
      <x:c r="O3825" s="25" t="str">
        <x:v>Pendiente: asignar con R/sf</x:v>
      </x:c>
    </x:row>
    <x:row r="3826">
      <x:c r="A3826" s="25" t="n">
        <x:v>3825</x:v>
      </x:c>
      <x:c r="B3826" s="26" t="n">
        <x:v>44246.287835648145</x:v>
      </x:c>
      <x:c r="C3826" s="27" t="n">
        <x:f>INT(B3826)</x:f>
        <x:v>44246</x:v>
      </x:c>
      <x:c r="D3826" s="28" t="n">
        <x:f>MOD(B3826,1)</x:f>
        <x:v>0.2878356481451192</x:v>
      </x:c>
      <x:c r="E3826" s="29" t="n">
        <x:f>YEAR(B3826)</x:f>
        <x:v>2021</x:v>
      </x:c>
      <x:c r="F3826" s="29" t="n">
        <x:f>MONTH(B3826)</x:f>
        <x:v>2</x:v>
      </x:c>
      <x:c r="G3826" s="30" t="n">
        <x:v>-29.35</x:v>
      </x:c>
      <x:c r="H3826" s="30" t="n">
        <x:v>-71.6</x:v>
      </x:c>
      <x:c r="I3826" s="29" t="n">
        <x:v>47</x:v>
      </x:c>
      <x:c r="J3826" s="31" t="n">
        <x:v>5</x:v>
      </x:c>
      <x:c r="K3826" s="25" t="str">
        <x:f>IF(J3826&gt;=7,"Muy fuerte (&gt;=7)",IF(J3826&gt;=6,"Fuerte (6-6.9)",IF(J3826&gt;=5,"Moderado alto (5-5.9)",IF(J3826&gt;=4,"Moderado (4-4.9)","Menor a 4"))))</x:f>
        <x:v>Moderado alto (5-5.9)</x:v>
      </x:c>
      <x:c r="L3826" s="25" t="str">
        <x:f>IF(I3826&lt;70,"Superficial (&lt;70 km)",IF(I3826&lt;=300,"Intermedio (70-300 km)","Profundo (&gt;300 km)"))</x:f>
        <x:v>Superficial (&lt;70 km)</x:v>
      </x:c>
      <x:c r="M3826" s="25" t="str">
        <x:f>IF(J3826&gt;=5,"Sí","No")</x:f>
        <x:v>Sí</x:v>
      </x:c>
      <x:c r="N3826" s="25" t="str">
        <x:f>IF(J3826&gt;=6,"Sí","No")</x:f>
        <x:v>No</x:v>
      </x:c>
      <x:c r="O3826" s="25" t="str">
        <x:v>Pendiente: asignar con R/sf</x:v>
      </x:c>
    </x:row>
    <x:row r="3827">
      <x:c r="A3827" s="25" t="n">
        <x:v>3826</x:v>
      </x:c>
      <x:c r="B3827" s="26" t="n">
        <x:v>44194.73054398148</x:v>
      </x:c>
      <x:c r="C3827" s="27" t="n">
        <x:f>INT(B3827)</x:f>
        <x:v>44194</x:v>
      </x:c>
      <x:c r="D3827" s="28" t="n">
        <x:f>MOD(B3827,1)</x:f>
        <x:v>0.7305439814808778</x:v>
      </x:c>
      <x:c r="E3827" s="29" t="n">
        <x:f>YEAR(B3827)</x:f>
        <x:v>2020</x:v>
      </x:c>
      <x:c r="F3827" s="29" t="n">
        <x:f>MONTH(B3827)</x:f>
        <x:v>12</x:v>
      </x:c>
      <x:c r="G3827" s="30" t="n">
        <x:v>-34.37</x:v>
      </x:c>
      <x:c r="H3827" s="30" t="n">
        <x:v>-70.78</x:v>
      </x:c>
      <x:c r="I3827" s="29" t="n">
        <x:v>96</x:v>
      </x:c>
      <x:c r="J3827" s="31" t="n">
        <x:v>4.6</x:v>
      </x:c>
      <x:c r="K3827" s="25" t="str">
        <x:f>IF(J3827&gt;=7,"Muy fuerte (&gt;=7)",IF(J3827&gt;=6,"Fuerte (6-6.9)",IF(J3827&gt;=5,"Moderado alto (5-5.9)",IF(J3827&gt;=4,"Moderado (4-4.9)","Menor a 4"))))</x:f>
        <x:v>Moderado (4-4.9)</x:v>
      </x:c>
      <x:c r="L3827" s="25" t="str">
        <x:f>IF(I3827&lt;70,"Superficial (&lt;70 km)",IF(I3827&lt;=300,"Intermedio (70-300 km)","Profundo (&gt;300 km)"))</x:f>
        <x:v>Intermedio (70-300 km)</x:v>
      </x:c>
      <x:c r="M3827" s="25" t="str">
        <x:f>IF(J3827&gt;=5,"Sí","No")</x:f>
        <x:v>No</x:v>
      </x:c>
      <x:c r="N3827" s="25" t="str">
        <x:f>IF(J3827&gt;=6,"Sí","No")</x:f>
        <x:v>No</x:v>
      </x:c>
      <x:c r="O3827" s="25" t="str">
        <x:v>Pendiente: asignar con R/sf</x:v>
      </x:c>
    </x:row>
    <x:row r="3828">
      <x:c r="A3828" s="25" t="n">
        <x:v>3827</x:v>
      </x:c>
      <x:c r="B3828" s="26" t="n">
        <x:v>44236.47802083333</x:v>
      </x:c>
      <x:c r="C3828" s="27" t="n">
        <x:f>INT(B3828)</x:f>
        <x:v>44236</x:v>
      </x:c>
      <x:c r="D3828" s="28" t="n">
        <x:f>MOD(B3828,1)</x:f>
        <x:v>0.4780208333322662</x:v>
      </x:c>
      <x:c r="E3828" s="29" t="n">
        <x:f>YEAR(B3828)</x:f>
        <x:v>2021</x:v>
      </x:c>
      <x:c r="F3828" s="29" t="n">
        <x:f>MONTH(B3828)</x:f>
        <x:v>2</x:v>
      </x:c>
      <x:c r="G3828" s="30" t="n">
        <x:v>-18.59</x:v>
      </x:c>
      <x:c r="H3828" s="30" t="n">
        <x:v>-69.89</x:v>
      </x:c>
      <x:c r="I3828" s="29" t="n">
        <x:v>92</x:v>
      </x:c>
      <x:c r="J3828" s="31" t="n">
        <x:v>4.6</x:v>
      </x:c>
      <x:c r="K3828" s="25" t="str">
        <x:f>IF(J3828&gt;=7,"Muy fuerte (&gt;=7)",IF(J3828&gt;=6,"Fuerte (6-6.9)",IF(J3828&gt;=5,"Moderado alto (5-5.9)",IF(J3828&gt;=4,"Moderado (4-4.9)","Menor a 4"))))</x:f>
        <x:v>Moderado (4-4.9)</x:v>
      </x:c>
      <x:c r="L3828" s="25" t="str">
        <x:f>IF(I3828&lt;70,"Superficial (&lt;70 km)",IF(I3828&lt;=300,"Intermedio (70-300 km)","Profundo (&gt;300 km)"))</x:f>
        <x:v>Intermedio (70-300 km)</x:v>
      </x:c>
      <x:c r="M3828" s="25" t="str">
        <x:f>IF(J3828&gt;=5,"Sí","No")</x:f>
        <x:v>No</x:v>
      </x:c>
      <x:c r="N3828" s="25" t="str">
        <x:f>IF(J3828&gt;=6,"Sí","No")</x:f>
        <x:v>No</x:v>
      </x:c>
      <x:c r="O3828" s="25" t="str">
        <x:v>Pendiente: asignar con R/sf</x:v>
      </x:c>
    </x:row>
    <x:row r="3829">
      <x:c r="A3829" s="25" t="n">
        <x:v>3828</x:v>
      </x:c>
      <x:c r="B3829" s="26" t="n">
        <x:v>44053.3855787037</x:v>
      </x:c>
      <x:c r="C3829" s="27" t="n">
        <x:f>INT(B3829)</x:f>
        <x:v>44053</x:v>
      </x:c>
      <x:c r="D3829" s="28" t="n">
        <x:f>MOD(B3829,1)</x:f>
        <x:v>0.3855787037027767</x:v>
      </x:c>
      <x:c r="E3829" s="29" t="n">
        <x:f>YEAR(B3829)</x:f>
        <x:v>2020</x:v>
      </x:c>
      <x:c r="F3829" s="29" t="n">
        <x:f>MONTH(B3829)</x:f>
        <x:v>8</x:v>
      </x:c>
      <x:c r="G3829" s="30" t="n">
        <x:v>-33.45</x:v>
      </x:c>
      <x:c r="H3829" s="30" t="n">
        <x:v>-71.78</x:v>
      </x:c>
      <x:c r="I3829" s="29" t="n">
        <x:v>35</x:v>
      </x:c>
      <x:c r="J3829" s="31" t="n">
        <x:v>4.4</x:v>
      </x:c>
      <x:c r="K3829" s="25" t="str">
        <x:f>IF(J3829&gt;=7,"Muy fuerte (&gt;=7)",IF(J3829&gt;=6,"Fuerte (6-6.9)",IF(J3829&gt;=5,"Moderado alto (5-5.9)",IF(J3829&gt;=4,"Moderado (4-4.9)","Menor a 4"))))</x:f>
        <x:v>Moderado (4-4.9)</x:v>
      </x:c>
      <x:c r="L3829" s="25" t="str">
        <x:f>IF(I3829&lt;70,"Superficial (&lt;70 km)",IF(I3829&lt;=300,"Intermedio (70-300 km)","Profundo (&gt;300 km)"))</x:f>
        <x:v>Superficial (&lt;70 km)</x:v>
      </x:c>
      <x:c r="M3829" s="25" t="str">
        <x:f>IF(J3829&gt;=5,"Sí","No")</x:f>
        <x:v>No</x:v>
      </x:c>
      <x:c r="N3829" s="25" t="str">
        <x:f>IF(J3829&gt;=6,"Sí","No")</x:f>
        <x:v>No</x:v>
      </x:c>
      <x:c r="O3829" s="25" t="str">
        <x:v>Pendiente: asignar con R/sf</x:v>
      </x:c>
    </x:row>
    <x:row r="3830">
      <x:c r="A3830" s="25" t="n">
        <x:v>3829</x:v>
      </x:c>
      <x:c r="B3830" s="26" t="n">
        <x:v>44013.864074074074</x:v>
      </x:c>
      <x:c r="C3830" s="27" t="n">
        <x:f>INT(B3830)</x:f>
        <x:v>44013</x:v>
      </x:c>
      <x:c r="D3830" s="28" t="n">
        <x:f>MOD(B3830,1)</x:f>
        <x:v>0.8640740740738693</x:v>
      </x:c>
      <x:c r="E3830" s="29" t="n">
        <x:f>YEAR(B3830)</x:f>
        <x:v>2020</x:v>
      </x:c>
      <x:c r="F3830" s="29" t="n">
        <x:f>MONTH(B3830)</x:f>
        <x:v>7</x:v>
      </x:c>
      <x:c r="G3830" s="30" t="n">
        <x:v>-33.34</x:v>
      </x:c>
      <x:c r="H3830" s="30" t="n">
        <x:v>-70.2</x:v>
      </x:c>
      <x:c r="I3830" s="29" t="n">
        <x:v>120</x:v>
      </x:c>
      <x:c r="J3830" s="31" t="n">
        <x:v>4</x:v>
      </x:c>
      <x:c r="K3830" s="25" t="str">
        <x:f>IF(J3830&gt;=7,"Muy fuerte (&gt;=7)",IF(J3830&gt;=6,"Fuerte (6-6.9)",IF(J3830&gt;=5,"Moderado alto (5-5.9)",IF(J3830&gt;=4,"Moderado (4-4.9)","Menor a 4"))))</x:f>
        <x:v>Moderado (4-4.9)</x:v>
      </x:c>
      <x:c r="L3830" s="25" t="str">
        <x:f>IF(I3830&lt;70,"Superficial (&lt;70 km)",IF(I3830&lt;=300,"Intermedio (70-300 km)","Profundo (&gt;300 km)"))</x:f>
        <x:v>Intermedio (70-300 km)</x:v>
      </x:c>
      <x:c r="M3830" s="25" t="str">
        <x:f>IF(J3830&gt;=5,"Sí","No")</x:f>
        <x:v>No</x:v>
      </x:c>
      <x:c r="N3830" s="25" t="str">
        <x:f>IF(J3830&gt;=6,"Sí","No")</x:f>
        <x:v>No</x:v>
      </x:c>
      <x:c r="O3830" s="25" t="str">
        <x:v>Pendiente: asignar con R/sf</x:v>
      </x:c>
    </x:row>
    <x:row r="3831">
      <x:c r="A3831" s="25" t="n">
        <x:v>3830</x:v>
      </x:c>
      <x:c r="B3831" s="26" t="n">
        <x:v>45566.2096875</x:v>
      </x:c>
      <x:c r="C3831" s="27" t="n">
        <x:f>INT(B3831)</x:f>
        <x:v>45566</x:v>
      </x:c>
      <x:c r="D3831" s="28" t="n">
        <x:f>MOD(B3831,1)</x:f>
        <x:v>0.20968749999883585</x:v>
      </x:c>
      <x:c r="E3831" s="29" t="n">
        <x:f>YEAR(B3831)</x:f>
        <x:v>2024</x:v>
      </x:c>
      <x:c r="F3831" s="29" t="n">
        <x:f>MONTH(B3831)</x:f>
        <x:v>10</x:v>
      </x:c>
      <x:c r="G3831" s="30" t="n">
        <x:v>-20.13</x:v>
      </x:c>
      <x:c r="H3831" s="30" t="n">
        <x:v>-70.72</x:v>
      </x:c>
      <x:c r="I3831" s="29" t="n">
        <x:v>25</x:v>
      </x:c>
      <x:c r="J3831" s="31" t="n">
        <x:v>5.2</x:v>
      </x:c>
      <x:c r="K3831" s="25" t="str">
        <x:f>IF(J3831&gt;=7,"Muy fuerte (&gt;=7)",IF(J3831&gt;=6,"Fuerte (6-6.9)",IF(J3831&gt;=5,"Moderado alto (5-5.9)",IF(J3831&gt;=4,"Moderado (4-4.9)","Menor a 4"))))</x:f>
        <x:v>Moderado alto (5-5.9)</x:v>
      </x:c>
      <x:c r="L3831" s="25" t="str">
        <x:f>IF(I3831&lt;70,"Superficial (&lt;70 km)",IF(I3831&lt;=300,"Intermedio (70-300 km)","Profundo (&gt;300 km)"))</x:f>
        <x:v>Superficial (&lt;70 km)</x:v>
      </x:c>
      <x:c r="M3831" s="25" t="str">
        <x:f>IF(J3831&gt;=5,"Sí","No")</x:f>
        <x:v>Sí</x:v>
      </x:c>
      <x:c r="N3831" s="25" t="str">
        <x:f>IF(J3831&gt;=6,"Sí","No")</x:f>
        <x:v>No</x:v>
      </x:c>
      <x:c r="O3831" s="25" t="str">
        <x:v>Pendiente: asignar con R/sf</x:v>
      </x:c>
    </x:row>
    <x:row r="3832">
      <x:c r="A3832" s="25" t="n">
        <x:v>3831</x:v>
      </x:c>
      <x:c r="B3832" s="26" t="n">
        <x:v>45404.22913194444</x:v>
      </x:c>
      <x:c r="C3832" s="27" t="n">
        <x:f>INT(B3832)</x:f>
        <x:v>45404</x:v>
      </x:c>
      <x:c r="D3832" s="28" t="n">
        <x:f>MOD(B3832,1)</x:f>
        <x:v>0.22913194444117835</x:v>
      </x:c>
      <x:c r="E3832" s="29" t="n">
        <x:f>YEAR(B3832)</x:f>
        <x:v>2024</x:v>
      </x:c>
      <x:c r="F3832" s="29" t="n">
        <x:f>MONTH(B3832)</x:f>
        <x:v>4</x:v>
      </x:c>
      <x:c r="G3832" s="30" t="n">
        <x:v>-32.38</x:v>
      </x:c>
      <x:c r="H3832" s="30" t="n">
        <x:v>-71.69</x:v>
      </x:c>
      <x:c r="I3832" s="29" t="n">
        <x:v>59</x:v>
      </x:c>
      <x:c r="J3832" s="31" t="n">
        <x:v>4.2</x:v>
      </x:c>
      <x:c r="K3832" s="25" t="str">
        <x:f>IF(J3832&gt;=7,"Muy fuerte (&gt;=7)",IF(J3832&gt;=6,"Fuerte (6-6.9)",IF(J3832&gt;=5,"Moderado alto (5-5.9)",IF(J3832&gt;=4,"Moderado (4-4.9)","Menor a 4"))))</x:f>
        <x:v>Moderado (4-4.9)</x:v>
      </x:c>
      <x:c r="L3832" s="25" t="str">
        <x:f>IF(I3832&lt;70,"Superficial (&lt;70 km)",IF(I3832&lt;=300,"Intermedio (70-300 km)","Profundo (&gt;300 km)"))</x:f>
        <x:v>Superficial (&lt;70 km)</x:v>
      </x:c>
      <x:c r="M3832" s="25" t="str">
        <x:f>IF(J3832&gt;=5,"Sí","No")</x:f>
        <x:v>No</x:v>
      </x:c>
      <x:c r="N3832" s="25" t="str">
        <x:f>IF(J3832&gt;=6,"Sí","No")</x:f>
        <x:v>No</x:v>
      </x:c>
      <x:c r="O3832" s="25" t="str">
        <x:v>Pendiente: asignar con R/sf</x:v>
      </x:c>
    </x:row>
    <x:row r="3833">
      <x:c r="A3833" s="25" t="n">
        <x:v>3832</x:v>
      </x:c>
      <x:c r="B3833" s="26" t="n">
        <x:v>45548.681446759256</x:v>
      </x:c>
      <x:c r="C3833" s="27" t="n">
        <x:f>INT(B3833)</x:f>
        <x:v>45548</x:v>
      </x:c>
      <x:c r="D3833" s="28" t="n">
        <x:f>MOD(B3833,1)</x:f>
        <x:v>0.6814467592557776</x:v>
      </x:c>
      <x:c r="E3833" s="29" t="n">
        <x:f>YEAR(B3833)</x:f>
        <x:v>2024</x:v>
      </x:c>
      <x:c r="F3833" s="29" t="n">
        <x:f>MONTH(B3833)</x:f>
        <x:v>9</x:v>
      </x:c>
      <x:c r="G3833" s="30" t="n">
        <x:v>-32.48</x:v>
      </x:c>
      <x:c r="H3833" s="30" t="n">
        <x:v>-71.56</x:v>
      </x:c>
      <x:c r="I3833" s="29" t="n">
        <x:v>30</x:v>
      </x:c>
      <x:c r="J3833" s="31" t="n">
        <x:v>3.6</x:v>
      </x:c>
      <x:c r="K3833" s="25" t="str">
        <x:f>IF(J3833&gt;=7,"Muy fuerte (&gt;=7)",IF(J3833&gt;=6,"Fuerte (6-6.9)",IF(J3833&gt;=5,"Moderado alto (5-5.9)",IF(J3833&gt;=4,"Moderado (4-4.9)","Menor a 4"))))</x:f>
        <x:v>Menor a 4</x:v>
      </x:c>
      <x:c r="L3833" s="25" t="str">
        <x:f>IF(I3833&lt;70,"Superficial (&lt;70 km)",IF(I3833&lt;=300,"Intermedio (70-300 km)","Profundo (&gt;300 km)"))</x:f>
        <x:v>Superficial (&lt;70 km)</x:v>
      </x:c>
      <x:c r="M3833" s="25" t="str">
        <x:f>IF(J3833&gt;=5,"Sí","No")</x:f>
        <x:v>No</x:v>
      </x:c>
      <x:c r="N3833" s="25" t="str">
        <x:f>IF(J3833&gt;=6,"Sí","No")</x:f>
        <x:v>No</x:v>
      </x:c>
      <x:c r="O3833" s="25" t="str">
        <x:v>Pendiente: asignar con R/sf</x:v>
      </x:c>
    </x:row>
    <x:row r="3834">
      <x:c r="A3834" s="25" t="n">
        <x:v>3833</x:v>
      </x:c>
      <x:c r="B3834" s="26" t="n">
        <x:v>45549.335127314815</x:v>
      </x:c>
      <x:c r="C3834" s="27" t="n">
        <x:f>INT(B3834)</x:f>
        <x:v>45549</x:v>
      </x:c>
      <x:c r="D3834" s="28" t="n">
        <x:f>MOD(B3834,1)</x:f>
        <x:v>0.33512731481459923</x:v>
      </x:c>
      <x:c r="E3834" s="29" t="n">
        <x:f>YEAR(B3834)</x:f>
        <x:v>2024</x:v>
      </x:c>
      <x:c r="F3834" s="29" t="n">
        <x:f>MONTH(B3834)</x:f>
        <x:v>9</x:v>
      </x:c>
      <x:c r="G3834" s="30" t="n">
        <x:v>-32.37</x:v>
      </x:c>
      <x:c r="H3834" s="30" t="n">
        <x:v>-71.57</x:v>
      </x:c>
      <x:c r="I3834" s="29" t="n">
        <x:v>69</x:v>
      </x:c>
      <x:c r="J3834" s="31" t="n">
        <x:v>4.2</x:v>
      </x:c>
      <x:c r="K3834" s="25" t="str">
        <x:f>IF(J3834&gt;=7,"Muy fuerte (&gt;=7)",IF(J3834&gt;=6,"Fuerte (6-6.9)",IF(J3834&gt;=5,"Moderado alto (5-5.9)",IF(J3834&gt;=4,"Moderado (4-4.9)","Menor a 4"))))</x:f>
        <x:v>Moderado (4-4.9)</x:v>
      </x:c>
      <x:c r="L3834" s="25" t="str">
        <x:f>IF(I3834&lt;70,"Superficial (&lt;70 km)",IF(I3834&lt;=300,"Intermedio (70-300 km)","Profundo (&gt;300 km)"))</x:f>
        <x:v>Superficial (&lt;70 km)</x:v>
      </x:c>
      <x:c r="M3834" s="25" t="str">
        <x:f>IF(J3834&gt;=5,"Sí","No")</x:f>
        <x:v>No</x:v>
      </x:c>
      <x:c r="N3834" s="25" t="str">
        <x:f>IF(J3834&gt;=6,"Sí","No")</x:f>
        <x:v>No</x:v>
      </x:c>
      <x:c r="O3834" s="25" t="str">
        <x:v>Pendiente: asignar con R/sf</x:v>
      </x:c>
    </x:row>
    <x:row r="3835">
      <x:c r="A3835" s="25" t="n">
        <x:v>3834</x:v>
      </x:c>
      <x:c r="B3835" s="26" t="n">
        <x:v>45553.21943287037</x:v>
      </x:c>
      <x:c r="C3835" s="27" t="n">
        <x:f>INT(B3835)</x:f>
        <x:v>45553</x:v>
      </x:c>
      <x:c r="D3835" s="28" t="n">
        <x:f>MOD(B3835,1)</x:f>
        <x:v>0.21943287036992842</x:v>
      </x:c>
      <x:c r="E3835" s="29" t="n">
        <x:f>YEAR(B3835)</x:f>
        <x:v>2024</x:v>
      </x:c>
      <x:c r="F3835" s="29" t="n">
        <x:f>MONTH(B3835)</x:f>
        <x:v>9</x:v>
      </x:c>
      <x:c r="G3835" s="30" t="n">
        <x:v>-32.59</x:v>
      </x:c>
      <x:c r="H3835" s="30" t="n">
        <x:v>-71.56</x:v>
      </x:c>
      <x:c r="I3835" s="29" t="n">
        <x:v>34</x:v>
      </x:c>
      <x:c r="J3835" s="31" t="n">
        <x:v>3.5</x:v>
      </x:c>
      <x:c r="K3835" s="25" t="str">
        <x:f>IF(J3835&gt;=7,"Muy fuerte (&gt;=7)",IF(J3835&gt;=6,"Fuerte (6-6.9)",IF(J3835&gt;=5,"Moderado alto (5-5.9)",IF(J3835&gt;=4,"Moderado (4-4.9)","Menor a 4"))))</x:f>
        <x:v>Menor a 4</x:v>
      </x:c>
      <x:c r="L3835" s="25" t="str">
        <x:f>IF(I3835&lt;70,"Superficial (&lt;70 km)",IF(I3835&lt;=300,"Intermedio (70-300 km)","Profundo (&gt;300 km)"))</x:f>
        <x:v>Superficial (&lt;70 km)</x:v>
      </x:c>
      <x:c r="M3835" s="25" t="str">
        <x:f>IF(J3835&gt;=5,"Sí","No")</x:f>
        <x:v>No</x:v>
      </x:c>
      <x:c r="N3835" s="25" t="str">
        <x:f>IF(J3835&gt;=6,"Sí","No")</x:f>
        <x:v>No</x:v>
      </x:c>
      <x:c r="O3835" s="25" t="str">
        <x:v>Pendiente: asignar con R/sf</x:v>
      </x:c>
    </x:row>
    <x:row r="3836">
      <x:c r="A3836" s="25" t="n">
        <x:v>3835</x:v>
      </x:c>
      <x:c r="B3836" s="26" t="n">
        <x:v>45555.24012731481</x:v>
      </x:c>
      <x:c r="C3836" s="27" t="n">
        <x:f>INT(B3836)</x:f>
        <x:v>45555</x:v>
      </x:c>
      <x:c r="D3836" s="28" t="n">
        <x:f>MOD(B3836,1)</x:f>
        <x:v>0.24012731481343508</x:v>
      </x:c>
      <x:c r="E3836" s="29" t="n">
        <x:f>YEAR(B3836)</x:f>
        <x:v>2024</x:v>
      </x:c>
      <x:c r="F3836" s="29" t="n">
        <x:f>MONTH(B3836)</x:f>
        <x:v>9</x:v>
      </x:c>
      <x:c r="G3836" s="30" t="n">
        <x:v>-32.52</x:v>
      </x:c>
      <x:c r="H3836" s="30" t="n">
        <x:v>-71.71</x:v>
      </x:c>
      <x:c r="I3836" s="29" t="n">
        <x:v>39</x:v>
      </x:c>
      <x:c r="J3836" s="31" t="n">
        <x:v>3.7</x:v>
      </x:c>
      <x:c r="K3836" s="25" t="str">
        <x:f>IF(J3836&gt;=7,"Muy fuerte (&gt;=7)",IF(J3836&gt;=6,"Fuerte (6-6.9)",IF(J3836&gt;=5,"Moderado alto (5-5.9)",IF(J3836&gt;=4,"Moderado (4-4.9)","Menor a 4"))))</x:f>
        <x:v>Menor a 4</x:v>
      </x:c>
      <x:c r="L3836" s="25" t="str">
        <x:f>IF(I3836&lt;70,"Superficial (&lt;70 km)",IF(I3836&lt;=300,"Intermedio (70-300 km)","Profundo (&gt;300 km)"))</x:f>
        <x:v>Superficial (&lt;70 km)</x:v>
      </x:c>
      <x:c r="M3836" s="25" t="str">
        <x:f>IF(J3836&gt;=5,"Sí","No")</x:f>
        <x:v>No</x:v>
      </x:c>
      <x:c r="N3836" s="25" t="str">
        <x:f>IF(J3836&gt;=6,"Sí","No")</x:f>
        <x:v>No</x:v>
      </x:c>
      <x:c r="O3836" s="25" t="str">
        <x:v>Pendiente: asignar con R/sf</x:v>
      </x:c>
    </x:row>
    <x:row r="3837">
      <x:c r="A3837" s="25" t="n">
        <x:v>3836</x:v>
      </x:c>
      <x:c r="B3837" s="26" t="n">
        <x:v>45564.752233796295</x:v>
      </x:c>
      <x:c r="C3837" s="27" t="n">
        <x:f>INT(B3837)</x:f>
        <x:v>45564</x:v>
      </x:c>
      <x:c r="D3837" s="28" t="n">
        <x:f>MOD(B3837,1)</x:f>
        <x:v>0.752233796294604</x:v>
      </x:c>
      <x:c r="E3837" s="29" t="n">
        <x:f>YEAR(B3837)</x:f>
        <x:v>2024</x:v>
      </x:c>
      <x:c r="F3837" s="29" t="n">
        <x:f>MONTH(B3837)</x:f>
        <x:v>9</x:v>
      </x:c>
      <x:c r="G3837" s="30" t="n">
        <x:v>-32.49</x:v>
      </x:c>
      <x:c r="H3837" s="30" t="n">
        <x:v>-71.72</x:v>
      </x:c>
      <x:c r="I3837" s="29" t="n">
        <x:v>15</x:v>
      </x:c>
      <x:c r="J3837" s="31" t="n">
        <x:v>4</x:v>
      </x:c>
      <x:c r="K3837" s="25" t="str">
        <x:f>IF(J3837&gt;=7,"Muy fuerte (&gt;=7)",IF(J3837&gt;=6,"Fuerte (6-6.9)",IF(J3837&gt;=5,"Moderado alto (5-5.9)",IF(J3837&gt;=4,"Moderado (4-4.9)","Menor a 4"))))</x:f>
        <x:v>Moderado (4-4.9)</x:v>
      </x:c>
      <x:c r="L3837" s="25" t="str">
        <x:f>IF(I3837&lt;70,"Superficial (&lt;70 km)",IF(I3837&lt;=300,"Intermedio (70-300 km)","Profundo (&gt;300 km)"))</x:f>
        <x:v>Superficial (&lt;70 km)</x:v>
      </x:c>
      <x:c r="M3837" s="25" t="str">
        <x:f>IF(J3837&gt;=5,"Sí","No")</x:f>
        <x:v>No</x:v>
      </x:c>
      <x:c r="N3837" s="25" t="str">
        <x:f>IF(J3837&gt;=6,"Sí","No")</x:f>
        <x:v>No</x:v>
      </x:c>
      <x:c r="O3837" s="25" t="str">
        <x:v>Pendiente: asignar con R/sf</x:v>
      </x:c>
    </x:row>
    <x:row r="3838">
      <x:c r="A3838" s="25" t="n">
        <x:v>3837</x:v>
      </x:c>
      <x:c r="B3838" s="26" t="n">
        <x:v>45178.83556712963</x:v>
      </x:c>
      <x:c r="C3838" s="27" t="n">
        <x:f>INT(B3838)</x:f>
        <x:v>45178</x:v>
      </x:c>
      <x:c r="D3838" s="28" t="n">
        <x:f>MOD(B3838,1)</x:f>
        <x:v>0.8355671296303626</x:v>
      </x:c>
      <x:c r="E3838" s="29" t="n">
        <x:f>YEAR(B3838)</x:f>
        <x:v>2023</x:v>
      </x:c>
      <x:c r="F3838" s="29" t="n">
        <x:f>MONTH(B3838)</x:f>
        <x:v>9</x:v>
      </x:c>
      <x:c r="G3838" s="30" t="n">
        <x:v>-33.93</x:v>
      </x:c>
      <x:c r="H3838" s="30" t="n">
        <x:v>-71.3</x:v>
      </x:c>
      <x:c r="I3838" s="29" t="n">
        <x:v>55</x:v>
      </x:c>
      <x:c r="J3838" s="31" t="n">
        <x:v>4.2</x:v>
      </x:c>
      <x:c r="K3838" s="25" t="str">
        <x:f>IF(J3838&gt;=7,"Muy fuerte (&gt;=7)",IF(J3838&gt;=6,"Fuerte (6-6.9)",IF(J3838&gt;=5,"Moderado alto (5-5.9)",IF(J3838&gt;=4,"Moderado (4-4.9)","Menor a 4"))))</x:f>
        <x:v>Moderado (4-4.9)</x:v>
      </x:c>
      <x:c r="L3838" s="25" t="str">
        <x:f>IF(I3838&lt;70,"Superficial (&lt;70 km)",IF(I3838&lt;=300,"Intermedio (70-300 km)","Profundo (&gt;300 km)"))</x:f>
        <x:v>Superficial (&lt;70 km)</x:v>
      </x:c>
      <x:c r="M3838" s="25" t="str">
        <x:f>IF(J3838&gt;=5,"Sí","No")</x:f>
        <x:v>No</x:v>
      </x:c>
      <x:c r="N3838" s="25" t="str">
        <x:f>IF(J3838&gt;=6,"Sí","No")</x:f>
        <x:v>No</x:v>
      </x:c>
      <x:c r="O3838" s="25" t="str">
        <x:v>Pendiente: asignar con R/sf</x:v>
      </x:c>
    </x:row>
    <x:row r="3839">
      <x:c r="A3839" s="25" t="n">
        <x:v>3838</x:v>
      </x:c>
      <x:c r="B3839" s="26" t="n">
        <x:v>45535.185115740744</x:v>
      </x:c>
      <x:c r="C3839" s="27" t="n">
        <x:f>INT(B3839)</x:f>
        <x:v>45535</x:v>
      </x:c>
      <x:c r="D3839" s="28" t="n">
        <x:f>MOD(B3839,1)</x:f>
        <x:v>0.18511574074364034</x:v>
      </x:c>
      <x:c r="E3839" s="29" t="n">
        <x:f>YEAR(B3839)</x:f>
        <x:v>2024</x:v>
      </x:c>
      <x:c r="F3839" s="29" t="n">
        <x:f>MONTH(B3839)</x:f>
        <x:v>8</x:v>
      </x:c>
      <x:c r="G3839" s="30" t="n">
        <x:v>-27.22</x:v>
      </x:c>
      <x:c r="H3839" s="30" t="n">
        <x:v>-70.88</x:v>
      </x:c>
      <x:c r="I3839" s="29" t="n">
        <x:v>54</x:v>
      </x:c>
      <x:c r="J3839" s="31" t="n">
        <x:v>4.2</x:v>
      </x:c>
      <x:c r="K3839" s="25" t="str">
        <x:f>IF(J3839&gt;=7,"Muy fuerte (&gt;=7)",IF(J3839&gt;=6,"Fuerte (6-6.9)",IF(J3839&gt;=5,"Moderado alto (5-5.9)",IF(J3839&gt;=4,"Moderado (4-4.9)","Menor a 4"))))</x:f>
        <x:v>Moderado (4-4.9)</x:v>
      </x:c>
      <x:c r="L3839" s="25" t="str">
        <x:f>IF(I3839&lt;70,"Superficial (&lt;70 km)",IF(I3839&lt;=300,"Intermedio (70-300 km)","Profundo (&gt;300 km)"))</x:f>
        <x:v>Superficial (&lt;70 km)</x:v>
      </x:c>
      <x:c r="M3839" s="25" t="str">
        <x:f>IF(J3839&gt;=5,"Sí","No")</x:f>
        <x:v>No</x:v>
      </x:c>
      <x:c r="N3839" s="25" t="str">
        <x:f>IF(J3839&gt;=6,"Sí","No")</x:f>
        <x:v>No</x:v>
      </x:c>
      <x:c r="O3839" s="25" t="str">
        <x:v>Pendiente: asignar con R/sf</x:v>
      </x:c>
    </x:row>
    <x:row r="3840">
      <x:c r="A3840" s="25" t="n">
        <x:v>3839</x:v>
      </x:c>
      <x:c r="B3840" s="26" t="n">
        <x:v>45527.19458333333</x:v>
      </x:c>
      <x:c r="C3840" s="27" t="n">
        <x:f>INT(B3840)</x:f>
        <x:v>45527</x:v>
      </x:c>
      <x:c r="D3840" s="28" t="n">
        <x:f>MOD(B3840,1)</x:f>
        <x:v>0.19458333333022892</x:v>
      </x:c>
      <x:c r="E3840" s="29" t="n">
        <x:f>YEAR(B3840)</x:f>
        <x:v>2024</x:v>
      </x:c>
      <x:c r="F3840" s="29" t="n">
        <x:f>MONTH(B3840)</x:f>
        <x:v>8</x:v>
      </x:c>
      <x:c r="G3840" s="30" t="n">
        <x:v>-32.57</x:v>
      </x:c>
      <x:c r="H3840" s="30" t="n">
        <x:v>-71.66</x:v>
      </x:c>
      <x:c r="I3840" s="29" t="n">
        <x:v>20</x:v>
      </x:c>
      <x:c r="J3840" s="31" t="n">
        <x:v>3.1</x:v>
      </x:c>
      <x:c r="K3840" s="25" t="str">
        <x:f>IF(J3840&gt;=7,"Muy fuerte (&gt;=7)",IF(J3840&gt;=6,"Fuerte (6-6.9)",IF(J3840&gt;=5,"Moderado alto (5-5.9)",IF(J3840&gt;=4,"Moderado (4-4.9)","Menor a 4"))))</x:f>
        <x:v>Menor a 4</x:v>
      </x:c>
      <x:c r="L3840" s="25" t="str">
        <x:f>IF(I3840&lt;70,"Superficial (&lt;70 km)",IF(I3840&lt;=300,"Intermedio (70-300 km)","Profundo (&gt;300 km)"))</x:f>
        <x:v>Superficial (&lt;70 km)</x:v>
      </x:c>
      <x:c r="M3840" s="25" t="str">
        <x:f>IF(J3840&gt;=5,"Sí","No")</x:f>
        <x:v>No</x:v>
      </x:c>
      <x:c r="N3840" s="25" t="str">
        <x:f>IF(J3840&gt;=6,"Sí","No")</x:f>
        <x:v>No</x:v>
      </x:c>
      <x:c r="O3840" s="25" t="str">
        <x:v>Pendiente: asignar con R/sf</x:v>
      </x:c>
    </x:row>
    <x:row r="3841">
      <x:c r="A3841" s="25" t="n">
        <x:v>3840</x:v>
      </x:c>
      <x:c r="B3841" s="26" t="n">
        <x:v>45553.22175925926</x:v>
      </x:c>
      <x:c r="C3841" s="27" t="n">
        <x:f>INT(B3841)</x:f>
        <x:v>45553</x:v>
      </x:c>
      <x:c r="D3841" s="28" t="n">
        <x:f>MOD(B3841,1)</x:f>
        <x:v>0.22175925925694173</x:v>
      </x:c>
      <x:c r="E3841" s="29" t="n">
        <x:f>YEAR(B3841)</x:f>
        <x:v>2024</x:v>
      </x:c>
      <x:c r="F3841" s="29" t="n">
        <x:f>MONTH(B3841)</x:f>
        <x:v>9</x:v>
      </x:c>
      <x:c r="G3841" s="30" t="n">
        <x:v>-32.59</x:v>
      </x:c>
      <x:c r="H3841" s="30" t="n">
        <x:v>-71.55</x:v>
      </x:c>
      <x:c r="I3841" s="29" t="n">
        <x:v>34</x:v>
      </x:c>
      <x:c r="J3841" s="31" t="n">
        <x:v>3.1</x:v>
      </x:c>
      <x:c r="K3841" s="25" t="str">
        <x:f>IF(J3841&gt;=7,"Muy fuerte (&gt;=7)",IF(J3841&gt;=6,"Fuerte (6-6.9)",IF(J3841&gt;=5,"Moderado alto (5-5.9)",IF(J3841&gt;=4,"Moderado (4-4.9)","Menor a 4"))))</x:f>
        <x:v>Menor a 4</x:v>
      </x:c>
      <x:c r="L3841" s="25" t="str">
        <x:f>IF(I3841&lt;70,"Superficial (&lt;70 km)",IF(I3841&lt;=300,"Intermedio (70-300 km)","Profundo (&gt;300 km)"))</x:f>
        <x:v>Superficial (&lt;70 km)</x:v>
      </x:c>
      <x:c r="M3841" s="25" t="str">
        <x:f>IF(J3841&gt;=5,"Sí","No")</x:f>
        <x:v>No</x:v>
      </x:c>
      <x:c r="N3841" s="25" t="str">
        <x:f>IF(J3841&gt;=6,"Sí","No")</x:f>
        <x:v>No</x:v>
      </x:c>
      <x:c r="O3841" s="25" t="str">
        <x:v>Pendiente: asignar con R/sf</x:v>
      </x:c>
    </x:row>
    <x:row r="3842">
      <x:c r="A3842" s="25" t="n">
        <x:v>3841</x:v>
      </x:c>
      <x:c r="B3842" s="26" t="n">
        <x:v>45622.52300925926</x:v>
      </x:c>
      <x:c r="C3842" s="27" t="n">
        <x:f>INT(B3842)</x:f>
        <x:v>45622</x:v>
      </x:c>
      <x:c r="D3842" s="28" t="n">
        <x:f>MOD(B3842,1)</x:f>
        <x:v>0.5230092592610163</x:v>
      </x:c>
      <x:c r="E3842" s="29" t="n">
        <x:f>YEAR(B3842)</x:f>
        <x:v>2024</x:v>
      </x:c>
      <x:c r="F3842" s="29" t="n">
        <x:f>MONTH(B3842)</x:f>
        <x:v>11</x:v>
      </x:c>
      <x:c r="G3842" s="30" t="n">
        <x:v>-30.44</x:v>
      </x:c>
      <x:c r="H3842" s="30" t="n">
        <x:v>-71.26</x:v>
      </x:c>
      <x:c r="I3842" s="29" t="n">
        <x:v>48</x:v>
      </x:c>
      <x:c r="J3842" s="31" t="n">
        <x:v>5.6</x:v>
      </x:c>
      <x:c r="K3842" s="25" t="str">
        <x:f>IF(J3842&gt;=7,"Muy fuerte (&gt;=7)",IF(J3842&gt;=6,"Fuerte (6-6.9)",IF(J3842&gt;=5,"Moderado alto (5-5.9)",IF(J3842&gt;=4,"Moderado (4-4.9)","Menor a 4"))))</x:f>
        <x:v>Moderado alto (5-5.9)</x:v>
      </x:c>
      <x:c r="L3842" s="25" t="str">
        <x:f>IF(I3842&lt;70,"Superficial (&lt;70 km)",IF(I3842&lt;=300,"Intermedio (70-300 km)","Profundo (&gt;300 km)"))</x:f>
        <x:v>Superficial (&lt;70 km)</x:v>
      </x:c>
      <x:c r="M3842" s="25" t="str">
        <x:f>IF(J3842&gt;=5,"Sí","No")</x:f>
        <x:v>Sí</x:v>
      </x:c>
      <x:c r="N3842" s="25" t="str">
        <x:f>IF(J3842&gt;=6,"Sí","No")</x:f>
        <x:v>No</x:v>
      </x:c>
      <x:c r="O3842" s="25" t="str">
        <x:v>Pendiente: asignar con R/sf</x:v>
      </x:c>
    </x:row>
    <x:row r="3843">
      <x:c r="A3843" s="25" t="n">
        <x:v>3842</x:v>
      </x:c>
      <x:c r="B3843" s="26" t="n">
        <x:v>45543.80840277778</x:v>
      </x:c>
      <x:c r="C3843" s="27" t="n">
        <x:f>INT(B3843)</x:f>
        <x:v>45543</x:v>
      </x:c>
      <x:c r="D3843" s="28" t="n">
        <x:f>MOD(B3843,1)</x:f>
        <x:v>0.8084027777804295</x:v>
      </x:c>
      <x:c r="E3843" s="29" t="n">
        <x:f>YEAR(B3843)</x:f>
        <x:v>2024</x:v>
      </x:c>
      <x:c r="F3843" s="29" t="n">
        <x:f>MONTH(B3843)</x:f>
        <x:v>9</x:v>
      </x:c>
      <x:c r="G3843" s="30" t="n">
        <x:v>-34.12</x:v>
      </x:c>
      <x:c r="H3843" s="30" t="n">
        <x:v>-70.5</x:v>
      </x:c>
      <x:c r="I3843" s="29" t="n">
        <x:v>107</x:v>
      </x:c>
      <x:c r="J3843" s="31" t="n">
        <x:v>4.4</x:v>
      </x:c>
      <x:c r="K3843" s="25" t="str">
        <x:f>IF(J3843&gt;=7,"Muy fuerte (&gt;=7)",IF(J3843&gt;=6,"Fuerte (6-6.9)",IF(J3843&gt;=5,"Moderado alto (5-5.9)",IF(J3843&gt;=4,"Moderado (4-4.9)","Menor a 4"))))</x:f>
        <x:v>Moderado (4-4.9)</x:v>
      </x:c>
      <x:c r="L3843" s="25" t="str">
        <x:f>IF(I3843&lt;70,"Superficial (&lt;70 km)",IF(I3843&lt;=300,"Intermedio (70-300 km)","Profundo (&gt;300 km)"))</x:f>
        <x:v>Intermedio (70-300 km)</x:v>
      </x:c>
      <x:c r="M3843" s="25" t="str">
        <x:f>IF(J3843&gt;=5,"Sí","No")</x:f>
        <x:v>No</x:v>
      </x:c>
      <x:c r="N3843" s="25" t="str">
        <x:f>IF(J3843&gt;=6,"Sí","No")</x:f>
        <x:v>No</x:v>
      </x:c>
      <x:c r="O3843" s="25" t="str">
        <x:v>Pendiente: asignar con R/sf</x:v>
      </x:c>
    </x:row>
    <x:row r="3844">
      <x:c r="A3844" s="25" t="n">
        <x:v>3843</x:v>
      </x:c>
      <x:c r="B3844" s="26" t="n">
        <x:v>45572.606782407405</x:v>
      </x:c>
      <x:c r="C3844" s="27" t="n">
        <x:f>INT(B3844)</x:f>
        <x:v>45572</x:v>
      </x:c>
      <x:c r="D3844" s="28" t="n">
        <x:f>MOD(B3844,1)</x:f>
        <x:v>0.6067824074052623</x:v>
      </x:c>
      <x:c r="E3844" s="29" t="n">
        <x:f>YEAR(B3844)</x:f>
        <x:v>2024</x:v>
      </x:c>
      <x:c r="F3844" s="29" t="n">
        <x:f>MONTH(B3844)</x:f>
        <x:v>10</x:v>
      </x:c>
      <x:c r="G3844" s="30" t="n">
        <x:v>-34.43</x:v>
      </x:c>
      <x:c r="H3844" s="30" t="n">
        <x:v>-71.56</x:v>
      </x:c>
      <x:c r="I3844" s="29" t="n">
        <x:v>53</x:v>
      </x:c>
      <x:c r="J3844" s="31" t="n">
        <x:v>3.9</x:v>
      </x:c>
      <x:c r="K3844" s="25" t="str">
        <x:f>IF(J3844&gt;=7,"Muy fuerte (&gt;=7)",IF(J3844&gt;=6,"Fuerte (6-6.9)",IF(J3844&gt;=5,"Moderado alto (5-5.9)",IF(J3844&gt;=4,"Moderado (4-4.9)","Menor a 4"))))</x:f>
        <x:v>Menor a 4</x:v>
      </x:c>
      <x:c r="L3844" s="25" t="str">
        <x:f>IF(I3844&lt;70,"Superficial (&lt;70 km)",IF(I3844&lt;=300,"Intermedio (70-300 km)","Profundo (&gt;300 km)"))</x:f>
        <x:v>Superficial (&lt;70 km)</x:v>
      </x:c>
      <x:c r="M3844" s="25" t="str">
        <x:f>IF(J3844&gt;=5,"Sí","No")</x:f>
        <x:v>No</x:v>
      </x:c>
      <x:c r="N3844" s="25" t="str">
        <x:f>IF(J3844&gt;=6,"Sí","No")</x:f>
        <x:v>No</x:v>
      </x:c>
      <x:c r="O3844" s="25" t="str">
        <x:v>Pendiente: asignar con R/sf</x:v>
      </x:c>
    </x:row>
    <x:row r="3845">
      <x:c r="A3845" s="25" t="n">
        <x:v>3844</x:v>
      </x:c>
      <x:c r="B3845" s="26" t="n">
        <x:v>45633.26835648148</x:v>
      </x:c>
      <x:c r="C3845" s="27" t="n">
        <x:f>INT(B3845)</x:f>
        <x:v>45633</x:v>
      </x:c>
      <x:c r="D3845" s="28" t="n">
        <x:f>MOD(B3845,1)</x:f>
        <x:v>0.2683564814797137</x:v>
      </x:c>
      <x:c r="E3845" s="29" t="n">
        <x:f>YEAR(B3845)</x:f>
        <x:v>2024</x:v>
      </x:c>
      <x:c r="F3845" s="29" t="n">
        <x:f>MONTH(B3845)</x:f>
        <x:v>12</x:v>
      </x:c>
      <x:c r="G3845" s="30" t="n">
        <x:v>-39.02</x:v>
      </x:c>
      <x:c r="H3845" s="30" t="n">
        <x:v>-73.64</x:v>
      </x:c>
      <x:c r="I3845" s="29" t="n">
        <x:v>41</x:v>
      </x:c>
      <x:c r="J3845" s="31" t="n">
        <x:v>5.3</x:v>
      </x:c>
      <x:c r="K3845" s="25" t="str">
        <x:f>IF(J3845&gt;=7,"Muy fuerte (&gt;=7)",IF(J3845&gt;=6,"Fuerte (6-6.9)",IF(J3845&gt;=5,"Moderado alto (5-5.9)",IF(J3845&gt;=4,"Moderado (4-4.9)","Menor a 4"))))</x:f>
        <x:v>Moderado alto (5-5.9)</x:v>
      </x:c>
      <x:c r="L3845" s="25" t="str">
        <x:f>IF(I3845&lt;70,"Superficial (&lt;70 km)",IF(I3845&lt;=300,"Intermedio (70-300 km)","Profundo (&gt;300 km)"))</x:f>
        <x:v>Superficial (&lt;70 km)</x:v>
      </x:c>
      <x:c r="M3845" s="25" t="str">
        <x:f>IF(J3845&gt;=5,"Sí","No")</x:f>
        <x:v>Sí</x:v>
      </x:c>
      <x:c r="N3845" s="25" t="str">
        <x:f>IF(J3845&gt;=6,"Sí","No")</x:f>
        <x:v>No</x:v>
      </x:c>
      <x:c r="O3845" s="25" t="str">
        <x:v>Pendiente: asignar con R/sf</x:v>
      </x:c>
    </x:row>
    <x:row r="3846">
      <x:c r="A3846" s="25" t="n">
        <x:v>3845</x:v>
      </x:c>
      <x:c r="B3846" s="26" t="n">
        <x:v>45639.984930555554</x:v>
      </x:c>
      <x:c r="C3846" s="27" t="n">
        <x:f>INT(B3846)</x:f>
        <x:v>45639</x:v>
      </x:c>
      <x:c r="D3846" s="28" t="n">
        <x:f>MOD(B3846,1)</x:f>
        <x:v>0.9849305555544561</x:v>
      </x:c>
      <x:c r="E3846" s="29" t="n">
        <x:f>YEAR(B3846)</x:f>
        <x:v>2024</x:v>
      </x:c>
      <x:c r="F3846" s="29" t="n">
        <x:f>MONTH(B3846)</x:f>
        <x:v>12</x:v>
      </x:c>
      <x:c r="G3846" s="30" t="n">
        <x:v>-35.34</x:v>
      </x:c>
      <x:c r="H3846" s="30" t="n">
        <x:v>-70.87</x:v>
      </x:c>
      <x:c r="I3846" s="29" t="n">
        <x:v>114</x:v>
      </x:c>
      <x:c r="J3846" s="31" t="n">
        <x:v>6.3</x:v>
      </x:c>
      <x:c r="K3846" s="25" t="str">
        <x:f>IF(J3846&gt;=7,"Muy fuerte (&gt;=7)",IF(J3846&gt;=6,"Fuerte (6-6.9)",IF(J3846&gt;=5,"Moderado alto (5-5.9)",IF(J3846&gt;=4,"Moderado (4-4.9)","Menor a 4"))))</x:f>
        <x:v>Fuerte (6-6.9)</x:v>
      </x:c>
      <x:c r="L3846" s="25" t="str">
        <x:f>IF(I3846&lt;70,"Superficial (&lt;70 km)",IF(I3846&lt;=300,"Intermedio (70-300 km)","Profundo (&gt;300 km)"))</x:f>
        <x:v>Intermedio (70-300 km)</x:v>
      </x:c>
      <x:c r="M3846" s="25" t="str">
        <x:f>IF(J3846&gt;=5,"Sí","No")</x:f>
        <x:v>Sí</x:v>
      </x:c>
      <x:c r="N3846" s="25" t="str">
        <x:f>IF(J3846&gt;=6,"Sí","No")</x:f>
        <x:v>Sí</x:v>
      </x:c>
      <x:c r="O3846" s="25" t="str">
        <x:v>Pendiente: asignar con R/sf</x:v>
      </x:c>
    </x:row>
    <x:row r="3847">
      <x:c r="A3847" s="25" t="n">
        <x:v>3846</x:v>
      </x:c>
      <x:c r="B3847" s="26" t="n">
        <x:v>45644.17306712963</x:v>
      </x:c>
      <x:c r="C3847" s="27" t="n">
        <x:f>INT(B3847)</x:f>
        <x:v>45644</x:v>
      </x:c>
      <x:c r="D3847" s="28" t="n">
        <x:f>MOD(B3847,1)</x:f>
        <x:v>0.1730671296318178</x:v>
      </x:c>
      <x:c r="E3847" s="29" t="n">
        <x:f>YEAR(B3847)</x:f>
        <x:v>2024</x:v>
      </x:c>
      <x:c r="F3847" s="29" t="n">
        <x:f>MONTH(B3847)</x:f>
        <x:v>12</x:v>
      </x:c>
      <x:c r="G3847" s="30" t="n">
        <x:v>-20.16</x:v>
      </x:c>
      <x:c r="H3847" s="30" t="n">
        <x:v>-70.02</x:v>
      </x:c>
      <x:c r="I3847" s="29" t="n">
        <x:v>52</x:v>
      </x:c>
      <x:c r="J3847" s="31" t="n">
        <x:v>5.5</x:v>
      </x:c>
      <x:c r="K3847" s="25" t="str">
        <x:f>IF(J3847&gt;=7,"Muy fuerte (&gt;=7)",IF(J3847&gt;=6,"Fuerte (6-6.9)",IF(J3847&gt;=5,"Moderado alto (5-5.9)",IF(J3847&gt;=4,"Moderado (4-4.9)","Menor a 4"))))</x:f>
        <x:v>Moderado alto (5-5.9)</x:v>
      </x:c>
      <x:c r="L3847" s="25" t="str">
        <x:f>IF(I3847&lt;70,"Superficial (&lt;70 km)",IF(I3847&lt;=300,"Intermedio (70-300 km)","Profundo (&gt;300 km)"))</x:f>
        <x:v>Superficial (&lt;70 km)</x:v>
      </x:c>
      <x:c r="M3847" s="25" t="str">
        <x:f>IF(J3847&gt;=5,"Sí","No")</x:f>
        <x:v>Sí</x:v>
      </x:c>
      <x:c r="N3847" s="25" t="str">
        <x:f>IF(J3847&gt;=6,"Sí","No")</x:f>
        <x:v>No</x:v>
      </x:c>
      <x:c r="O3847" s="25" t="str">
        <x:v>Pendiente: asignar con R/sf</x:v>
      </x:c>
    </x:row>
    <x:row r="3848">
      <x:c r="A3848" s="25" t="n">
        <x:v>3847</x:v>
      </x:c>
      <x:c r="B3848" s="26" t="n">
        <x:v>45656.23667824074</x:v>
      </x:c>
      <x:c r="C3848" s="27" t="n">
        <x:f>INT(B3848)</x:f>
        <x:v>45656</x:v>
      </x:c>
      <x:c r="D3848" s="28" t="n">
        <x:f>MOD(B3848,1)</x:f>
        <x:v>0.23667824074072996</x:v>
      </x:c>
      <x:c r="E3848" s="29" t="n">
        <x:f>YEAR(B3848)</x:f>
        <x:v>2024</x:v>
      </x:c>
      <x:c r="F3848" s="29" t="n">
        <x:f>MONTH(B3848)</x:f>
        <x:v>12</x:v>
      </x:c>
      <x:c r="G3848" s="30" t="n">
        <x:v>-29.96</x:v>
      </x:c>
      <x:c r="H3848" s="30" t="n">
        <x:v>-71.98</x:v>
      </x:c>
      <x:c r="I3848" s="29" t="n">
        <x:v>37</x:v>
      </x:c>
      <x:c r="J3848" s="31" t="n">
        <x:v>5.1</x:v>
      </x:c>
      <x:c r="K3848" s="25" t="str">
        <x:f>IF(J3848&gt;=7,"Muy fuerte (&gt;=7)",IF(J3848&gt;=6,"Fuerte (6-6.9)",IF(J3848&gt;=5,"Moderado alto (5-5.9)",IF(J3848&gt;=4,"Moderado (4-4.9)","Menor a 4"))))</x:f>
        <x:v>Moderado alto (5-5.9)</x:v>
      </x:c>
      <x:c r="L3848" s="25" t="str">
        <x:f>IF(I3848&lt;70,"Superficial (&lt;70 km)",IF(I3848&lt;=300,"Intermedio (70-300 km)","Profundo (&gt;300 km)"))</x:f>
        <x:v>Superficial (&lt;70 km)</x:v>
      </x:c>
      <x:c r="M3848" s="25" t="str">
        <x:f>IF(J3848&gt;=5,"Sí","No")</x:f>
        <x:v>Sí</x:v>
      </x:c>
      <x:c r="N3848" s="25" t="str">
        <x:f>IF(J3848&gt;=6,"Sí","No")</x:f>
        <x:v>No</x:v>
      </x:c>
      <x:c r="O3848" s="25" t="str">
        <x:v>Pendiente: asignar con R/sf</x:v>
      </x:c>
    </x:row>
    <x:row r="3849">
      <x:c r="A3849" s="25" t="n">
        <x:v>3848</x:v>
      </x:c>
      <x:c r="B3849" s="26" t="n">
        <x:v>45657.96758101852</x:v>
      </x:c>
      <x:c r="C3849" s="27" t="n">
        <x:f>INT(B3849)</x:f>
        <x:v>45657</x:v>
      </x:c>
      <x:c r="D3849" s="28" t="n">
        <x:f>MOD(B3849,1)</x:f>
        <x:v>0.9675810185217415</x:v>
      </x:c>
      <x:c r="E3849" s="29" t="n">
        <x:f>YEAR(B3849)</x:f>
        <x:v>2024</x:v>
      </x:c>
      <x:c r="F3849" s="29" t="n">
        <x:f>MONTH(B3849)</x:f>
        <x:v>12</x:v>
      </x:c>
      <x:c r="G3849" s="30" t="n">
        <x:v>-20.17</x:v>
      </x:c>
      <x:c r="H3849" s="30" t="n">
        <x:v>-70.69</x:v>
      </x:c>
      <x:c r="I3849" s="29" t="n">
        <x:v>23</x:v>
      </x:c>
      <x:c r="J3849" s="31" t="n">
        <x:v>5</x:v>
      </x:c>
      <x:c r="K3849" s="25" t="str">
        <x:f>IF(J3849&gt;=7,"Muy fuerte (&gt;=7)",IF(J3849&gt;=6,"Fuerte (6-6.9)",IF(J3849&gt;=5,"Moderado alto (5-5.9)",IF(J3849&gt;=4,"Moderado (4-4.9)","Menor a 4"))))</x:f>
        <x:v>Moderado alto (5-5.9)</x:v>
      </x:c>
      <x:c r="L3849" s="25" t="str">
        <x:f>IF(I3849&lt;70,"Superficial (&lt;70 km)",IF(I3849&lt;=300,"Intermedio (70-300 km)","Profundo (&gt;300 km)"))</x:f>
        <x:v>Superficial (&lt;70 km)</x:v>
      </x:c>
      <x:c r="M3849" s="25" t="str">
        <x:f>IF(J3849&gt;=5,"Sí","No")</x:f>
        <x:v>Sí</x:v>
      </x:c>
      <x:c r="N3849" s="25" t="str">
        <x:f>IF(J3849&gt;=6,"Sí","No")</x:f>
        <x:v>No</x:v>
      </x:c>
      <x:c r="O3849" s="25" t="str">
        <x:v>Pendiente: asignar con R/sf</x:v>
      </x:c>
    </x:row>
    <x:row r="3850">
      <x:c r="A3850" s="25" t="n">
        <x:v>3849</x:v>
      </x:c>
      <x:c r="B3850" s="26" t="n">
        <x:v>45659.863599537035</x:v>
      </x:c>
      <x:c r="C3850" s="27" t="n">
        <x:f>INT(B3850)</x:f>
        <x:v>45659</x:v>
      </x:c>
      <x:c r="D3850" s="28" t="n">
        <x:f>MOD(B3850,1)</x:f>
        <x:v>0.8635995370350429</x:v>
      </x:c>
      <x:c r="E3850" s="29" t="n">
        <x:f>YEAR(B3850)</x:f>
        <x:v>2025</x:v>
      </x:c>
      <x:c r="F3850" s="29" t="n">
        <x:f>MONTH(B3850)</x:f>
        <x:v>1</x:v>
      </x:c>
      <x:c r="G3850" s="30" t="n">
        <x:v>-21.73</x:v>
      </x:c>
      <x:c r="H3850" s="30" t="n">
        <x:v>-69.04</x:v>
      </x:c>
      <x:c r="I3850" s="29" t="n">
        <x:v>98</x:v>
      </x:c>
      <x:c r="J3850" s="31" t="n">
        <x:v>6</x:v>
      </x:c>
      <x:c r="K3850" s="25" t="str">
        <x:f>IF(J3850&gt;=7,"Muy fuerte (&gt;=7)",IF(J3850&gt;=6,"Fuerte (6-6.9)",IF(J3850&gt;=5,"Moderado alto (5-5.9)",IF(J3850&gt;=4,"Moderado (4-4.9)","Menor a 4"))))</x:f>
        <x:v>Fuerte (6-6.9)</x:v>
      </x:c>
      <x:c r="L3850" s="25" t="str">
        <x:f>IF(I3850&lt;70,"Superficial (&lt;70 km)",IF(I3850&lt;=300,"Intermedio (70-300 km)","Profundo (&gt;300 km)"))</x:f>
        <x:v>Intermedio (70-300 km)</x:v>
      </x:c>
      <x:c r="M3850" s="25" t="str">
        <x:f>IF(J3850&gt;=5,"Sí","No")</x:f>
        <x:v>Sí</x:v>
      </x:c>
      <x:c r="N3850" s="25" t="str">
        <x:f>IF(J3850&gt;=6,"Sí","No")</x:f>
        <x:v>Sí</x:v>
      </x:c>
      <x:c r="O3850" s="25" t="str">
        <x:v>Pendiente: asignar con R/sf</x:v>
      </x:c>
    </x:row>
    <x:row r="3851">
      <x:c r="A3851" s="25" t="n">
        <x:v>3850</x:v>
      </x:c>
      <x:c r="B3851" s="26" t="n">
        <x:v>45540.30784722222</x:v>
      </x:c>
      <x:c r="C3851" s="27" t="n">
        <x:f>INT(B3851)</x:f>
        <x:v>45540</x:v>
      </x:c>
      <x:c r="D3851" s="28" t="n">
        <x:f>MOD(B3851,1)</x:f>
        <x:v>0.3078472222186974</x:v>
      </x:c>
      <x:c r="E3851" s="29" t="n">
        <x:f>YEAR(B3851)</x:f>
        <x:v>2024</x:v>
      </x:c>
      <x:c r="F3851" s="29" t="n">
        <x:f>MONTH(B3851)</x:f>
        <x:v>9</x:v>
      </x:c>
      <x:c r="G3851" s="30" t="n">
        <x:v>-32.05</x:v>
      </x:c>
      <x:c r="H3851" s="30" t="n">
        <x:v>-71.88</x:v>
      </x:c>
      <x:c r="I3851" s="29" t="n">
        <x:v>17</x:v>
      </x:c>
      <x:c r="J3851" s="31" t="n">
        <x:v>4.3</x:v>
      </x:c>
      <x:c r="K3851" s="25" t="str">
        <x:f>IF(J3851&gt;=7,"Muy fuerte (&gt;=7)",IF(J3851&gt;=6,"Fuerte (6-6.9)",IF(J3851&gt;=5,"Moderado alto (5-5.9)",IF(J3851&gt;=4,"Moderado (4-4.9)","Menor a 4"))))</x:f>
        <x:v>Moderado (4-4.9)</x:v>
      </x:c>
      <x:c r="L3851" s="25" t="str">
        <x:f>IF(I3851&lt;70,"Superficial (&lt;70 km)",IF(I3851&lt;=300,"Intermedio (70-300 km)","Profundo (&gt;300 km)"))</x:f>
        <x:v>Superficial (&lt;70 km)</x:v>
      </x:c>
      <x:c r="M3851" s="25" t="str">
        <x:f>IF(J3851&gt;=5,"Sí","No")</x:f>
        <x:v>No</x:v>
      </x:c>
      <x:c r="N3851" s="25" t="str">
        <x:f>IF(J3851&gt;=6,"Sí","No")</x:f>
        <x:v>No</x:v>
      </x:c>
      <x:c r="O3851" s="25" t="str">
        <x:v>Pendiente: asignar con R/sf</x:v>
      </x:c>
    </x:row>
    <x:row r="3852">
      <x:c r="A3852" s="25" t="n">
        <x:v>3851</x:v>
      </x:c>
      <x:c r="B3852" s="26" t="n">
        <x:v>45599.169490740744</x:v>
      </x:c>
      <x:c r="C3852" s="27" t="n">
        <x:f>INT(B3852)</x:f>
        <x:v>45599</x:v>
      </x:c>
      <x:c r="D3852" s="28" t="n">
        <x:f>MOD(B3852,1)</x:f>
        <x:v>0.16949074074364034</x:v>
      </x:c>
      <x:c r="E3852" s="29" t="n">
        <x:f>YEAR(B3852)</x:f>
        <x:v>2024</x:v>
      </x:c>
      <x:c r="F3852" s="29" t="n">
        <x:f>MONTH(B3852)</x:f>
        <x:v>11</x:v>
      </x:c>
      <x:c r="G3852" s="30" t="n">
        <x:v>-35.66</x:v>
      </x:c>
      <x:c r="H3852" s="30" t="n">
        <x:v>-69.69</x:v>
      </x:c>
      <x:c r="I3852" s="29" t="n">
        <x:v>199</x:v>
      </x:c>
      <x:c r="J3852" s="31" t="n">
        <x:v>5.3</x:v>
      </x:c>
      <x:c r="K3852" s="25" t="str">
        <x:f>IF(J3852&gt;=7,"Muy fuerte (&gt;=7)",IF(J3852&gt;=6,"Fuerte (6-6.9)",IF(J3852&gt;=5,"Moderado alto (5-5.9)",IF(J3852&gt;=4,"Moderado (4-4.9)","Menor a 4"))))</x:f>
        <x:v>Moderado alto (5-5.9)</x:v>
      </x:c>
      <x:c r="L3852" s="25" t="str">
        <x:f>IF(I3852&lt;70,"Superficial (&lt;70 km)",IF(I3852&lt;=300,"Intermedio (70-300 km)","Profundo (&gt;300 km)"))</x:f>
        <x:v>Intermedio (70-300 km)</x:v>
      </x:c>
      <x:c r="M3852" s="25" t="str">
        <x:f>IF(J3852&gt;=5,"Sí","No")</x:f>
        <x:v>Sí</x:v>
      </x:c>
      <x:c r="N3852" s="25" t="str">
        <x:f>IF(J3852&gt;=6,"Sí","No")</x:f>
        <x:v>No</x:v>
      </x:c>
      <x:c r="O3852" s="25" t="str">
        <x:v>Pendiente: asignar con R/sf</x:v>
      </x:c>
    </x:row>
    <x:row r="3853">
      <x:c r="A3853" s="25" t="n">
        <x:v>3852</x:v>
      </x:c>
      <x:c r="B3853" s="26" t="n">
        <x:v>45385.2743287037</x:v>
      </x:c>
      <x:c r="C3853" s="27" t="n">
        <x:f>INT(B3853)</x:f>
        <x:v>45385</x:v>
      </x:c>
      <x:c r="D3853" s="28" t="n">
        <x:f>MOD(B3853,1)</x:f>
        <x:v>0.27432870370103046</x:v>
      </x:c>
      <x:c r="E3853" s="29" t="n">
        <x:f>YEAR(B3853)</x:f>
        <x:v>2024</x:v>
      </x:c>
      <x:c r="F3853" s="29" t="n">
        <x:f>MONTH(B3853)</x:f>
        <x:v>4</x:v>
      </x:c>
      <x:c r="G3853" s="30" t="n">
        <x:v>-36.07</x:v>
      </x:c>
      <x:c r="H3853" s="30" t="n">
        <x:v>-73.74</x:v>
      </x:c>
      <x:c r="I3853" s="29" t="n">
        <x:v>37</x:v>
      </x:c>
      <x:c r="J3853" s="31" t="n">
        <x:v>5</x:v>
      </x:c>
      <x:c r="K3853" s="25" t="str">
        <x:f>IF(J3853&gt;=7,"Muy fuerte (&gt;=7)",IF(J3853&gt;=6,"Fuerte (6-6.9)",IF(J3853&gt;=5,"Moderado alto (5-5.9)",IF(J3853&gt;=4,"Moderado (4-4.9)","Menor a 4"))))</x:f>
        <x:v>Moderado alto (5-5.9)</x:v>
      </x:c>
      <x:c r="L3853" s="25" t="str">
        <x:f>IF(I3853&lt;70,"Superficial (&lt;70 km)",IF(I3853&lt;=300,"Intermedio (70-300 km)","Profundo (&gt;300 km)"))</x:f>
        <x:v>Superficial (&lt;70 km)</x:v>
      </x:c>
      <x:c r="M3853" s="25" t="str">
        <x:f>IF(J3853&gt;=5,"Sí","No")</x:f>
        <x:v>Sí</x:v>
      </x:c>
      <x:c r="N3853" s="25" t="str">
        <x:f>IF(J3853&gt;=6,"Sí","No")</x:f>
        <x:v>No</x:v>
      </x:c>
      <x:c r="O3853" s="25" t="str">
        <x:v>Pendiente: asignar con R/sf</x:v>
      </x:c>
    </x:row>
    <x:row r="3854">
      <x:c r="A3854" s="25" t="n">
        <x:v>3853</x:v>
      </x:c>
      <x:c r="B3854" s="26" t="n">
        <x:v>45522.980532407404</x:v>
      </x:c>
      <x:c r="C3854" s="27" t="n">
        <x:f>INT(B3854)</x:f>
        <x:v>45522</x:v>
      </x:c>
      <x:c r="D3854" s="28" t="n">
        <x:f>MOD(B3854,1)</x:f>
        <x:v>0.9805324074040982</x:v>
      </x:c>
      <x:c r="E3854" s="29" t="n">
        <x:f>YEAR(B3854)</x:f>
        <x:v>2024</x:v>
      </x:c>
      <x:c r="F3854" s="29" t="n">
        <x:f>MONTH(B3854)</x:f>
        <x:v>8</x:v>
      </x:c>
      <x:c r="G3854" s="30" t="n">
        <x:v>-37.07</x:v>
      </x:c>
      <x:c r="H3854" s="30" t="n">
        <x:v>-74.17</x:v>
      </x:c>
      <x:c r="I3854" s="29" t="n">
        <x:v>24</x:v>
      </x:c>
      <x:c r="J3854" s="31" t="n">
        <x:v>5.4</x:v>
      </x:c>
      <x:c r="K3854" s="25" t="str">
        <x:f>IF(J3854&gt;=7,"Muy fuerte (&gt;=7)",IF(J3854&gt;=6,"Fuerte (6-6.9)",IF(J3854&gt;=5,"Moderado alto (5-5.9)",IF(J3854&gt;=4,"Moderado (4-4.9)","Menor a 4"))))</x:f>
        <x:v>Moderado alto (5-5.9)</x:v>
      </x:c>
      <x:c r="L3854" s="25" t="str">
        <x:f>IF(I3854&lt;70,"Superficial (&lt;70 km)",IF(I3854&lt;=300,"Intermedio (70-300 km)","Profundo (&gt;300 km)"))</x:f>
        <x:v>Superficial (&lt;70 km)</x:v>
      </x:c>
      <x:c r="M3854" s="25" t="str">
        <x:f>IF(J3854&gt;=5,"Sí","No")</x:f>
        <x:v>Sí</x:v>
      </x:c>
      <x:c r="N3854" s="25" t="str">
        <x:f>IF(J3854&gt;=6,"Sí","No")</x:f>
        <x:v>No</x:v>
      </x:c>
      <x:c r="O3854" s="25" t="str">
        <x:v>Pendiente: asignar con R/sf</x:v>
      </x:c>
    </x:row>
    <x:row r="3855">
      <x:c r="A3855" s="25" t="n">
        <x:v>3854</x:v>
      </x:c>
      <x:c r="B3855" s="26" t="n">
        <x:v>45532.67634259259</x:v>
      </x:c>
      <x:c r="C3855" s="27" t="n">
        <x:f>INT(B3855)</x:f>
        <x:v>45532</x:v>
      </x:c>
      <x:c r="D3855" s="28" t="n">
        <x:f>MOD(B3855,1)</x:f>
        <x:v>0.6763425925892079</x:v>
      </x:c>
      <x:c r="E3855" s="29" t="n">
        <x:f>YEAR(B3855)</x:f>
        <x:v>2024</x:v>
      </x:c>
      <x:c r="F3855" s="29" t="n">
        <x:f>MONTH(B3855)</x:f>
        <x:v>8</x:v>
      </x:c>
      <x:c r="G3855" s="30" t="n">
        <x:v>-36.23</x:v>
      </x:c>
      <x:c r="H3855" s="30" t="n">
        <x:v>-73.66</x:v>
      </x:c>
      <x:c r="I3855" s="29" t="n">
        <x:v>38</x:v>
      </x:c>
      <x:c r="J3855" s="31" t="n">
        <x:v>4.7</x:v>
      </x:c>
      <x:c r="K3855" s="25" t="str">
        <x:f>IF(J3855&gt;=7,"Muy fuerte (&gt;=7)",IF(J3855&gt;=6,"Fuerte (6-6.9)",IF(J3855&gt;=5,"Moderado alto (5-5.9)",IF(J3855&gt;=4,"Moderado (4-4.9)","Menor a 4"))))</x:f>
        <x:v>Moderado (4-4.9)</x:v>
      </x:c>
      <x:c r="L3855" s="25" t="str">
        <x:f>IF(I3855&lt;70,"Superficial (&lt;70 km)",IF(I3855&lt;=300,"Intermedio (70-300 km)","Profundo (&gt;300 km)"))</x:f>
        <x:v>Superficial (&lt;70 km)</x:v>
      </x:c>
      <x:c r="M3855" s="25" t="str">
        <x:f>IF(J3855&gt;=5,"Sí","No")</x:f>
        <x:v>No</x:v>
      </x:c>
      <x:c r="N3855" s="25" t="str">
        <x:f>IF(J3855&gt;=6,"Sí","No")</x:f>
        <x:v>No</x:v>
      </x:c>
      <x:c r="O3855" s="25" t="str">
        <x:v>Pendiente: asignar con R/sf</x:v>
      </x:c>
    </x:row>
    <x:row r="3856">
      <x:c r="A3856" s="25" t="n">
        <x:v>3855</x:v>
      </x:c>
      <x:c r="B3856" s="26" t="n">
        <x:v>44642.29655092592</x:v>
      </x:c>
      <x:c r="C3856" s="27" t="n">
        <x:f>INT(B3856)</x:f>
        <x:v>44642</x:v>
      </x:c>
      <x:c r="D3856" s="28" t="n">
        <x:f>MOD(B3856,1)</x:f>
        <x:v>0.2965509259229293</x:v>
      </x:c>
      <x:c r="E3856" s="29" t="n">
        <x:f>YEAR(B3856)</x:f>
        <x:v>2022</x:v>
      </x:c>
      <x:c r="F3856" s="29" t="n">
        <x:f>MONTH(B3856)</x:f>
        <x:v>3</x:v>
      </x:c>
      <x:c r="G3856" s="30" t="n">
        <x:v>-36.55</x:v>
      </x:c>
      <x:c r="H3856" s="30" t="n">
        <x:v>-72.9</x:v>
      </x:c>
      <x:c r="I3856" s="29" t="n">
        <x:v>41</x:v>
      </x:c>
      <x:c r="J3856" s="31" t="n">
        <x:v>3.5</x:v>
      </x:c>
      <x:c r="K3856" s="25" t="str">
        <x:f>IF(J3856&gt;=7,"Muy fuerte (&gt;=7)",IF(J3856&gt;=6,"Fuerte (6-6.9)",IF(J3856&gt;=5,"Moderado alto (5-5.9)",IF(J3856&gt;=4,"Moderado (4-4.9)","Menor a 4"))))</x:f>
        <x:v>Menor a 4</x:v>
      </x:c>
      <x:c r="L3856" s="25" t="str">
        <x:f>IF(I3856&lt;70,"Superficial (&lt;70 km)",IF(I3856&lt;=300,"Intermedio (70-300 km)","Profundo (&gt;300 km)"))</x:f>
        <x:v>Superficial (&lt;70 km)</x:v>
      </x:c>
      <x:c r="M3856" s="25" t="str">
        <x:f>IF(J3856&gt;=5,"Sí","No")</x:f>
        <x:v>No</x:v>
      </x:c>
      <x:c r="N3856" s="25" t="str">
        <x:f>IF(J3856&gt;=6,"Sí","No")</x:f>
        <x:v>No</x:v>
      </x:c>
      <x:c r="O3856" s="25" t="str">
        <x:v>Pendiente: asignar con R/sf</x:v>
      </x:c>
    </x:row>
    <x:row r="3857">
      <x:c r="A3857" s="25" t="n">
        <x:v>3856</x:v>
      </x:c>
      <x:c r="B3857" s="26" t="n">
        <x:v>45582.15283564815</x:v>
      </x:c>
      <x:c r="C3857" s="27" t="n">
        <x:f>INT(B3857)</x:f>
        <x:v>45582</x:v>
      </x:c>
      <x:c r="D3857" s="28" t="n">
        <x:f>MOD(B3857,1)</x:f>
        <x:v>0.15283564815035788</x:v>
      </x:c>
      <x:c r="E3857" s="29" t="n">
        <x:f>YEAR(B3857)</x:f>
        <x:v>2024</x:v>
      </x:c>
      <x:c r="F3857" s="29" t="n">
        <x:f>MONTH(B3857)</x:f>
        <x:v>10</x:v>
      </x:c>
      <x:c r="G3857" s="30" t="n">
        <x:v>-36.94</x:v>
      </x:c>
      <x:c r="H3857" s="30" t="n">
        <x:v>-73.35</x:v>
      </x:c>
      <x:c r="I3857" s="29" t="n">
        <x:v>35</x:v>
      </x:c>
      <x:c r="J3857" s="31" t="n">
        <x:v>3.8</x:v>
      </x:c>
      <x:c r="K3857" s="25" t="str">
        <x:f>IF(J3857&gt;=7,"Muy fuerte (&gt;=7)",IF(J3857&gt;=6,"Fuerte (6-6.9)",IF(J3857&gt;=5,"Moderado alto (5-5.9)",IF(J3857&gt;=4,"Moderado (4-4.9)","Menor a 4"))))</x:f>
        <x:v>Menor a 4</x:v>
      </x:c>
      <x:c r="L3857" s="25" t="str">
        <x:f>IF(I3857&lt;70,"Superficial (&lt;70 km)",IF(I3857&lt;=300,"Intermedio (70-300 km)","Profundo (&gt;300 km)"))</x:f>
        <x:v>Superficial (&lt;70 km)</x:v>
      </x:c>
      <x:c r="M3857" s="25" t="str">
        <x:f>IF(J3857&gt;=5,"Sí","No")</x:f>
        <x:v>No</x:v>
      </x:c>
      <x:c r="N3857" s="25" t="str">
        <x:f>IF(J3857&gt;=6,"Sí","No")</x:f>
        <x:v>No</x:v>
      </x:c>
      <x:c r="O3857" s="25" t="str">
        <x:v>Pendiente: asignar con R/sf</x:v>
      </x:c>
    </x:row>
    <x:row r="3858">
      <x:c r="A3858" s="25" t="n">
        <x:v>3857</x:v>
      </x:c>
      <x:c r="B3858" s="26" t="n">
        <x:v>45511.17759259259</x:v>
      </x:c>
      <x:c r="C3858" s="27" t="n">
        <x:f>INT(B3858)</x:f>
        <x:v>45511</x:v>
      </x:c>
      <x:c r="D3858" s="28" t="n">
        <x:f>MOD(B3858,1)</x:f>
        <x:v>0.17759259259037208</x:v>
      </x:c>
      <x:c r="E3858" s="29" t="n">
        <x:f>YEAR(B3858)</x:f>
        <x:v>2024</x:v>
      </x:c>
      <x:c r="F3858" s="29" t="n">
        <x:f>MONTH(B3858)</x:f>
        <x:v>8</x:v>
      </x:c>
      <x:c r="G3858" s="30" t="n">
        <x:v>-26.98</x:v>
      </x:c>
      <x:c r="H3858" s="30" t="n">
        <x:v>-71.12</x:v>
      </x:c>
      <x:c r="I3858" s="29" t="n">
        <x:v>41</x:v>
      </x:c>
      <x:c r="J3858" s="31" t="n">
        <x:v>4.6</x:v>
      </x:c>
      <x:c r="K3858" s="25" t="str">
        <x:f>IF(J3858&gt;=7,"Muy fuerte (&gt;=7)",IF(J3858&gt;=6,"Fuerte (6-6.9)",IF(J3858&gt;=5,"Moderado alto (5-5.9)",IF(J3858&gt;=4,"Moderado (4-4.9)","Menor a 4"))))</x:f>
        <x:v>Moderado (4-4.9)</x:v>
      </x:c>
      <x:c r="L3858" s="25" t="str">
        <x:f>IF(I3858&lt;70,"Superficial (&lt;70 km)",IF(I3858&lt;=300,"Intermedio (70-300 km)","Profundo (&gt;300 km)"))</x:f>
        <x:v>Superficial (&lt;70 km)</x:v>
      </x:c>
      <x:c r="M3858" s="25" t="str">
        <x:f>IF(J3858&gt;=5,"Sí","No")</x:f>
        <x:v>No</x:v>
      </x:c>
      <x:c r="N3858" s="25" t="str">
        <x:f>IF(J3858&gt;=6,"Sí","No")</x:f>
        <x:v>No</x:v>
      </x:c>
      <x:c r="O3858" s="25" t="str">
        <x:v>Pendiente: asignar con R/sf</x:v>
      </x:c>
    </x:row>
    <x:row r="3859">
      <x:c r="A3859" s="25" t="n">
        <x:v>3858</x:v>
      </x:c>
      <x:c r="B3859" s="26" t="n">
        <x:v>45512.06896990741</x:v>
      </x:c>
      <x:c r="C3859" s="27" t="n">
        <x:f>INT(B3859)</x:f>
        <x:v>45512</x:v>
      </x:c>
      <x:c r="D3859" s="28" t="n">
        <x:f>MOD(B3859,1)</x:f>
        <x:v>0.0689699074064265</x:v>
      </x:c>
      <x:c r="E3859" s="29" t="n">
        <x:f>YEAR(B3859)</x:f>
        <x:v>2024</x:v>
      </x:c>
      <x:c r="F3859" s="29" t="n">
        <x:f>MONTH(B3859)</x:f>
        <x:v>8</x:v>
      </x:c>
      <x:c r="G3859" s="30" t="n">
        <x:v>-26.99</x:v>
      </x:c>
      <x:c r="H3859" s="30" t="n">
        <x:v>-71.17</x:v>
      </x:c>
      <x:c r="I3859" s="29" t="n">
        <x:v>31</x:v>
      </x:c>
      <x:c r="J3859" s="31" t="n">
        <x:v>4.2</x:v>
      </x:c>
      <x:c r="K3859" s="25" t="str">
        <x:f>IF(J3859&gt;=7,"Muy fuerte (&gt;=7)",IF(J3859&gt;=6,"Fuerte (6-6.9)",IF(J3859&gt;=5,"Moderado alto (5-5.9)",IF(J3859&gt;=4,"Moderado (4-4.9)","Menor a 4"))))</x:f>
        <x:v>Moderado (4-4.9)</x:v>
      </x:c>
      <x:c r="L3859" s="25" t="str">
        <x:f>IF(I3859&lt;70,"Superficial (&lt;70 km)",IF(I3859&lt;=300,"Intermedio (70-300 km)","Profundo (&gt;300 km)"))</x:f>
        <x:v>Superficial (&lt;70 km)</x:v>
      </x:c>
      <x:c r="M3859" s="25" t="str">
        <x:f>IF(J3859&gt;=5,"Sí","No")</x:f>
        <x:v>No</x:v>
      </x:c>
      <x:c r="N3859" s="25" t="str">
        <x:f>IF(J3859&gt;=6,"Sí","No")</x:f>
        <x:v>No</x:v>
      </x:c>
      <x:c r="O3859" s="25" t="str">
        <x:v>Pendiente: asignar con R/sf</x:v>
      </x:c>
    </x:row>
    <x:row r="3860">
      <x:c r="A3860" s="25" t="n">
        <x:v>3859</x:v>
      </x:c>
      <x:c r="B3860" s="26" t="n">
        <x:v>45529.624930555554</x:v>
      </x:c>
      <x:c r="C3860" s="27" t="n">
        <x:f>INT(B3860)</x:f>
        <x:v>45529</x:v>
      </x:c>
      <x:c r="D3860" s="28" t="n">
        <x:f>MOD(B3860,1)</x:f>
        <x:v>0.624930555553874</x:v>
      </x:c>
      <x:c r="E3860" s="29" t="n">
        <x:f>YEAR(B3860)</x:f>
        <x:v>2024</x:v>
      </x:c>
      <x:c r="F3860" s="29" t="n">
        <x:f>MONTH(B3860)</x:f>
        <x:v>8</x:v>
      </x:c>
      <x:c r="G3860" s="30" t="n">
        <x:v>-27.38</x:v>
      </x:c>
      <x:c r="H3860" s="30" t="n">
        <x:v>-71.21</x:v>
      </x:c>
      <x:c r="I3860" s="29" t="n">
        <x:v>51</x:v>
      </x:c>
      <x:c r="J3860" s="31" t="n">
        <x:v>3.7</x:v>
      </x:c>
      <x:c r="K3860" s="25" t="str">
        <x:f>IF(J3860&gt;=7,"Muy fuerte (&gt;=7)",IF(J3860&gt;=6,"Fuerte (6-6.9)",IF(J3860&gt;=5,"Moderado alto (5-5.9)",IF(J3860&gt;=4,"Moderado (4-4.9)","Menor a 4"))))</x:f>
        <x:v>Menor a 4</x:v>
      </x:c>
      <x:c r="L3860" s="25" t="str">
        <x:f>IF(I3860&lt;70,"Superficial (&lt;70 km)",IF(I3860&lt;=300,"Intermedio (70-300 km)","Profundo (&gt;300 km)"))</x:f>
        <x:v>Superficial (&lt;70 km)</x:v>
      </x:c>
      <x:c r="M3860" s="25" t="str">
        <x:f>IF(J3860&gt;=5,"Sí","No")</x:f>
        <x:v>No</x:v>
      </x:c>
      <x:c r="N3860" s="25" t="str">
        <x:f>IF(J3860&gt;=6,"Sí","No")</x:f>
        <x:v>No</x:v>
      </x:c>
      <x:c r="O3860" s="25" t="str">
        <x:v>Pendiente: asignar con R/sf</x:v>
      </x:c>
    </x:row>
    <x:row r="3861">
      <x:c r="A3861" s="25" t="n">
        <x:v>3860</x:v>
      </x:c>
      <x:c r="B3861" s="26" t="n">
        <x:v>45585.33513888889</x:v>
      </x:c>
      <x:c r="C3861" s="27" t="n">
        <x:f>INT(B3861)</x:f>
        <x:v>45585</x:v>
      </x:c>
      <x:c r="D3861" s="28" t="n">
        <x:f>MOD(B3861,1)</x:f>
        <x:v>0.3351388888913789</x:v>
      </x:c>
      <x:c r="E3861" s="29" t="n">
        <x:f>YEAR(B3861)</x:f>
        <x:v>2024</x:v>
      </x:c>
      <x:c r="F3861" s="29" t="n">
        <x:f>MONTH(B3861)</x:f>
        <x:v>10</x:v>
      </x:c>
      <x:c r="G3861" s="30" t="n">
        <x:v>-29.16</x:v>
      </x:c>
      <x:c r="H3861" s="30" t="n">
        <x:v>-71.02</x:v>
      </x:c>
      <x:c r="I3861" s="29" t="n">
        <x:v>72</x:v>
      </x:c>
      <x:c r="J3861" s="31" t="n">
        <x:v>4.6</x:v>
      </x:c>
      <x:c r="K3861" s="25" t="str">
        <x:f>IF(J3861&gt;=7,"Muy fuerte (&gt;=7)",IF(J3861&gt;=6,"Fuerte (6-6.9)",IF(J3861&gt;=5,"Moderado alto (5-5.9)",IF(J3861&gt;=4,"Moderado (4-4.9)","Menor a 4"))))</x:f>
        <x:v>Moderado (4-4.9)</x:v>
      </x:c>
      <x:c r="L3861" s="25" t="str">
        <x:f>IF(I3861&lt;70,"Superficial (&lt;70 km)",IF(I3861&lt;=300,"Intermedio (70-300 km)","Profundo (&gt;300 km)"))</x:f>
        <x:v>Intermedio (70-300 km)</x:v>
      </x:c>
      <x:c r="M3861" s="25" t="str">
        <x:f>IF(J3861&gt;=5,"Sí","No")</x:f>
        <x:v>No</x:v>
      </x:c>
      <x:c r="N3861" s="25" t="str">
        <x:f>IF(J3861&gt;=6,"Sí","No")</x:f>
        <x:v>No</x:v>
      </x:c>
      <x:c r="O3861" s="25" t="str">
        <x:v>Pendiente: asignar con R/sf</x:v>
      </x:c>
    </x:row>
    <x:row r="3862">
      <x:c r="A3862" s="25" t="n">
        <x:v>3861</x:v>
      </x:c>
      <x:c r="B3862" s="26" t="n">
        <x:v>45589.490011574075</x:v>
      </x:c>
      <x:c r="C3862" s="27" t="n">
        <x:f>INT(B3862)</x:f>
        <x:v>45589</x:v>
      </x:c>
      <x:c r="D3862" s="28" t="n">
        <x:f>MOD(B3862,1)</x:f>
        <x:v>0.4900115740747424</x:v>
      </x:c>
      <x:c r="E3862" s="29" t="n">
        <x:f>YEAR(B3862)</x:f>
        <x:v>2024</x:v>
      </x:c>
      <x:c r="F3862" s="29" t="n">
        <x:f>MONTH(B3862)</x:f>
        <x:v>10</x:v>
      </x:c>
      <x:c r="G3862" s="30" t="n">
        <x:v>-28.7</x:v>
      </x:c>
      <x:c r="H3862" s="30" t="n">
        <x:v>-71.76</x:v>
      </x:c>
      <x:c r="I3862" s="29" t="n">
        <x:v>32</x:v>
      </x:c>
      <x:c r="J3862" s="31" t="n">
        <x:v>5</x:v>
      </x:c>
      <x:c r="K3862" s="25" t="str">
        <x:f>IF(J3862&gt;=7,"Muy fuerte (&gt;=7)",IF(J3862&gt;=6,"Fuerte (6-6.9)",IF(J3862&gt;=5,"Moderado alto (5-5.9)",IF(J3862&gt;=4,"Moderado (4-4.9)","Menor a 4"))))</x:f>
        <x:v>Moderado alto (5-5.9)</x:v>
      </x:c>
      <x:c r="L3862" s="25" t="str">
        <x:f>IF(I3862&lt;70,"Superficial (&lt;70 km)",IF(I3862&lt;=300,"Intermedio (70-300 km)","Profundo (&gt;300 km)"))</x:f>
        <x:v>Superficial (&lt;70 km)</x:v>
      </x:c>
      <x:c r="M3862" s="25" t="str">
        <x:f>IF(J3862&gt;=5,"Sí","No")</x:f>
        <x:v>Sí</x:v>
      </x:c>
      <x:c r="N3862" s="25" t="str">
        <x:f>IF(J3862&gt;=6,"Sí","No")</x:f>
        <x:v>No</x:v>
      </x:c>
      <x:c r="O3862" s="25" t="str">
        <x:v>Pendiente: asignar con R/sf</x:v>
      </x:c>
    </x:row>
    <x:row r="3863">
      <x:c r="A3863" s="25" t="n">
        <x:v>3862</x:v>
      </x:c>
      <x:c r="B3863" s="26" t="n">
        <x:v>45455.478946759256</x:v>
      </x:c>
      <x:c r="C3863" s="27" t="n">
        <x:f>INT(B3863)</x:f>
        <x:v>45455</x:v>
      </x:c>
      <x:c r="D3863" s="28" t="n">
        <x:f>MOD(B3863,1)</x:f>
        <x:v>0.47894675925635966</x:v>
      </x:c>
      <x:c r="E3863" s="29" t="n">
        <x:f>YEAR(B3863)</x:f>
        <x:v>2024</x:v>
      </x:c>
      <x:c r="F3863" s="29" t="n">
        <x:f>MONTH(B3863)</x:f>
        <x:v>6</x:v>
      </x:c>
      <x:c r="G3863" s="30" t="n">
        <x:v>-28.86</x:v>
      </x:c>
      <x:c r="H3863" s="30" t="n">
        <x:v>-71.5</x:v>
      </x:c>
      <x:c r="I3863" s="29" t="n">
        <x:v>40</x:v>
      </x:c>
      <x:c r="J3863" s="31" t="n">
        <x:v>3.6</x:v>
      </x:c>
      <x:c r="K3863" s="25" t="str">
        <x:f>IF(J3863&gt;=7,"Muy fuerte (&gt;=7)",IF(J3863&gt;=6,"Fuerte (6-6.9)",IF(J3863&gt;=5,"Moderado alto (5-5.9)",IF(J3863&gt;=4,"Moderado (4-4.9)","Menor a 4"))))</x:f>
        <x:v>Menor a 4</x:v>
      </x:c>
      <x:c r="L3863" s="25" t="str">
        <x:f>IF(I3863&lt;70,"Superficial (&lt;70 km)",IF(I3863&lt;=300,"Intermedio (70-300 km)","Profundo (&gt;300 km)"))</x:f>
        <x:v>Superficial (&lt;70 km)</x:v>
      </x:c>
      <x:c r="M3863" s="25" t="str">
        <x:f>IF(J3863&gt;=5,"Sí","No")</x:f>
        <x:v>No</x:v>
      </x:c>
      <x:c r="N3863" s="25" t="str">
        <x:f>IF(J3863&gt;=6,"Sí","No")</x:f>
        <x:v>No</x:v>
      </x:c>
      <x:c r="O3863" s="25" t="str">
        <x:v>Pendiente: asignar con R/sf</x:v>
      </x:c>
    </x:row>
    <x:row r="3864">
      <x:c r="A3864" s="25" t="n">
        <x:v>3863</x:v>
      </x:c>
      <x:c r="B3864" s="26" t="n">
        <x:v>45473.506053240744</x:v>
      </x:c>
      <x:c r="C3864" s="27" t="n">
        <x:f>INT(B3864)</x:f>
        <x:v>45473</x:v>
      </x:c>
      <x:c r="D3864" s="28" t="n">
        <x:f>MOD(B3864,1)</x:f>
        <x:v>0.5060532407442224</x:v>
      </x:c>
      <x:c r="E3864" s="29" t="n">
        <x:f>YEAR(B3864)</x:f>
        <x:v>2024</x:v>
      </x:c>
      <x:c r="F3864" s="29" t="n">
        <x:f>MONTH(B3864)</x:f>
        <x:v>6</x:v>
      </x:c>
      <x:c r="G3864" s="30" t="n">
        <x:v>-28.85</x:v>
      </x:c>
      <x:c r="H3864" s="30" t="n">
        <x:v>-70.61</x:v>
      </x:c>
      <x:c r="I3864" s="29" t="n">
        <x:v>88</x:v>
      </x:c>
      <x:c r="J3864" s="31" t="n">
        <x:v>4.2</x:v>
      </x:c>
      <x:c r="K3864" s="25" t="str">
        <x:f>IF(J3864&gt;=7,"Muy fuerte (&gt;=7)",IF(J3864&gt;=6,"Fuerte (6-6.9)",IF(J3864&gt;=5,"Moderado alto (5-5.9)",IF(J3864&gt;=4,"Moderado (4-4.9)","Menor a 4"))))</x:f>
        <x:v>Moderado (4-4.9)</x:v>
      </x:c>
      <x:c r="L3864" s="25" t="str">
        <x:f>IF(I3864&lt;70,"Superficial (&lt;70 km)",IF(I3864&lt;=300,"Intermedio (70-300 km)","Profundo (&gt;300 km)"))</x:f>
        <x:v>Intermedio (70-300 km)</x:v>
      </x:c>
      <x:c r="M3864" s="25" t="str">
        <x:f>IF(J3864&gt;=5,"Sí","No")</x:f>
        <x:v>No</x:v>
      </x:c>
      <x:c r="N3864" s="25" t="str">
        <x:f>IF(J3864&gt;=6,"Sí","No")</x:f>
        <x:v>No</x:v>
      </x:c>
      <x:c r="O3864" s="25" t="str">
        <x:v>Pendiente: asignar con R/sf</x:v>
      </x:c>
    </x:row>
    <x:row r="3865">
      <x:c r="A3865" s="25" t="n">
        <x:v>3864</x:v>
      </x:c>
      <x:c r="B3865" s="26" t="n">
        <x:v>45561.02819444444</x:v>
      </x:c>
      <x:c r="C3865" s="27" t="n">
        <x:f>INT(B3865)</x:f>
        <x:v>45561</x:v>
      </x:c>
      <x:c r="D3865" s="28" t="n">
        <x:f>MOD(B3865,1)</x:f>
        <x:v>0.028194444443215616</x:v>
      </x:c>
      <x:c r="E3865" s="29" t="n">
        <x:f>YEAR(B3865)</x:f>
        <x:v>2024</x:v>
      </x:c>
      <x:c r="F3865" s="29" t="n">
        <x:f>MONTH(B3865)</x:f>
        <x:v>9</x:v>
      </x:c>
      <x:c r="G3865" s="30" t="n">
        <x:v>-28.76</x:v>
      </x:c>
      <x:c r="H3865" s="30" t="n">
        <x:v>-70.6</x:v>
      </x:c>
      <x:c r="I3865" s="29" t="n">
        <x:v>104</x:v>
      </x:c>
      <x:c r="J3865" s="31" t="n">
        <x:v>3.9</x:v>
      </x:c>
      <x:c r="K3865" s="25" t="str">
        <x:f>IF(J3865&gt;=7,"Muy fuerte (&gt;=7)",IF(J3865&gt;=6,"Fuerte (6-6.9)",IF(J3865&gt;=5,"Moderado alto (5-5.9)",IF(J3865&gt;=4,"Moderado (4-4.9)","Menor a 4"))))</x:f>
        <x:v>Menor a 4</x:v>
      </x:c>
      <x:c r="L3865" s="25" t="str">
        <x:f>IF(I3865&lt;70,"Superficial (&lt;70 km)",IF(I3865&lt;=300,"Intermedio (70-300 km)","Profundo (&gt;300 km)"))</x:f>
        <x:v>Intermedio (70-300 km)</x:v>
      </x:c>
      <x:c r="M3865" s="25" t="str">
        <x:f>IF(J3865&gt;=5,"Sí","No")</x:f>
        <x:v>No</x:v>
      </x:c>
      <x:c r="N3865" s="25" t="str">
        <x:f>IF(J3865&gt;=6,"Sí","No")</x:f>
        <x:v>No</x:v>
      </x:c>
      <x:c r="O3865" s="25" t="str">
        <x:v>Pendiente: asignar con R/sf</x:v>
      </x:c>
    </x:row>
    <x:row r="3866">
      <x:c r="A3866" s="25" t="n">
        <x:v>3865</x:v>
      </x:c>
      <x:c r="B3866" s="26" t="n">
        <x:v>45256.96265046296</x:v>
      </x:c>
      <x:c r="C3866" s="27" t="n">
        <x:f>INT(B3866)</x:f>
        <x:v>45256</x:v>
      </x:c>
      <x:c r="D3866" s="28" t="n">
        <x:f>MOD(B3866,1)</x:f>
        <x:v>0.9626504629632109</x:v>
      </x:c>
      <x:c r="E3866" s="29" t="n">
        <x:f>YEAR(B3866)</x:f>
        <x:v>2023</x:v>
      </x:c>
      <x:c r="F3866" s="29" t="n">
        <x:f>MONTH(B3866)</x:f>
        <x:v>11</x:v>
      </x:c>
      <x:c r="G3866" s="30" t="n">
        <x:v>-28.44</x:v>
      </x:c>
      <x:c r="H3866" s="30" t="n">
        <x:v>-71.45</x:v>
      </x:c>
      <x:c r="I3866" s="29" t="n">
        <x:v>29</x:v>
      </x:c>
      <x:c r="J3866" s="31" t="n">
        <x:v>4.5</x:v>
      </x:c>
      <x:c r="K3866" s="25" t="str">
        <x:f>IF(J3866&gt;=7,"Muy fuerte (&gt;=7)",IF(J3866&gt;=6,"Fuerte (6-6.9)",IF(J3866&gt;=5,"Moderado alto (5-5.9)",IF(J3866&gt;=4,"Moderado (4-4.9)","Menor a 4"))))</x:f>
        <x:v>Moderado (4-4.9)</x:v>
      </x:c>
      <x:c r="L3866" s="25" t="str">
        <x:f>IF(I3866&lt;70,"Superficial (&lt;70 km)",IF(I3866&lt;=300,"Intermedio (70-300 km)","Profundo (&gt;300 km)"))</x:f>
        <x:v>Superficial (&lt;70 km)</x:v>
      </x:c>
      <x:c r="M3866" s="25" t="str">
        <x:f>IF(J3866&gt;=5,"Sí","No")</x:f>
        <x:v>No</x:v>
      </x:c>
      <x:c r="N3866" s="25" t="str">
        <x:f>IF(J3866&gt;=6,"Sí","No")</x:f>
        <x:v>No</x:v>
      </x:c>
      <x:c r="O3866" s="25" t="str">
        <x:v>Pendiente: asignar con R/sf</x:v>
      </x:c>
    </x:row>
    <x:row r="3867">
      <x:c r="A3867" s="25" t="n">
        <x:v>3866</x:v>
      </x:c>
      <x:c r="B3867" s="26" t="n">
        <x:v>45331.178935185184</x:v>
      </x:c>
      <x:c r="C3867" s="27" t="n">
        <x:f>INT(B3867)</x:f>
        <x:v>45331</x:v>
      </x:c>
      <x:c r="D3867" s="28" t="n">
        <x:f>MOD(B3867,1)</x:f>
        <x:v>0.17893518518394558</x:v>
      </x:c>
      <x:c r="E3867" s="29" t="n">
        <x:f>YEAR(B3867)</x:f>
        <x:v>2024</x:v>
      </x:c>
      <x:c r="F3867" s="29" t="n">
        <x:f>MONTH(B3867)</x:f>
        <x:v>2</x:v>
      </x:c>
      <x:c r="G3867" s="30" t="n">
        <x:v>-29.78</x:v>
      </x:c>
      <x:c r="H3867" s="30" t="n">
        <x:v>-70.72</x:v>
      </x:c>
      <x:c r="I3867" s="29" t="n">
        <x:v>94</x:v>
      </x:c>
      <x:c r="J3867" s="31" t="n">
        <x:v>3.8</x:v>
      </x:c>
      <x:c r="K3867" s="25" t="str">
        <x:f>IF(J3867&gt;=7,"Muy fuerte (&gt;=7)",IF(J3867&gt;=6,"Fuerte (6-6.9)",IF(J3867&gt;=5,"Moderado alto (5-5.9)",IF(J3867&gt;=4,"Moderado (4-4.9)","Menor a 4"))))</x:f>
        <x:v>Menor a 4</x:v>
      </x:c>
      <x:c r="L3867" s="25" t="str">
        <x:f>IF(I3867&lt;70,"Superficial (&lt;70 km)",IF(I3867&lt;=300,"Intermedio (70-300 km)","Profundo (&gt;300 km)"))</x:f>
        <x:v>Intermedio (70-300 km)</x:v>
      </x:c>
      <x:c r="M3867" s="25" t="str">
        <x:f>IF(J3867&gt;=5,"Sí","No")</x:f>
        <x:v>No</x:v>
      </x:c>
      <x:c r="N3867" s="25" t="str">
        <x:f>IF(J3867&gt;=6,"Sí","No")</x:f>
        <x:v>No</x:v>
      </x:c>
      <x:c r="O3867" s="25" t="str">
        <x:v>Pendiente: asignar con R/sf</x:v>
      </x:c>
    </x:row>
    <x:row r="3868">
      <x:c r="A3868" s="25" t="n">
        <x:v>3867</x:v>
      </x:c>
      <x:c r="B3868" s="26" t="n">
        <x:v>45336.08353009259</x:v>
      </x:c>
      <x:c r="C3868" s="27" t="n">
        <x:f>INT(B3868)</x:f>
        <x:v>45336</x:v>
      </x:c>
      <x:c r="D3868" s="28" t="n">
        <x:f>MOD(B3868,1)</x:f>
        <x:v>0.08353009259008104</x:v>
      </x:c>
      <x:c r="E3868" s="29" t="n">
        <x:f>YEAR(B3868)</x:f>
        <x:v>2024</x:v>
      </x:c>
      <x:c r="F3868" s="29" t="n">
        <x:f>MONTH(B3868)</x:f>
        <x:v>2</x:v>
      </x:c>
      <x:c r="G3868" s="30" t="n">
        <x:v>-28.91</x:v>
      </x:c>
      <x:c r="H3868" s="30" t="n">
        <x:v>-71.48</x:v>
      </x:c>
      <x:c r="I3868" s="29" t="n">
        <x:v>40</x:v>
      </x:c>
      <x:c r="J3868" s="31" t="n">
        <x:v>3.7</x:v>
      </x:c>
      <x:c r="K3868" s="25" t="str">
        <x:f>IF(J3868&gt;=7,"Muy fuerte (&gt;=7)",IF(J3868&gt;=6,"Fuerte (6-6.9)",IF(J3868&gt;=5,"Moderado alto (5-5.9)",IF(J3868&gt;=4,"Moderado (4-4.9)","Menor a 4"))))</x:f>
        <x:v>Menor a 4</x:v>
      </x:c>
      <x:c r="L3868" s="25" t="str">
        <x:f>IF(I3868&lt;70,"Superficial (&lt;70 km)",IF(I3868&lt;=300,"Intermedio (70-300 km)","Profundo (&gt;300 km)"))</x:f>
        <x:v>Superficial (&lt;70 km)</x:v>
      </x:c>
      <x:c r="M3868" s="25" t="str">
        <x:f>IF(J3868&gt;=5,"Sí","No")</x:f>
        <x:v>No</x:v>
      </x:c>
      <x:c r="N3868" s="25" t="str">
        <x:f>IF(J3868&gt;=6,"Sí","No")</x:f>
        <x:v>No</x:v>
      </x:c>
      <x:c r="O3868" s="25" t="str">
        <x:v>Pendiente: asignar con R/sf</x:v>
      </x:c>
    </x:row>
    <x:row r="3869">
      <x:c r="A3869" s="25" t="n">
        <x:v>3868</x:v>
      </x:c>
      <x:c r="B3869" s="26" t="n">
        <x:v>45340.06207175926</x:v>
      </x:c>
      <x:c r="C3869" s="27" t="n">
        <x:f>INT(B3869)</x:f>
        <x:v>45340</x:v>
      </x:c>
      <x:c r="D3869" s="28" t="n">
        <x:f>MOD(B3869,1)</x:f>
        <x:v>0.06207175926101627</x:v>
      </x:c>
      <x:c r="E3869" s="29" t="n">
        <x:f>YEAR(B3869)</x:f>
        <x:v>2024</x:v>
      </x:c>
      <x:c r="F3869" s="29" t="n">
        <x:f>MONTH(B3869)</x:f>
        <x:v>2</x:v>
      </x:c>
      <x:c r="G3869" s="30" t="n">
        <x:v>-28.91</x:v>
      </x:c>
      <x:c r="H3869" s="30" t="n">
        <x:v>-71.48</x:v>
      </x:c>
      <x:c r="I3869" s="29" t="n">
        <x:v>42</x:v>
      </x:c>
      <x:c r="J3869" s="31" t="n">
        <x:v>4</x:v>
      </x:c>
      <x:c r="K3869" s="25" t="str">
        <x:f>IF(J3869&gt;=7,"Muy fuerte (&gt;=7)",IF(J3869&gt;=6,"Fuerte (6-6.9)",IF(J3869&gt;=5,"Moderado alto (5-5.9)",IF(J3869&gt;=4,"Moderado (4-4.9)","Menor a 4"))))</x:f>
        <x:v>Moderado (4-4.9)</x:v>
      </x:c>
      <x:c r="L3869" s="25" t="str">
        <x:f>IF(I3869&lt;70,"Superficial (&lt;70 km)",IF(I3869&lt;=300,"Intermedio (70-300 km)","Profundo (&gt;300 km)"))</x:f>
        <x:v>Superficial (&lt;70 km)</x:v>
      </x:c>
      <x:c r="M3869" s="25" t="str">
        <x:f>IF(J3869&gt;=5,"Sí","No")</x:f>
        <x:v>No</x:v>
      </x:c>
      <x:c r="N3869" s="25" t="str">
        <x:f>IF(J3869&gt;=6,"Sí","No")</x:f>
        <x:v>No</x:v>
      </x:c>
      <x:c r="O3869" s="25" t="str">
        <x:v>Pendiente: asignar con R/sf</x:v>
      </x:c>
    </x:row>
    <x:row r="3870">
      <x:c r="A3870" s="25" t="n">
        <x:v>3869</x:v>
      </x:c>
      <x:c r="B3870" s="26" t="n">
        <x:v>45478.78685185185</x:v>
      </x:c>
      <x:c r="C3870" s="27" t="n">
        <x:f>INT(B3870)</x:f>
        <x:v>45478</x:v>
      </x:c>
      <x:c r="D3870" s="28" t="n">
        <x:f>MOD(B3870,1)</x:f>
        <x:v>0.7868518518516794</x:v>
      </x:c>
      <x:c r="E3870" s="29" t="n">
        <x:f>YEAR(B3870)</x:f>
        <x:v>2024</x:v>
      </x:c>
      <x:c r="F3870" s="29" t="n">
        <x:f>MONTH(B3870)</x:f>
        <x:v>7</x:v>
      </x:c>
      <x:c r="G3870" s="30" t="n">
        <x:v>-28.79</x:v>
      </x:c>
      <x:c r="H3870" s="30" t="n">
        <x:v>-69.56</x:v>
      </x:c>
      <x:c r="I3870" s="29" t="n">
        <x:v>115</x:v>
      </x:c>
      <x:c r="J3870" s="31" t="n">
        <x:v>4.9</x:v>
      </x:c>
      <x:c r="K3870" s="25" t="str">
        <x:f>IF(J3870&gt;=7,"Muy fuerte (&gt;=7)",IF(J3870&gt;=6,"Fuerte (6-6.9)",IF(J3870&gt;=5,"Moderado alto (5-5.9)",IF(J3870&gt;=4,"Moderado (4-4.9)","Menor a 4"))))</x:f>
        <x:v>Moderado (4-4.9)</x:v>
      </x:c>
      <x:c r="L3870" s="25" t="str">
        <x:f>IF(I3870&lt;70,"Superficial (&lt;70 km)",IF(I3870&lt;=300,"Intermedio (70-300 km)","Profundo (&gt;300 km)"))</x:f>
        <x:v>Intermedio (70-300 km)</x:v>
      </x:c>
      <x:c r="M3870" s="25" t="str">
        <x:f>IF(J3870&gt;=5,"Sí","No")</x:f>
        <x:v>No</x:v>
      </x:c>
      <x:c r="N3870" s="25" t="str">
        <x:f>IF(J3870&gt;=6,"Sí","No")</x:f>
        <x:v>No</x:v>
      </x:c>
      <x:c r="O3870" s="25" t="str">
        <x:v>Pendiente: asignar con R/sf</x:v>
      </x:c>
    </x:row>
    <x:row r="3871">
      <x:c r="A3871" s="25" t="n">
        <x:v>3870</x:v>
      </x:c>
      <x:c r="B3871" s="26" t="n">
        <x:v>45511.69532407408</x:v>
      </x:c>
      <x:c r="C3871" s="27" t="n">
        <x:f>INT(B3871)</x:f>
        <x:v>45511</x:v>
      </x:c>
      <x:c r="D3871" s="28" t="n">
        <x:f>MOD(B3871,1)</x:f>
        <x:v>0.6953240740767797</x:v>
      </x:c>
      <x:c r="E3871" s="29" t="n">
        <x:f>YEAR(B3871)</x:f>
        <x:v>2024</x:v>
      </x:c>
      <x:c r="F3871" s="29" t="n">
        <x:f>MONTH(B3871)</x:f>
        <x:v>8</x:v>
      </x:c>
      <x:c r="G3871" s="30" t="n">
        <x:v>-29.7</x:v>
      </x:c>
      <x:c r="H3871" s="30" t="n">
        <x:v>-71.32</x:v>
      </x:c>
      <x:c r="I3871" s="29" t="n">
        <x:v>50</x:v>
      </x:c>
      <x:c r="J3871" s="31" t="n">
        <x:v>4.1</x:v>
      </x:c>
      <x:c r="K3871" s="25" t="str">
        <x:f>IF(J3871&gt;=7,"Muy fuerte (&gt;=7)",IF(J3871&gt;=6,"Fuerte (6-6.9)",IF(J3871&gt;=5,"Moderado alto (5-5.9)",IF(J3871&gt;=4,"Moderado (4-4.9)","Menor a 4"))))</x:f>
        <x:v>Moderado (4-4.9)</x:v>
      </x:c>
      <x:c r="L3871" s="25" t="str">
        <x:f>IF(I3871&lt;70,"Superficial (&lt;70 km)",IF(I3871&lt;=300,"Intermedio (70-300 km)","Profundo (&gt;300 km)"))</x:f>
        <x:v>Superficial (&lt;70 km)</x:v>
      </x:c>
      <x:c r="M3871" s="25" t="str">
        <x:f>IF(J3871&gt;=5,"Sí","No")</x:f>
        <x:v>No</x:v>
      </x:c>
      <x:c r="N3871" s="25" t="str">
        <x:f>IF(J3871&gt;=6,"Sí","No")</x:f>
        <x:v>No</x:v>
      </x:c>
      <x:c r="O3871" s="25" t="str">
        <x:v>Pendiente: asignar con R/sf</x:v>
      </x:c>
    </x:row>
    <x:row r="3872">
      <x:c r="A3872" s="25" t="n">
        <x:v>3871</x:v>
      </x:c>
      <x:c r="B3872" s="26" t="n">
        <x:v>45532.11408564815</x:v>
      </x:c>
      <x:c r="C3872" s="27" t="n">
        <x:f>INT(B3872)</x:f>
        <x:v>45532</x:v>
      </x:c>
      <x:c r="D3872" s="28" t="n">
        <x:f>MOD(B3872,1)</x:f>
        <x:v>0.11408564815064892</x:v>
      </x:c>
      <x:c r="E3872" s="29" t="n">
        <x:f>YEAR(B3872)</x:f>
        <x:v>2024</x:v>
      </x:c>
      <x:c r="F3872" s="29" t="n">
        <x:f>MONTH(B3872)</x:f>
        <x:v>8</x:v>
      </x:c>
      <x:c r="G3872" s="30" t="n">
        <x:v>-28.58</x:v>
      </x:c>
      <x:c r="H3872" s="30" t="n">
        <x:v>-69.83</x:v>
      </x:c>
      <x:c r="I3872" s="29" t="n">
        <x:v>113</x:v>
      </x:c>
      <x:c r="J3872" s="31" t="n">
        <x:v>4.8</x:v>
      </x:c>
      <x:c r="K3872" s="25" t="str">
        <x:f>IF(J3872&gt;=7,"Muy fuerte (&gt;=7)",IF(J3872&gt;=6,"Fuerte (6-6.9)",IF(J3872&gt;=5,"Moderado alto (5-5.9)",IF(J3872&gt;=4,"Moderado (4-4.9)","Menor a 4"))))</x:f>
        <x:v>Moderado (4-4.9)</x:v>
      </x:c>
      <x:c r="L3872" s="25" t="str">
        <x:f>IF(I3872&lt;70,"Superficial (&lt;70 km)",IF(I3872&lt;=300,"Intermedio (70-300 km)","Profundo (&gt;300 km)"))</x:f>
        <x:v>Intermedio (70-300 km)</x:v>
      </x:c>
      <x:c r="M3872" s="25" t="str">
        <x:f>IF(J3872&gt;=5,"Sí","No")</x:f>
        <x:v>No</x:v>
      </x:c>
      <x:c r="N3872" s="25" t="str">
        <x:f>IF(J3872&gt;=6,"Sí","No")</x:f>
        <x:v>No</x:v>
      </x:c>
      <x:c r="O3872" s="25" t="str">
        <x:v>Pendiente: asignar con R/sf</x:v>
      </x:c>
    </x:row>
    <x:row r="3873">
      <x:c r="A3873" s="25" t="n">
        <x:v>3872</x:v>
      </x:c>
      <x:c r="B3873" s="26" t="n">
        <x:v>45534.9725</x:v>
      </x:c>
      <x:c r="C3873" s="27" t="n">
        <x:f>INT(B3873)</x:f>
        <x:v>45534</x:v>
      </x:c>
      <x:c r="D3873" s="28" t="n">
        <x:f>MOD(B3873,1)</x:f>
        <x:v>0.9725000000034925</x:v>
      </x:c>
      <x:c r="E3873" s="29" t="n">
        <x:f>YEAR(B3873)</x:f>
        <x:v>2024</x:v>
      </x:c>
      <x:c r="F3873" s="29" t="n">
        <x:f>MONTH(B3873)</x:f>
        <x:v>8</x:v>
      </x:c>
      <x:c r="G3873" s="30" t="n">
        <x:v>-30.1</x:v>
      </x:c>
      <x:c r="H3873" s="30" t="n">
        <x:v>-71.48</x:v>
      </x:c>
      <x:c r="I3873" s="29" t="n">
        <x:v>40</x:v>
      </x:c>
      <x:c r="J3873" s="31" t="n">
        <x:v>4.5</x:v>
      </x:c>
      <x:c r="K3873" s="25" t="str">
        <x:f>IF(J3873&gt;=7,"Muy fuerte (&gt;=7)",IF(J3873&gt;=6,"Fuerte (6-6.9)",IF(J3873&gt;=5,"Moderado alto (5-5.9)",IF(J3873&gt;=4,"Moderado (4-4.9)","Menor a 4"))))</x:f>
        <x:v>Moderado (4-4.9)</x:v>
      </x:c>
      <x:c r="L3873" s="25" t="str">
        <x:f>IF(I3873&lt;70,"Superficial (&lt;70 km)",IF(I3873&lt;=300,"Intermedio (70-300 km)","Profundo (&gt;300 km)"))</x:f>
        <x:v>Superficial (&lt;70 km)</x:v>
      </x:c>
      <x:c r="M3873" s="25" t="str">
        <x:f>IF(J3873&gt;=5,"Sí","No")</x:f>
        <x:v>No</x:v>
      </x:c>
      <x:c r="N3873" s="25" t="str">
        <x:f>IF(J3873&gt;=6,"Sí","No")</x:f>
        <x:v>No</x:v>
      </x:c>
      <x:c r="O3873" s="25" t="str">
        <x:v>Pendiente: asignar con R/sf</x:v>
      </x:c>
    </x:row>
    <x:row r="3874">
      <x:c r="A3874" s="25" t="n">
        <x:v>3873</x:v>
      </x:c>
      <x:c r="B3874" s="26" t="n">
        <x:v>45546.611712962964</x:v>
      </x:c>
      <x:c r="C3874" s="27" t="n">
        <x:f>INT(B3874)</x:f>
        <x:v>45546</x:v>
      </x:c>
      <x:c r="D3874" s="28" t="n">
        <x:f>MOD(B3874,1)</x:f>
        <x:v>0.611712962963793</x:v>
      </x:c>
      <x:c r="E3874" s="29" t="n">
        <x:f>YEAR(B3874)</x:f>
        <x:v>2024</x:v>
      </x:c>
      <x:c r="F3874" s="29" t="n">
        <x:f>MONTH(B3874)</x:f>
        <x:v>9</x:v>
      </x:c>
      <x:c r="G3874" s="30" t="n">
        <x:v>-28.95</x:v>
      </x:c>
      <x:c r="H3874" s="30" t="n">
        <x:v>-69.68</x:v>
      </x:c>
      <x:c r="I3874" s="29" t="n">
        <x:v>128</x:v>
      </x:c>
      <x:c r="J3874" s="31" t="n">
        <x:v>4.5</x:v>
      </x:c>
      <x:c r="K3874" s="25" t="str">
        <x:f>IF(J3874&gt;=7,"Muy fuerte (&gt;=7)",IF(J3874&gt;=6,"Fuerte (6-6.9)",IF(J3874&gt;=5,"Moderado alto (5-5.9)",IF(J3874&gt;=4,"Moderado (4-4.9)","Menor a 4"))))</x:f>
        <x:v>Moderado (4-4.9)</x:v>
      </x:c>
      <x:c r="L3874" s="25" t="str">
        <x:f>IF(I3874&lt;70,"Superficial (&lt;70 km)",IF(I3874&lt;=300,"Intermedio (70-300 km)","Profundo (&gt;300 km)"))</x:f>
        <x:v>Intermedio (70-300 km)</x:v>
      </x:c>
      <x:c r="M3874" s="25" t="str">
        <x:f>IF(J3874&gt;=5,"Sí","No")</x:f>
        <x:v>No</x:v>
      </x:c>
      <x:c r="N3874" s="25" t="str">
        <x:f>IF(J3874&gt;=6,"Sí","No")</x:f>
        <x:v>No</x:v>
      </x:c>
      <x:c r="O3874" s="25" t="str">
        <x:v>Pendiente: asignar con R/sf</x:v>
      </x:c>
    </x:row>
    <x:row r="3875">
      <x:c r="A3875" s="25" t="n">
        <x:v>3874</x:v>
      </x:c>
      <x:c r="B3875" s="26" t="n">
        <x:v>45585.95810185185</x:v>
      </x:c>
      <x:c r="C3875" s="27" t="n">
        <x:f>INT(B3875)</x:f>
        <x:v>45585</x:v>
      </x:c>
      <x:c r="D3875" s="28" t="n">
        <x:f>MOD(B3875,1)</x:f>
        <x:v>0.9581018518510973</x:v>
      </x:c>
      <x:c r="E3875" s="29" t="n">
        <x:f>YEAR(B3875)</x:f>
        <x:v>2024</x:v>
      </x:c>
      <x:c r="F3875" s="29" t="n">
        <x:f>MONTH(B3875)</x:f>
        <x:v>10</x:v>
      </x:c>
      <x:c r="G3875" s="30" t="n">
        <x:v>-30.9</x:v>
      </x:c>
      <x:c r="H3875" s="30" t="n">
        <x:v>-68.91</x:v>
      </x:c>
      <x:c r="I3875" s="29" t="n">
        <x:v>125</x:v>
      </x:c>
      <x:c r="J3875" s="31" t="n">
        <x:v>5.7</x:v>
      </x:c>
      <x:c r="K3875" s="25" t="str">
        <x:f>IF(J3875&gt;=7,"Muy fuerte (&gt;=7)",IF(J3875&gt;=6,"Fuerte (6-6.9)",IF(J3875&gt;=5,"Moderado alto (5-5.9)",IF(J3875&gt;=4,"Moderado (4-4.9)","Menor a 4"))))</x:f>
        <x:v>Moderado alto (5-5.9)</x:v>
      </x:c>
      <x:c r="L3875" s="25" t="str">
        <x:f>IF(I3875&lt;70,"Superficial (&lt;70 km)",IF(I3875&lt;=300,"Intermedio (70-300 km)","Profundo (&gt;300 km)"))</x:f>
        <x:v>Intermedio (70-300 km)</x:v>
      </x:c>
      <x:c r="M3875" s="25" t="str">
        <x:f>IF(J3875&gt;=5,"Sí","No")</x:f>
        <x:v>Sí</x:v>
      </x:c>
      <x:c r="N3875" s="25" t="str">
        <x:f>IF(J3875&gt;=6,"Sí","No")</x:f>
        <x:v>No</x:v>
      </x:c>
      <x:c r="O3875" s="25" t="str">
        <x:v>Pendiente: asignar con R/sf</x:v>
      </x:c>
    </x:row>
    <x:row r="3876">
      <x:c r="A3876" s="25" t="n">
        <x:v>3875</x:v>
      </x:c>
      <x:c r="B3876" s="26" t="n">
        <x:v>45598.32098379629</x:v>
      </x:c>
      <x:c r="C3876" s="27" t="n">
        <x:f>INT(B3876)</x:f>
        <x:v>45598</x:v>
      </x:c>
      <x:c r="D3876" s="28" t="n">
        <x:f>MOD(B3876,1)</x:f>
        <x:v>0.32098379629314877</x:v>
      </x:c>
      <x:c r="E3876" s="29" t="n">
        <x:f>YEAR(B3876)</x:f>
        <x:v>2024</x:v>
      </x:c>
      <x:c r="F3876" s="29" t="n">
        <x:f>MONTH(B3876)</x:f>
        <x:v>11</x:v>
      </x:c>
      <x:c r="G3876" s="30" t="n">
        <x:v>-29.68</x:v>
      </x:c>
      <x:c r="H3876" s="30" t="n">
        <x:v>-71.17</x:v>
      </x:c>
      <x:c r="I3876" s="29" t="n">
        <x:v>71</x:v>
      </x:c>
      <x:c r="J3876" s="31" t="n">
        <x:v>4.8</x:v>
      </x:c>
      <x:c r="K3876" s="25" t="str">
        <x:f>IF(J3876&gt;=7,"Muy fuerte (&gt;=7)",IF(J3876&gt;=6,"Fuerte (6-6.9)",IF(J3876&gt;=5,"Moderado alto (5-5.9)",IF(J3876&gt;=4,"Moderado (4-4.9)","Menor a 4"))))</x:f>
        <x:v>Moderado (4-4.9)</x:v>
      </x:c>
      <x:c r="L3876" s="25" t="str">
        <x:f>IF(I3876&lt;70,"Superficial (&lt;70 km)",IF(I3876&lt;=300,"Intermedio (70-300 km)","Profundo (&gt;300 km)"))</x:f>
        <x:v>Intermedio (70-300 km)</x:v>
      </x:c>
      <x:c r="M3876" s="25" t="str">
        <x:f>IF(J3876&gt;=5,"Sí","No")</x:f>
        <x:v>No</x:v>
      </x:c>
      <x:c r="N3876" s="25" t="str">
        <x:f>IF(J3876&gt;=6,"Sí","No")</x:f>
        <x:v>No</x:v>
      </x:c>
      <x:c r="O3876" s="25" t="str">
        <x:v>Pendiente: asignar con R/sf</x:v>
      </x:c>
    </x:row>
    <x:row r="3877">
      <x:c r="A3877" s="25" t="n">
        <x:v>3876</x:v>
      </x:c>
      <x:c r="B3877" s="26" t="n">
        <x:v>45599.17821759259</x:v>
      </x:c>
      <x:c r="C3877" s="27" t="n">
        <x:f>INT(B3877)</x:f>
        <x:v>45599</x:v>
      </x:c>
      <x:c r="D3877" s="28" t="n">
        <x:f>MOD(B3877,1)</x:f>
        <x:v>0.17821759259095415</x:v>
      </x:c>
      <x:c r="E3877" s="29" t="n">
        <x:f>YEAR(B3877)</x:f>
        <x:v>2024</x:v>
      </x:c>
      <x:c r="F3877" s="29" t="n">
        <x:f>MONTH(B3877)</x:f>
        <x:v>11</x:v>
      </x:c>
      <x:c r="G3877" s="30" t="n">
        <x:v>-29.26</x:v>
      </x:c>
      <x:c r="H3877" s="30" t="n">
        <x:v>-71.23</x:v>
      </x:c>
      <x:c r="I3877" s="29" t="n">
        <x:v>53</x:v>
      </x:c>
      <x:c r="J3877" s="31" t="n">
        <x:v>4.3</x:v>
      </x:c>
      <x:c r="K3877" s="25" t="str">
        <x:f>IF(J3877&gt;=7,"Muy fuerte (&gt;=7)",IF(J3877&gt;=6,"Fuerte (6-6.9)",IF(J3877&gt;=5,"Moderado alto (5-5.9)",IF(J3877&gt;=4,"Moderado (4-4.9)","Menor a 4"))))</x:f>
        <x:v>Moderado (4-4.9)</x:v>
      </x:c>
      <x:c r="L3877" s="25" t="str">
        <x:f>IF(I3877&lt;70,"Superficial (&lt;70 km)",IF(I3877&lt;=300,"Intermedio (70-300 km)","Profundo (&gt;300 km)"))</x:f>
        <x:v>Superficial (&lt;70 km)</x:v>
      </x:c>
      <x:c r="M3877" s="25" t="str">
        <x:f>IF(J3877&gt;=5,"Sí","No")</x:f>
        <x:v>No</x:v>
      </x:c>
      <x:c r="N3877" s="25" t="str">
        <x:f>IF(J3877&gt;=6,"Sí","No")</x:f>
        <x:v>No</x:v>
      </x:c>
      <x:c r="O3877" s="25" t="str">
        <x:v>Pendiente: asignar con R/sf</x:v>
      </x:c>
    </x:row>
    <x:row r="3878">
      <x:c r="A3878" s="25" t="n">
        <x:v>3877</x:v>
      </x:c>
      <x:c r="B3878" s="26" t="n">
        <x:v>44941.761041666665</x:v>
      </x:c>
      <x:c r="C3878" s="27" t="n">
        <x:f>INT(B3878)</x:f>
        <x:v>44941</x:v>
      </x:c>
      <x:c r="D3878" s="28" t="n">
        <x:f>MOD(B3878,1)</x:f>
        <x:v>0.7610416666648234</x:v>
      </x:c>
      <x:c r="E3878" s="29" t="n">
        <x:f>YEAR(B3878)</x:f>
        <x:v>2023</x:v>
      </x:c>
      <x:c r="F3878" s="29" t="n">
        <x:f>MONTH(B3878)</x:f>
        <x:v>1</x:v>
      </x:c>
      <x:c r="G3878" s="30" t="n">
        <x:v>-36.33</x:v>
      </x:c>
      <x:c r="H3878" s="30" t="n">
        <x:v>-73.06</x:v>
      </x:c>
      <x:c r="I3878" s="29" t="n">
        <x:v>24</x:v>
      </x:c>
      <x:c r="J3878" s="31" t="n">
        <x:v>3.9</x:v>
      </x:c>
      <x:c r="K3878" s="25" t="str">
        <x:f>IF(J3878&gt;=7,"Muy fuerte (&gt;=7)",IF(J3878&gt;=6,"Fuerte (6-6.9)",IF(J3878&gt;=5,"Moderado alto (5-5.9)",IF(J3878&gt;=4,"Moderado (4-4.9)","Menor a 4"))))</x:f>
        <x:v>Menor a 4</x:v>
      </x:c>
      <x:c r="L3878" s="25" t="str">
        <x:f>IF(I3878&lt;70,"Superficial (&lt;70 km)",IF(I3878&lt;=300,"Intermedio (70-300 km)","Profundo (&gt;300 km)"))</x:f>
        <x:v>Superficial (&lt;70 km)</x:v>
      </x:c>
      <x:c r="M3878" s="25" t="str">
        <x:f>IF(J3878&gt;=5,"Sí","No")</x:f>
        <x:v>No</x:v>
      </x:c>
      <x:c r="N3878" s="25" t="str">
        <x:f>IF(J3878&gt;=6,"Sí","No")</x:f>
        <x:v>No</x:v>
      </x:c>
      <x:c r="O3878" s="25" t="str">
        <x:v>Pendiente: asignar con R/sf</x:v>
      </x:c>
    </x:row>
    <x:row r="3879">
      <x:c r="A3879" s="25" t="n">
        <x:v>3878</x:v>
      </x:c>
      <x:c r="B3879" s="26" t="n">
        <x:v>45457.316030092596</x:v>
      </x:c>
      <x:c r="C3879" s="27" t="n">
        <x:f>INT(B3879)</x:f>
        <x:v>45457</x:v>
      </x:c>
      <x:c r="D3879" s="28" t="n">
        <x:f>MOD(B3879,1)</x:f>
        <x:v>0.31603009259561077</x:v>
      </x:c>
      <x:c r="E3879" s="29" t="n">
        <x:f>YEAR(B3879)</x:f>
        <x:v>2024</x:v>
      </x:c>
      <x:c r="F3879" s="29" t="n">
        <x:f>MONTH(B3879)</x:f>
        <x:v>6</x:v>
      </x:c>
      <x:c r="G3879" s="30" t="n">
        <x:v>-28.62</x:v>
      </x:c>
      <x:c r="H3879" s="30" t="n">
        <x:v>-70.99</x:v>
      </x:c>
      <x:c r="I3879" s="29" t="n">
        <x:v>41</x:v>
      </x:c>
      <x:c r="J3879" s="31" t="n">
        <x:v>3.7</x:v>
      </x:c>
      <x:c r="K3879" s="25" t="str">
        <x:f>IF(J3879&gt;=7,"Muy fuerte (&gt;=7)",IF(J3879&gt;=6,"Fuerte (6-6.9)",IF(J3879&gt;=5,"Moderado alto (5-5.9)",IF(J3879&gt;=4,"Moderado (4-4.9)","Menor a 4"))))</x:f>
        <x:v>Menor a 4</x:v>
      </x:c>
      <x:c r="L3879" s="25" t="str">
        <x:f>IF(I3879&lt;70,"Superficial (&lt;70 km)",IF(I3879&lt;=300,"Intermedio (70-300 km)","Profundo (&gt;300 km)"))</x:f>
        <x:v>Superficial (&lt;70 km)</x:v>
      </x:c>
      <x:c r="M3879" s="25" t="str">
        <x:f>IF(J3879&gt;=5,"Sí","No")</x:f>
        <x:v>No</x:v>
      </x:c>
      <x:c r="N3879" s="25" t="str">
        <x:f>IF(J3879&gt;=6,"Sí","No")</x:f>
        <x:v>No</x:v>
      </x:c>
      <x:c r="O3879" s="25" t="str">
        <x:v>Pendiente: asignar con R/sf</x:v>
      </x:c>
    </x:row>
    <x:row r="3880">
      <x:c r="A3880" s="25" t="n">
        <x:v>3879</x:v>
      </x:c>
      <x:c r="B3880" s="26" t="n">
        <x:v>45354.093136574076</x:v>
      </x:c>
      <x:c r="C3880" s="27" t="n">
        <x:f>INT(B3880)</x:f>
        <x:v>45354</x:v>
      </x:c>
      <x:c r="D3880" s="28" t="n">
        <x:f>MOD(B3880,1)</x:f>
        <x:v>0.09313657407619758</x:v>
      </x:c>
      <x:c r="E3880" s="29" t="n">
        <x:f>YEAR(B3880)</x:f>
        <x:v>2024</x:v>
      </x:c>
      <x:c r="F3880" s="29" t="n">
        <x:f>MONTH(B3880)</x:f>
        <x:v>3</x:v>
      </x:c>
      <x:c r="G3880" s="30" t="n">
        <x:v>-29.36</x:v>
      </x:c>
      <x:c r="H3880" s="30" t="n">
        <x:v>-71.23</x:v>
      </x:c>
      <x:c r="I3880" s="29" t="n">
        <x:v>64</x:v>
      </x:c>
      <x:c r="J3880" s="31" t="n">
        <x:v>3.7</x:v>
      </x:c>
      <x:c r="K3880" s="25" t="str">
        <x:f>IF(J3880&gt;=7,"Muy fuerte (&gt;=7)",IF(J3880&gt;=6,"Fuerte (6-6.9)",IF(J3880&gt;=5,"Moderado alto (5-5.9)",IF(J3880&gt;=4,"Moderado (4-4.9)","Menor a 4"))))</x:f>
        <x:v>Menor a 4</x:v>
      </x:c>
      <x:c r="L3880" s="25" t="str">
        <x:f>IF(I3880&lt;70,"Superficial (&lt;70 km)",IF(I3880&lt;=300,"Intermedio (70-300 km)","Profundo (&gt;300 km)"))</x:f>
        <x:v>Superficial (&lt;70 km)</x:v>
      </x:c>
      <x:c r="M3880" s="25" t="str">
        <x:f>IF(J3880&gt;=5,"Sí","No")</x:f>
        <x:v>No</x:v>
      </x:c>
      <x:c r="N3880" s="25" t="str">
        <x:f>IF(J3880&gt;=6,"Sí","No")</x:f>
        <x:v>No</x:v>
      </x:c>
      <x:c r="O3880" s="25" t="str">
        <x:v>Pendiente: asignar con R/sf</x:v>
      </x:c>
    </x:row>
    <x:row r="3881">
      <x:c r="A3881" s="25" t="n">
        <x:v>3880</x:v>
      </x:c>
      <x:c r="B3881" s="26" t="n">
        <x:v>45357.37907407407</x:v>
      </x:c>
      <x:c r="C3881" s="27" t="n">
        <x:f>INT(B3881)</x:f>
        <x:v>45357</x:v>
      </x:c>
      <x:c r="D3881" s="28" t="n">
        <x:f>MOD(B3881,1)</x:f>
        <x:v>0.3790740740732872</x:v>
      </x:c>
      <x:c r="E3881" s="29" t="n">
        <x:f>YEAR(B3881)</x:f>
        <x:v>2024</x:v>
      </x:c>
      <x:c r="F3881" s="29" t="n">
        <x:f>MONTH(B3881)</x:f>
        <x:v>3</x:v>
      </x:c>
      <x:c r="G3881" s="30" t="n">
        <x:v>-29.99</x:v>
      </x:c>
      <x:c r="H3881" s="30" t="n">
        <x:v>-71.34</x:v>
      </x:c>
      <x:c r="I3881" s="29" t="n">
        <x:v>78</x:v>
      </x:c>
      <x:c r="J3881" s="31" t="n">
        <x:v>4</x:v>
      </x:c>
      <x:c r="K3881" s="25" t="str">
        <x:f>IF(J3881&gt;=7,"Muy fuerte (&gt;=7)",IF(J3881&gt;=6,"Fuerte (6-6.9)",IF(J3881&gt;=5,"Moderado alto (5-5.9)",IF(J3881&gt;=4,"Moderado (4-4.9)","Menor a 4"))))</x:f>
        <x:v>Moderado (4-4.9)</x:v>
      </x:c>
      <x:c r="L3881" s="25" t="str">
        <x:f>IF(I3881&lt;70,"Superficial (&lt;70 km)",IF(I3881&lt;=300,"Intermedio (70-300 km)","Profundo (&gt;300 km)"))</x:f>
        <x:v>Intermedio (70-300 km)</x:v>
      </x:c>
      <x:c r="M3881" s="25" t="str">
        <x:f>IF(J3881&gt;=5,"Sí","No")</x:f>
        <x:v>No</x:v>
      </x:c>
      <x:c r="N3881" s="25" t="str">
        <x:f>IF(J3881&gt;=6,"Sí","No")</x:f>
        <x:v>No</x:v>
      </x:c>
      <x:c r="O3881" s="25" t="str">
        <x:v>Pendiente: asignar con R/sf</x:v>
      </x:c>
    </x:row>
    <x:row r="3882">
      <x:c r="A3882" s="25" t="n">
        <x:v>3881</x:v>
      </x:c>
      <x:c r="B3882" s="26" t="n">
        <x:v>45377.389340277776</x:v>
      </x:c>
      <x:c r="C3882" s="27" t="n">
        <x:f>INT(B3882)</x:f>
        <x:v>45377</x:v>
      </x:c>
      <x:c r="D3882" s="28" t="n">
        <x:f>MOD(B3882,1)</x:f>
        <x:v>0.38934027777577285</x:v>
      </x:c>
      <x:c r="E3882" s="29" t="n">
        <x:f>YEAR(B3882)</x:f>
        <x:v>2024</x:v>
      </x:c>
      <x:c r="F3882" s="29" t="n">
        <x:f>MONTH(B3882)</x:f>
        <x:v>3</x:v>
      </x:c>
      <x:c r="G3882" s="30" t="n">
        <x:v>-29.22</x:v>
      </x:c>
      <x:c r="H3882" s="30" t="n">
        <x:v>-71.32</x:v>
      </x:c>
      <x:c r="I3882" s="29" t="n">
        <x:v>60</x:v>
      </x:c>
      <x:c r="J3882" s="31" t="n">
        <x:v>3.5</x:v>
      </x:c>
      <x:c r="K3882" s="25" t="str">
        <x:f>IF(J3882&gt;=7,"Muy fuerte (&gt;=7)",IF(J3882&gt;=6,"Fuerte (6-6.9)",IF(J3882&gt;=5,"Moderado alto (5-5.9)",IF(J3882&gt;=4,"Moderado (4-4.9)","Menor a 4"))))</x:f>
        <x:v>Menor a 4</x:v>
      </x:c>
      <x:c r="L3882" s="25" t="str">
        <x:f>IF(I3882&lt;70,"Superficial (&lt;70 km)",IF(I3882&lt;=300,"Intermedio (70-300 km)","Profundo (&gt;300 km)"))</x:f>
        <x:v>Superficial (&lt;70 km)</x:v>
      </x:c>
      <x:c r="M3882" s="25" t="str">
        <x:f>IF(J3882&gt;=5,"Sí","No")</x:f>
        <x:v>No</x:v>
      </x:c>
      <x:c r="N3882" s="25" t="str">
        <x:f>IF(J3882&gt;=6,"Sí","No")</x:f>
        <x:v>No</x:v>
      </x:c>
      <x:c r="O3882" s="25" t="str">
        <x:v>Pendiente: asignar con R/sf</x:v>
      </x:c>
    </x:row>
    <x:row r="3883">
      <x:c r="A3883" s="25" t="n">
        <x:v>3882</x:v>
      </x:c>
      <x:c r="B3883" s="26" t="n">
        <x:v>45446.35625</x:v>
      </x:c>
      <x:c r="C3883" s="27" t="n">
        <x:f>INT(B3883)</x:f>
        <x:v>45446</x:v>
      </x:c>
      <x:c r="D3883" s="28" t="n">
        <x:f>MOD(B3883,1)</x:f>
        <x:v>0.3562499999970896</x:v>
      </x:c>
      <x:c r="E3883" s="29" t="n">
        <x:f>YEAR(B3883)</x:f>
        <x:v>2024</x:v>
      </x:c>
      <x:c r="F3883" s="29" t="n">
        <x:f>MONTH(B3883)</x:f>
        <x:v>6</x:v>
      </x:c>
      <x:c r="G3883" s="30" t="n">
        <x:v>-29.28</x:v>
      </x:c>
      <x:c r="H3883" s="30" t="n">
        <x:v>-71.18</x:v>
      </x:c>
      <x:c r="I3883" s="29" t="n">
        <x:v>53</x:v>
      </x:c>
      <x:c r="J3883" s="31" t="n">
        <x:v>3.3</x:v>
      </x:c>
      <x:c r="K3883" s="25" t="str">
        <x:f>IF(J3883&gt;=7,"Muy fuerte (&gt;=7)",IF(J3883&gt;=6,"Fuerte (6-6.9)",IF(J3883&gt;=5,"Moderado alto (5-5.9)",IF(J3883&gt;=4,"Moderado (4-4.9)","Menor a 4"))))</x:f>
        <x:v>Menor a 4</x:v>
      </x:c>
      <x:c r="L3883" s="25" t="str">
        <x:f>IF(I3883&lt;70,"Superficial (&lt;70 km)",IF(I3883&lt;=300,"Intermedio (70-300 km)","Profundo (&gt;300 km)"))</x:f>
        <x:v>Superficial (&lt;70 km)</x:v>
      </x:c>
      <x:c r="M3883" s="25" t="str">
        <x:f>IF(J3883&gt;=5,"Sí","No")</x:f>
        <x:v>No</x:v>
      </x:c>
      <x:c r="N3883" s="25" t="str">
        <x:f>IF(J3883&gt;=6,"Sí","No")</x:f>
        <x:v>No</x:v>
      </x:c>
      <x:c r="O3883" s="25" t="str">
        <x:v>Pendiente: asignar con R/sf</x:v>
      </x:c>
    </x:row>
    <x:row r="3884">
      <x:c r="A3884" s="25" t="n">
        <x:v>3883</x:v>
      </x:c>
      <x:c r="B3884" s="26" t="n">
        <x:v>45468.48599537037</x:v>
      </x:c>
      <x:c r="C3884" s="27" t="n">
        <x:f>INT(B3884)</x:f>
        <x:v>45468</x:v>
      </x:c>
      <x:c r="D3884" s="28" t="n">
        <x:f>MOD(B3884,1)</x:f>
        <x:v>0.48599537037080154</x:v>
      </x:c>
      <x:c r="E3884" s="29" t="n">
        <x:f>YEAR(B3884)</x:f>
        <x:v>2024</x:v>
      </x:c>
      <x:c r="F3884" s="29" t="n">
        <x:f>MONTH(B3884)</x:f>
        <x:v>6</x:v>
      </x:c>
      <x:c r="G3884" s="30" t="n">
        <x:v>-29.57</x:v>
      </x:c>
      <x:c r="H3884" s="30" t="n">
        <x:v>-71.23</x:v>
      </x:c>
      <x:c r="I3884" s="29" t="n">
        <x:v>53</x:v>
      </x:c>
      <x:c r="J3884" s="31" t="n">
        <x:v>3.6</x:v>
      </x:c>
      <x:c r="K3884" s="25" t="str">
        <x:f>IF(J3884&gt;=7,"Muy fuerte (&gt;=7)",IF(J3884&gt;=6,"Fuerte (6-6.9)",IF(J3884&gt;=5,"Moderado alto (5-5.9)",IF(J3884&gt;=4,"Moderado (4-4.9)","Menor a 4"))))</x:f>
        <x:v>Menor a 4</x:v>
      </x:c>
      <x:c r="L3884" s="25" t="str">
        <x:f>IF(I3884&lt;70,"Superficial (&lt;70 km)",IF(I3884&lt;=300,"Intermedio (70-300 km)","Profundo (&gt;300 km)"))</x:f>
        <x:v>Superficial (&lt;70 km)</x:v>
      </x:c>
      <x:c r="M3884" s="25" t="str">
        <x:f>IF(J3884&gt;=5,"Sí","No")</x:f>
        <x:v>No</x:v>
      </x:c>
      <x:c r="N3884" s="25" t="str">
        <x:f>IF(J3884&gt;=6,"Sí","No")</x:f>
        <x:v>No</x:v>
      </x:c>
      <x:c r="O3884" s="25" t="str">
        <x:v>Pendiente: asignar con R/sf</x:v>
      </x:c>
    </x:row>
    <x:row r="3885">
      <x:c r="A3885" s="25" t="n">
        <x:v>3884</x:v>
      </x:c>
      <x:c r="B3885" s="26" t="n">
        <x:v>45505.73743055556</x:v>
      </x:c>
      <x:c r="C3885" s="27" t="n">
        <x:f>INT(B3885)</x:f>
        <x:v>45505</x:v>
      </x:c>
      <x:c r="D3885" s="28" t="n">
        <x:f>MOD(B3885,1)</x:f>
        <x:v>0.7374305555567844</x:v>
      </x:c>
      <x:c r="E3885" s="29" t="n">
        <x:f>YEAR(B3885)</x:f>
        <x:v>2024</x:v>
      </x:c>
      <x:c r="F3885" s="29" t="n">
        <x:f>MONTH(B3885)</x:f>
        <x:v>8</x:v>
      </x:c>
      <x:c r="G3885" s="30" t="n">
        <x:v>-29.78</x:v>
      </x:c>
      <x:c r="H3885" s="30" t="n">
        <x:v>-71.56</x:v>
      </x:c>
      <x:c r="I3885" s="29" t="n">
        <x:v>80</x:v>
      </x:c>
      <x:c r="J3885" s="31" t="n">
        <x:v>4.5</x:v>
      </x:c>
      <x:c r="K3885" s="25" t="str">
        <x:f>IF(J3885&gt;=7,"Muy fuerte (&gt;=7)",IF(J3885&gt;=6,"Fuerte (6-6.9)",IF(J3885&gt;=5,"Moderado alto (5-5.9)",IF(J3885&gt;=4,"Moderado (4-4.9)","Menor a 4"))))</x:f>
        <x:v>Moderado (4-4.9)</x:v>
      </x:c>
      <x:c r="L3885" s="25" t="str">
        <x:f>IF(I3885&lt;70,"Superficial (&lt;70 km)",IF(I3885&lt;=300,"Intermedio (70-300 km)","Profundo (&gt;300 km)"))</x:f>
        <x:v>Intermedio (70-300 km)</x:v>
      </x:c>
      <x:c r="M3885" s="25" t="str">
        <x:f>IF(J3885&gt;=5,"Sí","No")</x:f>
        <x:v>No</x:v>
      </x:c>
      <x:c r="N3885" s="25" t="str">
        <x:f>IF(J3885&gt;=6,"Sí","No")</x:f>
        <x:v>No</x:v>
      </x:c>
      <x:c r="O3885" s="25" t="str">
        <x:v>Pendiente: asignar con R/sf</x:v>
      </x:c>
    </x:row>
    <x:row r="3886">
      <x:c r="A3886" s="25" t="n">
        <x:v>3885</x:v>
      </x:c>
      <x:c r="B3886" s="26" t="n">
        <x:v>45582.00813657408</x:v>
      </x:c>
      <x:c r="C3886" s="27" t="n">
        <x:f>INT(B3886)</x:f>
        <x:v>45582</x:v>
      </x:c>
      <x:c r="D3886" s="28" t="n">
        <x:f>MOD(B3886,1)</x:f>
        <x:v>0.00813657407707069</x:v>
      </x:c>
      <x:c r="E3886" s="29" t="n">
        <x:f>YEAR(B3886)</x:f>
        <x:v>2024</x:v>
      </x:c>
      <x:c r="F3886" s="29" t="n">
        <x:f>MONTH(B3886)</x:f>
        <x:v>10</x:v>
      </x:c>
      <x:c r="G3886" s="30" t="n">
        <x:v>-29.29</x:v>
      </x:c>
      <x:c r="H3886" s="30" t="n">
        <x:v>-71.2</x:v>
      </x:c>
      <x:c r="I3886" s="29" t="n">
        <x:v>55</x:v>
      </x:c>
      <x:c r="J3886" s="31" t="n">
        <x:v>3.3</x:v>
      </x:c>
      <x:c r="K3886" s="25" t="str">
        <x:f>IF(J3886&gt;=7,"Muy fuerte (&gt;=7)",IF(J3886&gt;=6,"Fuerte (6-6.9)",IF(J3886&gt;=5,"Moderado alto (5-5.9)",IF(J3886&gt;=4,"Moderado (4-4.9)","Menor a 4"))))</x:f>
        <x:v>Menor a 4</x:v>
      </x:c>
      <x:c r="L3886" s="25" t="str">
        <x:f>IF(I3886&lt;70,"Superficial (&lt;70 km)",IF(I3886&lt;=300,"Intermedio (70-300 km)","Profundo (&gt;300 km)"))</x:f>
        <x:v>Superficial (&lt;70 km)</x:v>
      </x:c>
      <x:c r="M3886" s="25" t="str">
        <x:f>IF(J3886&gt;=5,"Sí","No")</x:f>
        <x:v>No</x:v>
      </x:c>
      <x:c r="N3886" s="25" t="str">
        <x:f>IF(J3886&gt;=6,"Sí","No")</x:f>
        <x:v>No</x:v>
      </x:c>
      <x:c r="O3886" s="25" t="str">
        <x:v>Pendiente: asignar con R/sf</x:v>
      </x:c>
    </x:row>
    <x:row r="3887">
      <x:c r="A3887" s="25" t="n">
        <x:v>3886</x:v>
      </x:c>
      <x:c r="B3887" s="26" t="n">
        <x:v>45690.57934027778</x:v>
      </x:c>
      <x:c r="C3887" s="27" t="n">
        <x:f>INT(B3887)</x:f>
        <x:v>45690</x:v>
      </x:c>
      <x:c r="D3887" s="28" t="n">
        <x:f>MOD(B3887,1)</x:f>
        <x:v>0.5793402777781012</x:v>
      </x:c>
      <x:c r="E3887" s="29" t="n">
        <x:f>YEAR(B3887)</x:f>
        <x:v>2025</x:v>
      </x:c>
      <x:c r="F3887" s="29" t="n">
        <x:f>MONTH(B3887)</x:f>
        <x:v>2</x:v>
      </x:c>
      <x:c r="G3887" s="30" t="n">
        <x:v>-30.74</x:v>
      </x:c>
      <x:c r="H3887" s="30" t="n">
        <x:v>-71.41</x:v>
      </x:c>
      <x:c r="I3887" s="29" t="n">
        <x:v>44</x:v>
      </x:c>
      <x:c r="J3887" s="31" t="n">
        <x:v>5.1</x:v>
      </x:c>
      <x:c r="K3887" s="25" t="str">
        <x:f>IF(J3887&gt;=7,"Muy fuerte (&gt;=7)",IF(J3887&gt;=6,"Fuerte (6-6.9)",IF(J3887&gt;=5,"Moderado alto (5-5.9)",IF(J3887&gt;=4,"Moderado (4-4.9)","Menor a 4"))))</x:f>
        <x:v>Moderado alto (5-5.9)</x:v>
      </x:c>
      <x:c r="L3887" s="25" t="str">
        <x:f>IF(I3887&lt;70,"Superficial (&lt;70 km)",IF(I3887&lt;=300,"Intermedio (70-300 km)","Profundo (&gt;300 km)"))</x:f>
        <x:v>Superficial (&lt;70 km)</x:v>
      </x:c>
      <x:c r="M3887" s="25" t="str">
        <x:f>IF(J3887&gt;=5,"Sí","No")</x:f>
        <x:v>Sí</x:v>
      </x:c>
      <x:c r="N3887" s="25" t="str">
        <x:f>IF(J3887&gt;=6,"Sí","No")</x:f>
        <x:v>No</x:v>
      </x:c>
      <x:c r="O3887" s="25" t="str">
        <x:v>Pendiente: asignar con R/sf</x:v>
      </x:c>
    </x:row>
    <x:row r="3888">
      <x:c r="A3888" s="25" t="n">
        <x:v>3887</x:v>
      </x:c>
      <x:c r="B3888" s="26" t="n">
        <x:v>45704.29770833333</x:v>
      </x:c>
      <x:c r="C3888" s="27" t="n">
        <x:f>INT(B3888)</x:f>
        <x:v>45704</x:v>
      </x:c>
      <x:c r="D3888" s="28" t="n">
        <x:f>MOD(B3888,1)</x:f>
        <x:v>0.2977083333316841</x:v>
      </x:c>
      <x:c r="E3888" s="29" t="n">
        <x:f>YEAR(B3888)</x:f>
        <x:v>2025</x:v>
      </x:c>
      <x:c r="F3888" s="29" t="n">
        <x:f>MONTH(B3888)</x:f>
        <x:v>2</x:v>
      </x:c>
      <x:c r="G3888" s="30" t="n">
        <x:v>-38.48</x:v>
      </x:c>
      <x:c r="H3888" s="30" t="n">
        <x:v>-74.12</x:v>
      </x:c>
      <x:c r="I3888" s="29" t="n">
        <x:v>31</x:v>
      </x:c>
      <x:c r="J3888" s="31" t="n">
        <x:v>5.2</x:v>
      </x:c>
      <x:c r="K3888" s="25" t="str">
        <x:f>IF(J3888&gt;=7,"Muy fuerte (&gt;=7)",IF(J3888&gt;=6,"Fuerte (6-6.9)",IF(J3888&gt;=5,"Moderado alto (5-5.9)",IF(J3888&gt;=4,"Moderado (4-4.9)","Menor a 4"))))</x:f>
        <x:v>Moderado alto (5-5.9)</x:v>
      </x:c>
      <x:c r="L3888" s="25" t="str">
        <x:f>IF(I3888&lt;70,"Superficial (&lt;70 km)",IF(I3888&lt;=300,"Intermedio (70-300 km)","Profundo (&gt;300 km)"))</x:f>
        <x:v>Superficial (&lt;70 km)</x:v>
      </x:c>
      <x:c r="M3888" s="25" t="str">
        <x:f>IF(J3888&gt;=5,"Sí","No")</x:f>
        <x:v>Sí</x:v>
      </x:c>
      <x:c r="N3888" s="25" t="str">
        <x:f>IF(J3888&gt;=6,"Sí","No")</x:f>
        <x:v>No</x:v>
      </x:c>
      <x:c r="O3888" s="25" t="str">
        <x:v>Pendiente: asignar con R/sf</x:v>
      </x:c>
    </x:row>
    <x:row r="3889">
      <x:c r="A3889" s="25" t="n">
        <x:v>3888</x:v>
      </x:c>
      <x:c r="B3889" s="26" t="n">
        <x:v>45706.721400462964</x:v>
      </x:c>
      <x:c r="C3889" s="27" t="n">
        <x:f>INT(B3889)</x:f>
        <x:v>45706</x:v>
      </x:c>
      <x:c r="D3889" s="28" t="n">
        <x:f>MOD(B3889,1)</x:f>
        <x:v>0.721400462964084</x:v>
      </x:c>
      <x:c r="E3889" s="29" t="n">
        <x:f>YEAR(B3889)</x:f>
        <x:v>2025</x:v>
      </x:c>
      <x:c r="F3889" s="29" t="n">
        <x:f>MONTH(B3889)</x:f>
        <x:v>2</x:v>
      </x:c>
      <x:c r="G3889" s="30" t="n">
        <x:v>-26.29</x:v>
      </x:c>
      <x:c r="H3889" s="30" t="n">
        <x:v>-70.74</x:v>
      </x:c>
      <x:c r="I3889" s="29" t="n">
        <x:v>35</x:v>
      </x:c>
      <x:c r="J3889" s="31" t="n">
        <x:v>5.5</x:v>
      </x:c>
      <x:c r="K3889" s="25" t="str">
        <x:f>IF(J3889&gt;=7,"Muy fuerte (&gt;=7)",IF(J3889&gt;=6,"Fuerte (6-6.9)",IF(J3889&gt;=5,"Moderado alto (5-5.9)",IF(J3889&gt;=4,"Moderado (4-4.9)","Menor a 4"))))</x:f>
        <x:v>Moderado alto (5-5.9)</x:v>
      </x:c>
      <x:c r="L3889" s="25" t="str">
        <x:f>IF(I3889&lt;70,"Superficial (&lt;70 km)",IF(I3889&lt;=300,"Intermedio (70-300 km)","Profundo (&gt;300 km)"))</x:f>
        <x:v>Superficial (&lt;70 km)</x:v>
      </x:c>
      <x:c r="M3889" s="25" t="str">
        <x:f>IF(J3889&gt;=5,"Sí","No")</x:f>
        <x:v>Sí</x:v>
      </x:c>
      <x:c r="N3889" s="25" t="str">
        <x:f>IF(J3889&gt;=6,"Sí","No")</x:f>
        <x:v>No</x:v>
      </x:c>
      <x:c r="O3889" s="25" t="str">
        <x:v>Pendiente: asignar con R/sf</x:v>
      </x:c>
    </x:row>
    <x:row r="3890">
      <x:c r="A3890" s="25" t="n">
        <x:v>3889</x:v>
      </x:c>
      <x:c r="B3890" s="26" t="n">
        <x:v>45708.265335648146</x:v>
      </x:c>
      <x:c r="C3890" s="27" t="n">
        <x:f>INT(B3890)</x:f>
        <x:v>45708</x:v>
      </x:c>
      <x:c r="D3890" s="28" t="n">
        <x:f>MOD(B3890,1)</x:f>
        <x:v>0.2653356481459923</x:v>
      </x:c>
      <x:c r="E3890" s="29" t="n">
        <x:f>YEAR(B3890)</x:f>
        <x:v>2025</x:v>
      </x:c>
      <x:c r="F3890" s="29" t="n">
        <x:f>MONTH(B3890)</x:f>
        <x:v>2</x:v>
      </x:c>
      <x:c r="G3890" s="30" t="n">
        <x:v>-19.69</x:v>
      </x:c>
      <x:c r="H3890" s="30" t="n">
        <x:v>-69.37</x:v>
      </x:c>
      <x:c r="I3890" s="29" t="n">
        <x:v>114</x:v>
      </x:c>
      <x:c r="J3890" s="31" t="n">
        <x:v>5</x:v>
      </x:c>
      <x:c r="K3890" s="25" t="str">
        <x:f>IF(J3890&gt;=7,"Muy fuerte (&gt;=7)",IF(J3890&gt;=6,"Fuerte (6-6.9)",IF(J3890&gt;=5,"Moderado alto (5-5.9)",IF(J3890&gt;=4,"Moderado (4-4.9)","Menor a 4"))))</x:f>
        <x:v>Moderado alto (5-5.9)</x:v>
      </x:c>
      <x:c r="L3890" s="25" t="str">
        <x:f>IF(I3890&lt;70,"Superficial (&lt;70 km)",IF(I3890&lt;=300,"Intermedio (70-300 km)","Profundo (&gt;300 km)"))</x:f>
        <x:v>Intermedio (70-300 km)</x:v>
      </x:c>
      <x:c r="M3890" s="25" t="str">
        <x:f>IF(J3890&gt;=5,"Sí","No")</x:f>
        <x:v>Sí</x:v>
      </x:c>
      <x:c r="N3890" s="25" t="str">
        <x:f>IF(J3890&gt;=6,"Sí","No")</x:f>
        <x:v>No</x:v>
      </x:c>
      <x:c r="O3890" s="25" t="str">
        <x:v>Pendiente: asignar con R/sf</x:v>
      </x:c>
    </x:row>
    <x:row r="3891">
      <x:c r="A3891" s="25" t="n">
        <x:v>3890</x:v>
      </x:c>
      <x:c r="B3891" s="26" t="n">
        <x:v>45242.4890625</x:v>
      </x:c>
      <x:c r="C3891" s="27" t="n">
        <x:f>INT(B3891)</x:f>
        <x:v>45242</x:v>
      </x:c>
      <x:c r="D3891" s="28" t="n">
        <x:f>MOD(B3891,1)</x:f>
        <x:v>0.4890624999970896</x:v>
      </x:c>
      <x:c r="E3891" s="29" t="n">
        <x:f>YEAR(B3891)</x:f>
        <x:v>2023</x:v>
      </x:c>
      <x:c r="F3891" s="29" t="n">
        <x:f>MONTH(B3891)</x:f>
        <x:v>11</x:v>
      </x:c>
      <x:c r="G3891" s="30" t="n">
        <x:v>-34.91</x:v>
      </x:c>
      <x:c r="H3891" s="30" t="n">
        <x:v>-71.72</x:v>
      </x:c>
      <x:c r="I3891" s="29" t="n">
        <x:v>43</x:v>
      </x:c>
      <x:c r="J3891" s="31" t="n">
        <x:v>4</x:v>
      </x:c>
      <x:c r="K3891" s="25" t="str">
        <x:f>IF(J3891&gt;=7,"Muy fuerte (&gt;=7)",IF(J3891&gt;=6,"Fuerte (6-6.9)",IF(J3891&gt;=5,"Moderado alto (5-5.9)",IF(J3891&gt;=4,"Moderado (4-4.9)","Menor a 4"))))</x:f>
        <x:v>Moderado (4-4.9)</x:v>
      </x:c>
      <x:c r="L3891" s="25" t="str">
        <x:f>IF(I3891&lt;70,"Superficial (&lt;70 km)",IF(I3891&lt;=300,"Intermedio (70-300 km)","Profundo (&gt;300 km)"))</x:f>
        <x:v>Superficial (&lt;70 km)</x:v>
      </x:c>
      <x:c r="M3891" s="25" t="str">
        <x:f>IF(J3891&gt;=5,"Sí","No")</x:f>
        <x:v>No</x:v>
      </x:c>
      <x:c r="N3891" s="25" t="str">
        <x:f>IF(J3891&gt;=6,"Sí","No")</x:f>
        <x:v>No</x:v>
      </x:c>
      <x:c r="O3891" s="25" t="str">
        <x:v>Pendiente: asignar con R/sf</x:v>
      </x:c>
    </x:row>
    <x:row r="3892">
      <x:c r="A3892" s="25" t="n">
        <x:v>3891</x:v>
      </x:c>
      <x:c r="B3892" s="26" t="n">
        <x:v>45248.79702546296</x:v>
      </x:c>
      <x:c r="C3892" s="27" t="n">
        <x:f>INT(B3892)</x:f>
        <x:v>45248</x:v>
      </x:c>
      <x:c r="D3892" s="28" t="n">
        <x:f>MOD(B3892,1)</x:f>
        <x:v>0.7970254629617557</x:v>
      </x:c>
      <x:c r="E3892" s="29" t="n">
        <x:f>YEAR(B3892)</x:f>
        <x:v>2023</x:v>
      </x:c>
      <x:c r="F3892" s="29" t="n">
        <x:f>MONTH(B3892)</x:f>
        <x:v>11</x:v>
      </x:c>
      <x:c r="G3892" s="30" t="n">
        <x:v>-35.03</x:v>
      </x:c>
      <x:c r="H3892" s="30" t="n">
        <x:v>-71.8</x:v>
      </x:c>
      <x:c r="I3892" s="29" t="n">
        <x:v>44</x:v>
      </x:c>
      <x:c r="J3892" s="31" t="n">
        <x:v>4</x:v>
      </x:c>
      <x:c r="K3892" s="25" t="str">
        <x:f>IF(J3892&gt;=7,"Muy fuerte (&gt;=7)",IF(J3892&gt;=6,"Fuerte (6-6.9)",IF(J3892&gt;=5,"Moderado alto (5-5.9)",IF(J3892&gt;=4,"Moderado (4-4.9)","Menor a 4"))))</x:f>
        <x:v>Moderado (4-4.9)</x:v>
      </x:c>
      <x:c r="L3892" s="25" t="str">
        <x:f>IF(I3892&lt;70,"Superficial (&lt;70 km)",IF(I3892&lt;=300,"Intermedio (70-300 km)","Profundo (&gt;300 km)"))</x:f>
        <x:v>Superficial (&lt;70 km)</x:v>
      </x:c>
      <x:c r="M3892" s="25" t="str">
        <x:f>IF(J3892&gt;=5,"Sí","No")</x:f>
        <x:v>No</x:v>
      </x:c>
      <x:c r="N3892" s="25" t="str">
        <x:f>IF(J3892&gt;=6,"Sí","No")</x:f>
        <x:v>No</x:v>
      </x:c>
      <x:c r="O3892" s="25" t="str">
        <x:v>Pendiente: asignar con R/sf</x:v>
      </x:c>
    </x:row>
    <x:row r="3893">
      <x:c r="A3893" s="25" t="n">
        <x:v>3892</x:v>
      </x:c>
      <x:c r="B3893" s="26" t="n">
        <x:v>45302.72837962963</x:v>
      </x:c>
      <x:c r="C3893" s="27" t="n">
        <x:f>INT(B3893)</x:f>
        <x:v>45302</x:v>
      </x:c>
      <x:c r="D3893" s="28" t="n">
        <x:f>MOD(B3893,1)</x:f>
        <x:v>0.7283796296323999</x:v>
      </x:c>
      <x:c r="E3893" s="29" t="n">
        <x:f>YEAR(B3893)</x:f>
        <x:v>2024</x:v>
      </x:c>
      <x:c r="F3893" s="29" t="n">
        <x:f>MONTH(B3893)</x:f>
        <x:v>1</x:v>
      </x:c>
      <x:c r="G3893" s="30" t="n">
        <x:v>-34.77</x:v>
      </x:c>
      <x:c r="H3893" s="30" t="n">
        <x:v>-71.7</x:v>
      </x:c>
      <x:c r="I3893" s="29" t="n">
        <x:v>50</x:v>
      </x:c>
      <x:c r="J3893" s="31" t="n">
        <x:v>4.4</x:v>
      </x:c>
      <x:c r="K3893" s="25" t="str">
        <x:f>IF(J3893&gt;=7,"Muy fuerte (&gt;=7)",IF(J3893&gt;=6,"Fuerte (6-6.9)",IF(J3893&gt;=5,"Moderado alto (5-5.9)",IF(J3893&gt;=4,"Moderado (4-4.9)","Menor a 4"))))</x:f>
        <x:v>Moderado (4-4.9)</x:v>
      </x:c>
      <x:c r="L3893" s="25" t="str">
        <x:f>IF(I3893&lt;70,"Superficial (&lt;70 km)",IF(I3893&lt;=300,"Intermedio (70-300 km)","Profundo (&gt;300 km)"))</x:f>
        <x:v>Superficial (&lt;70 km)</x:v>
      </x:c>
      <x:c r="M3893" s="25" t="str">
        <x:f>IF(J3893&gt;=5,"Sí","No")</x:f>
        <x:v>No</x:v>
      </x:c>
      <x:c r="N3893" s="25" t="str">
        <x:f>IF(J3893&gt;=6,"Sí","No")</x:f>
        <x:v>No</x:v>
      </x:c>
      <x:c r="O3893" s="25" t="str">
        <x:v>Pendiente: asignar con R/sf</x:v>
      </x:c>
    </x:row>
    <x:row r="3894">
      <x:c r="A3894" s="25" t="n">
        <x:v>3893</x:v>
      </x:c>
      <x:c r="B3894" s="26" t="n">
        <x:v>45349.196747685186</x:v>
      </x:c>
      <x:c r="C3894" s="27" t="n">
        <x:f>INT(B3894)</x:f>
        <x:v>45349</x:v>
      </x:c>
      <x:c r="D3894" s="28" t="n">
        <x:f>MOD(B3894,1)</x:f>
        <x:v>0.19674768518598285</x:v>
      </x:c>
      <x:c r="E3894" s="29" t="n">
        <x:f>YEAR(B3894)</x:f>
        <x:v>2024</x:v>
      </x:c>
      <x:c r="F3894" s="29" t="n">
        <x:f>MONTH(B3894)</x:f>
        <x:v>2</x:v>
      </x:c>
      <x:c r="G3894" s="30" t="n">
        <x:v>-35.01</x:v>
      </x:c>
      <x:c r="H3894" s="30" t="n">
        <x:v>-71.06</x:v>
      </x:c>
      <x:c r="I3894" s="29" t="n">
        <x:v>105</x:v>
      </x:c>
      <x:c r="J3894" s="31" t="n">
        <x:v>4</x:v>
      </x:c>
      <x:c r="K3894" s="25" t="str">
        <x:f>IF(J3894&gt;=7,"Muy fuerte (&gt;=7)",IF(J3894&gt;=6,"Fuerte (6-6.9)",IF(J3894&gt;=5,"Moderado alto (5-5.9)",IF(J3894&gt;=4,"Moderado (4-4.9)","Menor a 4"))))</x:f>
        <x:v>Moderado (4-4.9)</x:v>
      </x:c>
      <x:c r="L3894" s="25" t="str">
        <x:f>IF(I3894&lt;70,"Superficial (&lt;70 km)",IF(I3894&lt;=300,"Intermedio (70-300 km)","Profundo (&gt;300 km)"))</x:f>
        <x:v>Intermedio (70-300 km)</x:v>
      </x:c>
      <x:c r="M3894" s="25" t="str">
        <x:f>IF(J3894&gt;=5,"Sí","No")</x:f>
        <x:v>No</x:v>
      </x:c>
      <x:c r="N3894" s="25" t="str">
        <x:f>IF(J3894&gt;=6,"Sí","No")</x:f>
        <x:v>No</x:v>
      </x:c>
      <x:c r="O3894" s="25" t="str">
        <x:v>Pendiente: asignar con R/sf</x:v>
      </x:c>
    </x:row>
    <x:row r="3895">
      <x:c r="A3895" s="25" t="n">
        <x:v>3894</x:v>
      </x:c>
      <x:c r="B3895" s="26" t="n">
        <x:v>44903.473344907405</x:v>
      </x:c>
      <x:c r="C3895" s="27" t="n">
        <x:f>INT(B3895)</x:f>
        <x:v>44903</x:v>
      </x:c>
      <x:c r="D3895" s="28" t="n">
        <x:f>MOD(B3895,1)</x:f>
        <x:v>0.47334490740468027</x:v>
      </x:c>
      <x:c r="E3895" s="29" t="n">
        <x:f>YEAR(B3895)</x:f>
        <x:v>2022</x:v>
      </x:c>
      <x:c r="F3895" s="29" t="n">
        <x:f>MONTH(B3895)</x:f>
        <x:v>12</x:v>
      </x:c>
      <x:c r="G3895" s="30" t="n">
        <x:v>-35.54</x:v>
      </x:c>
      <x:c r="H3895" s="30" t="n">
        <x:v>-71.52</x:v>
      </x:c>
      <x:c r="I3895" s="29" t="n">
        <x:v>75</x:v>
      </x:c>
      <x:c r="J3895" s="31" t="n">
        <x:v>4.3</x:v>
      </x:c>
      <x:c r="K3895" s="25" t="str">
        <x:f>IF(J3895&gt;=7,"Muy fuerte (&gt;=7)",IF(J3895&gt;=6,"Fuerte (6-6.9)",IF(J3895&gt;=5,"Moderado alto (5-5.9)",IF(J3895&gt;=4,"Moderado (4-4.9)","Menor a 4"))))</x:f>
        <x:v>Moderado (4-4.9)</x:v>
      </x:c>
      <x:c r="L3895" s="25" t="str">
        <x:f>IF(I3895&lt;70,"Superficial (&lt;70 km)",IF(I3895&lt;=300,"Intermedio (70-300 km)","Profundo (&gt;300 km)"))</x:f>
        <x:v>Intermedio (70-300 km)</x:v>
      </x:c>
      <x:c r="M3895" s="25" t="str">
        <x:f>IF(J3895&gt;=5,"Sí","No")</x:f>
        <x:v>No</x:v>
      </x:c>
      <x:c r="N3895" s="25" t="str">
        <x:f>IF(J3895&gt;=6,"Sí","No")</x:f>
        <x:v>No</x:v>
      </x:c>
      <x:c r="O3895" s="25" t="str">
        <x:v>Pendiente: asignar con R/sf</x:v>
      </x:c>
    </x:row>
    <x:row r="3896">
      <x:c r="A3896" s="25" t="n">
        <x:v>3895</x:v>
      </x:c>
      <x:c r="B3896" s="26" t="n">
        <x:v>45113.793854166666</x:v>
      </x:c>
      <x:c r="C3896" s="27" t="n">
        <x:f>INT(B3896)</x:f>
        <x:v>45113</x:v>
      </x:c>
      <x:c r="D3896" s="28" t="n">
        <x:f>MOD(B3896,1)</x:f>
        <x:v>0.7938541666662786</x:v>
      </x:c>
      <x:c r="E3896" s="29" t="n">
        <x:f>YEAR(B3896)</x:f>
        <x:v>2023</x:v>
      </x:c>
      <x:c r="F3896" s="29" t="n">
        <x:f>MONTH(B3896)</x:f>
        <x:v>7</x:v>
      </x:c>
      <x:c r="G3896" s="30" t="n">
        <x:v>-35.09</x:v>
      </x:c>
      <x:c r="H3896" s="30" t="n">
        <x:v>-71.31</x:v>
      </x:c>
      <x:c r="I3896" s="29" t="n">
        <x:v>80</x:v>
      </x:c>
      <x:c r="J3896" s="31" t="n">
        <x:v>3.7</x:v>
      </x:c>
      <x:c r="K3896" s="25" t="str">
        <x:f>IF(J3896&gt;=7,"Muy fuerte (&gt;=7)",IF(J3896&gt;=6,"Fuerte (6-6.9)",IF(J3896&gt;=5,"Moderado alto (5-5.9)",IF(J3896&gt;=4,"Moderado (4-4.9)","Menor a 4"))))</x:f>
        <x:v>Menor a 4</x:v>
      </x:c>
      <x:c r="L3896" s="25" t="str">
        <x:f>IF(I3896&lt;70,"Superficial (&lt;70 km)",IF(I3896&lt;=300,"Intermedio (70-300 km)","Profundo (&gt;300 km)"))</x:f>
        <x:v>Intermedio (70-300 km)</x:v>
      </x:c>
      <x:c r="M3896" s="25" t="str">
        <x:f>IF(J3896&gt;=5,"Sí","No")</x:f>
        <x:v>No</x:v>
      </x:c>
      <x:c r="N3896" s="25" t="str">
        <x:f>IF(J3896&gt;=6,"Sí","No")</x:f>
        <x:v>No</x:v>
      </x:c>
      <x:c r="O3896" s="25" t="str">
        <x:v>Pendiente: asignar con R/sf</x:v>
      </x:c>
    </x:row>
    <x:row r="3897">
      <x:c r="A3897" s="25" t="n">
        <x:v>3896</x:v>
      </x:c>
      <x:c r="B3897" s="26" t="n">
        <x:v>45132.46740740741</x:v>
      </x:c>
      <x:c r="C3897" s="27" t="n">
        <x:f>INT(B3897)</x:f>
        <x:v>45132</x:v>
      </x:c>
      <x:c r="D3897" s="28" t="n">
        <x:f>MOD(B3897,1)</x:f>
        <x:v>0.4674074074064265</x:v>
      </x:c>
      <x:c r="E3897" s="29" t="n">
        <x:f>YEAR(B3897)</x:f>
        <x:v>2023</x:v>
      </x:c>
      <x:c r="F3897" s="29" t="n">
        <x:f>MONTH(B3897)</x:f>
        <x:v>7</x:v>
      </x:c>
      <x:c r="G3897" s="30" t="n">
        <x:v>-35.62</x:v>
      </x:c>
      <x:c r="H3897" s="30" t="n">
        <x:v>-71.46</x:v>
      </x:c>
      <x:c r="I3897" s="29" t="n">
        <x:v>93</x:v>
      </x:c>
      <x:c r="J3897" s="31" t="n">
        <x:v>4.2</x:v>
      </x:c>
      <x:c r="K3897" s="25" t="str">
        <x:f>IF(J3897&gt;=7,"Muy fuerte (&gt;=7)",IF(J3897&gt;=6,"Fuerte (6-6.9)",IF(J3897&gt;=5,"Moderado alto (5-5.9)",IF(J3897&gt;=4,"Moderado (4-4.9)","Menor a 4"))))</x:f>
        <x:v>Moderado (4-4.9)</x:v>
      </x:c>
      <x:c r="L3897" s="25" t="str">
        <x:f>IF(I3897&lt;70,"Superficial (&lt;70 km)",IF(I3897&lt;=300,"Intermedio (70-300 km)","Profundo (&gt;300 km)"))</x:f>
        <x:v>Intermedio (70-300 km)</x:v>
      </x:c>
      <x:c r="M3897" s="25" t="str">
        <x:f>IF(J3897&gt;=5,"Sí","No")</x:f>
        <x:v>No</x:v>
      </x:c>
      <x:c r="N3897" s="25" t="str">
        <x:f>IF(J3897&gt;=6,"Sí","No")</x:f>
        <x:v>No</x:v>
      </x:c>
      <x:c r="O3897" s="25" t="str">
        <x:v>Pendiente: asignar con R/sf</x:v>
      </x:c>
    </x:row>
    <x:row r="3898">
      <x:c r="A3898" s="25" t="n">
        <x:v>3897</x:v>
      </x:c>
      <x:c r="B3898" s="26" t="n">
        <x:v>45354.825150462966</x:v>
      </x:c>
      <x:c r="C3898" s="27" t="n">
        <x:f>INT(B3898)</x:f>
        <x:v>45354</x:v>
      </x:c>
      <x:c r="D3898" s="28" t="n">
        <x:f>MOD(B3898,1)</x:f>
        <x:v>0.8251504629661213</x:v>
      </x:c>
      <x:c r="E3898" s="29" t="n">
        <x:f>YEAR(B3898)</x:f>
        <x:v>2024</x:v>
      </x:c>
      <x:c r="F3898" s="29" t="n">
        <x:f>MONTH(B3898)</x:f>
        <x:v>3</x:v>
      </x:c>
      <x:c r="G3898" s="30" t="n">
        <x:v>-35.07</x:v>
      </x:c>
      <x:c r="H3898" s="30" t="n">
        <x:v>-71.09</x:v>
      </x:c>
      <x:c r="I3898" s="29" t="n">
        <x:v>96</x:v>
      </x:c>
      <x:c r="J3898" s="31" t="n">
        <x:v>3.8</x:v>
      </x:c>
      <x:c r="K3898" s="25" t="str">
        <x:f>IF(J3898&gt;=7,"Muy fuerte (&gt;=7)",IF(J3898&gt;=6,"Fuerte (6-6.9)",IF(J3898&gt;=5,"Moderado alto (5-5.9)",IF(J3898&gt;=4,"Moderado (4-4.9)","Menor a 4"))))</x:f>
        <x:v>Menor a 4</x:v>
      </x:c>
      <x:c r="L3898" s="25" t="str">
        <x:f>IF(I3898&lt;70,"Superficial (&lt;70 km)",IF(I3898&lt;=300,"Intermedio (70-300 km)","Profundo (&gt;300 km)"))</x:f>
        <x:v>Intermedio (70-300 km)</x:v>
      </x:c>
      <x:c r="M3898" s="25" t="str">
        <x:f>IF(J3898&gt;=5,"Sí","No")</x:f>
        <x:v>No</x:v>
      </x:c>
      <x:c r="N3898" s="25" t="str">
        <x:f>IF(J3898&gt;=6,"Sí","No")</x:f>
        <x:v>No</x:v>
      </x:c>
      <x:c r="O3898" s="25" t="str">
        <x:v>Pendiente: asignar con R/sf</x:v>
      </x:c>
    </x:row>
    <x:row r="3899">
      <x:c r="A3899" s="25" t="n">
        <x:v>3898</x:v>
      </x:c>
      <x:c r="B3899" s="26" t="n">
        <x:v>45514.40741898148</x:v>
      </x:c>
      <x:c r="C3899" s="27" t="n">
        <x:f>INT(B3899)</x:f>
        <x:v>45514</x:v>
      </x:c>
      <x:c r="D3899" s="28" t="n">
        <x:f>MOD(B3899,1)</x:f>
        <x:v>0.4074189814782585</x:v>
      </x:c>
      <x:c r="E3899" s="29" t="n">
        <x:f>YEAR(B3899)</x:f>
        <x:v>2024</x:v>
      </x:c>
      <x:c r="F3899" s="29" t="n">
        <x:f>MONTH(B3899)</x:f>
        <x:v>8</x:v>
      </x:c>
      <x:c r="G3899" s="30" t="n">
        <x:v>-35.92</x:v>
      </x:c>
      <x:c r="H3899" s="30" t="n">
        <x:v>-71.81</x:v>
      </x:c>
      <x:c r="I3899" s="29" t="n">
        <x:v>78</x:v>
      </x:c>
      <x:c r="J3899" s="31" t="n">
        <x:v>4</x:v>
      </x:c>
      <x:c r="K3899" s="25" t="str">
        <x:f>IF(J3899&gt;=7,"Muy fuerte (&gt;=7)",IF(J3899&gt;=6,"Fuerte (6-6.9)",IF(J3899&gt;=5,"Moderado alto (5-5.9)",IF(J3899&gt;=4,"Moderado (4-4.9)","Menor a 4"))))</x:f>
        <x:v>Moderado (4-4.9)</x:v>
      </x:c>
      <x:c r="L3899" s="25" t="str">
        <x:f>IF(I3899&lt;70,"Superficial (&lt;70 km)",IF(I3899&lt;=300,"Intermedio (70-300 km)","Profundo (&gt;300 km)"))</x:f>
        <x:v>Intermedio (70-300 km)</x:v>
      </x:c>
      <x:c r="M3899" s="25" t="str">
        <x:f>IF(J3899&gt;=5,"Sí","No")</x:f>
        <x:v>No</x:v>
      </x:c>
      <x:c r="N3899" s="25" t="str">
        <x:f>IF(J3899&gt;=6,"Sí","No")</x:f>
        <x:v>No</x:v>
      </x:c>
      <x:c r="O3899" s="25" t="str">
        <x:v>Pendiente: asignar con R/sf</x:v>
      </x:c>
    </x:row>
    <x:row r="3900">
      <x:c r="A3900" s="25" t="n">
        <x:v>3899</x:v>
      </x:c>
      <x:c r="B3900" s="26" t="n">
        <x:v>45534.13836805556</x:v>
      </x:c>
      <x:c r="C3900" s="27" t="n">
        <x:f>INT(B3900)</x:f>
        <x:v>45534</x:v>
      </x:c>
      <x:c r="D3900" s="28" t="n">
        <x:f>MOD(B3900,1)</x:f>
        <x:v>0.1383680555591127</x:v>
      </x:c>
      <x:c r="E3900" s="29" t="n">
        <x:f>YEAR(B3900)</x:f>
        <x:v>2024</x:v>
      </x:c>
      <x:c r="F3900" s="29" t="n">
        <x:f>MONTH(B3900)</x:f>
        <x:v>8</x:v>
      </x:c>
      <x:c r="G3900" s="30" t="n">
        <x:v>-36.02</x:v>
      </x:c>
      <x:c r="H3900" s="30" t="n">
        <x:v>-71.78</x:v>
      </x:c>
      <x:c r="I3900" s="29" t="n">
        <x:v>70</x:v>
      </x:c>
      <x:c r="J3900" s="31" t="n">
        <x:v>4.1</x:v>
      </x:c>
      <x:c r="K3900" s="25" t="str">
        <x:f>IF(J3900&gt;=7,"Muy fuerte (&gt;=7)",IF(J3900&gt;=6,"Fuerte (6-6.9)",IF(J3900&gt;=5,"Moderado alto (5-5.9)",IF(J3900&gt;=4,"Moderado (4-4.9)","Menor a 4"))))</x:f>
        <x:v>Moderado (4-4.9)</x:v>
      </x:c>
      <x:c r="L3900" s="25" t="str">
        <x:f>IF(I3900&lt;70,"Superficial (&lt;70 km)",IF(I3900&lt;=300,"Intermedio (70-300 km)","Profundo (&gt;300 km)"))</x:f>
        <x:v>Intermedio (70-300 km)</x:v>
      </x:c>
      <x:c r="M3900" s="25" t="str">
        <x:f>IF(J3900&gt;=5,"Sí","No")</x:f>
        <x:v>No</x:v>
      </x:c>
      <x:c r="N3900" s="25" t="str">
        <x:f>IF(J3900&gt;=6,"Sí","No")</x:f>
        <x:v>No</x:v>
      </x:c>
      <x:c r="O3900" s="25" t="str">
        <x:v>Pendiente: asignar con R/sf</x:v>
      </x:c>
    </x:row>
    <x:row r="3901">
      <x:c r="A3901" s="25" t="n">
        <x:v>3900</x:v>
      </x:c>
      <x:c r="B3901" s="26" t="n">
        <x:v>45120.1784375</x:v>
      </x:c>
      <x:c r="C3901" s="27" t="n">
        <x:f>INT(B3901)</x:f>
        <x:v>45120</x:v>
      </x:c>
      <x:c r="D3901" s="28" t="n">
        <x:f>MOD(B3901,1)</x:f>
        <x:v>0.17843749999883585</x:v>
      </x:c>
      <x:c r="E3901" s="29" t="n">
        <x:f>YEAR(B3901)</x:f>
        <x:v>2023</x:v>
      </x:c>
      <x:c r="F3901" s="29" t="n">
        <x:f>MONTH(B3901)</x:f>
        <x:v>7</x:v>
      </x:c>
      <x:c r="G3901" s="30" t="n">
        <x:v>-34.91</x:v>
      </x:c>
      <x:c r="H3901" s="30" t="n">
        <x:v>-71.8</x:v>
      </x:c>
      <x:c r="I3901" s="29" t="n">
        <x:v>42</x:v>
      </x:c>
      <x:c r="J3901" s="31" t="n">
        <x:v>3.9</x:v>
      </x:c>
      <x:c r="K3901" s="25" t="str">
        <x:f>IF(J3901&gt;=7,"Muy fuerte (&gt;=7)",IF(J3901&gt;=6,"Fuerte (6-6.9)",IF(J3901&gt;=5,"Moderado alto (5-5.9)",IF(J3901&gt;=4,"Moderado (4-4.9)","Menor a 4"))))</x:f>
        <x:v>Menor a 4</x:v>
      </x:c>
      <x:c r="L3901" s="25" t="str">
        <x:f>IF(I3901&lt;70,"Superficial (&lt;70 km)",IF(I3901&lt;=300,"Intermedio (70-300 km)","Profundo (&gt;300 km)"))</x:f>
        <x:v>Superficial (&lt;70 km)</x:v>
      </x:c>
      <x:c r="M3901" s="25" t="str">
        <x:f>IF(J3901&gt;=5,"Sí","No")</x:f>
        <x:v>No</x:v>
      </x:c>
      <x:c r="N3901" s="25" t="str">
        <x:f>IF(J3901&gt;=6,"Sí","No")</x:f>
        <x:v>No</x:v>
      </x:c>
      <x:c r="O3901" s="25" t="str">
        <x:v>Pendiente: asignar con R/sf</x:v>
      </x:c>
    </x:row>
    <x:row r="3902">
      <x:c r="A3902" s="25" t="n">
        <x:v>3901</x:v>
      </x:c>
      <x:c r="B3902" s="26" t="n">
        <x:v>45425.388078703705</x:v>
      </x:c>
      <x:c r="C3902" s="27" t="n">
        <x:f>INT(B3902)</x:f>
        <x:v>45425</x:v>
      </x:c>
      <x:c r="D3902" s="28" t="n">
        <x:f>MOD(B3902,1)</x:f>
        <x:v>0.388078703705105</x:v>
      </x:c>
      <x:c r="E3902" s="29" t="n">
        <x:f>YEAR(B3902)</x:f>
        <x:v>2024</x:v>
      </x:c>
      <x:c r="F3902" s="29" t="n">
        <x:f>MONTH(B3902)</x:f>
        <x:v>5</x:v>
      </x:c>
      <x:c r="G3902" s="30" t="n">
        <x:v>-35.41</x:v>
      </x:c>
      <x:c r="H3902" s="30" t="n">
        <x:v>-73.28</x:v>
      </x:c>
      <x:c r="I3902" s="29" t="n">
        <x:v>36</x:v>
      </x:c>
      <x:c r="J3902" s="31" t="n">
        <x:v>5.2</x:v>
      </x:c>
      <x:c r="K3902" s="25" t="str">
        <x:f>IF(J3902&gt;=7,"Muy fuerte (&gt;=7)",IF(J3902&gt;=6,"Fuerte (6-6.9)",IF(J3902&gt;=5,"Moderado alto (5-5.9)",IF(J3902&gt;=4,"Moderado (4-4.9)","Menor a 4"))))</x:f>
        <x:v>Moderado alto (5-5.9)</x:v>
      </x:c>
      <x:c r="L3902" s="25" t="str">
        <x:f>IF(I3902&lt;70,"Superficial (&lt;70 km)",IF(I3902&lt;=300,"Intermedio (70-300 km)","Profundo (&gt;300 km)"))</x:f>
        <x:v>Superficial (&lt;70 km)</x:v>
      </x:c>
      <x:c r="M3902" s="25" t="str">
        <x:f>IF(J3902&gt;=5,"Sí","No")</x:f>
        <x:v>Sí</x:v>
      </x:c>
      <x:c r="N3902" s="25" t="str">
        <x:f>IF(J3902&gt;=6,"Sí","No")</x:f>
        <x:v>No</x:v>
      </x:c>
      <x:c r="O3902" s="25" t="str">
        <x:v>Pendiente: asignar con R/sf</x:v>
      </x:c>
    </x:row>
    <x:row r="3903">
      <x:c r="A3903" s="25" t="n">
        <x:v>3902</x:v>
      </x:c>
      <x:c r="B3903" s="26" t="n">
        <x:v>45143.50853009259</x:v>
      </x:c>
      <x:c r="C3903" s="27" t="n">
        <x:f>INT(B3903)</x:f>
        <x:v>45143</x:v>
      </x:c>
      <x:c r="D3903" s="28" t="n">
        <x:f>MOD(B3903,1)</x:f>
        <x:v>0.5085300925929914</x:v>
      </x:c>
      <x:c r="E3903" s="29" t="n">
        <x:f>YEAR(B3903)</x:f>
        <x:v>2023</x:v>
      </x:c>
      <x:c r="F3903" s="29" t="n">
        <x:f>MONTH(B3903)</x:f>
        <x:v>8</x:v>
      </x:c>
      <x:c r="G3903" s="30" t="n">
        <x:v>-41.73</x:v>
      </x:c>
      <x:c r="H3903" s="30" t="n">
        <x:v>-73.9</x:v>
      </x:c>
      <x:c r="I3903" s="29" t="n">
        <x:v>28</x:v>
      </x:c>
      <x:c r="J3903" s="31" t="n">
        <x:v>3.9</x:v>
      </x:c>
      <x:c r="K3903" s="25" t="str">
        <x:f>IF(J3903&gt;=7,"Muy fuerte (&gt;=7)",IF(J3903&gt;=6,"Fuerte (6-6.9)",IF(J3903&gt;=5,"Moderado alto (5-5.9)",IF(J3903&gt;=4,"Moderado (4-4.9)","Menor a 4"))))</x:f>
        <x:v>Menor a 4</x:v>
      </x:c>
      <x:c r="L3903" s="25" t="str">
        <x:f>IF(I3903&lt;70,"Superficial (&lt;70 km)",IF(I3903&lt;=300,"Intermedio (70-300 km)","Profundo (&gt;300 km)"))</x:f>
        <x:v>Superficial (&lt;70 km)</x:v>
      </x:c>
      <x:c r="M3903" s="25" t="str">
        <x:f>IF(J3903&gt;=5,"Sí","No")</x:f>
        <x:v>No</x:v>
      </x:c>
      <x:c r="N3903" s="25" t="str">
        <x:f>IF(J3903&gt;=6,"Sí","No")</x:f>
        <x:v>No</x:v>
      </x:c>
      <x:c r="O3903" s="25" t="str">
        <x:v>Pendiente: asignar con R/sf</x:v>
      </x:c>
    </x:row>
    <x:row r="3904">
      <x:c r="A3904" s="25" t="n">
        <x:v>3903</x:v>
      </x:c>
      <x:c r="B3904" s="26" t="n">
        <x:v>45166.74188657408</x:v>
      </x:c>
      <x:c r="C3904" s="27" t="n">
        <x:f>INT(B3904)</x:f>
        <x:v>45166</x:v>
      </x:c>
      <x:c r="D3904" s="28" t="n">
        <x:f>MOD(B3904,1)</x:f>
        <x:v>0.7418865740764886</x:v>
      </x:c>
      <x:c r="E3904" s="29" t="n">
        <x:f>YEAR(B3904)</x:f>
        <x:v>2023</x:v>
      </x:c>
      <x:c r="F3904" s="29" t="n">
        <x:f>MONTH(B3904)</x:f>
        <x:v>8</x:v>
      </x:c>
      <x:c r="G3904" s="30" t="n">
        <x:v>-41.64</x:v>
      </x:c>
      <x:c r="H3904" s="30" t="n">
        <x:v>-73.94</x:v>
      </x:c>
      <x:c r="I3904" s="29" t="n">
        <x:v>28</x:v>
      </x:c>
      <x:c r="J3904" s="31" t="n">
        <x:v>4</x:v>
      </x:c>
      <x:c r="K3904" s="25" t="str">
        <x:f>IF(J3904&gt;=7,"Muy fuerte (&gt;=7)",IF(J3904&gt;=6,"Fuerte (6-6.9)",IF(J3904&gt;=5,"Moderado alto (5-5.9)",IF(J3904&gt;=4,"Moderado (4-4.9)","Menor a 4"))))</x:f>
        <x:v>Moderado (4-4.9)</x:v>
      </x:c>
      <x:c r="L3904" s="25" t="str">
        <x:f>IF(I3904&lt;70,"Superficial (&lt;70 km)",IF(I3904&lt;=300,"Intermedio (70-300 km)","Profundo (&gt;300 km)"))</x:f>
        <x:v>Superficial (&lt;70 km)</x:v>
      </x:c>
      <x:c r="M3904" s="25" t="str">
        <x:f>IF(J3904&gt;=5,"Sí","No")</x:f>
        <x:v>No</x:v>
      </x:c>
      <x:c r="N3904" s="25" t="str">
        <x:f>IF(J3904&gt;=6,"Sí","No")</x:f>
        <x:v>No</x:v>
      </x:c>
      <x:c r="O3904" s="25" t="str">
        <x:v>Pendiente: asignar con R/sf</x:v>
      </x:c>
    </x:row>
    <x:row r="3905">
      <x:c r="A3905" s="25" t="n">
        <x:v>3904</x:v>
      </x:c>
      <x:c r="B3905" s="26" t="n">
        <x:v>44986.70458333333</x:v>
      </x:c>
      <x:c r="C3905" s="27" t="n">
        <x:f>INT(B3905)</x:f>
        <x:v>44986</x:v>
      </x:c>
      <x:c r="D3905" s="28" t="n">
        <x:f>MOD(B3905,1)</x:f>
        <x:v>0.7045833333322662</x:v>
      </x:c>
      <x:c r="E3905" s="29" t="n">
        <x:f>YEAR(B3905)</x:f>
        <x:v>2023</x:v>
      </x:c>
      <x:c r="F3905" s="29" t="n">
        <x:f>MONTH(B3905)</x:f>
        <x:v>3</x:v>
      </x:c>
      <x:c r="G3905" s="30" t="n">
        <x:v>-34.8</x:v>
      </x:c>
      <x:c r="H3905" s="30" t="n">
        <x:v>-71.83</x:v>
      </x:c>
      <x:c r="I3905" s="29" t="n">
        <x:v>41</x:v>
      </x:c>
      <x:c r="J3905" s="31" t="n">
        <x:v>3.9</x:v>
      </x:c>
      <x:c r="K3905" s="25" t="str">
        <x:f>IF(J3905&gt;=7,"Muy fuerte (&gt;=7)",IF(J3905&gt;=6,"Fuerte (6-6.9)",IF(J3905&gt;=5,"Moderado alto (5-5.9)",IF(J3905&gt;=4,"Moderado (4-4.9)","Menor a 4"))))</x:f>
        <x:v>Menor a 4</x:v>
      </x:c>
      <x:c r="L3905" s="25" t="str">
        <x:f>IF(I3905&lt;70,"Superficial (&lt;70 km)",IF(I3905&lt;=300,"Intermedio (70-300 km)","Profundo (&gt;300 km)"))</x:f>
        <x:v>Superficial (&lt;70 km)</x:v>
      </x:c>
      <x:c r="M3905" s="25" t="str">
        <x:f>IF(J3905&gt;=5,"Sí","No")</x:f>
        <x:v>No</x:v>
      </x:c>
      <x:c r="N3905" s="25" t="str">
        <x:f>IF(J3905&gt;=6,"Sí","No")</x:f>
        <x:v>No</x:v>
      </x:c>
      <x:c r="O3905" s="25" t="str">
        <x:v>Pendiente: asignar con R/sf</x:v>
      </x:c>
    </x:row>
    <x:row r="3906">
      <x:c r="A3906" s="25" t="n">
        <x:v>3905</x:v>
      </x:c>
      <x:c r="B3906" s="26" t="n">
        <x:v>45479.36015046296</x:v>
      </x:c>
      <x:c r="C3906" s="27" t="n">
        <x:f>INT(B3906)</x:f>
        <x:v>45479</x:v>
      </x:c>
      <x:c r="D3906" s="28" t="n">
        <x:f>MOD(B3906,1)</x:f>
        <x:v>0.36015046296233777</x:v>
      </x:c>
      <x:c r="E3906" s="29" t="n">
        <x:f>YEAR(B3906)</x:f>
        <x:v>2024</x:v>
      </x:c>
      <x:c r="F3906" s="29" t="n">
        <x:f>MONTH(B3906)</x:f>
        <x:v>7</x:v>
      </x:c>
      <x:c r="G3906" s="30" t="n">
        <x:v>-41.95</x:v>
      </x:c>
      <x:c r="H3906" s="30" t="n">
        <x:v>-73.52</x:v>
      </x:c>
      <x:c r="I3906" s="29" t="n">
        <x:v>59</x:v>
      </x:c>
      <x:c r="J3906" s="31" t="n">
        <x:v>4.2</x:v>
      </x:c>
      <x:c r="K3906" s="25" t="str">
        <x:f>IF(J3906&gt;=7,"Muy fuerte (&gt;=7)",IF(J3906&gt;=6,"Fuerte (6-6.9)",IF(J3906&gt;=5,"Moderado alto (5-5.9)",IF(J3906&gt;=4,"Moderado (4-4.9)","Menor a 4"))))</x:f>
        <x:v>Moderado (4-4.9)</x:v>
      </x:c>
      <x:c r="L3906" s="25" t="str">
        <x:f>IF(I3906&lt;70,"Superficial (&lt;70 km)",IF(I3906&lt;=300,"Intermedio (70-300 km)","Profundo (&gt;300 km)"))</x:f>
        <x:v>Superficial (&lt;70 km)</x:v>
      </x:c>
      <x:c r="M3906" s="25" t="str">
        <x:f>IF(J3906&gt;=5,"Sí","No")</x:f>
        <x:v>No</x:v>
      </x:c>
      <x:c r="N3906" s="25" t="str">
        <x:f>IF(J3906&gt;=6,"Sí","No")</x:f>
        <x:v>No</x:v>
      </x:c>
      <x:c r="O3906" s="25" t="str">
        <x:v>Pendiente: asignar con R/sf</x:v>
      </x:c>
    </x:row>
    <x:row r="3907">
      <x:c r="A3907" s="25" t="n">
        <x:v>3906</x:v>
      </x:c>
      <x:c r="B3907" s="26" t="n">
        <x:v>43584.58833333333</x:v>
      </x:c>
      <x:c r="C3907" s="27" t="n">
        <x:f>INT(B3907)</x:f>
        <x:v>43584</x:v>
      </x:c>
      <x:c r="D3907" s="28" t="n">
        <x:f>MOD(B3907,1)</x:f>
        <x:v>0.5883333333331393</x:v>
      </x:c>
      <x:c r="E3907" s="29" t="n">
        <x:f>YEAR(B3907)</x:f>
        <x:v>2019</x:v>
      </x:c>
      <x:c r="F3907" s="29" t="n">
        <x:f>MONTH(B3907)</x:f>
        <x:v>4</x:v>
      </x:c>
      <x:c r="G3907" s="30" t="n">
        <x:v>-30.84</x:v>
      </x:c>
      <x:c r="H3907" s="30" t="n">
        <x:v>-71.51</x:v>
      </x:c>
      <x:c r="I3907" s="29" t="n">
        <x:v>50</x:v>
      </x:c>
      <x:c r="J3907" s="31" t="n">
        <x:v>4.4</x:v>
      </x:c>
      <x:c r="K3907" s="25" t="str">
        <x:f>IF(J3907&gt;=7,"Muy fuerte (&gt;=7)",IF(J3907&gt;=6,"Fuerte (6-6.9)",IF(J3907&gt;=5,"Moderado alto (5-5.9)",IF(J3907&gt;=4,"Moderado (4-4.9)","Menor a 4"))))</x:f>
        <x:v>Moderado (4-4.9)</x:v>
      </x:c>
      <x:c r="L3907" s="25" t="str">
        <x:f>IF(I3907&lt;70,"Superficial (&lt;70 km)",IF(I3907&lt;=300,"Intermedio (70-300 km)","Profundo (&gt;300 km)"))</x:f>
        <x:v>Superficial (&lt;70 km)</x:v>
      </x:c>
      <x:c r="M3907" s="25" t="str">
        <x:f>IF(J3907&gt;=5,"Sí","No")</x:f>
        <x:v>No</x:v>
      </x:c>
      <x:c r="N3907" s="25" t="str">
        <x:f>IF(J3907&gt;=6,"Sí","No")</x:f>
        <x:v>No</x:v>
      </x:c>
      <x:c r="O3907" s="25" t="str">
        <x:v>Pendiente: asignar con R/sf</x:v>
      </x:c>
    </x:row>
    <x:row r="3908">
      <x:c r="A3908" s="25" t="n">
        <x:v>3907</x:v>
      </x:c>
      <x:c r="B3908" s="26" t="n">
        <x:v>43836.17207175926</x:v>
      </x:c>
      <x:c r="C3908" s="27" t="n">
        <x:f>INT(B3908)</x:f>
        <x:v>43836</x:v>
      </x:c>
      <x:c r="D3908" s="28" t="n">
        <x:f>MOD(B3908,1)</x:f>
        <x:v>0.17207175926159834</x:v>
      </x:c>
      <x:c r="E3908" s="29" t="n">
        <x:f>YEAR(B3908)</x:f>
        <x:v>2020</x:v>
      </x:c>
      <x:c r="F3908" s="29" t="n">
        <x:f>MONTH(B3908)</x:f>
        <x:v>1</x:v>
      </x:c>
      <x:c r="G3908" s="30" t="n">
        <x:v>-31.16</x:v>
      </x:c>
      <x:c r="H3908" s="30" t="n">
        <x:v>-71.44</x:v>
      </x:c>
      <x:c r="I3908" s="29" t="n">
        <x:v>59</x:v>
      </x:c>
      <x:c r="J3908" s="31" t="n">
        <x:v>3.7</x:v>
      </x:c>
      <x:c r="K3908" s="25" t="str">
        <x:f>IF(J3908&gt;=7,"Muy fuerte (&gt;=7)",IF(J3908&gt;=6,"Fuerte (6-6.9)",IF(J3908&gt;=5,"Moderado alto (5-5.9)",IF(J3908&gt;=4,"Moderado (4-4.9)","Menor a 4"))))</x:f>
        <x:v>Menor a 4</x:v>
      </x:c>
      <x:c r="L3908" s="25" t="str">
        <x:f>IF(I3908&lt;70,"Superficial (&lt;70 km)",IF(I3908&lt;=300,"Intermedio (70-300 km)","Profundo (&gt;300 km)"))</x:f>
        <x:v>Superficial (&lt;70 km)</x:v>
      </x:c>
      <x:c r="M3908" s="25" t="str">
        <x:f>IF(J3908&gt;=5,"Sí","No")</x:f>
        <x:v>No</x:v>
      </x:c>
      <x:c r="N3908" s="25" t="str">
        <x:f>IF(J3908&gt;=6,"Sí","No")</x:f>
        <x:v>No</x:v>
      </x:c>
      <x:c r="O3908" s="25" t="str">
        <x:v>Pendiente: asignar con R/sf</x:v>
      </x:c>
    </x:row>
    <x:row r="3909">
      <x:c r="A3909" s="25" t="n">
        <x:v>3908</x:v>
      </x:c>
      <x:c r="B3909" s="26" t="n">
        <x:v>43840.86671296296</x:v>
      </x:c>
      <x:c r="C3909" s="27" t="n">
        <x:f>INT(B3909)</x:f>
        <x:v>43840</x:v>
      </x:c>
      <x:c r="D3909" s="28" t="n">
        <x:f>MOD(B3909,1)</x:f>
        <x:v>0.8667129629611736</x:v>
      </x:c>
      <x:c r="E3909" s="29" t="n">
        <x:f>YEAR(B3909)</x:f>
        <x:v>2020</x:v>
      </x:c>
      <x:c r="F3909" s="29" t="n">
        <x:f>MONTH(B3909)</x:f>
        <x:v>1</x:v>
      </x:c>
      <x:c r="G3909" s="30" t="n">
        <x:v>-30.84</x:v>
      </x:c>
      <x:c r="H3909" s="30" t="n">
        <x:v>-71.36</x:v>
      </x:c>
      <x:c r="I3909" s="29" t="n">
        <x:v>45</x:v>
      </x:c>
      <x:c r="J3909" s="31" t="n">
        <x:v>4.9</x:v>
      </x:c>
      <x:c r="K3909" s="25" t="str">
        <x:f>IF(J3909&gt;=7,"Muy fuerte (&gt;=7)",IF(J3909&gt;=6,"Fuerte (6-6.9)",IF(J3909&gt;=5,"Moderado alto (5-5.9)",IF(J3909&gt;=4,"Moderado (4-4.9)","Menor a 4"))))</x:f>
        <x:v>Moderado (4-4.9)</x:v>
      </x:c>
      <x:c r="L3909" s="25" t="str">
        <x:f>IF(I3909&lt;70,"Superficial (&lt;70 km)",IF(I3909&lt;=300,"Intermedio (70-300 km)","Profundo (&gt;300 km)"))</x:f>
        <x:v>Superficial (&lt;70 km)</x:v>
      </x:c>
      <x:c r="M3909" s="25" t="str">
        <x:f>IF(J3909&gt;=5,"Sí","No")</x:f>
        <x:v>No</x:v>
      </x:c>
      <x:c r="N3909" s="25" t="str">
        <x:f>IF(J3909&gt;=6,"Sí","No")</x:f>
        <x:v>No</x:v>
      </x:c>
      <x:c r="O3909" s="25" t="str">
        <x:v>Pendiente: asignar con R/sf</x:v>
      </x:c>
    </x:row>
    <x:row r="3910">
      <x:c r="A3910" s="25" t="n">
        <x:v>3909</x:v>
      </x:c>
      <x:c r="B3910" s="26" t="n">
        <x:v>43978.635729166665</x:v>
      </x:c>
      <x:c r="C3910" s="27" t="n">
        <x:f>INT(B3910)</x:f>
        <x:v>43978</x:v>
      </x:c>
      <x:c r="D3910" s="28" t="n">
        <x:f>MOD(B3910,1)</x:f>
        <x:v>0.6357291666645324</x:v>
      </x:c>
      <x:c r="E3910" s="29" t="n">
        <x:f>YEAR(B3910)</x:f>
        <x:v>2020</x:v>
      </x:c>
      <x:c r="F3910" s="29" t="n">
        <x:f>MONTH(B3910)</x:f>
        <x:v>5</x:v>
      </x:c>
      <x:c r="G3910" s="30" t="n">
        <x:v>-29.23</x:v>
      </x:c>
      <x:c r="H3910" s="30" t="n">
        <x:v>-71.58</x:v>
      </x:c>
      <x:c r="I3910" s="29" t="n">
        <x:v>44</x:v>
      </x:c>
      <x:c r="J3910" s="31" t="n">
        <x:v>3.2</x:v>
      </x:c>
      <x:c r="K3910" s="25" t="str">
        <x:f>IF(J3910&gt;=7,"Muy fuerte (&gt;=7)",IF(J3910&gt;=6,"Fuerte (6-6.9)",IF(J3910&gt;=5,"Moderado alto (5-5.9)",IF(J3910&gt;=4,"Moderado (4-4.9)","Menor a 4"))))</x:f>
        <x:v>Menor a 4</x:v>
      </x:c>
      <x:c r="L3910" s="25" t="str">
        <x:f>IF(I3910&lt;70,"Superficial (&lt;70 km)",IF(I3910&lt;=300,"Intermedio (70-300 km)","Profundo (&gt;300 km)"))</x:f>
        <x:v>Superficial (&lt;70 km)</x:v>
      </x:c>
      <x:c r="M3910" s="25" t="str">
        <x:f>IF(J3910&gt;=5,"Sí","No")</x:f>
        <x:v>No</x:v>
      </x:c>
      <x:c r="N3910" s="25" t="str">
        <x:f>IF(J3910&gt;=6,"Sí","No")</x:f>
        <x:v>No</x:v>
      </x:c>
      <x:c r="O3910" s="25" t="str">
        <x:v>Pendiente: asignar con R/sf</x:v>
      </x:c>
    </x:row>
    <x:row r="3911">
      <x:c r="A3911" s="25" t="n">
        <x:v>3910</x:v>
      </x:c>
      <x:c r="B3911" s="26" t="n">
        <x:v>43566.02248842592</x:v>
      </x:c>
      <x:c r="C3911" s="27" t="n">
        <x:f>INT(B3911)</x:f>
        <x:v>43566</x:v>
      </x:c>
      <x:c r="D3911" s="28" t="n">
        <x:f>MOD(B3911,1)</x:f>
        <x:v>0.022488425922347233</x:v>
      </x:c>
      <x:c r="E3911" s="29" t="n">
        <x:f>YEAR(B3911)</x:f>
        <x:v>2019</x:v>
      </x:c>
      <x:c r="F3911" s="29" t="n">
        <x:f>MONTH(B3911)</x:f>
        <x:v>4</x:v>
      </x:c>
      <x:c r="G3911" s="30" t="n">
        <x:v>-29.53</x:v>
      </x:c>
      <x:c r="H3911" s="30" t="n">
        <x:v>-71.34</x:v>
      </x:c>
      <x:c r="I3911" s="29" t="n">
        <x:v>58</x:v>
      </x:c>
      <x:c r="J3911" s="31" t="n">
        <x:v>3.7</x:v>
      </x:c>
      <x:c r="K3911" s="25" t="str">
        <x:f>IF(J3911&gt;=7,"Muy fuerte (&gt;=7)",IF(J3911&gt;=6,"Fuerte (6-6.9)",IF(J3911&gt;=5,"Moderado alto (5-5.9)",IF(J3911&gt;=4,"Moderado (4-4.9)","Menor a 4"))))</x:f>
        <x:v>Menor a 4</x:v>
      </x:c>
      <x:c r="L3911" s="25" t="str">
        <x:f>IF(I3911&lt;70,"Superficial (&lt;70 km)",IF(I3911&lt;=300,"Intermedio (70-300 km)","Profundo (&gt;300 km)"))</x:f>
        <x:v>Superficial (&lt;70 km)</x:v>
      </x:c>
      <x:c r="M3911" s="25" t="str">
        <x:f>IF(J3911&gt;=5,"Sí","No")</x:f>
        <x:v>No</x:v>
      </x:c>
      <x:c r="N3911" s="25" t="str">
        <x:f>IF(J3911&gt;=6,"Sí","No")</x:f>
        <x:v>No</x:v>
      </x:c>
      <x:c r="O3911" s="25" t="str">
        <x:v>Pendiente: asignar con R/sf</x:v>
      </x:c>
    </x:row>
    <x:row r="3912">
      <x:c r="A3912" s="25" t="n">
        <x:v>3911</x:v>
      </x:c>
      <x:c r="B3912" s="26" t="n">
        <x:v>43916.9766087963</x:v>
      </x:c>
      <x:c r="C3912" s="27" t="n">
        <x:f>INT(B3912)</x:f>
        <x:v>43916</x:v>
      </x:c>
      <x:c r="D3912" s="28" t="n">
        <x:f>MOD(B3912,1)</x:f>
        <x:v>0.9766087962998427</x:v>
      </x:c>
      <x:c r="E3912" s="29" t="n">
        <x:f>YEAR(B3912)</x:f>
        <x:v>2020</x:v>
      </x:c>
      <x:c r="F3912" s="29" t="n">
        <x:f>MONTH(B3912)</x:f>
        <x:v>3</x:v>
      </x:c>
      <x:c r="G3912" s="30" t="n">
        <x:v>-30.61</x:v>
      </x:c>
      <x:c r="H3912" s="30" t="n">
        <x:v>-71.68</x:v>
      </x:c>
      <x:c r="I3912" s="29" t="n">
        <x:v>36</x:v>
      </x:c>
      <x:c r="J3912" s="31" t="n">
        <x:v>3.9</x:v>
      </x:c>
      <x:c r="K3912" s="25" t="str">
        <x:f>IF(J3912&gt;=7,"Muy fuerte (&gt;=7)",IF(J3912&gt;=6,"Fuerte (6-6.9)",IF(J3912&gt;=5,"Moderado alto (5-5.9)",IF(J3912&gt;=4,"Moderado (4-4.9)","Menor a 4"))))</x:f>
        <x:v>Menor a 4</x:v>
      </x:c>
      <x:c r="L3912" s="25" t="str">
        <x:f>IF(I3912&lt;70,"Superficial (&lt;70 km)",IF(I3912&lt;=300,"Intermedio (70-300 km)","Profundo (&gt;300 km)"))</x:f>
        <x:v>Superficial (&lt;70 km)</x:v>
      </x:c>
      <x:c r="M3912" s="25" t="str">
        <x:f>IF(J3912&gt;=5,"Sí","No")</x:f>
        <x:v>No</x:v>
      </x:c>
      <x:c r="N3912" s="25" t="str">
        <x:f>IF(J3912&gt;=6,"Sí","No")</x:f>
        <x:v>No</x:v>
      </x:c>
      <x:c r="O3912" s="25" t="str">
        <x:v>Pendiente: asignar con R/sf</x:v>
      </x:c>
    </x:row>
    <x:row r="3913">
      <x:c r="A3913" s="25" t="n">
        <x:v>3912</x:v>
      </x:c>
      <x:c r="B3913" s="26" t="n">
        <x:v>43580.39828703704</x:v>
      </x:c>
      <x:c r="C3913" s="27" t="n">
        <x:f>INT(B3913)</x:f>
        <x:v>43580</x:v>
      </x:c>
      <x:c r="D3913" s="28" t="n">
        <x:f>MOD(B3913,1)</x:f>
        <x:v>0.3982870370382443</x:v>
      </x:c>
      <x:c r="E3913" s="29" t="n">
        <x:f>YEAR(B3913)</x:f>
        <x:v>2019</x:v>
      </x:c>
      <x:c r="F3913" s="29" t="n">
        <x:f>MONTH(B3913)</x:f>
        <x:v>4</x:v>
      </x:c>
      <x:c r="G3913" s="30" t="n">
        <x:v>-29.66</x:v>
      </x:c>
      <x:c r="H3913" s="30" t="n">
        <x:v>-71.3</x:v>
      </x:c>
      <x:c r="I3913" s="29" t="n">
        <x:v>68</x:v>
      </x:c>
      <x:c r="J3913" s="31" t="n">
        <x:v>3.8</x:v>
      </x:c>
      <x:c r="K3913" s="25" t="str">
        <x:f>IF(J3913&gt;=7,"Muy fuerte (&gt;=7)",IF(J3913&gt;=6,"Fuerte (6-6.9)",IF(J3913&gt;=5,"Moderado alto (5-5.9)",IF(J3913&gt;=4,"Moderado (4-4.9)","Menor a 4"))))</x:f>
        <x:v>Menor a 4</x:v>
      </x:c>
      <x:c r="L3913" s="25" t="str">
        <x:f>IF(I3913&lt;70,"Superficial (&lt;70 km)",IF(I3913&lt;=300,"Intermedio (70-300 km)","Profundo (&gt;300 km)"))</x:f>
        <x:v>Superficial (&lt;70 km)</x:v>
      </x:c>
      <x:c r="M3913" s="25" t="str">
        <x:f>IF(J3913&gt;=5,"Sí","No")</x:f>
        <x:v>No</x:v>
      </x:c>
      <x:c r="N3913" s="25" t="str">
        <x:f>IF(J3913&gt;=6,"Sí","No")</x:f>
        <x:v>No</x:v>
      </x:c>
      <x:c r="O3913" s="25" t="str">
        <x:v>Pendiente: asignar con R/sf</x:v>
      </x:c>
    </x:row>
    <x:row r="3914">
      <x:c r="A3914" s="25" t="n">
        <x:v>3913</x:v>
      </x:c>
      <x:c r="B3914" s="26" t="n">
        <x:v>43942.52180555555</x:v>
      </x:c>
      <x:c r="C3914" s="27" t="n">
        <x:f>INT(B3914)</x:f>
        <x:v>43942</x:v>
      </x:c>
      <x:c r="D3914" s="28" t="n">
        <x:f>MOD(B3914,1)</x:f>
        <x:v>0.5218055555524188</x:v>
      </x:c>
      <x:c r="E3914" s="29" t="n">
        <x:f>YEAR(B3914)</x:f>
        <x:v>2020</x:v>
      </x:c>
      <x:c r="F3914" s="29" t="n">
        <x:f>MONTH(B3914)</x:f>
        <x:v>4</x:v>
      </x:c>
      <x:c r="G3914" s="30" t="n">
        <x:v>-30.98</x:v>
      </x:c>
      <x:c r="H3914" s="30" t="n">
        <x:v>-71.38</x:v>
      </x:c>
      <x:c r="I3914" s="29" t="n">
        <x:v>54</x:v>
      </x:c>
      <x:c r="J3914" s="31" t="n">
        <x:v>3.1</x:v>
      </x:c>
      <x:c r="K3914" s="25" t="str">
        <x:f>IF(J3914&gt;=7,"Muy fuerte (&gt;=7)",IF(J3914&gt;=6,"Fuerte (6-6.9)",IF(J3914&gt;=5,"Moderado alto (5-5.9)",IF(J3914&gt;=4,"Moderado (4-4.9)","Menor a 4"))))</x:f>
        <x:v>Menor a 4</x:v>
      </x:c>
      <x:c r="L3914" s="25" t="str">
        <x:f>IF(I3914&lt;70,"Superficial (&lt;70 km)",IF(I3914&lt;=300,"Intermedio (70-300 km)","Profundo (&gt;300 km)"))</x:f>
        <x:v>Superficial (&lt;70 km)</x:v>
      </x:c>
      <x:c r="M3914" s="25" t="str">
        <x:f>IF(J3914&gt;=5,"Sí","No")</x:f>
        <x:v>No</x:v>
      </x:c>
      <x:c r="N3914" s="25" t="str">
        <x:f>IF(J3914&gt;=6,"Sí","No")</x:f>
        <x:v>No</x:v>
      </x:c>
      <x:c r="O3914" s="25" t="str">
        <x:v>Pendiente: asignar con R/sf</x:v>
      </x:c>
    </x:row>
    <x:row r="3915">
      <x:c r="A3915" s="25" t="n">
        <x:v>3914</x:v>
      </x:c>
      <x:c r="B3915" s="26" t="n">
        <x:v>43981.29306712963</x:v>
      </x:c>
      <x:c r="C3915" s="27" t="n">
        <x:f>INT(B3915)</x:f>
        <x:v>43981</x:v>
      </x:c>
      <x:c r="D3915" s="28" t="n">
        <x:f>MOD(B3915,1)</x:f>
        <x:v>0.2930671296271612</x:v>
      </x:c>
      <x:c r="E3915" s="29" t="n">
        <x:f>YEAR(B3915)</x:f>
        <x:v>2020</x:v>
      </x:c>
      <x:c r="F3915" s="29" t="n">
        <x:f>MONTH(B3915)</x:f>
        <x:v>5</x:v>
      </x:c>
      <x:c r="G3915" s="30" t="n">
        <x:v>-29.23</x:v>
      </x:c>
      <x:c r="H3915" s="30" t="n">
        <x:v>-71.14</x:v>
      </x:c>
      <x:c r="I3915" s="29" t="n">
        <x:v>60</x:v>
      </x:c>
      <x:c r="J3915" s="31" t="n">
        <x:v>4.5</x:v>
      </x:c>
      <x:c r="K3915" s="25" t="str">
        <x:f>IF(J3915&gt;=7,"Muy fuerte (&gt;=7)",IF(J3915&gt;=6,"Fuerte (6-6.9)",IF(J3915&gt;=5,"Moderado alto (5-5.9)",IF(J3915&gt;=4,"Moderado (4-4.9)","Menor a 4"))))</x:f>
        <x:v>Moderado (4-4.9)</x:v>
      </x:c>
      <x:c r="L3915" s="25" t="str">
        <x:f>IF(I3915&lt;70,"Superficial (&lt;70 km)",IF(I3915&lt;=300,"Intermedio (70-300 km)","Profundo (&gt;300 km)"))</x:f>
        <x:v>Superficial (&lt;70 km)</x:v>
      </x:c>
      <x:c r="M3915" s="25" t="str">
        <x:f>IF(J3915&gt;=5,"Sí","No")</x:f>
        <x:v>No</x:v>
      </x:c>
      <x:c r="N3915" s="25" t="str">
        <x:f>IF(J3915&gt;=6,"Sí","No")</x:f>
        <x:v>No</x:v>
      </x:c>
      <x:c r="O3915" s="25" t="str">
        <x:v>Pendiente: asignar con R/sf</x:v>
      </x:c>
    </x:row>
    <x:row r="3916">
      <x:c r="A3916" s="25" t="n">
        <x:v>3915</x:v>
      </x:c>
      <x:c r="B3916" s="26" t="n">
        <x:v>43957.359456018516</x:v>
      </x:c>
      <x:c r="C3916" s="27" t="n">
        <x:f>INT(B3916)</x:f>
        <x:v>43957</x:v>
      </x:c>
      <x:c r="D3916" s="28" t="n">
        <x:f>MOD(B3916,1)</x:f>
        <x:v>0.3594560185156297</x:v>
      </x:c>
      <x:c r="E3916" s="29" t="n">
        <x:f>YEAR(B3916)</x:f>
        <x:v>2020</x:v>
      </x:c>
      <x:c r="F3916" s="29" t="n">
        <x:f>MONTH(B3916)</x:f>
        <x:v>5</x:v>
      </x:c>
      <x:c r="G3916" s="30" t="n">
        <x:v>-30.72</x:v>
      </x:c>
      <x:c r="H3916" s="30" t="n">
        <x:v>-71.41</x:v>
      </x:c>
      <x:c r="I3916" s="29" t="n">
        <x:v>50</x:v>
      </x:c>
      <x:c r="J3916" s="31" t="n">
        <x:v>3.7</x:v>
      </x:c>
      <x:c r="K3916" s="25" t="str">
        <x:f>IF(J3916&gt;=7,"Muy fuerte (&gt;=7)",IF(J3916&gt;=6,"Fuerte (6-6.9)",IF(J3916&gt;=5,"Moderado alto (5-5.9)",IF(J3916&gt;=4,"Moderado (4-4.9)","Menor a 4"))))</x:f>
        <x:v>Menor a 4</x:v>
      </x:c>
      <x:c r="L3916" s="25" t="str">
        <x:f>IF(I3916&lt;70,"Superficial (&lt;70 km)",IF(I3916&lt;=300,"Intermedio (70-300 km)","Profundo (&gt;300 km)"))</x:f>
        <x:v>Superficial (&lt;70 km)</x:v>
      </x:c>
      <x:c r="M3916" s="25" t="str">
        <x:f>IF(J3916&gt;=5,"Sí","No")</x:f>
        <x:v>No</x:v>
      </x:c>
      <x:c r="N3916" s="25" t="str">
        <x:f>IF(J3916&gt;=6,"Sí","No")</x:f>
        <x:v>No</x:v>
      </x:c>
      <x:c r="O3916" s="25" t="str">
        <x:v>Pendiente: asignar con R/sf</x:v>
      </x:c>
    </x:row>
    <x:row r="3917">
      <x:c r="A3917" s="25" t="n">
        <x:v>3916</x:v>
      </x:c>
      <x:c r="B3917" s="26" t="n">
        <x:v>43530.218726851854</x:v>
      </x:c>
      <x:c r="C3917" s="27" t="n">
        <x:f>INT(B3917)</x:f>
        <x:v>43530</x:v>
      </x:c>
      <x:c r="D3917" s="28" t="n">
        <x:f>MOD(B3917,1)</x:f>
        <x:v>0.21872685185371665</x:v>
      </x:c>
      <x:c r="E3917" s="29" t="n">
        <x:f>YEAR(B3917)</x:f>
        <x:v>2019</x:v>
      </x:c>
      <x:c r="F3917" s="29" t="n">
        <x:f>MONTH(B3917)</x:f>
        <x:v>3</x:v>
      </x:c>
      <x:c r="G3917" s="30" t="n">
        <x:v>-29.29</x:v>
      </x:c>
      <x:c r="H3917" s="30" t="n">
        <x:v>-71.16</x:v>
      </x:c>
      <x:c r="I3917" s="29" t="n">
        <x:v>35</x:v>
      </x:c>
      <x:c r="J3917" s="31" t="n">
        <x:v>3.9</x:v>
      </x:c>
      <x:c r="K3917" s="25" t="str">
        <x:f>IF(J3917&gt;=7,"Muy fuerte (&gt;=7)",IF(J3917&gt;=6,"Fuerte (6-6.9)",IF(J3917&gt;=5,"Moderado alto (5-5.9)",IF(J3917&gt;=4,"Moderado (4-4.9)","Menor a 4"))))</x:f>
        <x:v>Menor a 4</x:v>
      </x:c>
      <x:c r="L3917" s="25" t="str">
        <x:f>IF(I3917&lt;70,"Superficial (&lt;70 km)",IF(I3917&lt;=300,"Intermedio (70-300 km)","Profundo (&gt;300 km)"))</x:f>
        <x:v>Superficial (&lt;70 km)</x:v>
      </x:c>
      <x:c r="M3917" s="25" t="str">
        <x:f>IF(J3917&gt;=5,"Sí","No")</x:f>
        <x:v>No</x:v>
      </x:c>
      <x:c r="N3917" s="25" t="str">
        <x:f>IF(J3917&gt;=6,"Sí","No")</x:f>
        <x:v>No</x:v>
      </x:c>
      <x:c r="O3917" s="25" t="str">
        <x:v>Pendiente: asignar con R/sf</x:v>
      </x:c>
    </x:row>
    <x:row r="3918">
      <x:c r="A3918" s="25" t="n">
        <x:v>3917</x:v>
      </x:c>
      <x:c r="B3918" s="26" t="n">
        <x:v>43793.88778935185</x:v>
      </x:c>
      <x:c r="C3918" s="27" t="n">
        <x:f>INT(B3918)</x:f>
        <x:v>43793</x:v>
      </x:c>
      <x:c r="D3918" s="28" t="n">
        <x:f>MOD(B3918,1)</x:f>
        <x:v>0.8877893518510973</x:v>
      </x:c>
      <x:c r="E3918" s="29" t="n">
        <x:f>YEAR(B3918)</x:f>
        <x:v>2019</x:v>
      </x:c>
      <x:c r="F3918" s="29" t="n">
        <x:f>MONTH(B3918)</x:f>
        <x:v>11</x:v>
      </x:c>
      <x:c r="G3918" s="30" t="n">
        <x:v>-31.79</x:v>
      </x:c>
      <x:c r="H3918" s="30" t="n">
        <x:v>-71.45</x:v>
      </x:c>
      <x:c r="I3918" s="29" t="n">
        <x:v>44</x:v>
      </x:c>
      <x:c r="J3918" s="31" t="n">
        <x:v>4.4</x:v>
      </x:c>
      <x:c r="K3918" s="25" t="str">
        <x:f>IF(J3918&gt;=7,"Muy fuerte (&gt;=7)",IF(J3918&gt;=6,"Fuerte (6-6.9)",IF(J3918&gt;=5,"Moderado alto (5-5.9)",IF(J3918&gt;=4,"Moderado (4-4.9)","Menor a 4"))))</x:f>
        <x:v>Moderado (4-4.9)</x:v>
      </x:c>
      <x:c r="L3918" s="25" t="str">
        <x:f>IF(I3918&lt;70,"Superficial (&lt;70 km)",IF(I3918&lt;=300,"Intermedio (70-300 km)","Profundo (&gt;300 km)"))</x:f>
        <x:v>Superficial (&lt;70 km)</x:v>
      </x:c>
      <x:c r="M3918" s="25" t="str">
        <x:f>IF(J3918&gt;=5,"Sí","No")</x:f>
        <x:v>No</x:v>
      </x:c>
      <x:c r="N3918" s="25" t="str">
        <x:f>IF(J3918&gt;=6,"Sí","No")</x:f>
        <x:v>No</x:v>
      </x:c>
      <x:c r="O3918" s="25" t="str">
        <x:v>Pendiente: asignar con R/sf</x:v>
      </x:c>
    </x:row>
    <x:row r="3919">
      <x:c r="A3919" s="25" t="n">
        <x:v>3918</x:v>
      </x:c>
      <x:c r="B3919" s="26" t="n">
        <x:v>43901.000439814816</x:v>
      </x:c>
      <x:c r="C3919" s="27" t="n">
        <x:f>INT(B3919)</x:f>
        <x:v>43901</x:v>
      </x:c>
      <x:c r="D3919" s="28" t="n">
        <x:f>MOD(B3919,1)</x:f>
        <x:v>0.0004398148157633841</x:v>
      </x:c>
      <x:c r="E3919" s="29" t="n">
        <x:f>YEAR(B3919)</x:f>
        <x:v>2020</x:v>
      </x:c>
      <x:c r="F3919" s="29" t="n">
        <x:f>MONTH(B3919)</x:f>
        <x:v>3</x:v>
      </x:c>
      <x:c r="G3919" s="30" t="n">
        <x:v>-30.45</x:v>
      </x:c>
      <x:c r="H3919" s="30" t="n">
        <x:v>-71.63</x:v>
      </x:c>
      <x:c r="I3919" s="29" t="n">
        <x:v>36</x:v>
      </x:c>
      <x:c r="J3919" s="31" t="n">
        <x:v>4.4</x:v>
      </x:c>
      <x:c r="K3919" s="25" t="str">
        <x:f>IF(J3919&gt;=7,"Muy fuerte (&gt;=7)",IF(J3919&gt;=6,"Fuerte (6-6.9)",IF(J3919&gt;=5,"Moderado alto (5-5.9)",IF(J3919&gt;=4,"Moderado (4-4.9)","Menor a 4"))))</x:f>
        <x:v>Moderado (4-4.9)</x:v>
      </x:c>
      <x:c r="L3919" s="25" t="str">
        <x:f>IF(I3919&lt;70,"Superficial (&lt;70 km)",IF(I3919&lt;=300,"Intermedio (70-300 km)","Profundo (&gt;300 km)"))</x:f>
        <x:v>Superficial (&lt;70 km)</x:v>
      </x:c>
      <x:c r="M3919" s="25" t="str">
        <x:f>IF(J3919&gt;=5,"Sí","No")</x:f>
        <x:v>No</x:v>
      </x:c>
      <x:c r="N3919" s="25" t="str">
        <x:f>IF(J3919&gt;=6,"Sí","No")</x:f>
        <x:v>No</x:v>
      </x:c>
      <x:c r="O3919" s="25" t="str">
        <x:v>Pendiente: asignar con R/sf</x:v>
      </x:c>
    </x:row>
    <x:row r="3920">
      <x:c r="A3920" s="25" t="n">
        <x:v>3919</x:v>
      </x:c>
      <x:c r="B3920" s="26" t="n">
        <x:v>43924.36667824074</x:v>
      </x:c>
      <x:c r="C3920" s="27" t="n">
        <x:f>INT(B3920)</x:f>
        <x:v>43924</x:v>
      </x:c>
      <x:c r="D3920" s="28" t="n">
        <x:f>MOD(B3920,1)</x:f>
        <x:v>0.3666782407381106</x:v>
      </x:c>
      <x:c r="E3920" s="29" t="n">
        <x:f>YEAR(B3920)</x:f>
        <x:v>2020</x:v>
      </x:c>
      <x:c r="F3920" s="29" t="n">
        <x:f>MONTH(B3920)</x:f>
        <x:v>4</x:v>
      </x:c>
      <x:c r="G3920" s="30" t="n">
        <x:v>-29.07</x:v>
      </x:c>
      <x:c r="H3920" s="30" t="n">
        <x:v>-71.51</x:v>
      </x:c>
      <x:c r="I3920" s="29" t="n">
        <x:v>65</x:v>
      </x:c>
      <x:c r="J3920" s="31" t="n">
        <x:v>4.9</x:v>
      </x:c>
      <x:c r="K3920" s="25" t="str">
        <x:f>IF(J3920&gt;=7,"Muy fuerte (&gt;=7)",IF(J3920&gt;=6,"Fuerte (6-6.9)",IF(J3920&gt;=5,"Moderado alto (5-5.9)",IF(J3920&gt;=4,"Moderado (4-4.9)","Menor a 4"))))</x:f>
        <x:v>Moderado (4-4.9)</x:v>
      </x:c>
      <x:c r="L3920" s="25" t="str">
        <x:f>IF(I3920&lt;70,"Superficial (&lt;70 km)",IF(I3920&lt;=300,"Intermedio (70-300 km)","Profundo (&gt;300 km)"))</x:f>
        <x:v>Superficial (&lt;70 km)</x:v>
      </x:c>
      <x:c r="M3920" s="25" t="str">
        <x:f>IF(J3920&gt;=5,"Sí","No")</x:f>
        <x:v>No</x:v>
      </x:c>
      <x:c r="N3920" s="25" t="str">
        <x:f>IF(J3920&gt;=6,"Sí","No")</x:f>
        <x:v>No</x:v>
      </x:c>
      <x:c r="O3920" s="25" t="str">
        <x:v>Pendiente: asignar con R/sf</x:v>
      </x:c>
    </x:row>
    <x:row r="3921">
      <x:c r="A3921" s="25" t="n">
        <x:v>3920</x:v>
      </x:c>
      <x:c r="B3921" s="26" t="n">
        <x:v>43759.501875</x:v>
      </x:c>
      <x:c r="C3921" s="27" t="n">
        <x:f>INT(B3921)</x:f>
        <x:v>43759</x:v>
      </x:c>
      <x:c r="D3921" s="28" t="n">
        <x:f>MOD(B3921,1)</x:f>
        <x:v>0.5018750000017462</x:v>
      </x:c>
      <x:c r="E3921" s="29" t="n">
        <x:f>YEAR(B3921)</x:f>
        <x:v>2019</x:v>
      </x:c>
      <x:c r="F3921" s="29" t="n">
        <x:f>MONTH(B3921)</x:f>
        <x:v>10</x:v>
      </x:c>
      <x:c r="G3921" s="30" t="n">
        <x:v>-30.71</x:v>
      </x:c>
      <x:c r="H3921" s="30" t="n">
        <x:v>-71.37</x:v>
      </x:c>
      <x:c r="I3921" s="29" t="n">
        <x:v>49</x:v>
      </x:c>
      <x:c r="J3921" s="31" t="n">
        <x:v>4.3</x:v>
      </x:c>
      <x:c r="K3921" s="25" t="str">
        <x:f>IF(J3921&gt;=7,"Muy fuerte (&gt;=7)",IF(J3921&gt;=6,"Fuerte (6-6.9)",IF(J3921&gt;=5,"Moderado alto (5-5.9)",IF(J3921&gt;=4,"Moderado (4-4.9)","Menor a 4"))))</x:f>
        <x:v>Moderado (4-4.9)</x:v>
      </x:c>
      <x:c r="L3921" s="25" t="str">
        <x:f>IF(I3921&lt;70,"Superficial (&lt;70 km)",IF(I3921&lt;=300,"Intermedio (70-300 km)","Profundo (&gt;300 km)"))</x:f>
        <x:v>Superficial (&lt;70 km)</x:v>
      </x:c>
      <x:c r="M3921" s="25" t="str">
        <x:f>IF(J3921&gt;=5,"Sí","No")</x:f>
        <x:v>No</x:v>
      </x:c>
      <x:c r="N3921" s="25" t="str">
        <x:f>IF(J3921&gt;=6,"Sí","No")</x:f>
        <x:v>No</x:v>
      </x:c>
      <x:c r="O3921" s="25" t="str">
        <x:v>Pendiente: asignar con R/sf</x:v>
      </x:c>
    </x:row>
    <x:row r="3922">
      <x:c r="A3922" s="25" t="n">
        <x:v>3921</x:v>
      </x:c>
      <x:c r="B3922" s="26" t="n">
        <x:v>43675.74329861111</x:v>
      </x:c>
      <x:c r="C3922" s="27" t="n">
        <x:f>INT(B3922)</x:f>
        <x:v>43675</x:v>
      </x:c>
      <x:c r="D3922" s="28" t="n">
        <x:f>MOD(B3922,1)</x:f>
        <x:v>0.7432986111089122</x:v>
      </x:c>
      <x:c r="E3922" s="29" t="n">
        <x:f>YEAR(B3922)</x:f>
        <x:v>2019</x:v>
      </x:c>
      <x:c r="F3922" s="29" t="n">
        <x:f>MONTH(B3922)</x:f>
        <x:v>7</x:v>
      </x:c>
      <x:c r="G3922" s="30" t="n">
        <x:v>-31.63</x:v>
      </x:c>
      <x:c r="H3922" s="30" t="n">
        <x:v>-71.47</x:v>
      </x:c>
      <x:c r="I3922" s="29" t="n">
        <x:v>56</x:v>
      </x:c>
      <x:c r="J3922" s="31" t="n">
        <x:v>3.9</x:v>
      </x:c>
      <x:c r="K3922" s="25" t="str">
        <x:f>IF(J3922&gt;=7,"Muy fuerte (&gt;=7)",IF(J3922&gt;=6,"Fuerte (6-6.9)",IF(J3922&gt;=5,"Moderado alto (5-5.9)",IF(J3922&gt;=4,"Moderado (4-4.9)","Menor a 4"))))</x:f>
        <x:v>Menor a 4</x:v>
      </x:c>
      <x:c r="L3922" s="25" t="str">
        <x:f>IF(I3922&lt;70,"Superficial (&lt;70 km)",IF(I3922&lt;=300,"Intermedio (70-300 km)","Profundo (&gt;300 km)"))</x:f>
        <x:v>Superficial (&lt;70 km)</x:v>
      </x:c>
      <x:c r="M3922" s="25" t="str">
        <x:f>IF(J3922&gt;=5,"Sí","No")</x:f>
        <x:v>No</x:v>
      </x:c>
      <x:c r="N3922" s="25" t="str">
        <x:f>IF(J3922&gt;=6,"Sí","No")</x:f>
        <x:v>No</x:v>
      </x:c>
      <x:c r="O3922" s="25" t="str">
        <x:v>Pendiente: asignar con R/sf</x:v>
      </x:c>
    </x:row>
    <x:row r="3923">
      <x:c r="A3923" s="25" t="n">
        <x:v>3922</x:v>
      </x:c>
      <x:c r="B3923" s="26" t="n">
        <x:v>43887.848287037035</x:v>
      </x:c>
      <x:c r="C3923" s="27" t="n">
        <x:f>INT(B3923)</x:f>
        <x:v>43887</x:v>
      </x:c>
      <x:c r="D3923" s="28" t="n">
        <x:f>MOD(B3923,1)</x:f>
        <x:v>0.8482870370353339</x:v>
      </x:c>
      <x:c r="E3923" s="29" t="n">
        <x:f>YEAR(B3923)</x:f>
        <x:v>2020</x:v>
      </x:c>
      <x:c r="F3923" s="29" t="n">
        <x:f>MONTH(B3923)</x:f>
        <x:v>2</x:v>
      </x:c>
      <x:c r="G3923" s="30" t="n">
        <x:v>-30.99</x:v>
      </x:c>
      <x:c r="H3923" s="30" t="n">
        <x:v>-71.34</x:v>
      </x:c>
      <x:c r="I3923" s="29" t="n">
        <x:v>57</x:v>
      </x:c>
      <x:c r="J3923" s="31" t="n">
        <x:v>4.8</x:v>
      </x:c>
      <x:c r="K3923" s="25" t="str">
        <x:f>IF(J3923&gt;=7,"Muy fuerte (&gt;=7)",IF(J3923&gt;=6,"Fuerte (6-6.9)",IF(J3923&gt;=5,"Moderado alto (5-5.9)",IF(J3923&gt;=4,"Moderado (4-4.9)","Menor a 4"))))</x:f>
        <x:v>Moderado (4-4.9)</x:v>
      </x:c>
      <x:c r="L3923" s="25" t="str">
        <x:f>IF(I3923&lt;70,"Superficial (&lt;70 km)",IF(I3923&lt;=300,"Intermedio (70-300 km)","Profundo (&gt;300 km)"))</x:f>
        <x:v>Superficial (&lt;70 km)</x:v>
      </x:c>
      <x:c r="M3923" s="25" t="str">
        <x:f>IF(J3923&gt;=5,"Sí","No")</x:f>
        <x:v>No</x:v>
      </x:c>
      <x:c r="N3923" s="25" t="str">
        <x:f>IF(J3923&gt;=6,"Sí","No")</x:f>
        <x:v>No</x:v>
      </x:c>
      <x:c r="O3923" s="25" t="str">
        <x:v>Pendiente: asignar con R/sf</x:v>
      </x:c>
    </x:row>
    <x:row r="3924">
      <x:c r="A3924" s="25" t="n">
        <x:v>3923</x:v>
      </x:c>
      <x:c r="B3924" s="26" t="n">
        <x:v>43635.931921296295</x:v>
      </x:c>
      <x:c r="C3924" s="27" t="n">
        <x:f>INT(B3924)</x:f>
        <x:v>43635</x:v>
      </x:c>
      <x:c r="D3924" s="28" t="n">
        <x:f>MOD(B3924,1)</x:f>
        <x:v>0.931921296294604</x:v>
      </x:c>
      <x:c r="E3924" s="29" t="n">
        <x:f>YEAR(B3924)</x:f>
        <x:v>2019</x:v>
      </x:c>
      <x:c r="F3924" s="29" t="n">
        <x:f>MONTH(B3924)</x:f>
        <x:v>6</x:v>
      </x:c>
      <x:c r="G3924" s="30" t="n">
        <x:v>-29.19</x:v>
      </x:c>
      <x:c r="H3924" s="30" t="n">
        <x:v>-71.31</x:v>
      </x:c>
      <x:c r="I3924" s="29" t="n">
        <x:v>50</x:v>
      </x:c>
      <x:c r="J3924" s="31" t="n">
        <x:v>3.9</x:v>
      </x:c>
      <x:c r="K3924" s="25" t="str">
        <x:f>IF(J3924&gt;=7,"Muy fuerte (&gt;=7)",IF(J3924&gt;=6,"Fuerte (6-6.9)",IF(J3924&gt;=5,"Moderado alto (5-5.9)",IF(J3924&gt;=4,"Moderado (4-4.9)","Menor a 4"))))</x:f>
        <x:v>Menor a 4</x:v>
      </x:c>
      <x:c r="L3924" s="25" t="str">
        <x:f>IF(I3924&lt;70,"Superficial (&lt;70 km)",IF(I3924&lt;=300,"Intermedio (70-300 km)","Profundo (&gt;300 km)"))</x:f>
        <x:v>Superficial (&lt;70 km)</x:v>
      </x:c>
      <x:c r="M3924" s="25" t="str">
        <x:f>IF(J3924&gt;=5,"Sí","No")</x:f>
        <x:v>No</x:v>
      </x:c>
      <x:c r="N3924" s="25" t="str">
        <x:f>IF(J3924&gt;=6,"Sí","No")</x:f>
        <x:v>No</x:v>
      </x:c>
      <x:c r="O3924" s="25" t="str">
        <x:v>Pendiente: asignar con R/sf</x:v>
      </x:c>
    </x:row>
    <x:row r="3925">
      <x:c r="A3925" s="25" t="n">
        <x:v>3924</x:v>
      </x:c>
      <x:c r="B3925" s="26" t="n">
        <x:v>43851.17965277778</x:v>
      </x:c>
      <x:c r="C3925" s="27" t="n">
        <x:f>INT(B3925)</x:f>
        <x:v>43851</x:v>
      </x:c>
      <x:c r="D3925" s="28" t="n">
        <x:f>MOD(B3925,1)</x:f>
        <x:v>0.179652777776937</x:v>
      </x:c>
      <x:c r="E3925" s="29" t="n">
        <x:f>YEAR(B3925)</x:f>
        <x:v>2020</x:v>
      </x:c>
      <x:c r="F3925" s="29" t="n">
        <x:f>MONTH(B3925)</x:f>
        <x:v>1</x:v>
      </x:c>
      <x:c r="G3925" s="30" t="n">
        <x:v>-30.73</x:v>
      </x:c>
      <x:c r="H3925" s="30" t="n">
        <x:v>-71.41</x:v>
      </x:c>
      <x:c r="I3925" s="29" t="n">
        <x:v>52</x:v>
      </x:c>
      <x:c r="J3925" s="31" t="n">
        <x:v>3.6</x:v>
      </x:c>
      <x:c r="K3925" s="25" t="str">
        <x:f>IF(J3925&gt;=7,"Muy fuerte (&gt;=7)",IF(J3925&gt;=6,"Fuerte (6-6.9)",IF(J3925&gt;=5,"Moderado alto (5-5.9)",IF(J3925&gt;=4,"Moderado (4-4.9)","Menor a 4"))))</x:f>
        <x:v>Menor a 4</x:v>
      </x:c>
      <x:c r="L3925" s="25" t="str">
        <x:f>IF(I3925&lt;70,"Superficial (&lt;70 km)",IF(I3925&lt;=300,"Intermedio (70-300 km)","Profundo (&gt;300 km)"))</x:f>
        <x:v>Superficial (&lt;70 km)</x:v>
      </x:c>
      <x:c r="M3925" s="25" t="str">
        <x:f>IF(J3925&gt;=5,"Sí","No")</x:f>
        <x:v>No</x:v>
      </x:c>
      <x:c r="N3925" s="25" t="str">
        <x:f>IF(J3925&gt;=6,"Sí","No")</x:f>
        <x:v>No</x:v>
      </x:c>
      <x:c r="O3925" s="25" t="str">
        <x:v>Pendiente: asignar con R/sf</x:v>
      </x:c>
    </x:row>
    <x:row r="3926">
      <x:c r="A3926" s="25" t="n">
        <x:v>3925</x:v>
      </x:c>
      <x:c r="B3926" s="26" t="n">
        <x:v>43718.77292824074</x:v>
      </x:c>
      <x:c r="C3926" s="27" t="n">
        <x:f>INT(B3926)</x:f>
        <x:v>43718</x:v>
      </x:c>
      <x:c r="D3926" s="28" t="n">
        <x:f>MOD(B3926,1)</x:f>
        <x:v>0.7729282407381106</x:v>
      </x:c>
      <x:c r="E3926" s="29" t="n">
        <x:f>YEAR(B3926)</x:f>
        <x:v>2019</x:v>
      </x:c>
      <x:c r="F3926" s="29" t="n">
        <x:f>MONTH(B3926)</x:f>
        <x:v>9</x:v>
      </x:c>
      <x:c r="G3926" s="30" t="n">
        <x:v>-30.72</x:v>
      </x:c>
      <x:c r="H3926" s="30" t="n">
        <x:v>-71.39</x:v>
      </x:c>
      <x:c r="I3926" s="29" t="n">
        <x:v>50</x:v>
      </x:c>
      <x:c r="J3926" s="31" t="n">
        <x:v>4.1</x:v>
      </x:c>
      <x:c r="K3926" s="25" t="str">
        <x:f>IF(J3926&gt;=7,"Muy fuerte (&gt;=7)",IF(J3926&gt;=6,"Fuerte (6-6.9)",IF(J3926&gt;=5,"Moderado alto (5-5.9)",IF(J3926&gt;=4,"Moderado (4-4.9)","Menor a 4"))))</x:f>
        <x:v>Moderado (4-4.9)</x:v>
      </x:c>
      <x:c r="L3926" s="25" t="str">
        <x:f>IF(I3926&lt;70,"Superficial (&lt;70 km)",IF(I3926&lt;=300,"Intermedio (70-300 km)","Profundo (&gt;300 km)"))</x:f>
        <x:v>Superficial (&lt;70 km)</x:v>
      </x:c>
      <x:c r="M3926" s="25" t="str">
        <x:f>IF(J3926&gt;=5,"Sí","No")</x:f>
        <x:v>No</x:v>
      </x:c>
      <x:c r="N3926" s="25" t="str">
        <x:f>IF(J3926&gt;=6,"Sí","No")</x:f>
        <x:v>No</x:v>
      </x:c>
      <x:c r="O3926" s="25" t="str">
        <x:v>Pendiente: asignar con R/sf</x:v>
      </x:c>
    </x:row>
    <x:row r="3927">
      <x:c r="A3927" s="25" t="n">
        <x:v>3926</x:v>
      </x:c>
      <x:c r="B3927" s="26" t="n">
        <x:v>43579.54221064815</x:v>
      </x:c>
      <x:c r="C3927" s="27" t="n">
        <x:f>INT(B3927)</x:f>
        <x:v>43579</x:v>
      </x:c>
      <x:c r="D3927" s="28" t="n">
        <x:f>MOD(B3927,1)</x:f>
        <x:v>0.5422106481491937</x:v>
      </x:c>
      <x:c r="E3927" s="29" t="n">
        <x:f>YEAR(B3927)</x:f>
        <x:v>2019</x:v>
      </x:c>
      <x:c r="F3927" s="29" t="n">
        <x:f>MONTH(B3927)</x:f>
        <x:v>4</x:v>
      </x:c>
      <x:c r="G3927" s="30" t="n">
        <x:v>-30.66</x:v>
      </x:c>
      <x:c r="H3927" s="30" t="n">
        <x:v>-71.38</x:v>
      </x:c>
      <x:c r="I3927" s="29" t="n">
        <x:v>51</x:v>
      </x:c>
      <x:c r="J3927" s="31" t="n">
        <x:v>3.4</x:v>
      </x:c>
      <x:c r="K3927" s="25" t="str">
        <x:f>IF(J3927&gt;=7,"Muy fuerte (&gt;=7)",IF(J3927&gt;=6,"Fuerte (6-6.9)",IF(J3927&gt;=5,"Moderado alto (5-5.9)",IF(J3927&gt;=4,"Moderado (4-4.9)","Menor a 4"))))</x:f>
        <x:v>Menor a 4</x:v>
      </x:c>
      <x:c r="L3927" s="25" t="str">
        <x:f>IF(I3927&lt;70,"Superficial (&lt;70 km)",IF(I3927&lt;=300,"Intermedio (70-300 km)","Profundo (&gt;300 km)"))</x:f>
        <x:v>Superficial (&lt;70 km)</x:v>
      </x:c>
      <x:c r="M3927" s="25" t="str">
        <x:f>IF(J3927&gt;=5,"Sí","No")</x:f>
        <x:v>No</x:v>
      </x:c>
      <x:c r="N3927" s="25" t="str">
        <x:f>IF(J3927&gt;=6,"Sí","No")</x:f>
        <x:v>No</x:v>
      </x:c>
      <x:c r="O3927" s="25" t="str">
        <x:v>Pendiente: asignar con R/sf</x:v>
      </x:c>
    </x:row>
    <x:row r="3928">
      <x:c r="A3928" s="25" t="n">
        <x:v>3927</x:v>
      </x:c>
      <x:c r="B3928" s="26" t="n">
        <x:v>43538.343831018516</x:v>
      </x:c>
      <x:c r="C3928" s="27" t="n">
        <x:f>INT(B3928)</x:f>
        <x:v>43538</x:v>
      </x:c>
      <x:c r="D3928" s="28" t="n">
        <x:f>MOD(B3928,1)</x:f>
        <x:v>0.3438310185156297</x:v>
      </x:c>
      <x:c r="E3928" s="29" t="n">
        <x:f>YEAR(B3928)</x:f>
        <x:v>2019</x:v>
      </x:c>
      <x:c r="F3928" s="29" t="n">
        <x:f>MONTH(B3928)</x:f>
        <x:v>3</x:v>
      </x:c>
      <x:c r="G3928" s="30" t="n">
        <x:v>-30.66</x:v>
      </x:c>
      <x:c r="H3928" s="30" t="n">
        <x:v>-71.27</x:v>
      </x:c>
      <x:c r="I3928" s="29" t="n">
        <x:v>44</x:v>
      </x:c>
      <x:c r="J3928" s="31" t="n">
        <x:v>3.1</x:v>
      </x:c>
      <x:c r="K3928" s="25" t="str">
        <x:f>IF(J3928&gt;=7,"Muy fuerte (&gt;=7)",IF(J3928&gt;=6,"Fuerte (6-6.9)",IF(J3928&gt;=5,"Moderado alto (5-5.9)",IF(J3928&gt;=4,"Moderado (4-4.9)","Menor a 4"))))</x:f>
        <x:v>Menor a 4</x:v>
      </x:c>
      <x:c r="L3928" s="25" t="str">
        <x:f>IF(I3928&lt;70,"Superficial (&lt;70 km)",IF(I3928&lt;=300,"Intermedio (70-300 km)","Profundo (&gt;300 km)"))</x:f>
        <x:v>Superficial (&lt;70 km)</x:v>
      </x:c>
      <x:c r="M3928" s="25" t="str">
        <x:f>IF(J3928&gt;=5,"Sí","No")</x:f>
        <x:v>No</x:v>
      </x:c>
      <x:c r="N3928" s="25" t="str">
        <x:f>IF(J3928&gt;=6,"Sí","No")</x:f>
        <x:v>No</x:v>
      </x:c>
      <x:c r="O3928" s="25" t="str">
        <x:v>Pendiente: asignar con R/sf</x:v>
      </x:c>
    </x:row>
    <x:row r="3929">
      <x:c r="A3929" s="25" t="n">
        <x:v>3928</x:v>
      </x:c>
      <x:c r="B3929" s="26" t="n">
        <x:v>43533.86508101852</x:v>
      </x:c>
      <x:c r="C3929" s="27" t="n">
        <x:f>INT(B3929)</x:f>
        <x:v>43533</x:v>
      </x:c>
      <x:c r="D3929" s="28" t="n">
        <x:f>MOD(B3929,1)</x:f>
        <x:v>0.8650810185208684</x:v>
      </x:c>
      <x:c r="E3929" s="29" t="n">
        <x:f>YEAR(B3929)</x:f>
        <x:v>2019</x:v>
      </x:c>
      <x:c r="F3929" s="29" t="n">
        <x:f>MONTH(B3929)</x:f>
        <x:v>3</x:v>
      </x:c>
      <x:c r="G3929" s="30" t="n">
        <x:v>-31.43</x:v>
      </x:c>
      <x:c r="H3929" s="30" t="n">
        <x:v>-70.37</x:v>
      </x:c>
      <x:c r="I3929" s="29" t="n">
        <x:v>139</x:v>
      </x:c>
      <x:c r="J3929" s="31" t="n">
        <x:v>4.9</x:v>
      </x:c>
      <x:c r="K3929" s="25" t="str">
        <x:f>IF(J3929&gt;=7,"Muy fuerte (&gt;=7)",IF(J3929&gt;=6,"Fuerte (6-6.9)",IF(J3929&gt;=5,"Moderado alto (5-5.9)",IF(J3929&gt;=4,"Moderado (4-4.9)","Menor a 4"))))</x:f>
        <x:v>Moderado (4-4.9)</x:v>
      </x:c>
      <x:c r="L3929" s="25" t="str">
        <x:f>IF(I3929&lt;70,"Superficial (&lt;70 km)",IF(I3929&lt;=300,"Intermedio (70-300 km)","Profundo (&gt;300 km)"))</x:f>
        <x:v>Intermedio (70-300 km)</x:v>
      </x:c>
      <x:c r="M3929" s="25" t="str">
        <x:f>IF(J3929&gt;=5,"Sí","No")</x:f>
        <x:v>No</x:v>
      </x:c>
      <x:c r="N3929" s="25" t="str">
        <x:f>IF(J3929&gt;=6,"Sí","No")</x:f>
        <x:v>No</x:v>
      </x:c>
      <x:c r="O3929" s="25" t="str">
        <x:v>Pendiente: asignar con R/sf</x:v>
      </x:c>
    </x:row>
    <x:row r="3930">
      <x:c r="A3930" s="25" t="n">
        <x:v>3929</x:v>
      </x:c>
      <x:c r="B3930" s="26" t="n">
        <x:v>43897.19944444444</x:v>
      </x:c>
      <x:c r="C3930" s="27" t="n">
        <x:f>INT(B3930)</x:f>
        <x:v>43897</x:v>
      </x:c>
      <x:c r="D3930" s="28" t="n">
        <x:f>MOD(B3930,1)</x:f>
        <x:v>0.19944444444263354</x:v>
      </x:c>
      <x:c r="E3930" s="29" t="n">
        <x:f>YEAR(B3930)</x:f>
        <x:v>2020</x:v>
      </x:c>
      <x:c r="F3930" s="29" t="n">
        <x:f>MONTH(B3930)</x:f>
        <x:v>3</x:v>
      </x:c>
      <x:c r="G3930" s="30" t="n">
        <x:v>-31.57</x:v>
      </x:c>
      <x:c r="H3930" s="30" t="n">
        <x:v>-71.52</x:v>
      </x:c>
      <x:c r="I3930" s="29" t="n">
        <x:v>44</x:v>
      </x:c>
      <x:c r="J3930" s="31" t="n">
        <x:v>3.9</x:v>
      </x:c>
      <x:c r="K3930" s="25" t="str">
        <x:f>IF(J3930&gt;=7,"Muy fuerte (&gt;=7)",IF(J3930&gt;=6,"Fuerte (6-6.9)",IF(J3930&gt;=5,"Moderado alto (5-5.9)",IF(J3930&gt;=4,"Moderado (4-4.9)","Menor a 4"))))</x:f>
        <x:v>Menor a 4</x:v>
      </x:c>
      <x:c r="L3930" s="25" t="str">
        <x:f>IF(I3930&lt;70,"Superficial (&lt;70 km)",IF(I3930&lt;=300,"Intermedio (70-300 km)","Profundo (&gt;300 km)"))</x:f>
        <x:v>Superficial (&lt;70 km)</x:v>
      </x:c>
      <x:c r="M3930" s="25" t="str">
        <x:f>IF(J3930&gt;=5,"Sí","No")</x:f>
        <x:v>No</x:v>
      </x:c>
      <x:c r="N3930" s="25" t="str">
        <x:f>IF(J3930&gt;=6,"Sí","No")</x:f>
        <x:v>No</x:v>
      </x:c>
      <x:c r="O3930" s="25" t="str">
        <x:v>Pendiente: asignar con R/sf</x:v>
      </x:c>
    </x:row>
    <x:row r="3931">
      <x:c r="A3931" s="25" t="n">
        <x:v>3930</x:v>
      </x:c>
      <x:c r="B3931" s="26" t="n">
        <x:v>43847.160891203705</x:v>
      </x:c>
      <x:c r="C3931" s="27" t="n">
        <x:f>INT(B3931)</x:f>
        <x:v>43847</x:v>
      </x:c>
      <x:c r="D3931" s="28" t="n">
        <x:f>MOD(B3931,1)</x:f>
        <x:v>0.16089120370452292</x:v>
      </x:c>
      <x:c r="E3931" s="29" t="n">
        <x:f>YEAR(B3931)</x:f>
        <x:v>2020</x:v>
      </x:c>
      <x:c r="F3931" s="29" t="n">
        <x:f>MONTH(B3931)</x:f>
        <x:v>1</x:v>
      </x:c>
      <x:c r="G3931" s="30" t="n">
        <x:v>-29.47</x:v>
      </x:c>
      <x:c r="H3931" s="30" t="n">
        <x:v>-71.28</x:v>
      </x:c>
      <x:c r="I3931" s="29" t="n">
        <x:v>50</x:v>
      </x:c>
      <x:c r="J3931" s="31" t="n">
        <x:v>3.2</x:v>
      </x:c>
      <x:c r="K3931" s="25" t="str">
        <x:f>IF(J3931&gt;=7,"Muy fuerte (&gt;=7)",IF(J3931&gt;=6,"Fuerte (6-6.9)",IF(J3931&gt;=5,"Moderado alto (5-5.9)",IF(J3931&gt;=4,"Moderado (4-4.9)","Menor a 4"))))</x:f>
        <x:v>Menor a 4</x:v>
      </x:c>
      <x:c r="L3931" s="25" t="str">
        <x:f>IF(I3931&lt;70,"Superficial (&lt;70 km)",IF(I3931&lt;=300,"Intermedio (70-300 km)","Profundo (&gt;300 km)"))</x:f>
        <x:v>Superficial (&lt;70 km)</x:v>
      </x:c>
      <x:c r="M3931" s="25" t="str">
        <x:f>IF(J3931&gt;=5,"Sí","No")</x:f>
        <x:v>No</x:v>
      </x:c>
      <x:c r="N3931" s="25" t="str">
        <x:f>IF(J3931&gt;=6,"Sí","No")</x:f>
        <x:v>No</x:v>
      </x:c>
      <x:c r="O3931" s="25" t="str">
        <x:v>Pendiente: asignar con R/sf</x:v>
      </x:c>
    </x:row>
    <x:row r="3932">
      <x:c r="A3932" s="25" t="n">
        <x:v>3931</x:v>
      </x:c>
      <x:c r="B3932" s="26" t="n">
        <x:v>43687.71949074074</x:v>
      </x:c>
      <x:c r="C3932" s="27" t="n">
        <x:f>INT(B3932)</x:f>
        <x:v>43687</x:v>
      </x:c>
      <x:c r="D3932" s="28" t="n">
        <x:f>MOD(B3932,1)</x:f>
        <x:v>0.7194907407392748</x:v>
      </x:c>
      <x:c r="E3932" s="29" t="n">
        <x:f>YEAR(B3932)</x:f>
        <x:v>2019</x:v>
      </x:c>
      <x:c r="F3932" s="29" t="n">
        <x:f>MONTH(B3932)</x:f>
        <x:v>8</x:v>
      </x:c>
      <x:c r="G3932" s="30" t="n">
        <x:v>-31.77</x:v>
      </x:c>
      <x:c r="H3932" s="30" t="n">
        <x:v>-71.39</x:v>
      </x:c>
      <x:c r="I3932" s="29" t="n">
        <x:v>54</x:v>
      </x:c>
      <x:c r="J3932" s="31" t="n">
        <x:v>4.7</x:v>
      </x:c>
      <x:c r="K3932" s="25" t="str">
        <x:f>IF(J3932&gt;=7,"Muy fuerte (&gt;=7)",IF(J3932&gt;=6,"Fuerte (6-6.9)",IF(J3932&gt;=5,"Moderado alto (5-5.9)",IF(J3932&gt;=4,"Moderado (4-4.9)","Menor a 4"))))</x:f>
        <x:v>Moderado (4-4.9)</x:v>
      </x:c>
      <x:c r="L3932" s="25" t="str">
        <x:f>IF(I3932&lt;70,"Superficial (&lt;70 km)",IF(I3932&lt;=300,"Intermedio (70-300 km)","Profundo (&gt;300 km)"))</x:f>
        <x:v>Superficial (&lt;70 km)</x:v>
      </x:c>
      <x:c r="M3932" s="25" t="str">
        <x:f>IF(J3932&gt;=5,"Sí","No")</x:f>
        <x:v>No</x:v>
      </x:c>
      <x:c r="N3932" s="25" t="str">
        <x:f>IF(J3932&gt;=6,"Sí","No")</x:f>
        <x:v>No</x:v>
      </x:c>
      <x:c r="O3932" s="25" t="str">
        <x:v>Pendiente: asignar con R/sf</x:v>
      </x:c>
    </x:row>
    <x:row r="3933">
      <x:c r="A3933" s="25" t="n">
        <x:v>3932</x:v>
      </x:c>
      <x:c r="B3933" s="26" t="n">
        <x:v>43924.845358796294</x:v>
      </x:c>
      <x:c r="C3933" s="27" t="n">
        <x:f>INT(B3933)</x:f>
        <x:v>43924</x:v>
      </x:c>
      <x:c r="D3933" s="28" t="n">
        <x:f>MOD(B3933,1)</x:f>
        <x:v>0.8453587962940219</x:v>
      </x:c>
      <x:c r="E3933" s="29" t="n">
        <x:f>YEAR(B3933)</x:f>
        <x:v>2020</x:v>
      </x:c>
      <x:c r="F3933" s="29" t="n">
        <x:f>MONTH(B3933)</x:f>
        <x:v>4</x:v>
      </x:c>
      <x:c r="G3933" s="30" t="n">
        <x:v>-30.64</x:v>
      </x:c>
      <x:c r="H3933" s="30" t="n">
        <x:v>-71.75</x:v>
      </x:c>
      <x:c r="I3933" s="29" t="n">
        <x:v>36</x:v>
      </x:c>
      <x:c r="J3933" s="31" t="n">
        <x:v>4.7</x:v>
      </x:c>
      <x:c r="K3933" s="25" t="str">
        <x:f>IF(J3933&gt;=7,"Muy fuerte (&gt;=7)",IF(J3933&gt;=6,"Fuerte (6-6.9)",IF(J3933&gt;=5,"Moderado alto (5-5.9)",IF(J3933&gt;=4,"Moderado (4-4.9)","Menor a 4"))))</x:f>
        <x:v>Moderado (4-4.9)</x:v>
      </x:c>
      <x:c r="L3933" s="25" t="str">
        <x:f>IF(I3933&lt;70,"Superficial (&lt;70 km)",IF(I3933&lt;=300,"Intermedio (70-300 km)","Profundo (&gt;300 km)"))</x:f>
        <x:v>Superficial (&lt;70 km)</x:v>
      </x:c>
      <x:c r="M3933" s="25" t="str">
        <x:f>IF(J3933&gt;=5,"Sí","No")</x:f>
        <x:v>No</x:v>
      </x:c>
      <x:c r="N3933" s="25" t="str">
        <x:f>IF(J3933&gt;=6,"Sí","No")</x:f>
        <x:v>No</x:v>
      </x:c>
      <x:c r="O3933" s="25" t="str">
        <x:v>Pendiente: asignar con R/sf</x:v>
      </x:c>
    </x:row>
    <x:row r="3934">
      <x:c r="A3934" s="25" t="n">
        <x:v>3933</x:v>
      </x:c>
      <x:c r="B3934" s="26" t="n">
        <x:v>43547.10605324074</x:v>
      </x:c>
      <x:c r="C3934" s="27" t="n">
        <x:f>INT(B3934)</x:f>
        <x:v>43547</x:v>
      </x:c>
      <x:c r="D3934" s="28" t="n">
        <x:f>MOD(B3934,1)</x:f>
        <x:v>0.10605324074276723</x:v>
      </x:c>
      <x:c r="E3934" s="29" t="n">
        <x:f>YEAR(B3934)</x:f>
        <x:v>2019</x:v>
      </x:c>
      <x:c r="F3934" s="29" t="n">
        <x:f>MONTH(B3934)</x:f>
        <x:v>3</x:v>
      </x:c>
      <x:c r="G3934" s="30" t="n">
        <x:v>-29.51</x:v>
      </x:c>
      <x:c r="H3934" s="30" t="n">
        <x:v>-71.49</x:v>
      </x:c>
      <x:c r="I3934" s="29" t="n">
        <x:v>47</x:v>
      </x:c>
      <x:c r="J3934" s="31" t="n">
        <x:v>3.7</x:v>
      </x:c>
      <x:c r="K3934" s="25" t="str">
        <x:f>IF(J3934&gt;=7,"Muy fuerte (&gt;=7)",IF(J3934&gt;=6,"Fuerte (6-6.9)",IF(J3934&gt;=5,"Moderado alto (5-5.9)",IF(J3934&gt;=4,"Moderado (4-4.9)","Menor a 4"))))</x:f>
        <x:v>Menor a 4</x:v>
      </x:c>
      <x:c r="L3934" s="25" t="str">
        <x:f>IF(I3934&lt;70,"Superficial (&lt;70 km)",IF(I3934&lt;=300,"Intermedio (70-300 km)","Profundo (&gt;300 km)"))</x:f>
        <x:v>Superficial (&lt;70 km)</x:v>
      </x:c>
      <x:c r="M3934" s="25" t="str">
        <x:f>IF(J3934&gt;=5,"Sí","No")</x:f>
        <x:v>No</x:v>
      </x:c>
      <x:c r="N3934" s="25" t="str">
        <x:f>IF(J3934&gt;=6,"Sí","No")</x:f>
        <x:v>No</x:v>
      </x:c>
      <x:c r="O3934" s="25" t="str">
        <x:v>Pendiente: asignar con R/sf</x:v>
      </x:c>
    </x:row>
    <x:row r="3935">
      <x:c r="A3935" s="25" t="n">
        <x:v>3934</x:v>
      </x:c>
      <x:c r="B3935" s="26" t="n">
        <x:v>43698.41997685185</x:v>
      </x:c>
      <x:c r="C3935" s="27" t="n">
        <x:f>INT(B3935)</x:f>
        <x:v>43698</x:v>
      </x:c>
      <x:c r="D3935" s="28" t="n">
        <x:f>MOD(B3935,1)</x:f>
        <x:v>0.4199768518519704</x:v>
      </x:c>
      <x:c r="E3935" s="29" t="n">
        <x:f>YEAR(B3935)</x:f>
        <x:v>2019</x:v>
      </x:c>
      <x:c r="F3935" s="29" t="n">
        <x:f>MONTH(B3935)</x:f>
        <x:v>8</x:v>
      </x:c>
      <x:c r="G3935" s="30" t="n">
        <x:v>-28.9</x:v>
      </x:c>
      <x:c r="H3935" s="30" t="n">
        <x:v>-71.38</x:v>
      </x:c>
      <x:c r="I3935" s="29" t="n">
        <x:v>32</x:v>
      </x:c>
      <x:c r="J3935" s="31" t="n">
        <x:v>4.1</x:v>
      </x:c>
      <x:c r="K3935" s="25" t="str">
        <x:f>IF(J3935&gt;=7,"Muy fuerte (&gt;=7)",IF(J3935&gt;=6,"Fuerte (6-6.9)",IF(J3935&gt;=5,"Moderado alto (5-5.9)",IF(J3935&gt;=4,"Moderado (4-4.9)","Menor a 4"))))</x:f>
        <x:v>Moderado (4-4.9)</x:v>
      </x:c>
      <x:c r="L3935" s="25" t="str">
        <x:f>IF(I3935&lt;70,"Superficial (&lt;70 km)",IF(I3935&lt;=300,"Intermedio (70-300 km)","Profundo (&gt;300 km)"))</x:f>
        <x:v>Superficial (&lt;70 km)</x:v>
      </x:c>
      <x:c r="M3935" s="25" t="str">
        <x:f>IF(J3935&gt;=5,"Sí","No")</x:f>
        <x:v>No</x:v>
      </x:c>
      <x:c r="N3935" s="25" t="str">
        <x:f>IF(J3935&gt;=6,"Sí","No")</x:f>
        <x:v>No</x:v>
      </x:c>
      <x:c r="O3935" s="25" t="str">
        <x:v>Pendiente: asignar con R/sf</x:v>
      </x:c>
    </x:row>
    <x:row r="3936">
      <x:c r="A3936" s="25" t="n">
        <x:v>3935</x:v>
      </x:c>
      <x:c r="B3936" s="26" t="n">
        <x:v>43831.70244212963</x:v>
      </x:c>
      <x:c r="C3936" s="27" t="n">
        <x:f>INT(B3936)</x:f>
        <x:v>43831</x:v>
      </x:c>
      <x:c r="D3936" s="28" t="n">
        <x:f>MOD(B3936,1)</x:f>
        <x:v>0.7024421296300716</x:v>
      </x:c>
      <x:c r="E3936" s="29" t="n">
        <x:f>YEAR(B3936)</x:f>
        <x:v>2020</x:v>
      </x:c>
      <x:c r="F3936" s="29" t="n">
        <x:f>MONTH(B3936)</x:f>
        <x:v>1</x:v>
      </x:c>
      <x:c r="G3936" s="30" t="n">
        <x:v>-30.28</x:v>
      </x:c>
      <x:c r="H3936" s="30" t="n">
        <x:v>-71.56</x:v>
      </x:c>
      <x:c r="I3936" s="29" t="n">
        <x:v>47</x:v>
      </x:c>
      <x:c r="J3936" s="31" t="n">
        <x:v>4.9</x:v>
      </x:c>
      <x:c r="K3936" s="25" t="str">
        <x:f>IF(J3936&gt;=7,"Muy fuerte (&gt;=7)",IF(J3936&gt;=6,"Fuerte (6-6.9)",IF(J3936&gt;=5,"Moderado alto (5-5.9)",IF(J3936&gt;=4,"Moderado (4-4.9)","Menor a 4"))))</x:f>
        <x:v>Moderado (4-4.9)</x:v>
      </x:c>
      <x:c r="L3936" s="25" t="str">
        <x:f>IF(I3936&lt;70,"Superficial (&lt;70 km)",IF(I3936&lt;=300,"Intermedio (70-300 km)","Profundo (&gt;300 km)"))</x:f>
        <x:v>Superficial (&lt;70 km)</x:v>
      </x:c>
      <x:c r="M3936" s="25" t="str">
        <x:f>IF(J3936&gt;=5,"Sí","No")</x:f>
        <x:v>No</x:v>
      </x:c>
      <x:c r="N3936" s="25" t="str">
        <x:f>IF(J3936&gt;=6,"Sí","No")</x:f>
        <x:v>No</x:v>
      </x:c>
      <x:c r="O3936" s="25" t="str">
        <x:v>Pendiente: asignar con R/sf</x:v>
      </x:c>
    </x:row>
    <x:row r="3937">
      <x:c r="A3937" s="25" t="n">
        <x:v>3936</x:v>
      </x:c>
      <x:c r="B3937" s="26" t="n">
        <x:v>43347.79675925926</x:v>
      </x:c>
      <x:c r="C3937" s="27" t="n">
        <x:f>INT(B3937)</x:f>
        <x:v>43347</x:v>
      </x:c>
      <x:c r="D3937" s="28" t="n">
        <x:f>MOD(B3937,1)</x:f>
        <x:v>0.7967592592613073</x:v>
      </x:c>
      <x:c r="E3937" s="29" t="n">
        <x:f>YEAR(B3937)</x:f>
        <x:v>2018</x:v>
      </x:c>
      <x:c r="F3937" s="29" t="n">
        <x:f>MONTH(B3937)</x:f>
        <x:v>9</x:v>
      </x:c>
      <x:c r="G3937" s="30" t="n">
        <x:v>-29.36</x:v>
      </x:c>
      <x:c r="H3937" s="30" t="n">
        <x:v>-71.22</x:v>
      </x:c>
      <x:c r="I3937" s="29" t="n">
        <x:v>32</x:v>
      </x:c>
      <x:c r="J3937" s="31" t="n">
        <x:v>3.1</x:v>
      </x:c>
      <x:c r="K3937" s="25" t="str">
        <x:f>IF(J3937&gt;=7,"Muy fuerte (&gt;=7)",IF(J3937&gt;=6,"Fuerte (6-6.9)",IF(J3937&gt;=5,"Moderado alto (5-5.9)",IF(J3937&gt;=4,"Moderado (4-4.9)","Menor a 4"))))</x:f>
        <x:v>Menor a 4</x:v>
      </x:c>
      <x:c r="L3937" s="25" t="str">
        <x:f>IF(I3937&lt;70,"Superficial (&lt;70 km)",IF(I3937&lt;=300,"Intermedio (70-300 km)","Profundo (&gt;300 km)"))</x:f>
        <x:v>Superficial (&lt;70 km)</x:v>
      </x:c>
      <x:c r="M3937" s="25" t="str">
        <x:f>IF(J3937&gt;=5,"Sí","No")</x:f>
        <x:v>No</x:v>
      </x:c>
      <x:c r="N3937" s="25" t="str">
        <x:f>IF(J3937&gt;=6,"Sí","No")</x:f>
        <x:v>No</x:v>
      </x:c>
      <x:c r="O3937" s="25" t="str">
        <x:v>Pendiente: asignar con R/sf</x:v>
      </x:c>
    </x:row>
    <x:row r="3938">
      <x:c r="A3938" s="25" t="n">
        <x:v>3937</x:v>
      </x:c>
      <x:c r="B3938" s="26" t="n">
        <x:v>43858.215219907404</x:v>
      </x:c>
      <x:c r="C3938" s="27" t="n">
        <x:f>INT(B3938)</x:f>
        <x:v>43858</x:v>
      </x:c>
      <x:c r="D3938" s="28" t="n">
        <x:f>MOD(B3938,1)</x:f>
        <x:v>0.21521990740438923</x:v>
      </x:c>
      <x:c r="E3938" s="29" t="n">
        <x:f>YEAR(B3938)</x:f>
        <x:v>2020</x:v>
      </x:c>
      <x:c r="F3938" s="29" t="n">
        <x:f>MONTH(B3938)</x:f>
        <x:v>1</x:v>
      </x:c>
      <x:c r="G3938" s="30" t="n">
        <x:v>-31.74</x:v>
      </x:c>
      <x:c r="H3938" s="30" t="n">
        <x:v>-71.38</x:v>
      </x:c>
      <x:c r="I3938" s="29" t="n">
        <x:v>46</x:v>
      </x:c>
      <x:c r="J3938" s="31" t="n">
        <x:v>4</x:v>
      </x:c>
      <x:c r="K3938" s="25" t="str">
        <x:f>IF(J3938&gt;=7,"Muy fuerte (&gt;=7)",IF(J3938&gt;=6,"Fuerte (6-6.9)",IF(J3938&gt;=5,"Moderado alto (5-5.9)",IF(J3938&gt;=4,"Moderado (4-4.9)","Menor a 4"))))</x:f>
        <x:v>Moderado (4-4.9)</x:v>
      </x:c>
      <x:c r="L3938" s="25" t="str">
        <x:f>IF(I3938&lt;70,"Superficial (&lt;70 km)",IF(I3938&lt;=300,"Intermedio (70-300 km)","Profundo (&gt;300 km)"))</x:f>
        <x:v>Superficial (&lt;70 km)</x:v>
      </x:c>
      <x:c r="M3938" s="25" t="str">
        <x:f>IF(J3938&gt;=5,"Sí","No")</x:f>
        <x:v>No</x:v>
      </x:c>
      <x:c r="N3938" s="25" t="str">
        <x:f>IF(J3938&gt;=6,"Sí","No")</x:f>
        <x:v>No</x:v>
      </x:c>
      <x:c r="O3938" s="25" t="str">
        <x:v>Pendiente: asignar con R/sf</x:v>
      </x:c>
    </x:row>
    <x:row r="3939">
      <x:c r="A3939" s="25" t="n">
        <x:v>3938</x:v>
      </x:c>
      <x:c r="B3939" s="26" t="n">
        <x:v>43591.27263888889</x:v>
      </x:c>
      <x:c r="C3939" s="27" t="n">
        <x:f>INT(B3939)</x:f>
        <x:v>43591</x:v>
      </x:c>
      <x:c r="D3939" s="28" t="n">
        <x:f>MOD(B3939,1)</x:f>
        <x:v>0.2726388888913789</x:v>
      </x:c>
      <x:c r="E3939" s="29" t="n">
        <x:f>YEAR(B3939)</x:f>
        <x:v>2019</x:v>
      </x:c>
      <x:c r="F3939" s="29" t="n">
        <x:f>MONTH(B3939)</x:f>
        <x:v>5</x:v>
      </x:c>
      <x:c r="G3939" s="30" t="n">
        <x:v>-30.71</x:v>
      </x:c>
      <x:c r="H3939" s="30" t="n">
        <x:v>-71.39</x:v>
      </x:c>
      <x:c r="I3939" s="29" t="n">
        <x:v>54</x:v>
      </x:c>
      <x:c r="J3939" s="31" t="n">
        <x:v>3.6</x:v>
      </x:c>
      <x:c r="K3939" s="25" t="str">
        <x:f>IF(J3939&gt;=7,"Muy fuerte (&gt;=7)",IF(J3939&gt;=6,"Fuerte (6-6.9)",IF(J3939&gt;=5,"Moderado alto (5-5.9)",IF(J3939&gt;=4,"Moderado (4-4.9)","Menor a 4"))))</x:f>
        <x:v>Menor a 4</x:v>
      </x:c>
      <x:c r="L3939" s="25" t="str">
        <x:f>IF(I3939&lt;70,"Superficial (&lt;70 km)",IF(I3939&lt;=300,"Intermedio (70-300 km)","Profundo (&gt;300 km)"))</x:f>
        <x:v>Superficial (&lt;70 km)</x:v>
      </x:c>
      <x:c r="M3939" s="25" t="str">
        <x:f>IF(J3939&gt;=5,"Sí","No")</x:f>
        <x:v>No</x:v>
      </x:c>
      <x:c r="N3939" s="25" t="str">
        <x:f>IF(J3939&gt;=6,"Sí","No")</x:f>
        <x:v>No</x:v>
      </x:c>
      <x:c r="O3939" s="25" t="str">
        <x:v>Pendiente: asignar con R/sf</x:v>
      </x:c>
    </x:row>
    <x:row r="3940">
      <x:c r="A3940" s="25" t="n">
        <x:v>3939</x:v>
      </x:c>
      <x:c r="B3940" s="26" t="n">
        <x:v>43533.64052083333</x:v>
      </x:c>
      <x:c r="C3940" s="27" t="n">
        <x:f>INT(B3940)</x:f>
        <x:v>43533</x:v>
      </x:c>
      <x:c r="D3940" s="28" t="n">
        <x:f>MOD(B3940,1)</x:f>
        <x:v>0.640520833330811</x:v>
      </x:c>
      <x:c r="E3940" s="29" t="n">
        <x:f>YEAR(B3940)</x:f>
        <x:v>2019</x:v>
      </x:c>
      <x:c r="F3940" s="29" t="n">
        <x:f>MONTH(B3940)</x:f>
        <x:v>3</x:v>
      </x:c>
      <x:c r="G3940" s="30" t="n">
        <x:v>-30.7</x:v>
      </x:c>
      <x:c r="H3940" s="30" t="n">
        <x:v>-71.36</x:v>
      </x:c>
      <x:c r="I3940" s="29" t="n">
        <x:v>54</x:v>
      </x:c>
      <x:c r="J3940" s="31" t="n">
        <x:v>4.3</x:v>
      </x:c>
      <x:c r="K3940" s="25" t="str">
        <x:f>IF(J3940&gt;=7,"Muy fuerte (&gt;=7)",IF(J3940&gt;=6,"Fuerte (6-6.9)",IF(J3940&gt;=5,"Moderado alto (5-5.9)",IF(J3940&gt;=4,"Moderado (4-4.9)","Menor a 4"))))</x:f>
        <x:v>Moderado (4-4.9)</x:v>
      </x:c>
      <x:c r="L3940" s="25" t="str">
        <x:f>IF(I3940&lt;70,"Superficial (&lt;70 km)",IF(I3940&lt;=300,"Intermedio (70-300 km)","Profundo (&gt;300 km)"))</x:f>
        <x:v>Superficial (&lt;70 km)</x:v>
      </x:c>
      <x:c r="M3940" s="25" t="str">
        <x:f>IF(J3940&gt;=5,"Sí","No")</x:f>
        <x:v>No</x:v>
      </x:c>
      <x:c r="N3940" s="25" t="str">
        <x:f>IF(J3940&gt;=6,"Sí","No")</x:f>
        <x:v>No</x:v>
      </x:c>
      <x:c r="O3940" s="25" t="str">
        <x:v>Pendiente: asignar con R/sf</x:v>
      </x:c>
    </x:row>
    <x:row r="3941">
      <x:c r="A3941" s="25" t="n">
        <x:v>3940</x:v>
      </x:c>
      <x:c r="B3941" s="26" t="n">
        <x:v>43848.786261574074</x:v>
      </x:c>
      <x:c r="C3941" s="27" t="n">
        <x:f>INT(B3941)</x:f>
        <x:v>43848</x:v>
      </x:c>
      <x:c r="D3941" s="28" t="n">
        <x:f>MOD(B3941,1)</x:f>
        <x:v>0.7862615740741603</x:v>
      </x:c>
      <x:c r="E3941" s="29" t="n">
        <x:f>YEAR(B3941)</x:f>
        <x:v>2020</x:v>
      </x:c>
      <x:c r="F3941" s="29" t="n">
        <x:f>MONTH(B3941)</x:f>
        <x:v>1</x:v>
      </x:c>
      <x:c r="G3941" s="30" t="n">
        <x:v>-29.33</x:v>
      </x:c>
      <x:c r="H3941" s="30" t="n">
        <x:v>-71.33</x:v>
      </x:c>
      <x:c r="I3941" s="29" t="n">
        <x:v>56</x:v>
      </x:c>
      <x:c r="J3941" s="31" t="n">
        <x:v>3.7</x:v>
      </x:c>
      <x:c r="K3941" s="25" t="str">
        <x:f>IF(J3941&gt;=7,"Muy fuerte (&gt;=7)",IF(J3941&gt;=6,"Fuerte (6-6.9)",IF(J3941&gt;=5,"Moderado alto (5-5.9)",IF(J3941&gt;=4,"Moderado (4-4.9)","Menor a 4"))))</x:f>
        <x:v>Menor a 4</x:v>
      </x:c>
      <x:c r="L3941" s="25" t="str">
        <x:f>IF(I3941&lt;70,"Superficial (&lt;70 km)",IF(I3941&lt;=300,"Intermedio (70-300 km)","Profundo (&gt;300 km)"))</x:f>
        <x:v>Superficial (&lt;70 km)</x:v>
      </x:c>
      <x:c r="M3941" s="25" t="str">
        <x:f>IF(J3941&gt;=5,"Sí","No")</x:f>
        <x:v>No</x:v>
      </x:c>
      <x:c r="N3941" s="25" t="str">
        <x:f>IF(J3941&gt;=6,"Sí","No")</x:f>
        <x:v>No</x:v>
      </x:c>
      <x:c r="O3941" s="25" t="str">
        <x:v>Pendiente: asignar con R/sf</x:v>
      </x:c>
    </x:row>
    <x:row r="3942">
      <x:c r="A3942" s="25" t="n">
        <x:v>3941</x:v>
      </x:c>
      <x:c r="B3942" s="26" t="n">
        <x:v>43639.83261574074</x:v>
      </x:c>
      <x:c r="C3942" s="27" t="n">
        <x:f>INT(B3942)</x:f>
        <x:v>43639</x:v>
      </x:c>
      <x:c r="D3942" s="28" t="n">
        <x:f>MOD(B3942,1)</x:f>
        <x:v>0.8326157407427672</x:v>
      </x:c>
      <x:c r="E3942" s="29" t="n">
        <x:f>YEAR(B3942)</x:f>
        <x:v>2019</x:v>
      </x:c>
      <x:c r="F3942" s="29" t="n">
        <x:f>MONTH(B3942)</x:f>
        <x:v>6</x:v>
      </x:c>
      <x:c r="G3942" s="30" t="n">
        <x:v>-29.27</x:v>
      </x:c>
      <x:c r="H3942" s="30" t="n">
        <x:v>-71.26</x:v>
      </x:c>
      <x:c r="I3942" s="29" t="n">
        <x:v>47</x:v>
      </x:c>
      <x:c r="J3942" s="31" t="n">
        <x:v>3.6</x:v>
      </x:c>
      <x:c r="K3942" s="25" t="str">
        <x:f>IF(J3942&gt;=7,"Muy fuerte (&gt;=7)",IF(J3942&gt;=6,"Fuerte (6-6.9)",IF(J3942&gt;=5,"Moderado alto (5-5.9)",IF(J3942&gt;=4,"Moderado (4-4.9)","Menor a 4"))))</x:f>
        <x:v>Menor a 4</x:v>
      </x:c>
      <x:c r="L3942" s="25" t="str">
        <x:f>IF(I3942&lt;70,"Superficial (&lt;70 km)",IF(I3942&lt;=300,"Intermedio (70-300 km)","Profundo (&gt;300 km)"))</x:f>
        <x:v>Superficial (&lt;70 km)</x:v>
      </x:c>
      <x:c r="M3942" s="25" t="str">
        <x:f>IF(J3942&gt;=5,"Sí","No")</x:f>
        <x:v>No</x:v>
      </x:c>
      <x:c r="N3942" s="25" t="str">
        <x:f>IF(J3942&gt;=6,"Sí","No")</x:f>
        <x:v>No</x:v>
      </x:c>
      <x:c r="O3942" s="25" t="str">
        <x:v>Pendiente: asignar con R/sf</x:v>
      </x:c>
    </x:row>
    <x:row r="3943">
      <x:c r="A3943" s="25" t="n">
        <x:v>3942</x:v>
      </x:c>
      <x:c r="B3943" s="26" t="n">
        <x:v>43451.81890046296</x:v>
      </x:c>
      <x:c r="C3943" s="27" t="n">
        <x:f>INT(B3943)</x:f>
        <x:v>43451</x:v>
      </x:c>
      <x:c r="D3943" s="28" t="n">
        <x:f>MOD(B3943,1)</x:f>
        <x:v>0.8189004629603005</x:v>
      </x:c>
      <x:c r="E3943" s="29" t="n">
        <x:f>YEAR(B3943)</x:f>
        <x:v>2018</x:v>
      </x:c>
      <x:c r="F3943" s="29" t="n">
        <x:f>MONTH(B3943)</x:f>
        <x:v>12</x:v>
      </x:c>
      <x:c r="G3943" s="30" t="n">
        <x:v>-29.6</x:v>
      </x:c>
      <x:c r="H3943" s="30" t="n">
        <x:v>-71.27</x:v>
      </x:c>
      <x:c r="I3943" s="29" t="n">
        <x:v>52</x:v>
      </x:c>
      <x:c r="J3943" s="31" t="n">
        <x:v>3.6</x:v>
      </x:c>
      <x:c r="K3943" s="25" t="str">
        <x:f>IF(J3943&gt;=7,"Muy fuerte (&gt;=7)",IF(J3943&gt;=6,"Fuerte (6-6.9)",IF(J3943&gt;=5,"Moderado alto (5-5.9)",IF(J3943&gt;=4,"Moderado (4-4.9)","Menor a 4"))))</x:f>
        <x:v>Menor a 4</x:v>
      </x:c>
      <x:c r="L3943" s="25" t="str">
        <x:f>IF(I3943&lt;70,"Superficial (&lt;70 km)",IF(I3943&lt;=300,"Intermedio (70-300 km)","Profundo (&gt;300 km)"))</x:f>
        <x:v>Superficial (&lt;70 km)</x:v>
      </x:c>
      <x:c r="M3943" s="25" t="str">
        <x:f>IF(J3943&gt;=5,"Sí","No")</x:f>
        <x:v>No</x:v>
      </x:c>
      <x:c r="N3943" s="25" t="str">
        <x:f>IF(J3943&gt;=6,"Sí","No")</x:f>
        <x:v>No</x:v>
      </x:c>
      <x:c r="O3943" s="25" t="str">
        <x:v>Pendiente: asignar con R/sf</x:v>
      </x:c>
    </x:row>
    <x:row r="3944">
      <x:c r="A3944" s="25" t="n">
        <x:v>3943</x:v>
      </x:c>
      <x:c r="B3944" s="26" t="n">
        <x:v>43539.602743055555</x:v>
      </x:c>
      <x:c r="C3944" s="27" t="n">
        <x:f>INT(B3944)</x:f>
        <x:v>43539</x:v>
      </x:c>
      <x:c r="D3944" s="28" t="n">
        <x:f>MOD(B3944,1)</x:f>
        <x:v>0.6027430555550382</x:v>
      </x:c>
      <x:c r="E3944" s="29" t="n">
        <x:f>YEAR(B3944)</x:f>
        <x:v>2019</x:v>
      </x:c>
      <x:c r="F3944" s="29" t="n">
        <x:f>MONTH(B3944)</x:f>
        <x:v>3</x:v>
      </x:c>
      <x:c r="G3944" s="30" t="n">
        <x:v>-29.59</x:v>
      </x:c>
      <x:c r="H3944" s="30" t="n">
        <x:v>-71.15</x:v>
      </x:c>
      <x:c r="I3944" s="29" t="n">
        <x:v>55</x:v>
      </x:c>
      <x:c r="J3944" s="31" t="n">
        <x:v>3.7</x:v>
      </x:c>
      <x:c r="K3944" s="25" t="str">
        <x:f>IF(J3944&gt;=7,"Muy fuerte (&gt;=7)",IF(J3944&gt;=6,"Fuerte (6-6.9)",IF(J3944&gt;=5,"Moderado alto (5-5.9)",IF(J3944&gt;=4,"Moderado (4-4.9)","Menor a 4"))))</x:f>
        <x:v>Menor a 4</x:v>
      </x:c>
      <x:c r="L3944" s="25" t="str">
        <x:f>IF(I3944&lt;70,"Superficial (&lt;70 km)",IF(I3944&lt;=300,"Intermedio (70-300 km)","Profundo (&gt;300 km)"))</x:f>
        <x:v>Superficial (&lt;70 km)</x:v>
      </x:c>
      <x:c r="M3944" s="25" t="str">
        <x:f>IF(J3944&gt;=5,"Sí","No")</x:f>
        <x:v>No</x:v>
      </x:c>
      <x:c r="N3944" s="25" t="str">
        <x:f>IF(J3944&gt;=6,"Sí","No")</x:f>
        <x:v>No</x:v>
      </x:c>
      <x:c r="O3944" s="25" t="str">
        <x:v>Pendiente: asignar con R/sf</x:v>
      </x:c>
    </x:row>
    <x:row r="3945">
      <x:c r="A3945" s="25" t="n">
        <x:v>3944</x:v>
      </x:c>
      <x:c r="B3945" s="26" t="n">
        <x:v>43944.95747685185</x:v>
      </x:c>
      <x:c r="C3945" s="27" t="n">
        <x:f>INT(B3945)</x:f>
        <x:v>43944</x:v>
      </x:c>
      <x:c r="D3945" s="28" t="n">
        <x:f>MOD(B3945,1)</x:f>
        <x:v>0.9574768518505152</x:v>
      </x:c>
      <x:c r="E3945" s="29" t="n">
        <x:f>YEAR(B3945)</x:f>
        <x:v>2020</x:v>
      </x:c>
      <x:c r="F3945" s="29" t="n">
        <x:f>MONTH(B3945)</x:f>
        <x:v>4</x:v>
      </x:c>
      <x:c r="G3945" s="30" t="n">
        <x:v>-31.06</x:v>
      </x:c>
      <x:c r="H3945" s="30" t="n">
        <x:v>-71.42</x:v>
      </x:c>
      <x:c r="I3945" s="29" t="n">
        <x:v>63</x:v>
      </x:c>
      <x:c r="J3945" s="31" t="n">
        <x:v>4.1</x:v>
      </x:c>
      <x:c r="K3945" s="25" t="str">
        <x:f>IF(J3945&gt;=7,"Muy fuerte (&gt;=7)",IF(J3945&gt;=6,"Fuerte (6-6.9)",IF(J3945&gt;=5,"Moderado alto (5-5.9)",IF(J3945&gt;=4,"Moderado (4-4.9)","Menor a 4"))))</x:f>
        <x:v>Moderado (4-4.9)</x:v>
      </x:c>
      <x:c r="L3945" s="25" t="str">
        <x:f>IF(I3945&lt;70,"Superficial (&lt;70 km)",IF(I3945&lt;=300,"Intermedio (70-300 km)","Profundo (&gt;300 km)"))</x:f>
        <x:v>Superficial (&lt;70 km)</x:v>
      </x:c>
      <x:c r="M3945" s="25" t="str">
        <x:f>IF(J3945&gt;=5,"Sí","No")</x:f>
        <x:v>No</x:v>
      </x:c>
      <x:c r="N3945" s="25" t="str">
        <x:f>IF(J3945&gt;=6,"Sí","No")</x:f>
        <x:v>No</x:v>
      </x:c>
      <x:c r="O3945" s="25" t="str">
        <x:v>Pendiente: asignar con R/sf</x:v>
      </x:c>
    </x:row>
    <x:row r="3946">
      <x:c r="A3946" s="25" t="n">
        <x:v>3945</x:v>
      </x:c>
      <x:c r="B3946" s="26" t="n">
        <x:v>43421.7021875</x:v>
      </x:c>
      <x:c r="C3946" s="27" t="n">
        <x:f>INT(B3946)</x:f>
        <x:v>43421</x:v>
      </x:c>
      <x:c r="D3946" s="28" t="n">
        <x:f>MOD(B3946,1)</x:f>
        <x:v>0.7021874999991269</x:v>
      </x:c>
      <x:c r="E3946" s="29" t="n">
        <x:f>YEAR(B3946)</x:f>
        <x:v>2018</x:v>
      </x:c>
      <x:c r="F3946" s="29" t="n">
        <x:f>MONTH(B3946)</x:f>
        <x:v>11</x:v>
      </x:c>
      <x:c r="G3946" s="30" t="n">
        <x:v>-29.05</x:v>
      </x:c>
      <x:c r="H3946" s="30" t="n">
        <x:v>-71.27</x:v>
      </x:c>
      <x:c r="I3946" s="29" t="n">
        <x:v>56</x:v>
      </x:c>
      <x:c r="J3946" s="31" t="n">
        <x:v>3.8</x:v>
      </x:c>
      <x:c r="K3946" s="25" t="str">
        <x:f>IF(J3946&gt;=7,"Muy fuerte (&gt;=7)",IF(J3946&gt;=6,"Fuerte (6-6.9)",IF(J3946&gt;=5,"Moderado alto (5-5.9)",IF(J3946&gt;=4,"Moderado (4-4.9)","Menor a 4"))))</x:f>
        <x:v>Menor a 4</x:v>
      </x:c>
      <x:c r="L3946" s="25" t="str">
        <x:f>IF(I3946&lt;70,"Superficial (&lt;70 km)",IF(I3946&lt;=300,"Intermedio (70-300 km)","Profundo (&gt;300 km)"))</x:f>
        <x:v>Superficial (&lt;70 km)</x:v>
      </x:c>
      <x:c r="M3946" s="25" t="str">
        <x:f>IF(J3946&gt;=5,"Sí","No")</x:f>
        <x:v>No</x:v>
      </x:c>
      <x:c r="N3946" s="25" t="str">
        <x:f>IF(J3946&gt;=6,"Sí","No")</x:f>
        <x:v>No</x:v>
      </x:c>
      <x:c r="O3946" s="25" t="str">
        <x:v>Pendiente: asignar con R/sf</x:v>
      </x:c>
    </x:row>
    <x:row r="3947">
      <x:c r="A3947" s="25" t="n">
        <x:v>3946</x:v>
      </x:c>
      <x:c r="B3947" s="26" t="n">
        <x:v>44029.23652777778</x:v>
      </x:c>
      <x:c r="C3947" s="27" t="n">
        <x:f>INT(B3947)</x:f>
        <x:v>44029</x:v>
      </x:c>
      <x:c r="D3947" s="28" t="n">
        <x:f>MOD(B3947,1)</x:f>
        <x:v>0.23652777777897427</x:v>
      </x:c>
      <x:c r="E3947" s="29" t="n">
        <x:f>YEAR(B3947)</x:f>
        <x:v>2020</x:v>
      </x:c>
      <x:c r="F3947" s="29" t="n">
        <x:f>MONTH(B3947)</x:f>
        <x:v>7</x:v>
      </x:c>
      <x:c r="G3947" s="30" t="n">
        <x:v>-20.24</x:v>
      </x:c>
      <x:c r="H3947" s="30" t="n">
        <x:v>-70.08</x:v>
      </x:c>
      <x:c r="I3947" s="29" t="n">
        <x:v>76</x:v>
      </x:c>
      <x:c r="J3947" s="31" t="n">
        <x:v>5.7</x:v>
      </x:c>
      <x:c r="K3947" s="25" t="str">
        <x:f>IF(J3947&gt;=7,"Muy fuerte (&gt;=7)",IF(J3947&gt;=6,"Fuerte (6-6.9)",IF(J3947&gt;=5,"Moderado alto (5-5.9)",IF(J3947&gt;=4,"Moderado (4-4.9)","Menor a 4"))))</x:f>
        <x:v>Moderado alto (5-5.9)</x:v>
      </x:c>
      <x:c r="L3947" s="25" t="str">
        <x:f>IF(I3947&lt;70,"Superficial (&lt;70 km)",IF(I3947&lt;=300,"Intermedio (70-300 km)","Profundo (&gt;300 km)"))</x:f>
        <x:v>Intermedio (70-300 km)</x:v>
      </x:c>
      <x:c r="M3947" s="25" t="str">
        <x:f>IF(J3947&gt;=5,"Sí","No")</x:f>
        <x:v>Sí</x:v>
      </x:c>
      <x:c r="N3947" s="25" t="str">
        <x:f>IF(J3947&gt;=6,"Sí","No")</x:f>
        <x:v>No</x:v>
      </x:c>
      <x:c r="O3947" s="25" t="str">
        <x:v>Pendiente: asignar con R/sf</x:v>
      </x:c>
    </x:row>
    <x:row r="3948">
      <x:c r="A3948" s="25" t="n">
        <x:v>3947</x:v>
      </x:c>
      <x:c r="B3948" s="26" t="n">
        <x:v>43952.60471064815</x:v>
      </x:c>
      <x:c r="C3948" s="27" t="n">
        <x:f>INT(B3948)</x:f>
        <x:v>43952</x:v>
      </x:c>
      <x:c r="D3948" s="28" t="n">
        <x:f>MOD(B3948,1)</x:f>
        <x:v>0.6047106481491937</x:v>
      </x:c>
      <x:c r="E3948" s="29" t="n">
        <x:f>YEAR(B3948)</x:f>
        <x:v>2020</x:v>
      </x:c>
      <x:c r="F3948" s="29" t="n">
        <x:f>MONTH(B3948)</x:f>
        <x:v>5</x:v>
      </x:c>
      <x:c r="G3948" s="30" t="n">
        <x:v>-30.66</x:v>
      </x:c>
      <x:c r="H3948" s="30" t="n">
        <x:v>-71.31</x:v>
      </x:c>
      <x:c r="I3948" s="29" t="n">
        <x:v>54</x:v>
      </x:c>
      <x:c r="J3948" s="31" t="n">
        <x:v>4.3</x:v>
      </x:c>
      <x:c r="K3948" s="25" t="str">
        <x:f>IF(J3948&gt;=7,"Muy fuerte (&gt;=7)",IF(J3948&gt;=6,"Fuerte (6-6.9)",IF(J3948&gt;=5,"Moderado alto (5-5.9)",IF(J3948&gt;=4,"Moderado (4-4.9)","Menor a 4"))))</x:f>
        <x:v>Moderado (4-4.9)</x:v>
      </x:c>
      <x:c r="L3948" s="25" t="str">
        <x:f>IF(I3948&lt;70,"Superficial (&lt;70 km)",IF(I3948&lt;=300,"Intermedio (70-300 km)","Profundo (&gt;300 km)"))</x:f>
        <x:v>Superficial (&lt;70 km)</x:v>
      </x:c>
      <x:c r="M3948" s="25" t="str">
        <x:f>IF(J3948&gt;=5,"Sí","No")</x:f>
        <x:v>No</x:v>
      </x:c>
      <x:c r="N3948" s="25" t="str">
        <x:f>IF(J3948&gt;=6,"Sí","No")</x:f>
        <x:v>No</x:v>
      </x:c>
      <x:c r="O3948" s="25" t="str">
        <x:v>Pendiente: asignar con R/sf</x:v>
      </x:c>
    </x:row>
    <x:row r="3949">
      <x:c r="A3949" s="25" t="n">
        <x:v>3948</x:v>
      </x:c>
      <x:c r="B3949" s="26" t="n">
        <x:v>43537.907060185185</x:v>
      </x:c>
      <x:c r="C3949" s="27" t="n">
        <x:f>INT(B3949)</x:f>
        <x:v>43537</x:v>
      </x:c>
      <x:c r="D3949" s="28" t="n">
        <x:f>MOD(B3949,1)</x:f>
        <x:v>0.9070601851854008</x:v>
      </x:c>
      <x:c r="E3949" s="29" t="n">
        <x:f>YEAR(B3949)</x:f>
        <x:v>2019</x:v>
      </x:c>
      <x:c r="F3949" s="29" t="n">
        <x:f>MONTH(B3949)</x:f>
        <x:v>3</x:v>
      </x:c>
      <x:c r="G3949" s="30" t="n">
        <x:v>-30.71</x:v>
      </x:c>
      <x:c r="H3949" s="30" t="n">
        <x:v>-71.41</x:v>
      </x:c>
      <x:c r="I3949" s="29" t="n">
        <x:v>42</x:v>
      </x:c>
      <x:c r="J3949" s="31" t="n">
        <x:v>4.1</x:v>
      </x:c>
      <x:c r="K3949" s="25" t="str">
        <x:f>IF(J3949&gt;=7,"Muy fuerte (&gt;=7)",IF(J3949&gt;=6,"Fuerte (6-6.9)",IF(J3949&gt;=5,"Moderado alto (5-5.9)",IF(J3949&gt;=4,"Moderado (4-4.9)","Menor a 4"))))</x:f>
        <x:v>Moderado (4-4.9)</x:v>
      </x:c>
      <x:c r="L3949" s="25" t="str">
        <x:f>IF(I3949&lt;70,"Superficial (&lt;70 km)",IF(I3949&lt;=300,"Intermedio (70-300 km)","Profundo (&gt;300 km)"))</x:f>
        <x:v>Superficial (&lt;70 km)</x:v>
      </x:c>
      <x:c r="M3949" s="25" t="str">
        <x:f>IF(J3949&gt;=5,"Sí","No")</x:f>
        <x:v>No</x:v>
      </x:c>
      <x:c r="N3949" s="25" t="str">
        <x:f>IF(J3949&gt;=6,"Sí","No")</x:f>
        <x:v>No</x:v>
      </x:c>
      <x:c r="O3949" s="25" t="str">
        <x:v>Pendiente: asignar con R/sf</x:v>
      </x:c>
    </x:row>
    <x:row r="3950">
      <x:c r="A3950" s="25" t="n">
        <x:v>3949</x:v>
      </x:c>
      <x:c r="B3950" s="26" t="n">
        <x:v>43596.129108796296</x:v>
      </x:c>
      <x:c r="C3950" s="27" t="n">
        <x:f>INT(B3950)</x:f>
        <x:v>43596</x:v>
      </x:c>
      <x:c r="D3950" s="28" t="n">
        <x:f>MOD(B3950,1)</x:f>
        <x:v>0.1291087962963502</x:v>
      </x:c>
      <x:c r="E3950" s="29" t="n">
        <x:f>YEAR(B3950)</x:f>
        <x:v>2019</x:v>
      </x:c>
      <x:c r="F3950" s="29" t="n">
        <x:f>MONTH(B3950)</x:f>
        <x:v>5</x:v>
      </x:c>
      <x:c r="G3950" s="30" t="n">
        <x:v>-30.74</x:v>
      </x:c>
      <x:c r="H3950" s="30" t="n">
        <x:v>-71.35</x:v>
      </x:c>
      <x:c r="I3950" s="29" t="n">
        <x:v>37</x:v>
      </x:c>
      <x:c r="J3950" s="31" t="n">
        <x:v>3.6</x:v>
      </x:c>
      <x:c r="K3950" s="25" t="str">
        <x:f>IF(J3950&gt;=7,"Muy fuerte (&gt;=7)",IF(J3950&gt;=6,"Fuerte (6-6.9)",IF(J3950&gt;=5,"Moderado alto (5-5.9)",IF(J3950&gt;=4,"Moderado (4-4.9)","Menor a 4"))))</x:f>
        <x:v>Menor a 4</x:v>
      </x:c>
      <x:c r="L3950" s="25" t="str">
        <x:f>IF(I3950&lt;70,"Superficial (&lt;70 km)",IF(I3950&lt;=300,"Intermedio (70-300 km)","Profundo (&gt;300 km)"))</x:f>
        <x:v>Superficial (&lt;70 km)</x:v>
      </x:c>
      <x:c r="M3950" s="25" t="str">
        <x:f>IF(J3950&gt;=5,"Sí","No")</x:f>
        <x:v>No</x:v>
      </x:c>
      <x:c r="N3950" s="25" t="str">
        <x:f>IF(J3950&gt;=6,"Sí","No")</x:f>
        <x:v>No</x:v>
      </x:c>
      <x:c r="O3950" s="25" t="str">
        <x:v>Pendiente: asignar con R/sf</x:v>
      </x:c>
    </x:row>
    <x:row r="3951">
      <x:c r="A3951" s="25" t="n">
        <x:v>3950</x:v>
      </x:c>
      <x:c r="B3951" s="26" t="n">
        <x:v>43956.85091435185</x:v>
      </x:c>
      <x:c r="C3951" s="27" t="n">
        <x:f>INT(B3951)</x:f>
        <x:v>43956</x:v>
      </x:c>
      <x:c r="D3951" s="28" t="n">
        <x:f>MOD(B3951,1)</x:f>
        <x:v>0.8509143518531346</x:v>
      </x:c>
      <x:c r="E3951" s="29" t="n">
        <x:f>YEAR(B3951)</x:f>
        <x:v>2020</x:v>
      </x:c>
      <x:c r="F3951" s="29" t="n">
        <x:f>MONTH(B3951)</x:f>
        <x:v>5</x:v>
      </x:c>
      <x:c r="G3951" s="30" t="n">
        <x:v>-30.65</x:v>
      </x:c>
      <x:c r="H3951" s="30" t="n">
        <x:v>-71.68</x:v>
      </x:c>
      <x:c r="I3951" s="29" t="n">
        <x:v>36</x:v>
      </x:c>
      <x:c r="J3951" s="31" t="n">
        <x:v>4.7</x:v>
      </x:c>
      <x:c r="K3951" s="25" t="str">
        <x:f>IF(J3951&gt;=7,"Muy fuerte (&gt;=7)",IF(J3951&gt;=6,"Fuerte (6-6.9)",IF(J3951&gt;=5,"Moderado alto (5-5.9)",IF(J3951&gt;=4,"Moderado (4-4.9)","Menor a 4"))))</x:f>
        <x:v>Moderado (4-4.9)</x:v>
      </x:c>
      <x:c r="L3951" s="25" t="str">
        <x:f>IF(I3951&lt;70,"Superficial (&lt;70 km)",IF(I3951&lt;=300,"Intermedio (70-300 km)","Profundo (&gt;300 km)"))</x:f>
        <x:v>Superficial (&lt;70 km)</x:v>
      </x:c>
      <x:c r="M3951" s="25" t="str">
        <x:f>IF(J3951&gt;=5,"Sí","No")</x:f>
        <x:v>No</x:v>
      </x:c>
      <x:c r="N3951" s="25" t="str">
        <x:f>IF(J3951&gt;=6,"Sí","No")</x:f>
        <x:v>No</x:v>
      </x:c>
      <x:c r="O3951" s="25" t="str">
        <x:v>Pendiente: asignar con R/sf</x:v>
      </x:c>
    </x:row>
    <x:row r="3952">
      <x:c r="A3952" s="25" t="n">
        <x:v>3951</x:v>
      </x:c>
      <x:c r="B3952" s="26" t="n">
        <x:v>43601.022372685184</x:v>
      </x:c>
      <x:c r="C3952" s="27" t="n">
        <x:f>INT(B3952)</x:f>
        <x:v>43601</x:v>
      </x:c>
      <x:c r="D3952" s="28" t="n">
        <x:f>MOD(B3952,1)</x:f>
        <x:v>0.02237268518365454</x:v>
      </x:c>
      <x:c r="E3952" s="29" t="n">
        <x:f>YEAR(B3952)</x:f>
        <x:v>2019</x:v>
      </x:c>
      <x:c r="F3952" s="29" t="n">
        <x:f>MONTH(B3952)</x:f>
        <x:v>5</x:v>
      </x:c>
      <x:c r="G3952" s="30" t="n">
        <x:v>-31.5</x:v>
      </x:c>
      <x:c r="H3952" s="30" t="n">
        <x:v>-69.7</x:v>
      </x:c>
      <x:c r="I3952" s="29" t="n">
        <x:v>139</x:v>
      </x:c>
      <x:c r="J3952" s="31" t="n">
        <x:v>5</x:v>
      </x:c>
      <x:c r="K3952" s="25" t="str">
        <x:f>IF(J3952&gt;=7,"Muy fuerte (&gt;=7)",IF(J3952&gt;=6,"Fuerte (6-6.9)",IF(J3952&gt;=5,"Moderado alto (5-5.9)",IF(J3952&gt;=4,"Moderado (4-4.9)","Menor a 4"))))</x:f>
        <x:v>Moderado alto (5-5.9)</x:v>
      </x:c>
      <x:c r="L3952" s="25" t="str">
        <x:f>IF(I3952&lt;70,"Superficial (&lt;70 km)",IF(I3952&lt;=300,"Intermedio (70-300 km)","Profundo (&gt;300 km)"))</x:f>
        <x:v>Intermedio (70-300 km)</x:v>
      </x:c>
      <x:c r="M3952" s="25" t="str">
        <x:f>IF(J3952&gt;=5,"Sí","No")</x:f>
        <x:v>Sí</x:v>
      </x:c>
      <x:c r="N3952" s="25" t="str">
        <x:f>IF(J3952&gt;=6,"Sí","No")</x:f>
        <x:v>No</x:v>
      </x:c>
      <x:c r="O3952" s="25" t="str">
        <x:v>Pendiente: asignar con R/sf</x:v>
      </x:c>
    </x:row>
    <x:row r="3953">
      <x:c r="A3953" s="25" t="n">
        <x:v>3952</x:v>
      </x:c>
      <x:c r="B3953" s="26" t="n">
        <x:v>43483.397523148145</x:v>
      </x:c>
      <x:c r="C3953" s="27" t="n">
        <x:f>INT(B3953)</x:f>
        <x:v>43483</x:v>
      </x:c>
      <x:c r="D3953" s="28" t="n">
        <x:f>MOD(B3953,1)</x:f>
        <x:v>0.39752314814541023</x:v>
      </x:c>
      <x:c r="E3953" s="29" t="n">
        <x:f>YEAR(B3953)</x:f>
        <x:v>2019</x:v>
      </x:c>
      <x:c r="F3953" s="29" t="n">
        <x:f>MONTH(B3953)</x:f>
        <x:v>1</x:v>
      </x:c>
      <x:c r="G3953" s="30" t="n">
        <x:v>-29.76</x:v>
      </x:c>
      <x:c r="H3953" s="30" t="n">
        <x:v>-70.77</x:v>
      </x:c>
      <x:c r="I3953" s="29" t="n">
        <x:v>55</x:v>
      </x:c>
      <x:c r="J3953" s="31" t="n">
        <x:v>3.5</x:v>
      </x:c>
      <x:c r="K3953" s="25" t="str">
        <x:f>IF(J3953&gt;=7,"Muy fuerte (&gt;=7)",IF(J3953&gt;=6,"Fuerte (6-6.9)",IF(J3953&gt;=5,"Moderado alto (5-5.9)",IF(J3953&gt;=4,"Moderado (4-4.9)","Menor a 4"))))</x:f>
        <x:v>Menor a 4</x:v>
      </x:c>
      <x:c r="L3953" s="25" t="str">
        <x:f>IF(I3953&lt;70,"Superficial (&lt;70 km)",IF(I3953&lt;=300,"Intermedio (70-300 km)","Profundo (&gt;300 km)"))</x:f>
        <x:v>Superficial (&lt;70 km)</x:v>
      </x:c>
      <x:c r="M3953" s="25" t="str">
        <x:f>IF(J3953&gt;=5,"Sí","No")</x:f>
        <x:v>No</x:v>
      </x:c>
      <x:c r="N3953" s="25" t="str">
        <x:f>IF(J3953&gt;=6,"Sí","No")</x:f>
        <x:v>No</x:v>
      </x:c>
      <x:c r="O3953" s="25" t="str">
        <x:v>Pendiente: asignar con R/sf</x:v>
      </x:c>
    </x:row>
    <x:row r="3954">
      <x:c r="A3954" s="25" t="n">
        <x:v>3953</x:v>
      </x:c>
      <x:c r="B3954" s="26" t="n">
        <x:v>43575.97482638889</x:v>
      </x:c>
      <x:c r="C3954" s="27" t="n">
        <x:f>INT(B3954)</x:f>
        <x:v>43575</x:v>
      </x:c>
      <x:c r="D3954" s="28" t="n">
        <x:f>MOD(B3954,1)</x:f>
        <x:v>0.9748263888905058</x:v>
      </x:c>
      <x:c r="E3954" s="29" t="n">
        <x:f>YEAR(B3954)</x:f>
        <x:v>2019</x:v>
      </x:c>
      <x:c r="F3954" s="29" t="n">
        <x:f>MONTH(B3954)</x:f>
        <x:v>4</x:v>
      </x:c>
      <x:c r="G3954" s="30" t="n">
        <x:v>-30.86</x:v>
      </x:c>
      <x:c r="H3954" s="30" t="n">
        <x:v>-71.29</x:v>
      </x:c>
      <x:c r="I3954" s="29" t="n">
        <x:v>44</x:v>
      </x:c>
      <x:c r="J3954" s="31" t="n">
        <x:v>4.3</x:v>
      </x:c>
      <x:c r="K3954" s="25" t="str">
        <x:f>IF(J3954&gt;=7,"Muy fuerte (&gt;=7)",IF(J3954&gt;=6,"Fuerte (6-6.9)",IF(J3954&gt;=5,"Moderado alto (5-5.9)",IF(J3954&gt;=4,"Moderado (4-4.9)","Menor a 4"))))</x:f>
        <x:v>Moderado (4-4.9)</x:v>
      </x:c>
      <x:c r="L3954" s="25" t="str">
        <x:f>IF(I3954&lt;70,"Superficial (&lt;70 km)",IF(I3954&lt;=300,"Intermedio (70-300 km)","Profundo (&gt;300 km)"))</x:f>
        <x:v>Superficial (&lt;70 km)</x:v>
      </x:c>
      <x:c r="M3954" s="25" t="str">
        <x:f>IF(J3954&gt;=5,"Sí","No")</x:f>
        <x:v>No</x:v>
      </x:c>
      <x:c r="N3954" s="25" t="str">
        <x:f>IF(J3954&gt;=6,"Sí","No")</x:f>
        <x:v>No</x:v>
      </x:c>
      <x:c r="O3954" s="25" t="str">
        <x:v>Pendiente: asignar con R/sf</x:v>
      </x:c>
    </x:row>
    <x:row r="3955">
      <x:c r="A3955" s="25" t="n">
        <x:v>3954</x:v>
      </x:c>
      <x:c r="B3955" s="26" t="n">
        <x:v>43794.26909722222</x:v>
      </x:c>
      <x:c r="C3955" s="27" t="n">
        <x:f>INT(B3955)</x:f>
        <x:v>43794</x:v>
      </x:c>
      <x:c r="D3955" s="28" t="n">
        <x:f>MOD(B3955,1)</x:f>
        <x:v>0.26909722221898846</x:v>
      </x:c>
      <x:c r="E3955" s="29" t="n">
        <x:f>YEAR(B3955)</x:f>
        <x:v>2019</x:v>
      </x:c>
      <x:c r="F3955" s="29" t="n">
        <x:f>MONTH(B3955)</x:f>
        <x:v>11</x:v>
      </x:c>
      <x:c r="G3955" s="30" t="n">
        <x:v>-30.79</x:v>
      </x:c>
      <x:c r="H3955" s="30" t="n">
        <x:v>-71.27</x:v>
      </x:c>
      <x:c r="I3955" s="29" t="n">
        <x:v>43</x:v>
      </x:c>
      <x:c r="J3955" s="31" t="n">
        <x:v>3.5</x:v>
      </x:c>
      <x:c r="K3955" s="25" t="str">
        <x:f>IF(J3955&gt;=7,"Muy fuerte (&gt;=7)",IF(J3955&gt;=6,"Fuerte (6-6.9)",IF(J3955&gt;=5,"Moderado alto (5-5.9)",IF(J3955&gt;=4,"Moderado (4-4.9)","Menor a 4"))))</x:f>
        <x:v>Menor a 4</x:v>
      </x:c>
      <x:c r="L3955" s="25" t="str">
        <x:f>IF(I3955&lt;70,"Superficial (&lt;70 km)",IF(I3955&lt;=300,"Intermedio (70-300 km)","Profundo (&gt;300 km)"))</x:f>
        <x:v>Superficial (&lt;70 km)</x:v>
      </x:c>
      <x:c r="M3955" s="25" t="str">
        <x:f>IF(J3955&gt;=5,"Sí","No")</x:f>
        <x:v>No</x:v>
      </x:c>
      <x:c r="N3955" s="25" t="str">
        <x:f>IF(J3955&gt;=6,"Sí","No")</x:f>
        <x:v>No</x:v>
      </x:c>
      <x:c r="O3955" s="25" t="str">
        <x:v>Pendiente: asignar con R/sf</x:v>
      </x:c>
    </x:row>
    <x:row r="3956">
      <x:c r="A3956" s="25" t="n">
        <x:v>3955</x:v>
      </x:c>
      <x:c r="B3956" s="26" t="n">
        <x:v>43646.243726851855</x:v>
      </x:c>
      <x:c r="C3956" s="27" t="n">
        <x:f>INT(B3956)</x:f>
        <x:v>43646</x:v>
      </x:c>
      <x:c r="D3956" s="28" t="n">
        <x:f>MOD(B3956,1)</x:f>
        <x:v>0.24372685185517184</x:v>
      </x:c>
      <x:c r="E3956" s="29" t="n">
        <x:f>YEAR(B3956)</x:f>
        <x:v>2019</x:v>
      </x:c>
      <x:c r="F3956" s="29" t="n">
        <x:f>MONTH(B3956)</x:f>
        <x:v>6</x:v>
      </x:c>
      <x:c r="G3956" s="30" t="n">
        <x:v>-31.55</x:v>
      </x:c>
      <x:c r="H3956" s="30" t="n">
        <x:v>-71.51</x:v>
      </x:c>
      <x:c r="I3956" s="29" t="n">
        <x:v>46</x:v>
      </x:c>
      <x:c r="J3956" s="31" t="n">
        <x:v>4.4</x:v>
      </x:c>
      <x:c r="K3956" s="25" t="str">
        <x:f>IF(J3956&gt;=7,"Muy fuerte (&gt;=7)",IF(J3956&gt;=6,"Fuerte (6-6.9)",IF(J3956&gt;=5,"Moderado alto (5-5.9)",IF(J3956&gt;=4,"Moderado (4-4.9)","Menor a 4"))))</x:f>
        <x:v>Moderado (4-4.9)</x:v>
      </x:c>
      <x:c r="L3956" s="25" t="str">
        <x:f>IF(I3956&lt;70,"Superficial (&lt;70 km)",IF(I3956&lt;=300,"Intermedio (70-300 km)","Profundo (&gt;300 km)"))</x:f>
        <x:v>Superficial (&lt;70 km)</x:v>
      </x:c>
      <x:c r="M3956" s="25" t="str">
        <x:f>IF(J3956&gt;=5,"Sí","No")</x:f>
        <x:v>No</x:v>
      </x:c>
      <x:c r="N3956" s="25" t="str">
        <x:f>IF(J3956&gt;=6,"Sí","No")</x:f>
        <x:v>No</x:v>
      </x:c>
      <x:c r="O3956" s="25" t="str">
        <x:v>Pendiente: asignar con R/sf</x:v>
      </x:c>
    </x:row>
    <x:row r="3957">
      <x:c r="A3957" s="25" t="n">
        <x:v>3956</x:v>
      </x:c>
      <x:c r="B3957" s="26" t="n">
        <x:v>44022.435844907406</x:v>
      </x:c>
      <x:c r="C3957" s="27" t="n">
        <x:f>INT(B3957)</x:f>
        <x:v>44022</x:v>
      </x:c>
      <x:c r="D3957" s="28" t="n">
        <x:f>MOD(B3957,1)</x:f>
        <x:v>0.43584490740613546</x:v>
      </x:c>
      <x:c r="E3957" s="29" t="n">
        <x:f>YEAR(B3957)</x:f>
        <x:v>2020</x:v>
      </x:c>
      <x:c r="F3957" s="29" t="n">
        <x:f>MONTH(B3957)</x:f>
        <x:v>7</x:v>
      </x:c>
      <x:c r="G3957" s="30" t="n">
        <x:v>-20.97</x:v>
      </x:c>
      <x:c r="H3957" s="30" t="n">
        <x:v>-69.31</x:v>
      </x:c>
      <x:c r="I3957" s="29" t="n">
        <x:v>60</x:v>
      </x:c>
      <x:c r="J3957" s="31" t="n">
        <x:v>4.1</x:v>
      </x:c>
      <x:c r="K3957" s="25" t="str">
        <x:f>IF(J3957&gt;=7,"Muy fuerte (&gt;=7)",IF(J3957&gt;=6,"Fuerte (6-6.9)",IF(J3957&gt;=5,"Moderado alto (5-5.9)",IF(J3957&gt;=4,"Moderado (4-4.9)","Menor a 4"))))</x:f>
        <x:v>Moderado (4-4.9)</x:v>
      </x:c>
      <x:c r="L3957" s="25" t="str">
        <x:f>IF(I3957&lt;70,"Superficial (&lt;70 km)",IF(I3957&lt;=300,"Intermedio (70-300 km)","Profundo (&gt;300 km)"))</x:f>
        <x:v>Superficial (&lt;70 km)</x:v>
      </x:c>
      <x:c r="M3957" s="25" t="str">
        <x:f>IF(J3957&gt;=5,"Sí","No")</x:f>
        <x:v>No</x:v>
      </x:c>
      <x:c r="N3957" s="25" t="str">
        <x:f>IF(J3957&gt;=6,"Sí","No")</x:f>
        <x:v>No</x:v>
      </x:c>
      <x:c r="O3957" s="25" t="str">
        <x:v>Pendiente: asignar con R/sf</x:v>
      </x:c>
    </x:row>
    <x:row r="3958">
      <x:c r="A3958" s="25" t="n">
        <x:v>3957</x:v>
      </x:c>
      <x:c r="B3958" s="26" t="n">
        <x:v>43412.315092592595</x:v>
      </x:c>
      <x:c r="C3958" s="27" t="n">
        <x:f>INT(B3958)</x:f>
        <x:v>43412</x:v>
      </x:c>
      <x:c r="D3958" s="28" t="n">
        <x:f>MOD(B3958,1)</x:f>
        <x:v>0.31509259259473765</x:v>
      </x:c>
      <x:c r="E3958" s="29" t="n">
        <x:f>YEAR(B3958)</x:f>
        <x:v>2018</x:v>
      </x:c>
      <x:c r="F3958" s="29" t="n">
        <x:f>MONTH(B3958)</x:f>
        <x:v>11</x:v>
      </x:c>
      <x:c r="G3958" s="30" t="n">
        <x:v>-29.43</x:v>
      </x:c>
      <x:c r="H3958" s="30" t="n">
        <x:v>-71.17</x:v>
      </x:c>
      <x:c r="I3958" s="29" t="n">
        <x:v>52</x:v>
      </x:c>
      <x:c r="J3958" s="31" t="n">
        <x:v>3.8</x:v>
      </x:c>
      <x:c r="K3958" s="25" t="str">
        <x:f>IF(J3958&gt;=7,"Muy fuerte (&gt;=7)",IF(J3958&gt;=6,"Fuerte (6-6.9)",IF(J3958&gt;=5,"Moderado alto (5-5.9)",IF(J3958&gt;=4,"Moderado (4-4.9)","Menor a 4"))))</x:f>
        <x:v>Menor a 4</x:v>
      </x:c>
      <x:c r="L3958" s="25" t="str">
        <x:f>IF(I3958&lt;70,"Superficial (&lt;70 km)",IF(I3958&lt;=300,"Intermedio (70-300 km)","Profundo (&gt;300 km)"))</x:f>
        <x:v>Superficial (&lt;70 km)</x:v>
      </x:c>
      <x:c r="M3958" s="25" t="str">
        <x:f>IF(J3958&gt;=5,"Sí","No")</x:f>
        <x:v>No</x:v>
      </x:c>
      <x:c r="N3958" s="25" t="str">
        <x:f>IF(J3958&gt;=6,"Sí","No")</x:f>
        <x:v>No</x:v>
      </x:c>
      <x:c r="O3958" s="25" t="str">
        <x:v>Pendiente: asignar con R/sf</x:v>
      </x:c>
    </x:row>
    <x:row r="3959">
      <x:c r="A3959" s="25" t="n">
        <x:v>3958</x:v>
      </x:c>
      <x:c r="B3959" s="26" t="n">
        <x:v>43914.28631944444</x:v>
      </x:c>
      <x:c r="C3959" s="27" t="n">
        <x:f>INT(B3959)</x:f>
        <x:v>43914</x:v>
      </x:c>
      <x:c r="D3959" s="28" t="n">
        <x:f>MOD(B3959,1)</x:f>
        <x:v>0.28631944444350665</x:v>
      </x:c>
      <x:c r="E3959" s="29" t="n">
        <x:f>YEAR(B3959)</x:f>
        <x:v>2020</x:v>
      </x:c>
      <x:c r="F3959" s="29" t="n">
        <x:f>MONTH(B3959)</x:f>
        <x:v>3</x:v>
      </x:c>
      <x:c r="G3959" s="30" t="n">
        <x:v>-30.63</x:v>
      </x:c>
      <x:c r="H3959" s="30" t="n">
        <x:v>-71.57</x:v>
      </x:c>
      <x:c r="I3959" s="29" t="n">
        <x:v>42</x:v>
      </x:c>
      <x:c r="J3959" s="31" t="n">
        <x:v>4.9</x:v>
      </x:c>
      <x:c r="K3959" s="25" t="str">
        <x:f>IF(J3959&gt;=7,"Muy fuerte (&gt;=7)",IF(J3959&gt;=6,"Fuerte (6-6.9)",IF(J3959&gt;=5,"Moderado alto (5-5.9)",IF(J3959&gt;=4,"Moderado (4-4.9)","Menor a 4"))))</x:f>
        <x:v>Moderado (4-4.9)</x:v>
      </x:c>
      <x:c r="L3959" s="25" t="str">
        <x:f>IF(I3959&lt;70,"Superficial (&lt;70 km)",IF(I3959&lt;=300,"Intermedio (70-300 km)","Profundo (&gt;300 km)"))</x:f>
        <x:v>Superficial (&lt;70 km)</x:v>
      </x:c>
      <x:c r="M3959" s="25" t="str">
        <x:f>IF(J3959&gt;=5,"Sí","No")</x:f>
        <x:v>No</x:v>
      </x:c>
      <x:c r="N3959" s="25" t="str">
        <x:f>IF(J3959&gt;=6,"Sí","No")</x:f>
        <x:v>No</x:v>
      </x:c>
      <x:c r="O3959" s="25" t="str">
        <x:v>Pendiente: asignar con R/sf</x:v>
      </x:c>
    </x:row>
    <x:row r="3960">
      <x:c r="A3960" s="25" t="n">
        <x:v>3959</x:v>
      </x:c>
      <x:c r="B3960" s="26" t="n">
        <x:v>43640.439780092594</x:v>
      </x:c>
      <x:c r="C3960" s="27" t="n">
        <x:f>INT(B3960)</x:f>
        <x:v>43640</x:v>
      </x:c>
      <x:c r="D3960" s="28" t="n">
        <x:f>MOD(B3960,1)</x:f>
        <x:v>0.4397800925944466</x:v>
      </x:c>
      <x:c r="E3960" s="29" t="n">
        <x:f>YEAR(B3960)</x:f>
        <x:v>2019</x:v>
      </x:c>
      <x:c r="F3960" s="29" t="n">
        <x:f>MONTH(B3960)</x:f>
        <x:v>6</x:v>
      </x:c>
      <x:c r="G3960" s="30" t="n">
        <x:v>-30.59</x:v>
      </x:c>
      <x:c r="H3960" s="30" t="n">
        <x:v>-71.6</x:v>
      </x:c>
      <x:c r="I3960" s="29" t="n">
        <x:v>32</x:v>
      </x:c>
      <x:c r="J3960" s="31" t="n">
        <x:v>4.5</x:v>
      </x:c>
      <x:c r="K3960" s="25" t="str">
        <x:f>IF(J3960&gt;=7,"Muy fuerte (&gt;=7)",IF(J3960&gt;=6,"Fuerte (6-6.9)",IF(J3960&gt;=5,"Moderado alto (5-5.9)",IF(J3960&gt;=4,"Moderado (4-4.9)","Menor a 4"))))</x:f>
        <x:v>Moderado (4-4.9)</x:v>
      </x:c>
      <x:c r="L3960" s="25" t="str">
        <x:f>IF(I3960&lt;70,"Superficial (&lt;70 km)",IF(I3960&lt;=300,"Intermedio (70-300 km)","Profundo (&gt;300 km)"))</x:f>
        <x:v>Superficial (&lt;70 km)</x:v>
      </x:c>
      <x:c r="M3960" s="25" t="str">
        <x:f>IF(J3960&gt;=5,"Sí","No")</x:f>
        <x:v>No</x:v>
      </x:c>
      <x:c r="N3960" s="25" t="str">
        <x:f>IF(J3960&gt;=6,"Sí","No")</x:f>
        <x:v>No</x:v>
      </x:c>
      <x:c r="O3960" s="25" t="str">
        <x:v>Pendiente: asignar con R/sf</x:v>
      </x:c>
    </x:row>
    <x:row r="3961">
      <x:c r="A3961" s="25" t="n">
        <x:v>3960</x:v>
      </x:c>
      <x:c r="B3961" s="26" t="n">
        <x:v>43658.39239583333</x:v>
      </x:c>
      <x:c r="C3961" s="27" t="n">
        <x:f>INT(B3961)</x:f>
        <x:v>43658</x:v>
      </x:c>
      <x:c r="D3961" s="28" t="n">
        <x:f>MOD(B3961,1)</x:f>
        <x:v>0.39239583333255723</x:v>
      </x:c>
      <x:c r="E3961" s="29" t="n">
        <x:f>YEAR(B3961)</x:f>
        <x:v>2019</x:v>
      </x:c>
      <x:c r="F3961" s="29" t="n">
        <x:f>MONTH(B3961)</x:f>
        <x:v>7</x:v>
      </x:c>
      <x:c r="G3961" s="30" t="n">
        <x:v>-30.72</x:v>
      </x:c>
      <x:c r="H3961" s="30" t="n">
        <x:v>-71.33</x:v>
      </x:c>
      <x:c r="I3961" s="29" t="n">
        <x:v>50</x:v>
      </x:c>
      <x:c r="J3961" s="31" t="n">
        <x:v>4.3</x:v>
      </x:c>
      <x:c r="K3961" s="25" t="str">
        <x:f>IF(J3961&gt;=7,"Muy fuerte (&gt;=7)",IF(J3961&gt;=6,"Fuerte (6-6.9)",IF(J3961&gt;=5,"Moderado alto (5-5.9)",IF(J3961&gt;=4,"Moderado (4-4.9)","Menor a 4"))))</x:f>
        <x:v>Moderado (4-4.9)</x:v>
      </x:c>
      <x:c r="L3961" s="25" t="str">
        <x:f>IF(I3961&lt;70,"Superficial (&lt;70 km)",IF(I3961&lt;=300,"Intermedio (70-300 km)","Profundo (&gt;300 km)"))</x:f>
        <x:v>Superficial (&lt;70 km)</x:v>
      </x:c>
      <x:c r="M3961" s="25" t="str">
        <x:f>IF(J3961&gt;=5,"Sí","No")</x:f>
        <x:v>No</x:v>
      </x:c>
      <x:c r="N3961" s="25" t="str">
        <x:f>IF(J3961&gt;=6,"Sí","No")</x:f>
        <x:v>No</x:v>
      </x:c>
      <x:c r="O3961" s="25" t="str">
        <x:v>Pendiente: asignar con R/sf</x:v>
      </x:c>
    </x:row>
    <x:row r="3962">
      <x:c r="A3962" s="25" t="n">
        <x:v>3961</x:v>
      </x:c>
      <x:c r="B3962" s="26" t="n">
        <x:v>43927.07960648148</x:v>
      </x:c>
      <x:c r="C3962" s="27" t="n">
        <x:f>INT(B3962)</x:f>
        <x:v>43927</x:v>
      </x:c>
      <x:c r="D3962" s="28" t="n">
        <x:f>MOD(B3962,1)</x:f>
        <x:v>0.07960648147854954</x:v>
      </x:c>
      <x:c r="E3962" s="29" t="n">
        <x:f>YEAR(B3962)</x:f>
        <x:v>2020</x:v>
      </x:c>
      <x:c r="F3962" s="29" t="n">
        <x:f>MONTH(B3962)</x:f>
        <x:v>4</x:v>
      </x:c>
      <x:c r="G3962" s="30" t="n">
        <x:v>-29.56</x:v>
      </x:c>
      <x:c r="H3962" s="30" t="n">
        <x:v>-71.41</x:v>
      </x:c>
      <x:c r="I3962" s="29" t="n">
        <x:v>59</x:v>
      </x:c>
      <x:c r="J3962" s="31" t="n">
        <x:v>4.6</x:v>
      </x:c>
      <x:c r="K3962" s="25" t="str">
        <x:f>IF(J3962&gt;=7,"Muy fuerte (&gt;=7)",IF(J3962&gt;=6,"Fuerte (6-6.9)",IF(J3962&gt;=5,"Moderado alto (5-5.9)",IF(J3962&gt;=4,"Moderado (4-4.9)","Menor a 4"))))</x:f>
        <x:v>Moderado (4-4.9)</x:v>
      </x:c>
      <x:c r="L3962" s="25" t="str">
        <x:f>IF(I3962&lt;70,"Superficial (&lt;70 km)",IF(I3962&lt;=300,"Intermedio (70-300 km)","Profundo (&gt;300 km)"))</x:f>
        <x:v>Superficial (&lt;70 km)</x:v>
      </x:c>
      <x:c r="M3962" s="25" t="str">
        <x:f>IF(J3962&gt;=5,"Sí","No")</x:f>
        <x:v>No</x:v>
      </x:c>
      <x:c r="N3962" s="25" t="str">
        <x:f>IF(J3962&gt;=6,"Sí","No")</x:f>
        <x:v>No</x:v>
      </x:c>
      <x:c r="O3962" s="25" t="str">
        <x:v>Pendiente: asignar con R/sf</x:v>
      </x:c>
    </x:row>
    <x:row r="3963">
      <x:c r="A3963" s="25" t="n">
        <x:v>3962</x:v>
      </x:c>
      <x:c r="B3963" s="26" t="n">
        <x:v>43987.0853125</x:v>
      </x:c>
      <x:c r="C3963" s="27" t="n">
        <x:f>INT(B3963)</x:f>
        <x:v>43987</x:v>
      </x:c>
      <x:c r="D3963" s="28" t="n">
        <x:f>MOD(B3963,1)</x:f>
        <x:v>0.08531249999941792</x:v>
      </x:c>
      <x:c r="E3963" s="29" t="n">
        <x:f>YEAR(B3963)</x:f>
        <x:v>2020</x:v>
      </x:c>
      <x:c r="F3963" s="29" t="n">
        <x:f>MONTH(B3963)</x:f>
        <x:v>6</x:v>
      </x:c>
      <x:c r="G3963" s="30" t="n">
        <x:v>-30.45</x:v>
      </x:c>
      <x:c r="H3963" s="30" t="n">
        <x:v>-71.65</x:v>
      </x:c>
      <x:c r="I3963" s="29" t="n">
        <x:v>34</x:v>
      </x:c>
      <x:c r="J3963" s="31" t="n">
        <x:v>4.6</x:v>
      </x:c>
      <x:c r="K3963" s="25" t="str">
        <x:f>IF(J3963&gt;=7,"Muy fuerte (&gt;=7)",IF(J3963&gt;=6,"Fuerte (6-6.9)",IF(J3963&gt;=5,"Moderado alto (5-5.9)",IF(J3963&gt;=4,"Moderado (4-4.9)","Menor a 4"))))</x:f>
        <x:v>Moderado (4-4.9)</x:v>
      </x:c>
      <x:c r="L3963" s="25" t="str">
        <x:f>IF(I3963&lt;70,"Superficial (&lt;70 km)",IF(I3963&lt;=300,"Intermedio (70-300 km)","Profundo (&gt;300 km)"))</x:f>
        <x:v>Superficial (&lt;70 km)</x:v>
      </x:c>
      <x:c r="M3963" s="25" t="str">
        <x:f>IF(J3963&gt;=5,"Sí","No")</x:f>
        <x:v>No</x:v>
      </x:c>
      <x:c r="N3963" s="25" t="str">
        <x:f>IF(J3963&gt;=6,"Sí","No")</x:f>
        <x:v>No</x:v>
      </x:c>
      <x:c r="O3963" s="25" t="str">
        <x:v>Pendiente: asignar con R/sf</x:v>
      </x:c>
    </x:row>
    <x:row r="3964">
      <x:c r="A3964" s="25" t="n">
        <x:v>3963</x:v>
      </x:c>
      <x:c r="B3964" s="26" t="n">
        <x:v>43503.34354166667</x:v>
      </x:c>
      <x:c r="C3964" s="27" t="n">
        <x:f>INT(B3964)</x:f>
        <x:v>43503</x:v>
      </x:c>
      <x:c r="D3964" s="28" t="n">
        <x:f>MOD(B3964,1)</x:f>
        <x:v>0.34354166666889796</x:v>
      </x:c>
      <x:c r="E3964" s="29" t="n">
        <x:f>YEAR(B3964)</x:f>
        <x:v>2019</x:v>
      </x:c>
      <x:c r="F3964" s="29" t="n">
        <x:f>MONTH(B3964)</x:f>
        <x:v>2</x:v>
      </x:c>
      <x:c r="G3964" s="30" t="n">
        <x:v>-29.46</x:v>
      </x:c>
      <x:c r="H3964" s="30" t="n">
        <x:v>-71.54</x:v>
      </x:c>
      <x:c r="I3964" s="29" t="n">
        <x:v>29</x:v>
      </x:c>
      <x:c r="J3964" s="31" t="n">
        <x:v>3</x:v>
      </x:c>
      <x:c r="K3964" s="25" t="str">
        <x:f>IF(J3964&gt;=7,"Muy fuerte (&gt;=7)",IF(J3964&gt;=6,"Fuerte (6-6.9)",IF(J3964&gt;=5,"Moderado alto (5-5.9)",IF(J3964&gt;=4,"Moderado (4-4.9)","Menor a 4"))))</x:f>
        <x:v>Menor a 4</x:v>
      </x:c>
      <x:c r="L3964" s="25" t="str">
        <x:f>IF(I3964&lt;70,"Superficial (&lt;70 km)",IF(I3964&lt;=300,"Intermedio (70-300 km)","Profundo (&gt;300 km)"))</x:f>
        <x:v>Superficial (&lt;70 km)</x:v>
      </x:c>
      <x:c r="M3964" s="25" t="str">
        <x:f>IF(J3964&gt;=5,"Sí","No")</x:f>
        <x:v>No</x:v>
      </x:c>
      <x:c r="N3964" s="25" t="str">
        <x:f>IF(J3964&gt;=6,"Sí","No")</x:f>
        <x:v>No</x:v>
      </x:c>
      <x:c r="O3964" s="25" t="str">
        <x:v>Pendiente: asignar con R/sf</x:v>
      </x:c>
    </x:row>
    <x:row r="3965">
      <x:c r="A3965" s="25" t="n">
        <x:v>3964</x:v>
      </x:c>
      <x:c r="B3965" s="26" t="n">
        <x:v>43770.98850694444</x:v>
      </x:c>
      <x:c r="C3965" s="27" t="n">
        <x:f>INT(B3965)</x:f>
        <x:v>43770</x:v>
      </x:c>
      <x:c r="D3965" s="28" t="n">
        <x:f>MOD(B3965,1)</x:f>
        <x:v>0.9885069444426335</x:v>
      </x:c>
      <x:c r="E3965" s="29" t="n">
        <x:f>YEAR(B3965)</x:f>
        <x:v>2019</x:v>
      </x:c>
      <x:c r="F3965" s="29" t="n">
        <x:f>MONTH(B3965)</x:f>
        <x:v>11</x:v>
      </x:c>
      <x:c r="G3965" s="30" t="n">
        <x:v>-29.25</x:v>
      </x:c>
      <x:c r="H3965" s="30" t="n">
        <x:v>-71.59</x:v>
      </x:c>
      <x:c r="I3965" s="29" t="n">
        <x:v>40</x:v>
      </x:c>
      <x:c r="J3965" s="31" t="n">
        <x:v>4.2</x:v>
      </x:c>
      <x:c r="K3965" s="25" t="str">
        <x:f>IF(J3965&gt;=7,"Muy fuerte (&gt;=7)",IF(J3965&gt;=6,"Fuerte (6-6.9)",IF(J3965&gt;=5,"Moderado alto (5-5.9)",IF(J3965&gt;=4,"Moderado (4-4.9)","Menor a 4"))))</x:f>
        <x:v>Moderado (4-4.9)</x:v>
      </x:c>
      <x:c r="L3965" s="25" t="str">
        <x:f>IF(I3965&lt;70,"Superficial (&lt;70 km)",IF(I3965&lt;=300,"Intermedio (70-300 km)","Profundo (&gt;300 km)"))</x:f>
        <x:v>Superficial (&lt;70 km)</x:v>
      </x:c>
      <x:c r="M3965" s="25" t="str">
        <x:f>IF(J3965&gt;=5,"Sí","No")</x:f>
        <x:v>No</x:v>
      </x:c>
      <x:c r="N3965" s="25" t="str">
        <x:f>IF(J3965&gt;=6,"Sí","No")</x:f>
        <x:v>No</x:v>
      </x:c>
      <x:c r="O3965" s="25" t="str">
        <x:v>Pendiente: asignar con R/sf</x:v>
      </x:c>
    </x:row>
    <x:row r="3966">
      <x:c r="A3966" s="25" t="n">
        <x:v>3965</x:v>
      </x:c>
      <x:c r="B3966" s="26" t="n">
        <x:v>43612.91405092592</x:v>
      </x:c>
      <x:c r="C3966" s="27" t="n">
        <x:f>INT(B3966)</x:f>
        <x:v>43612</x:v>
      </x:c>
      <x:c r="D3966" s="28" t="n">
        <x:f>MOD(B3966,1)</x:f>
        <x:v>0.9140509259232203</x:v>
      </x:c>
      <x:c r="E3966" s="29" t="n">
        <x:f>YEAR(B3966)</x:f>
        <x:v>2019</x:v>
      </x:c>
      <x:c r="F3966" s="29" t="n">
        <x:f>MONTH(B3966)</x:f>
        <x:v>5</x:v>
      </x:c>
      <x:c r="G3966" s="30" t="n">
        <x:v>-30.68</x:v>
      </x:c>
      <x:c r="H3966" s="30" t="n">
        <x:v>-71.76</x:v>
      </x:c>
      <x:c r="I3966" s="29" t="n">
        <x:v>35</x:v>
      </x:c>
      <x:c r="J3966" s="31" t="n">
        <x:v>4.2</x:v>
      </x:c>
      <x:c r="K3966" s="25" t="str">
        <x:f>IF(J3966&gt;=7,"Muy fuerte (&gt;=7)",IF(J3966&gt;=6,"Fuerte (6-6.9)",IF(J3966&gt;=5,"Moderado alto (5-5.9)",IF(J3966&gt;=4,"Moderado (4-4.9)","Menor a 4"))))</x:f>
        <x:v>Moderado (4-4.9)</x:v>
      </x:c>
      <x:c r="L3966" s="25" t="str">
        <x:f>IF(I3966&lt;70,"Superficial (&lt;70 km)",IF(I3966&lt;=300,"Intermedio (70-300 km)","Profundo (&gt;300 km)"))</x:f>
        <x:v>Superficial (&lt;70 km)</x:v>
      </x:c>
      <x:c r="M3966" s="25" t="str">
        <x:f>IF(J3966&gt;=5,"Sí","No")</x:f>
        <x:v>No</x:v>
      </x:c>
      <x:c r="N3966" s="25" t="str">
        <x:f>IF(J3966&gt;=6,"Sí","No")</x:f>
        <x:v>No</x:v>
      </x:c>
      <x:c r="O3966" s="25" t="str">
        <x:v>Pendiente: asignar con R/sf</x:v>
      </x:c>
    </x:row>
    <x:row r="3967">
      <x:c r="A3967" s="25" t="n">
        <x:v>3966</x:v>
      </x:c>
      <x:c r="B3967" s="26" t="n">
        <x:v>43780.86971064815</x:v>
      </x:c>
      <x:c r="C3967" s="27" t="n">
        <x:f>INT(B3967)</x:f>
        <x:v>43780</x:v>
      </x:c>
      <x:c r="D3967" s="28" t="n">
        <x:f>MOD(B3967,1)</x:f>
        <x:v>0.8697106481486117</x:v>
      </x:c>
      <x:c r="E3967" s="29" t="n">
        <x:f>YEAR(B3967)</x:f>
        <x:v>2019</x:v>
      </x:c>
      <x:c r="F3967" s="29" t="n">
        <x:f>MONTH(B3967)</x:f>
        <x:v>11</x:v>
      </x:c>
      <x:c r="G3967" s="30" t="n">
        <x:v>-31.81</x:v>
      </x:c>
      <x:c r="H3967" s="30" t="n">
        <x:v>-71.31</x:v>
      </x:c>
      <x:c r="I3967" s="29" t="n">
        <x:v>55</x:v>
      </x:c>
      <x:c r="J3967" s="31" t="n">
        <x:v>4.2</x:v>
      </x:c>
      <x:c r="K3967" s="25" t="str">
        <x:f>IF(J3967&gt;=7,"Muy fuerte (&gt;=7)",IF(J3967&gt;=6,"Fuerte (6-6.9)",IF(J3967&gt;=5,"Moderado alto (5-5.9)",IF(J3967&gt;=4,"Moderado (4-4.9)","Menor a 4"))))</x:f>
        <x:v>Moderado (4-4.9)</x:v>
      </x:c>
      <x:c r="L3967" s="25" t="str">
        <x:f>IF(I3967&lt;70,"Superficial (&lt;70 km)",IF(I3967&lt;=300,"Intermedio (70-300 km)","Profundo (&gt;300 km)"))</x:f>
        <x:v>Superficial (&lt;70 km)</x:v>
      </x:c>
      <x:c r="M3967" s="25" t="str">
        <x:f>IF(J3967&gt;=5,"Sí","No")</x:f>
        <x:v>No</x:v>
      </x:c>
      <x:c r="N3967" s="25" t="str">
        <x:f>IF(J3967&gt;=6,"Sí","No")</x:f>
        <x:v>No</x:v>
      </x:c>
      <x:c r="O3967" s="25" t="str">
        <x:v>Pendiente: asignar con R/sf</x:v>
      </x:c>
    </x:row>
    <x:row r="3968">
      <x:c r="A3968" s="25" t="n">
        <x:v>3967</x:v>
      </x:c>
      <x:c r="B3968" s="26" t="n">
        <x:v>44031.70337962963</x:v>
      </x:c>
      <x:c r="C3968" s="27" t="n">
        <x:f>INT(B3968)</x:f>
        <x:v>44031</x:v>
      </x:c>
      <x:c r="D3968" s="28" t="n">
        <x:f>MOD(B3968,1)</x:f>
        <x:v>0.7033796296309447</x:v>
      </x:c>
      <x:c r="E3968" s="29" t="n">
        <x:f>YEAR(B3968)</x:f>
        <x:v>2020</x:v>
      </x:c>
      <x:c r="F3968" s="29" t="n">
        <x:f>MONTH(B3968)</x:f>
        <x:v>7</x:v>
      </x:c>
      <x:c r="G3968" s="30" t="n">
        <x:v>-20.26</x:v>
      </x:c>
      <x:c r="H3968" s="30" t="n">
        <x:v>-70.06</x:v>
      </x:c>
      <x:c r="I3968" s="29" t="n">
        <x:v>77</x:v>
      </x:c>
      <x:c r="J3968" s="31" t="n">
        <x:v>4.7</x:v>
      </x:c>
      <x:c r="K3968" s="25" t="str">
        <x:f>IF(J3968&gt;=7,"Muy fuerte (&gt;=7)",IF(J3968&gt;=6,"Fuerte (6-6.9)",IF(J3968&gt;=5,"Moderado alto (5-5.9)",IF(J3968&gt;=4,"Moderado (4-4.9)","Menor a 4"))))</x:f>
        <x:v>Moderado (4-4.9)</x:v>
      </x:c>
      <x:c r="L3968" s="25" t="str">
        <x:f>IF(I3968&lt;70,"Superficial (&lt;70 km)",IF(I3968&lt;=300,"Intermedio (70-300 km)","Profundo (&gt;300 km)"))</x:f>
        <x:v>Intermedio (70-300 km)</x:v>
      </x:c>
      <x:c r="M3968" s="25" t="str">
        <x:f>IF(J3968&gt;=5,"Sí","No")</x:f>
        <x:v>No</x:v>
      </x:c>
      <x:c r="N3968" s="25" t="str">
        <x:f>IF(J3968&gt;=6,"Sí","No")</x:f>
        <x:v>No</x:v>
      </x:c>
      <x:c r="O3968" s="25" t="str">
        <x:v>Pendiente: asignar con R/sf</x:v>
      </x:c>
    </x:row>
    <x:row r="3969">
      <x:c r="A3969" s="25" t="n">
        <x:v>3968</x:v>
      </x:c>
      <x:c r="B3969" s="26" t="n">
        <x:v>43519.962789351855</x:v>
      </x:c>
      <x:c r="C3969" s="27" t="n">
        <x:f>INT(B3969)</x:f>
        <x:v>43519</x:v>
      </x:c>
      <x:c r="D3969" s="28" t="n">
        <x:f>MOD(B3969,1)</x:f>
        <x:v>0.9627893518554629</x:v>
      </x:c>
      <x:c r="E3969" s="29" t="n">
        <x:f>YEAR(B3969)</x:f>
        <x:v>2019</x:v>
      </x:c>
      <x:c r="F3969" s="29" t="n">
        <x:f>MONTH(B3969)</x:f>
        <x:v>2</x:v>
      </x:c>
      <x:c r="G3969" s="30" t="n">
        <x:v>-30.99</x:v>
      </x:c>
      <x:c r="H3969" s="30" t="n">
        <x:v>-71.36</x:v>
      </x:c>
      <x:c r="I3969" s="29" t="n">
        <x:v>62</x:v>
      </x:c>
      <x:c r="J3969" s="31" t="n">
        <x:v>3.7</x:v>
      </x:c>
      <x:c r="K3969" s="25" t="str">
        <x:f>IF(J3969&gt;=7,"Muy fuerte (&gt;=7)",IF(J3969&gt;=6,"Fuerte (6-6.9)",IF(J3969&gt;=5,"Moderado alto (5-5.9)",IF(J3969&gt;=4,"Moderado (4-4.9)","Menor a 4"))))</x:f>
        <x:v>Menor a 4</x:v>
      </x:c>
      <x:c r="L3969" s="25" t="str">
        <x:f>IF(I3969&lt;70,"Superficial (&lt;70 km)",IF(I3969&lt;=300,"Intermedio (70-300 km)","Profundo (&gt;300 km)"))</x:f>
        <x:v>Superficial (&lt;70 km)</x:v>
      </x:c>
      <x:c r="M3969" s="25" t="str">
        <x:f>IF(J3969&gt;=5,"Sí","No")</x:f>
        <x:v>No</x:v>
      </x:c>
      <x:c r="N3969" s="25" t="str">
        <x:f>IF(J3969&gt;=6,"Sí","No")</x:f>
        <x:v>No</x:v>
      </x:c>
      <x:c r="O3969" s="25" t="str">
        <x:v>Pendiente: asignar con R/sf</x:v>
      </x:c>
    </x:row>
    <x:row r="3970">
      <x:c r="A3970" s="25" t="n">
        <x:v>3969</x:v>
      </x:c>
      <x:c r="B3970" s="26" t="n">
        <x:v>43575.909583333334</x:v>
      </x:c>
      <x:c r="C3970" s="27" t="n">
        <x:f>INT(B3970)</x:f>
        <x:v>43575</x:v>
      </x:c>
      <x:c r="D3970" s="28" t="n">
        <x:f>MOD(B3970,1)</x:f>
        <x:v>0.9095833333340124</x:v>
      </x:c>
      <x:c r="E3970" s="29" t="n">
        <x:f>YEAR(B3970)</x:f>
        <x:v>2019</x:v>
      </x:c>
      <x:c r="F3970" s="29" t="n">
        <x:f>MONTH(B3970)</x:f>
        <x:v>4</x:v>
      </x:c>
      <x:c r="G3970" s="30" t="n">
        <x:v>-29.59</x:v>
      </x:c>
      <x:c r="H3970" s="30" t="n">
        <x:v>-71.11</x:v>
      </x:c>
      <x:c r="I3970" s="29" t="n">
        <x:v>34</x:v>
      </x:c>
      <x:c r="J3970" s="31" t="n">
        <x:v>3.4</x:v>
      </x:c>
      <x:c r="K3970" s="25" t="str">
        <x:f>IF(J3970&gt;=7,"Muy fuerte (&gt;=7)",IF(J3970&gt;=6,"Fuerte (6-6.9)",IF(J3970&gt;=5,"Moderado alto (5-5.9)",IF(J3970&gt;=4,"Moderado (4-4.9)","Menor a 4"))))</x:f>
        <x:v>Menor a 4</x:v>
      </x:c>
      <x:c r="L3970" s="25" t="str">
        <x:f>IF(I3970&lt;70,"Superficial (&lt;70 km)",IF(I3970&lt;=300,"Intermedio (70-300 km)","Profundo (&gt;300 km)"))</x:f>
        <x:v>Superficial (&lt;70 km)</x:v>
      </x:c>
      <x:c r="M3970" s="25" t="str">
        <x:f>IF(J3970&gt;=5,"Sí","No")</x:f>
        <x:v>No</x:v>
      </x:c>
      <x:c r="N3970" s="25" t="str">
        <x:f>IF(J3970&gt;=6,"Sí","No")</x:f>
        <x:v>No</x:v>
      </x:c>
      <x:c r="O3970" s="25" t="str">
        <x:v>Pendiente: asignar con R/sf</x:v>
      </x:c>
    </x:row>
    <x:row r="3971">
      <x:c r="A3971" s="25" t="n">
        <x:v>3970</x:v>
      </x:c>
      <x:c r="B3971" s="26" t="n">
        <x:v>43643.82630787037</x:v>
      </x:c>
      <x:c r="C3971" s="27" t="n">
        <x:f>INT(B3971)</x:f>
        <x:v>43643</x:v>
      </x:c>
      <x:c r="D3971" s="28" t="n">
        <x:f>MOD(B3971,1)</x:f>
        <x:v>0.8263078703676001</x:v>
      </x:c>
      <x:c r="E3971" s="29" t="n">
        <x:f>YEAR(B3971)</x:f>
        <x:v>2019</x:v>
      </x:c>
      <x:c r="F3971" s="29" t="n">
        <x:f>MONTH(B3971)</x:f>
        <x:v>6</x:v>
      </x:c>
      <x:c r="G3971" s="30" t="n">
        <x:v>-30.77</x:v>
      </x:c>
      <x:c r="H3971" s="30" t="n">
        <x:v>-71.38</x:v>
      </x:c>
      <x:c r="I3971" s="29" t="n">
        <x:v>51</x:v>
      </x:c>
      <x:c r="J3971" s="31" t="n">
        <x:v>3.8</x:v>
      </x:c>
      <x:c r="K3971" s="25" t="str">
        <x:f>IF(J3971&gt;=7,"Muy fuerte (&gt;=7)",IF(J3971&gt;=6,"Fuerte (6-6.9)",IF(J3971&gt;=5,"Moderado alto (5-5.9)",IF(J3971&gt;=4,"Moderado (4-4.9)","Menor a 4"))))</x:f>
        <x:v>Menor a 4</x:v>
      </x:c>
      <x:c r="L3971" s="25" t="str">
        <x:f>IF(I3971&lt;70,"Superficial (&lt;70 km)",IF(I3971&lt;=300,"Intermedio (70-300 km)","Profundo (&gt;300 km)"))</x:f>
        <x:v>Superficial (&lt;70 km)</x:v>
      </x:c>
      <x:c r="M3971" s="25" t="str">
        <x:f>IF(J3971&gt;=5,"Sí","No")</x:f>
        <x:v>No</x:v>
      </x:c>
      <x:c r="N3971" s="25" t="str">
        <x:f>IF(J3971&gt;=6,"Sí","No")</x:f>
        <x:v>No</x:v>
      </x:c>
      <x:c r="O3971" s="25" t="str">
        <x:v>Pendiente: asignar con R/sf</x:v>
      </x:c>
    </x:row>
    <x:row r="3972">
      <x:c r="A3972" s="25" t="n">
        <x:v>3971</x:v>
      </x:c>
      <x:c r="B3972" s="26" t="n">
        <x:v>43518.216678240744</x:v>
      </x:c>
      <x:c r="C3972" s="27" t="n">
        <x:f>INT(B3972)</x:f>
        <x:v>43518</x:v>
      </x:c>
      <x:c r="D3972" s="28" t="n">
        <x:f>MOD(B3972,1)</x:f>
        <x:v>0.21667824074393138</x:v>
      </x:c>
      <x:c r="E3972" s="29" t="n">
        <x:f>YEAR(B3972)</x:f>
        <x:v>2019</x:v>
      </x:c>
      <x:c r="F3972" s="29" t="n">
        <x:f>MONTH(B3972)</x:f>
        <x:v>2</x:v>
      </x:c>
      <x:c r="G3972" s="30" t="n">
        <x:v>-31.36</x:v>
      </x:c>
      <x:c r="H3972" s="30" t="n">
        <x:v>-71.28</x:v>
      </x:c>
      <x:c r="I3972" s="29" t="n">
        <x:v>71</x:v>
      </x:c>
      <x:c r="J3972" s="31" t="n">
        <x:v>3.8</x:v>
      </x:c>
      <x:c r="K3972" s="25" t="str">
        <x:f>IF(J3972&gt;=7,"Muy fuerte (&gt;=7)",IF(J3972&gt;=6,"Fuerte (6-6.9)",IF(J3972&gt;=5,"Moderado alto (5-5.9)",IF(J3972&gt;=4,"Moderado (4-4.9)","Menor a 4"))))</x:f>
        <x:v>Menor a 4</x:v>
      </x:c>
      <x:c r="L3972" s="25" t="str">
        <x:f>IF(I3972&lt;70,"Superficial (&lt;70 km)",IF(I3972&lt;=300,"Intermedio (70-300 km)","Profundo (&gt;300 km)"))</x:f>
        <x:v>Intermedio (70-300 km)</x:v>
      </x:c>
      <x:c r="M3972" s="25" t="str">
        <x:f>IF(J3972&gt;=5,"Sí","No")</x:f>
        <x:v>No</x:v>
      </x:c>
      <x:c r="N3972" s="25" t="str">
        <x:f>IF(J3972&gt;=6,"Sí","No")</x:f>
        <x:v>No</x:v>
      </x:c>
      <x:c r="O3972" s="25" t="str">
        <x:v>Pendiente: asignar con R/sf</x:v>
      </x:c>
    </x:row>
    <x:row r="3973">
      <x:c r="A3973" s="25" t="n">
        <x:v>3972</x:v>
      </x:c>
      <x:c r="B3973" s="26" t="n">
        <x:v>43511.958645833336</x:v>
      </x:c>
      <x:c r="C3973" s="27" t="n">
        <x:f>INT(B3973)</x:f>
        <x:v>43511</x:v>
      </x:c>
      <x:c r="D3973" s="28" t="n">
        <x:f>MOD(B3973,1)</x:f>
        <x:v>0.9586458333360497</x:v>
      </x:c>
      <x:c r="E3973" s="29" t="n">
        <x:f>YEAR(B3973)</x:f>
        <x:v>2019</x:v>
      </x:c>
      <x:c r="F3973" s="29" t="n">
        <x:f>MONTH(B3973)</x:f>
        <x:v>2</x:v>
      </x:c>
      <x:c r="G3973" s="30" t="n">
        <x:v>-30.59</x:v>
      </x:c>
      <x:c r="H3973" s="30" t="n">
        <x:v>-71.52</x:v>
      </x:c>
      <x:c r="I3973" s="29" t="n">
        <x:v>14</x:v>
      </x:c>
      <x:c r="J3973" s="31" t="n">
        <x:v>3.7</x:v>
      </x:c>
      <x:c r="K3973" s="25" t="str">
        <x:f>IF(J3973&gt;=7,"Muy fuerte (&gt;=7)",IF(J3973&gt;=6,"Fuerte (6-6.9)",IF(J3973&gt;=5,"Moderado alto (5-5.9)",IF(J3973&gt;=4,"Moderado (4-4.9)","Menor a 4"))))</x:f>
        <x:v>Menor a 4</x:v>
      </x:c>
      <x:c r="L3973" s="25" t="str">
        <x:f>IF(I3973&lt;70,"Superficial (&lt;70 km)",IF(I3973&lt;=300,"Intermedio (70-300 km)","Profundo (&gt;300 km)"))</x:f>
        <x:v>Superficial (&lt;70 km)</x:v>
      </x:c>
      <x:c r="M3973" s="25" t="str">
        <x:f>IF(J3973&gt;=5,"Sí","No")</x:f>
        <x:v>No</x:v>
      </x:c>
      <x:c r="N3973" s="25" t="str">
        <x:f>IF(J3973&gt;=6,"Sí","No")</x:f>
        <x:v>No</x:v>
      </x:c>
      <x:c r="O3973" s="25" t="str">
        <x:v>Pendiente: asignar con R/sf</x:v>
      </x:c>
    </x:row>
    <x:row r="3974">
      <x:c r="A3974" s="25" t="n">
        <x:v>3973</x:v>
      </x:c>
      <x:c r="B3974" s="26" t="n">
        <x:v>43773.96333333333</x:v>
      </x:c>
      <x:c r="C3974" s="27" t="n">
        <x:f>INT(B3974)</x:f>
        <x:v>43773</x:v>
      </x:c>
      <x:c r="D3974" s="28" t="n">
        <x:f>MOD(B3974,1)</x:f>
        <x:v>0.9633333333331393</x:v>
      </x:c>
      <x:c r="E3974" s="29" t="n">
        <x:f>YEAR(B3974)</x:f>
        <x:v>2019</x:v>
      </x:c>
      <x:c r="F3974" s="29" t="n">
        <x:f>MONTH(B3974)</x:f>
        <x:v>11</x:v>
      </x:c>
      <x:c r="G3974" s="30" t="n">
        <x:v>-31.82</x:v>
      </x:c>
      <x:c r="H3974" s="30" t="n">
        <x:v>-71.33</x:v>
      </x:c>
      <x:c r="I3974" s="29" t="n">
        <x:v>56</x:v>
      </x:c>
      <x:c r="J3974" s="31" t="n">
        <x:v>4.3</x:v>
      </x:c>
      <x:c r="K3974" s="25" t="str">
        <x:f>IF(J3974&gt;=7,"Muy fuerte (&gt;=7)",IF(J3974&gt;=6,"Fuerte (6-6.9)",IF(J3974&gt;=5,"Moderado alto (5-5.9)",IF(J3974&gt;=4,"Moderado (4-4.9)","Menor a 4"))))</x:f>
        <x:v>Moderado (4-4.9)</x:v>
      </x:c>
      <x:c r="L3974" s="25" t="str">
        <x:f>IF(I3974&lt;70,"Superficial (&lt;70 km)",IF(I3974&lt;=300,"Intermedio (70-300 km)","Profundo (&gt;300 km)"))</x:f>
        <x:v>Superficial (&lt;70 km)</x:v>
      </x:c>
      <x:c r="M3974" s="25" t="str">
        <x:f>IF(J3974&gt;=5,"Sí","No")</x:f>
        <x:v>No</x:v>
      </x:c>
      <x:c r="N3974" s="25" t="str">
        <x:f>IF(J3974&gt;=6,"Sí","No")</x:f>
        <x:v>No</x:v>
      </x:c>
      <x:c r="O3974" s="25" t="str">
        <x:v>Pendiente: asignar con R/sf</x:v>
      </x:c>
    </x:row>
    <x:row r="3975">
      <x:c r="A3975" s="25" t="n">
        <x:v>3974</x:v>
      </x:c>
      <x:c r="B3975" s="26" t="n">
        <x:v>43861.811736111114</x:v>
      </x:c>
      <x:c r="C3975" s="27" t="n">
        <x:f>INT(B3975)</x:f>
        <x:v>43861</x:v>
      </x:c>
      <x:c r="D3975" s="28" t="n">
        <x:f>MOD(B3975,1)</x:f>
        <x:v>0.8117361111144419</x:v>
      </x:c>
      <x:c r="E3975" s="29" t="n">
        <x:f>YEAR(B3975)</x:f>
        <x:v>2020</x:v>
      </x:c>
      <x:c r="F3975" s="29" t="n">
        <x:f>MONTH(B3975)</x:f>
        <x:v>1</x:v>
      </x:c>
      <x:c r="G3975" s="30" t="n">
        <x:v>-30.97</x:v>
      </x:c>
      <x:c r="H3975" s="30" t="n">
        <x:v>-71.33</x:v>
      </x:c>
      <x:c r="I3975" s="29" t="n">
        <x:v>67</x:v>
      </x:c>
      <x:c r="J3975" s="31" t="n">
        <x:v>3.9</x:v>
      </x:c>
      <x:c r="K3975" s="25" t="str">
        <x:f>IF(J3975&gt;=7,"Muy fuerte (&gt;=7)",IF(J3975&gt;=6,"Fuerte (6-6.9)",IF(J3975&gt;=5,"Moderado alto (5-5.9)",IF(J3975&gt;=4,"Moderado (4-4.9)","Menor a 4"))))</x:f>
        <x:v>Menor a 4</x:v>
      </x:c>
      <x:c r="L3975" s="25" t="str">
        <x:f>IF(I3975&lt;70,"Superficial (&lt;70 km)",IF(I3975&lt;=300,"Intermedio (70-300 km)","Profundo (&gt;300 km)"))</x:f>
        <x:v>Superficial (&lt;70 km)</x:v>
      </x:c>
      <x:c r="M3975" s="25" t="str">
        <x:f>IF(J3975&gt;=5,"Sí","No")</x:f>
        <x:v>No</x:v>
      </x:c>
      <x:c r="N3975" s="25" t="str">
        <x:f>IF(J3975&gt;=6,"Sí","No")</x:f>
        <x:v>No</x:v>
      </x:c>
      <x:c r="O3975" s="25" t="str">
        <x:v>Pendiente: asignar con R/sf</x:v>
      </x:c>
    </x:row>
    <x:row r="3976">
      <x:c r="A3976" s="25" t="n">
        <x:v>3975</x:v>
      </x:c>
      <x:c r="B3976" s="26" t="n">
        <x:v>43727.082453703704</x:v>
      </x:c>
      <x:c r="C3976" s="27" t="n">
        <x:f>INT(B3976)</x:f>
        <x:v>43727</x:v>
      </x:c>
      <x:c r="D3976" s="28" t="n">
        <x:f>MOD(B3976,1)</x:f>
        <x:v>0.08245370370423188</x:v>
      </x:c>
      <x:c r="E3976" s="29" t="n">
        <x:f>YEAR(B3976)</x:f>
        <x:v>2019</x:v>
      </x:c>
      <x:c r="F3976" s="29" t="n">
        <x:f>MONTH(B3976)</x:f>
        <x:v>9</x:v>
      </x:c>
      <x:c r="G3976" s="30" t="n">
        <x:v>-30.7</x:v>
      </x:c>
      <x:c r="H3976" s="30" t="n">
        <x:v>-71.71</x:v>
      </x:c>
      <x:c r="I3976" s="29" t="n">
        <x:v>36</x:v>
      </x:c>
      <x:c r="J3976" s="31" t="n">
        <x:v>4.3</x:v>
      </x:c>
      <x:c r="K3976" s="25" t="str">
        <x:f>IF(J3976&gt;=7,"Muy fuerte (&gt;=7)",IF(J3976&gt;=6,"Fuerte (6-6.9)",IF(J3976&gt;=5,"Moderado alto (5-5.9)",IF(J3976&gt;=4,"Moderado (4-4.9)","Menor a 4"))))</x:f>
        <x:v>Moderado (4-4.9)</x:v>
      </x:c>
      <x:c r="L3976" s="25" t="str">
        <x:f>IF(I3976&lt;70,"Superficial (&lt;70 km)",IF(I3976&lt;=300,"Intermedio (70-300 km)","Profundo (&gt;300 km)"))</x:f>
        <x:v>Superficial (&lt;70 km)</x:v>
      </x:c>
      <x:c r="M3976" s="25" t="str">
        <x:f>IF(J3976&gt;=5,"Sí","No")</x:f>
        <x:v>No</x:v>
      </x:c>
      <x:c r="N3976" s="25" t="str">
        <x:f>IF(J3976&gt;=6,"Sí","No")</x:f>
        <x:v>No</x:v>
      </x:c>
      <x:c r="O3976" s="25" t="str">
        <x:v>Pendiente: asignar con R/sf</x:v>
      </x:c>
    </x:row>
    <x:row r="3977">
      <x:c r="A3977" s="25" t="n">
        <x:v>3976</x:v>
      </x:c>
      <x:c r="B3977" s="26" t="n">
        <x:v>44046.497824074075</x:v>
      </x:c>
      <x:c r="C3977" s="27" t="n">
        <x:f>INT(B3977)</x:f>
        <x:v>44046</x:v>
      </x:c>
      <x:c r="D3977" s="28" t="n">
        <x:f>MOD(B3977,1)</x:f>
        <x:v>0.4978240740747424</x:v>
      </x:c>
      <x:c r="E3977" s="29" t="n">
        <x:f>YEAR(B3977)</x:f>
        <x:v>2020</x:v>
      </x:c>
      <x:c r="F3977" s="29" t="n">
        <x:f>MONTH(B3977)</x:f>
        <x:v>8</x:v>
      </x:c>
      <x:c r="G3977" s="30" t="n">
        <x:v>-19.57</x:v>
      </x:c>
      <x:c r="H3977" s="30" t="n">
        <x:v>-69.22</x:v>
      </x:c>
      <x:c r="I3977" s="29" t="n">
        <x:v>102</x:v>
      </x:c>
      <x:c r="J3977" s="31" t="n">
        <x:v>5.4</x:v>
      </x:c>
      <x:c r="K3977" s="25" t="str">
        <x:f>IF(J3977&gt;=7,"Muy fuerte (&gt;=7)",IF(J3977&gt;=6,"Fuerte (6-6.9)",IF(J3977&gt;=5,"Moderado alto (5-5.9)",IF(J3977&gt;=4,"Moderado (4-4.9)","Menor a 4"))))</x:f>
        <x:v>Moderado alto (5-5.9)</x:v>
      </x:c>
      <x:c r="L3977" s="25" t="str">
        <x:f>IF(I3977&lt;70,"Superficial (&lt;70 km)",IF(I3977&lt;=300,"Intermedio (70-300 km)","Profundo (&gt;300 km)"))</x:f>
        <x:v>Intermedio (70-300 km)</x:v>
      </x:c>
      <x:c r="M3977" s="25" t="str">
        <x:f>IF(J3977&gt;=5,"Sí","No")</x:f>
        <x:v>Sí</x:v>
      </x:c>
      <x:c r="N3977" s="25" t="str">
        <x:f>IF(J3977&gt;=6,"Sí","No")</x:f>
        <x:v>No</x:v>
      </x:c>
      <x:c r="O3977" s="25" t="str">
        <x:v>Pendiente: asignar con R/sf</x:v>
      </x:c>
    </x:row>
    <x:row r="3978">
      <x:c r="A3978" s="25" t="n">
        <x:v>3977</x:v>
      </x:c>
      <x:c r="B3978" s="26" t="n">
        <x:v>43817.781122685185</x:v>
      </x:c>
      <x:c r="C3978" s="27" t="n">
        <x:f>INT(B3978)</x:f>
        <x:v>43817</x:v>
      </x:c>
      <x:c r="D3978" s="28" t="n">
        <x:f>MOD(B3978,1)</x:f>
        <x:v>0.7811226851845277</x:v>
      </x:c>
      <x:c r="E3978" s="29" t="n">
        <x:f>YEAR(B3978)</x:f>
        <x:v>2019</x:v>
      </x:c>
      <x:c r="F3978" s="29" t="n">
        <x:f>MONTH(B3978)</x:f>
        <x:v>12</x:v>
      </x:c>
      <x:c r="G3978" s="30" t="n">
        <x:v>-30.02</x:v>
      </x:c>
      <x:c r="H3978" s="30" t="n">
        <x:v>-71.26</x:v>
      </x:c>
      <x:c r="I3978" s="29" t="n">
        <x:v>52</x:v>
      </x:c>
      <x:c r="J3978" s="31" t="n">
        <x:v>4.5</x:v>
      </x:c>
      <x:c r="K3978" s="25" t="str">
        <x:f>IF(J3978&gt;=7,"Muy fuerte (&gt;=7)",IF(J3978&gt;=6,"Fuerte (6-6.9)",IF(J3978&gt;=5,"Moderado alto (5-5.9)",IF(J3978&gt;=4,"Moderado (4-4.9)","Menor a 4"))))</x:f>
        <x:v>Moderado (4-4.9)</x:v>
      </x:c>
      <x:c r="L3978" s="25" t="str">
        <x:f>IF(I3978&lt;70,"Superficial (&lt;70 km)",IF(I3978&lt;=300,"Intermedio (70-300 km)","Profundo (&gt;300 km)"))</x:f>
        <x:v>Superficial (&lt;70 km)</x:v>
      </x:c>
      <x:c r="M3978" s="25" t="str">
        <x:f>IF(J3978&gt;=5,"Sí","No")</x:f>
        <x:v>No</x:v>
      </x:c>
      <x:c r="N3978" s="25" t="str">
        <x:f>IF(J3978&gt;=6,"Sí","No")</x:f>
        <x:v>No</x:v>
      </x:c>
      <x:c r="O3978" s="25" t="str">
        <x:v>Pendiente: asignar con R/sf</x:v>
      </x:c>
    </x:row>
    <x:row r="3979">
      <x:c r="A3979" s="25" t="n">
        <x:v>3978</x:v>
      </x:c>
      <x:c r="B3979" s="26" t="n">
        <x:v>43790.508263888885</x:v>
      </x:c>
      <x:c r="C3979" s="27" t="n">
        <x:f>INT(B3979)</x:f>
        <x:v>43790</x:v>
      </x:c>
      <x:c r="D3979" s="28" t="n">
        <x:f>MOD(B3979,1)</x:f>
        <x:v>0.5082638888852671</x:v>
      </x:c>
      <x:c r="E3979" s="29" t="n">
        <x:f>YEAR(B3979)</x:f>
        <x:v>2019</x:v>
      </x:c>
      <x:c r="F3979" s="29" t="n">
        <x:f>MONTH(B3979)</x:f>
        <x:v>11</x:v>
      </x:c>
      <x:c r="G3979" s="30" t="n">
        <x:v>-29.86</x:v>
      </x:c>
      <x:c r="H3979" s="30" t="n">
        <x:v>-71.55</x:v>
      </x:c>
      <x:c r="I3979" s="29" t="n">
        <x:v>45</x:v>
      </x:c>
      <x:c r="J3979" s="31" t="n">
        <x:v>3.8</x:v>
      </x:c>
      <x:c r="K3979" s="25" t="str">
        <x:f>IF(J3979&gt;=7,"Muy fuerte (&gt;=7)",IF(J3979&gt;=6,"Fuerte (6-6.9)",IF(J3979&gt;=5,"Moderado alto (5-5.9)",IF(J3979&gt;=4,"Moderado (4-4.9)","Menor a 4"))))</x:f>
        <x:v>Menor a 4</x:v>
      </x:c>
      <x:c r="L3979" s="25" t="str">
        <x:f>IF(I3979&lt;70,"Superficial (&lt;70 km)",IF(I3979&lt;=300,"Intermedio (70-300 km)","Profundo (&gt;300 km)"))</x:f>
        <x:v>Superficial (&lt;70 km)</x:v>
      </x:c>
      <x:c r="M3979" s="25" t="str">
        <x:f>IF(J3979&gt;=5,"Sí","No")</x:f>
        <x:v>No</x:v>
      </x:c>
      <x:c r="N3979" s="25" t="str">
        <x:f>IF(J3979&gt;=6,"Sí","No")</x:f>
        <x:v>No</x:v>
      </x:c>
      <x:c r="O3979" s="25" t="str">
        <x:v>Pendiente: asignar con R/sf</x:v>
      </x:c>
    </x:row>
    <x:row r="3980">
      <x:c r="A3980" s="25" t="n">
        <x:v>3979</x:v>
      </x:c>
      <x:c r="B3980" s="26" t="n">
        <x:v>43344.22085648148</x:v>
      </x:c>
      <x:c r="C3980" s="27" t="n">
        <x:f>INT(B3980)</x:f>
        <x:v>43344</x:v>
      </x:c>
      <x:c r="D3980" s="28" t="n">
        <x:f>MOD(B3980,1)</x:f>
        <x:v>0.22085648147913162</x:v>
      </x:c>
      <x:c r="E3980" s="29" t="n">
        <x:f>YEAR(B3980)</x:f>
        <x:v>2018</x:v>
      </x:c>
      <x:c r="F3980" s="29" t="n">
        <x:f>MONTH(B3980)</x:f>
        <x:v>9</x:v>
      </x:c>
      <x:c r="G3980" s="30" t="n">
        <x:v>-29.08</x:v>
      </x:c>
      <x:c r="H3980" s="30" t="n">
        <x:v>-71.54</x:v>
      </x:c>
      <x:c r="I3980" s="29" t="n">
        <x:v>40</x:v>
      </x:c>
      <x:c r="J3980" s="31" t="n">
        <x:v>3.9</x:v>
      </x:c>
      <x:c r="K3980" s="25" t="str">
        <x:f>IF(J3980&gt;=7,"Muy fuerte (&gt;=7)",IF(J3980&gt;=6,"Fuerte (6-6.9)",IF(J3980&gt;=5,"Moderado alto (5-5.9)",IF(J3980&gt;=4,"Moderado (4-4.9)","Menor a 4"))))</x:f>
        <x:v>Menor a 4</x:v>
      </x:c>
      <x:c r="L3980" s="25" t="str">
        <x:f>IF(I3980&lt;70,"Superficial (&lt;70 km)",IF(I3980&lt;=300,"Intermedio (70-300 km)","Profundo (&gt;300 km)"))</x:f>
        <x:v>Superficial (&lt;70 km)</x:v>
      </x:c>
      <x:c r="M3980" s="25" t="str">
        <x:f>IF(J3980&gt;=5,"Sí","No")</x:f>
        <x:v>No</x:v>
      </x:c>
      <x:c r="N3980" s="25" t="str">
        <x:f>IF(J3980&gt;=6,"Sí","No")</x:f>
        <x:v>No</x:v>
      </x:c>
      <x:c r="O3980" s="25" t="str">
        <x:v>Pendiente: asignar con R/sf</x:v>
      </x:c>
    </x:row>
    <x:row r="3981">
      <x:c r="A3981" s="25" t="n">
        <x:v>3980</x:v>
      </x:c>
      <x:c r="B3981" s="26" t="n">
        <x:v>43795.39707175926</x:v>
      </x:c>
      <x:c r="C3981" s="27" t="n">
        <x:f>INT(B3981)</x:f>
        <x:v>43795</x:v>
      </x:c>
      <x:c r="D3981" s="28" t="n">
        <x:f>MOD(B3981,1)</x:f>
        <x:v>0.39707175926014315</x:v>
      </x:c>
      <x:c r="E3981" s="29" t="n">
        <x:f>YEAR(B3981)</x:f>
        <x:v>2019</x:v>
      </x:c>
      <x:c r="F3981" s="29" t="n">
        <x:f>MONTH(B3981)</x:f>
        <x:v>11</x:v>
      </x:c>
      <x:c r="G3981" s="30" t="n">
        <x:v>-28.53</x:v>
      </x:c>
      <x:c r="H3981" s="30" t="n">
        <x:v>-71.34</x:v>
      </x:c>
      <x:c r="I3981" s="29" t="n">
        <x:v>42</x:v>
      </x:c>
      <x:c r="J3981" s="31" t="n">
        <x:v>4.8</x:v>
      </x:c>
      <x:c r="K3981" s="25" t="str">
        <x:f>IF(J3981&gt;=7,"Muy fuerte (&gt;=7)",IF(J3981&gt;=6,"Fuerte (6-6.9)",IF(J3981&gt;=5,"Moderado alto (5-5.9)",IF(J3981&gt;=4,"Moderado (4-4.9)","Menor a 4"))))</x:f>
        <x:v>Moderado (4-4.9)</x:v>
      </x:c>
      <x:c r="L3981" s="25" t="str">
        <x:f>IF(I3981&lt;70,"Superficial (&lt;70 km)",IF(I3981&lt;=300,"Intermedio (70-300 km)","Profundo (&gt;300 km)"))</x:f>
        <x:v>Superficial (&lt;70 km)</x:v>
      </x:c>
      <x:c r="M3981" s="25" t="str">
        <x:f>IF(J3981&gt;=5,"Sí","No")</x:f>
        <x:v>No</x:v>
      </x:c>
      <x:c r="N3981" s="25" t="str">
        <x:f>IF(J3981&gt;=6,"Sí","No")</x:f>
        <x:v>No</x:v>
      </x:c>
      <x:c r="O3981" s="25" t="str">
        <x:v>Pendiente: asignar con R/sf</x:v>
      </x:c>
    </x:row>
    <x:row r="3982">
      <x:c r="A3982" s="25" t="n">
        <x:v>3981</x:v>
      </x:c>
      <x:c r="B3982" s="26" t="n">
        <x:v>43926.59615740741</x:v>
      </x:c>
      <x:c r="C3982" s="27" t="n">
        <x:f>INT(B3982)</x:f>
        <x:v>43926</x:v>
      </x:c>
      <x:c r="D3982" s="28" t="n">
        <x:f>MOD(B3982,1)</x:f>
        <x:v>0.596157407409919</x:v>
      </x:c>
      <x:c r="E3982" s="29" t="n">
        <x:f>YEAR(B3982)</x:f>
        <x:v>2020</x:v>
      </x:c>
      <x:c r="F3982" s="29" t="n">
        <x:f>MONTH(B3982)</x:f>
        <x:v>4</x:v>
      </x:c>
      <x:c r="G3982" s="30" t="n">
        <x:v>-31.77</x:v>
      </x:c>
      <x:c r="H3982" s="30" t="n">
        <x:v>-71.66</x:v>
      </x:c>
      <x:c r="I3982" s="29" t="n">
        <x:v>32</x:v>
      </x:c>
      <x:c r="J3982" s="31" t="n">
        <x:v>4.1</x:v>
      </x:c>
      <x:c r="K3982" s="25" t="str">
        <x:f>IF(J3982&gt;=7,"Muy fuerte (&gt;=7)",IF(J3982&gt;=6,"Fuerte (6-6.9)",IF(J3982&gt;=5,"Moderado alto (5-5.9)",IF(J3982&gt;=4,"Moderado (4-4.9)","Menor a 4"))))</x:f>
        <x:v>Moderado (4-4.9)</x:v>
      </x:c>
      <x:c r="L3982" s="25" t="str">
        <x:f>IF(I3982&lt;70,"Superficial (&lt;70 km)",IF(I3982&lt;=300,"Intermedio (70-300 km)","Profundo (&gt;300 km)"))</x:f>
        <x:v>Superficial (&lt;70 km)</x:v>
      </x:c>
      <x:c r="M3982" s="25" t="str">
        <x:f>IF(J3982&gt;=5,"Sí","No")</x:f>
        <x:v>No</x:v>
      </x:c>
      <x:c r="N3982" s="25" t="str">
        <x:f>IF(J3982&gt;=6,"Sí","No")</x:f>
        <x:v>No</x:v>
      </x:c>
      <x:c r="O3982" s="25" t="str">
        <x:v>Pendiente: asignar con R/sf</x:v>
      </x:c>
    </x:row>
    <x:row r="3983">
      <x:c r="A3983" s="25" t="n">
        <x:v>3982</x:v>
      </x:c>
      <x:c r="B3983" s="26" t="n">
        <x:v>43653.889328703706</x:v>
      </x:c>
      <x:c r="C3983" s="27" t="n">
        <x:f>INT(B3983)</x:f>
        <x:v>43653</x:v>
      </x:c>
      <x:c r="D3983" s="28" t="n">
        <x:f>MOD(B3983,1)</x:f>
        <x:v>0.8893287037062692</x:v>
      </x:c>
      <x:c r="E3983" s="29" t="n">
        <x:f>YEAR(B3983)</x:f>
        <x:v>2019</x:v>
      </x:c>
      <x:c r="F3983" s="29" t="n">
        <x:f>MONTH(B3983)</x:f>
        <x:v>7</x:v>
      </x:c>
      <x:c r="G3983" s="30" t="n">
        <x:v>-30.9</x:v>
      </x:c>
      <x:c r="H3983" s="30" t="n">
        <x:v>-71.33</x:v>
      </x:c>
      <x:c r="I3983" s="29" t="n">
        <x:v>55</x:v>
      </x:c>
      <x:c r="J3983" s="31" t="n">
        <x:v>3.7</x:v>
      </x:c>
      <x:c r="K3983" s="25" t="str">
        <x:f>IF(J3983&gt;=7,"Muy fuerte (&gt;=7)",IF(J3983&gt;=6,"Fuerte (6-6.9)",IF(J3983&gt;=5,"Moderado alto (5-5.9)",IF(J3983&gt;=4,"Moderado (4-4.9)","Menor a 4"))))</x:f>
        <x:v>Menor a 4</x:v>
      </x:c>
      <x:c r="L3983" s="25" t="str">
        <x:f>IF(I3983&lt;70,"Superficial (&lt;70 km)",IF(I3983&lt;=300,"Intermedio (70-300 km)","Profundo (&gt;300 km)"))</x:f>
        <x:v>Superficial (&lt;70 km)</x:v>
      </x:c>
      <x:c r="M3983" s="25" t="str">
        <x:f>IF(J3983&gt;=5,"Sí","No")</x:f>
        <x:v>No</x:v>
      </x:c>
      <x:c r="N3983" s="25" t="str">
        <x:f>IF(J3983&gt;=6,"Sí","No")</x:f>
        <x:v>No</x:v>
      </x:c>
      <x:c r="O3983" s="25" t="str">
        <x:v>Pendiente: asignar con R/sf</x:v>
      </x:c>
    </x:row>
    <x:row r="3984">
      <x:c r="A3984" s="25" t="n">
        <x:v>3983</x:v>
      </x:c>
      <x:c r="B3984" s="26" t="n">
        <x:v>43822.47466435185</x:v>
      </x:c>
      <x:c r="C3984" s="27" t="n">
        <x:f>INT(B3984)</x:f>
        <x:v>43822</x:v>
      </x:c>
      <x:c r="D3984" s="28" t="n">
        <x:f>MOD(B3984,1)</x:f>
        <x:v>0.4746643518519704</x:v>
      </x:c>
      <x:c r="E3984" s="29" t="n">
        <x:f>YEAR(B3984)</x:f>
        <x:v>2019</x:v>
      </x:c>
      <x:c r="F3984" s="29" t="n">
        <x:f>MONTH(B3984)</x:f>
        <x:v>12</x:v>
      </x:c>
      <x:c r="G3984" s="30" t="n">
        <x:v>-28.67</x:v>
      </x:c>
      <x:c r="H3984" s="30" t="n">
        <x:v>-71.45</x:v>
      </x:c>
      <x:c r="I3984" s="29" t="n">
        <x:v>33</x:v>
      </x:c>
      <x:c r="J3984" s="31" t="n">
        <x:v>4.4</x:v>
      </x:c>
      <x:c r="K3984" s="25" t="str">
        <x:f>IF(J3984&gt;=7,"Muy fuerte (&gt;=7)",IF(J3984&gt;=6,"Fuerte (6-6.9)",IF(J3984&gt;=5,"Moderado alto (5-5.9)",IF(J3984&gt;=4,"Moderado (4-4.9)","Menor a 4"))))</x:f>
        <x:v>Moderado (4-4.9)</x:v>
      </x:c>
      <x:c r="L3984" s="25" t="str">
        <x:f>IF(I3984&lt;70,"Superficial (&lt;70 km)",IF(I3984&lt;=300,"Intermedio (70-300 km)","Profundo (&gt;300 km)"))</x:f>
        <x:v>Superficial (&lt;70 km)</x:v>
      </x:c>
      <x:c r="M3984" s="25" t="str">
        <x:f>IF(J3984&gt;=5,"Sí","No")</x:f>
        <x:v>No</x:v>
      </x:c>
      <x:c r="N3984" s="25" t="str">
        <x:f>IF(J3984&gt;=6,"Sí","No")</x:f>
        <x:v>No</x:v>
      </x:c>
      <x:c r="O3984" s="25" t="str">
        <x:v>Pendiente: asignar con R/sf</x:v>
      </x:c>
    </x:row>
    <x:row r="3985">
      <x:c r="A3985" s="25" t="n">
        <x:v>3984</x:v>
      </x:c>
      <x:c r="B3985" s="26" t="n">
        <x:v>43730.155</x:v>
      </x:c>
      <x:c r="C3985" s="27" t="n">
        <x:f>INT(B3985)</x:f>
        <x:v>43730</x:v>
      </x:c>
      <x:c r="D3985" s="28" t="n">
        <x:f>MOD(B3985,1)</x:f>
        <x:v>0.15499999999883585</x:v>
      </x:c>
      <x:c r="E3985" s="29" t="n">
        <x:f>YEAR(B3985)</x:f>
        <x:v>2019</x:v>
      </x:c>
      <x:c r="F3985" s="29" t="n">
        <x:f>MONTH(B3985)</x:f>
        <x:v>9</x:v>
      </x:c>
      <x:c r="G3985" s="30" t="n">
        <x:v>-31.47</x:v>
      </x:c>
      <x:c r="H3985" s="30" t="n">
        <x:v>-71.65</x:v>
      </x:c>
      <x:c r="I3985" s="29" t="n">
        <x:v>40</x:v>
      </x:c>
      <x:c r="J3985" s="31" t="n">
        <x:v>3.7</x:v>
      </x:c>
      <x:c r="K3985" s="25" t="str">
        <x:f>IF(J3985&gt;=7,"Muy fuerte (&gt;=7)",IF(J3985&gt;=6,"Fuerte (6-6.9)",IF(J3985&gt;=5,"Moderado alto (5-5.9)",IF(J3985&gt;=4,"Moderado (4-4.9)","Menor a 4"))))</x:f>
        <x:v>Menor a 4</x:v>
      </x:c>
      <x:c r="L3985" s="25" t="str">
        <x:f>IF(I3985&lt;70,"Superficial (&lt;70 km)",IF(I3985&lt;=300,"Intermedio (70-300 km)","Profundo (&gt;300 km)"))</x:f>
        <x:v>Superficial (&lt;70 km)</x:v>
      </x:c>
      <x:c r="M3985" s="25" t="str">
        <x:f>IF(J3985&gt;=5,"Sí","No")</x:f>
        <x:v>No</x:v>
      </x:c>
      <x:c r="N3985" s="25" t="str">
        <x:f>IF(J3985&gt;=6,"Sí","No")</x:f>
        <x:v>No</x:v>
      </x:c>
      <x:c r="O3985" s="25" t="str">
        <x:v>Pendiente: asignar con R/sf</x:v>
      </x:c>
    </x:row>
    <x:row r="3986">
      <x:c r="A3986" s="25" t="n">
        <x:v>3985</x:v>
      </x:c>
      <x:c r="B3986" s="26" t="n">
        <x:v>43558.634930555556</x:v>
      </x:c>
      <x:c r="C3986" s="27" t="n">
        <x:f>INT(B3986)</x:f>
        <x:v>43558</x:v>
      </x:c>
      <x:c r="D3986" s="28" t="n">
        <x:f>MOD(B3986,1)</x:f>
        <x:v>0.6349305555559113</x:v>
      </x:c>
      <x:c r="E3986" s="29" t="n">
        <x:f>YEAR(B3986)</x:f>
        <x:v>2019</x:v>
      </x:c>
      <x:c r="F3986" s="29" t="n">
        <x:f>MONTH(B3986)</x:f>
        <x:v>4</x:v>
      </x:c>
      <x:c r="G3986" s="30" t="n">
        <x:v>-29.75</x:v>
      </x:c>
      <x:c r="H3986" s="30" t="n">
        <x:v>-70.9</x:v>
      </x:c>
      <x:c r="I3986" s="29" t="n">
        <x:v>82</x:v>
      </x:c>
      <x:c r="J3986" s="31" t="n">
        <x:v>3.8</x:v>
      </x:c>
      <x:c r="K3986" s="25" t="str">
        <x:f>IF(J3986&gt;=7,"Muy fuerte (&gt;=7)",IF(J3986&gt;=6,"Fuerte (6-6.9)",IF(J3986&gt;=5,"Moderado alto (5-5.9)",IF(J3986&gt;=4,"Moderado (4-4.9)","Menor a 4"))))</x:f>
        <x:v>Menor a 4</x:v>
      </x:c>
      <x:c r="L3986" s="25" t="str">
        <x:f>IF(I3986&lt;70,"Superficial (&lt;70 km)",IF(I3986&lt;=300,"Intermedio (70-300 km)","Profundo (&gt;300 km)"))</x:f>
        <x:v>Intermedio (70-300 km)</x:v>
      </x:c>
      <x:c r="M3986" s="25" t="str">
        <x:f>IF(J3986&gt;=5,"Sí","No")</x:f>
        <x:v>No</x:v>
      </x:c>
      <x:c r="N3986" s="25" t="str">
        <x:f>IF(J3986&gt;=6,"Sí","No")</x:f>
        <x:v>No</x:v>
      </x:c>
      <x:c r="O3986" s="25" t="str">
        <x:v>Pendiente: asignar con R/sf</x:v>
      </x:c>
    </x:row>
    <x:row r="3987">
      <x:c r="A3987" s="25" t="n">
        <x:v>3986</x:v>
      </x:c>
      <x:c r="B3987" s="26" t="n">
        <x:v>43809.92015046296</x:v>
      </x:c>
      <x:c r="C3987" s="27" t="n">
        <x:f>INT(B3987)</x:f>
        <x:v>43809</x:v>
      </x:c>
      <x:c r="D3987" s="28" t="n">
        <x:f>MOD(B3987,1)</x:f>
        <x:v>0.9201504629600095</x:v>
      </x:c>
      <x:c r="E3987" s="29" t="n">
        <x:f>YEAR(B3987)</x:f>
        <x:v>2019</x:v>
      </x:c>
      <x:c r="F3987" s="29" t="n">
        <x:f>MONTH(B3987)</x:f>
        <x:v>12</x:v>
      </x:c>
      <x:c r="G3987" s="30" t="n">
        <x:v>-31.83</x:v>
      </x:c>
      <x:c r="H3987" s="30" t="n">
        <x:v>-71.29</x:v>
      </x:c>
      <x:c r="I3987" s="29" t="n">
        <x:v>57</x:v>
      </x:c>
      <x:c r="J3987" s="31" t="n">
        <x:v>4.2</x:v>
      </x:c>
      <x:c r="K3987" s="25" t="str">
        <x:f>IF(J3987&gt;=7,"Muy fuerte (&gt;=7)",IF(J3987&gt;=6,"Fuerte (6-6.9)",IF(J3987&gt;=5,"Moderado alto (5-5.9)",IF(J3987&gt;=4,"Moderado (4-4.9)","Menor a 4"))))</x:f>
        <x:v>Moderado (4-4.9)</x:v>
      </x:c>
      <x:c r="L3987" s="25" t="str">
        <x:f>IF(I3987&lt;70,"Superficial (&lt;70 km)",IF(I3987&lt;=300,"Intermedio (70-300 km)","Profundo (&gt;300 km)"))</x:f>
        <x:v>Superficial (&lt;70 km)</x:v>
      </x:c>
      <x:c r="M3987" s="25" t="str">
        <x:f>IF(J3987&gt;=5,"Sí","No")</x:f>
        <x:v>No</x:v>
      </x:c>
      <x:c r="N3987" s="25" t="str">
        <x:f>IF(J3987&gt;=6,"Sí","No")</x:f>
        <x:v>No</x:v>
      </x:c>
      <x:c r="O3987" s="25" t="str">
        <x:v>Pendiente: asignar con R/sf</x:v>
      </x:c>
    </x:row>
    <x:row r="3988">
      <x:c r="A3988" s="25" t="n">
        <x:v>3987</x:v>
      </x:c>
      <x:c r="B3988" s="26" t="n">
        <x:v>43785.863599537035</x:v>
      </x:c>
      <x:c r="C3988" s="27" t="n">
        <x:f>INT(B3988)</x:f>
        <x:v>43785</x:v>
      </x:c>
      <x:c r="D3988" s="28" t="n">
        <x:f>MOD(B3988,1)</x:f>
        <x:v>0.8635995370350429</x:v>
      </x:c>
      <x:c r="E3988" s="29" t="n">
        <x:f>YEAR(B3988)</x:f>
        <x:v>2019</x:v>
      </x:c>
      <x:c r="F3988" s="29" t="n">
        <x:f>MONTH(B3988)</x:f>
        <x:v>11</x:v>
      </x:c>
      <x:c r="G3988" s="30" t="n">
        <x:v>-31.77</x:v>
      </x:c>
      <x:c r="H3988" s="30" t="n">
        <x:v>-71.36</x:v>
      </x:c>
      <x:c r="I3988" s="29" t="n">
        <x:v>48</x:v>
      </x:c>
      <x:c r="J3988" s="31" t="n">
        <x:v>3.9</x:v>
      </x:c>
      <x:c r="K3988" s="25" t="str">
        <x:f>IF(J3988&gt;=7,"Muy fuerte (&gt;=7)",IF(J3988&gt;=6,"Fuerte (6-6.9)",IF(J3988&gt;=5,"Moderado alto (5-5.9)",IF(J3988&gt;=4,"Moderado (4-4.9)","Menor a 4"))))</x:f>
        <x:v>Menor a 4</x:v>
      </x:c>
      <x:c r="L3988" s="25" t="str">
        <x:f>IF(I3988&lt;70,"Superficial (&lt;70 km)",IF(I3988&lt;=300,"Intermedio (70-300 km)","Profundo (&gt;300 km)"))</x:f>
        <x:v>Superficial (&lt;70 km)</x:v>
      </x:c>
      <x:c r="M3988" s="25" t="str">
        <x:f>IF(J3988&gt;=5,"Sí","No")</x:f>
        <x:v>No</x:v>
      </x:c>
      <x:c r="N3988" s="25" t="str">
        <x:f>IF(J3988&gt;=6,"Sí","No")</x:f>
        <x:v>No</x:v>
      </x:c>
      <x:c r="O3988" s="25" t="str">
        <x:v>Pendiente: asignar con R/sf</x:v>
      </x:c>
    </x:row>
    <x:row r="3989">
      <x:c r="A3989" s="25" t="n">
        <x:v>3988</x:v>
      </x:c>
      <x:c r="B3989" s="26" t="n">
        <x:v>44059.138078703705</x:v>
      </x:c>
      <x:c r="C3989" s="27" t="n">
        <x:f>INT(B3989)</x:f>
        <x:v>44059</x:v>
      </x:c>
      <x:c r="D3989" s="28" t="n">
        <x:f>MOD(B3989,1)</x:f>
        <x:v>0.138078703705105</x:v>
      </x:c>
      <x:c r="E3989" s="29" t="n">
        <x:f>YEAR(B3989)</x:f>
        <x:v>2020</x:v>
      </x:c>
      <x:c r="F3989" s="29" t="n">
        <x:f>MONTH(B3989)</x:f>
        <x:v>8</x:v>
      </x:c>
      <x:c r="G3989" s="30" t="n">
        <x:v>-19.2</x:v>
      </x:c>
      <x:c r="H3989" s="30" t="n">
        <x:v>-70.24</x:v>
      </x:c>
      <x:c r="I3989" s="29" t="n">
        <x:v>72</x:v>
      </x:c>
      <x:c r="J3989" s="31" t="n">
        <x:v>5.2</x:v>
      </x:c>
      <x:c r="K3989" s="25" t="str">
        <x:f>IF(J3989&gt;=7,"Muy fuerte (&gt;=7)",IF(J3989&gt;=6,"Fuerte (6-6.9)",IF(J3989&gt;=5,"Moderado alto (5-5.9)",IF(J3989&gt;=4,"Moderado (4-4.9)","Menor a 4"))))</x:f>
        <x:v>Moderado alto (5-5.9)</x:v>
      </x:c>
      <x:c r="L3989" s="25" t="str">
        <x:f>IF(I3989&lt;70,"Superficial (&lt;70 km)",IF(I3989&lt;=300,"Intermedio (70-300 km)","Profundo (&gt;300 km)"))</x:f>
        <x:v>Intermedio (70-300 km)</x:v>
      </x:c>
      <x:c r="M3989" s="25" t="str">
        <x:f>IF(J3989&gt;=5,"Sí","No")</x:f>
        <x:v>Sí</x:v>
      </x:c>
      <x:c r="N3989" s="25" t="str">
        <x:f>IF(J3989&gt;=6,"Sí","No")</x:f>
        <x:v>No</x:v>
      </x:c>
      <x:c r="O3989" s="25" t="str">
        <x:v>Pendiente: asignar con R/sf</x:v>
      </x:c>
    </x:row>
    <x:row r="3990">
      <x:c r="A3990" s="25" t="n">
        <x:v>3989</x:v>
      </x:c>
      <x:c r="B3990" s="26" t="n">
        <x:v>43580.39828703704</x:v>
      </x:c>
      <x:c r="C3990" s="27" t="n">
        <x:f>INT(B3990)</x:f>
        <x:v>43580</x:v>
      </x:c>
      <x:c r="D3990" s="28" t="n">
        <x:f>MOD(B3990,1)</x:f>
        <x:v>0.3982870370382443</x:v>
      </x:c>
      <x:c r="E3990" s="29" t="n">
        <x:f>YEAR(B3990)</x:f>
        <x:v>2019</x:v>
      </x:c>
      <x:c r="F3990" s="29" t="n">
        <x:f>MONTH(B3990)</x:f>
        <x:v>4</x:v>
      </x:c>
      <x:c r="G3990" s="30" t="n">
        <x:v>-29.66</x:v>
      </x:c>
      <x:c r="H3990" s="30" t="n">
        <x:v>-71.3</x:v>
      </x:c>
      <x:c r="I3990" s="29" t="n">
        <x:v>68</x:v>
      </x:c>
      <x:c r="J3990" s="31" t="n">
        <x:v>3.8</x:v>
      </x:c>
      <x:c r="K3990" s="25" t="str">
        <x:f>IF(J3990&gt;=7,"Muy fuerte (&gt;=7)",IF(J3990&gt;=6,"Fuerte (6-6.9)",IF(J3990&gt;=5,"Moderado alto (5-5.9)",IF(J3990&gt;=4,"Moderado (4-4.9)","Menor a 4"))))</x:f>
        <x:v>Menor a 4</x:v>
      </x:c>
      <x:c r="L3990" s="25" t="str">
        <x:f>IF(I3990&lt;70,"Superficial (&lt;70 km)",IF(I3990&lt;=300,"Intermedio (70-300 km)","Profundo (&gt;300 km)"))</x:f>
        <x:v>Superficial (&lt;70 km)</x:v>
      </x:c>
      <x:c r="M3990" s="25" t="str">
        <x:f>IF(J3990&gt;=5,"Sí","No")</x:f>
        <x:v>No</x:v>
      </x:c>
      <x:c r="N3990" s="25" t="str">
        <x:f>IF(J3990&gt;=6,"Sí","No")</x:f>
        <x:v>No</x:v>
      </x:c>
      <x:c r="O3990" s="25" t="str">
        <x:v>Pendiente: asignar con R/sf</x:v>
      </x:c>
    </x:row>
    <x:row r="3991">
      <x:c r="A3991" s="25" t="n">
        <x:v>3990</x:v>
      </x:c>
      <x:c r="B3991" s="26" t="n">
        <x:v>43612.94752314815</x:v>
      </x:c>
      <x:c r="C3991" s="27" t="n">
        <x:f>INT(B3991)</x:f>
        <x:v>43612</x:v>
      </x:c>
      <x:c r="D3991" s="28" t="n">
        <x:f>MOD(B3991,1)</x:f>
        <x:v>0.9475231481483206</x:v>
      </x:c>
      <x:c r="E3991" s="29" t="n">
        <x:f>YEAR(B3991)</x:f>
        <x:v>2019</x:v>
      </x:c>
      <x:c r="F3991" s="29" t="n">
        <x:f>MONTH(B3991)</x:f>
        <x:v>5</x:v>
      </x:c>
      <x:c r="G3991" s="30" t="n">
        <x:v>-28.73</x:v>
      </x:c>
      <x:c r="H3991" s="30" t="n">
        <x:v>-70.57</x:v>
      </x:c>
      <x:c r="I3991" s="29" t="n">
        <x:v>92</x:v>
      </x:c>
      <x:c r="J3991" s="31" t="n">
        <x:v>4.6</x:v>
      </x:c>
      <x:c r="K3991" s="25" t="str">
        <x:f>IF(J3991&gt;=7,"Muy fuerte (&gt;=7)",IF(J3991&gt;=6,"Fuerte (6-6.9)",IF(J3991&gt;=5,"Moderado alto (5-5.9)",IF(J3991&gt;=4,"Moderado (4-4.9)","Menor a 4"))))</x:f>
        <x:v>Moderado (4-4.9)</x:v>
      </x:c>
      <x:c r="L3991" s="25" t="str">
        <x:f>IF(I3991&lt;70,"Superficial (&lt;70 km)",IF(I3991&lt;=300,"Intermedio (70-300 km)","Profundo (&gt;300 km)"))</x:f>
        <x:v>Intermedio (70-300 km)</x:v>
      </x:c>
      <x:c r="M3991" s="25" t="str">
        <x:f>IF(J3991&gt;=5,"Sí","No")</x:f>
        <x:v>No</x:v>
      </x:c>
      <x:c r="N3991" s="25" t="str">
        <x:f>IF(J3991&gt;=6,"Sí","No")</x:f>
        <x:v>No</x:v>
      </x:c>
      <x:c r="O3991" s="25" t="str">
        <x:v>Pendiente: asignar con R/sf</x:v>
      </x:c>
    </x:row>
    <x:row r="3992">
      <x:c r="A3992" s="25" t="n">
        <x:v>3991</x:v>
      </x:c>
      <x:c r="B3992" s="26" t="n">
        <x:v>43354.63952546296</x:v>
      </x:c>
      <x:c r="C3992" s="27" t="n">
        <x:f>INT(B3992)</x:f>
        <x:v>43354</x:v>
      </x:c>
      <x:c r="D3992" s="28" t="n">
        <x:f>MOD(B3992,1)</x:f>
        <x:v>0.6395254629605915</x:v>
      </x:c>
      <x:c r="E3992" s="29" t="n">
        <x:f>YEAR(B3992)</x:f>
        <x:v>2018</x:v>
      </x:c>
      <x:c r="F3992" s="29" t="n">
        <x:f>MONTH(B3992)</x:f>
        <x:v>9</x:v>
      </x:c>
      <x:c r="G3992" s="30" t="n">
        <x:v>-31.43</x:v>
      </x:c>
      <x:c r="H3992" s="30" t="n">
        <x:v>-71.48</x:v>
      </x:c>
      <x:c r="I3992" s="29" t="n">
        <x:v>36</x:v>
      </x:c>
      <x:c r="J3992" s="31" t="n">
        <x:v>3.3</x:v>
      </x:c>
      <x:c r="K3992" s="25" t="str">
        <x:f>IF(J3992&gt;=7,"Muy fuerte (&gt;=7)",IF(J3992&gt;=6,"Fuerte (6-6.9)",IF(J3992&gt;=5,"Moderado alto (5-5.9)",IF(J3992&gt;=4,"Moderado (4-4.9)","Menor a 4"))))</x:f>
        <x:v>Menor a 4</x:v>
      </x:c>
      <x:c r="L3992" s="25" t="str">
        <x:f>IF(I3992&lt;70,"Superficial (&lt;70 km)",IF(I3992&lt;=300,"Intermedio (70-300 km)","Profundo (&gt;300 km)"))</x:f>
        <x:v>Superficial (&lt;70 km)</x:v>
      </x:c>
      <x:c r="M3992" s="25" t="str">
        <x:f>IF(J3992&gt;=5,"Sí","No")</x:f>
        <x:v>No</x:v>
      </x:c>
      <x:c r="N3992" s="25" t="str">
        <x:f>IF(J3992&gt;=6,"Sí","No")</x:f>
        <x:v>No</x:v>
      </x:c>
      <x:c r="O3992" s="25" t="str">
        <x:v>Pendiente: asignar con R/sf</x:v>
      </x:c>
    </x:row>
    <x:row r="3993">
      <x:c r="A3993" s="25" t="n">
        <x:v>3992</x:v>
      </x:c>
      <x:c r="B3993" s="26" t="n">
        <x:v>43728.69019675926</x:v>
      </x:c>
      <x:c r="C3993" s="27" t="n">
        <x:f>INT(B3993)</x:f>
        <x:v>43728</x:v>
      </x:c>
      <x:c r="D3993" s="28" t="n">
        <x:f>MOD(B3993,1)</x:f>
        <x:v>0.6901967592566507</x:v>
      </x:c>
      <x:c r="E3993" s="29" t="n">
        <x:f>YEAR(B3993)</x:f>
        <x:v>2019</x:v>
      </x:c>
      <x:c r="F3993" s="29" t="n">
        <x:f>MONTH(B3993)</x:f>
        <x:v>9</x:v>
      </x:c>
      <x:c r="G3993" s="30" t="n">
        <x:v>-28.58</x:v>
      </x:c>
      <x:c r="H3993" s="30" t="n">
        <x:v>-71.22</x:v>
      </x:c>
      <x:c r="I3993" s="29" t="n">
        <x:v>40</x:v>
      </x:c>
      <x:c r="J3993" s="31" t="n">
        <x:v>4.5</x:v>
      </x:c>
      <x:c r="K3993" s="25" t="str">
        <x:f>IF(J3993&gt;=7,"Muy fuerte (&gt;=7)",IF(J3993&gt;=6,"Fuerte (6-6.9)",IF(J3993&gt;=5,"Moderado alto (5-5.9)",IF(J3993&gt;=4,"Moderado (4-4.9)","Menor a 4"))))</x:f>
        <x:v>Moderado (4-4.9)</x:v>
      </x:c>
      <x:c r="L3993" s="25" t="str">
        <x:f>IF(I3993&lt;70,"Superficial (&lt;70 km)",IF(I3993&lt;=300,"Intermedio (70-300 km)","Profundo (&gt;300 km)"))</x:f>
        <x:v>Superficial (&lt;70 km)</x:v>
      </x:c>
      <x:c r="M3993" s="25" t="str">
        <x:f>IF(J3993&gt;=5,"Sí","No")</x:f>
        <x:v>No</x:v>
      </x:c>
      <x:c r="N3993" s="25" t="str">
        <x:f>IF(J3993&gt;=6,"Sí","No")</x:f>
        <x:v>No</x:v>
      </x:c>
      <x:c r="O3993" s="25" t="str">
        <x:v>Pendiente: asignar con R/sf</x:v>
      </x:c>
    </x:row>
    <x:row r="3994">
      <x:c r="A3994" s="25" t="n">
        <x:v>3993</x:v>
      </x:c>
      <x:c r="B3994" s="26" t="n">
        <x:v>43727.553136574075</x:v>
      </x:c>
      <x:c r="C3994" s="27" t="n">
        <x:f>INT(B3994)</x:f>
        <x:v>43727</x:v>
      </x:c>
      <x:c r="D3994" s="28" t="n">
        <x:f>MOD(B3994,1)</x:f>
        <x:v>0.5531365740753245</x:v>
      </x:c>
      <x:c r="E3994" s="29" t="n">
        <x:f>YEAR(B3994)</x:f>
        <x:v>2019</x:v>
      </x:c>
      <x:c r="F3994" s="29" t="n">
        <x:f>MONTH(B3994)</x:f>
        <x:v>9</x:v>
      </x:c>
      <x:c r="G3994" s="30" t="n">
        <x:v>-31.51</x:v>
      </x:c>
      <x:c r="H3994" s="30" t="n">
        <x:v>-71.54</x:v>
      </x:c>
      <x:c r="I3994" s="29" t="n">
        <x:v>49</x:v>
      </x:c>
      <x:c r="J3994" s="31" t="n">
        <x:v>3.4</x:v>
      </x:c>
      <x:c r="K3994" s="25" t="str">
        <x:f>IF(J3994&gt;=7,"Muy fuerte (&gt;=7)",IF(J3994&gt;=6,"Fuerte (6-6.9)",IF(J3994&gt;=5,"Moderado alto (5-5.9)",IF(J3994&gt;=4,"Moderado (4-4.9)","Menor a 4"))))</x:f>
        <x:v>Menor a 4</x:v>
      </x:c>
      <x:c r="L3994" s="25" t="str">
        <x:f>IF(I3994&lt;70,"Superficial (&lt;70 km)",IF(I3994&lt;=300,"Intermedio (70-300 km)","Profundo (&gt;300 km)"))</x:f>
        <x:v>Superficial (&lt;70 km)</x:v>
      </x:c>
      <x:c r="M3994" s="25" t="str">
        <x:f>IF(J3994&gt;=5,"Sí","No")</x:f>
        <x:v>No</x:v>
      </x:c>
      <x:c r="N3994" s="25" t="str">
        <x:f>IF(J3994&gt;=6,"Sí","No")</x:f>
        <x:v>No</x:v>
      </x:c>
      <x:c r="O3994" s="25" t="str">
        <x:v>Pendiente: asignar con R/sf</x:v>
      </x:c>
    </x:row>
    <x:row r="3995">
      <x:c r="A3995" s="25" t="n">
        <x:v>3994</x:v>
      </x:c>
      <x:c r="B3995" s="26" t="n">
        <x:v>43706.975636574076</x:v>
      </x:c>
      <x:c r="C3995" s="27" t="n">
        <x:f>INT(B3995)</x:f>
        <x:v>43706</x:v>
      </x:c>
      <x:c r="D3995" s="28" t="n">
        <x:f>MOD(B3995,1)</x:f>
        <x:v>0.9756365740759065</x:v>
      </x:c>
      <x:c r="E3995" s="29" t="n">
        <x:f>YEAR(B3995)</x:f>
        <x:v>2019</x:v>
      </x:c>
      <x:c r="F3995" s="29" t="n">
        <x:f>MONTH(B3995)</x:f>
        <x:v>8</x:v>
      </x:c>
      <x:c r="G3995" s="30" t="n">
        <x:v>-31.49</x:v>
      </x:c>
      <x:c r="H3995" s="30" t="n">
        <x:v>-71.69</x:v>
      </x:c>
      <x:c r="I3995" s="29" t="n">
        <x:v>25</x:v>
      </x:c>
      <x:c r="J3995" s="31" t="n">
        <x:v>3.8</x:v>
      </x:c>
      <x:c r="K3995" s="25" t="str">
        <x:f>IF(J3995&gt;=7,"Muy fuerte (&gt;=7)",IF(J3995&gt;=6,"Fuerte (6-6.9)",IF(J3995&gt;=5,"Moderado alto (5-5.9)",IF(J3995&gt;=4,"Moderado (4-4.9)","Menor a 4"))))</x:f>
        <x:v>Menor a 4</x:v>
      </x:c>
      <x:c r="L3995" s="25" t="str">
        <x:f>IF(I3995&lt;70,"Superficial (&lt;70 km)",IF(I3995&lt;=300,"Intermedio (70-300 km)","Profundo (&gt;300 km)"))</x:f>
        <x:v>Superficial (&lt;70 km)</x:v>
      </x:c>
      <x:c r="M3995" s="25" t="str">
        <x:f>IF(J3995&gt;=5,"Sí","No")</x:f>
        <x:v>No</x:v>
      </x:c>
      <x:c r="N3995" s="25" t="str">
        <x:f>IF(J3995&gt;=6,"Sí","No")</x:f>
        <x:v>No</x:v>
      </x:c>
      <x:c r="O3995" s="25" t="str">
        <x:v>Pendiente: asignar con R/sf</x:v>
      </x:c>
    </x:row>
    <x:row r="3996">
      <x:c r="A3996" s="25" t="n">
        <x:v>3995</x:v>
      </x:c>
      <x:c r="B3996" s="26" t="n">
        <x:v>44075.22892361111</x:v>
      </x:c>
      <x:c r="C3996" s="27" t="n">
        <x:f>INT(B3996)</x:f>
        <x:v>44075</x:v>
      </x:c>
      <x:c r="D3996" s="28" t="n">
        <x:f>MOD(B3996,1)</x:f>
        <x:v>0.2289236111100763</x:v>
      </x:c>
      <x:c r="E3996" s="29" t="n">
        <x:f>YEAR(B3996)</x:f>
        <x:v>2020</x:v>
      </x:c>
      <x:c r="F3996" s="29" t="n">
        <x:f>MONTH(B3996)</x:f>
        <x:v>9</x:v>
      </x:c>
      <x:c r="G3996" s="30" t="n">
        <x:v>-28.06</x:v>
      </x:c>
      <x:c r="H3996" s="30" t="n">
        <x:v>-71.36</x:v>
      </x:c>
      <x:c r="I3996" s="29" t="n">
        <x:v>24</x:v>
      </x:c>
      <x:c r="J3996" s="31" t="n">
        <x:v>5.2</x:v>
      </x:c>
      <x:c r="K3996" s="25" t="str">
        <x:f>IF(J3996&gt;=7,"Muy fuerte (&gt;=7)",IF(J3996&gt;=6,"Fuerte (6-6.9)",IF(J3996&gt;=5,"Moderado alto (5-5.9)",IF(J3996&gt;=4,"Moderado (4-4.9)","Menor a 4"))))</x:f>
        <x:v>Moderado alto (5-5.9)</x:v>
      </x:c>
      <x:c r="L3996" s="25" t="str">
        <x:f>IF(I3996&lt;70,"Superficial (&lt;70 km)",IF(I3996&lt;=300,"Intermedio (70-300 km)","Profundo (&gt;300 km)"))</x:f>
        <x:v>Superficial (&lt;70 km)</x:v>
      </x:c>
      <x:c r="M3996" s="25" t="str">
        <x:f>IF(J3996&gt;=5,"Sí","No")</x:f>
        <x:v>Sí</x:v>
      </x:c>
      <x:c r="N3996" s="25" t="str">
        <x:f>IF(J3996&gt;=6,"Sí","No")</x:f>
        <x:v>No</x:v>
      </x:c>
      <x:c r="O3996" s="25" t="str">
        <x:v>Pendiente: asignar con R/sf</x:v>
      </x:c>
    </x:row>
    <x:row r="3997">
      <x:c r="A3997" s="25" t="n">
        <x:v>3996</x:v>
      </x:c>
      <x:c r="B3997" s="26" t="n">
        <x:v>44075.17322916666</x:v>
      </x:c>
      <x:c r="C3997" s="27" t="n">
        <x:f>INT(B3997)</x:f>
        <x:v>44075</x:v>
      </x:c>
      <x:c r="D3997" s="28" t="n">
        <x:f>MOD(B3997,1)</x:f>
        <x:v>0.1732291666630772</x:v>
      </x:c>
      <x:c r="E3997" s="29" t="n">
        <x:f>YEAR(B3997)</x:f>
        <x:v>2020</x:v>
      </x:c>
      <x:c r="F3997" s="29" t="n">
        <x:f>MONTH(B3997)</x:f>
        <x:v>9</x:v>
      </x:c>
      <x:c r="G3997" s="30" t="n">
        <x:v>-27.97</x:v>
      </x:c>
      <x:c r="H3997" s="30" t="n">
        <x:v>-71.24</x:v>
      </x:c>
      <x:c r="I3997" s="29" t="n">
        <x:v>31</x:v>
      </x:c>
      <x:c r="J3997" s="31" t="n">
        <x:v>7</x:v>
      </x:c>
      <x:c r="K3997" s="25" t="str">
        <x:f>IF(J3997&gt;=7,"Muy fuerte (&gt;=7)",IF(J3997&gt;=6,"Fuerte (6-6.9)",IF(J3997&gt;=5,"Moderado alto (5-5.9)",IF(J3997&gt;=4,"Moderado (4-4.9)","Menor a 4"))))</x:f>
        <x:v>Muy fuerte (&gt;=7)</x:v>
      </x:c>
      <x:c r="L3997" s="25" t="str">
        <x:f>IF(I3997&lt;70,"Superficial (&lt;70 km)",IF(I3997&lt;=300,"Intermedio (70-300 km)","Profundo (&gt;300 km)"))</x:f>
        <x:v>Superficial (&lt;70 km)</x:v>
      </x:c>
      <x:c r="M3997" s="25" t="str">
        <x:f>IF(J3997&gt;=5,"Sí","No")</x:f>
        <x:v>Sí</x:v>
      </x:c>
      <x:c r="N3997" s="25" t="str">
        <x:f>IF(J3997&gt;=6,"Sí","No")</x:f>
        <x:v>Sí</x:v>
      </x:c>
      <x:c r="O3997" s="25" t="str">
        <x:v>Pendiente: asignar con R/sf</x:v>
      </x:c>
    </x:row>
    <x:row r="3998">
      <x:c r="A3998" s="25" t="n">
        <x:v>3997</x:v>
      </x:c>
      <x:c r="B3998" s="26" t="n">
        <x:v>43536.34680555556</x:v>
      </x:c>
      <x:c r="C3998" s="27" t="n">
        <x:f>INT(B3998)</x:f>
        <x:v>43536</x:v>
      </x:c>
      <x:c r="D3998" s="28" t="n">
        <x:f>MOD(B3998,1)</x:f>
        <x:v>0.3468055555567844</x:v>
      </x:c>
      <x:c r="E3998" s="29" t="n">
        <x:f>YEAR(B3998)</x:f>
        <x:v>2019</x:v>
      </x:c>
      <x:c r="F3998" s="29" t="n">
        <x:f>MONTH(B3998)</x:f>
        <x:v>3</x:v>
      </x:c>
      <x:c r="G3998" s="30" t="n">
        <x:v>-31.24</x:v>
      </x:c>
      <x:c r="H3998" s="30" t="n">
        <x:v>-71.85</x:v>
      </x:c>
      <x:c r="I3998" s="29" t="n">
        <x:v>32</x:v>
      </x:c>
      <x:c r="J3998" s="31" t="n">
        <x:v>3.8</x:v>
      </x:c>
      <x:c r="K3998" s="25" t="str">
        <x:f>IF(J3998&gt;=7,"Muy fuerte (&gt;=7)",IF(J3998&gt;=6,"Fuerte (6-6.9)",IF(J3998&gt;=5,"Moderado alto (5-5.9)",IF(J3998&gt;=4,"Moderado (4-4.9)","Menor a 4"))))</x:f>
        <x:v>Menor a 4</x:v>
      </x:c>
      <x:c r="L3998" s="25" t="str">
        <x:f>IF(I3998&lt;70,"Superficial (&lt;70 km)",IF(I3998&lt;=300,"Intermedio (70-300 km)","Profundo (&gt;300 km)"))</x:f>
        <x:v>Superficial (&lt;70 km)</x:v>
      </x:c>
      <x:c r="M3998" s="25" t="str">
        <x:f>IF(J3998&gt;=5,"Sí","No")</x:f>
        <x:v>No</x:v>
      </x:c>
      <x:c r="N3998" s="25" t="str">
        <x:f>IF(J3998&gt;=6,"Sí","No")</x:f>
        <x:v>No</x:v>
      </x:c>
      <x:c r="O3998" s="25" t="str">
        <x:v>Pendiente: asignar con R/sf</x:v>
      </x:c>
    </x:row>
    <x:row r="3999">
      <x:c r="A3999" s="25" t="n">
        <x:v>3998</x:v>
      </x:c>
      <x:c r="B3999" s="26" t="n">
        <x:v>43997.19148148148</x:v>
      </x:c>
      <x:c r="C3999" s="27" t="n">
        <x:f>INT(B3999)</x:f>
        <x:v>43997</x:v>
      </x:c>
      <x:c r="D3999" s="28" t="n">
        <x:f>MOD(B3999,1)</x:f>
        <x:v>0.19148148148087785</x:v>
      </x:c>
      <x:c r="E3999" s="29" t="n">
        <x:f>YEAR(B3999)</x:f>
        <x:v>2020</x:v>
      </x:c>
      <x:c r="F3999" s="29" t="n">
        <x:f>MONTH(B3999)</x:f>
        <x:v>6</x:v>
      </x:c>
      <x:c r="G3999" s="30" t="n">
        <x:v>-30.01</x:v>
      </x:c>
      <x:c r="H3999" s="30" t="n">
        <x:v>-71.5</x:v>
      </x:c>
      <x:c r="I3999" s="29" t="n">
        <x:v>44</x:v>
      </x:c>
      <x:c r="J3999" s="31" t="n">
        <x:v>4.3</x:v>
      </x:c>
      <x:c r="K3999" s="25" t="str">
        <x:f>IF(J3999&gt;=7,"Muy fuerte (&gt;=7)",IF(J3999&gt;=6,"Fuerte (6-6.9)",IF(J3999&gt;=5,"Moderado alto (5-5.9)",IF(J3999&gt;=4,"Moderado (4-4.9)","Menor a 4"))))</x:f>
        <x:v>Moderado (4-4.9)</x:v>
      </x:c>
      <x:c r="L3999" s="25" t="str">
        <x:f>IF(I3999&lt;70,"Superficial (&lt;70 km)",IF(I3999&lt;=300,"Intermedio (70-300 km)","Profundo (&gt;300 km)"))</x:f>
        <x:v>Superficial (&lt;70 km)</x:v>
      </x:c>
      <x:c r="M3999" s="25" t="str">
        <x:f>IF(J3999&gt;=5,"Sí","No")</x:f>
        <x:v>No</x:v>
      </x:c>
      <x:c r="N3999" s="25" t="str">
        <x:f>IF(J3999&gt;=6,"Sí","No")</x:f>
        <x:v>No</x:v>
      </x:c>
      <x:c r="O3999" s="25" t="str">
        <x:v>Pendiente: asignar con R/sf</x:v>
      </x:c>
    </x:row>
    <x:row r="4000">
      <x:c r="A4000" s="25" t="n">
        <x:v>3999</x:v>
      </x:c>
      <x:c r="B4000" s="26" t="n">
        <x:v>43685.27613425926</x:v>
      </x:c>
      <x:c r="C4000" s="27" t="n">
        <x:f>INT(B4000)</x:f>
        <x:v>43685</x:v>
      </x:c>
      <x:c r="D4000" s="28" t="n">
        <x:f>MOD(B4000,1)</x:f>
        <x:v>0.2761342592566507</x:v>
      </x:c>
      <x:c r="E4000" s="29" t="n">
        <x:f>YEAR(B4000)</x:f>
        <x:v>2019</x:v>
      </x:c>
      <x:c r="F4000" s="29" t="n">
        <x:f>MONTH(B4000)</x:f>
        <x:v>8</x:v>
      </x:c>
      <x:c r="G4000" s="30" t="n">
        <x:v>-30.33</x:v>
      </x:c>
      <x:c r="H4000" s="30" t="n">
        <x:v>-71.18</x:v>
      </x:c>
      <x:c r="I4000" s="29" t="n">
        <x:v>60</x:v>
      </x:c>
      <x:c r="J4000" s="31" t="n">
        <x:v>4</x:v>
      </x:c>
      <x:c r="K4000" s="25" t="str">
        <x:f>IF(J4000&gt;=7,"Muy fuerte (&gt;=7)",IF(J4000&gt;=6,"Fuerte (6-6.9)",IF(J4000&gt;=5,"Moderado alto (5-5.9)",IF(J4000&gt;=4,"Moderado (4-4.9)","Menor a 4"))))</x:f>
        <x:v>Moderado (4-4.9)</x:v>
      </x:c>
      <x:c r="L4000" s="25" t="str">
        <x:f>IF(I4000&lt;70,"Superficial (&lt;70 km)",IF(I4000&lt;=300,"Intermedio (70-300 km)","Profundo (&gt;300 km)"))</x:f>
        <x:v>Superficial (&lt;70 km)</x:v>
      </x:c>
      <x:c r="M4000" s="25" t="str">
        <x:f>IF(J4000&gt;=5,"Sí","No")</x:f>
        <x:v>No</x:v>
      </x:c>
      <x:c r="N4000" s="25" t="str">
        <x:f>IF(J4000&gt;=6,"Sí","No")</x:f>
        <x:v>No</x:v>
      </x:c>
      <x:c r="O4000" s="25" t="str">
        <x:v>Pendiente: asignar con R/sf</x:v>
      </x:c>
    </x:row>
    <x:row r="4001">
      <x:c r="A4001" s="25" t="n">
        <x:v>4000</x:v>
      </x:c>
      <x:c r="B4001" s="26" t="n">
        <x:v>43872.13711805556</x:v>
      </x:c>
      <x:c r="C4001" s="27" t="n">
        <x:f>INT(B4001)</x:f>
        <x:v>43872</x:v>
      </x:c>
      <x:c r="D4001" s="28" t="n">
        <x:f>MOD(B4001,1)</x:f>
        <x:v>0.13711805555794854</x:v>
      </x:c>
      <x:c r="E4001" s="29" t="n">
        <x:f>YEAR(B4001)</x:f>
        <x:v>2020</x:v>
      </x:c>
      <x:c r="F4001" s="29" t="n">
        <x:f>MONTH(B4001)</x:f>
        <x:v>2</x:v>
      </x:c>
      <x:c r="G4001" s="30" t="n">
        <x:v>-30.39</x:v>
      </x:c>
      <x:c r="H4001" s="30" t="n">
        <x:v>-71.55</x:v>
      </x:c>
      <x:c r="I4001" s="29" t="n">
        <x:v>41</x:v>
      </x:c>
      <x:c r="J4001" s="31" t="n">
        <x:v>3.9</x:v>
      </x:c>
      <x:c r="K4001" s="25" t="str">
        <x:f>IF(J4001&gt;=7,"Muy fuerte (&gt;=7)",IF(J4001&gt;=6,"Fuerte (6-6.9)",IF(J4001&gt;=5,"Moderado alto (5-5.9)",IF(J4001&gt;=4,"Moderado (4-4.9)","Menor a 4"))))</x:f>
        <x:v>Menor a 4</x:v>
      </x:c>
      <x:c r="L4001" s="25" t="str">
        <x:f>IF(I4001&lt;70,"Superficial (&lt;70 km)",IF(I4001&lt;=300,"Intermedio (70-300 km)","Profundo (&gt;300 km)"))</x:f>
        <x:v>Superficial (&lt;70 km)</x:v>
      </x:c>
      <x:c r="M4001" s="25" t="str">
        <x:f>IF(J4001&gt;=5,"Sí","No")</x:f>
        <x:v>No</x:v>
      </x:c>
      <x:c r="N4001" s="25" t="str">
        <x:f>IF(J4001&gt;=6,"Sí","No")</x:f>
        <x:v>No</x:v>
      </x:c>
      <x:c r="O4001" s="25" t="str">
        <x:v>Pendiente: asignar con R/sf</x:v>
      </x:c>
    </x:row>
    <x:row r="4002">
      <x:c r="A4002" s="25" t="n">
        <x:v>4001</x:v>
      </x:c>
      <x:c r="B4002" s="26" t="n">
        <x:v>43630.521782407406</x:v>
      </x:c>
      <x:c r="C4002" s="27" t="n">
        <x:f>INT(B4002)</x:f>
        <x:v>43630</x:v>
      </x:c>
      <x:c r="D4002" s="28" t="n">
        <x:f>MOD(B4002,1)</x:f>
        <x:v>0.5217824074061355</x:v>
      </x:c>
      <x:c r="E4002" s="29" t="n">
        <x:f>YEAR(B4002)</x:f>
        <x:v>2019</x:v>
      </x:c>
      <x:c r="F4002" s="29" t="n">
        <x:f>MONTH(B4002)</x:f>
        <x:v>6</x:v>
      </x:c>
      <x:c r="G4002" s="30" t="n">
        <x:v>-31</x:v>
      </x:c>
      <x:c r="H4002" s="30" t="n">
        <x:v>-71.31</x:v>
      </x:c>
      <x:c r="I4002" s="29" t="n">
        <x:v>65</x:v>
      </x:c>
      <x:c r="J4002" s="31" t="n">
        <x:v>3.6</x:v>
      </x:c>
      <x:c r="K4002" s="25" t="str">
        <x:f>IF(J4002&gt;=7,"Muy fuerte (&gt;=7)",IF(J4002&gt;=6,"Fuerte (6-6.9)",IF(J4002&gt;=5,"Moderado alto (5-5.9)",IF(J4002&gt;=4,"Moderado (4-4.9)","Menor a 4"))))</x:f>
        <x:v>Menor a 4</x:v>
      </x:c>
      <x:c r="L4002" s="25" t="str">
        <x:f>IF(I4002&lt;70,"Superficial (&lt;70 km)",IF(I4002&lt;=300,"Intermedio (70-300 km)","Profundo (&gt;300 km)"))</x:f>
        <x:v>Superficial (&lt;70 km)</x:v>
      </x:c>
      <x:c r="M4002" s="25" t="str">
        <x:f>IF(J4002&gt;=5,"Sí","No")</x:f>
        <x:v>No</x:v>
      </x:c>
      <x:c r="N4002" s="25" t="str">
        <x:f>IF(J4002&gt;=6,"Sí","No")</x:f>
        <x:v>No</x:v>
      </x:c>
      <x:c r="O4002" s="25" t="str">
        <x:v>Pendiente: asignar con R/sf</x:v>
      </x:c>
    </x:row>
    <x:row r="4003">
      <x:c r="A4003" s="25" t="n">
        <x:v>4002</x:v>
      </x:c>
      <x:c r="B4003" s="26" t="n">
        <x:v>43993.372569444444</x:v>
      </x:c>
      <x:c r="C4003" s="27" t="n">
        <x:f>INT(B4003)</x:f>
        <x:v>43993</x:v>
      </x:c>
      <x:c r="D4003" s="28" t="n">
        <x:f>MOD(B4003,1)</x:f>
        <x:v>0.3725694444437977</x:v>
      </x:c>
      <x:c r="E4003" s="29" t="n">
        <x:f>YEAR(B4003)</x:f>
        <x:v>2020</x:v>
      </x:c>
      <x:c r="F4003" s="29" t="n">
        <x:f>MONTH(B4003)</x:f>
        <x:v>6</x:v>
      </x:c>
      <x:c r="G4003" s="30" t="n">
        <x:v>-30.29</x:v>
      </x:c>
      <x:c r="H4003" s="30" t="n">
        <x:v>-71.45</x:v>
      </x:c>
      <x:c r="I4003" s="29" t="n">
        <x:v>55</x:v>
      </x:c>
      <x:c r="J4003" s="31" t="n">
        <x:v>3.9</x:v>
      </x:c>
      <x:c r="K4003" s="25" t="str">
        <x:f>IF(J4003&gt;=7,"Muy fuerte (&gt;=7)",IF(J4003&gt;=6,"Fuerte (6-6.9)",IF(J4003&gt;=5,"Moderado alto (5-5.9)",IF(J4003&gt;=4,"Moderado (4-4.9)","Menor a 4"))))</x:f>
        <x:v>Menor a 4</x:v>
      </x:c>
      <x:c r="L4003" s="25" t="str">
        <x:f>IF(I4003&lt;70,"Superficial (&lt;70 km)",IF(I4003&lt;=300,"Intermedio (70-300 km)","Profundo (&gt;300 km)"))</x:f>
        <x:v>Superficial (&lt;70 km)</x:v>
      </x:c>
      <x:c r="M4003" s="25" t="str">
        <x:f>IF(J4003&gt;=5,"Sí","No")</x:f>
        <x:v>No</x:v>
      </x:c>
      <x:c r="N4003" s="25" t="str">
        <x:f>IF(J4003&gt;=6,"Sí","No")</x:f>
        <x:v>No</x:v>
      </x:c>
      <x:c r="O4003" s="25" t="str">
        <x:v>Pendiente: asignar con R/sf</x:v>
      </x:c>
    </x:row>
    <x:row r="4004">
      <x:c r="A4004" s="25" t="n">
        <x:v>4003</x:v>
      </x:c>
      <x:c r="B4004" s="26" t="n">
        <x:v>43928.73755787037</x:v>
      </x:c>
      <x:c r="C4004" s="27" t="n">
        <x:f>INT(B4004)</x:f>
        <x:v>43928</x:v>
      </x:c>
      <x:c r="D4004" s="28" t="n">
        <x:f>MOD(B4004,1)</x:f>
        <x:v>0.7375578703722567</x:v>
      </x:c>
      <x:c r="E4004" s="29" t="n">
        <x:f>YEAR(B4004)</x:f>
        <x:v>2020</x:v>
      </x:c>
      <x:c r="F4004" s="29" t="n">
        <x:f>MONTH(B4004)</x:f>
        <x:v>4</x:v>
      </x:c>
      <x:c r="G4004" s="30" t="n">
        <x:v>-31.47</x:v>
      </x:c>
      <x:c r="H4004" s="30" t="n">
        <x:v>-71.63</x:v>
      </x:c>
      <x:c r="I4004" s="29" t="n">
        <x:v>36</x:v>
      </x:c>
      <x:c r="J4004" s="31" t="n">
        <x:v>4.4</x:v>
      </x:c>
      <x:c r="K4004" s="25" t="str">
        <x:f>IF(J4004&gt;=7,"Muy fuerte (&gt;=7)",IF(J4004&gt;=6,"Fuerte (6-6.9)",IF(J4004&gt;=5,"Moderado alto (5-5.9)",IF(J4004&gt;=4,"Moderado (4-4.9)","Menor a 4"))))</x:f>
        <x:v>Moderado (4-4.9)</x:v>
      </x:c>
      <x:c r="L4004" s="25" t="str">
        <x:f>IF(I4004&lt;70,"Superficial (&lt;70 km)",IF(I4004&lt;=300,"Intermedio (70-300 km)","Profundo (&gt;300 km)"))</x:f>
        <x:v>Superficial (&lt;70 km)</x:v>
      </x:c>
      <x:c r="M4004" s="25" t="str">
        <x:f>IF(J4004&gt;=5,"Sí","No")</x:f>
        <x:v>No</x:v>
      </x:c>
      <x:c r="N4004" s="25" t="str">
        <x:f>IF(J4004&gt;=6,"Sí","No")</x:f>
        <x:v>No</x:v>
      </x:c>
      <x:c r="O4004" s="25" t="str">
        <x:v>Pendiente: asignar con R/sf</x:v>
      </x:c>
    </x:row>
    <x:row r="4005">
      <x:c r="A4005" s="25" t="n">
        <x:v>4004</x:v>
      </x:c>
      <x:c r="B4005" s="26" t="n">
        <x:v>44071.729675925926</x:v>
      </x:c>
      <x:c r="C4005" s="27" t="n">
        <x:f>INT(B4005)</x:f>
        <x:v>44071</x:v>
      </x:c>
      <x:c r="D4005" s="28" t="n">
        <x:f>MOD(B4005,1)</x:f>
        <x:v>0.7296759259261307</x:v>
      </x:c>
      <x:c r="E4005" s="29" t="n">
        <x:f>YEAR(B4005)</x:f>
        <x:v>2020</x:v>
      </x:c>
      <x:c r="F4005" s="29" t="n">
        <x:f>MONTH(B4005)</x:f>
        <x:v>8</x:v>
      </x:c>
      <x:c r="G4005" s="30" t="n">
        <x:v>-20.01</x:v>
      </x:c>
      <x:c r="H4005" s="30" t="n">
        <x:v>-69.83</x:v>
      </x:c>
      <x:c r="I4005" s="29" t="n">
        <x:v>64</x:v>
      </x:c>
      <x:c r="J4005" s="31" t="n">
        <x:v>4.6</x:v>
      </x:c>
      <x:c r="K4005" s="25" t="str">
        <x:f>IF(J4005&gt;=7,"Muy fuerte (&gt;=7)",IF(J4005&gt;=6,"Fuerte (6-6.9)",IF(J4005&gt;=5,"Moderado alto (5-5.9)",IF(J4005&gt;=4,"Moderado (4-4.9)","Menor a 4"))))</x:f>
        <x:v>Moderado (4-4.9)</x:v>
      </x:c>
      <x:c r="L4005" s="25" t="str">
        <x:f>IF(I4005&lt;70,"Superficial (&lt;70 km)",IF(I4005&lt;=300,"Intermedio (70-300 km)","Profundo (&gt;300 km)"))</x:f>
        <x:v>Superficial (&lt;70 km)</x:v>
      </x:c>
      <x:c r="M4005" s="25" t="str">
        <x:f>IF(J4005&gt;=5,"Sí","No")</x:f>
        <x:v>No</x:v>
      </x:c>
      <x:c r="N4005" s="25" t="str">
        <x:f>IF(J4005&gt;=6,"Sí","No")</x:f>
        <x:v>No</x:v>
      </x:c>
      <x:c r="O4005" s="25" t="str">
        <x:v>Pendiente: asignar con R/sf</x:v>
      </x:c>
    </x:row>
    <x:row r="4006">
      <x:c r="A4006" s="25" t="n">
        <x:v>4005</x:v>
      </x:c>
      <x:c r="B4006" s="26" t="n">
        <x:v>43663.81613425926</x:v>
      </x:c>
      <x:c r="C4006" s="27" t="n">
        <x:f>INT(B4006)</x:f>
        <x:v>43663</x:v>
      </x:c>
      <x:c r="D4006" s="28" t="n">
        <x:f>MOD(B4006,1)</x:f>
        <x:v>0.8161342592575238</x:v>
      </x:c>
      <x:c r="E4006" s="29" t="n">
        <x:f>YEAR(B4006)</x:f>
        <x:v>2019</x:v>
      </x:c>
      <x:c r="F4006" s="29" t="n">
        <x:f>MONTH(B4006)</x:f>
        <x:v>7</x:v>
      </x:c>
      <x:c r="G4006" s="30" t="n">
        <x:v>-30.99</x:v>
      </x:c>
      <x:c r="H4006" s="30" t="n">
        <x:v>-71.49</x:v>
      </x:c>
      <x:c r="I4006" s="29" t="n">
        <x:v>33</x:v>
      </x:c>
      <x:c r="J4006" s="31" t="n">
        <x:v>4.1</x:v>
      </x:c>
      <x:c r="K4006" s="25" t="str">
        <x:f>IF(J4006&gt;=7,"Muy fuerte (&gt;=7)",IF(J4006&gt;=6,"Fuerte (6-6.9)",IF(J4006&gt;=5,"Moderado alto (5-5.9)",IF(J4006&gt;=4,"Moderado (4-4.9)","Menor a 4"))))</x:f>
        <x:v>Moderado (4-4.9)</x:v>
      </x:c>
      <x:c r="L4006" s="25" t="str">
        <x:f>IF(I4006&lt;70,"Superficial (&lt;70 km)",IF(I4006&lt;=300,"Intermedio (70-300 km)","Profundo (&gt;300 km)"))</x:f>
        <x:v>Superficial (&lt;70 km)</x:v>
      </x:c>
      <x:c r="M4006" s="25" t="str">
        <x:f>IF(J4006&gt;=5,"Sí","No")</x:f>
        <x:v>No</x:v>
      </x:c>
      <x:c r="N4006" s="25" t="str">
        <x:f>IF(J4006&gt;=6,"Sí","No")</x:f>
        <x:v>No</x:v>
      </x:c>
      <x:c r="O4006" s="25" t="str">
        <x:v>Pendiente: asignar con R/sf</x:v>
      </x:c>
    </x:row>
    <x:row r="4007">
      <x:c r="A4007" s="25" t="n">
        <x:v>4006</x:v>
      </x:c>
      <x:c r="B4007" s="26" t="n">
        <x:v>43886.61923611111</x:v>
      </x:c>
      <x:c r="C4007" s="27" t="n">
        <x:f>INT(B4007)</x:f>
        <x:v>43886</x:v>
      </x:c>
      <x:c r="D4007" s="28" t="n">
        <x:f>MOD(B4007,1)</x:f>
        <x:v>0.6192361111097853</x:v>
      </x:c>
      <x:c r="E4007" s="29" t="n">
        <x:f>YEAR(B4007)</x:f>
        <x:v>2020</x:v>
      </x:c>
      <x:c r="F4007" s="29" t="n">
        <x:f>MONTH(B4007)</x:f>
        <x:v>2</x:v>
      </x:c>
      <x:c r="G4007" s="30" t="n">
        <x:v>-31.3</x:v>
      </x:c>
      <x:c r="H4007" s="30" t="n">
        <x:v>-71.46</x:v>
      </x:c>
      <x:c r="I4007" s="29" t="n">
        <x:v>60</x:v>
      </x:c>
      <x:c r="J4007" s="31" t="n">
        <x:v>3.6</x:v>
      </x:c>
      <x:c r="K4007" s="25" t="str">
        <x:f>IF(J4007&gt;=7,"Muy fuerte (&gt;=7)",IF(J4007&gt;=6,"Fuerte (6-6.9)",IF(J4007&gt;=5,"Moderado alto (5-5.9)",IF(J4007&gt;=4,"Moderado (4-4.9)","Menor a 4"))))</x:f>
        <x:v>Menor a 4</x:v>
      </x:c>
      <x:c r="L4007" s="25" t="str">
        <x:f>IF(I4007&lt;70,"Superficial (&lt;70 km)",IF(I4007&lt;=300,"Intermedio (70-300 km)","Profundo (&gt;300 km)"))</x:f>
        <x:v>Superficial (&lt;70 km)</x:v>
      </x:c>
      <x:c r="M4007" s="25" t="str">
        <x:f>IF(J4007&gt;=5,"Sí","No")</x:f>
        <x:v>No</x:v>
      </x:c>
      <x:c r="N4007" s="25" t="str">
        <x:f>IF(J4007&gt;=6,"Sí","No")</x:f>
        <x:v>No</x:v>
      </x:c>
      <x:c r="O4007" s="25" t="str">
        <x:v>Pendiente: asignar con R/sf</x:v>
      </x:c>
    </x:row>
    <x:row r="4008">
      <x:c r="A4008" s="25" t="n">
        <x:v>4007</x:v>
      </x:c>
      <x:c r="B4008" s="26" t="n">
        <x:v>43977.078194444446</x:v>
      </x:c>
      <x:c r="C4008" s="27" t="n">
        <x:f>INT(B4008)</x:f>
        <x:v>43977</x:v>
      </x:c>
      <x:c r="D4008" s="28" t="n">
        <x:f>MOD(B4008,1)</x:f>
        <x:v>0.078194444446126</x:v>
      </x:c>
      <x:c r="E4008" s="29" t="n">
        <x:f>YEAR(B4008)</x:f>
        <x:v>2020</x:v>
      </x:c>
      <x:c r="F4008" s="29" t="n">
        <x:f>MONTH(B4008)</x:f>
        <x:v>5</x:v>
      </x:c>
      <x:c r="G4008" s="30" t="n">
        <x:v>-20.47</x:v>
      </x:c>
      <x:c r="H4008" s="30" t="n">
        <x:v>-69.22</x:v>
      </x:c>
      <x:c r="I4008" s="29" t="n">
        <x:v>85</x:v>
      </x:c>
      <x:c r="J4008" s="31" t="n">
        <x:v>4.3</x:v>
      </x:c>
      <x:c r="K4008" s="25" t="str">
        <x:f>IF(J4008&gt;=7,"Muy fuerte (&gt;=7)",IF(J4008&gt;=6,"Fuerte (6-6.9)",IF(J4008&gt;=5,"Moderado alto (5-5.9)",IF(J4008&gt;=4,"Moderado (4-4.9)","Menor a 4"))))</x:f>
        <x:v>Moderado (4-4.9)</x:v>
      </x:c>
      <x:c r="L4008" s="25" t="str">
        <x:f>IF(I4008&lt;70,"Superficial (&lt;70 km)",IF(I4008&lt;=300,"Intermedio (70-300 km)","Profundo (&gt;300 km)"))</x:f>
        <x:v>Intermedio (70-300 km)</x:v>
      </x:c>
      <x:c r="M4008" s="25" t="str">
        <x:f>IF(J4008&gt;=5,"Sí","No")</x:f>
        <x:v>No</x:v>
      </x:c>
      <x:c r="N4008" s="25" t="str">
        <x:f>IF(J4008&gt;=6,"Sí","No")</x:f>
        <x:v>No</x:v>
      </x:c>
      <x:c r="O4008" s="25" t="str">
        <x:v>Pendiente: asignar con R/sf</x:v>
      </x:c>
    </x:row>
    <x:row r="4009">
      <x:c r="A4009" s="25" t="n">
        <x:v>4008</x:v>
      </x:c>
      <x:c r="B4009" s="26" t="n">
        <x:v>43691.48799768519</x:v>
      </x:c>
      <x:c r="C4009" s="27" t="n">
        <x:f>INT(B4009)</x:f>
        <x:v>43691</x:v>
      </x:c>
      <x:c r="D4009" s="28" t="n">
        <x:f>MOD(B4009,1)</x:f>
        <x:v>0.4879976851880201</x:v>
      </x:c>
      <x:c r="E4009" s="29" t="n">
        <x:f>YEAR(B4009)</x:f>
        <x:v>2019</x:v>
      </x:c>
      <x:c r="F4009" s="29" t="n">
        <x:f>MONTH(B4009)</x:f>
        <x:v>8</x:v>
      </x:c>
      <x:c r="G4009" s="30" t="n">
        <x:v>-31.97</x:v>
      </x:c>
      <x:c r="H4009" s="30" t="n">
        <x:v>-71.53</x:v>
      </x:c>
      <x:c r="I4009" s="29" t="n">
        <x:v>38</x:v>
      </x:c>
      <x:c r="J4009" s="31" t="n">
        <x:v>3.8</x:v>
      </x:c>
      <x:c r="K4009" s="25" t="str">
        <x:f>IF(J4009&gt;=7,"Muy fuerte (&gt;=7)",IF(J4009&gt;=6,"Fuerte (6-6.9)",IF(J4009&gt;=5,"Moderado alto (5-5.9)",IF(J4009&gt;=4,"Moderado (4-4.9)","Menor a 4"))))</x:f>
        <x:v>Menor a 4</x:v>
      </x:c>
      <x:c r="L4009" s="25" t="str">
        <x:f>IF(I4009&lt;70,"Superficial (&lt;70 km)",IF(I4009&lt;=300,"Intermedio (70-300 km)","Profundo (&gt;300 km)"))</x:f>
        <x:v>Superficial (&lt;70 km)</x:v>
      </x:c>
      <x:c r="M4009" s="25" t="str">
        <x:f>IF(J4009&gt;=5,"Sí","No")</x:f>
        <x:v>No</x:v>
      </x:c>
      <x:c r="N4009" s="25" t="str">
        <x:f>IF(J4009&gt;=6,"Sí","No")</x:f>
        <x:v>No</x:v>
      </x:c>
      <x:c r="O4009" s="25" t="str">
        <x:v>Pendiente: asignar con R/sf</x:v>
      </x:c>
    </x:row>
    <x:row r="4010">
      <x:c r="A4010" s="25" t="n">
        <x:v>4009</x:v>
      </x:c>
      <x:c r="B4010" s="26" t="n">
        <x:v>43575.72850694445</x:v>
      </x:c>
      <x:c r="C4010" s="27" t="n">
        <x:f>INT(B4010)</x:f>
        <x:v>43575</x:v>
      </x:c>
      <x:c r="D4010" s="28" t="n">
        <x:f>MOD(B4010,1)</x:f>
        <x:v>0.7285069444478722</x:v>
      </x:c>
      <x:c r="E4010" s="29" t="n">
        <x:f>YEAR(B4010)</x:f>
        <x:v>2019</x:v>
      </x:c>
      <x:c r="F4010" s="29" t="n">
        <x:f>MONTH(B4010)</x:f>
        <x:v>4</x:v>
      </x:c>
      <x:c r="G4010" s="30" t="n">
        <x:v>-31.49</x:v>
      </x:c>
      <x:c r="H4010" s="30" t="n">
        <x:v>-71.69</x:v>
      </x:c>
      <x:c r="I4010" s="29" t="n">
        <x:v>32</x:v>
      </x:c>
      <x:c r="J4010" s="31" t="n">
        <x:v>3.8</x:v>
      </x:c>
      <x:c r="K4010" s="25" t="str">
        <x:f>IF(J4010&gt;=7,"Muy fuerte (&gt;=7)",IF(J4010&gt;=6,"Fuerte (6-6.9)",IF(J4010&gt;=5,"Moderado alto (5-5.9)",IF(J4010&gt;=4,"Moderado (4-4.9)","Menor a 4"))))</x:f>
        <x:v>Menor a 4</x:v>
      </x:c>
      <x:c r="L4010" s="25" t="str">
        <x:f>IF(I4010&lt;70,"Superficial (&lt;70 km)",IF(I4010&lt;=300,"Intermedio (70-300 km)","Profundo (&gt;300 km)"))</x:f>
        <x:v>Superficial (&lt;70 km)</x:v>
      </x:c>
      <x:c r="M4010" s="25" t="str">
        <x:f>IF(J4010&gt;=5,"Sí","No")</x:f>
        <x:v>No</x:v>
      </x:c>
      <x:c r="N4010" s="25" t="str">
        <x:f>IF(J4010&gt;=6,"Sí","No")</x:f>
        <x:v>No</x:v>
      </x:c>
      <x:c r="O4010" s="25" t="str">
        <x:v>Pendiente: asignar con R/sf</x:v>
      </x:c>
    </x:row>
    <x:row r="4011">
      <x:c r="A4011" s="25" t="n">
        <x:v>4010</x:v>
      </x:c>
      <x:c r="B4011" s="26" t="n">
        <x:v>43761.85659722222</x:v>
      </x:c>
      <x:c r="C4011" s="27" t="n">
        <x:f>INT(B4011)</x:f>
        <x:v>43761</x:v>
      </x:c>
      <x:c r="D4011" s="28" t="n">
        <x:f>MOD(B4011,1)</x:f>
        <x:v>0.8565972222204437</x:v>
      </x:c>
      <x:c r="E4011" s="29" t="n">
        <x:f>YEAR(B4011)</x:f>
        <x:v>2019</x:v>
      </x:c>
      <x:c r="F4011" s="29" t="n">
        <x:f>MONTH(B4011)</x:f>
        <x:v>10</x:v>
      </x:c>
      <x:c r="G4011" s="30" t="n">
        <x:v>-31.48</x:v>
      </x:c>
      <x:c r="H4011" s="30" t="n">
        <x:v>-71.66</x:v>
      </x:c>
      <x:c r="I4011" s="29" t="n">
        <x:v>42</x:v>
      </x:c>
      <x:c r="J4011" s="31" t="n">
        <x:v>4.1</x:v>
      </x:c>
      <x:c r="K4011" s="25" t="str">
        <x:f>IF(J4011&gt;=7,"Muy fuerte (&gt;=7)",IF(J4011&gt;=6,"Fuerte (6-6.9)",IF(J4011&gt;=5,"Moderado alto (5-5.9)",IF(J4011&gt;=4,"Moderado (4-4.9)","Menor a 4"))))</x:f>
        <x:v>Moderado (4-4.9)</x:v>
      </x:c>
      <x:c r="L4011" s="25" t="str">
        <x:f>IF(I4011&lt;70,"Superficial (&lt;70 km)",IF(I4011&lt;=300,"Intermedio (70-300 km)","Profundo (&gt;300 km)"))</x:f>
        <x:v>Superficial (&lt;70 km)</x:v>
      </x:c>
      <x:c r="M4011" s="25" t="str">
        <x:f>IF(J4011&gt;=5,"Sí","No")</x:f>
        <x:v>No</x:v>
      </x:c>
      <x:c r="N4011" s="25" t="str">
        <x:f>IF(J4011&gt;=6,"Sí","No")</x:f>
        <x:v>No</x:v>
      </x:c>
      <x:c r="O4011" s="25" t="str">
        <x:v>Pendiente: asignar con R/sf</x:v>
      </x:c>
    </x:row>
    <x:row r="4012">
      <x:c r="A4012" s="25" t="n">
        <x:v>4011</x:v>
      </x:c>
      <x:c r="B4012" s="26" t="n">
        <x:v>43684.512407407405</x:v>
      </x:c>
      <x:c r="C4012" s="27" t="n">
        <x:f>INT(B4012)</x:f>
        <x:v>43684</x:v>
      </x:c>
      <x:c r="D4012" s="28" t="n">
        <x:f>MOD(B4012,1)</x:f>
        <x:v>0.5124074074046803</x:v>
      </x:c>
      <x:c r="E4012" s="29" t="n">
        <x:f>YEAR(B4012)</x:f>
        <x:v>2019</x:v>
      </x:c>
      <x:c r="F4012" s="29" t="n">
        <x:f>MONTH(B4012)</x:f>
        <x:v>8</x:v>
      </x:c>
      <x:c r="G4012" s="30" t="n">
        <x:v>-32.01</x:v>
      </x:c>
      <x:c r="H4012" s="30" t="n">
        <x:v>-71.59</x:v>
      </x:c>
      <x:c r="I4012" s="29" t="n">
        <x:v>40</x:v>
      </x:c>
      <x:c r="J4012" s="31" t="n">
        <x:v>3.5</x:v>
      </x:c>
      <x:c r="K4012" s="25" t="str">
        <x:f>IF(J4012&gt;=7,"Muy fuerte (&gt;=7)",IF(J4012&gt;=6,"Fuerte (6-6.9)",IF(J4012&gt;=5,"Moderado alto (5-5.9)",IF(J4012&gt;=4,"Moderado (4-4.9)","Menor a 4"))))</x:f>
        <x:v>Menor a 4</x:v>
      </x:c>
      <x:c r="L4012" s="25" t="str">
        <x:f>IF(I4012&lt;70,"Superficial (&lt;70 km)",IF(I4012&lt;=300,"Intermedio (70-300 km)","Profundo (&gt;300 km)"))</x:f>
        <x:v>Superficial (&lt;70 km)</x:v>
      </x:c>
      <x:c r="M4012" s="25" t="str">
        <x:f>IF(J4012&gt;=5,"Sí","No")</x:f>
        <x:v>No</x:v>
      </x:c>
      <x:c r="N4012" s="25" t="str">
        <x:f>IF(J4012&gt;=6,"Sí","No")</x:f>
        <x:v>No</x:v>
      </x:c>
      <x:c r="O4012" s="25" t="str">
        <x:v>Pendiente: asignar con R/sf</x:v>
      </x:c>
    </x:row>
    <x:row r="4013">
      <x:c r="A4013" s="25" t="n">
        <x:v>4012</x:v>
      </x:c>
      <x:c r="B4013" s="26" t="n">
        <x:v>43799.61548611111</x:v>
      </x:c>
      <x:c r="C4013" s="27" t="n">
        <x:f>INT(B4013)</x:f>
        <x:v>43799</x:v>
      </x:c>
      <x:c r="D4013" s="28" t="n">
        <x:f>MOD(B4013,1)</x:f>
        <x:v>0.6154861111135688</x:v>
      </x:c>
      <x:c r="E4013" s="29" t="n">
        <x:f>YEAR(B4013)</x:f>
        <x:v>2019</x:v>
      </x:c>
      <x:c r="F4013" s="29" t="n">
        <x:f>MONTH(B4013)</x:f>
        <x:v>11</x:v>
      </x:c>
      <x:c r="G4013" s="30" t="n">
        <x:v>-31.52</x:v>
      </x:c>
      <x:c r="H4013" s="30" t="n">
        <x:v>-71.67</x:v>
      </x:c>
      <x:c r="I4013" s="29" t="n">
        <x:v>27</x:v>
      </x:c>
      <x:c r="J4013" s="31" t="n">
        <x:v>4</x:v>
      </x:c>
      <x:c r="K4013" s="25" t="str">
        <x:f>IF(J4013&gt;=7,"Muy fuerte (&gt;=7)",IF(J4013&gt;=6,"Fuerte (6-6.9)",IF(J4013&gt;=5,"Moderado alto (5-5.9)",IF(J4013&gt;=4,"Moderado (4-4.9)","Menor a 4"))))</x:f>
        <x:v>Moderado (4-4.9)</x:v>
      </x:c>
      <x:c r="L4013" s="25" t="str">
        <x:f>IF(I4013&lt;70,"Superficial (&lt;70 km)",IF(I4013&lt;=300,"Intermedio (70-300 km)","Profundo (&gt;300 km)"))</x:f>
        <x:v>Superficial (&lt;70 km)</x:v>
      </x:c>
      <x:c r="M4013" s="25" t="str">
        <x:f>IF(J4013&gt;=5,"Sí","No")</x:f>
        <x:v>No</x:v>
      </x:c>
      <x:c r="N4013" s="25" t="str">
        <x:f>IF(J4013&gt;=6,"Sí","No")</x:f>
        <x:v>No</x:v>
      </x:c>
      <x:c r="O4013" s="25" t="str">
        <x:v>Pendiente: asignar con R/sf</x:v>
      </x:c>
    </x:row>
    <x:row r="4014">
      <x:c r="A4014" s="25" t="n">
        <x:v>4013</x:v>
      </x:c>
      <x:c r="B4014" s="26" t="n">
        <x:v>44075.187523148146</x:v>
      </x:c>
      <x:c r="C4014" s="27" t="n">
        <x:f>INT(B4014)</x:f>
        <x:v>44075</x:v>
      </x:c>
      <x:c r="D4014" s="28" t="n">
        <x:f>MOD(B4014,1)</x:f>
        <x:v>0.18752314814628335</x:v>
      </x:c>
      <x:c r="E4014" s="29" t="n">
        <x:f>YEAR(B4014)</x:f>
        <x:v>2020</x:v>
      </x:c>
      <x:c r="F4014" s="29" t="n">
        <x:f>MONTH(B4014)</x:f>
        <x:v>9</x:v>
      </x:c>
      <x:c r="G4014" s="30" t="n">
        <x:v>-28.07</x:v>
      </x:c>
      <x:c r="H4014" s="30" t="n">
        <x:v>-71.21</x:v>
      </x:c>
      <x:c r="I4014" s="29" t="n">
        <x:v>36</x:v>
      </x:c>
      <x:c r="J4014" s="31" t="n">
        <x:v>6.1</x:v>
      </x:c>
      <x:c r="K4014" s="25" t="str">
        <x:f>IF(J4014&gt;=7,"Muy fuerte (&gt;=7)",IF(J4014&gt;=6,"Fuerte (6-6.9)",IF(J4014&gt;=5,"Moderado alto (5-5.9)",IF(J4014&gt;=4,"Moderado (4-4.9)","Menor a 4"))))</x:f>
        <x:v>Fuerte (6-6.9)</x:v>
      </x:c>
      <x:c r="L4014" s="25" t="str">
        <x:f>IF(I4014&lt;70,"Superficial (&lt;70 km)",IF(I4014&lt;=300,"Intermedio (70-300 km)","Profundo (&gt;300 km)"))</x:f>
        <x:v>Superficial (&lt;70 km)</x:v>
      </x:c>
      <x:c r="M4014" s="25" t="str">
        <x:f>IF(J4014&gt;=5,"Sí","No")</x:f>
        <x:v>Sí</x:v>
      </x:c>
      <x:c r="N4014" s="25" t="str">
        <x:f>IF(J4014&gt;=6,"Sí","No")</x:f>
        <x:v>Sí</x:v>
      </x:c>
      <x:c r="O4014" s="25" t="str">
        <x:v>Pendiente: asignar con R/sf</x:v>
      </x:c>
    </x:row>
    <x:row r="4015">
      <x:c r="A4015" s="25" t="n">
        <x:v>4014</x:v>
      </x:c>
      <x:c r="B4015" s="26" t="n">
        <x:v>43993.912314814814</x:v>
      </x:c>
      <x:c r="C4015" s="27" t="n">
        <x:f>INT(B4015)</x:f>
        <x:v>43993</x:v>
      </x:c>
      <x:c r="D4015" s="28" t="n">
        <x:f>MOD(B4015,1)</x:f>
        <x:v>0.9123148148137261</x:v>
      </x:c>
      <x:c r="E4015" s="29" t="n">
        <x:f>YEAR(B4015)</x:f>
        <x:v>2020</x:v>
      </x:c>
      <x:c r="F4015" s="29" t="n">
        <x:f>MONTH(B4015)</x:f>
        <x:v>6</x:v>
      </x:c>
      <x:c r="G4015" s="30" t="n">
        <x:v>-29.44</x:v>
      </x:c>
      <x:c r="H4015" s="30" t="n">
        <x:v>-71.14</x:v>
      </x:c>
      <x:c r="I4015" s="29" t="n">
        <x:v>37</x:v>
      </x:c>
      <x:c r="J4015" s="31" t="n">
        <x:v>4</x:v>
      </x:c>
      <x:c r="K4015" s="25" t="str">
        <x:f>IF(J4015&gt;=7,"Muy fuerte (&gt;=7)",IF(J4015&gt;=6,"Fuerte (6-6.9)",IF(J4015&gt;=5,"Moderado alto (5-5.9)",IF(J4015&gt;=4,"Moderado (4-4.9)","Menor a 4"))))</x:f>
        <x:v>Moderado (4-4.9)</x:v>
      </x:c>
      <x:c r="L4015" s="25" t="str">
        <x:f>IF(I4015&lt;70,"Superficial (&lt;70 km)",IF(I4015&lt;=300,"Intermedio (70-300 km)","Profundo (&gt;300 km)"))</x:f>
        <x:v>Superficial (&lt;70 km)</x:v>
      </x:c>
      <x:c r="M4015" s="25" t="str">
        <x:f>IF(J4015&gt;=5,"Sí","No")</x:f>
        <x:v>No</x:v>
      </x:c>
      <x:c r="N4015" s="25" t="str">
        <x:f>IF(J4015&gt;=6,"Sí","No")</x:f>
        <x:v>No</x:v>
      </x:c>
      <x:c r="O4015" s="25" t="str">
        <x:v>Pendiente: asignar con R/sf</x:v>
      </x:c>
    </x:row>
    <x:row r="4016">
      <x:c r="A4016" s="25" t="n">
        <x:v>4015</x:v>
      </x:c>
      <x:c r="B4016" s="26" t="n">
        <x:v>43652.37091435185</x:v>
      </x:c>
      <x:c r="C4016" s="27" t="n">
        <x:f>INT(B4016)</x:f>
        <x:v>43652</x:v>
      </x:c>
      <x:c r="D4016" s="28" t="n">
        <x:f>MOD(B4016,1)</x:f>
        <x:v>0.37091435184993315</x:v>
      </x:c>
      <x:c r="E4016" s="29" t="n">
        <x:f>YEAR(B4016)</x:f>
        <x:v>2019</x:v>
      </x:c>
      <x:c r="F4016" s="29" t="n">
        <x:f>MONTH(B4016)</x:f>
        <x:v>7</x:v>
      </x:c>
      <x:c r="G4016" s="30" t="n">
        <x:v>-30.27</x:v>
      </x:c>
      <x:c r="H4016" s="30" t="n">
        <x:v>-71.64</x:v>
      </x:c>
      <x:c r="I4016" s="29" t="n">
        <x:v>35</x:v>
      </x:c>
      <x:c r="J4016" s="31" t="n">
        <x:v>3.8</x:v>
      </x:c>
      <x:c r="K4016" s="25" t="str">
        <x:f>IF(J4016&gt;=7,"Muy fuerte (&gt;=7)",IF(J4016&gt;=6,"Fuerte (6-6.9)",IF(J4016&gt;=5,"Moderado alto (5-5.9)",IF(J4016&gt;=4,"Moderado (4-4.9)","Menor a 4"))))</x:f>
        <x:v>Menor a 4</x:v>
      </x:c>
      <x:c r="L4016" s="25" t="str">
        <x:f>IF(I4016&lt;70,"Superficial (&lt;70 km)",IF(I4016&lt;=300,"Intermedio (70-300 km)","Profundo (&gt;300 km)"))</x:f>
        <x:v>Superficial (&lt;70 km)</x:v>
      </x:c>
      <x:c r="M4016" s="25" t="str">
        <x:f>IF(J4016&gt;=5,"Sí","No")</x:f>
        <x:v>No</x:v>
      </x:c>
      <x:c r="N4016" s="25" t="str">
        <x:f>IF(J4016&gt;=6,"Sí","No")</x:f>
        <x:v>No</x:v>
      </x:c>
      <x:c r="O4016" s="25" t="str">
        <x:v>Pendiente: asignar con R/sf</x:v>
      </x:c>
    </x:row>
    <x:row r="4017">
      <x:c r="A4017" s="25" t="n">
        <x:v>4016</x:v>
      </x:c>
      <x:c r="B4017" s="26" t="n">
        <x:v>43553.046747685185</x:v>
      </x:c>
      <x:c r="C4017" s="27" t="n">
        <x:f>INT(B4017)</x:f>
        <x:v>43553</x:v>
      </x:c>
      <x:c r="D4017" s="28" t="n">
        <x:f>MOD(B4017,1)</x:f>
        <x:v>0.046747685184527654</x:v>
      </x:c>
      <x:c r="E4017" s="29" t="n">
        <x:f>YEAR(B4017)</x:f>
        <x:v>2019</x:v>
      </x:c>
      <x:c r="F4017" s="29" t="n">
        <x:f>MONTH(B4017)</x:f>
        <x:v>3</x:v>
      </x:c>
      <x:c r="G4017" s="30" t="n">
        <x:v>-31.54</x:v>
      </x:c>
      <x:c r="H4017" s="30" t="n">
        <x:v>-71.35</x:v>
      </x:c>
      <x:c r="I4017" s="29" t="n">
        <x:v>49</x:v>
      </x:c>
      <x:c r="J4017" s="31" t="n">
        <x:v>3.5</x:v>
      </x:c>
      <x:c r="K4017" s="25" t="str">
        <x:f>IF(J4017&gt;=7,"Muy fuerte (&gt;=7)",IF(J4017&gt;=6,"Fuerte (6-6.9)",IF(J4017&gt;=5,"Moderado alto (5-5.9)",IF(J4017&gt;=4,"Moderado (4-4.9)","Menor a 4"))))</x:f>
        <x:v>Menor a 4</x:v>
      </x:c>
      <x:c r="L4017" s="25" t="str">
        <x:f>IF(I4017&lt;70,"Superficial (&lt;70 km)",IF(I4017&lt;=300,"Intermedio (70-300 km)","Profundo (&gt;300 km)"))</x:f>
        <x:v>Superficial (&lt;70 km)</x:v>
      </x:c>
      <x:c r="M4017" s="25" t="str">
        <x:f>IF(J4017&gt;=5,"Sí","No")</x:f>
        <x:v>No</x:v>
      </x:c>
      <x:c r="N4017" s="25" t="str">
        <x:f>IF(J4017&gt;=6,"Sí","No")</x:f>
        <x:v>No</x:v>
      </x:c>
      <x:c r="O4017" s="25" t="str">
        <x:v>Pendiente: asignar con R/sf</x:v>
      </x:c>
    </x:row>
    <x:row r="4018">
      <x:c r="A4018" s="25" t="n">
        <x:v>4017</x:v>
      </x:c>
      <x:c r="B4018" s="26" t="n">
        <x:v>43694.38773148148</x:v>
      </x:c>
      <x:c r="C4018" s="27" t="n">
        <x:f>INT(B4018)</x:f>
        <x:v>43694</x:v>
      </x:c>
      <x:c r="D4018" s="28" t="n">
        <x:f>MOD(B4018,1)</x:f>
        <x:v>0.38773148148175096</x:v>
      </x:c>
      <x:c r="E4018" s="29" t="n">
        <x:f>YEAR(B4018)</x:f>
        <x:v>2019</x:v>
      </x:c>
      <x:c r="F4018" s="29" t="n">
        <x:f>MONTH(B4018)</x:f>
        <x:v>8</x:v>
      </x:c>
      <x:c r="G4018" s="30" t="n">
        <x:v>-30.02</x:v>
      </x:c>
      <x:c r="H4018" s="30" t="n">
        <x:v>-71.67</x:v>
      </x:c>
      <x:c r="I4018" s="29" t="n">
        <x:v>38</x:v>
      </x:c>
      <x:c r="J4018" s="31" t="n">
        <x:v>4.2</x:v>
      </x:c>
      <x:c r="K4018" s="25" t="str">
        <x:f>IF(J4018&gt;=7,"Muy fuerte (&gt;=7)",IF(J4018&gt;=6,"Fuerte (6-6.9)",IF(J4018&gt;=5,"Moderado alto (5-5.9)",IF(J4018&gt;=4,"Moderado (4-4.9)","Menor a 4"))))</x:f>
        <x:v>Moderado (4-4.9)</x:v>
      </x:c>
      <x:c r="L4018" s="25" t="str">
        <x:f>IF(I4018&lt;70,"Superficial (&lt;70 km)",IF(I4018&lt;=300,"Intermedio (70-300 km)","Profundo (&gt;300 km)"))</x:f>
        <x:v>Superficial (&lt;70 km)</x:v>
      </x:c>
      <x:c r="M4018" s="25" t="str">
        <x:f>IF(J4018&gt;=5,"Sí","No")</x:f>
        <x:v>No</x:v>
      </x:c>
      <x:c r="N4018" s="25" t="str">
        <x:f>IF(J4018&gt;=6,"Sí","No")</x:f>
        <x:v>No</x:v>
      </x:c>
      <x:c r="O4018" s="25" t="str">
        <x:v>Pendiente: asignar con R/sf</x:v>
      </x:c>
    </x:row>
    <x:row r="4019">
      <x:c r="A4019" s="25" t="n">
        <x:v>4018</x:v>
      </x:c>
      <x:c r="B4019" s="26" t="n">
        <x:v>43611.05972222222</x:v>
      </x:c>
      <x:c r="C4019" s="27" t="n">
        <x:f>INT(B4019)</x:f>
        <x:v>43611</x:v>
      </x:c>
      <x:c r="D4019" s="28" t="n">
        <x:f>MOD(B4019,1)</x:f>
        <x:v>0.059722222220443655</x:v>
      </x:c>
      <x:c r="E4019" s="29" t="n">
        <x:f>YEAR(B4019)</x:f>
        <x:v>2019</x:v>
      </x:c>
      <x:c r="F4019" s="29" t="n">
        <x:f>MONTH(B4019)</x:f>
        <x:v>5</x:v>
      </x:c>
      <x:c r="G4019" s="30" t="n">
        <x:v>-30.4</x:v>
      </x:c>
      <x:c r="H4019" s="30" t="n">
        <x:v>-71.44</x:v>
      </x:c>
      <x:c r="I4019" s="29" t="n">
        <x:v>11</x:v>
      </x:c>
      <x:c r="J4019" s="31" t="n">
        <x:v>3.5</x:v>
      </x:c>
      <x:c r="K4019" s="25" t="str">
        <x:f>IF(J4019&gt;=7,"Muy fuerte (&gt;=7)",IF(J4019&gt;=6,"Fuerte (6-6.9)",IF(J4019&gt;=5,"Moderado alto (5-5.9)",IF(J4019&gt;=4,"Moderado (4-4.9)","Menor a 4"))))</x:f>
        <x:v>Menor a 4</x:v>
      </x:c>
      <x:c r="L4019" s="25" t="str">
        <x:f>IF(I4019&lt;70,"Superficial (&lt;70 km)",IF(I4019&lt;=300,"Intermedio (70-300 km)","Profundo (&gt;300 km)"))</x:f>
        <x:v>Superficial (&lt;70 km)</x:v>
      </x:c>
      <x:c r="M4019" s="25" t="str">
        <x:f>IF(J4019&gt;=5,"Sí","No")</x:f>
        <x:v>No</x:v>
      </x:c>
      <x:c r="N4019" s="25" t="str">
        <x:f>IF(J4019&gt;=6,"Sí","No")</x:f>
        <x:v>No</x:v>
      </x:c>
      <x:c r="O4019" s="25" t="str">
        <x:v>Pendiente: asignar con R/sf</x:v>
      </x:c>
    </x:row>
    <x:row r="4020">
      <x:c r="A4020" s="25" t="n">
        <x:v>4019</x:v>
      </x:c>
      <x:c r="B4020" s="26" t="n">
        <x:v>43926.59736111111</x:v>
      </x:c>
      <x:c r="C4020" s="27" t="n">
        <x:f>INT(B4020)</x:f>
        <x:v>43926</x:v>
      </x:c>
      <x:c r="D4020" s="28" t="n">
        <x:f>MOD(B4020,1)</x:f>
        <x:v>0.5973611111112405</x:v>
      </x:c>
      <x:c r="E4020" s="29" t="n">
        <x:f>YEAR(B4020)</x:f>
        <x:v>2020</x:v>
      </x:c>
      <x:c r="F4020" s="29" t="n">
        <x:f>MONTH(B4020)</x:f>
        <x:v>4</x:v>
      </x:c>
      <x:c r="G4020" s="30" t="n">
        <x:v>-31.77</x:v>
      </x:c>
      <x:c r="H4020" s="30" t="n">
        <x:v>-71.59</x:v>
      </x:c>
      <x:c r="I4020" s="29" t="n">
        <x:v>36</x:v>
      </x:c>
      <x:c r="J4020" s="31" t="n">
        <x:v>4.5</x:v>
      </x:c>
      <x:c r="K4020" s="25" t="str">
        <x:f>IF(J4020&gt;=7,"Muy fuerte (&gt;=7)",IF(J4020&gt;=6,"Fuerte (6-6.9)",IF(J4020&gt;=5,"Moderado alto (5-5.9)",IF(J4020&gt;=4,"Moderado (4-4.9)","Menor a 4"))))</x:f>
        <x:v>Moderado (4-4.9)</x:v>
      </x:c>
      <x:c r="L4020" s="25" t="str">
        <x:f>IF(I4020&lt;70,"Superficial (&lt;70 km)",IF(I4020&lt;=300,"Intermedio (70-300 km)","Profundo (&gt;300 km)"))</x:f>
        <x:v>Superficial (&lt;70 km)</x:v>
      </x:c>
      <x:c r="M4020" s="25" t="str">
        <x:f>IF(J4020&gt;=5,"Sí","No")</x:f>
        <x:v>No</x:v>
      </x:c>
      <x:c r="N4020" s="25" t="str">
        <x:f>IF(J4020&gt;=6,"Sí","No")</x:f>
        <x:v>No</x:v>
      </x:c>
      <x:c r="O4020" s="25" t="str">
        <x:v>Pendiente: asignar con R/sf</x:v>
      </x:c>
    </x:row>
    <x:row r="4021">
      <x:c r="A4021" s="25" t="n">
        <x:v>4020</x:v>
      </x:c>
      <x:c r="B4021" s="26" t="n">
        <x:v>43392.13920138889</x:v>
      </x:c>
      <x:c r="C4021" s="27" t="n">
        <x:f>INT(B4021)</x:f>
        <x:v>43392</x:v>
      </x:c>
      <x:c r="D4021" s="28" t="n">
        <x:f>MOD(B4021,1)</x:f>
        <x:v>0.1392013888907968</x:v>
      </x:c>
      <x:c r="E4021" s="29" t="n">
        <x:f>YEAR(B4021)</x:f>
        <x:v>2018</x:v>
      </x:c>
      <x:c r="F4021" s="29" t="n">
        <x:f>MONTH(B4021)</x:f>
        <x:v>10</x:v>
      </x:c>
      <x:c r="G4021" s="30" t="n">
        <x:v>-31.58</x:v>
      </x:c>
      <x:c r="H4021" s="30" t="n">
        <x:v>-71.45</x:v>
      </x:c>
      <x:c r="I4021" s="29" t="n">
        <x:v>46</x:v>
      </x:c>
      <x:c r="J4021" s="31" t="n">
        <x:v>3.5</x:v>
      </x:c>
      <x:c r="K4021" s="25" t="str">
        <x:f>IF(J4021&gt;=7,"Muy fuerte (&gt;=7)",IF(J4021&gt;=6,"Fuerte (6-6.9)",IF(J4021&gt;=5,"Moderado alto (5-5.9)",IF(J4021&gt;=4,"Moderado (4-4.9)","Menor a 4"))))</x:f>
        <x:v>Menor a 4</x:v>
      </x:c>
      <x:c r="L4021" s="25" t="str">
        <x:f>IF(I4021&lt;70,"Superficial (&lt;70 km)",IF(I4021&lt;=300,"Intermedio (70-300 km)","Profundo (&gt;300 km)"))</x:f>
        <x:v>Superficial (&lt;70 km)</x:v>
      </x:c>
      <x:c r="M4021" s="25" t="str">
        <x:f>IF(J4021&gt;=5,"Sí","No")</x:f>
        <x:v>No</x:v>
      </x:c>
      <x:c r="N4021" s="25" t="str">
        <x:f>IF(J4021&gt;=6,"Sí","No")</x:f>
        <x:v>No</x:v>
      </x:c>
      <x:c r="O4021" s="25" t="str">
        <x:v>Pendiente: asignar con R/sf</x:v>
      </x:c>
    </x:row>
    <x:row r="4022">
      <x:c r="A4022" s="25" t="n">
        <x:v>4021</x:v>
      </x:c>
      <x:c r="B4022" s="26" t="n">
        <x:v>43790.066979166666</x:v>
      </x:c>
      <x:c r="C4022" s="27" t="n">
        <x:f>INT(B4022)</x:f>
        <x:v>43790</x:v>
      </x:c>
      <x:c r="D4022" s="28" t="n">
        <x:f>MOD(B4022,1)</x:f>
        <x:v>0.06697916666598758</x:v>
      </x:c>
      <x:c r="E4022" s="29" t="n">
        <x:f>YEAR(B4022)</x:f>
        <x:v>2019</x:v>
      </x:c>
      <x:c r="F4022" s="29" t="n">
        <x:f>MONTH(B4022)</x:f>
        <x:v>11</x:v>
      </x:c>
      <x:c r="G4022" s="30" t="n">
        <x:v>-29.84</x:v>
      </x:c>
      <x:c r="H4022" s="30" t="n">
        <x:v>-71.22</x:v>
      </x:c>
      <x:c r="I4022" s="29" t="n">
        <x:v>58</x:v>
      </x:c>
      <x:c r="J4022" s="31" t="n">
        <x:v>4.4</x:v>
      </x:c>
      <x:c r="K4022" s="25" t="str">
        <x:f>IF(J4022&gt;=7,"Muy fuerte (&gt;=7)",IF(J4022&gt;=6,"Fuerte (6-6.9)",IF(J4022&gt;=5,"Moderado alto (5-5.9)",IF(J4022&gt;=4,"Moderado (4-4.9)","Menor a 4"))))</x:f>
        <x:v>Moderado (4-4.9)</x:v>
      </x:c>
      <x:c r="L4022" s="25" t="str">
        <x:f>IF(I4022&lt;70,"Superficial (&lt;70 km)",IF(I4022&lt;=300,"Intermedio (70-300 km)","Profundo (&gt;300 km)"))</x:f>
        <x:v>Superficial (&lt;70 km)</x:v>
      </x:c>
      <x:c r="M4022" s="25" t="str">
        <x:f>IF(J4022&gt;=5,"Sí","No")</x:f>
        <x:v>No</x:v>
      </x:c>
      <x:c r="N4022" s="25" t="str">
        <x:f>IF(J4022&gt;=6,"Sí","No")</x:f>
        <x:v>No</x:v>
      </x:c>
      <x:c r="O4022" s="25" t="str">
        <x:v>Pendiente: asignar con R/sf</x:v>
      </x:c>
    </x:row>
    <x:row r="4023">
      <x:c r="A4023" s="25" t="n">
        <x:v>4022</x:v>
      </x:c>
      <x:c r="B4023" s="26" t="n">
        <x:v>43645.20628472222</x:v>
      </x:c>
      <x:c r="C4023" s="27" t="n">
        <x:f>INT(B4023)</x:f>
        <x:v>43645</x:v>
      </x:c>
      <x:c r="D4023" s="28" t="n">
        <x:f>MOD(B4023,1)</x:f>
        <x:v>0.20628472221869742</x:v>
      </x:c>
      <x:c r="E4023" s="29" t="n">
        <x:f>YEAR(B4023)</x:f>
        <x:v>2019</x:v>
      </x:c>
      <x:c r="F4023" s="29" t="n">
        <x:f>MONTH(B4023)</x:f>
        <x:v>6</x:v>
      </x:c>
      <x:c r="G4023" s="30" t="n">
        <x:v>-30.21</x:v>
      </x:c>
      <x:c r="H4023" s="30" t="n">
        <x:v>-71.32</x:v>
      </x:c>
      <x:c r="I4023" s="29" t="n">
        <x:v>65</x:v>
      </x:c>
      <x:c r="J4023" s="31" t="n">
        <x:v>4.3</x:v>
      </x:c>
      <x:c r="K4023" s="25" t="str">
        <x:f>IF(J4023&gt;=7,"Muy fuerte (&gt;=7)",IF(J4023&gt;=6,"Fuerte (6-6.9)",IF(J4023&gt;=5,"Moderado alto (5-5.9)",IF(J4023&gt;=4,"Moderado (4-4.9)","Menor a 4"))))</x:f>
        <x:v>Moderado (4-4.9)</x:v>
      </x:c>
      <x:c r="L4023" s="25" t="str">
        <x:f>IF(I4023&lt;70,"Superficial (&lt;70 km)",IF(I4023&lt;=300,"Intermedio (70-300 km)","Profundo (&gt;300 km)"))</x:f>
        <x:v>Superficial (&lt;70 km)</x:v>
      </x:c>
      <x:c r="M4023" s="25" t="str">
        <x:f>IF(J4023&gt;=5,"Sí","No")</x:f>
        <x:v>No</x:v>
      </x:c>
      <x:c r="N4023" s="25" t="str">
        <x:f>IF(J4023&gt;=6,"Sí","No")</x:f>
        <x:v>No</x:v>
      </x:c>
      <x:c r="O4023" s="25" t="str">
        <x:v>Pendiente: asignar con R/sf</x:v>
      </x:c>
    </x:row>
    <x:row r="4024">
      <x:c r="A4024" s="25" t="n">
        <x:v>4023</x:v>
      </x:c>
      <x:c r="B4024" s="26" t="n">
        <x:v>43769.37274305556</x:v>
      </x:c>
      <x:c r="C4024" s="27" t="n">
        <x:f>INT(B4024)</x:f>
        <x:v>43769</x:v>
      </x:c>
      <x:c r="D4024" s="28" t="n">
        <x:f>MOD(B4024,1)</x:f>
        <x:v>0.3727430555591127</x:v>
      </x:c>
      <x:c r="E4024" s="29" t="n">
        <x:f>YEAR(B4024)</x:f>
        <x:v>2019</x:v>
      </x:c>
      <x:c r="F4024" s="29" t="n">
        <x:f>MONTH(B4024)</x:f>
        <x:v>10</x:v>
      </x:c>
      <x:c r="G4024" s="30" t="n">
        <x:v>-31.74</x:v>
      </x:c>
      <x:c r="H4024" s="30" t="n">
        <x:v>-71.54</x:v>
      </x:c>
      <x:c r="I4024" s="29" t="n">
        <x:v>36</x:v>
      </x:c>
      <x:c r="J4024" s="31" t="n">
        <x:v>3.9</x:v>
      </x:c>
      <x:c r="K4024" s="25" t="str">
        <x:f>IF(J4024&gt;=7,"Muy fuerte (&gt;=7)",IF(J4024&gt;=6,"Fuerte (6-6.9)",IF(J4024&gt;=5,"Moderado alto (5-5.9)",IF(J4024&gt;=4,"Moderado (4-4.9)","Menor a 4"))))</x:f>
        <x:v>Menor a 4</x:v>
      </x:c>
      <x:c r="L4024" s="25" t="str">
        <x:f>IF(I4024&lt;70,"Superficial (&lt;70 km)",IF(I4024&lt;=300,"Intermedio (70-300 km)","Profundo (&gt;300 km)"))</x:f>
        <x:v>Superficial (&lt;70 km)</x:v>
      </x:c>
      <x:c r="M4024" s="25" t="str">
        <x:f>IF(J4024&gt;=5,"Sí","No")</x:f>
        <x:v>No</x:v>
      </x:c>
      <x:c r="N4024" s="25" t="str">
        <x:f>IF(J4024&gt;=6,"Sí","No")</x:f>
        <x:v>No</x:v>
      </x:c>
      <x:c r="O4024" s="25" t="str">
        <x:v>Pendiente: asignar con R/sf</x:v>
      </x:c>
    </x:row>
    <x:row r="4025">
      <x:c r="A4025" s="25" t="n">
        <x:v>4024</x:v>
      </x:c>
      <x:c r="B4025" s="26" t="n">
        <x:v>43431.75534722222</x:v>
      </x:c>
      <x:c r="C4025" s="27" t="n">
        <x:f>INT(B4025)</x:f>
        <x:v>43431</x:v>
      </x:c>
      <x:c r="D4025" s="28" t="n">
        <x:f>MOD(B4025,1)</x:f>
        <x:v>0.7553472222207347</x:v>
      </x:c>
      <x:c r="E4025" s="29" t="n">
        <x:f>YEAR(B4025)</x:f>
        <x:v>2018</x:v>
      </x:c>
      <x:c r="F4025" s="29" t="n">
        <x:f>MONTH(B4025)</x:f>
        <x:v>11</x:v>
      </x:c>
      <x:c r="G4025" s="30" t="n">
        <x:v>-29.56</x:v>
      </x:c>
      <x:c r="H4025" s="30" t="n">
        <x:v>-71.44</x:v>
      </x:c>
      <x:c r="I4025" s="29" t="n">
        <x:v>41</x:v>
      </x:c>
      <x:c r="J4025" s="31" t="n">
        <x:v>3.7</x:v>
      </x:c>
      <x:c r="K4025" s="25" t="str">
        <x:f>IF(J4025&gt;=7,"Muy fuerte (&gt;=7)",IF(J4025&gt;=6,"Fuerte (6-6.9)",IF(J4025&gt;=5,"Moderado alto (5-5.9)",IF(J4025&gt;=4,"Moderado (4-4.9)","Menor a 4"))))</x:f>
        <x:v>Menor a 4</x:v>
      </x:c>
      <x:c r="L4025" s="25" t="str">
        <x:f>IF(I4025&lt;70,"Superficial (&lt;70 km)",IF(I4025&lt;=300,"Intermedio (70-300 km)","Profundo (&gt;300 km)"))</x:f>
        <x:v>Superficial (&lt;70 km)</x:v>
      </x:c>
      <x:c r="M4025" s="25" t="str">
        <x:f>IF(J4025&gt;=5,"Sí","No")</x:f>
        <x:v>No</x:v>
      </x:c>
      <x:c r="N4025" s="25" t="str">
        <x:f>IF(J4025&gt;=6,"Sí","No")</x:f>
        <x:v>No</x:v>
      </x:c>
      <x:c r="O4025" s="25" t="str">
        <x:v>Pendiente: asignar con R/sf</x:v>
      </x:c>
    </x:row>
    <x:row r="4026">
      <x:c r="A4026" s="25" t="n">
        <x:v>4025</x:v>
      </x:c>
      <x:c r="B4026" s="26" t="n">
        <x:v>43927.04195601852</x:v>
      </x:c>
      <x:c r="C4026" s="27" t="n">
        <x:f>INT(B4026)</x:f>
        <x:v>43927</x:v>
      </x:c>
      <x:c r="D4026" s="28" t="n">
        <x:f>MOD(B4026,1)</x:f>
        <x:v>0.04195601851824904</x:v>
      </x:c>
      <x:c r="E4026" s="29" t="n">
        <x:f>YEAR(B4026)</x:f>
        <x:v>2020</x:v>
      </x:c>
      <x:c r="F4026" s="29" t="n">
        <x:f>MONTH(B4026)</x:f>
        <x:v>4</x:v>
      </x:c>
      <x:c r="G4026" s="30" t="n">
        <x:v>-31.82</x:v>
      </x:c>
      <x:c r="H4026" s="30" t="n">
        <x:v>-71.39</x:v>
      </x:c>
      <x:c r="I4026" s="29" t="n">
        <x:v>55</x:v>
      </x:c>
      <x:c r="J4026" s="31" t="n">
        <x:v>3.9</x:v>
      </x:c>
      <x:c r="K4026" s="25" t="str">
        <x:f>IF(J4026&gt;=7,"Muy fuerte (&gt;=7)",IF(J4026&gt;=6,"Fuerte (6-6.9)",IF(J4026&gt;=5,"Moderado alto (5-5.9)",IF(J4026&gt;=4,"Moderado (4-4.9)","Menor a 4"))))</x:f>
        <x:v>Menor a 4</x:v>
      </x:c>
      <x:c r="L4026" s="25" t="str">
        <x:f>IF(I4026&lt;70,"Superficial (&lt;70 km)",IF(I4026&lt;=300,"Intermedio (70-300 km)","Profundo (&gt;300 km)"))</x:f>
        <x:v>Superficial (&lt;70 km)</x:v>
      </x:c>
      <x:c r="M4026" s="25" t="str">
        <x:f>IF(J4026&gt;=5,"Sí","No")</x:f>
        <x:v>No</x:v>
      </x:c>
      <x:c r="N4026" s="25" t="str">
        <x:f>IF(J4026&gt;=6,"Sí","No")</x:f>
        <x:v>No</x:v>
      </x:c>
      <x:c r="O4026" s="25" t="str">
        <x:v>Pendiente: asignar con R/sf</x:v>
      </x:c>
    </x:row>
    <x:row r="4027">
      <x:c r="A4027" s="25" t="n">
        <x:v>4026</x:v>
      </x:c>
      <x:c r="B4027" s="26" t="n">
        <x:v>43939.38778935185</x:v>
      </x:c>
      <x:c r="C4027" s="27" t="n">
        <x:f>INT(B4027)</x:f>
        <x:v>43939</x:v>
      </x:c>
      <x:c r="D4027" s="28" t="n">
        <x:f>MOD(B4027,1)</x:f>
        <x:v>0.3877893518510973</x:v>
      </x:c>
      <x:c r="E4027" s="29" t="n">
        <x:f>YEAR(B4027)</x:f>
        <x:v>2020</x:v>
      </x:c>
      <x:c r="F4027" s="29" t="n">
        <x:f>MONTH(B4027)</x:f>
        <x:v>4</x:v>
      </x:c>
      <x:c r="G4027" s="30" t="n">
        <x:v>-29.09</x:v>
      </x:c>
      <x:c r="H4027" s="30" t="n">
        <x:v>-71.14</x:v>
      </x:c>
      <x:c r="I4027" s="29" t="n">
        <x:v>43</x:v>
      </x:c>
      <x:c r="J4027" s="31" t="n">
        <x:v>3.4</x:v>
      </x:c>
      <x:c r="K4027" s="25" t="str">
        <x:f>IF(J4027&gt;=7,"Muy fuerte (&gt;=7)",IF(J4027&gt;=6,"Fuerte (6-6.9)",IF(J4027&gt;=5,"Moderado alto (5-5.9)",IF(J4027&gt;=4,"Moderado (4-4.9)","Menor a 4"))))</x:f>
        <x:v>Menor a 4</x:v>
      </x:c>
      <x:c r="L4027" s="25" t="str">
        <x:f>IF(I4027&lt;70,"Superficial (&lt;70 km)",IF(I4027&lt;=300,"Intermedio (70-300 km)","Profundo (&gt;300 km)"))</x:f>
        <x:v>Superficial (&lt;70 km)</x:v>
      </x:c>
      <x:c r="M4027" s="25" t="str">
        <x:f>IF(J4027&gt;=5,"Sí","No")</x:f>
        <x:v>No</x:v>
      </x:c>
      <x:c r="N4027" s="25" t="str">
        <x:f>IF(J4027&gt;=6,"Sí","No")</x:f>
        <x:v>No</x:v>
      </x:c>
      <x:c r="O4027" s="25" t="str">
        <x:v>Pendiente: asignar con R/sf</x:v>
      </x:c>
    </x:row>
    <x:row r="4028">
      <x:c r="A4028" s="25" t="n">
        <x:v>4027</x:v>
      </x:c>
      <x:c r="B4028" s="26" t="n">
        <x:v>43676.69325231481</x:v>
      </x:c>
      <x:c r="C4028" s="27" t="n">
        <x:f>INT(B4028)</x:f>
        <x:v>43676</x:v>
      </x:c>
      <x:c r="D4028" s="28" t="n">
        <x:f>MOD(B4028,1)</x:f>
        <x:v>0.6932523148134351</x:v>
      </x:c>
      <x:c r="E4028" s="29" t="n">
        <x:f>YEAR(B4028)</x:f>
        <x:v>2019</x:v>
      </x:c>
      <x:c r="F4028" s="29" t="n">
        <x:f>MONTH(B4028)</x:f>
        <x:v>7</x:v>
      </x:c>
      <x:c r="G4028" s="30" t="n">
        <x:v>-31.52</x:v>
      </x:c>
      <x:c r="H4028" s="30" t="n">
        <x:v>-71.69</x:v>
      </x:c>
      <x:c r="I4028" s="29" t="n">
        <x:v>30</x:v>
      </x:c>
      <x:c r="J4028" s="31" t="n">
        <x:v>3.9</x:v>
      </x:c>
      <x:c r="K4028" s="25" t="str">
        <x:f>IF(J4028&gt;=7,"Muy fuerte (&gt;=7)",IF(J4028&gt;=6,"Fuerte (6-6.9)",IF(J4028&gt;=5,"Moderado alto (5-5.9)",IF(J4028&gt;=4,"Moderado (4-4.9)","Menor a 4"))))</x:f>
        <x:v>Menor a 4</x:v>
      </x:c>
      <x:c r="L4028" s="25" t="str">
        <x:f>IF(I4028&lt;70,"Superficial (&lt;70 km)",IF(I4028&lt;=300,"Intermedio (70-300 km)","Profundo (&gt;300 km)"))</x:f>
        <x:v>Superficial (&lt;70 km)</x:v>
      </x:c>
      <x:c r="M4028" s="25" t="str">
        <x:f>IF(J4028&gt;=5,"Sí","No")</x:f>
        <x:v>No</x:v>
      </x:c>
      <x:c r="N4028" s="25" t="str">
        <x:f>IF(J4028&gt;=6,"Sí","No")</x:f>
        <x:v>No</x:v>
      </x:c>
      <x:c r="O4028" s="25" t="str">
        <x:v>Pendiente: asignar con R/sf</x:v>
      </x:c>
    </x:row>
    <x:row r="4029">
      <x:c r="A4029" s="25" t="n">
        <x:v>4028</x:v>
      </x:c>
      <x:c r="B4029" s="26" t="n">
        <x:v>43692.59979166667</x:v>
      </x:c>
      <x:c r="C4029" s="27" t="n">
        <x:f>INT(B4029)</x:f>
        <x:v>43692</x:v>
      </x:c>
      <x:c r="D4029" s="28" t="n">
        <x:f>MOD(B4029,1)</x:f>
        <x:v>0.5997916666674428</x:v>
      </x:c>
      <x:c r="E4029" s="29" t="n">
        <x:f>YEAR(B4029)</x:f>
        <x:v>2019</x:v>
      </x:c>
      <x:c r="F4029" s="29" t="n">
        <x:f>MONTH(B4029)</x:f>
        <x:v>8</x:v>
      </x:c>
      <x:c r="G4029" s="30" t="n">
        <x:v>-29.97</x:v>
      </x:c>
      <x:c r="H4029" s="30" t="n">
        <x:v>-72.02</x:v>
      </x:c>
      <x:c r="I4029" s="29" t="n">
        <x:v>32</x:v>
      </x:c>
      <x:c r="J4029" s="31" t="n">
        <x:v>4.7</x:v>
      </x:c>
      <x:c r="K4029" s="25" t="str">
        <x:f>IF(J4029&gt;=7,"Muy fuerte (&gt;=7)",IF(J4029&gt;=6,"Fuerte (6-6.9)",IF(J4029&gt;=5,"Moderado alto (5-5.9)",IF(J4029&gt;=4,"Moderado (4-4.9)","Menor a 4"))))</x:f>
        <x:v>Moderado (4-4.9)</x:v>
      </x:c>
      <x:c r="L4029" s="25" t="str">
        <x:f>IF(I4029&lt;70,"Superficial (&lt;70 km)",IF(I4029&lt;=300,"Intermedio (70-300 km)","Profundo (&gt;300 km)"))</x:f>
        <x:v>Superficial (&lt;70 km)</x:v>
      </x:c>
      <x:c r="M4029" s="25" t="str">
        <x:f>IF(J4029&gt;=5,"Sí","No")</x:f>
        <x:v>No</x:v>
      </x:c>
      <x:c r="N4029" s="25" t="str">
        <x:f>IF(J4029&gt;=6,"Sí","No")</x:f>
        <x:v>No</x:v>
      </x:c>
      <x:c r="O4029" s="25" t="str">
        <x:v>Pendiente: asignar con R/sf</x:v>
      </x:c>
    </x:row>
    <x:row r="4030">
      <x:c r="A4030" s="25" t="n">
        <x:v>4029</x:v>
      </x:c>
      <x:c r="B4030" s="26" t="n">
        <x:v>44045.45905092593</x:v>
      </x:c>
      <x:c r="C4030" s="27" t="n">
        <x:f>INT(B4030)</x:f>
        <x:v>44045</x:v>
      </x:c>
      <x:c r="D4030" s="28" t="n">
        <x:f>MOD(B4030,1)</x:f>
        <x:v>0.4590509259287501</x:v>
      </x:c>
      <x:c r="E4030" s="29" t="n">
        <x:f>YEAR(B4030)</x:f>
        <x:v>2020</x:v>
      </x:c>
      <x:c r="F4030" s="29" t="n">
        <x:f>MONTH(B4030)</x:f>
        <x:v>8</x:v>
      </x:c>
      <x:c r="G4030" s="30" t="n">
        <x:v>-19.75</x:v>
      </x:c>
      <x:c r="H4030" s="30" t="n">
        <x:v>-69.87</x:v>
      </x:c>
      <x:c r="I4030" s="29" t="n">
        <x:v>32</x:v>
      </x:c>
      <x:c r="J4030" s="31" t="n">
        <x:v>3.9</x:v>
      </x:c>
      <x:c r="K4030" s="25" t="str">
        <x:f>IF(J4030&gt;=7,"Muy fuerte (&gt;=7)",IF(J4030&gt;=6,"Fuerte (6-6.9)",IF(J4030&gt;=5,"Moderado alto (5-5.9)",IF(J4030&gt;=4,"Moderado (4-4.9)","Menor a 4"))))</x:f>
        <x:v>Menor a 4</x:v>
      </x:c>
      <x:c r="L4030" s="25" t="str">
        <x:f>IF(I4030&lt;70,"Superficial (&lt;70 km)",IF(I4030&lt;=300,"Intermedio (70-300 km)","Profundo (&gt;300 km)"))</x:f>
        <x:v>Superficial (&lt;70 km)</x:v>
      </x:c>
      <x:c r="M4030" s="25" t="str">
        <x:f>IF(J4030&gt;=5,"Sí","No")</x:f>
        <x:v>No</x:v>
      </x:c>
      <x:c r="N4030" s="25" t="str">
        <x:f>IF(J4030&gt;=6,"Sí","No")</x:f>
        <x:v>No</x:v>
      </x:c>
      <x:c r="O4030" s="25" t="str">
        <x:v>Pendiente: asignar con R/sf</x:v>
      </x:c>
    </x:row>
    <x:row r="4031">
      <x:c r="A4031" s="25" t="n">
        <x:v>4030</x:v>
      </x:c>
      <x:c r="B4031" s="26" t="n">
        <x:v>44066.26128472222</x:v>
      </x:c>
      <x:c r="C4031" s="27" t="n">
        <x:f>INT(B4031)</x:f>
        <x:v>44066</x:v>
      </x:c>
      <x:c r="D4031" s="28" t="n">
        <x:f>MOD(B4031,1)</x:f>
        <x:v>0.26128472221898846</x:v>
      </x:c>
      <x:c r="E4031" s="29" t="n">
        <x:f>YEAR(B4031)</x:f>
        <x:v>2020</x:v>
      </x:c>
      <x:c r="F4031" s="29" t="n">
        <x:f>MONTH(B4031)</x:f>
        <x:v>8</x:v>
      </x:c>
      <x:c r="G4031" s="30" t="n">
        <x:v>-20.61</x:v>
      </x:c>
      <x:c r="H4031" s="30" t="n">
        <x:v>-69.8</x:v>
      </x:c>
      <x:c r="I4031" s="29" t="n">
        <x:v>48</x:v>
      </x:c>
      <x:c r="J4031" s="31" t="n">
        <x:v>3.9</x:v>
      </x:c>
      <x:c r="K4031" s="25" t="str">
        <x:f>IF(J4031&gt;=7,"Muy fuerte (&gt;=7)",IF(J4031&gt;=6,"Fuerte (6-6.9)",IF(J4031&gt;=5,"Moderado alto (5-5.9)",IF(J4031&gt;=4,"Moderado (4-4.9)","Menor a 4"))))</x:f>
        <x:v>Menor a 4</x:v>
      </x:c>
      <x:c r="L4031" s="25" t="str">
        <x:f>IF(I4031&lt;70,"Superficial (&lt;70 km)",IF(I4031&lt;=300,"Intermedio (70-300 km)","Profundo (&gt;300 km)"))</x:f>
        <x:v>Superficial (&lt;70 km)</x:v>
      </x:c>
      <x:c r="M4031" s="25" t="str">
        <x:f>IF(J4031&gt;=5,"Sí","No")</x:f>
        <x:v>No</x:v>
      </x:c>
      <x:c r="N4031" s="25" t="str">
        <x:f>IF(J4031&gt;=6,"Sí","No")</x:f>
        <x:v>No</x:v>
      </x:c>
      <x:c r="O4031" s="25" t="str">
        <x:v>Pendiente: asignar con R/sf</x:v>
      </x:c>
    </x:row>
    <x:row r="4032">
      <x:c r="A4032" s="25" t="n">
        <x:v>4031</x:v>
      </x:c>
      <x:c r="B4032" s="26" t="n">
        <x:v>43577.47069444445</x:v>
      </x:c>
      <x:c r="C4032" s="27" t="n">
        <x:f>INT(B4032)</x:f>
        <x:v>43577</x:v>
      </x:c>
      <x:c r="D4032" s="28" t="n">
        <x:f>MOD(B4032,1)</x:f>
        <x:v>0.47069444444787223</x:v>
      </x:c>
      <x:c r="E4032" s="29" t="n">
        <x:f>YEAR(B4032)</x:f>
        <x:v>2019</x:v>
      </x:c>
      <x:c r="F4032" s="29" t="n">
        <x:f>MONTH(B4032)</x:f>
        <x:v>4</x:v>
      </x:c>
      <x:c r="G4032" s="30" t="n">
        <x:v>-30.2</x:v>
      </x:c>
      <x:c r="H4032" s="30" t="n">
        <x:v>-71.27</x:v>
      </x:c>
      <x:c r="I4032" s="29" t="n">
        <x:v>58</x:v>
      </x:c>
      <x:c r="J4032" s="31" t="n">
        <x:v>3.9</x:v>
      </x:c>
      <x:c r="K4032" s="25" t="str">
        <x:f>IF(J4032&gt;=7,"Muy fuerte (&gt;=7)",IF(J4032&gt;=6,"Fuerte (6-6.9)",IF(J4032&gt;=5,"Moderado alto (5-5.9)",IF(J4032&gt;=4,"Moderado (4-4.9)","Menor a 4"))))</x:f>
        <x:v>Menor a 4</x:v>
      </x:c>
      <x:c r="L4032" s="25" t="str">
        <x:f>IF(I4032&lt;70,"Superficial (&lt;70 km)",IF(I4032&lt;=300,"Intermedio (70-300 km)","Profundo (&gt;300 km)"))</x:f>
        <x:v>Superficial (&lt;70 km)</x:v>
      </x:c>
      <x:c r="M4032" s="25" t="str">
        <x:f>IF(J4032&gt;=5,"Sí","No")</x:f>
        <x:v>No</x:v>
      </x:c>
      <x:c r="N4032" s="25" t="str">
        <x:f>IF(J4032&gt;=6,"Sí","No")</x:f>
        <x:v>No</x:v>
      </x:c>
      <x:c r="O4032" s="25" t="str">
        <x:v>Pendiente: asignar con R/sf</x:v>
      </x:c>
    </x:row>
    <x:row r="4033">
      <x:c r="A4033" s="25" t="n">
        <x:v>4032</x:v>
      </x:c>
      <x:c r="B4033" s="26" t="n">
        <x:v>43761.78042824074</x:v>
      </x:c>
      <x:c r="C4033" s="27" t="n">
        <x:f>INT(B4033)</x:f>
        <x:v>43761</x:v>
      </x:c>
      <x:c r="D4033" s="28" t="n">
        <x:f>MOD(B4033,1)</x:f>
        <x:v>0.7804282407378196</x:v>
      </x:c>
      <x:c r="E4033" s="29" t="n">
        <x:f>YEAR(B4033)</x:f>
        <x:v>2019</x:v>
      </x:c>
      <x:c r="F4033" s="29" t="n">
        <x:f>MONTH(B4033)</x:f>
        <x:v>10</x:v>
      </x:c>
      <x:c r="G4033" s="30" t="n">
        <x:v>-31.46</x:v>
      </x:c>
      <x:c r="H4033" s="30" t="n">
        <x:v>-71.61</x:v>
      </x:c>
      <x:c r="I4033" s="29" t="n">
        <x:v>34</x:v>
      </x:c>
      <x:c r="J4033" s="31" t="n">
        <x:v>4.5</x:v>
      </x:c>
      <x:c r="K4033" s="25" t="str">
        <x:f>IF(J4033&gt;=7,"Muy fuerte (&gt;=7)",IF(J4033&gt;=6,"Fuerte (6-6.9)",IF(J4033&gt;=5,"Moderado alto (5-5.9)",IF(J4033&gt;=4,"Moderado (4-4.9)","Menor a 4"))))</x:f>
        <x:v>Moderado (4-4.9)</x:v>
      </x:c>
      <x:c r="L4033" s="25" t="str">
        <x:f>IF(I4033&lt;70,"Superficial (&lt;70 km)",IF(I4033&lt;=300,"Intermedio (70-300 km)","Profundo (&gt;300 km)"))</x:f>
        <x:v>Superficial (&lt;70 km)</x:v>
      </x:c>
      <x:c r="M4033" s="25" t="str">
        <x:f>IF(J4033&gt;=5,"Sí","No")</x:f>
        <x:v>No</x:v>
      </x:c>
      <x:c r="N4033" s="25" t="str">
        <x:f>IF(J4033&gt;=6,"Sí","No")</x:f>
        <x:v>No</x:v>
      </x:c>
      <x:c r="O4033" s="25" t="str">
        <x:v>Pendiente: asignar con R/sf</x:v>
      </x:c>
    </x:row>
    <x:row r="4034">
      <x:c r="A4034" s="25" t="n">
        <x:v>4033</x:v>
      </x:c>
      <x:c r="B4034" s="26" t="n">
        <x:v>43708.762650462966</x:v>
      </x:c>
      <x:c r="C4034" s="27" t="n">
        <x:f>INT(B4034)</x:f>
        <x:v>43708</x:v>
      </x:c>
      <x:c r="D4034" s="28" t="n">
        <x:f>MOD(B4034,1)</x:f>
        <x:v>0.7626504629661213</x:v>
      </x:c>
      <x:c r="E4034" s="29" t="n">
        <x:f>YEAR(B4034)</x:f>
        <x:v>2019</x:v>
      </x:c>
      <x:c r="F4034" s="29" t="n">
        <x:f>MONTH(B4034)</x:f>
        <x:v>8</x:v>
      </x:c>
      <x:c r="G4034" s="30" t="n">
        <x:v>-30.21</x:v>
      </x:c>
      <x:c r="H4034" s="30" t="n">
        <x:v>-71.23</x:v>
      </x:c>
      <x:c r="I4034" s="29" t="n">
        <x:v>70</x:v>
      </x:c>
      <x:c r="J4034" s="31" t="n">
        <x:v>4.1</x:v>
      </x:c>
      <x:c r="K4034" s="25" t="str">
        <x:f>IF(J4034&gt;=7,"Muy fuerte (&gt;=7)",IF(J4034&gt;=6,"Fuerte (6-6.9)",IF(J4034&gt;=5,"Moderado alto (5-5.9)",IF(J4034&gt;=4,"Moderado (4-4.9)","Menor a 4"))))</x:f>
        <x:v>Moderado (4-4.9)</x:v>
      </x:c>
      <x:c r="L4034" s="25" t="str">
        <x:f>IF(I4034&lt;70,"Superficial (&lt;70 km)",IF(I4034&lt;=300,"Intermedio (70-300 km)","Profundo (&gt;300 km)"))</x:f>
        <x:v>Intermedio (70-300 km)</x:v>
      </x:c>
      <x:c r="M4034" s="25" t="str">
        <x:f>IF(J4034&gt;=5,"Sí","No")</x:f>
        <x:v>No</x:v>
      </x:c>
      <x:c r="N4034" s="25" t="str">
        <x:f>IF(J4034&gt;=6,"Sí","No")</x:f>
        <x:v>No</x:v>
      </x:c>
      <x:c r="O4034" s="25" t="str">
        <x:v>Pendiente: asignar con R/sf</x:v>
      </x:c>
    </x:row>
    <x:row r="4035">
      <x:c r="A4035" s="25" t="n">
        <x:v>4034</x:v>
      </x:c>
      <x:c r="B4035" s="26" t="n">
        <x:v>43629.675358796296</x:v>
      </x:c>
      <x:c r="C4035" s="27" t="n">
        <x:f>INT(B4035)</x:f>
        <x:v>43629</x:v>
      </x:c>
      <x:c r="D4035" s="28" t="n">
        <x:f>MOD(B4035,1)</x:f>
        <x:v>0.6753587962957681</x:v>
      </x:c>
      <x:c r="E4035" s="29" t="n">
        <x:f>YEAR(B4035)</x:f>
        <x:v>2019</x:v>
      </x:c>
      <x:c r="F4035" s="29" t="n">
        <x:f>MONTH(B4035)</x:f>
        <x:v>6</x:v>
      </x:c>
      <x:c r="G4035" s="30" t="n">
        <x:v>-28.81</x:v>
      </x:c>
      <x:c r="H4035" s="30" t="n">
        <x:v>-71.05</x:v>
      </x:c>
      <x:c r="I4035" s="29" t="n">
        <x:v>60</x:v>
      </x:c>
      <x:c r="J4035" s="31" t="n">
        <x:v>4.8</x:v>
      </x:c>
      <x:c r="K4035" s="25" t="str">
        <x:f>IF(J4035&gt;=7,"Muy fuerte (&gt;=7)",IF(J4035&gt;=6,"Fuerte (6-6.9)",IF(J4035&gt;=5,"Moderado alto (5-5.9)",IF(J4035&gt;=4,"Moderado (4-4.9)","Menor a 4"))))</x:f>
        <x:v>Moderado (4-4.9)</x:v>
      </x:c>
      <x:c r="L4035" s="25" t="str">
        <x:f>IF(I4035&lt;70,"Superficial (&lt;70 km)",IF(I4035&lt;=300,"Intermedio (70-300 km)","Profundo (&gt;300 km)"))</x:f>
        <x:v>Superficial (&lt;70 km)</x:v>
      </x:c>
      <x:c r="M4035" s="25" t="str">
        <x:f>IF(J4035&gt;=5,"Sí","No")</x:f>
        <x:v>No</x:v>
      </x:c>
      <x:c r="N4035" s="25" t="str">
        <x:f>IF(J4035&gt;=6,"Sí","No")</x:f>
        <x:v>No</x:v>
      </x:c>
      <x:c r="O4035" s="25" t="str">
        <x:v>Pendiente: asignar con R/sf</x:v>
      </x:c>
    </x:row>
    <x:row r="4036">
      <x:c r="A4036" s="25" t="n">
        <x:v>4035</x:v>
      </x:c>
      <x:c r="B4036" s="26" t="n">
        <x:v>43928.429189814815</x:v>
      </x:c>
      <x:c r="C4036" s="27" t="n">
        <x:f>INT(B4036)</x:f>
        <x:v>43928</x:v>
      </x:c>
      <x:c r="D4036" s="28" t="n">
        <x:f>MOD(B4036,1)</x:f>
        <x:v>0.42918981481489027</x:v>
      </x:c>
      <x:c r="E4036" s="29" t="n">
        <x:f>YEAR(B4036)</x:f>
        <x:v>2020</x:v>
      </x:c>
      <x:c r="F4036" s="29" t="n">
        <x:f>MONTH(B4036)</x:f>
        <x:v>4</x:v>
      </x:c>
      <x:c r="G4036" s="30" t="n">
        <x:v>-31.54</x:v>
      </x:c>
      <x:c r="H4036" s="30" t="n">
        <x:v>-71.54</x:v>
      </x:c>
      <x:c r="I4036" s="29" t="n">
        <x:v>45</x:v>
      </x:c>
      <x:c r="J4036" s="31" t="n">
        <x:v>4.5</x:v>
      </x:c>
      <x:c r="K4036" s="25" t="str">
        <x:f>IF(J4036&gt;=7,"Muy fuerte (&gt;=7)",IF(J4036&gt;=6,"Fuerte (6-6.9)",IF(J4036&gt;=5,"Moderado alto (5-5.9)",IF(J4036&gt;=4,"Moderado (4-4.9)","Menor a 4"))))</x:f>
        <x:v>Moderado (4-4.9)</x:v>
      </x:c>
      <x:c r="L4036" s="25" t="str">
        <x:f>IF(I4036&lt;70,"Superficial (&lt;70 km)",IF(I4036&lt;=300,"Intermedio (70-300 km)","Profundo (&gt;300 km)"))</x:f>
        <x:v>Superficial (&lt;70 km)</x:v>
      </x:c>
      <x:c r="M4036" s="25" t="str">
        <x:f>IF(J4036&gt;=5,"Sí","No")</x:f>
        <x:v>No</x:v>
      </x:c>
      <x:c r="N4036" s="25" t="str">
        <x:f>IF(J4036&gt;=6,"Sí","No")</x:f>
        <x:v>No</x:v>
      </x:c>
      <x:c r="O4036" s="25" t="str">
        <x:v>Pendiente: asignar con R/sf</x:v>
      </x:c>
    </x:row>
    <x:row r="4037">
      <x:c r="A4037" s="25" t="n">
        <x:v>4036</x:v>
      </x:c>
      <x:c r="B4037" s="26" t="n">
        <x:v>43946.24581018519</x:v>
      </x:c>
      <x:c r="C4037" s="27" t="n">
        <x:f>INT(B4037)</x:f>
        <x:v>43946</x:v>
      </x:c>
      <x:c r="D4037" s="28" t="n">
        <x:f>MOD(B4037,1)</x:f>
        <x:v>0.2458101851880201</x:v>
      </x:c>
      <x:c r="E4037" s="29" t="n">
        <x:f>YEAR(B4037)</x:f>
        <x:v>2020</x:v>
      </x:c>
      <x:c r="F4037" s="29" t="n">
        <x:f>MONTH(B4037)</x:f>
        <x:v>4</x:v>
      </x:c>
      <x:c r="G4037" s="30" t="n">
        <x:v>-27.91</x:v>
      </x:c>
      <x:c r="H4037" s="30" t="n">
        <x:v>-71.3</x:v>
      </x:c>
      <x:c r="I4037" s="29" t="n">
        <x:v>27</x:v>
      </x:c>
      <x:c r="J4037" s="31" t="n">
        <x:v>4.9</x:v>
      </x:c>
      <x:c r="K4037" s="25" t="str">
        <x:f>IF(J4037&gt;=7,"Muy fuerte (&gt;=7)",IF(J4037&gt;=6,"Fuerte (6-6.9)",IF(J4037&gt;=5,"Moderado alto (5-5.9)",IF(J4037&gt;=4,"Moderado (4-4.9)","Menor a 4"))))</x:f>
        <x:v>Moderado (4-4.9)</x:v>
      </x:c>
      <x:c r="L4037" s="25" t="str">
        <x:f>IF(I4037&lt;70,"Superficial (&lt;70 km)",IF(I4037&lt;=300,"Intermedio (70-300 km)","Profundo (&gt;300 km)"))</x:f>
        <x:v>Superficial (&lt;70 km)</x:v>
      </x:c>
      <x:c r="M4037" s="25" t="str">
        <x:f>IF(J4037&gt;=5,"Sí","No")</x:f>
        <x:v>No</x:v>
      </x:c>
      <x:c r="N4037" s="25" t="str">
        <x:f>IF(J4037&gt;=6,"Sí","No")</x:f>
        <x:v>No</x:v>
      </x:c>
      <x:c r="O4037" s="25" t="str">
        <x:v>Pendiente: asignar con R/sf</x:v>
      </x:c>
    </x:row>
    <x:row r="4038">
      <x:c r="A4038" s="25" t="n">
        <x:v>4037</x:v>
      </x:c>
      <x:c r="B4038" s="26" t="n">
        <x:v>43340.525972222225</x:v>
      </x:c>
      <x:c r="C4038" s="27" t="n">
        <x:f>INT(B4038)</x:f>
        <x:v>43340</x:v>
      </x:c>
      <x:c r="D4038" s="28" t="n">
        <x:f>MOD(B4038,1)</x:f>
        <x:v>0.5259722222253913</x:v>
      </x:c>
      <x:c r="E4038" s="29" t="n">
        <x:f>YEAR(B4038)</x:f>
        <x:v>2018</x:v>
      </x:c>
      <x:c r="F4038" s="29" t="n">
        <x:f>MONTH(B4038)</x:f>
        <x:v>8</x:v>
      </x:c>
      <x:c r="G4038" s="30" t="n">
        <x:v>-31.51</x:v>
      </x:c>
      <x:c r="H4038" s="30" t="n">
        <x:v>-71.7</x:v>
      </x:c>
      <x:c r="I4038" s="29" t="n">
        <x:v>24</x:v>
      </x:c>
      <x:c r="J4038" s="31" t="n">
        <x:v>3.1</x:v>
      </x:c>
      <x:c r="K4038" s="25" t="str">
        <x:f>IF(J4038&gt;=7,"Muy fuerte (&gt;=7)",IF(J4038&gt;=6,"Fuerte (6-6.9)",IF(J4038&gt;=5,"Moderado alto (5-5.9)",IF(J4038&gt;=4,"Moderado (4-4.9)","Menor a 4"))))</x:f>
        <x:v>Menor a 4</x:v>
      </x:c>
      <x:c r="L4038" s="25" t="str">
        <x:f>IF(I4038&lt;70,"Superficial (&lt;70 km)",IF(I4038&lt;=300,"Intermedio (70-300 km)","Profundo (&gt;300 km)"))</x:f>
        <x:v>Superficial (&lt;70 km)</x:v>
      </x:c>
      <x:c r="M4038" s="25" t="str">
        <x:f>IF(J4038&gt;=5,"Sí","No")</x:f>
        <x:v>No</x:v>
      </x:c>
      <x:c r="N4038" s="25" t="str">
        <x:f>IF(J4038&gt;=6,"Sí","No")</x:f>
        <x:v>No</x:v>
      </x:c>
      <x:c r="O4038" s="25" t="str">
        <x:v>Pendiente: asignar con R/sf</x:v>
      </x:c>
    </x:row>
    <x:row r="4039">
      <x:c r="A4039" s="25" t="n">
        <x:v>4038</x:v>
      </x:c>
      <x:c r="B4039" s="26" t="n">
        <x:v>43829.33534722222</x:v>
      </x:c>
      <x:c r="C4039" s="27" t="n">
        <x:f>INT(B4039)</x:f>
        <x:v>43829</x:v>
      </x:c>
      <x:c r="D4039" s="28" t="n">
        <x:f>MOD(B4039,1)</x:f>
        <x:v>0.3353472222224809</x:v>
      </x:c>
      <x:c r="E4039" s="29" t="n">
        <x:f>YEAR(B4039)</x:f>
        <x:v>2019</x:v>
      </x:c>
      <x:c r="F4039" s="29" t="n">
        <x:f>MONTH(B4039)</x:f>
        <x:v>12</x:v>
      </x:c>
      <x:c r="G4039" s="30" t="n">
        <x:v>-30.28</x:v>
      </x:c>
      <x:c r="H4039" s="30" t="n">
        <x:v>-71.57</x:v>
      </x:c>
      <x:c r="I4039" s="29" t="n">
        <x:v>43</x:v>
      </x:c>
      <x:c r="J4039" s="31" t="n">
        <x:v>4.2</x:v>
      </x:c>
      <x:c r="K4039" s="25" t="str">
        <x:f>IF(J4039&gt;=7,"Muy fuerte (&gt;=7)",IF(J4039&gt;=6,"Fuerte (6-6.9)",IF(J4039&gt;=5,"Moderado alto (5-5.9)",IF(J4039&gt;=4,"Moderado (4-4.9)","Menor a 4"))))</x:f>
        <x:v>Moderado (4-4.9)</x:v>
      </x:c>
      <x:c r="L4039" s="25" t="str">
        <x:f>IF(I4039&lt;70,"Superficial (&lt;70 km)",IF(I4039&lt;=300,"Intermedio (70-300 km)","Profundo (&gt;300 km)"))</x:f>
        <x:v>Superficial (&lt;70 km)</x:v>
      </x:c>
      <x:c r="M4039" s="25" t="str">
        <x:f>IF(J4039&gt;=5,"Sí","No")</x:f>
        <x:v>No</x:v>
      </x:c>
      <x:c r="N4039" s="25" t="str">
        <x:f>IF(J4039&gt;=6,"Sí","No")</x:f>
        <x:v>No</x:v>
      </x:c>
      <x:c r="O4039" s="25" t="str">
        <x:v>Pendiente: asignar con R/sf</x:v>
      </x:c>
    </x:row>
    <x:row r="4040">
      <x:c r="A4040" s="25" t="n">
        <x:v>4039</x:v>
      </x:c>
      <x:c r="B4040" s="26" t="n">
        <x:v>43523.47650462963</x:v>
      </x:c>
      <x:c r="C4040" s="27" t="n">
        <x:f>INT(B4040)</x:f>
        <x:v>43523</x:v>
      </x:c>
      <x:c r="D4040" s="28" t="n">
        <x:f>MOD(B4040,1)</x:f>
        <x:v>0.47650462963065365</x:v>
      </x:c>
      <x:c r="E4040" s="29" t="n">
        <x:f>YEAR(B4040)</x:f>
        <x:v>2019</x:v>
      </x:c>
      <x:c r="F4040" s="29" t="n">
        <x:f>MONTH(B4040)</x:f>
        <x:v>2</x:v>
      </x:c>
      <x:c r="G4040" s="30" t="n">
        <x:v>-30.18</x:v>
      </x:c>
      <x:c r="H4040" s="30" t="n">
        <x:v>-71.28</x:v>
      </x:c>
      <x:c r="I4040" s="29" t="n">
        <x:v>66</x:v>
      </x:c>
      <x:c r="J4040" s="31" t="n">
        <x:v>3.6</x:v>
      </x:c>
      <x:c r="K4040" s="25" t="str">
        <x:f>IF(J4040&gt;=7,"Muy fuerte (&gt;=7)",IF(J4040&gt;=6,"Fuerte (6-6.9)",IF(J4040&gt;=5,"Moderado alto (5-5.9)",IF(J4040&gt;=4,"Moderado (4-4.9)","Menor a 4"))))</x:f>
        <x:v>Menor a 4</x:v>
      </x:c>
      <x:c r="L4040" s="25" t="str">
        <x:f>IF(I4040&lt;70,"Superficial (&lt;70 km)",IF(I4040&lt;=300,"Intermedio (70-300 km)","Profundo (&gt;300 km)"))</x:f>
        <x:v>Superficial (&lt;70 km)</x:v>
      </x:c>
      <x:c r="M4040" s="25" t="str">
        <x:f>IF(J4040&gt;=5,"Sí","No")</x:f>
        <x:v>No</x:v>
      </x:c>
      <x:c r="N4040" s="25" t="str">
        <x:f>IF(J4040&gt;=6,"Sí","No")</x:f>
        <x:v>No</x:v>
      </x:c>
      <x:c r="O4040" s="25" t="str">
        <x:v>Pendiente: asignar con R/sf</x:v>
      </x:c>
    </x:row>
    <x:row r="4041">
      <x:c r="A4041" s="25" t="n">
        <x:v>4040</x:v>
      </x:c>
      <x:c r="B4041" s="26" t="n">
        <x:v>43988.29386574074</x:v>
      </x:c>
      <x:c r="C4041" s="27" t="n">
        <x:f>INT(B4041)</x:f>
        <x:v>43988</x:v>
      </x:c>
      <x:c r="D4041" s="28" t="n">
        <x:f>MOD(B4041,1)</x:f>
        <x:v>0.29386574074305827</x:v>
      </x:c>
      <x:c r="E4041" s="29" t="n">
        <x:f>YEAR(B4041)</x:f>
        <x:v>2020</x:v>
      </x:c>
      <x:c r="F4041" s="29" t="n">
        <x:f>MONTH(B4041)</x:f>
        <x:v>6</x:v>
      </x:c>
      <x:c r="G4041" s="30" t="n">
        <x:v>-31.02</x:v>
      </x:c>
      <x:c r="H4041" s="30" t="n">
        <x:v>-71.44</x:v>
      </x:c>
      <x:c r="I4041" s="29" t="n">
        <x:v>55</x:v>
      </x:c>
      <x:c r="J4041" s="31" t="n">
        <x:v>3.7</x:v>
      </x:c>
      <x:c r="K4041" s="25" t="str">
        <x:f>IF(J4041&gt;=7,"Muy fuerte (&gt;=7)",IF(J4041&gt;=6,"Fuerte (6-6.9)",IF(J4041&gt;=5,"Moderado alto (5-5.9)",IF(J4041&gt;=4,"Moderado (4-4.9)","Menor a 4"))))</x:f>
        <x:v>Menor a 4</x:v>
      </x:c>
      <x:c r="L4041" s="25" t="str">
        <x:f>IF(I4041&lt;70,"Superficial (&lt;70 km)",IF(I4041&lt;=300,"Intermedio (70-300 km)","Profundo (&gt;300 km)"))</x:f>
        <x:v>Superficial (&lt;70 km)</x:v>
      </x:c>
      <x:c r="M4041" s="25" t="str">
        <x:f>IF(J4041&gt;=5,"Sí","No")</x:f>
        <x:v>No</x:v>
      </x:c>
      <x:c r="N4041" s="25" t="str">
        <x:f>IF(J4041&gt;=6,"Sí","No")</x:f>
        <x:v>No</x:v>
      </x:c>
      <x:c r="O4041" s="25" t="str">
        <x:v>Pendiente: asignar con R/sf</x:v>
      </x:c>
    </x:row>
    <x:row r="4042">
      <x:c r="A4042" s="25" t="n">
        <x:v>4041</x:v>
      </x:c>
      <x:c r="B4042" s="26" t="n">
        <x:v>43537.907060185185</x:v>
      </x:c>
      <x:c r="C4042" s="27" t="n">
        <x:f>INT(B4042)</x:f>
        <x:v>43537</x:v>
      </x:c>
      <x:c r="D4042" s="28" t="n">
        <x:f>MOD(B4042,1)</x:f>
        <x:v>0.9070601851854008</x:v>
      </x:c>
      <x:c r="E4042" s="29" t="n">
        <x:f>YEAR(B4042)</x:f>
        <x:v>2019</x:v>
      </x:c>
      <x:c r="F4042" s="29" t="n">
        <x:f>MONTH(B4042)</x:f>
        <x:v>3</x:v>
      </x:c>
      <x:c r="G4042" s="30" t="n">
        <x:v>-30.71</x:v>
      </x:c>
      <x:c r="H4042" s="30" t="n">
        <x:v>-71.41</x:v>
      </x:c>
      <x:c r="I4042" s="29" t="n">
        <x:v>42</x:v>
      </x:c>
      <x:c r="J4042" s="31" t="n">
        <x:v>4.1</x:v>
      </x:c>
      <x:c r="K4042" s="25" t="str">
        <x:f>IF(J4042&gt;=7,"Muy fuerte (&gt;=7)",IF(J4042&gt;=6,"Fuerte (6-6.9)",IF(J4042&gt;=5,"Moderado alto (5-5.9)",IF(J4042&gt;=4,"Moderado (4-4.9)","Menor a 4"))))</x:f>
        <x:v>Moderado (4-4.9)</x:v>
      </x:c>
      <x:c r="L4042" s="25" t="str">
        <x:f>IF(I4042&lt;70,"Superficial (&lt;70 km)",IF(I4042&lt;=300,"Intermedio (70-300 km)","Profundo (&gt;300 km)"))</x:f>
        <x:v>Superficial (&lt;70 km)</x:v>
      </x:c>
      <x:c r="M4042" s="25" t="str">
        <x:f>IF(J4042&gt;=5,"Sí","No")</x:f>
        <x:v>No</x:v>
      </x:c>
      <x:c r="N4042" s="25" t="str">
        <x:f>IF(J4042&gt;=6,"Sí","No")</x:f>
        <x:v>No</x:v>
      </x:c>
      <x:c r="O4042" s="25" t="str">
        <x:v>Pendiente: asignar con R/sf</x:v>
      </x:c>
    </x:row>
    <x:row r="4043">
      <x:c r="A4043" s="25" t="n">
        <x:v>4042</x:v>
      </x:c>
      <x:c r="B4043" s="26" t="n">
        <x:v>43943.66074074074</x:v>
      </x:c>
      <x:c r="C4043" s="27" t="n">
        <x:f>INT(B4043)</x:f>
        <x:v>43943</x:v>
      </x:c>
      <x:c r="D4043" s="28" t="n">
        <x:f>MOD(B4043,1)</x:f>
        <x:v>0.6607407407427672</x:v>
      </x:c>
      <x:c r="E4043" s="29" t="n">
        <x:f>YEAR(B4043)</x:f>
        <x:v>2020</x:v>
      </x:c>
      <x:c r="F4043" s="29" t="n">
        <x:f>MONTH(B4043)</x:f>
        <x:v>4</x:v>
      </x:c>
      <x:c r="G4043" s="30" t="n">
        <x:v>-30.38</x:v>
      </x:c>
      <x:c r="H4043" s="30" t="n">
        <x:v>-71.5</x:v>
      </x:c>
      <x:c r="I4043" s="29" t="n">
        <x:v>44</x:v>
      </x:c>
      <x:c r="J4043" s="31" t="n">
        <x:v>4.4</x:v>
      </x:c>
      <x:c r="K4043" s="25" t="str">
        <x:f>IF(J4043&gt;=7,"Muy fuerte (&gt;=7)",IF(J4043&gt;=6,"Fuerte (6-6.9)",IF(J4043&gt;=5,"Moderado alto (5-5.9)",IF(J4043&gt;=4,"Moderado (4-4.9)","Menor a 4"))))</x:f>
        <x:v>Moderado (4-4.9)</x:v>
      </x:c>
      <x:c r="L4043" s="25" t="str">
        <x:f>IF(I4043&lt;70,"Superficial (&lt;70 km)",IF(I4043&lt;=300,"Intermedio (70-300 km)","Profundo (&gt;300 km)"))</x:f>
        <x:v>Superficial (&lt;70 km)</x:v>
      </x:c>
      <x:c r="M4043" s="25" t="str">
        <x:f>IF(J4043&gt;=5,"Sí","No")</x:f>
        <x:v>No</x:v>
      </x:c>
      <x:c r="N4043" s="25" t="str">
        <x:f>IF(J4043&gt;=6,"Sí","No")</x:f>
        <x:v>No</x:v>
      </x:c>
      <x:c r="O4043" s="25" t="str">
        <x:v>Pendiente: asignar con R/sf</x:v>
      </x:c>
    </x:row>
    <x:row r="4044">
      <x:c r="A4044" s="25" t="n">
        <x:v>4043</x:v>
      </x:c>
      <x:c r="B4044" s="26" t="n">
        <x:v>43794.861238425925</x:v>
      </x:c>
      <x:c r="C4044" s="27" t="n">
        <x:f>INT(B4044)</x:f>
        <x:v>43794</x:v>
      </x:c>
      <x:c r="D4044" s="28" t="n">
        <x:f>MOD(B4044,1)</x:f>
        <x:v>0.8612384259249666</x:v>
      </x:c>
      <x:c r="E4044" s="29" t="n">
        <x:f>YEAR(B4044)</x:f>
        <x:v>2019</x:v>
      </x:c>
      <x:c r="F4044" s="29" t="n">
        <x:f>MONTH(B4044)</x:f>
        <x:v>11</x:v>
      </x:c>
      <x:c r="G4044" s="30" t="n">
        <x:v>-31.05</x:v>
      </x:c>
      <x:c r="H4044" s="30" t="n">
        <x:v>-71.27</x:v>
      </x:c>
      <x:c r="I4044" s="29" t="n">
        <x:v>65</x:v>
      </x:c>
      <x:c r="J4044" s="31" t="n">
        <x:v>3.8</x:v>
      </x:c>
      <x:c r="K4044" s="25" t="str">
        <x:f>IF(J4044&gt;=7,"Muy fuerte (&gt;=7)",IF(J4044&gt;=6,"Fuerte (6-6.9)",IF(J4044&gt;=5,"Moderado alto (5-5.9)",IF(J4044&gt;=4,"Moderado (4-4.9)","Menor a 4"))))</x:f>
        <x:v>Menor a 4</x:v>
      </x:c>
      <x:c r="L4044" s="25" t="str">
        <x:f>IF(I4044&lt;70,"Superficial (&lt;70 km)",IF(I4044&lt;=300,"Intermedio (70-300 km)","Profundo (&gt;300 km)"))</x:f>
        <x:v>Superficial (&lt;70 km)</x:v>
      </x:c>
      <x:c r="M4044" s="25" t="str">
        <x:f>IF(J4044&gt;=5,"Sí","No")</x:f>
        <x:v>No</x:v>
      </x:c>
      <x:c r="N4044" s="25" t="str">
        <x:f>IF(J4044&gt;=6,"Sí","No")</x:f>
        <x:v>No</x:v>
      </x:c>
      <x:c r="O4044" s="25" t="str">
        <x:v>Pendiente: asignar con R/sf</x:v>
      </x:c>
    </x:row>
    <x:row r="4045">
      <x:c r="A4045" s="25" t="n">
        <x:v>4044</x:v>
      </x:c>
      <x:c r="B4045" s="26" t="n">
        <x:v>43620.72174768519</x:v>
      </x:c>
      <x:c r="C4045" s="27" t="n">
        <x:f>INT(B4045)</x:f>
        <x:v>43620</x:v>
      </x:c>
      <x:c r="D4045" s="28" t="n">
        <x:f>MOD(B4045,1)</x:f>
        <x:v>0.721747685187438</x:v>
      </x:c>
      <x:c r="E4045" s="29" t="n">
        <x:f>YEAR(B4045)</x:f>
        <x:v>2019</x:v>
      </x:c>
      <x:c r="F4045" s="29" t="n">
        <x:f>MONTH(B4045)</x:f>
        <x:v>6</x:v>
      </x:c>
      <x:c r="G4045" s="30" t="n">
        <x:v>-30.3</x:v>
      </x:c>
      <x:c r="H4045" s="30" t="n">
        <x:v>-71.33</x:v>
      </x:c>
      <x:c r="I4045" s="29" t="n">
        <x:v>24</x:v>
      </x:c>
      <x:c r="J4045" s="31" t="n">
        <x:v>3.1</x:v>
      </x:c>
      <x:c r="K4045" s="25" t="str">
        <x:f>IF(J4045&gt;=7,"Muy fuerte (&gt;=7)",IF(J4045&gt;=6,"Fuerte (6-6.9)",IF(J4045&gt;=5,"Moderado alto (5-5.9)",IF(J4045&gt;=4,"Moderado (4-4.9)","Menor a 4"))))</x:f>
        <x:v>Menor a 4</x:v>
      </x:c>
      <x:c r="L4045" s="25" t="str">
        <x:f>IF(I4045&lt;70,"Superficial (&lt;70 km)",IF(I4045&lt;=300,"Intermedio (70-300 km)","Profundo (&gt;300 km)"))</x:f>
        <x:v>Superficial (&lt;70 km)</x:v>
      </x:c>
      <x:c r="M4045" s="25" t="str">
        <x:f>IF(J4045&gt;=5,"Sí","No")</x:f>
        <x:v>No</x:v>
      </x:c>
      <x:c r="N4045" s="25" t="str">
        <x:f>IF(J4045&gt;=6,"Sí","No")</x:f>
        <x:v>No</x:v>
      </x:c>
      <x:c r="O4045" s="25" t="str">
        <x:v>Pendiente: asignar con R/sf</x:v>
      </x:c>
    </x:row>
    <x:row r="4046">
      <x:c r="A4046" s="25" t="n">
        <x:v>4045</x:v>
      </x:c>
      <x:c r="B4046" s="26" t="n">
        <x:v>43775.485439814816</x:v>
      </x:c>
      <x:c r="C4046" s="27" t="n">
        <x:f>INT(B4046)</x:f>
        <x:v>43775</x:v>
      </x:c>
      <x:c r="D4046" s="28" t="n">
        <x:f>MOD(B4046,1)</x:f>
        <x:v>0.48543981481634546</x:v>
      </x:c>
      <x:c r="E4046" s="29" t="n">
        <x:f>YEAR(B4046)</x:f>
        <x:v>2019</x:v>
      </x:c>
      <x:c r="F4046" s="29" t="n">
        <x:f>MONTH(B4046)</x:f>
        <x:v>11</x:v>
      </x:c>
      <x:c r="G4046" s="30" t="n">
        <x:v>-31.81</x:v>
      </x:c>
      <x:c r="H4046" s="30" t="n">
        <x:v>-71.29</x:v>
      </x:c>
      <x:c r="I4046" s="29" t="n">
        <x:v>48</x:v>
      </x:c>
      <x:c r="J4046" s="31" t="n">
        <x:v>4</x:v>
      </x:c>
      <x:c r="K4046" s="25" t="str">
        <x:f>IF(J4046&gt;=7,"Muy fuerte (&gt;=7)",IF(J4046&gt;=6,"Fuerte (6-6.9)",IF(J4046&gt;=5,"Moderado alto (5-5.9)",IF(J4046&gt;=4,"Moderado (4-4.9)","Menor a 4"))))</x:f>
        <x:v>Moderado (4-4.9)</x:v>
      </x:c>
      <x:c r="L4046" s="25" t="str">
        <x:f>IF(I4046&lt;70,"Superficial (&lt;70 km)",IF(I4046&lt;=300,"Intermedio (70-300 km)","Profundo (&gt;300 km)"))</x:f>
        <x:v>Superficial (&lt;70 km)</x:v>
      </x:c>
      <x:c r="M4046" s="25" t="str">
        <x:f>IF(J4046&gt;=5,"Sí","No")</x:f>
        <x:v>No</x:v>
      </x:c>
      <x:c r="N4046" s="25" t="str">
        <x:f>IF(J4046&gt;=6,"Sí","No")</x:f>
        <x:v>No</x:v>
      </x:c>
      <x:c r="O4046" s="25" t="str">
        <x:v>Pendiente: asignar con R/sf</x:v>
      </x:c>
    </x:row>
    <x:row r="4047">
      <x:c r="A4047" s="25" t="n">
        <x:v>4046</x:v>
      </x:c>
      <x:c r="B4047" s="26" t="n">
        <x:v>44014.43960648148</x:v>
      </x:c>
      <x:c r="C4047" s="27" t="n">
        <x:f>INT(B4047)</x:f>
        <x:v>44014</x:v>
      </x:c>
      <x:c r="D4047" s="28" t="n">
        <x:f>MOD(B4047,1)</x:f>
        <x:v>0.4396064814791316</x:v>
      </x:c>
      <x:c r="E4047" s="29" t="n">
        <x:f>YEAR(B4047)</x:f>
        <x:v>2020</x:v>
      </x:c>
      <x:c r="F4047" s="29" t="n">
        <x:f>MONTH(B4047)</x:f>
        <x:v>7</x:v>
      </x:c>
      <x:c r="G4047" s="30" t="n">
        <x:v>-30.82</x:v>
      </x:c>
      <x:c r="H4047" s="30" t="n">
        <x:v>-71.39</x:v>
      </x:c>
      <x:c r="I4047" s="29" t="n">
        <x:v>50</x:v>
      </x:c>
      <x:c r="J4047" s="31" t="n">
        <x:v>4.5</x:v>
      </x:c>
      <x:c r="K4047" s="25" t="str">
        <x:f>IF(J4047&gt;=7,"Muy fuerte (&gt;=7)",IF(J4047&gt;=6,"Fuerte (6-6.9)",IF(J4047&gt;=5,"Moderado alto (5-5.9)",IF(J4047&gt;=4,"Moderado (4-4.9)","Menor a 4"))))</x:f>
        <x:v>Moderado (4-4.9)</x:v>
      </x:c>
      <x:c r="L4047" s="25" t="str">
        <x:f>IF(I4047&lt;70,"Superficial (&lt;70 km)",IF(I4047&lt;=300,"Intermedio (70-300 km)","Profundo (&gt;300 km)"))</x:f>
        <x:v>Superficial (&lt;70 km)</x:v>
      </x:c>
      <x:c r="M4047" s="25" t="str">
        <x:f>IF(J4047&gt;=5,"Sí","No")</x:f>
        <x:v>No</x:v>
      </x:c>
      <x:c r="N4047" s="25" t="str">
        <x:f>IF(J4047&gt;=6,"Sí","No")</x:f>
        <x:v>No</x:v>
      </x:c>
      <x:c r="O4047" s="25" t="str">
        <x:v>Pendiente: asignar con R/sf</x:v>
      </x:c>
    </x:row>
    <x:row r="4048">
      <x:c r="A4048" s="25" t="n">
        <x:v>4047</x:v>
      </x:c>
      <x:c r="B4048" s="26" t="n">
        <x:v>43895.29009259259</x:v>
      </x:c>
      <x:c r="C4048" s="27" t="n">
        <x:f>INT(B4048)</x:f>
        <x:v>43895</x:v>
      </x:c>
      <x:c r="D4048" s="28" t="n">
        <x:f>MOD(B4048,1)</x:f>
        <x:v>0.29009259259328246</x:v>
      </x:c>
      <x:c r="E4048" s="29" t="n">
        <x:f>YEAR(B4048)</x:f>
        <x:v>2020</x:v>
      </x:c>
      <x:c r="F4048" s="29" t="n">
        <x:f>MONTH(B4048)</x:f>
        <x:v>3</x:v>
      </x:c>
      <x:c r="G4048" s="30" t="n">
        <x:v>-28.44</x:v>
      </x:c>
      <x:c r="H4048" s="30" t="n">
        <x:v>-67.88</x:v>
      </x:c>
      <x:c r="I4048" s="29" t="n">
        <x:v>128</x:v>
      </x:c>
      <x:c r="J4048" s="31" t="n">
        <x:v>5.3</x:v>
      </x:c>
      <x:c r="K4048" s="25" t="str">
        <x:f>IF(J4048&gt;=7,"Muy fuerte (&gt;=7)",IF(J4048&gt;=6,"Fuerte (6-6.9)",IF(J4048&gt;=5,"Moderado alto (5-5.9)",IF(J4048&gt;=4,"Moderado (4-4.9)","Menor a 4"))))</x:f>
        <x:v>Moderado alto (5-5.9)</x:v>
      </x:c>
      <x:c r="L4048" s="25" t="str">
        <x:f>IF(I4048&lt;70,"Superficial (&lt;70 km)",IF(I4048&lt;=300,"Intermedio (70-300 km)","Profundo (&gt;300 km)"))</x:f>
        <x:v>Intermedio (70-300 km)</x:v>
      </x:c>
      <x:c r="M4048" s="25" t="str">
        <x:f>IF(J4048&gt;=5,"Sí","No")</x:f>
        <x:v>Sí</x:v>
      </x:c>
      <x:c r="N4048" s="25" t="str">
        <x:f>IF(J4048&gt;=6,"Sí","No")</x:f>
        <x:v>No</x:v>
      </x:c>
      <x:c r="O4048" s="25" t="str">
        <x:v>Pendiente: asignar con R/sf</x:v>
      </x:c>
    </x:row>
    <x:row r="4049">
      <x:c r="A4049" s="25" t="n">
        <x:v>4048</x:v>
      </x:c>
      <x:c r="B4049" s="26" t="n">
        <x:v>43701.06619212963</x:v>
      </x:c>
      <x:c r="C4049" s="27" t="n">
        <x:f>INT(B4049)</x:f>
        <x:v>43701</x:v>
      </x:c>
      <x:c r="D4049" s="28" t="n">
        <x:f>MOD(B4049,1)</x:f>
        <x:v>0.06619212962687016</x:v>
      </x:c>
      <x:c r="E4049" s="29" t="n">
        <x:f>YEAR(B4049)</x:f>
        <x:v>2019</x:v>
      </x:c>
      <x:c r="F4049" s="29" t="n">
        <x:f>MONTH(B4049)</x:f>
        <x:v>8</x:v>
      </x:c>
      <x:c r="G4049" s="30" t="n">
        <x:v>-30.06</x:v>
      </x:c>
      <x:c r="H4049" s="30" t="n">
        <x:v>-71.51</x:v>
      </x:c>
      <x:c r="I4049" s="29" t="n">
        <x:v>27</x:v>
      </x:c>
      <x:c r="J4049" s="31" t="n">
        <x:v>3.9</x:v>
      </x:c>
      <x:c r="K4049" s="25" t="str">
        <x:f>IF(J4049&gt;=7,"Muy fuerte (&gt;=7)",IF(J4049&gt;=6,"Fuerte (6-6.9)",IF(J4049&gt;=5,"Moderado alto (5-5.9)",IF(J4049&gt;=4,"Moderado (4-4.9)","Menor a 4"))))</x:f>
        <x:v>Menor a 4</x:v>
      </x:c>
      <x:c r="L4049" s="25" t="str">
        <x:f>IF(I4049&lt;70,"Superficial (&lt;70 km)",IF(I4049&lt;=300,"Intermedio (70-300 km)","Profundo (&gt;300 km)"))</x:f>
        <x:v>Superficial (&lt;70 km)</x:v>
      </x:c>
      <x:c r="M4049" s="25" t="str">
        <x:f>IF(J4049&gt;=5,"Sí","No")</x:f>
        <x:v>No</x:v>
      </x:c>
      <x:c r="N4049" s="25" t="str">
        <x:f>IF(J4049&gt;=6,"Sí","No")</x:f>
        <x:v>No</x:v>
      </x:c>
      <x:c r="O4049" s="25" t="str">
        <x:v>Pendiente: asignar con R/sf</x:v>
      </x:c>
    </x:row>
    <x:row r="4050">
      <x:c r="A4050" s="25" t="n">
        <x:v>4049</x:v>
      </x:c>
      <x:c r="B4050" s="26" t="n">
        <x:v>43749.12200231481</x:v>
      </x:c>
      <x:c r="C4050" s="27" t="n">
        <x:f>INT(B4050)</x:f>
        <x:v>43749</x:v>
      </x:c>
      <x:c r="D4050" s="28" t="n">
        <x:f>MOD(B4050,1)</x:f>
        <x:v>0.12200231481256196</x:v>
      </x:c>
      <x:c r="E4050" s="29" t="n">
        <x:f>YEAR(B4050)</x:f>
        <x:v>2019</x:v>
      </x:c>
      <x:c r="F4050" s="29" t="n">
        <x:f>MONTH(B4050)</x:f>
        <x:v>10</x:v>
      </x:c>
      <x:c r="G4050" s="30" t="n">
        <x:v>-29.25</x:v>
      </x:c>
      <x:c r="H4050" s="30" t="n">
        <x:v>-71.72</x:v>
      </x:c>
      <x:c r="I4050" s="29" t="n">
        <x:v>36</x:v>
      </x:c>
      <x:c r="J4050" s="31" t="n">
        <x:v>4.9</x:v>
      </x:c>
      <x:c r="K4050" s="25" t="str">
        <x:f>IF(J4050&gt;=7,"Muy fuerte (&gt;=7)",IF(J4050&gt;=6,"Fuerte (6-6.9)",IF(J4050&gt;=5,"Moderado alto (5-5.9)",IF(J4050&gt;=4,"Moderado (4-4.9)","Menor a 4"))))</x:f>
        <x:v>Moderado (4-4.9)</x:v>
      </x:c>
      <x:c r="L4050" s="25" t="str">
        <x:f>IF(I4050&lt;70,"Superficial (&lt;70 km)",IF(I4050&lt;=300,"Intermedio (70-300 km)","Profundo (&gt;300 km)"))</x:f>
        <x:v>Superficial (&lt;70 km)</x:v>
      </x:c>
      <x:c r="M4050" s="25" t="str">
        <x:f>IF(J4050&gt;=5,"Sí","No")</x:f>
        <x:v>No</x:v>
      </x:c>
      <x:c r="N4050" s="25" t="str">
        <x:f>IF(J4050&gt;=6,"Sí","No")</x:f>
        <x:v>No</x:v>
      </x:c>
      <x:c r="O4050" s="25" t="str">
        <x:v>Pendiente: asignar con R/sf</x:v>
      </x:c>
    </x:row>
    <x:row r="4051">
      <x:c r="A4051" s="25" t="n">
        <x:v>4050</x:v>
      </x:c>
      <x:c r="B4051" s="26" t="n">
        <x:v>43972.67024305555</x:v>
      </x:c>
      <x:c r="C4051" s="27" t="n">
        <x:f>INT(B4051)</x:f>
        <x:v>43972</x:v>
      </x:c>
      <x:c r="D4051" s="28" t="n">
        <x:f>MOD(B4051,1)</x:f>
        <x:v>0.6702430555524188</x:v>
      </x:c>
      <x:c r="E4051" s="29" t="n">
        <x:f>YEAR(B4051)</x:f>
        <x:v>2020</x:v>
      </x:c>
      <x:c r="F4051" s="29" t="n">
        <x:f>MONTH(B4051)</x:f>
        <x:v>5</x:v>
      </x:c>
      <x:c r="G4051" s="30" t="n">
        <x:v>-31.25</x:v>
      </x:c>
      <x:c r="H4051" s="30" t="n">
        <x:v>-71.69</x:v>
      </x:c>
      <x:c r="I4051" s="29" t="n">
        <x:v>44</x:v>
      </x:c>
      <x:c r="J4051" s="31" t="n">
        <x:v>4</x:v>
      </x:c>
      <x:c r="K4051" s="25" t="str">
        <x:f>IF(J4051&gt;=7,"Muy fuerte (&gt;=7)",IF(J4051&gt;=6,"Fuerte (6-6.9)",IF(J4051&gt;=5,"Moderado alto (5-5.9)",IF(J4051&gt;=4,"Moderado (4-4.9)","Menor a 4"))))</x:f>
        <x:v>Moderado (4-4.9)</x:v>
      </x:c>
      <x:c r="L4051" s="25" t="str">
        <x:f>IF(I4051&lt;70,"Superficial (&lt;70 km)",IF(I4051&lt;=300,"Intermedio (70-300 km)","Profundo (&gt;300 km)"))</x:f>
        <x:v>Superficial (&lt;70 km)</x:v>
      </x:c>
      <x:c r="M4051" s="25" t="str">
        <x:f>IF(J4051&gt;=5,"Sí","No")</x:f>
        <x:v>No</x:v>
      </x:c>
      <x:c r="N4051" s="25" t="str">
        <x:f>IF(J4051&gt;=6,"Sí","No")</x:f>
        <x:v>No</x:v>
      </x:c>
      <x:c r="O4051" s="25" t="str">
        <x:v>Pendiente: asignar con R/sf</x:v>
      </x:c>
    </x:row>
    <x:row r="4052">
      <x:c r="A4052" s="25" t="n">
        <x:v>4051</x:v>
      </x:c>
      <x:c r="B4052" s="26" t="n">
        <x:v>43629.951516203706</x:v>
      </x:c>
      <x:c r="C4052" s="27" t="n">
        <x:f>INT(B4052)</x:f>
        <x:v>43629</x:v>
      </x:c>
      <x:c r="D4052" s="28" t="n">
        <x:f>MOD(B4052,1)</x:f>
        <x:v>0.9515162037059781</x:v>
      </x:c>
      <x:c r="E4052" s="29" t="n">
        <x:f>YEAR(B4052)</x:f>
        <x:v>2019</x:v>
      </x:c>
      <x:c r="F4052" s="29" t="n">
        <x:f>MONTH(B4052)</x:f>
        <x:v>6</x:v>
      </x:c>
      <x:c r="G4052" s="30" t="n">
        <x:v>-30.44</x:v>
      </x:c>
      <x:c r="H4052" s="30" t="n">
        <x:v>-71.33</x:v>
      </x:c>
      <x:c r="I4052" s="29" t="n">
        <x:v>55</x:v>
      </x:c>
      <x:c r="J4052" s="31" t="n">
        <x:v>4.9</x:v>
      </x:c>
      <x:c r="K4052" s="25" t="str">
        <x:f>IF(J4052&gt;=7,"Muy fuerte (&gt;=7)",IF(J4052&gt;=6,"Fuerte (6-6.9)",IF(J4052&gt;=5,"Moderado alto (5-5.9)",IF(J4052&gt;=4,"Moderado (4-4.9)","Menor a 4"))))</x:f>
        <x:v>Moderado (4-4.9)</x:v>
      </x:c>
      <x:c r="L4052" s="25" t="str">
        <x:f>IF(I4052&lt;70,"Superficial (&lt;70 km)",IF(I4052&lt;=300,"Intermedio (70-300 km)","Profundo (&gt;300 km)"))</x:f>
        <x:v>Superficial (&lt;70 km)</x:v>
      </x:c>
      <x:c r="M4052" s="25" t="str">
        <x:f>IF(J4052&gt;=5,"Sí","No")</x:f>
        <x:v>No</x:v>
      </x:c>
      <x:c r="N4052" s="25" t="str">
        <x:f>IF(J4052&gt;=6,"Sí","No")</x:f>
        <x:v>No</x:v>
      </x:c>
      <x:c r="O4052" s="25" t="str">
        <x:v>Pendiente: asignar con R/sf</x:v>
      </x:c>
    </x:row>
    <x:row r="4053">
      <x:c r="A4053" s="25" t="n">
        <x:v>4052</x:v>
      </x:c>
      <x:c r="B4053" s="26" t="n">
        <x:v>43603.744409722225</x:v>
      </x:c>
      <x:c r="C4053" s="27" t="n">
        <x:f>INT(B4053)</x:f>
        <x:v>43603</x:v>
      </x:c>
      <x:c r="D4053" s="28" t="n">
        <x:f>MOD(B4053,1)</x:f>
        <x:v>0.7444097222251003</x:v>
      </x:c>
      <x:c r="E4053" s="29" t="n">
        <x:f>YEAR(B4053)</x:f>
        <x:v>2019</x:v>
      </x:c>
      <x:c r="F4053" s="29" t="n">
        <x:f>MONTH(B4053)</x:f>
        <x:v>5</x:v>
      </x:c>
      <x:c r="G4053" s="30" t="n">
        <x:v>-30.26</x:v>
      </x:c>
      <x:c r="H4053" s="30" t="n">
        <x:v>-71.17</x:v>
      </x:c>
      <x:c r="I4053" s="29" t="n">
        <x:v>59</x:v>
      </x:c>
      <x:c r="J4053" s="31" t="n">
        <x:v>4</x:v>
      </x:c>
      <x:c r="K4053" s="25" t="str">
        <x:f>IF(J4053&gt;=7,"Muy fuerte (&gt;=7)",IF(J4053&gt;=6,"Fuerte (6-6.9)",IF(J4053&gt;=5,"Moderado alto (5-5.9)",IF(J4053&gt;=4,"Moderado (4-4.9)","Menor a 4"))))</x:f>
        <x:v>Moderado (4-4.9)</x:v>
      </x:c>
      <x:c r="L4053" s="25" t="str">
        <x:f>IF(I4053&lt;70,"Superficial (&lt;70 km)",IF(I4053&lt;=300,"Intermedio (70-300 km)","Profundo (&gt;300 km)"))</x:f>
        <x:v>Superficial (&lt;70 km)</x:v>
      </x:c>
      <x:c r="M4053" s="25" t="str">
        <x:f>IF(J4053&gt;=5,"Sí","No")</x:f>
        <x:v>No</x:v>
      </x:c>
      <x:c r="N4053" s="25" t="str">
        <x:f>IF(J4053&gt;=6,"Sí","No")</x:f>
        <x:v>No</x:v>
      </x:c>
      <x:c r="O4053" s="25" t="str">
        <x:v>Pendiente: asignar con R/sf</x:v>
      </x:c>
    </x:row>
    <x:row r="4054">
      <x:c r="A4054" s="25" t="n">
        <x:v>4053</x:v>
      </x:c>
      <x:c r="B4054" s="26" t="n">
        <x:v>43717.49811342593</x:v>
      </x:c>
      <x:c r="C4054" s="27" t="n">
        <x:f>INT(B4054)</x:f>
        <x:v>43717</x:v>
      </x:c>
      <x:c r="D4054" s="28" t="n">
        <x:f>MOD(B4054,1)</x:f>
        <x:v>0.4981134259287501</x:v>
      </x:c>
      <x:c r="E4054" s="29" t="n">
        <x:f>YEAR(B4054)</x:f>
        <x:v>2019</x:v>
      </x:c>
      <x:c r="F4054" s="29" t="n">
        <x:f>MONTH(B4054)</x:f>
        <x:v>9</x:v>
      </x:c>
      <x:c r="G4054" s="30" t="n">
        <x:v>-30.2</x:v>
      </x:c>
      <x:c r="H4054" s="30" t="n">
        <x:v>-71.3</x:v>
      </x:c>
      <x:c r="I4054" s="29" t="n">
        <x:v>65</x:v>
      </x:c>
      <x:c r="J4054" s="31" t="n">
        <x:v>4</x:v>
      </x:c>
      <x:c r="K4054" s="25" t="str">
        <x:f>IF(J4054&gt;=7,"Muy fuerte (&gt;=7)",IF(J4054&gt;=6,"Fuerte (6-6.9)",IF(J4054&gt;=5,"Moderado alto (5-5.9)",IF(J4054&gt;=4,"Moderado (4-4.9)","Menor a 4"))))</x:f>
        <x:v>Moderado (4-4.9)</x:v>
      </x:c>
      <x:c r="L4054" s="25" t="str">
        <x:f>IF(I4054&lt;70,"Superficial (&lt;70 km)",IF(I4054&lt;=300,"Intermedio (70-300 km)","Profundo (&gt;300 km)"))</x:f>
        <x:v>Superficial (&lt;70 km)</x:v>
      </x:c>
      <x:c r="M4054" s="25" t="str">
        <x:f>IF(J4054&gt;=5,"Sí","No")</x:f>
        <x:v>No</x:v>
      </x:c>
      <x:c r="N4054" s="25" t="str">
        <x:f>IF(J4054&gt;=6,"Sí","No")</x:f>
        <x:v>No</x:v>
      </x:c>
      <x:c r="O4054" s="25" t="str">
        <x:v>Pendiente: asignar con R/sf</x:v>
      </x:c>
    </x:row>
    <x:row r="4055">
      <x:c r="A4055" s="25" t="n">
        <x:v>4054</x:v>
      </x:c>
      <x:c r="B4055" s="26" t="n">
        <x:v>44075.29263888889</x:v>
      </x:c>
      <x:c r="C4055" s="27" t="n">
        <x:f>INT(B4055)</x:f>
        <x:v>44075</x:v>
      </x:c>
      <x:c r="D4055" s="28" t="n">
        <x:f>MOD(B4055,1)</x:f>
        <x:v>0.29263888888817746</x:v>
      </x:c>
      <x:c r="E4055" s="29" t="n">
        <x:f>YEAR(B4055)</x:f>
        <x:v>2020</x:v>
      </x:c>
      <x:c r="F4055" s="29" t="n">
        <x:f>MONTH(B4055)</x:f>
        <x:v>9</x:v>
      </x:c>
      <x:c r="G4055" s="30" t="n">
        <x:v>-28.05</x:v>
      </x:c>
      <x:c r="H4055" s="30" t="n">
        <x:v>-71.33</x:v>
      </x:c>
      <x:c r="I4055" s="29" t="n">
        <x:v>30</x:v>
      </x:c>
      <x:c r="J4055" s="31" t="n">
        <x:v>5.5</x:v>
      </x:c>
      <x:c r="K4055" s="25" t="str">
        <x:f>IF(J4055&gt;=7,"Muy fuerte (&gt;=7)",IF(J4055&gt;=6,"Fuerte (6-6.9)",IF(J4055&gt;=5,"Moderado alto (5-5.9)",IF(J4055&gt;=4,"Moderado (4-4.9)","Menor a 4"))))</x:f>
        <x:v>Moderado alto (5-5.9)</x:v>
      </x:c>
      <x:c r="L4055" s="25" t="str">
        <x:f>IF(I4055&lt;70,"Superficial (&lt;70 km)",IF(I4055&lt;=300,"Intermedio (70-300 km)","Profundo (&gt;300 km)"))</x:f>
        <x:v>Superficial (&lt;70 km)</x:v>
      </x:c>
      <x:c r="M4055" s="25" t="str">
        <x:f>IF(J4055&gt;=5,"Sí","No")</x:f>
        <x:v>Sí</x:v>
      </x:c>
      <x:c r="N4055" s="25" t="str">
        <x:f>IF(J4055&gt;=6,"Sí","No")</x:f>
        <x:v>No</x:v>
      </x:c>
      <x:c r="O4055" s="25" t="str">
        <x:v>Pendiente: asignar con R/sf</x:v>
      </x:c>
    </x:row>
    <x:row r="4056">
      <x:c r="A4056" s="25" t="n">
        <x:v>4055</x:v>
      </x:c>
      <x:c r="B4056" s="26" t="n">
        <x:v>44027.94954861111</x:v>
      </x:c>
      <x:c r="C4056" s="27" t="n">
        <x:f>INT(B4056)</x:f>
        <x:v>44027</x:v>
      </x:c>
      <x:c r="D4056" s="28" t="n">
        <x:f>MOD(B4056,1)</x:f>
        <x:v>0.9495486111118225</x:v>
      </x:c>
      <x:c r="E4056" s="29" t="n">
        <x:f>YEAR(B4056)</x:f>
        <x:v>2020</x:v>
      </x:c>
      <x:c r="F4056" s="29" t="n">
        <x:f>MONTH(B4056)</x:f>
        <x:v>7</x:v>
      </x:c>
      <x:c r="G4056" s="30" t="n">
        <x:v>-20.15</x:v>
      </x:c>
      <x:c r="H4056" s="30" t="n">
        <x:v>-70.22</x:v>
      </x:c>
      <x:c r="I4056" s="29" t="n">
        <x:v>45</x:v>
      </x:c>
      <x:c r="J4056" s="31" t="n">
        <x:v>4.2</x:v>
      </x:c>
      <x:c r="K4056" s="25" t="str">
        <x:f>IF(J4056&gt;=7,"Muy fuerte (&gt;=7)",IF(J4056&gt;=6,"Fuerte (6-6.9)",IF(J4056&gt;=5,"Moderado alto (5-5.9)",IF(J4056&gt;=4,"Moderado (4-4.9)","Menor a 4"))))</x:f>
        <x:v>Moderado (4-4.9)</x:v>
      </x:c>
      <x:c r="L4056" s="25" t="str">
        <x:f>IF(I4056&lt;70,"Superficial (&lt;70 km)",IF(I4056&lt;=300,"Intermedio (70-300 km)","Profundo (&gt;300 km)"))</x:f>
        <x:v>Superficial (&lt;70 km)</x:v>
      </x:c>
      <x:c r="M4056" s="25" t="str">
        <x:f>IF(J4056&gt;=5,"Sí","No")</x:f>
        <x:v>No</x:v>
      </x:c>
      <x:c r="N4056" s="25" t="str">
        <x:f>IF(J4056&gt;=6,"Sí","No")</x:f>
        <x:v>No</x:v>
      </x:c>
      <x:c r="O4056" s="25" t="str">
        <x:v>Pendiente: asignar con R/sf</x:v>
      </x:c>
    </x:row>
    <x:row r="4057">
      <x:c r="A4057" s="25" t="n">
        <x:v>4056</x:v>
      </x:c>
      <x:c r="B4057" s="26" t="n">
        <x:v>43626.13681712963</x:v>
      </x:c>
      <x:c r="C4057" s="27" t="n">
        <x:f>INT(B4057)</x:f>
        <x:v>43626</x:v>
      </x:c>
      <x:c r="D4057" s="28" t="n">
        <x:f>MOD(B4057,1)</x:f>
        <x:v>0.1368171296271612</x:v>
      </x:c>
      <x:c r="E4057" s="29" t="n">
        <x:f>YEAR(B4057)</x:f>
        <x:v>2019</x:v>
      </x:c>
      <x:c r="F4057" s="29" t="n">
        <x:f>MONTH(B4057)</x:f>
        <x:v>6</x:v>
      </x:c>
      <x:c r="G4057" s="30" t="n">
        <x:v>-31.98</x:v>
      </x:c>
      <x:c r="H4057" s="30" t="n">
        <x:v>-71.26</x:v>
      </x:c>
      <x:c r="I4057" s="29" t="n">
        <x:v>55</x:v>
      </x:c>
      <x:c r="J4057" s="31" t="n">
        <x:v>4.4</x:v>
      </x:c>
      <x:c r="K4057" s="25" t="str">
        <x:f>IF(J4057&gt;=7,"Muy fuerte (&gt;=7)",IF(J4057&gt;=6,"Fuerte (6-6.9)",IF(J4057&gt;=5,"Moderado alto (5-5.9)",IF(J4057&gt;=4,"Moderado (4-4.9)","Menor a 4"))))</x:f>
        <x:v>Moderado (4-4.9)</x:v>
      </x:c>
      <x:c r="L4057" s="25" t="str">
        <x:f>IF(I4057&lt;70,"Superficial (&lt;70 km)",IF(I4057&lt;=300,"Intermedio (70-300 km)","Profundo (&gt;300 km)"))</x:f>
        <x:v>Superficial (&lt;70 km)</x:v>
      </x:c>
      <x:c r="M4057" s="25" t="str">
        <x:f>IF(J4057&gt;=5,"Sí","No")</x:f>
        <x:v>No</x:v>
      </x:c>
      <x:c r="N4057" s="25" t="str">
        <x:f>IF(J4057&gt;=6,"Sí","No")</x:f>
        <x:v>No</x:v>
      </x:c>
      <x:c r="O4057" s="25" t="str">
        <x:v>Pendiente: asignar con R/sf</x:v>
      </x:c>
    </x:row>
    <x:row r="4058">
      <x:c r="A4058" s="25" t="n">
        <x:v>4057</x:v>
      </x:c>
      <x:c r="B4058" s="26" t="n">
        <x:v>43386.82454861111</x:v>
      </x:c>
      <x:c r="C4058" s="27" t="n">
        <x:f>INT(B4058)</x:f>
        <x:v>43386</x:v>
      </x:c>
      <x:c r="D4058" s="28" t="n">
        <x:f>MOD(B4058,1)</x:f>
        <x:v>0.8245486111118225</x:v>
      </x:c>
      <x:c r="E4058" s="29" t="n">
        <x:f>YEAR(B4058)</x:f>
        <x:v>2018</x:v>
      </x:c>
      <x:c r="F4058" s="29" t="n">
        <x:f>MONTH(B4058)</x:f>
        <x:v>10</x:v>
      </x:c>
      <x:c r="G4058" s="30" t="n">
        <x:v>-31.56</x:v>
      </x:c>
      <x:c r="H4058" s="30" t="n">
        <x:v>-71.5</x:v>
      </x:c>
      <x:c r="I4058" s="29" t="n">
        <x:v>45</x:v>
      </x:c>
      <x:c r="J4058" s="31" t="n">
        <x:v>3.6</x:v>
      </x:c>
      <x:c r="K4058" s="25" t="str">
        <x:f>IF(J4058&gt;=7,"Muy fuerte (&gt;=7)",IF(J4058&gt;=6,"Fuerte (6-6.9)",IF(J4058&gt;=5,"Moderado alto (5-5.9)",IF(J4058&gt;=4,"Moderado (4-4.9)","Menor a 4"))))</x:f>
        <x:v>Menor a 4</x:v>
      </x:c>
      <x:c r="L4058" s="25" t="str">
        <x:f>IF(I4058&lt;70,"Superficial (&lt;70 km)",IF(I4058&lt;=300,"Intermedio (70-300 km)","Profundo (&gt;300 km)"))</x:f>
        <x:v>Superficial (&lt;70 km)</x:v>
      </x:c>
      <x:c r="M4058" s="25" t="str">
        <x:f>IF(J4058&gt;=5,"Sí","No")</x:f>
        <x:v>No</x:v>
      </x:c>
      <x:c r="N4058" s="25" t="str">
        <x:f>IF(J4058&gt;=6,"Sí","No")</x:f>
        <x:v>No</x:v>
      </x:c>
      <x:c r="O4058" s="25" t="str">
        <x:v>Pendiente: asignar con R/sf</x:v>
      </x:c>
    </x:row>
    <x:row r="4059">
      <x:c r="A4059" s="25" t="n">
        <x:v>4058</x:v>
      </x:c>
      <x:c r="B4059" s="26" t="n">
        <x:v>43804.334652777776</x:v>
      </x:c>
      <x:c r="C4059" s="27" t="n">
        <x:f>INT(B4059)</x:f>
        <x:v>43804</x:v>
      </x:c>
      <x:c r="D4059" s="28" t="n">
        <x:f>MOD(B4059,1)</x:f>
        <x:v>0.33465277777577285</x:v>
      </x:c>
      <x:c r="E4059" s="29" t="n">
        <x:f>YEAR(B4059)</x:f>
        <x:v>2019</x:v>
      </x:c>
      <x:c r="F4059" s="29" t="n">
        <x:f>MONTH(B4059)</x:f>
        <x:v>12</x:v>
      </x:c>
      <x:c r="G4059" s="30" t="n">
        <x:v>-29.8</x:v>
      </x:c>
      <x:c r="H4059" s="30" t="n">
        <x:v>-71.28</x:v>
      </x:c>
      <x:c r="I4059" s="29" t="n">
        <x:v>50</x:v>
      </x:c>
      <x:c r="J4059" s="31" t="n">
        <x:v>4.5</x:v>
      </x:c>
      <x:c r="K4059" s="25" t="str">
        <x:f>IF(J4059&gt;=7,"Muy fuerte (&gt;=7)",IF(J4059&gt;=6,"Fuerte (6-6.9)",IF(J4059&gt;=5,"Moderado alto (5-5.9)",IF(J4059&gt;=4,"Moderado (4-4.9)","Menor a 4"))))</x:f>
        <x:v>Moderado (4-4.9)</x:v>
      </x:c>
      <x:c r="L4059" s="25" t="str">
        <x:f>IF(I4059&lt;70,"Superficial (&lt;70 km)",IF(I4059&lt;=300,"Intermedio (70-300 km)","Profundo (&gt;300 km)"))</x:f>
        <x:v>Superficial (&lt;70 km)</x:v>
      </x:c>
      <x:c r="M4059" s="25" t="str">
        <x:f>IF(J4059&gt;=5,"Sí","No")</x:f>
        <x:v>No</x:v>
      </x:c>
      <x:c r="N4059" s="25" t="str">
        <x:f>IF(J4059&gt;=6,"Sí","No")</x:f>
        <x:v>No</x:v>
      </x:c>
      <x:c r="O4059" s="25" t="str">
        <x:v>Pendiente: asignar con R/sf</x:v>
      </x:c>
    </x:row>
    <x:row r="4060">
      <x:c r="A4060" s="25" t="n">
        <x:v>4059</x:v>
      </x:c>
      <x:c r="B4060" s="26" t="n">
        <x:v>43847.13849537037</x:v>
      </x:c>
      <x:c r="C4060" s="27" t="n">
        <x:f>INT(B4060)</x:f>
        <x:v>43847</x:v>
      </x:c>
      <x:c r="D4060" s="28" t="n">
        <x:f>MOD(B4060,1)</x:f>
        <x:v>0.13849537036730908</x:v>
      </x:c>
      <x:c r="E4060" s="29" t="n">
        <x:f>YEAR(B4060)</x:f>
        <x:v>2020</x:v>
      </x:c>
      <x:c r="F4060" s="29" t="n">
        <x:f>MONTH(B4060)</x:f>
        <x:v>1</x:v>
      </x:c>
      <x:c r="G4060" s="30" t="n">
        <x:v>-28.64</x:v>
      </x:c>
      <x:c r="H4060" s="30" t="n">
        <x:v>-71.41</x:v>
      </x:c>
      <x:c r="I4060" s="29" t="n">
        <x:v>27</x:v>
      </x:c>
      <x:c r="J4060" s="31" t="n">
        <x:v>3.9</x:v>
      </x:c>
      <x:c r="K4060" s="25" t="str">
        <x:f>IF(J4060&gt;=7,"Muy fuerte (&gt;=7)",IF(J4060&gt;=6,"Fuerte (6-6.9)",IF(J4060&gt;=5,"Moderado alto (5-5.9)",IF(J4060&gt;=4,"Moderado (4-4.9)","Menor a 4"))))</x:f>
        <x:v>Menor a 4</x:v>
      </x:c>
      <x:c r="L4060" s="25" t="str">
        <x:f>IF(I4060&lt;70,"Superficial (&lt;70 km)",IF(I4060&lt;=300,"Intermedio (70-300 km)","Profundo (&gt;300 km)"))</x:f>
        <x:v>Superficial (&lt;70 km)</x:v>
      </x:c>
      <x:c r="M4060" s="25" t="str">
        <x:f>IF(J4060&gt;=5,"Sí","No")</x:f>
        <x:v>No</x:v>
      </x:c>
      <x:c r="N4060" s="25" t="str">
        <x:f>IF(J4060&gt;=6,"Sí","No")</x:f>
        <x:v>No</x:v>
      </x:c>
      <x:c r="O4060" s="25" t="str">
        <x:v>Pendiente: asignar con R/sf</x:v>
      </x:c>
    </x:row>
    <x:row r="4061">
      <x:c r="A4061" s="25" t="n">
        <x:v>4060</x:v>
      </x:c>
      <x:c r="B4061" s="26" t="n">
        <x:v>43875.3978587963</x:v>
      </x:c>
      <x:c r="C4061" s="27" t="n">
        <x:f>INT(B4061)</x:f>
        <x:v>43875</x:v>
      </x:c>
      <x:c r="D4061" s="28" t="n">
        <x:f>MOD(B4061,1)</x:f>
        <x:v>0.3978587962992606</x:v>
      </x:c>
      <x:c r="E4061" s="29" t="n">
        <x:f>YEAR(B4061)</x:f>
        <x:v>2020</x:v>
      </x:c>
      <x:c r="F4061" s="29" t="n">
        <x:f>MONTH(B4061)</x:f>
        <x:v>2</x:v>
      </x:c>
      <x:c r="G4061" s="30" t="n">
        <x:v>-30.18</x:v>
      </x:c>
      <x:c r="H4061" s="30" t="n">
        <x:v>-71.17</x:v>
      </x:c>
      <x:c r="I4061" s="29" t="n">
        <x:v>65</x:v>
      </x:c>
      <x:c r="J4061" s="31" t="n">
        <x:v>4</x:v>
      </x:c>
      <x:c r="K4061" s="25" t="str">
        <x:f>IF(J4061&gt;=7,"Muy fuerte (&gt;=7)",IF(J4061&gt;=6,"Fuerte (6-6.9)",IF(J4061&gt;=5,"Moderado alto (5-5.9)",IF(J4061&gt;=4,"Moderado (4-4.9)","Menor a 4"))))</x:f>
        <x:v>Moderado (4-4.9)</x:v>
      </x:c>
      <x:c r="L4061" s="25" t="str">
        <x:f>IF(I4061&lt;70,"Superficial (&lt;70 km)",IF(I4061&lt;=300,"Intermedio (70-300 km)","Profundo (&gt;300 km)"))</x:f>
        <x:v>Superficial (&lt;70 km)</x:v>
      </x:c>
      <x:c r="M4061" s="25" t="str">
        <x:f>IF(J4061&gt;=5,"Sí","No")</x:f>
        <x:v>No</x:v>
      </x:c>
      <x:c r="N4061" s="25" t="str">
        <x:f>IF(J4061&gt;=6,"Sí","No")</x:f>
        <x:v>No</x:v>
      </x:c>
      <x:c r="O4061" s="25" t="str">
        <x:v>Pendiente: asignar con R/sf</x:v>
      </x:c>
    </x:row>
    <x:row r="4062">
      <x:c r="A4062" s="25" t="n">
        <x:v>4061</x:v>
      </x:c>
      <x:c r="B4062" s="26" t="n">
        <x:v>44064.24773148148</x:v>
      </x:c>
      <x:c r="C4062" s="27" t="n">
        <x:f>INT(B4062)</x:f>
        <x:v>44064</x:v>
      </x:c>
      <x:c r="D4062" s="28" t="n">
        <x:f>MOD(B4062,1)</x:f>
        <x:v>0.24773148148233304</x:v>
      </x:c>
      <x:c r="E4062" s="29" t="n">
        <x:f>YEAR(B4062)</x:f>
        <x:v>2020</x:v>
      </x:c>
      <x:c r="F4062" s="29" t="n">
        <x:f>MONTH(B4062)</x:f>
        <x:v>8</x:v>
      </x:c>
      <x:c r="G4062" s="30" t="n">
        <x:v>-19.61</x:v>
      </x:c>
      <x:c r="H4062" s="30" t="n">
        <x:v>-69.45</x:v>
      </x:c>
      <x:c r="I4062" s="29" t="n">
        <x:v>104</x:v>
      </x:c>
      <x:c r="J4062" s="31" t="n">
        <x:v>4.2</x:v>
      </x:c>
      <x:c r="K4062" s="25" t="str">
        <x:f>IF(J4062&gt;=7,"Muy fuerte (&gt;=7)",IF(J4062&gt;=6,"Fuerte (6-6.9)",IF(J4062&gt;=5,"Moderado alto (5-5.9)",IF(J4062&gt;=4,"Moderado (4-4.9)","Menor a 4"))))</x:f>
        <x:v>Moderado (4-4.9)</x:v>
      </x:c>
      <x:c r="L4062" s="25" t="str">
        <x:f>IF(I4062&lt;70,"Superficial (&lt;70 km)",IF(I4062&lt;=300,"Intermedio (70-300 km)","Profundo (&gt;300 km)"))</x:f>
        <x:v>Intermedio (70-300 km)</x:v>
      </x:c>
      <x:c r="M4062" s="25" t="str">
        <x:f>IF(J4062&gt;=5,"Sí","No")</x:f>
        <x:v>No</x:v>
      </x:c>
      <x:c r="N4062" s="25" t="str">
        <x:f>IF(J4062&gt;=6,"Sí","No")</x:f>
        <x:v>No</x:v>
      </x:c>
      <x:c r="O4062" s="25" t="str">
        <x:v>Pendiente: asignar con R/sf</x:v>
      </x:c>
    </x:row>
    <x:row r="4063">
      <x:c r="A4063" s="25" t="n">
        <x:v>4062</x:v>
      </x:c>
      <x:c r="B4063" s="26" t="n">
        <x:v>43796.59976851852</x:v>
      </x:c>
      <x:c r="C4063" s="27" t="n">
        <x:f>INT(B4063)</x:f>
        <x:v>43796</x:v>
      </x:c>
      <x:c r="D4063" s="28" t="n">
        <x:f>MOD(B4063,1)</x:f>
        <x:v>0.5997685185211594</x:v>
      </x:c>
      <x:c r="E4063" s="29" t="n">
        <x:f>YEAR(B4063)</x:f>
        <x:v>2019</x:v>
      </x:c>
      <x:c r="F4063" s="29" t="n">
        <x:f>MONTH(B4063)</x:f>
        <x:v>11</x:v>
      </x:c>
      <x:c r="G4063" s="30" t="n">
        <x:v>-28.24</x:v>
      </x:c>
      <x:c r="H4063" s="30" t="n">
        <x:v>-70.94</x:v>
      </x:c>
      <x:c r="I4063" s="29" t="n">
        <x:v>63</x:v>
      </x:c>
      <x:c r="J4063" s="31" t="n">
        <x:v>4</x:v>
      </x:c>
      <x:c r="K4063" s="25" t="str">
        <x:f>IF(J4063&gt;=7,"Muy fuerte (&gt;=7)",IF(J4063&gt;=6,"Fuerte (6-6.9)",IF(J4063&gt;=5,"Moderado alto (5-5.9)",IF(J4063&gt;=4,"Moderado (4-4.9)","Menor a 4"))))</x:f>
        <x:v>Moderado (4-4.9)</x:v>
      </x:c>
      <x:c r="L4063" s="25" t="str">
        <x:f>IF(I4063&lt;70,"Superficial (&lt;70 km)",IF(I4063&lt;=300,"Intermedio (70-300 km)","Profundo (&gt;300 km)"))</x:f>
        <x:v>Superficial (&lt;70 km)</x:v>
      </x:c>
      <x:c r="M4063" s="25" t="str">
        <x:f>IF(J4063&gt;=5,"Sí","No")</x:f>
        <x:v>No</x:v>
      </x:c>
      <x:c r="N4063" s="25" t="str">
        <x:f>IF(J4063&gt;=6,"Sí","No")</x:f>
        <x:v>No</x:v>
      </x:c>
      <x:c r="O4063" s="25" t="str">
        <x:v>Pendiente: asignar con R/sf</x:v>
      </x:c>
    </x:row>
    <x:row r="4064">
      <x:c r="A4064" s="25" t="n">
        <x:v>4063</x:v>
      </x:c>
      <x:c r="B4064" s="26" t="n">
        <x:v>43770.98850694444</x:v>
      </x:c>
      <x:c r="C4064" s="27" t="n">
        <x:f>INT(B4064)</x:f>
        <x:v>43770</x:v>
      </x:c>
      <x:c r="D4064" s="28" t="n">
        <x:f>MOD(B4064,1)</x:f>
        <x:v>0.9885069444426335</x:v>
      </x:c>
      <x:c r="E4064" s="29" t="n">
        <x:f>YEAR(B4064)</x:f>
        <x:v>2019</x:v>
      </x:c>
      <x:c r="F4064" s="29" t="n">
        <x:f>MONTH(B4064)</x:f>
        <x:v>11</x:v>
      </x:c>
      <x:c r="G4064" s="30" t="n">
        <x:v>-29.25</x:v>
      </x:c>
      <x:c r="H4064" s="30" t="n">
        <x:v>-71.59</x:v>
      </x:c>
      <x:c r="I4064" s="29" t="n">
        <x:v>40</x:v>
      </x:c>
      <x:c r="J4064" s="31" t="n">
        <x:v>4.2</x:v>
      </x:c>
      <x:c r="K4064" s="25" t="str">
        <x:f>IF(J4064&gt;=7,"Muy fuerte (&gt;=7)",IF(J4064&gt;=6,"Fuerte (6-6.9)",IF(J4064&gt;=5,"Moderado alto (5-5.9)",IF(J4064&gt;=4,"Moderado (4-4.9)","Menor a 4"))))</x:f>
        <x:v>Moderado (4-4.9)</x:v>
      </x:c>
      <x:c r="L4064" s="25" t="str">
        <x:f>IF(I4064&lt;70,"Superficial (&lt;70 km)",IF(I4064&lt;=300,"Intermedio (70-300 km)","Profundo (&gt;300 km)"))</x:f>
        <x:v>Superficial (&lt;70 km)</x:v>
      </x:c>
      <x:c r="M4064" s="25" t="str">
        <x:f>IF(J4064&gt;=5,"Sí","No")</x:f>
        <x:v>No</x:v>
      </x:c>
      <x:c r="N4064" s="25" t="str">
        <x:f>IF(J4064&gt;=6,"Sí","No")</x:f>
        <x:v>No</x:v>
      </x:c>
      <x:c r="O4064" s="25" t="str">
        <x:v>Pendiente: asignar con R/sf</x:v>
      </x:c>
    </x:row>
    <x:row r="4065">
      <x:c r="A4065" s="25" t="n">
        <x:v>4064</x:v>
      </x:c>
      <x:c r="B4065" s="26" t="n">
        <x:v>43947.94615740741</x:v>
      </x:c>
      <x:c r="C4065" s="27" t="n">
        <x:f>INT(B4065)</x:f>
        <x:v>43947</x:v>
      </x:c>
      <x:c r="D4065" s="28" t="n">
        <x:f>MOD(B4065,1)</x:f>
        <x:v>0.9461574074084638</x:v>
      </x:c>
      <x:c r="E4065" s="29" t="n">
        <x:f>YEAR(B4065)</x:f>
        <x:v>2020</x:v>
      </x:c>
      <x:c r="F4065" s="29" t="n">
        <x:f>MONTH(B4065)</x:f>
        <x:v>4</x:v>
      </x:c>
      <x:c r="G4065" s="30" t="n">
        <x:v>-31.74</x:v>
      </x:c>
      <x:c r="H4065" s="30" t="n">
        <x:v>-71.28</x:v>
      </x:c>
      <x:c r="I4065" s="29" t="n">
        <x:v>53</x:v>
      </x:c>
      <x:c r="J4065" s="31" t="n">
        <x:v>3.7</x:v>
      </x:c>
      <x:c r="K4065" s="25" t="str">
        <x:f>IF(J4065&gt;=7,"Muy fuerte (&gt;=7)",IF(J4065&gt;=6,"Fuerte (6-6.9)",IF(J4065&gt;=5,"Moderado alto (5-5.9)",IF(J4065&gt;=4,"Moderado (4-4.9)","Menor a 4"))))</x:f>
        <x:v>Menor a 4</x:v>
      </x:c>
      <x:c r="L4065" s="25" t="str">
        <x:f>IF(I4065&lt;70,"Superficial (&lt;70 km)",IF(I4065&lt;=300,"Intermedio (70-300 km)","Profundo (&gt;300 km)"))</x:f>
        <x:v>Superficial (&lt;70 km)</x:v>
      </x:c>
      <x:c r="M4065" s="25" t="str">
        <x:f>IF(J4065&gt;=5,"Sí","No")</x:f>
        <x:v>No</x:v>
      </x:c>
      <x:c r="N4065" s="25" t="str">
        <x:f>IF(J4065&gt;=6,"Sí","No")</x:f>
        <x:v>No</x:v>
      </x:c>
      <x:c r="O4065" s="25" t="str">
        <x:v>Pendiente: asignar con R/sf</x:v>
      </x:c>
    </x:row>
    <x:row r="4066">
      <x:c r="A4066" s="25" t="n">
        <x:v>4065</x:v>
      </x:c>
      <x:c r="B4066" s="26" t="n">
        <x:v>43779.306608796294</x:v>
      </x:c>
      <x:c r="C4066" s="27" t="n">
        <x:f>INT(B4066)</x:f>
        <x:v>43779</x:v>
      </x:c>
      <x:c r="D4066" s="28" t="n">
        <x:f>MOD(B4066,1)</x:f>
        <x:v>0.3066087962943129</x:v>
      </x:c>
      <x:c r="E4066" s="29" t="n">
        <x:f>YEAR(B4066)</x:f>
        <x:v>2019</x:v>
      </x:c>
      <x:c r="F4066" s="29" t="n">
        <x:f>MONTH(B4066)</x:f>
        <x:v>11</x:v>
      </x:c>
      <x:c r="G4066" s="30" t="n">
        <x:v>-28.33</x:v>
      </x:c>
      <x:c r="H4066" s="30" t="n">
        <x:v>-70.56</x:v>
      </x:c>
      <x:c r="I4066" s="29" t="n">
        <x:v>90</x:v>
      </x:c>
      <x:c r="J4066" s="31" t="n">
        <x:v>4.8</x:v>
      </x:c>
      <x:c r="K4066" s="25" t="str">
        <x:f>IF(J4066&gt;=7,"Muy fuerte (&gt;=7)",IF(J4066&gt;=6,"Fuerte (6-6.9)",IF(J4066&gt;=5,"Moderado alto (5-5.9)",IF(J4066&gt;=4,"Moderado (4-4.9)","Menor a 4"))))</x:f>
        <x:v>Moderado (4-4.9)</x:v>
      </x:c>
      <x:c r="L4066" s="25" t="str">
        <x:f>IF(I4066&lt;70,"Superficial (&lt;70 km)",IF(I4066&lt;=300,"Intermedio (70-300 km)","Profundo (&gt;300 km)"))</x:f>
        <x:v>Intermedio (70-300 km)</x:v>
      </x:c>
      <x:c r="M4066" s="25" t="str">
        <x:f>IF(J4066&gt;=5,"Sí","No")</x:f>
        <x:v>No</x:v>
      </x:c>
      <x:c r="N4066" s="25" t="str">
        <x:f>IF(J4066&gt;=6,"Sí","No")</x:f>
        <x:v>No</x:v>
      </x:c>
      <x:c r="O4066" s="25" t="str">
        <x:v>Pendiente: asignar con R/sf</x:v>
      </x:c>
    </x:row>
    <x:row r="4067">
      <x:c r="A4067" s="25" t="n">
        <x:v>4066</x:v>
      </x:c>
      <x:c r="B4067" s="26" t="n">
        <x:v>43992.46545138889</x:v>
      </x:c>
      <x:c r="C4067" s="27" t="n">
        <x:f>INT(B4067)</x:f>
        <x:v>43992</x:v>
      </x:c>
      <x:c r="D4067" s="28" t="n">
        <x:f>MOD(B4067,1)</x:f>
        <x:v>0.4654513888890506</x:v>
      </x:c>
      <x:c r="E4067" s="29" t="n">
        <x:f>YEAR(B4067)</x:f>
        <x:v>2020</x:v>
      </x:c>
      <x:c r="F4067" s="29" t="n">
        <x:f>MONTH(B4067)</x:f>
        <x:v>6</x:v>
      </x:c>
      <x:c r="G4067" s="30" t="n">
        <x:v>-29.29</x:v>
      </x:c>
      <x:c r="H4067" s="30" t="n">
        <x:v>-71.4</x:v>
      </x:c>
      <x:c r="I4067" s="29" t="n">
        <x:v>31</x:v>
      </x:c>
      <x:c r="J4067" s="31" t="n">
        <x:v>3.8</x:v>
      </x:c>
      <x:c r="K4067" s="25" t="str">
        <x:f>IF(J4067&gt;=7,"Muy fuerte (&gt;=7)",IF(J4067&gt;=6,"Fuerte (6-6.9)",IF(J4067&gt;=5,"Moderado alto (5-5.9)",IF(J4067&gt;=4,"Moderado (4-4.9)","Menor a 4"))))</x:f>
        <x:v>Menor a 4</x:v>
      </x:c>
      <x:c r="L4067" s="25" t="str">
        <x:f>IF(I4067&lt;70,"Superficial (&lt;70 km)",IF(I4067&lt;=300,"Intermedio (70-300 km)","Profundo (&gt;300 km)"))</x:f>
        <x:v>Superficial (&lt;70 km)</x:v>
      </x:c>
      <x:c r="M4067" s="25" t="str">
        <x:f>IF(J4067&gt;=5,"Sí","No")</x:f>
        <x:v>No</x:v>
      </x:c>
      <x:c r="N4067" s="25" t="str">
        <x:f>IF(J4067&gt;=6,"Sí","No")</x:f>
        <x:v>No</x:v>
      </x:c>
      <x:c r="O4067" s="25" t="str">
        <x:v>Pendiente: asignar con R/sf</x:v>
      </x:c>
    </x:row>
    <x:row r="4068">
      <x:c r="A4068" s="25" t="n">
        <x:v>4067</x:v>
      </x:c>
      <x:c r="B4068" s="26" t="n">
        <x:v>43688.90262731481</x:v>
      </x:c>
      <x:c r="C4068" s="27" t="n">
        <x:f>INT(B4068)</x:f>
        <x:v>43688</x:v>
      </x:c>
      <x:c r="D4068" s="28" t="n">
        <x:f>MOD(B4068,1)</x:f>
        <x:v>0.9026273148119799</x:v>
      </x:c>
      <x:c r="E4068" s="29" t="n">
        <x:f>YEAR(B4068)</x:f>
        <x:v>2019</x:v>
      </x:c>
      <x:c r="F4068" s="29" t="n">
        <x:f>MONTH(B4068)</x:f>
        <x:v>8</x:v>
      </x:c>
      <x:c r="G4068" s="30" t="n">
        <x:v>-30.39</x:v>
      </x:c>
      <x:c r="H4068" s="30" t="n">
        <x:v>-71.48</x:v>
      </x:c>
      <x:c r="I4068" s="29" t="n">
        <x:v>26</x:v>
      </x:c>
      <x:c r="J4068" s="31" t="n">
        <x:v>3.7</x:v>
      </x:c>
      <x:c r="K4068" s="25" t="str">
        <x:f>IF(J4068&gt;=7,"Muy fuerte (&gt;=7)",IF(J4068&gt;=6,"Fuerte (6-6.9)",IF(J4068&gt;=5,"Moderado alto (5-5.9)",IF(J4068&gt;=4,"Moderado (4-4.9)","Menor a 4"))))</x:f>
        <x:v>Menor a 4</x:v>
      </x:c>
      <x:c r="L4068" s="25" t="str">
        <x:f>IF(I4068&lt;70,"Superficial (&lt;70 km)",IF(I4068&lt;=300,"Intermedio (70-300 km)","Profundo (&gt;300 km)"))</x:f>
        <x:v>Superficial (&lt;70 km)</x:v>
      </x:c>
      <x:c r="M4068" s="25" t="str">
        <x:f>IF(J4068&gt;=5,"Sí","No")</x:f>
        <x:v>No</x:v>
      </x:c>
      <x:c r="N4068" s="25" t="str">
        <x:f>IF(J4068&gt;=6,"Sí","No")</x:f>
        <x:v>No</x:v>
      </x:c>
      <x:c r="O4068" s="25" t="str">
        <x:v>Pendiente: asignar con R/sf</x:v>
      </x:c>
    </x:row>
    <x:row r="4069">
      <x:c r="A4069" s="25" t="n">
        <x:v>4068</x:v>
      </x:c>
      <x:c r="B4069" s="26" t="n">
        <x:v>43642.31234953704</x:v>
      </x:c>
      <x:c r="C4069" s="27" t="n">
        <x:f>INT(B4069)</x:f>
        <x:v>43642</x:v>
      </x:c>
      <x:c r="D4069" s="28" t="n">
        <x:f>MOD(B4069,1)</x:f>
        <x:v>0.3123495370382443</x:v>
      </x:c>
      <x:c r="E4069" s="29" t="n">
        <x:f>YEAR(B4069)</x:f>
        <x:v>2019</x:v>
      </x:c>
      <x:c r="F4069" s="29" t="n">
        <x:f>MONTH(B4069)</x:f>
        <x:v>6</x:v>
      </x:c>
      <x:c r="G4069" s="30" t="n">
        <x:v>-29.43</x:v>
      </x:c>
      <x:c r="H4069" s="30" t="n">
        <x:v>-71.29</x:v>
      </x:c>
      <x:c r="I4069" s="29" t="n">
        <x:v>48</x:v>
      </x:c>
      <x:c r="J4069" s="31" t="n">
        <x:v>4</x:v>
      </x:c>
      <x:c r="K4069" s="25" t="str">
        <x:f>IF(J4069&gt;=7,"Muy fuerte (&gt;=7)",IF(J4069&gt;=6,"Fuerte (6-6.9)",IF(J4069&gt;=5,"Moderado alto (5-5.9)",IF(J4069&gt;=4,"Moderado (4-4.9)","Menor a 4"))))</x:f>
        <x:v>Moderado (4-4.9)</x:v>
      </x:c>
      <x:c r="L4069" s="25" t="str">
        <x:f>IF(I4069&lt;70,"Superficial (&lt;70 km)",IF(I4069&lt;=300,"Intermedio (70-300 km)","Profundo (&gt;300 km)"))</x:f>
        <x:v>Superficial (&lt;70 km)</x:v>
      </x:c>
      <x:c r="M4069" s="25" t="str">
        <x:f>IF(J4069&gt;=5,"Sí","No")</x:f>
        <x:v>No</x:v>
      </x:c>
      <x:c r="N4069" s="25" t="str">
        <x:f>IF(J4069&gt;=6,"Sí","No")</x:f>
        <x:v>No</x:v>
      </x:c>
      <x:c r="O4069" s="25" t="str">
        <x:v>Pendiente: asignar con R/sf</x:v>
      </x:c>
    </x:row>
    <x:row r="4070">
      <x:c r="A4070" s="25" t="n">
        <x:v>4069</x:v>
      </x:c>
      <x:c r="B4070" s="26" t="n">
        <x:v>43651.50460648148</x:v>
      </x:c>
      <x:c r="C4070" s="27" t="n">
        <x:f>INT(B4070)</x:f>
        <x:v>43651</x:v>
      </x:c>
      <x:c r="D4070" s="28" t="n">
        <x:f>MOD(B4070,1)</x:f>
        <x:v>0.5046064814814599</x:v>
      </x:c>
      <x:c r="E4070" s="29" t="n">
        <x:f>YEAR(B4070)</x:f>
        <x:v>2019</x:v>
      </x:c>
      <x:c r="F4070" s="29" t="n">
        <x:f>MONTH(B4070)</x:f>
        <x:v>7</x:v>
      </x:c>
      <x:c r="G4070" s="30" t="n">
        <x:v>-29.68</x:v>
      </x:c>
      <x:c r="H4070" s="30" t="n">
        <x:v>-71.17</x:v>
      </x:c>
      <x:c r="I4070" s="29" t="n">
        <x:v>58</x:v>
      </x:c>
      <x:c r="J4070" s="31" t="n">
        <x:v>3.5</x:v>
      </x:c>
      <x:c r="K4070" s="25" t="str">
        <x:f>IF(J4070&gt;=7,"Muy fuerte (&gt;=7)",IF(J4070&gt;=6,"Fuerte (6-6.9)",IF(J4070&gt;=5,"Moderado alto (5-5.9)",IF(J4070&gt;=4,"Moderado (4-4.9)","Menor a 4"))))</x:f>
        <x:v>Menor a 4</x:v>
      </x:c>
      <x:c r="L4070" s="25" t="str">
        <x:f>IF(I4070&lt;70,"Superficial (&lt;70 km)",IF(I4070&lt;=300,"Intermedio (70-300 km)","Profundo (&gt;300 km)"))</x:f>
        <x:v>Superficial (&lt;70 km)</x:v>
      </x:c>
      <x:c r="M4070" s="25" t="str">
        <x:f>IF(J4070&gt;=5,"Sí","No")</x:f>
        <x:v>No</x:v>
      </x:c>
      <x:c r="N4070" s="25" t="str">
        <x:f>IF(J4070&gt;=6,"Sí","No")</x:f>
        <x:v>No</x:v>
      </x:c>
      <x:c r="O4070" s="25" t="str">
        <x:v>Pendiente: asignar con R/sf</x:v>
      </x:c>
    </x:row>
    <x:row r="4071">
      <x:c r="A4071" s="25" t="n">
        <x:v>4070</x:v>
      </x:c>
      <x:c r="B4071" s="26" t="n">
        <x:v>43767.75636574074</x:v>
      </x:c>
      <x:c r="C4071" s="27" t="n">
        <x:f>INT(B4071)</x:f>
        <x:v>43767</x:v>
      </x:c>
      <x:c r="D4071" s="28" t="n">
        <x:f>MOD(B4071,1)</x:f>
        <x:v>0.7563657407372375</x:v>
      </x:c>
      <x:c r="E4071" s="29" t="n">
        <x:f>YEAR(B4071)</x:f>
        <x:v>2019</x:v>
      </x:c>
      <x:c r="F4071" s="29" t="n">
        <x:f>MONTH(B4071)</x:f>
        <x:v>10</x:v>
      </x:c>
      <x:c r="G4071" s="30" t="n">
        <x:v>-30.65</x:v>
      </x:c>
      <x:c r="H4071" s="30" t="n">
        <x:v>-71.28</x:v>
      </x:c>
      <x:c r="I4071" s="29" t="n">
        <x:v>47</x:v>
      </x:c>
      <x:c r="J4071" s="31" t="n">
        <x:v>3.5</x:v>
      </x:c>
      <x:c r="K4071" s="25" t="str">
        <x:f>IF(J4071&gt;=7,"Muy fuerte (&gt;=7)",IF(J4071&gt;=6,"Fuerte (6-6.9)",IF(J4071&gt;=5,"Moderado alto (5-5.9)",IF(J4071&gt;=4,"Moderado (4-4.9)","Menor a 4"))))</x:f>
        <x:v>Menor a 4</x:v>
      </x:c>
      <x:c r="L4071" s="25" t="str">
        <x:f>IF(I4071&lt;70,"Superficial (&lt;70 km)",IF(I4071&lt;=300,"Intermedio (70-300 km)","Profundo (&gt;300 km)"))</x:f>
        <x:v>Superficial (&lt;70 km)</x:v>
      </x:c>
      <x:c r="M4071" s="25" t="str">
        <x:f>IF(J4071&gt;=5,"Sí","No")</x:f>
        <x:v>No</x:v>
      </x:c>
      <x:c r="N4071" s="25" t="str">
        <x:f>IF(J4071&gt;=6,"Sí","No")</x:f>
        <x:v>No</x:v>
      </x:c>
      <x:c r="O4071" s="25" t="str">
        <x:v>Pendiente: asignar con R/sf</x:v>
      </x:c>
    </x:row>
    <x:row r="4072">
      <x:c r="A4072" s="25" t="n">
        <x:v>4071</x:v>
      </x:c>
      <x:c r="B4072" s="26" t="n">
        <x:v>43519.116215277776</x:v>
      </x:c>
      <x:c r="C4072" s="27" t="n">
        <x:f>INT(B4072)</x:f>
        <x:v>43519</x:v>
      </x:c>
      <x:c r="D4072" s="28" t="n">
        <x:f>MOD(B4072,1)</x:f>
        <x:v>0.11621527777606389</x:v>
      </x:c>
      <x:c r="E4072" s="29" t="n">
        <x:f>YEAR(B4072)</x:f>
        <x:v>2019</x:v>
      </x:c>
      <x:c r="F4072" s="29" t="n">
        <x:f>MONTH(B4072)</x:f>
        <x:v>2</x:v>
      </x:c>
      <x:c r="G4072" s="30" t="n">
        <x:v>-30.24</x:v>
      </x:c>
      <x:c r="H4072" s="30" t="n">
        <x:v>-71.29</x:v>
      </x:c>
      <x:c r="I4072" s="29" t="n">
        <x:v>68</x:v>
      </x:c>
      <x:c r="J4072" s="31" t="n">
        <x:v>3.9</x:v>
      </x:c>
      <x:c r="K4072" s="25" t="str">
        <x:f>IF(J4072&gt;=7,"Muy fuerte (&gt;=7)",IF(J4072&gt;=6,"Fuerte (6-6.9)",IF(J4072&gt;=5,"Moderado alto (5-5.9)",IF(J4072&gt;=4,"Moderado (4-4.9)","Menor a 4"))))</x:f>
        <x:v>Menor a 4</x:v>
      </x:c>
      <x:c r="L4072" s="25" t="str">
        <x:f>IF(I4072&lt;70,"Superficial (&lt;70 km)",IF(I4072&lt;=300,"Intermedio (70-300 km)","Profundo (&gt;300 km)"))</x:f>
        <x:v>Superficial (&lt;70 km)</x:v>
      </x:c>
      <x:c r="M4072" s="25" t="str">
        <x:f>IF(J4072&gt;=5,"Sí","No")</x:f>
        <x:v>No</x:v>
      </x:c>
      <x:c r="N4072" s="25" t="str">
        <x:f>IF(J4072&gt;=6,"Sí","No")</x:f>
        <x:v>No</x:v>
      </x:c>
      <x:c r="O4072" s="25" t="str">
        <x:v>Pendiente: asignar con R/sf</x:v>
      </x:c>
    </x:row>
    <x:row r="4073">
      <x:c r="A4073" s="25" t="n">
        <x:v>4072</x:v>
      </x:c>
      <x:c r="B4073" s="26" t="n">
        <x:v>43308.81721064815</x:v>
      </x:c>
      <x:c r="C4073" s="27" t="n">
        <x:f>INT(B4073)</x:f>
        <x:v>43308</x:v>
      </x:c>
      <x:c r="D4073" s="28" t="n">
        <x:f>MOD(B4073,1)</x:f>
        <x:v>0.8172106481506489</x:v>
      </x:c>
      <x:c r="E4073" s="29" t="n">
        <x:f>YEAR(B4073)</x:f>
        <x:v>2018</x:v>
      </x:c>
      <x:c r="F4073" s="29" t="n">
        <x:f>MONTH(B4073)</x:f>
        <x:v>7</x:v>
      </x:c>
      <x:c r="G4073" s="30" t="n">
        <x:v>-31.43</x:v>
      </x:c>
      <x:c r="H4073" s="30" t="n">
        <x:v>-71.45</x:v>
      </x:c>
      <x:c r="I4073" s="29" t="n">
        <x:v>51</x:v>
      </x:c>
      <x:c r="J4073" s="31" t="n">
        <x:v>3.7</x:v>
      </x:c>
      <x:c r="K4073" s="25" t="str">
        <x:f>IF(J4073&gt;=7,"Muy fuerte (&gt;=7)",IF(J4073&gt;=6,"Fuerte (6-6.9)",IF(J4073&gt;=5,"Moderado alto (5-5.9)",IF(J4073&gt;=4,"Moderado (4-4.9)","Menor a 4"))))</x:f>
        <x:v>Menor a 4</x:v>
      </x:c>
      <x:c r="L4073" s="25" t="str">
        <x:f>IF(I4073&lt;70,"Superficial (&lt;70 km)",IF(I4073&lt;=300,"Intermedio (70-300 km)","Profundo (&gt;300 km)"))</x:f>
        <x:v>Superficial (&lt;70 km)</x:v>
      </x:c>
      <x:c r="M4073" s="25" t="str">
        <x:f>IF(J4073&gt;=5,"Sí","No")</x:f>
        <x:v>No</x:v>
      </x:c>
      <x:c r="N4073" s="25" t="str">
        <x:f>IF(J4073&gt;=6,"Sí","No")</x:f>
        <x:v>No</x:v>
      </x:c>
      <x:c r="O4073" s="25" t="str">
        <x:v>Pendiente: asignar con R/sf</x:v>
      </x:c>
    </x:row>
    <x:row r="4074">
      <x:c r="A4074" s="25" t="n">
        <x:v>4073</x:v>
      </x:c>
      <x:c r="B4074" s="26" t="n">
        <x:v>43765.356875</x:v>
      </x:c>
      <x:c r="C4074" s="27" t="n">
        <x:f>INT(B4074)</x:f>
        <x:v>43765</x:v>
      </x:c>
      <x:c r="D4074" s="28" t="n">
        <x:f>MOD(B4074,1)</x:f>
        <x:v>0.3568749999976717</x:v>
      </x:c>
      <x:c r="E4074" s="29" t="n">
        <x:f>YEAR(B4074)</x:f>
        <x:v>2019</x:v>
      </x:c>
      <x:c r="F4074" s="29" t="n">
        <x:f>MONTH(B4074)</x:f>
        <x:v>10</x:v>
      </x:c>
      <x:c r="G4074" s="30" t="n">
        <x:v>-29.22</x:v>
      </x:c>
      <x:c r="H4074" s="30" t="n">
        <x:v>-71.7</x:v>
      </x:c>
      <x:c r="I4074" s="29" t="n">
        <x:v>38</x:v>
      </x:c>
      <x:c r="J4074" s="31" t="n">
        <x:v>4.5</x:v>
      </x:c>
      <x:c r="K4074" s="25" t="str">
        <x:f>IF(J4074&gt;=7,"Muy fuerte (&gt;=7)",IF(J4074&gt;=6,"Fuerte (6-6.9)",IF(J4074&gt;=5,"Moderado alto (5-5.9)",IF(J4074&gt;=4,"Moderado (4-4.9)","Menor a 4"))))</x:f>
        <x:v>Moderado (4-4.9)</x:v>
      </x:c>
      <x:c r="L4074" s="25" t="str">
        <x:f>IF(I4074&lt;70,"Superficial (&lt;70 km)",IF(I4074&lt;=300,"Intermedio (70-300 km)","Profundo (&gt;300 km)"))</x:f>
        <x:v>Superficial (&lt;70 km)</x:v>
      </x:c>
      <x:c r="M4074" s="25" t="str">
        <x:f>IF(J4074&gt;=5,"Sí","No")</x:f>
        <x:v>No</x:v>
      </x:c>
      <x:c r="N4074" s="25" t="str">
        <x:f>IF(J4074&gt;=6,"Sí","No")</x:f>
        <x:v>No</x:v>
      </x:c>
      <x:c r="O4074" s="25" t="str">
        <x:v>Pendiente: asignar con R/sf</x:v>
      </x:c>
    </x:row>
    <x:row r="4075">
      <x:c r="A4075" s="25" t="n">
        <x:v>4074</x:v>
      </x:c>
      <x:c r="B4075" s="26" t="n">
        <x:v>43617.45811342593</x:v>
      </x:c>
      <x:c r="C4075" s="27" t="n">
        <x:f>INT(B4075)</x:f>
        <x:v>43617</x:v>
      </x:c>
      <x:c r="D4075" s="28" t="n">
        <x:f>MOD(B4075,1)</x:f>
        <x:v>0.45811342592787696</x:v>
      </x:c>
      <x:c r="E4075" s="29" t="n">
        <x:f>YEAR(B4075)</x:f>
        <x:v>2019</x:v>
      </x:c>
      <x:c r="F4075" s="29" t="n">
        <x:f>MONTH(B4075)</x:f>
        <x:v>6</x:v>
      </x:c>
      <x:c r="G4075" s="30" t="n">
        <x:v>-29.69</x:v>
      </x:c>
      <x:c r="H4075" s="30" t="n">
        <x:v>-71.31</x:v>
      </x:c>
      <x:c r="I4075" s="29" t="n">
        <x:v>59</x:v>
      </x:c>
      <x:c r="J4075" s="31" t="n">
        <x:v>4.5</x:v>
      </x:c>
      <x:c r="K4075" s="25" t="str">
        <x:f>IF(J4075&gt;=7,"Muy fuerte (&gt;=7)",IF(J4075&gt;=6,"Fuerte (6-6.9)",IF(J4075&gt;=5,"Moderado alto (5-5.9)",IF(J4075&gt;=4,"Moderado (4-4.9)","Menor a 4"))))</x:f>
        <x:v>Moderado (4-4.9)</x:v>
      </x:c>
      <x:c r="L4075" s="25" t="str">
        <x:f>IF(I4075&lt;70,"Superficial (&lt;70 km)",IF(I4075&lt;=300,"Intermedio (70-300 km)","Profundo (&gt;300 km)"))</x:f>
        <x:v>Superficial (&lt;70 km)</x:v>
      </x:c>
      <x:c r="M4075" s="25" t="str">
        <x:f>IF(J4075&gt;=5,"Sí","No")</x:f>
        <x:v>No</x:v>
      </x:c>
      <x:c r="N4075" s="25" t="str">
        <x:f>IF(J4075&gt;=6,"Sí","No")</x:f>
        <x:v>No</x:v>
      </x:c>
      <x:c r="O4075" s="25" t="str">
        <x:v>Pendiente: asignar con R/sf</x:v>
      </x:c>
    </x:row>
    <x:row r="4076">
      <x:c r="A4076" s="25" t="n">
        <x:v>4075</x:v>
      </x:c>
      <x:c r="B4076" s="26" t="n">
        <x:v>43774.021145833336</x:v>
      </x:c>
      <x:c r="C4076" s="27" t="n">
        <x:f>INT(B4076)</x:f>
        <x:v>43774</x:v>
      </x:c>
      <x:c r="D4076" s="28" t="n">
        <x:f>MOD(B4076,1)</x:f>
        <x:v>0.02114583333604969</x:v>
      </x:c>
      <x:c r="E4076" s="29" t="n">
        <x:f>YEAR(B4076)</x:f>
        <x:v>2019</x:v>
      </x:c>
      <x:c r="F4076" s="29" t="n">
        <x:f>MONTH(B4076)</x:f>
        <x:v>11</x:v>
      </x:c>
      <x:c r="G4076" s="30" t="n">
        <x:v>-31.78</x:v>
      </x:c>
      <x:c r="H4076" s="30" t="n">
        <x:v>-71.3</x:v>
      </x:c>
      <x:c r="I4076" s="29" t="n">
        <x:v>56</x:v>
      </x:c>
      <x:c r="J4076" s="31" t="n">
        <x:v>4</x:v>
      </x:c>
      <x:c r="K4076" s="25" t="str">
        <x:f>IF(J4076&gt;=7,"Muy fuerte (&gt;=7)",IF(J4076&gt;=6,"Fuerte (6-6.9)",IF(J4076&gt;=5,"Moderado alto (5-5.9)",IF(J4076&gt;=4,"Moderado (4-4.9)","Menor a 4"))))</x:f>
        <x:v>Moderado (4-4.9)</x:v>
      </x:c>
      <x:c r="L4076" s="25" t="str">
        <x:f>IF(I4076&lt;70,"Superficial (&lt;70 km)",IF(I4076&lt;=300,"Intermedio (70-300 km)","Profundo (&gt;300 km)"))</x:f>
        <x:v>Superficial (&lt;70 km)</x:v>
      </x:c>
      <x:c r="M4076" s="25" t="str">
        <x:f>IF(J4076&gt;=5,"Sí","No")</x:f>
        <x:v>No</x:v>
      </x:c>
      <x:c r="N4076" s="25" t="str">
        <x:f>IF(J4076&gt;=6,"Sí","No")</x:f>
        <x:v>No</x:v>
      </x:c>
      <x:c r="O4076" s="25" t="str">
        <x:v>Pendiente: asignar con R/sf</x:v>
      </x:c>
    </x:row>
    <x:row r="4077">
      <x:c r="A4077" s="25" t="n">
        <x:v>4076</x:v>
      </x:c>
      <x:c r="B4077" s="26" t="n">
        <x:v>43957.611180555556</x:v>
      </x:c>
      <x:c r="C4077" s="27" t="n">
        <x:f>INT(B4077)</x:f>
        <x:v>43957</x:v>
      </x:c>
      <x:c r="D4077" s="28" t="n">
        <x:f>MOD(B4077,1)</x:f>
        <x:v>0.6111805555556202</x:v>
      </x:c>
      <x:c r="E4077" s="29" t="n">
        <x:f>YEAR(B4077)</x:f>
        <x:v>2020</x:v>
      </x:c>
      <x:c r="F4077" s="29" t="n">
        <x:f>MONTH(B4077)</x:f>
        <x:v>5</x:v>
      </x:c>
      <x:c r="G4077" s="30" t="n">
        <x:v>-28.67</x:v>
      </x:c>
      <x:c r="H4077" s="30" t="n">
        <x:v>-71.42</x:v>
      </x:c>
      <x:c r="I4077" s="29" t="n">
        <x:v>22</x:v>
      </x:c>
      <x:c r="J4077" s="31" t="n">
        <x:v>3.7</x:v>
      </x:c>
      <x:c r="K4077" s="25" t="str">
        <x:f>IF(J4077&gt;=7,"Muy fuerte (&gt;=7)",IF(J4077&gt;=6,"Fuerte (6-6.9)",IF(J4077&gt;=5,"Moderado alto (5-5.9)",IF(J4077&gt;=4,"Moderado (4-4.9)","Menor a 4"))))</x:f>
        <x:v>Menor a 4</x:v>
      </x:c>
      <x:c r="L4077" s="25" t="str">
        <x:f>IF(I4077&lt;70,"Superficial (&lt;70 km)",IF(I4077&lt;=300,"Intermedio (70-300 km)","Profundo (&gt;300 km)"))</x:f>
        <x:v>Superficial (&lt;70 km)</x:v>
      </x:c>
      <x:c r="M4077" s="25" t="str">
        <x:f>IF(J4077&gt;=5,"Sí","No")</x:f>
        <x:v>No</x:v>
      </x:c>
      <x:c r="N4077" s="25" t="str">
        <x:f>IF(J4077&gt;=6,"Sí","No")</x:f>
        <x:v>No</x:v>
      </x:c>
      <x:c r="O4077" s="25" t="str">
        <x:v>Pendiente: asignar con R/sf</x:v>
      </x:c>
    </x:row>
    <x:row r="4078">
      <x:c r="A4078" s="25" t="n">
        <x:v>4077</x:v>
      </x:c>
      <x:c r="B4078" s="26" t="n">
        <x:v>43697.73175925926</x:v>
      </x:c>
      <x:c r="C4078" s="27" t="n">
        <x:f>INT(B4078)</x:f>
        <x:v>43697</x:v>
      </x:c>
      <x:c r="D4078" s="28" t="n">
        <x:f>MOD(B4078,1)</x:f>
        <x:v>0.731759259258979</x:v>
      </x:c>
      <x:c r="E4078" s="29" t="n">
        <x:f>YEAR(B4078)</x:f>
        <x:v>2019</x:v>
      </x:c>
      <x:c r="F4078" s="29" t="n">
        <x:f>MONTH(B4078)</x:f>
        <x:v>8</x:v>
      </x:c>
      <x:c r="G4078" s="30" t="n">
        <x:v>-31.93</x:v>
      </x:c>
      <x:c r="H4078" s="30" t="n">
        <x:v>-71.13</x:v>
      </x:c>
      <x:c r="I4078" s="29" t="n">
        <x:v>76</x:v>
      </x:c>
      <x:c r="J4078" s="31" t="n">
        <x:v>4.1</x:v>
      </x:c>
      <x:c r="K4078" s="25" t="str">
        <x:f>IF(J4078&gt;=7,"Muy fuerte (&gt;=7)",IF(J4078&gt;=6,"Fuerte (6-6.9)",IF(J4078&gt;=5,"Moderado alto (5-5.9)",IF(J4078&gt;=4,"Moderado (4-4.9)","Menor a 4"))))</x:f>
        <x:v>Moderado (4-4.9)</x:v>
      </x:c>
      <x:c r="L4078" s="25" t="str">
        <x:f>IF(I4078&lt;70,"Superficial (&lt;70 km)",IF(I4078&lt;=300,"Intermedio (70-300 km)","Profundo (&gt;300 km)"))</x:f>
        <x:v>Intermedio (70-300 km)</x:v>
      </x:c>
      <x:c r="M4078" s="25" t="str">
        <x:f>IF(J4078&gt;=5,"Sí","No")</x:f>
        <x:v>No</x:v>
      </x:c>
      <x:c r="N4078" s="25" t="str">
        <x:f>IF(J4078&gt;=6,"Sí","No")</x:f>
        <x:v>No</x:v>
      </x:c>
      <x:c r="O4078" s="25" t="str">
        <x:v>Pendiente: asignar con R/sf</x:v>
      </x:c>
    </x:row>
    <x:row r="4079">
      <x:c r="A4079" s="25" t="n">
        <x:v>4078</x:v>
      </x:c>
      <x:c r="B4079" s="26" t="n">
        <x:v>43714.348587962966</x:v>
      </x:c>
      <x:c r="C4079" s="27" t="n">
        <x:f>INT(B4079)</x:f>
        <x:v>43714</x:v>
      </x:c>
      <x:c r="D4079" s="28" t="n">
        <x:f>MOD(B4079,1)</x:f>
        <x:v>0.34858796296612127</x:v>
      </x:c>
      <x:c r="E4079" s="29" t="n">
        <x:f>YEAR(B4079)</x:f>
        <x:v>2019</x:v>
      </x:c>
      <x:c r="F4079" s="29" t="n">
        <x:f>MONTH(B4079)</x:f>
        <x:v>9</x:v>
      </x:c>
      <x:c r="G4079" s="30" t="n">
        <x:v>-29.74</x:v>
      </x:c>
      <x:c r="H4079" s="30" t="n">
        <x:v>-71.51</x:v>
      </x:c>
      <x:c r="I4079" s="29" t="n">
        <x:v>69</x:v>
      </x:c>
      <x:c r="J4079" s="31" t="n">
        <x:v>4.1</x:v>
      </x:c>
      <x:c r="K4079" s="25" t="str">
        <x:f>IF(J4079&gt;=7,"Muy fuerte (&gt;=7)",IF(J4079&gt;=6,"Fuerte (6-6.9)",IF(J4079&gt;=5,"Moderado alto (5-5.9)",IF(J4079&gt;=4,"Moderado (4-4.9)","Menor a 4"))))</x:f>
        <x:v>Moderado (4-4.9)</x:v>
      </x:c>
      <x:c r="L4079" s="25" t="str">
        <x:f>IF(I4079&lt;70,"Superficial (&lt;70 km)",IF(I4079&lt;=300,"Intermedio (70-300 km)","Profundo (&gt;300 km)"))</x:f>
        <x:v>Superficial (&lt;70 km)</x:v>
      </x:c>
      <x:c r="M4079" s="25" t="str">
        <x:f>IF(J4079&gt;=5,"Sí","No")</x:f>
        <x:v>No</x:v>
      </x:c>
      <x:c r="N4079" s="25" t="str">
        <x:f>IF(J4079&gt;=6,"Sí","No")</x:f>
        <x:v>No</x:v>
      </x:c>
      <x:c r="O4079" s="25" t="str">
        <x:v>Pendiente: asignar con R/sf</x:v>
      </x:c>
    </x:row>
    <x:row r="4080">
      <x:c r="A4080" s="25" t="n">
        <x:v>4079</x:v>
      </x:c>
      <x:c r="B4080" s="26" t="n">
        <x:v>43638.62866898148</x:v>
      </x:c>
      <x:c r="C4080" s="27" t="n">
        <x:f>INT(B4080)</x:f>
        <x:v>43638</x:v>
      </x:c>
      <x:c r="D4080" s="28" t="n">
        <x:f>MOD(B4080,1)</x:f>
        <x:v>0.6286689814805868</x:v>
      </x:c>
      <x:c r="E4080" s="29" t="n">
        <x:f>YEAR(B4080)</x:f>
        <x:v>2019</x:v>
      </x:c>
      <x:c r="F4080" s="29" t="n">
        <x:f>MONTH(B4080)</x:f>
        <x:v>6</x:v>
      </x:c>
      <x:c r="G4080" s="30" t="n">
        <x:v>-31.3</x:v>
      </x:c>
      <x:c r="H4080" s="30" t="n">
        <x:v>-71.75</x:v>
      </x:c>
      <x:c r="I4080" s="29" t="n">
        <x:v>26</x:v>
      </x:c>
      <x:c r="J4080" s="31" t="n">
        <x:v>3.8</x:v>
      </x:c>
      <x:c r="K4080" s="25" t="str">
        <x:f>IF(J4080&gt;=7,"Muy fuerte (&gt;=7)",IF(J4080&gt;=6,"Fuerte (6-6.9)",IF(J4080&gt;=5,"Moderado alto (5-5.9)",IF(J4080&gt;=4,"Moderado (4-4.9)","Menor a 4"))))</x:f>
        <x:v>Menor a 4</x:v>
      </x:c>
      <x:c r="L4080" s="25" t="str">
        <x:f>IF(I4080&lt;70,"Superficial (&lt;70 km)",IF(I4080&lt;=300,"Intermedio (70-300 km)","Profundo (&gt;300 km)"))</x:f>
        <x:v>Superficial (&lt;70 km)</x:v>
      </x:c>
      <x:c r="M4080" s="25" t="str">
        <x:f>IF(J4080&gt;=5,"Sí","No")</x:f>
        <x:v>No</x:v>
      </x:c>
      <x:c r="N4080" s="25" t="str">
        <x:f>IF(J4080&gt;=6,"Sí","No")</x:f>
        <x:v>No</x:v>
      </x:c>
      <x:c r="O4080" s="25" t="str">
        <x:v>Pendiente: asignar con R/sf</x:v>
      </x:c>
    </x:row>
    <x:row r="4081">
      <x:c r="A4081" s="25" t="n">
        <x:v>4080</x:v>
      </x:c>
      <x:c r="B4081" s="26" t="n">
        <x:v>44075.438796296294</x:v>
      </x:c>
      <x:c r="C4081" s="27" t="n">
        <x:f>INT(B4081)</x:f>
        <x:v>44075</x:v>
      </x:c>
      <x:c r="D4081" s="28" t="n">
        <x:f>MOD(B4081,1)</x:f>
        <x:v>0.43879629629373085</x:v>
      </x:c>
      <x:c r="E4081" s="29" t="n">
        <x:f>YEAR(B4081)</x:f>
        <x:v>2020</x:v>
      </x:c>
      <x:c r="F4081" s="29" t="n">
        <x:f>MONTH(B4081)</x:f>
        <x:v>9</x:v>
      </x:c>
      <x:c r="G4081" s="30" t="n">
        <x:v>-27.94</x:v>
      </x:c>
      <x:c r="H4081" s="30" t="n">
        <x:v>-71.33</x:v>
      </x:c>
      <x:c r="I4081" s="29" t="n">
        <x:v>25</x:v>
      </x:c>
      <x:c r="J4081" s="31" t="n">
        <x:v>5.3</x:v>
      </x:c>
      <x:c r="K4081" s="25" t="str">
        <x:f>IF(J4081&gt;=7,"Muy fuerte (&gt;=7)",IF(J4081&gt;=6,"Fuerte (6-6.9)",IF(J4081&gt;=5,"Moderado alto (5-5.9)",IF(J4081&gt;=4,"Moderado (4-4.9)","Menor a 4"))))</x:f>
        <x:v>Moderado alto (5-5.9)</x:v>
      </x:c>
      <x:c r="L4081" s="25" t="str">
        <x:f>IF(I4081&lt;70,"Superficial (&lt;70 km)",IF(I4081&lt;=300,"Intermedio (70-300 km)","Profundo (&gt;300 km)"))</x:f>
        <x:v>Superficial (&lt;70 km)</x:v>
      </x:c>
      <x:c r="M4081" s="25" t="str">
        <x:f>IF(J4081&gt;=5,"Sí","No")</x:f>
        <x:v>Sí</x:v>
      </x:c>
      <x:c r="N4081" s="25" t="str">
        <x:f>IF(J4081&gt;=6,"Sí","No")</x:f>
        <x:v>No</x:v>
      </x:c>
      <x:c r="O4081" s="25" t="str">
        <x:v>Pendiente: asignar con R/sf</x:v>
      </x:c>
    </x:row>
    <x:row r="4082">
      <x:c r="A4082" s="25" t="n">
        <x:v>4081</x:v>
      </x:c>
      <x:c r="B4082" s="26" t="n">
        <x:v>43606.809166666666</x:v>
      </x:c>
      <x:c r="C4082" s="27" t="n">
        <x:f>INT(B4082)</x:f>
        <x:v>43606</x:v>
      </x:c>
      <x:c r="D4082" s="28" t="n">
        <x:f>MOD(B4082,1)</x:f>
        <x:v>0.8091666666659876</x:v>
      </x:c>
      <x:c r="E4082" s="29" t="n">
        <x:f>YEAR(B4082)</x:f>
        <x:v>2019</x:v>
      </x:c>
      <x:c r="F4082" s="29" t="n">
        <x:f>MONTH(B4082)</x:f>
        <x:v>5</x:v>
      </x:c>
      <x:c r="G4082" s="30" t="n">
        <x:v>-30.5</x:v>
      </x:c>
      <x:c r="H4082" s="30" t="n">
        <x:v>-71.24</x:v>
      </x:c>
      <x:c r="I4082" s="29" t="n">
        <x:v>57</x:v>
      </x:c>
      <x:c r="J4082" s="31" t="n">
        <x:v>4.6</x:v>
      </x:c>
      <x:c r="K4082" s="25" t="str">
        <x:f>IF(J4082&gt;=7,"Muy fuerte (&gt;=7)",IF(J4082&gt;=6,"Fuerte (6-6.9)",IF(J4082&gt;=5,"Moderado alto (5-5.9)",IF(J4082&gt;=4,"Moderado (4-4.9)","Menor a 4"))))</x:f>
        <x:v>Moderado (4-4.9)</x:v>
      </x:c>
      <x:c r="L4082" s="25" t="str">
        <x:f>IF(I4082&lt;70,"Superficial (&lt;70 km)",IF(I4082&lt;=300,"Intermedio (70-300 km)","Profundo (&gt;300 km)"))</x:f>
        <x:v>Superficial (&lt;70 km)</x:v>
      </x:c>
      <x:c r="M4082" s="25" t="str">
        <x:f>IF(J4082&gt;=5,"Sí","No")</x:f>
        <x:v>No</x:v>
      </x:c>
      <x:c r="N4082" s="25" t="str">
        <x:f>IF(J4082&gt;=6,"Sí","No")</x:f>
        <x:v>No</x:v>
      </x:c>
      <x:c r="O4082" s="25" t="str">
        <x:v>Pendiente: asignar con R/sf</x:v>
      </x:c>
    </x:row>
    <x:row r="4083">
      <x:c r="A4083" s="25" t="n">
        <x:v>4082</x:v>
      </x:c>
      <x:c r="B4083" s="26" t="n">
        <x:v>43548.528645833336</x:v>
      </x:c>
      <x:c r="C4083" s="27" t="n">
        <x:f>INT(B4083)</x:f>
        <x:v>43548</x:v>
      </x:c>
      <x:c r="D4083" s="28" t="n">
        <x:f>MOD(B4083,1)</x:f>
        <x:v>0.5286458333357587</x:v>
      </x:c>
      <x:c r="E4083" s="29" t="n">
        <x:f>YEAR(B4083)</x:f>
        <x:v>2019</x:v>
      </x:c>
      <x:c r="F4083" s="29" t="n">
        <x:f>MONTH(B4083)</x:f>
        <x:v>3</x:v>
      </x:c>
      <x:c r="G4083" s="30" t="n">
        <x:v>-30.18</x:v>
      </x:c>
      <x:c r="H4083" s="30" t="n">
        <x:v>-71.3</x:v>
      </x:c>
      <x:c r="I4083" s="29" t="n">
        <x:v>65</x:v>
      </x:c>
      <x:c r="J4083" s="31" t="n">
        <x:v>3.6</x:v>
      </x:c>
      <x:c r="K4083" s="25" t="str">
        <x:f>IF(J4083&gt;=7,"Muy fuerte (&gt;=7)",IF(J4083&gt;=6,"Fuerte (6-6.9)",IF(J4083&gt;=5,"Moderado alto (5-5.9)",IF(J4083&gt;=4,"Moderado (4-4.9)","Menor a 4"))))</x:f>
        <x:v>Menor a 4</x:v>
      </x:c>
      <x:c r="L4083" s="25" t="str">
        <x:f>IF(I4083&lt;70,"Superficial (&lt;70 km)",IF(I4083&lt;=300,"Intermedio (70-300 km)","Profundo (&gt;300 km)"))</x:f>
        <x:v>Superficial (&lt;70 km)</x:v>
      </x:c>
      <x:c r="M4083" s="25" t="str">
        <x:f>IF(J4083&gt;=5,"Sí","No")</x:f>
        <x:v>No</x:v>
      </x:c>
      <x:c r="N4083" s="25" t="str">
        <x:f>IF(J4083&gt;=6,"Sí","No")</x:f>
        <x:v>No</x:v>
      </x:c>
      <x:c r="O4083" s="25" t="str">
        <x:v>Pendiente: asignar con R/sf</x:v>
      </x:c>
    </x:row>
    <x:row r="4084">
      <x:c r="A4084" s="25" t="n">
        <x:v>4083</x:v>
      </x:c>
      <x:c r="B4084" s="26" t="n">
        <x:v>44075.881423611114</x:v>
      </x:c>
      <x:c r="C4084" s="27" t="n">
        <x:f>INT(B4084)</x:f>
        <x:v>44075</x:v>
      </x:c>
      <x:c r="D4084" s="28" t="n">
        <x:f>MOD(B4084,1)</x:f>
        <x:v>0.8814236111138598</x:v>
      </x:c>
      <x:c r="E4084" s="29" t="n">
        <x:f>YEAR(B4084)</x:f>
        <x:v>2020</x:v>
      </x:c>
      <x:c r="F4084" s="29" t="n">
        <x:f>MONTH(B4084)</x:f>
        <x:v>9</x:v>
      </x:c>
      <x:c r="G4084" s="30" t="n">
        <x:v>-27.98</x:v>
      </x:c>
      <x:c r="H4084" s="30" t="n">
        <x:v>-71.55</x:v>
      </x:c>
      <x:c r="I4084" s="29" t="n">
        <x:v>24</x:v>
      </x:c>
      <x:c r="J4084" s="31" t="n">
        <x:v>6.3</x:v>
      </x:c>
      <x:c r="K4084" s="25" t="str">
        <x:f>IF(J4084&gt;=7,"Muy fuerte (&gt;=7)",IF(J4084&gt;=6,"Fuerte (6-6.9)",IF(J4084&gt;=5,"Moderado alto (5-5.9)",IF(J4084&gt;=4,"Moderado (4-4.9)","Menor a 4"))))</x:f>
        <x:v>Fuerte (6-6.9)</x:v>
      </x:c>
      <x:c r="L4084" s="25" t="str">
        <x:f>IF(I4084&lt;70,"Superficial (&lt;70 km)",IF(I4084&lt;=300,"Intermedio (70-300 km)","Profundo (&gt;300 km)"))</x:f>
        <x:v>Superficial (&lt;70 km)</x:v>
      </x:c>
      <x:c r="M4084" s="25" t="str">
        <x:f>IF(J4084&gt;=5,"Sí","No")</x:f>
        <x:v>Sí</x:v>
      </x:c>
      <x:c r="N4084" s="25" t="str">
        <x:f>IF(J4084&gt;=6,"Sí","No")</x:f>
        <x:v>Sí</x:v>
      </x:c>
      <x:c r="O4084" s="25" t="str">
        <x:v>Pendiente: asignar con R/sf</x:v>
      </x:c>
    </x:row>
    <x:row r="4085">
      <x:c r="A4085" s="25" t="n">
        <x:v>4084</x:v>
      </x:c>
      <x:c r="B4085" s="26" t="n">
        <x:v>43784.71994212963</x:v>
      </x:c>
      <x:c r="C4085" s="27" t="n">
        <x:f>INT(B4085)</x:f>
        <x:v>43784</x:v>
      </x:c>
      <x:c r="D4085" s="28" t="n">
        <x:f>MOD(B4085,1)</x:f>
        <x:v>0.7199421296318178</x:v>
      </x:c>
      <x:c r="E4085" s="29" t="n">
        <x:f>YEAR(B4085)</x:f>
        <x:v>2019</x:v>
      </x:c>
      <x:c r="F4085" s="29" t="n">
        <x:f>MONTH(B4085)</x:f>
        <x:v>11</x:v>
      </x:c>
      <x:c r="G4085" s="30" t="n">
        <x:v>-34.06</x:v>
      </x:c>
      <x:c r="H4085" s="30" t="n">
        <x:v>-72.28</x:v>
      </x:c>
      <x:c r="I4085" s="29" t="n">
        <x:v>33</x:v>
      </x:c>
      <x:c r="J4085" s="31" t="n">
        <x:v>4.9</x:v>
      </x:c>
      <x:c r="K4085" s="25" t="str">
        <x:f>IF(J4085&gt;=7,"Muy fuerte (&gt;=7)",IF(J4085&gt;=6,"Fuerte (6-6.9)",IF(J4085&gt;=5,"Moderado alto (5-5.9)",IF(J4085&gt;=4,"Moderado (4-4.9)","Menor a 4"))))</x:f>
        <x:v>Moderado (4-4.9)</x:v>
      </x:c>
      <x:c r="L4085" s="25" t="str">
        <x:f>IF(I4085&lt;70,"Superficial (&lt;70 km)",IF(I4085&lt;=300,"Intermedio (70-300 km)","Profundo (&gt;300 km)"))</x:f>
        <x:v>Superficial (&lt;70 km)</x:v>
      </x:c>
      <x:c r="M4085" s="25" t="str">
        <x:f>IF(J4085&gt;=5,"Sí","No")</x:f>
        <x:v>No</x:v>
      </x:c>
      <x:c r="N4085" s="25" t="str">
        <x:f>IF(J4085&gt;=6,"Sí","No")</x:f>
        <x:v>No</x:v>
      </x:c>
      <x:c r="O4085" s="25" t="str">
        <x:v>Pendiente: asignar con R/sf</x:v>
      </x:c>
    </x:row>
    <x:row r="4086">
      <x:c r="A4086" s="25" t="n">
        <x:v>4085</x:v>
      </x:c>
      <x:c r="B4086" s="26" t="n">
        <x:v>43553.45365740741</x:v>
      </x:c>
      <x:c r="C4086" s="27" t="n">
        <x:f>INT(B4086)</x:f>
        <x:v>43553</x:v>
      </x:c>
      <x:c r="D4086" s="28" t="n">
        <x:f>MOD(B4086,1)</x:f>
        <x:v>0.45365740740817273</x:v>
      </x:c>
      <x:c r="E4086" s="29" t="n">
        <x:f>YEAR(B4086)</x:f>
        <x:v>2019</x:v>
      </x:c>
      <x:c r="F4086" s="29" t="n">
        <x:f>MONTH(B4086)</x:f>
        <x:v>3</x:v>
      </x:c>
      <x:c r="G4086" s="30" t="n">
        <x:v>-32.48</x:v>
      </x:c>
      <x:c r="H4086" s="30" t="n">
        <x:v>-71.81</x:v>
      </x:c>
      <x:c r="I4086" s="29" t="n">
        <x:v>46</x:v>
      </x:c>
      <x:c r="J4086" s="31" t="n">
        <x:v>3.9</x:v>
      </x:c>
      <x:c r="K4086" s="25" t="str">
        <x:f>IF(J4086&gt;=7,"Muy fuerte (&gt;=7)",IF(J4086&gt;=6,"Fuerte (6-6.9)",IF(J4086&gt;=5,"Moderado alto (5-5.9)",IF(J4086&gt;=4,"Moderado (4-4.9)","Menor a 4"))))</x:f>
        <x:v>Menor a 4</x:v>
      </x:c>
      <x:c r="L4086" s="25" t="str">
        <x:f>IF(I4086&lt;70,"Superficial (&lt;70 km)",IF(I4086&lt;=300,"Intermedio (70-300 km)","Profundo (&gt;300 km)"))</x:f>
        <x:v>Superficial (&lt;70 km)</x:v>
      </x:c>
      <x:c r="M4086" s="25" t="str">
        <x:f>IF(J4086&gt;=5,"Sí","No")</x:f>
        <x:v>No</x:v>
      </x:c>
      <x:c r="N4086" s="25" t="str">
        <x:f>IF(J4086&gt;=6,"Sí","No")</x:f>
        <x:v>No</x:v>
      </x:c>
      <x:c r="O4086" s="25" t="str">
        <x:v>Pendiente: asignar con R/sf</x:v>
      </x:c>
    </x:row>
    <x:row r="4087">
      <x:c r="A4087" s="25" t="n">
        <x:v>4086</x:v>
      </x:c>
      <x:c r="B4087" s="26" t="n">
        <x:v>43769.9230787037</x:v>
      </x:c>
      <x:c r="C4087" s="27" t="n">
        <x:f>INT(B4087)</x:f>
        <x:v>43769</x:v>
      </x:c>
      <x:c r="D4087" s="28" t="n">
        <x:f>MOD(B4087,1)</x:f>
        <x:v>0.9230787037013215</x:v>
      </x:c>
      <x:c r="E4087" s="29" t="n">
        <x:f>YEAR(B4087)</x:f>
        <x:v>2019</x:v>
      </x:c>
      <x:c r="F4087" s="29" t="n">
        <x:f>MONTH(B4087)</x:f>
        <x:v>10</x:v>
      </x:c>
      <x:c r="G4087" s="30" t="n">
        <x:v>-32.36</x:v>
      </x:c>
      <x:c r="H4087" s="30" t="n">
        <x:v>-71.39</x:v>
      </x:c>
      <x:c r="I4087" s="29" t="n">
        <x:v>49</x:v>
      </x:c>
      <x:c r="J4087" s="31" t="n">
        <x:v>4.6</x:v>
      </x:c>
      <x:c r="K4087" s="25" t="str">
        <x:f>IF(J4087&gt;=7,"Muy fuerte (&gt;=7)",IF(J4087&gt;=6,"Fuerte (6-6.9)",IF(J4087&gt;=5,"Moderado alto (5-5.9)",IF(J4087&gt;=4,"Moderado (4-4.9)","Menor a 4"))))</x:f>
        <x:v>Moderado (4-4.9)</x:v>
      </x:c>
      <x:c r="L4087" s="25" t="str">
        <x:f>IF(I4087&lt;70,"Superficial (&lt;70 km)",IF(I4087&lt;=300,"Intermedio (70-300 km)","Profundo (&gt;300 km)"))</x:f>
        <x:v>Superficial (&lt;70 km)</x:v>
      </x:c>
      <x:c r="M4087" s="25" t="str">
        <x:f>IF(J4087&gt;=5,"Sí","No")</x:f>
        <x:v>No</x:v>
      </x:c>
      <x:c r="N4087" s="25" t="str">
        <x:f>IF(J4087&gt;=6,"Sí","No")</x:f>
        <x:v>No</x:v>
      </x:c>
      <x:c r="O4087" s="25" t="str">
        <x:v>Pendiente: asignar con R/sf</x:v>
      </x:c>
    </x:row>
    <x:row r="4088">
      <x:c r="A4088" s="25" t="n">
        <x:v>4087</x:v>
      </x:c>
      <x:c r="B4088" s="26" t="n">
        <x:v>44075.26971064815</x:v>
      </x:c>
      <x:c r="C4088" s="27" t="n">
        <x:f>INT(B4088)</x:f>
        <x:v>44075</x:v>
      </x:c>
      <x:c r="D4088" s="28" t="n">
        <x:f>MOD(B4088,1)</x:f>
        <x:v>0.26971064815006685</x:v>
      </x:c>
      <x:c r="E4088" s="29" t="n">
        <x:f>YEAR(B4088)</x:f>
        <x:v>2020</x:v>
      </x:c>
      <x:c r="F4088" s="29" t="n">
        <x:f>MONTH(B4088)</x:f>
        <x:v>9</x:v>
      </x:c>
      <x:c r="G4088" s="30" t="n">
        <x:v>-28</x:v>
      </x:c>
      <x:c r="H4088" s="30" t="n">
        <x:v>-71.07</x:v>
      </x:c>
      <x:c r="I4088" s="29" t="n">
        <x:v>32</x:v>
      </x:c>
      <x:c r="J4088" s="31" t="n">
        <x:v>4.5</x:v>
      </x:c>
      <x:c r="K4088" s="25" t="str">
        <x:f>IF(J4088&gt;=7,"Muy fuerte (&gt;=7)",IF(J4088&gt;=6,"Fuerte (6-6.9)",IF(J4088&gt;=5,"Moderado alto (5-5.9)",IF(J4088&gt;=4,"Moderado (4-4.9)","Menor a 4"))))</x:f>
        <x:v>Moderado (4-4.9)</x:v>
      </x:c>
      <x:c r="L4088" s="25" t="str">
        <x:f>IF(I4088&lt;70,"Superficial (&lt;70 km)",IF(I4088&lt;=300,"Intermedio (70-300 km)","Profundo (&gt;300 km)"))</x:f>
        <x:v>Superficial (&lt;70 km)</x:v>
      </x:c>
      <x:c r="M4088" s="25" t="str">
        <x:f>IF(J4088&gt;=5,"Sí","No")</x:f>
        <x:v>No</x:v>
      </x:c>
      <x:c r="N4088" s="25" t="str">
        <x:f>IF(J4088&gt;=6,"Sí","No")</x:f>
        <x:v>No</x:v>
      </x:c>
      <x:c r="O4088" s="25" t="str">
        <x:v>Pendiente: asignar con R/sf</x:v>
      </x:c>
    </x:row>
    <x:row r="4089">
      <x:c r="A4089" s="25" t="n">
        <x:v>4088</x:v>
      </x:c>
      <x:c r="B4089" s="26" t="n">
        <x:v>43582.03550925926</x:v>
      </x:c>
      <x:c r="C4089" s="27" t="n">
        <x:f>INT(B4089)</x:f>
        <x:v>43582</x:v>
      </x:c>
      <x:c r="D4089" s="28" t="n">
        <x:f>MOD(B4089,1)</x:f>
        <x:v>0.035509259258105885</x:v>
      </x:c>
      <x:c r="E4089" s="29" t="n">
        <x:f>YEAR(B4089)</x:f>
        <x:v>2019</x:v>
      </x:c>
      <x:c r="F4089" s="29" t="n">
        <x:f>MONTH(B4089)</x:f>
        <x:v>4</x:v>
      </x:c>
      <x:c r="G4089" s="30" t="n">
        <x:v>-32.5</x:v>
      </x:c>
      <x:c r="H4089" s="30" t="n">
        <x:v>-71.7</x:v>
      </x:c>
      <x:c r="I4089" s="29" t="n">
        <x:v>30</x:v>
      </x:c>
      <x:c r="J4089" s="31" t="n">
        <x:v>4</x:v>
      </x:c>
      <x:c r="K4089" s="25" t="str">
        <x:f>IF(J4089&gt;=7,"Muy fuerte (&gt;=7)",IF(J4089&gt;=6,"Fuerte (6-6.9)",IF(J4089&gt;=5,"Moderado alto (5-5.9)",IF(J4089&gt;=4,"Moderado (4-4.9)","Menor a 4"))))</x:f>
        <x:v>Moderado (4-4.9)</x:v>
      </x:c>
      <x:c r="L4089" s="25" t="str">
        <x:f>IF(I4089&lt;70,"Superficial (&lt;70 km)",IF(I4089&lt;=300,"Intermedio (70-300 km)","Profundo (&gt;300 km)"))</x:f>
        <x:v>Superficial (&lt;70 km)</x:v>
      </x:c>
      <x:c r="M4089" s="25" t="str">
        <x:f>IF(J4089&gt;=5,"Sí","No")</x:f>
        <x:v>No</x:v>
      </x:c>
      <x:c r="N4089" s="25" t="str">
        <x:f>IF(J4089&gt;=6,"Sí","No")</x:f>
        <x:v>No</x:v>
      </x:c>
      <x:c r="O4089" s="25" t="str">
        <x:v>Pendiente: asignar con R/sf</x:v>
      </x:c>
    </x:row>
    <x:row r="4090">
      <x:c r="A4090" s="25" t="n">
        <x:v>4089</x:v>
      </x:c>
      <x:c r="B4090" s="26" t="n">
        <x:v>43859.81748842593</x:v>
      </x:c>
      <x:c r="C4090" s="27" t="n">
        <x:f>INT(B4090)</x:f>
        <x:v>43859</x:v>
      </x:c>
      <x:c r="D4090" s="28" t="n">
        <x:f>MOD(B4090,1)</x:f>
        <x:v>0.817488425927877</x:v>
      </x:c>
      <x:c r="E4090" s="29" t="n">
        <x:f>YEAR(B4090)</x:f>
        <x:v>2020</x:v>
      </x:c>
      <x:c r="F4090" s="29" t="n">
        <x:f>MONTH(B4090)</x:f>
        <x:v>1</x:v>
      </x:c>
      <x:c r="G4090" s="30" t="n">
        <x:v>-32.75</x:v>
      </x:c>
      <x:c r="H4090" s="30" t="n">
        <x:v>-71.72</x:v>
      </x:c>
      <x:c r="I4090" s="29" t="n">
        <x:v>30</x:v>
      </x:c>
      <x:c r="J4090" s="31" t="n">
        <x:v>3.3</x:v>
      </x:c>
      <x:c r="K4090" s="25" t="str">
        <x:f>IF(J4090&gt;=7,"Muy fuerte (&gt;=7)",IF(J4090&gt;=6,"Fuerte (6-6.9)",IF(J4090&gt;=5,"Moderado alto (5-5.9)",IF(J4090&gt;=4,"Moderado (4-4.9)","Menor a 4"))))</x:f>
        <x:v>Menor a 4</x:v>
      </x:c>
      <x:c r="L4090" s="25" t="str">
        <x:f>IF(I4090&lt;70,"Superficial (&lt;70 km)",IF(I4090&lt;=300,"Intermedio (70-300 km)","Profundo (&gt;300 km)"))</x:f>
        <x:v>Superficial (&lt;70 km)</x:v>
      </x:c>
      <x:c r="M4090" s="25" t="str">
        <x:f>IF(J4090&gt;=5,"Sí","No")</x:f>
        <x:v>No</x:v>
      </x:c>
      <x:c r="N4090" s="25" t="str">
        <x:f>IF(J4090&gt;=6,"Sí","No")</x:f>
        <x:v>No</x:v>
      </x:c>
      <x:c r="O4090" s="25" t="str">
        <x:v>Pendiente: asignar con R/sf</x:v>
      </x:c>
    </x:row>
    <x:row r="4091">
      <x:c r="A4091" s="25" t="n">
        <x:v>4090</x:v>
      </x:c>
      <x:c r="B4091" s="26" t="n">
        <x:v>44076.12810185185</x:v>
      </x:c>
      <x:c r="C4091" s="27" t="n">
        <x:f>INT(B4091)</x:f>
        <x:v>44076</x:v>
      </x:c>
      <x:c r="D4091" s="28" t="n">
        <x:f>MOD(B4091,1)</x:f>
        <x:v>0.12810185184935108</x:v>
      </x:c>
      <x:c r="E4091" s="29" t="n">
        <x:f>YEAR(B4091)</x:f>
        <x:v>2020</x:v>
      </x:c>
      <x:c r="F4091" s="29" t="n">
        <x:f>MONTH(B4091)</x:f>
        <x:v>9</x:v>
      </x:c>
      <x:c r="G4091" s="30" t="n">
        <x:v>-27.95</x:v>
      </x:c>
      <x:c r="H4091" s="30" t="n">
        <x:v>-71.43</x:v>
      </x:c>
      <x:c r="I4091" s="29" t="n">
        <x:v>26</x:v>
      </x:c>
      <x:c r="J4091" s="31" t="n">
        <x:v>4.7</x:v>
      </x:c>
      <x:c r="K4091" s="25" t="str">
        <x:f>IF(J4091&gt;=7,"Muy fuerte (&gt;=7)",IF(J4091&gt;=6,"Fuerte (6-6.9)",IF(J4091&gt;=5,"Moderado alto (5-5.9)",IF(J4091&gt;=4,"Moderado (4-4.9)","Menor a 4"))))</x:f>
        <x:v>Moderado (4-4.9)</x:v>
      </x:c>
      <x:c r="L4091" s="25" t="str">
        <x:f>IF(I4091&lt;70,"Superficial (&lt;70 km)",IF(I4091&lt;=300,"Intermedio (70-300 km)","Profundo (&gt;300 km)"))</x:f>
        <x:v>Superficial (&lt;70 km)</x:v>
      </x:c>
      <x:c r="M4091" s="25" t="str">
        <x:f>IF(J4091&gt;=5,"Sí","No")</x:f>
        <x:v>No</x:v>
      </x:c>
      <x:c r="N4091" s="25" t="str">
        <x:f>IF(J4091&gt;=6,"Sí","No")</x:f>
        <x:v>No</x:v>
      </x:c>
      <x:c r="O4091" s="25" t="str">
        <x:v>Pendiente: asignar con R/sf</x:v>
      </x:c>
    </x:row>
    <x:row r="4092">
      <x:c r="A4092" s="25" t="n">
        <x:v>4091</x:v>
      </x:c>
      <x:c r="B4092" s="26" t="n">
        <x:v>44076.40153935185</x:v>
      </x:c>
      <x:c r="C4092" s="27" t="n">
        <x:f>INT(B4092)</x:f>
        <x:v>44076</x:v>
      </x:c>
      <x:c r="D4092" s="28" t="n">
        <x:f>MOD(B4092,1)</x:f>
        <x:v>0.4015393518493511</x:v>
      </x:c>
      <x:c r="E4092" s="29" t="n">
        <x:f>YEAR(B4092)</x:f>
        <x:v>2020</x:v>
      </x:c>
      <x:c r="F4092" s="29" t="n">
        <x:f>MONTH(B4092)</x:f>
        <x:v>9</x:v>
      </x:c>
      <x:c r="G4092" s="30" t="n">
        <x:v>-28</x:v>
      </x:c>
      <x:c r="H4092" s="30" t="n">
        <x:v>-71.31</x:v>
      </x:c>
      <x:c r="I4092" s="29" t="n">
        <x:v>26</x:v>
      </x:c>
      <x:c r="J4092" s="31" t="n">
        <x:v>4.6</x:v>
      </x:c>
      <x:c r="K4092" s="25" t="str">
        <x:f>IF(J4092&gt;=7,"Muy fuerte (&gt;=7)",IF(J4092&gt;=6,"Fuerte (6-6.9)",IF(J4092&gt;=5,"Moderado alto (5-5.9)",IF(J4092&gt;=4,"Moderado (4-4.9)","Menor a 4"))))</x:f>
        <x:v>Moderado (4-4.9)</x:v>
      </x:c>
      <x:c r="L4092" s="25" t="str">
        <x:f>IF(I4092&lt;70,"Superficial (&lt;70 km)",IF(I4092&lt;=300,"Intermedio (70-300 km)","Profundo (&gt;300 km)"))</x:f>
        <x:v>Superficial (&lt;70 km)</x:v>
      </x:c>
      <x:c r="M4092" s="25" t="str">
        <x:f>IF(J4092&gt;=5,"Sí","No")</x:f>
        <x:v>No</x:v>
      </x:c>
      <x:c r="N4092" s="25" t="str">
        <x:f>IF(J4092&gt;=6,"Sí","No")</x:f>
        <x:v>No</x:v>
      </x:c>
      <x:c r="O4092" s="25" t="str">
        <x:v>Pendiente: asignar con R/sf</x:v>
      </x:c>
    </x:row>
    <x:row r="4093">
      <x:c r="A4093" s="25" t="n">
        <x:v>4092</x:v>
      </x:c>
      <x:c r="B4093" s="26" t="n">
        <x:v>43729.36059027778</x:v>
      </x:c>
      <x:c r="C4093" s="27" t="n">
        <x:f>INT(B4093)</x:f>
        <x:v>43729</x:v>
      </x:c>
      <x:c r="D4093" s="28" t="n">
        <x:f>MOD(B4093,1)</x:f>
        <x:v>0.36059027777810115</x:v>
      </x:c>
      <x:c r="E4093" s="29" t="n">
        <x:f>YEAR(B4093)</x:f>
        <x:v>2019</x:v>
      </x:c>
      <x:c r="F4093" s="29" t="n">
        <x:f>MONTH(B4093)</x:f>
        <x:v>9</x:v>
      </x:c>
      <x:c r="G4093" s="30" t="n">
        <x:v>-32.77</x:v>
      </x:c>
      <x:c r="H4093" s="30" t="n">
        <x:v>-71.78</x:v>
      </x:c>
      <x:c r="I4093" s="29" t="n">
        <x:v>31</x:v>
      </x:c>
      <x:c r="J4093" s="31" t="n">
        <x:v>3.2</x:v>
      </x:c>
      <x:c r="K4093" s="25" t="str">
        <x:f>IF(J4093&gt;=7,"Muy fuerte (&gt;=7)",IF(J4093&gt;=6,"Fuerte (6-6.9)",IF(J4093&gt;=5,"Moderado alto (5-5.9)",IF(J4093&gt;=4,"Moderado (4-4.9)","Menor a 4"))))</x:f>
        <x:v>Menor a 4</x:v>
      </x:c>
      <x:c r="L4093" s="25" t="str">
        <x:f>IF(I4093&lt;70,"Superficial (&lt;70 km)",IF(I4093&lt;=300,"Intermedio (70-300 km)","Profundo (&gt;300 km)"))</x:f>
        <x:v>Superficial (&lt;70 km)</x:v>
      </x:c>
      <x:c r="M4093" s="25" t="str">
        <x:f>IF(J4093&gt;=5,"Sí","No")</x:f>
        <x:v>No</x:v>
      </x:c>
      <x:c r="N4093" s="25" t="str">
        <x:f>IF(J4093&gt;=6,"Sí","No")</x:f>
        <x:v>No</x:v>
      </x:c>
      <x:c r="O4093" s="25" t="str">
        <x:v>Pendiente: asignar con R/sf</x:v>
      </x:c>
    </x:row>
    <x:row r="4094">
      <x:c r="A4094" s="25" t="n">
        <x:v>4093</x:v>
      </x:c>
      <x:c r="B4094" s="26" t="n">
        <x:v>44075.71761574074</x:v>
      </x:c>
      <x:c r="C4094" s="27" t="n">
        <x:f>INT(B4094)</x:f>
        <x:v>44075</x:v>
      </x:c>
      <x:c r="D4094" s="28" t="n">
        <x:f>MOD(B4094,1)</x:f>
        <x:v>0.7176157407375285</x:v>
      </x:c>
      <x:c r="E4094" s="29" t="n">
        <x:f>YEAR(B4094)</x:f>
        <x:v>2020</x:v>
      </x:c>
      <x:c r="F4094" s="29" t="n">
        <x:f>MONTH(B4094)</x:f>
        <x:v>9</x:v>
      </x:c>
      <x:c r="G4094" s="30" t="n">
        <x:v>-27.96</x:v>
      </x:c>
      <x:c r="H4094" s="30" t="n">
        <x:v>-71.34</x:v>
      </x:c>
      <x:c r="I4094" s="29" t="n">
        <x:v>31</x:v>
      </x:c>
      <x:c r="J4094" s="31" t="n">
        <x:v>4.8</x:v>
      </x:c>
      <x:c r="K4094" s="25" t="str">
        <x:f>IF(J4094&gt;=7,"Muy fuerte (&gt;=7)",IF(J4094&gt;=6,"Fuerte (6-6.9)",IF(J4094&gt;=5,"Moderado alto (5-5.9)",IF(J4094&gt;=4,"Moderado (4-4.9)","Menor a 4"))))</x:f>
        <x:v>Moderado (4-4.9)</x:v>
      </x:c>
      <x:c r="L4094" s="25" t="str">
        <x:f>IF(I4094&lt;70,"Superficial (&lt;70 km)",IF(I4094&lt;=300,"Intermedio (70-300 km)","Profundo (&gt;300 km)"))</x:f>
        <x:v>Superficial (&lt;70 km)</x:v>
      </x:c>
      <x:c r="M4094" s="25" t="str">
        <x:f>IF(J4094&gt;=5,"Sí","No")</x:f>
        <x:v>No</x:v>
      </x:c>
      <x:c r="N4094" s="25" t="str">
        <x:f>IF(J4094&gt;=6,"Sí","No")</x:f>
        <x:v>No</x:v>
      </x:c>
      <x:c r="O4094" s="25" t="str">
        <x:v>Pendiente: asignar con R/sf</x:v>
      </x:c>
    </x:row>
    <x:row r="4095">
      <x:c r="A4095" s="25" t="n">
        <x:v>4094</x:v>
      </x:c>
      <x:c r="B4095" s="26" t="n">
        <x:v>43972.9383912037</x:v>
      </x:c>
      <x:c r="C4095" s="27" t="n">
        <x:f>INT(B4095)</x:f>
        <x:v>43972</x:v>
      </x:c>
      <x:c r="D4095" s="28" t="n">
        <x:f>MOD(B4095,1)</x:f>
        <x:v>0.9383912037010305</x:v>
      </x:c>
      <x:c r="E4095" s="29" t="n">
        <x:f>YEAR(B4095)</x:f>
        <x:v>2020</x:v>
      </x:c>
      <x:c r="F4095" s="29" t="n">
        <x:f>MONTH(B4095)</x:f>
        <x:v>5</x:v>
      </x:c>
      <x:c r="G4095" s="30" t="n">
        <x:v>-33.55</x:v>
      </x:c>
      <x:c r="H4095" s="30" t="n">
        <x:v>-70.75</x:v>
      </x:c>
      <x:c r="I4095" s="29" t="n">
        <x:v>89</x:v>
      </x:c>
      <x:c r="J4095" s="31" t="n">
        <x:v>4.8</x:v>
      </x:c>
      <x:c r="K4095" s="25" t="str">
        <x:f>IF(J4095&gt;=7,"Muy fuerte (&gt;=7)",IF(J4095&gt;=6,"Fuerte (6-6.9)",IF(J4095&gt;=5,"Moderado alto (5-5.9)",IF(J4095&gt;=4,"Moderado (4-4.9)","Menor a 4"))))</x:f>
        <x:v>Moderado (4-4.9)</x:v>
      </x:c>
      <x:c r="L4095" s="25" t="str">
        <x:f>IF(I4095&lt;70,"Superficial (&lt;70 km)",IF(I4095&lt;=300,"Intermedio (70-300 km)","Profundo (&gt;300 km)"))</x:f>
        <x:v>Intermedio (70-300 km)</x:v>
      </x:c>
      <x:c r="M4095" s="25" t="str">
        <x:f>IF(J4095&gt;=5,"Sí","No")</x:f>
        <x:v>No</x:v>
      </x:c>
      <x:c r="N4095" s="25" t="str">
        <x:f>IF(J4095&gt;=6,"Sí","No")</x:f>
        <x:v>No</x:v>
      </x:c>
      <x:c r="O4095" s="25" t="str">
        <x:v>Pendiente: asignar con R/sf</x:v>
      </x:c>
    </x:row>
    <x:row r="4096">
      <x:c r="A4096" s="25" t="n">
        <x:v>4095</x:v>
      </x:c>
      <x:c r="B4096" s="26" t="n">
        <x:v>43708.07765046296</x:v>
      </x:c>
      <x:c r="C4096" s="27" t="n">
        <x:f>INT(B4096)</x:f>
        <x:v>43708</x:v>
      </x:c>
      <x:c r="D4096" s="28" t="n">
        <x:f>MOD(B4096,1)</x:f>
        <x:v>0.07765046296117362</x:v>
      </x:c>
      <x:c r="E4096" s="29" t="n">
        <x:f>YEAR(B4096)</x:f>
        <x:v>2019</x:v>
      </x:c>
      <x:c r="F4096" s="29" t="n">
        <x:f>MONTH(B4096)</x:f>
        <x:v>8</x:v>
      </x:c>
      <x:c r="G4096" s="30" t="n">
        <x:v>-32.67</x:v>
      </x:c>
      <x:c r="H4096" s="30" t="n">
        <x:v>-71.75</x:v>
      </x:c>
      <x:c r="I4096" s="29" t="n">
        <x:v>29</x:v>
      </x:c>
      <x:c r="J4096" s="31" t="n">
        <x:v>3.7</x:v>
      </x:c>
      <x:c r="K4096" s="25" t="str">
        <x:f>IF(J4096&gt;=7,"Muy fuerte (&gt;=7)",IF(J4096&gt;=6,"Fuerte (6-6.9)",IF(J4096&gt;=5,"Moderado alto (5-5.9)",IF(J4096&gt;=4,"Moderado (4-4.9)","Menor a 4"))))</x:f>
        <x:v>Menor a 4</x:v>
      </x:c>
      <x:c r="L4096" s="25" t="str">
        <x:f>IF(I4096&lt;70,"Superficial (&lt;70 km)",IF(I4096&lt;=300,"Intermedio (70-300 km)","Profundo (&gt;300 km)"))</x:f>
        <x:v>Superficial (&lt;70 km)</x:v>
      </x:c>
      <x:c r="M4096" s="25" t="str">
        <x:f>IF(J4096&gt;=5,"Sí","No")</x:f>
        <x:v>No</x:v>
      </x:c>
      <x:c r="N4096" s="25" t="str">
        <x:f>IF(J4096&gt;=6,"Sí","No")</x:f>
        <x:v>No</x:v>
      </x:c>
      <x:c r="O4096" s="25" t="str">
        <x:v>Pendiente: asignar con R/sf</x:v>
      </x:c>
    </x:row>
    <x:row r="4097">
      <x:c r="A4097" s="25" t="n">
        <x:v>4096</x:v>
      </x:c>
      <x:c r="B4097" s="26" t="n">
        <x:v>43811.154814814814</x:v>
      </x:c>
      <x:c r="C4097" s="27" t="n">
        <x:f>INT(B4097)</x:f>
        <x:v>43811</x:v>
      </x:c>
      <x:c r="D4097" s="28" t="n">
        <x:f>MOD(B4097,1)</x:f>
        <x:v>0.15481481481401715</x:v>
      </x:c>
      <x:c r="E4097" s="29" t="n">
        <x:f>YEAR(B4097)</x:f>
        <x:v>2019</x:v>
      </x:c>
      <x:c r="F4097" s="29" t="n">
        <x:f>MONTH(B4097)</x:f>
        <x:v>12</x:v>
      </x:c>
      <x:c r="G4097" s="30" t="n">
        <x:v>-32.63</x:v>
      </x:c>
      <x:c r="H4097" s="30" t="n">
        <x:v>-71.62</x:v>
      </x:c>
      <x:c r="I4097" s="29" t="n">
        <x:v>37</x:v>
      </x:c>
      <x:c r="J4097" s="31" t="n">
        <x:v>3.7</x:v>
      </x:c>
      <x:c r="K4097" s="25" t="str">
        <x:f>IF(J4097&gt;=7,"Muy fuerte (&gt;=7)",IF(J4097&gt;=6,"Fuerte (6-6.9)",IF(J4097&gt;=5,"Moderado alto (5-5.9)",IF(J4097&gt;=4,"Moderado (4-4.9)","Menor a 4"))))</x:f>
        <x:v>Menor a 4</x:v>
      </x:c>
      <x:c r="L4097" s="25" t="str">
        <x:f>IF(I4097&lt;70,"Superficial (&lt;70 km)",IF(I4097&lt;=300,"Intermedio (70-300 km)","Profundo (&gt;300 km)"))</x:f>
        <x:v>Superficial (&lt;70 km)</x:v>
      </x:c>
      <x:c r="M4097" s="25" t="str">
        <x:f>IF(J4097&gt;=5,"Sí","No")</x:f>
        <x:v>No</x:v>
      </x:c>
      <x:c r="N4097" s="25" t="str">
        <x:f>IF(J4097&gt;=6,"Sí","No")</x:f>
        <x:v>No</x:v>
      </x:c>
      <x:c r="O4097" s="25" t="str">
        <x:v>Pendiente: asignar con R/sf</x:v>
      </x:c>
    </x:row>
    <x:row r="4098">
      <x:c r="A4098" s="25" t="n">
        <x:v>4097</x:v>
      </x:c>
      <x:c r="B4098" s="26" t="n">
        <x:v>43709.730104166665</x:v>
      </x:c>
      <x:c r="C4098" s="27" t="n">
        <x:f>INT(B4098)</x:f>
        <x:v>43709</x:v>
      </x:c>
      <x:c r="D4098" s="28" t="n">
        <x:f>MOD(B4098,1)</x:f>
        <x:v>0.7301041666651145</x:v>
      </x:c>
      <x:c r="E4098" s="29" t="n">
        <x:f>YEAR(B4098)</x:f>
        <x:v>2019</x:v>
      </x:c>
      <x:c r="F4098" s="29" t="n">
        <x:f>MONTH(B4098)</x:f>
        <x:v>9</x:v>
      </x:c>
      <x:c r="G4098" s="30" t="n">
        <x:v>-32.65</x:v>
      </x:c>
      <x:c r="H4098" s="30" t="n">
        <x:v>-71.81</x:v>
      </x:c>
      <x:c r="I4098" s="29" t="n">
        <x:v>24</x:v>
      </x:c>
      <x:c r="J4098" s="31" t="n">
        <x:v>3.8</x:v>
      </x:c>
      <x:c r="K4098" s="25" t="str">
        <x:f>IF(J4098&gt;=7,"Muy fuerte (&gt;=7)",IF(J4098&gt;=6,"Fuerte (6-6.9)",IF(J4098&gt;=5,"Moderado alto (5-5.9)",IF(J4098&gt;=4,"Moderado (4-4.9)","Menor a 4"))))</x:f>
        <x:v>Menor a 4</x:v>
      </x:c>
      <x:c r="L4098" s="25" t="str">
        <x:f>IF(I4098&lt;70,"Superficial (&lt;70 km)",IF(I4098&lt;=300,"Intermedio (70-300 km)","Profundo (&gt;300 km)"))</x:f>
        <x:v>Superficial (&lt;70 km)</x:v>
      </x:c>
      <x:c r="M4098" s="25" t="str">
        <x:f>IF(J4098&gt;=5,"Sí","No")</x:f>
        <x:v>No</x:v>
      </x:c>
      <x:c r="N4098" s="25" t="str">
        <x:f>IF(J4098&gt;=6,"Sí","No")</x:f>
        <x:v>No</x:v>
      </x:c>
      <x:c r="O4098" s="25" t="str">
        <x:v>Pendiente: asignar con R/sf</x:v>
      </x:c>
    </x:row>
    <x:row r="4099">
      <x:c r="A4099" s="25" t="n">
        <x:v>4098</x:v>
      </x:c>
      <x:c r="B4099" s="26" t="n">
        <x:v>43547.56863425926</x:v>
      </x:c>
      <x:c r="C4099" s="27" t="n">
        <x:f>INT(B4099)</x:f>
        <x:v>43547</x:v>
      </x:c>
      <x:c r="D4099" s="28" t="n">
        <x:f>MOD(B4099,1)</x:f>
        <x:v>0.5686342592598521</x:v>
      </x:c>
      <x:c r="E4099" s="29" t="n">
        <x:f>YEAR(B4099)</x:f>
        <x:v>2019</x:v>
      </x:c>
      <x:c r="F4099" s="29" t="n">
        <x:f>MONTH(B4099)</x:f>
        <x:v>3</x:v>
      </x:c>
      <x:c r="G4099" s="30" t="n">
        <x:v>-32.77</x:v>
      </x:c>
      <x:c r="H4099" s="30" t="n">
        <x:v>-71.77</x:v>
      </x:c>
      <x:c r="I4099" s="29" t="n">
        <x:v>20</x:v>
      </x:c>
      <x:c r="J4099" s="31" t="n">
        <x:v>3.2</x:v>
      </x:c>
      <x:c r="K4099" s="25" t="str">
        <x:f>IF(J4099&gt;=7,"Muy fuerte (&gt;=7)",IF(J4099&gt;=6,"Fuerte (6-6.9)",IF(J4099&gt;=5,"Moderado alto (5-5.9)",IF(J4099&gt;=4,"Moderado (4-4.9)","Menor a 4"))))</x:f>
        <x:v>Menor a 4</x:v>
      </x:c>
      <x:c r="L4099" s="25" t="str">
        <x:f>IF(I4099&lt;70,"Superficial (&lt;70 km)",IF(I4099&lt;=300,"Intermedio (70-300 km)","Profundo (&gt;300 km)"))</x:f>
        <x:v>Superficial (&lt;70 km)</x:v>
      </x:c>
      <x:c r="M4099" s="25" t="str">
        <x:f>IF(J4099&gt;=5,"Sí","No")</x:f>
        <x:v>No</x:v>
      </x:c>
      <x:c r="N4099" s="25" t="str">
        <x:f>IF(J4099&gt;=6,"Sí","No")</x:f>
        <x:v>No</x:v>
      </x:c>
      <x:c r="O4099" s="25" t="str">
        <x:v>Pendiente: asignar con R/sf</x:v>
      </x:c>
    </x:row>
    <x:row r="4100">
      <x:c r="A4100" s="25" t="n">
        <x:v>4099</x:v>
      </x:c>
      <x:c r="B4100" s="26" t="n">
        <x:v>44075.192083333335</x:v>
      </x:c>
      <x:c r="C4100" s="27" t="n">
        <x:f>INT(B4100)</x:f>
        <x:v>44075</x:v>
      </x:c>
      <x:c r="D4100" s="28" t="n">
        <x:f>MOD(B4100,1)</x:f>
        <x:v>0.19208333333517658</x:v>
      </x:c>
      <x:c r="E4100" s="29" t="n">
        <x:f>YEAR(B4100)</x:f>
        <x:v>2020</x:v>
      </x:c>
      <x:c r="F4100" s="29" t="n">
        <x:f>MONTH(B4100)</x:f>
        <x:v>9</x:v>
      </x:c>
      <x:c r="G4100" s="30" t="n">
        <x:v>-27.98</x:v>
      </x:c>
      <x:c r="H4100" s="30" t="n">
        <x:v>-71.08</x:v>
      </x:c>
      <x:c r="I4100" s="29" t="n">
        <x:v>20</x:v>
      </x:c>
      <x:c r="J4100" s="31" t="n">
        <x:v>4.8</x:v>
      </x:c>
      <x:c r="K4100" s="25" t="str">
        <x:f>IF(J4100&gt;=7,"Muy fuerte (&gt;=7)",IF(J4100&gt;=6,"Fuerte (6-6.9)",IF(J4100&gt;=5,"Moderado alto (5-5.9)",IF(J4100&gt;=4,"Moderado (4-4.9)","Menor a 4"))))</x:f>
        <x:v>Moderado (4-4.9)</x:v>
      </x:c>
      <x:c r="L4100" s="25" t="str">
        <x:f>IF(I4100&lt;70,"Superficial (&lt;70 km)",IF(I4100&lt;=300,"Intermedio (70-300 km)","Profundo (&gt;300 km)"))</x:f>
        <x:v>Superficial (&lt;70 km)</x:v>
      </x:c>
      <x:c r="M4100" s="25" t="str">
        <x:f>IF(J4100&gt;=5,"Sí","No")</x:f>
        <x:v>No</x:v>
      </x:c>
      <x:c r="N4100" s="25" t="str">
        <x:f>IF(J4100&gt;=6,"Sí","No")</x:f>
        <x:v>No</x:v>
      </x:c>
      <x:c r="O4100" s="25" t="str">
        <x:v>Pendiente: asignar con R/sf</x:v>
      </x:c>
    </x:row>
    <x:row r="4101">
      <x:c r="A4101" s="25" t="n">
        <x:v>4100</x:v>
      </x:c>
      <x:c r="B4101" s="26" t="n">
        <x:v>44076.676828703705</x:v>
      </x:c>
      <x:c r="C4101" s="27" t="n">
        <x:f>INT(B4101)</x:f>
        <x:v>44076</x:v>
      </x:c>
      <x:c r="D4101" s="28" t="n">
        <x:f>MOD(B4101,1)</x:f>
        <x:v>0.676828703704814</x:v>
      </x:c>
      <x:c r="E4101" s="29" t="n">
        <x:f>YEAR(B4101)</x:f>
        <x:v>2020</x:v>
      </x:c>
      <x:c r="F4101" s="29" t="n">
        <x:f>MONTH(B4101)</x:f>
        <x:v>9</x:v>
      </x:c>
      <x:c r="G4101" s="30" t="n">
        <x:v>-30.32</x:v>
      </x:c>
      <x:c r="H4101" s="30" t="n">
        <x:v>-71.39</x:v>
      </x:c>
      <x:c r="I4101" s="29" t="n">
        <x:v>50</x:v>
      </x:c>
      <x:c r="J4101" s="31" t="n">
        <x:v>3.7</x:v>
      </x:c>
      <x:c r="K4101" s="25" t="str">
        <x:f>IF(J4101&gt;=7,"Muy fuerte (&gt;=7)",IF(J4101&gt;=6,"Fuerte (6-6.9)",IF(J4101&gt;=5,"Moderado alto (5-5.9)",IF(J4101&gt;=4,"Moderado (4-4.9)","Menor a 4"))))</x:f>
        <x:v>Menor a 4</x:v>
      </x:c>
      <x:c r="L4101" s="25" t="str">
        <x:f>IF(I4101&lt;70,"Superficial (&lt;70 km)",IF(I4101&lt;=300,"Intermedio (70-300 km)","Profundo (&gt;300 km)"))</x:f>
        <x:v>Superficial (&lt;70 km)</x:v>
      </x:c>
      <x:c r="M4101" s="25" t="str">
        <x:f>IF(J4101&gt;=5,"Sí","No")</x:f>
        <x:v>No</x:v>
      </x:c>
      <x:c r="N4101" s="25" t="str">
        <x:f>IF(J4101&gt;=6,"Sí","No")</x:f>
        <x:v>No</x:v>
      </x:c>
      <x:c r="O4101" s="25" t="str">
        <x:v>Pendiente: asignar con R/sf</x:v>
      </x:c>
    </x:row>
    <x:row r="4102">
      <x:c r="A4102" s="25" t="n">
        <x:v>4101</x:v>
      </x:c>
      <x:c r="B4102" s="26" t="n">
        <x:v>44077.14163194445</x:v>
      </x:c>
      <x:c r="C4102" s="27" t="n">
        <x:f>INT(B4102)</x:f>
        <x:v>44077</x:v>
      </x:c>
      <x:c r="D4102" s="28" t="n">
        <x:f>MOD(B4102,1)</x:f>
        <x:v>0.14163194444699911</x:v>
      </x:c>
      <x:c r="E4102" s="29" t="n">
        <x:f>YEAR(B4102)</x:f>
        <x:v>2020</x:v>
      </x:c>
      <x:c r="F4102" s="29" t="n">
        <x:f>MONTH(B4102)</x:f>
        <x:v>9</x:v>
      </x:c>
      <x:c r="G4102" s="30" t="n">
        <x:v>-28.01</x:v>
      </x:c>
      <x:c r="H4102" s="30" t="n">
        <x:v>-71.44</x:v>
      </x:c>
      <x:c r="I4102" s="29" t="n">
        <x:v>27</x:v>
      </x:c>
      <x:c r="J4102" s="31" t="n">
        <x:v>4.7</x:v>
      </x:c>
      <x:c r="K4102" s="25" t="str">
        <x:f>IF(J4102&gt;=7,"Muy fuerte (&gt;=7)",IF(J4102&gt;=6,"Fuerte (6-6.9)",IF(J4102&gt;=5,"Moderado alto (5-5.9)",IF(J4102&gt;=4,"Moderado (4-4.9)","Menor a 4"))))</x:f>
        <x:v>Moderado (4-4.9)</x:v>
      </x:c>
      <x:c r="L4102" s="25" t="str">
        <x:f>IF(I4102&lt;70,"Superficial (&lt;70 km)",IF(I4102&lt;=300,"Intermedio (70-300 km)","Profundo (&gt;300 km)"))</x:f>
        <x:v>Superficial (&lt;70 km)</x:v>
      </x:c>
      <x:c r="M4102" s="25" t="str">
        <x:f>IF(J4102&gt;=5,"Sí","No")</x:f>
        <x:v>No</x:v>
      </x:c>
      <x:c r="N4102" s="25" t="str">
        <x:f>IF(J4102&gt;=6,"Sí","No")</x:f>
        <x:v>No</x:v>
      </x:c>
      <x:c r="O4102" s="25" t="str">
        <x:v>Pendiente: asignar con R/sf</x:v>
      </x:c>
    </x:row>
    <x:row r="4103">
      <x:c r="A4103" s="25" t="n">
        <x:v>4102</x:v>
      </x:c>
      <x:c r="B4103" s="26" t="n">
        <x:v>44038.71028935185</x:v>
      </x:c>
      <x:c r="C4103" s="27" t="n">
        <x:f>INT(B4103)</x:f>
        <x:v>44038</x:v>
      </x:c>
      <x:c r="D4103" s="28" t="n">
        <x:f>MOD(B4103,1)</x:f>
        <x:v>0.7102893518531346</x:v>
      </x:c>
      <x:c r="E4103" s="29" t="n">
        <x:f>YEAR(B4103)</x:f>
        <x:v>2020</x:v>
      </x:c>
      <x:c r="F4103" s="29" t="n">
        <x:f>MONTH(B4103)</x:f>
        <x:v>7</x:v>
      </x:c>
      <x:c r="G4103" s="30" t="n">
        <x:v>-32.15</x:v>
      </x:c>
      <x:c r="H4103" s="30" t="n">
        <x:v>-71.92</x:v>
      </x:c>
      <x:c r="I4103" s="29" t="n">
        <x:v>32</x:v>
      </x:c>
      <x:c r="J4103" s="31" t="n">
        <x:v>4.7</x:v>
      </x:c>
      <x:c r="K4103" s="25" t="str">
        <x:f>IF(J4103&gt;=7,"Muy fuerte (&gt;=7)",IF(J4103&gt;=6,"Fuerte (6-6.9)",IF(J4103&gt;=5,"Moderado alto (5-5.9)",IF(J4103&gt;=4,"Moderado (4-4.9)","Menor a 4"))))</x:f>
        <x:v>Moderado (4-4.9)</x:v>
      </x:c>
      <x:c r="L4103" s="25" t="str">
        <x:f>IF(I4103&lt;70,"Superficial (&lt;70 km)",IF(I4103&lt;=300,"Intermedio (70-300 km)","Profundo (&gt;300 km)"))</x:f>
        <x:v>Superficial (&lt;70 km)</x:v>
      </x:c>
      <x:c r="M4103" s="25" t="str">
        <x:f>IF(J4103&gt;=5,"Sí","No")</x:f>
        <x:v>No</x:v>
      </x:c>
      <x:c r="N4103" s="25" t="str">
        <x:f>IF(J4103&gt;=6,"Sí","No")</x:f>
        <x:v>No</x:v>
      </x:c>
      <x:c r="O4103" s="25" t="str">
        <x:v>Pendiente: asignar con R/sf</x:v>
      </x:c>
    </x:row>
    <x:row r="4104">
      <x:c r="A4104" s="25" t="n">
        <x:v>4103</x:v>
      </x:c>
      <x:c r="B4104" s="26" t="n">
        <x:v>43918.137974537036</x:v>
      </x:c>
      <x:c r="C4104" s="27" t="n">
        <x:f>INT(B4104)</x:f>
        <x:v>43918</x:v>
      </x:c>
      <x:c r="D4104" s="28" t="n">
        <x:f>MOD(B4104,1)</x:f>
        <x:v>0.137974537035916</x:v>
      </x:c>
      <x:c r="E4104" s="29" t="n">
        <x:f>YEAR(B4104)</x:f>
        <x:v>2020</x:v>
      </x:c>
      <x:c r="F4104" s="29" t="n">
        <x:f>MONTH(B4104)</x:f>
        <x:v>3</x:v>
      </x:c>
      <x:c r="G4104" s="30" t="n">
        <x:v>-32.45</x:v>
      </x:c>
      <x:c r="H4104" s="30" t="n">
        <x:v>-71.75</x:v>
      </x:c>
      <x:c r="I4104" s="29" t="n">
        <x:v>36</x:v>
      </x:c>
      <x:c r="J4104" s="31" t="n">
        <x:v>4.4</x:v>
      </x:c>
      <x:c r="K4104" s="25" t="str">
        <x:f>IF(J4104&gt;=7,"Muy fuerte (&gt;=7)",IF(J4104&gt;=6,"Fuerte (6-6.9)",IF(J4104&gt;=5,"Moderado alto (5-5.9)",IF(J4104&gt;=4,"Moderado (4-4.9)","Menor a 4"))))</x:f>
        <x:v>Moderado (4-4.9)</x:v>
      </x:c>
      <x:c r="L4104" s="25" t="str">
        <x:f>IF(I4104&lt;70,"Superficial (&lt;70 km)",IF(I4104&lt;=300,"Intermedio (70-300 km)","Profundo (&gt;300 km)"))</x:f>
        <x:v>Superficial (&lt;70 km)</x:v>
      </x:c>
      <x:c r="M4104" s="25" t="str">
        <x:f>IF(J4104&gt;=5,"Sí","No")</x:f>
        <x:v>No</x:v>
      </x:c>
      <x:c r="N4104" s="25" t="str">
        <x:f>IF(J4104&gt;=6,"Sí","No")</x:f>
        <x:v>No</x:v>
      </x:c>
      <x:c r="O4104" s="25" t="str">
        <x:v>Pendiente: asignar con R/sf</x:v>
      </x:c>
    </x:row>
    <x:row r="4105">
      <x:c r="A4105" s="25" t="n">
        <x:v>4104</x:v>
      </x:c>
      <x:c r="B4105" s="26" t="n">
        <x:v>44076.56826388889</x:v>
      </x:c>
      <x:c r="C4105" s="27" t="n">
        <x:f>INT(B4105)</x:f>
        <x:v>44076</x:v>
      </x:c>
      <x:c r="D4105" s="28" t="n">
        <x:f>MOD(B4105,1)</x:f>
        <x:v>0.5682638888902147</x:v>
      </x:c>
      <x:c r="E4105" s="29" t="n">
        <x:f>YEAR(B4105)</x:f>
        <x:v>2020</x:v>
      </x:c>
      <x:c r="F4105" s="29" t="n">
        <x:f>MONTH(B4105)</x:f>
        <x:v>9</x:v>
      </x:c>
      <x:c r="G4105" s="30" t="n">
        <x:v>-28.06</x:v>
      </x:c>
      <x:c r="H4105" s="30" t="n">
        <x:v>-71.05</x:v>
      </x:c>
      <x:c r="I4105" s="29" t="n">
        <x:v>35</x:v>
      </x:c>
      <x:c r="J4105" s="31" t="n">
        <x:v>4.1</x:v>
      </x:c>
      <x:c r="K4105" s="25" t="str">
        <x:f>IF(J4105&gt;=7,"Muy fuerte (&gt;=7)",IF(J4105&gt;=6,"Fuerte (6-6.9)",IF(J4105&gt;=5,"Moderado alto (5-5.9)",IF(J4105&gt;=4,"Moderado (4-4.9)","Menor a 4"))))</x:f>
        <x:v>Moderado (4-4.9)</x:v>
      </x:c>
      <x:c r="L4105" s="25" t="str">
        <x:f>IF(I4105&lt;70,"Superficial (&lt;70 km)",IF(I4105&lt;=300,"Intermedio (70-300 km)","Profundo (&gt;300 km)"))</x:f>
        <x:v>Superficial (&lt;70 km)</x:v>
      </x:c>
      <x:c r="M4105" s="25" t="str">
        <x:f>IF(J4105&gt;=5,"Sí","No")</x:f>
        <x:v>No</x:v>
      </x:c>
      <x:c r="N4105" s="25" t="str">
        <x:f>IF(J4105&gt;=6,"Sí","No")</x:f>
        <x:v>No</x:v>
      </x:c>
      <x:c r="O4105" s="25" t="str">
        <x:v>Pendiente: asignar con R/sf</x:v>
      </x:c>
    </x:row>
    <x:row r="4106">
      <x:c r="A4106" s="25" t="n">
        <x:v>4105</x:v>
      </x:c>
      <x:c r="B4106" s="26" t="n">
        <x:v>43743.79027777778</x:v>
      </x:c>
      <x:c r="C4106" s="27" t="n">
        <x:f>INT(B4106)</x:f>
        <x:v>43743</x:v>
      </x:c>
      <x:c r="D4106" s="28" t="n">
        <x:f>MOD(B4106,1)</x:f>
        <x:v>0.7902777777781012</x:v>
      </x:c>
      <x:c r="E4106" s="29" t="n">
        <x:f>YEAR(B4106)</x:f>
        <x:v>2019</x:v>
      </x:c>
      <x:c r="F4106" s="29" t="n">
        <x:f>MONTH(B4106)</x:f>
        <x:v>10</x:v>
      </x:c>
      <x:c r="G4106" s="30" t="n">
        <x:v>-32.58</x:v>
      </x:c>
      <x:c r="H4106" s="30" t="n">
        <x:v>-71.53</x:v>
      </x:c>
      <x:c r="I4106" s="29" t="n">
        <x:v>53</x:v>
      </x:c>
      <x:c r="J4106" s="31" t="n">
        <x:v>4.3</x:v>
      </x:c>
      <x:c r="K4106" s="25" t="str">
        <x:f>IF(J4106&gt;=7,"Muy fuerte (&gt;=7)",IF(J4106&gt;=6,"Fuerte (6-6.9)",IF(J4106&gt;=5,"Moderado alto (5-5.9)",IF(J4106&gt;=4,"Moderado (4-4.9)","Menor a 4"))))</x:f>
        <x:v>Moderado (4-4.9)</x:v>
      </x:c>
      <x:c r="L4106" s="25" t="str">
        <x:f>IF(I4106&lt;70,"Superficial (&lt;70 km)",IF(I4106&lt;=300,"Intermedio (70-300 km)","Profundo (&gt;300 km)"))</x:f>
        <x:v>Superficial (&lt;70 km)</x:v>
      </x:c>
      <x:c r="M4106" s="25" t="str">
        <x:f>IF(J4106&gt;=5,"Sí","No")</x:f>
        <x:v>No</x:v>
      </x:c>
      <x:c r="N4106" s="25" t="str">
        <x:f>IF(J4106&gt;=6,"Sí","No")</x:f>
        <x:v>No</x:v>
      </x:c>
      <x:c r="O4106" s="25" t="str">
        <x:v>Pendiente: asignar con R/sf</x:v>
      </x:c>
    </x:row>
    <x:row r="4107">
      <x:c r="A4107" s="25" t="n">
        <x:v>4106</x:v>
      </x:c>
      <x:c r="B4107" s="26" t="n">
        <x:v>44080.053449074076</x:v>
      </x:c>
      <x:c r="C4107" s="27" t="n">
        <x:f>INT(B4107)</x:f>
        <x:v>44080</x:v>
      </x:c>
      <x:c r="D4107" s="28" t="n">
        <x:f>MOD(B4107,1)</x:f>
        <x:v>0.0534490740756155</x:v>
      </x:c>
      <x:c r="E4107" s="29" t="n">
        <x:f>YEAR(B4107)</x:f>
        <x:v>2020</x:v>
      </x:c>
      <x:c r="F4107" s="29" t="n">
        <x:f>MONTH(B4107)</x:f>
        <x:v>9</x:v>
      </x:c>
      <x:c r="G4107" s="30" t="n">
        <x:v>-30.35</x:v>
      </x:c>
      <x:c r="H4107" s="30" t="n">
        <x:v>-71.54</x:v>
      </x:c>
      <x:c r="I4107" s="29" t="n">
        <x:v>30</x:v>
      </x:c>
      <x:c r="J4107" s="31" t="n">
        <x:v>6.3</x:v>
      </x:c>
      <x:c r="K4107" s="25" t="str">
        <x:f>IF(J4107&gt;=7,"Muy fuerte (&gt;=7)",IF(J4107&gt;=6,"Fuerte (6-6.9)",IF(J4107&gt;=5,"Moderado alto (5-5.9)",IF(J4107&gt;=4,"Moderado (4-4.9)","Menor a 4"))))</x:f>
        <x:v>Fuerte (6-6.9)</x:v>
      </x:c>
      <x:c r="L4107" s="25" t="str">
        <x:f>IF(I4107&lt;70,"Superficial (&lt;70 km)",IF(I4107&lt;=300,"Intermedio (70-300 km)","Profundo (&gt;300 km)"))</x:f>
        <x:v>Superficial (&lt;70 km)</x:v>
      </x:c>
      <x:c r="M4107" s="25" t="str">
        <x:f>IF(J4107&gt;=5,"Sí","No")</x:f>
        <x:v>Sí</x:v>
      </x:c>
      <x:c r="N4107" s="25" t="str">
        <x:f>IF(J4107&gt;=6,"Sí","No")</x:f>
        <x:v>Sí</x:v>
      </x:c>
      <x:c r="O4107" s="25" t="str">
        <x:v>Pendiente: asignar con R/sf</x:v>
      </x:c>
    </x:row>
    <x:row r="4108">
      <x:c r="A4108" s="25" t="n">
        <x:v>4107</x:v>
      </x:c>
      <x:c r="B4108" s="26" t="n">
        <x:v>44078.84233796296</x:v>
      </x:c>
      <x:c r="C4108" s="27" t="n">
        <x:f>INT(B4108)</x:f>
        <x:v>44078</x:v>
      </x:c>
      <x:c r="D4108" s="28" t="n">
        <x:f>MOD(B4108,1)</x:f>
        <x:v>0.8423379629603005</x:v>
      </x:c>
      <x:c r="E4108" s="29" t="n">
        <x:f>YEAR(B4108)</x:f>
        <x:v>2020</x:v>
      </x:c>
      <x:c r="F4108" s="29" t="n">
        <x:f>MONTH(B4108)</x:f>
        <x:v>9</x:v>
      </x:c>
      <x:c r="G4108" s="30" t="n">
        <x:v>-28.03</x:v>
      </x:c>
      <x:c r="H4108" s="30" t="n">
        <x:v>-71.26</x:v>
      </x:c>
      <x:c r="I4108" s="29" t="n">
        <x:v>21</x:v>
      </x:c>
      <x:c r="J4108" s="31" t="n">
        <x:v>3.2</x:v>
      </x:c>
      <x:c r="K4108" s="25" t="str">
        <x:f>IF(J4108&gt;=7,"Muy fuerte (&gt;=7)",IF(J4108&gt;=6,"Fuerte (6-6.9)",IF(J4108&gt;=5,"Moderado alto (5-5.9)",IF(J4108&gt;=4,"Moderado (4-4.9)","Menor a 4"))))</x:f>
        <x:v>Menor a 4</x:v>
      </x:c>
      <x:c r="L4108" s="25" t="str">
        <x:f>IF(I4108&lt;70,"Superficial (&lt;70 km)",IF(I4108&lt;=300,"Intermedio (70-300 km)","Profundo (&gt;300 km)"))</x:f>
        <x:v>Superficial (&lt;70 km)</x:v>
      </x:c>
      <x:c r="M4108" s="25" t="str">
        <x:f>IF(J4108&gt;=5,"Sí","No")</x:f>
        <x:v>No</x:v>
      </x:c>
      <x:c r="N4108" s="25" t="str">
        <x:f>IF(J4108&gt;=6,"Sí","No")</x:f>
        <x:v>No</x:v>
      </x:c>
      <x:c r="O4108" s="25" t="str">
        <x:v>Pendiente: asignar con R/sf</x:v>
      </x:c>
    </x:row>
    <x:row r="4109">
      <x:c r="A4109" s="25" t="n">
        <x:v>4108</x:v>
      </x:c>
      <x:c r="B4109" s="26" t="n">
        <x:v>44080.47292824074</x:v>
      </x:c>
      <x:c r="C4109" s="27" t="n">
        <x:f>INT(B4109)</x:f>
        <x:v>44080</x:v>
      </x:c>
      <x:c r="D4109" s="28" t="n">
        <x:f>MOD(B4109,1)</x:f>
        <x:v>0.4729282407424762</x:v>
      </x:c>
      <x:c r="E4109" s="29" t="n">
        <x:f>YEAR(B4109)</x:f>
        <x:v>2020</x:v>
      </x:c>
      <x:c r="F4109" s="29" t="n">
        <x:f>MONTH(B4109)</x:f>
        <x:v>9</x:v>
      </x:c>
      <x:c r="G4109" s="30" t="n">
        <x:v>-28.03</x:v>
      </x:c>
      <x:c r="H4109" s="30" t="n">
        <x:v>-71.41</x:v>
      </x:c>
      <x:c r="I4109" s="29" t="n">
        <x:v>21</x:v>
      </x:c>
      <x:c r="J4109" s="31" t="n">
        <x:v>4.8</x:v>
      </x:c>
      <x:c r="K4109" s="25" t="str">
        <x:f>IF(J4109&gt;=7,"Muy fuerte (&gt;=7)",IF(J4109&gt;=6,"Fuerte (6-6.9)",IF(J4109&gt;=5,"Moderado alto (5-5.9)",IF(J4109&gt;=4,"Moderado (4-4.9)","Menor a 4"))))</x:f>
        <x:v>Moderado (4-4.9)</x:v>
      </x:c>
      <x:c r="L4109" s="25" t="str">
        <x:f>IF(I4109&lt;70,"Superficial (&lt;70 km)",IF(I4109&lt;=300,"Intermedio (70-300 km)","Profundo (&gt;300 km)"))</x:f>
        <x:v>Superficial (&lt;70 km)</x:v>
      </x:c>
      <x:c r="M4109" s="25" t="str">
        <x:f>IF(J4109&gt;=5,"Sí","No")</x:f>
        <x:v>No</x:v>
      </x:c>
      <x:c r="N4109" s="25" t="str">
        <x:f>IF(J4109&gt;=6,"Sí","No")</x:f>
        <x:v>No</x:v>
      </x:c>
      <x:c r="O4109" s="25" t="str">
        <x:v>Pendiente: asignar con R/sf</x:v>
      </x:c>
    </x:row>
    <x:row r="4110">
      <x:c r="A4110" s="25" t="n">
        <x:v>4109</x:v>
      </x:c>
      <x:c r="B4110" s="26" t="n">
        <x:v>44081.06097222222</x:v>
      </x:c>
      <x:c r="C4110" s="27" t="n">
        <x:f>INT(B4110)</x:f>
        <x:v>44081</x:v>
      </x:c>
      <x:c r="D4110" s="28" t="n">
        <x:f>MOD(B4110,1)</x:f>
        <x:v>0.06097222222160781</x:v>
      </x:c>
      <x:c r="E4110" s="29" t="n">
        <x:f>YEAR(B4110)</x:f>
        <x:v>2020</x:v>
      </x:c>
      <x:c r="F4110" s="29" t="n">
        <x:f>MONTH(B4110)</x:f>
        <x:v>9</x:v>
      </x:c>
      <x:c r="G4110" s="30" t="n">
        <x:v>-27.96</x:v>
      </x:c>
      <x:c r="H4110" s="30" t="n">
        <x:v>-71.11</x:v>
      </x:c>
      <x:c r="I4110" s="29" t="n">
        <x:v>30</x:v>
      </x:c>
      <x:c r="J4110" s="31" t="n">
        <x:v>4.2</x:v>
      </x:c>
      <x:c r="K4110" s="25" t="str">
        <x:f>IF(J4110&gt;=7,"Muy fuerte (&gt;=7)",IF(J4110&gt;=6,"Fuerte (6-6.9)",IF(J4110&gt;=5,"Moderado alto (5-5.9)",IF(J4110&gt;=4,"Moderado (4-4.9)","Menor a 4"))))</x:f>
        <x:v>Moderado (4-4.9)</x:v>
      </x:c>
      <x:c r="L4110" s="25" t="str">
        <x:f>IF(I4110&lt;70,"Superficial (&lt;70 km)",IF(I4110&lt;=300,"Intermedio (70-300 km)","Profundo (&gt;300 km)"))</x:f>
        <x:v>Superficial (&lt;70 km)</x:v>
      </x:c>
      <x:c r="M4110" s="25" t="str">
        <x:f>IF(J4110&gt;=5,"Sí","No")</x:f>
        <x:v>No</x:v>
      </x:c>
      <x:c r="N4110" s="25" t="str">
        <x:f>IF(J4110&gt;=6,"Sí","No")</x:f>
        <x:v>No</x:v>
      </x:c>
      <x:c r="O4110" s="25" t="str">
        <x:v>Pendiente: asignar con R/sf</x:v>
      </x:c>
    </x:row>
    <x:row r="4111">
      <x:c r="A4111" s="25" t="n">
        <x:v>4110</x:v>
      </x:c>
      <x:c r="B4111" s="26" t="n">
        <x:v>44075.48988425926</x:v>
      </x:c>
      <x:c r="C4111" s="27" t="n">
        <x:f>INT(B4111)</x:f>
        <x:v>44075</x:v>
      </x:c>
      <x:c r="D4111" s="28" t="n">
        <x:f>MOD(B4111,1)</x:f>
        <x:v>0.48988425925927004</x:v>
      </x:c>
      <x:c r="E4111" s="29" t="n">
        <x:f>YEAR(B4111)</x:f>
        <x:v>2020</x:v>
      </x:c>
      <x:c r="F4111" s="29" t="n">
        <x:f>MONTH(B4111)</x:f>
        <x:v>9</x:v>
      </x:c>
      <x:c r="G4111" s="30" t="n">
        <x:v>-27.97</x:v>
      </x:c>
      <x:c r="H4111" s="30" t="n">
        <x:v>-71.33</x:v>
      </x:c>
      <x:c r="I4111" s="29" t="n">
        <x:v>24</x:v>
      </x:c>
      <x:c r="J4111" s="31" t="n">
        <x:v>3.9</x:v>
      </x:c>
      <x:c r="K4111" s="25" t="str">
        <x:f>IF(J4111&gt;=7,"Muy fuerte (&gt;=7)",IF(J4111&gt;=6,"Fuerte (6-6.9)",IF(J4111&gt;=5,"Moderado alto (5-5.9)",IF(J4111&gt;=4,"Moderado (4-4.9)","Menor a 4"))))</x:f>
        <x:v>Menor a 4</x:v>
      </x:c>
      <x:c r="L4111" s="25" t="str">
        <x:f>IF(I4111&lt;70,"Superficial (&lt;70 km)",IF(I4111&lt;=300,"Intermedio (70-300 km)","Profundo (&gt;300 km)"))</x:f>
        <x:v>Superficial (&lt;70 km)</x:v>
      </x:c>
      <x:c r="M4111" s="25" t="str">
        <x:f>IF(J4111&gt;=5,"Sí","No")</x:f>
        <x:v>No</x:v>
      </x:c>
      <x:c r="N4111" s="25" t="str">
        <x:f>IF(J4111&gt;=6,"Sí","No")</x:f>
        <x:v>No</x:v>
      </x:c>
      <x:c r="O4111" s="25" t="str">
        <x:v>Pendiente: asignar con R/sf</x:v>
      </x:c>
    </x:row>
    <x:row r="4112">
      <x:c r="A4112" s="25" t="n">
        <x:v>4111</x:v>
      </x:c>
      <x:c r="B4112" s="26" t="n">
        <x:v>43723.705972222226</x:v>
      </x:c>
      <x:c r="C4112" s="27" t="n">
        <x:f>INT(B4112)</x:f>
        <x:v>43723</x:v>
      </x:c>
      <x:c r="D4112" s="28" t="n">
        <x:f>MOD(B4112,1)</x:f>
        <x:v>0.7059722222256823</x:v>
      </x:c>
      <x:c r="E4112" s="29" t="n">
        <x:f>YEAR(B4112)</x:f>
        <x:v>2019</x:v>
      </x:c>
      <x:c r="F4112" s="29" t="n">
        <x:f>MONTH(B4112)</x:f>
        <x:v>9</x:v>
      </x:c>
      <x:c r="G4112" s="30" t="n">
        <x:v>-32.28</x:v>
      </x:c>
      <x:c r="H4112" s="30" t="n">
        <x:v>-71.83</x:v>
      </x:c>
      <x:c r="I4112" s="29" t="n">
        <x:v>24</x:v>
      </x:c>
      <x:c r="J4112" s="31" t="n">
        <x:v>4</x:v>
      </x:c>
      <x:c r="K4112" s="25" t="str">
        <x:f>IF(J4112&gt;=7,"Muy fuerte (&gt;=7)",IF(J4112&gt;=6,"Fuerte (6-6.9)",IF(J4112&gt;=5,"Moderado alto (5-5.9)",IF(J4112&gt;=4,"Moderado (4-4.9)","Menor a 4"))))</x:f>
        <x:v>Moderado (4-4.9)</x:v>
      </x:c>
      <x:c r="L4112" s="25" t="str">
        <x:f>IF(I4112&lt;70,"Superficial (&lt;70 km)",IF(I4112&lt;=300,"Intermedio (70-300 km)","Profundo (&gt;300 km)"))</x:f>
        <x:v>Superficial (&lt;70 km)</x:v>
      </x:c>
      <x:c r="M4112" s="25" t="str">
        <x:f>IF(J4112&gt;=5,"Sí","No")</x:f>
        <x:v>No</x:v>
      </x:c>
      <x:c r="N4112" s="25" t="str">
        <x:f>IF(J4112&gt;=6,"Sí","No")</x:f>
        <x:v>No</x:v>
      </x:c>
      <x:c r="O4112" s="25" t="str">
        <x:v>Pendiente: asignar con R/sf</x:v>
      </x:c>
    </x:row>
    <x:row r="4113">
      <x:c r="A4113" s="25" t="n">
        <x:v>4112</x:v>
      </x:c>
      <x:c r="B4113" s="26" t="n">
        <x:v>44085.31662037037</x:v>
      </x:c>
      <x:c r="C4113" s="27" t="n">
        <x:f>INT(B4113)</x:f>
        <x:v>44085</x:v>
      </x:c>
      <x:c r="D4113" s="28" t="n">
        <x:f>MOD(B4113,1)</x:f>
        <x:v>0.31662037037312984</x:v>
      </x:c>
      <x:c r="E4113" s="29" t="n">
        <x:f>YEAR(B4113)</x:f>
        <x:v>2020</x:v>
      </x:c>
      <x:c r="F4113" s="29" t="n">
        <x:f>MONTH(B4113)</x:f>
        <x:v>9</x:v>
      </x:c>
      <x:c r="G4113" s="30" t="n">
        <x:v>-21.36</x:v>
      </x:c>
      <x:c r="H4113" s="30" t="n">
        <x:v>-69.91</x:v>
      </x:c>
      <x:c r="I4113" s="29" t="n">
        <x:v>54</x:v>
      </x:c>
      <x:c r="J4113" s="31" t="n">
        <x:v>6</x:v>
      </x:c>
      <x:c r="K4113" s="25" t="str">
        <x:f>IF(J4113&gt;=7,"Muy fuerte (&gt;=7)",IF(J4113&gt;=6,"Fuerte (6-6.9)",IF(J4113&gt;=5,"Moderado alto (5-5.9)",IF(J4113&gt;=4,"Moderado (4-4.9)","Menor a 4"))))</x:f>
        <x:v>Fuerte (6-6.9)</x:v>
      </x:c>
      <x:c r="L4113" s="25" t="str">
        <x:f>IF(I4113&lt;70,"Superficial (&lt;70 km)",IF(I4113&lt;=300,"Intermedio (70-300 km)","Profundo (&gt;300 km)"))</x:f>
        <x:v>Superficial (&lt;70 km)</x:v>
      </x:c>
      <x:c r="M4113" s="25" t="str">
        <x:f>IF(J4113&gt;=5,"Sí","No")</x:f>
        <x:v>Sí</x:v>
      </x:c>
      <x:c r="N4113" s="25" t="str">
        <x:f>IF(J4113&gt;=6,"Sí","No")</x:f>
        <x:v>Sí</x:v>
      </x:c>
      <x:c r="O4113" s="25" t="str">
        <x:v>Pendiente: asignar con R/sf</x:v>
      </x:c>
    </x:row>
    <x:row r="4114">
      <x:c r="A4114" s="25" t="n">
        <x:v>4113</x:v>
      </x:c>
      <x:c r="B4114" s="26" t="n">
        <x:v>43907.341678240744</x:v>
      </x:c>
      <x:c r="C4114" s="27" t="n">
        <x:f>INT(B4114)</x:f>
        <x:v>43907</x:v>
      </x:c>
      <x:c r="D4114" s="28" t="n">
        <x:f>MOD(B4114,1)</x:f>
        <x:v>0.3416782407439314</x:v>
      </x:c>
      <x:c r="E4114" s="29" t="n">
        <x:f>YEAR(B4114)</x:f>
        <x:v>2020</x:v>
      </x:c>
      <x:c r="F4114" s="29" t="n">
        <x:f>MONTH(B4114)</x:f>
        <x:v>3</x:v>
      </x:c>
      <x:c r="G4114" s="30" t="n">
        <x:v>-36.19</x:v>
      </x:c>
      <x:c r="H4114" s="30" t="n">
        <x:v>-73.29</x:v>
      </x:c>
      <x:c r="I4114" s="29" t="n">
        <x:v>42</x:v>
      </x:c>
      <x:c r="J4114" s="31" t="n">
        <x:v>5.6</x:v>
      </x:c>
      <x:c r="K4114" s="25" t="str">
        <x:f>IF(J4114&gt;=7,"Muy fuerte (&gt;=7)",IF(J4114&gt;=6,"Fuerte (6-6.9)",IF(J4114&gt;=5,"Moderado alto (5-5.9)",IF(J4114&gt;=4,"Moderado (4-4.9)","Menor a 4"))))</x:f>
        <x:v>Moderado alto (5-5.9)</x:v>
      </x:c>
      <x:c r="L4114" s="25" t="str">
        <x:f>IF(I4114&lt;70,"Superficial (&lt;70 km)",IF(I4114&lt;=300,"Intermedio (70-300 km)","Profundo (&gt;300 km)"))</x:f>
        <x:v>Superficial (&lt;70 km)</x:v>
      </x:c>
      <x:c r="M4114" s="25" t="str">
        <x:f>IF(J4114&gt;=5,"Sí","No")</x:f>
        <x:v>Sí</x:v>
      </x:c>
      <x:c r="N4114" s="25" t="str">
        <x:f>IF(J4114&gt;=6,"Sí","No")</x:f>
        <x:v>No</x:v>
      </x:c>
      <x:c r="O4114" s="25" t="str">
        <x:v>Pendiente: asignar con R/sf</x:v>
      </x:c>
    </x:row>
    <x:row r="4115">
      <x:c r="A4115" s="25" t="n">
        <x:v>4114</x:v>
      </x:c>
      <x:c r="B4115" s="26" t="n">
        <x:v>43722.260092592594</x:v>
      </x:c>
      <x:c r="C4115" s="27" t="n">
        <x:f>INT(B4115)</x:f>
        <x:v>43722</x:v>
      </x:c>
      <x:c r="D4115" s="28" t="n">
        <x:f>MOD(B4115,1)</x:f>
        <x:v>0.2600925925944466</x:v>
      </x:c>
      <x:c r="E4115" s="29" t="n">
        <x:f>YEAR(B4115)</x:f>
        <x:v>2019</x:v>
      </x:c>
      <x:c r="F4115" s="29" t="n">
        <x:f>MONTH(B4115)</x:f>
        <x:v>9</x:v>
      </x:c>
      <x:c r="G4115" s="30" t="n">
        <x:v>-32.85</x:v>
      </x:c>
      <x:c r="H4115" s="30" t="n">
        <x:v>-70.41</x:v>
      </x:c>
      <x:c r="I4115" s="29" t="n">
        <x:v>107</x:v>
      </x:c>
      <x:c r="J4115" s="31" t="n">
        <x:v>4.4</x:v>
      </x:c>
      <x:c r="K4115" s="25" t="str">
        <x:f>IF(J4115&gt;=7,"Muy fuerte (&gt;=7)",IF(J4115&gt;=6,"Fuerte (6-6.9)",IF(J4115&gt;=5,"Moderado alto (5-5.9)",IF(J4115&gt;=4,"Moderado (4-4.9)","Menor a 4"))))</x:f>
        <x:v>Moderado (4-4.9)</x:v>
      </x:c>
      <x:c r="L4115" s="25" t="str">
        <x:f>IF(I4115&lt;70,"Superficial (&lt;70 km)",IF(I4115&lt;=300,"Intermedio (70-300 km)","Profundo (&gt;300 km)"))</x:f>
        <x:v>Intermedio (70-300 km)</x:v>
      </x:c>
      <x:c r="M4115" s="25" t="str">
        <x:f>IF(J4115&gt;=5,"Sí","No")</x:f>
        <x:v>No</x:v>
      </x:c>
      <x:c r="N4115" s="25" t="str">
        <x:f>IF(J4115&gt;=6,"Sí","No")</x:f>
        <x:v>No</x:v>
      </x:c>
      <x:c r="O4115" s="25" t="str">
        <x:v>Pendiente: asignar con R/sf</x:v>
      </x:c>
    </x:row>
    <x:row r="4116">
      <x:c r="A4116" s="25" t="n">
        <x:v>4115</x:v>
      </x:c>
      <x:c r="B4116" s="26" t="n">
        <x:v>43564.097974537035</x:v>
      </x:c>
      <x:c r="C4116" s="27" t="n">
        <x:f>INT(B4116)</x:f>
        <x:v>43564</x:v>
      </x:c>
      <x:c r="D4116" s="28" t="n">
        <x:f>MOD(B4116,1)</x:f>
        <x:v>0.09797453703504289</x:v>
      </x:c>
      <x:c r="E4116" s="29" t="n">
        <x:f>YEAR(B4116)</x:f>
        <x:v>2019</x:v>
      </x:c>
      <x:c r="F4116" s="29" t="n">
        <x:f>MONTH(B4116)</x:f>
        <x:v>4</x:v>
      </x:c>
      <x:c r="G4116" s="30" t="n">
        <x:v>-32.35</x:v>
      </x:c>
      <x:c r="H4116" s="30" t="n">
        <x:v>-71.26</x:v>
      </x:c>
      <x:c r="I4116" s="29" t="n">
        <x:v>51</x:v>
      </x:c>
      <x:c r="J4116" s="31" t="n">
        <x:v>3.7</x:v>
      </x:c>
      <x:c r="K4116" s="25" t="str">
        <x:f>IF(J4116&gt;=7,"Muy fuerte (&gt;=7)",IF(J4116&gt;=6,"Fuerte (6-6.9)",IF(J4116&gt;=5,"Moderado alto (5-5.9)",IF(J4116&gt;=4,"Moderado (4-4.9)","Menor a 4"))))</x:f>
        <x:v>Menor a 4</x:v>
      </x:c>
      <x:c r="L4116" s="25" t="str">
        <x:f>IF(I4116&lt;70,"Superficial (&lt;70 km)",IF(I4116&lt;=300,"Intermedio (70-300 km)","Profundo (&gt;300 km)"))</x:f>
        <x:v>Superficial (&lt;70 km)</x:v>
      </x:c>
      <x:c r="M4116" s="25" t="str">
        <x:f>IF(J4116&gt;=5,"Sí","No")</x:f>
        <x:v>No</x:v>
      </x:c>
      <x:c r="N4116" s="25" t="str">
        <x:f>IF(J4116&gt;=6,"Sí","No")</x:f>
        <x:v>No</x:v>
      </x:c>
      <x:c r="O4116" s="25" t="str">
        <x:v>Pendiente: asignar con R/sf</x:v>
      </x:c>
    </x:row>
    <x:row r="4117">
      <x:c r="A4117" s="25" t="n">
        <x:v>4116</x:v>
      </x:c>
      <x:c r="B4117" s="26" t="n">
        <x:v>43677.27809027778</x:v>
      </x:c>
      <x:c r="C4117" s="27" t="n">
        <x:f>INT(B4117)</x:f>
        <x:v>43677</x:v>
      </x:c>
      <x:c r="D4117" s="28" t="n">
        <x:f>MOD(B4117,1)</x:f>
        <x:v>0.2780902777813026</x:v>
      </x:c>
      <x:c r="E4117" s="29" t="n">
        <x:f>YEAR(B4117)</x:f>
        <x:v>2019</x:v>
      </x:c>
      <x:c r="F4117" s="29" t="n">
        <x:f>MONTH(B4117)</x:f>
        <x:v>7</x:v>
      </x:c>
      <x:c r="G4117" s="30" t="n">
        <x:v>-32.21</x:v>
      </x:c>
      <x:c r="H4117" s="30" t="n">
        <x:v>-71.17</x:v>
      </x:c>
      <x:c r="I4117" s="29" t="n">
        <x:v>67</x:v>
      </x:c>
      <x:c r="J4117" s="31" t="n">
        <x:v>3.1</x:v>
      </x:c>
      <x:c r="K4117" s="25" t="str">
        <x:f>IF(J4117&gt;=7,"Muy fuerte (&gt;=7)",IF(J4117&gt;=6,"Fuerte (6-6.9)",IF(J4117&gt;=5,"Moderado alto (5-5.9)",IF(J4117&gt;=4,"Moderado (4-4.9)","Menor a 4"))))</x:f>
        <x:v>Menor a 4</x:v>
      </x:c>
      <x:c r="L4117" s="25" t="str">
        <x:f>IF(I4117&lt;70,"Superficial (&lt;70 km)",IF(I4117&lt;=300,"Intermedio (70-300 km)","Profundo (&gt;300 km)"))</x:f>
        <x:v>Superficial (&lt;70 km)</x:v>
      </x:c>
      <x:c r="M4117" s="25" t="str">
        <x:f>IF(J4117&gt;=5,"Sí","No")</x:f>
        <x:v>No</x:v>
      </x:c>
      <x:c r="N4117" s="25" t="str">
        <x:f>IF(J4117&gt;=6,"Sí","No")</x:f>
        <x:v>No</x:v>
      </x:c>
      <x:c r="O4117" s="25" t="str">
        <x:v>Pendiente: asignar con R/sf</x:v>
      </x:c>
    </x:row>
    <x:row r="4118">
      <x:c r="A4118" s="25" t="n">
        <x:v>4117</x:v>
      </x:c>
      <x:c r="B4118" s="26" t="n">
        <x:v>44041.18094907407</x:v>
      </x:c>
      <x:c r="C4118" s="27" t="n">
        <x:f>INT(B4118)</x:f>
        <x:v>44041</x:v>
      </x:c>
      <x:c r="D4118" s="28" t="n">
        <x:f>MOD(B4118,1)</x:f>
        <x:v>0.18094907407066785</x:v>
      </x:c>
      <x:c r="E4118" s="29" t="n">
        <x:f>YEAR(B4118)</x:f>
        <x:v>2020</x:v>
      </x:c>
      <x:c r="F4118" s="29" t="n">
        <x:f>MONTH(B4118)</x:f>
        <x:v>7</x:v>
      </x:c>
      <x:c r="G4118" s="30" t="n">
        <x:v>-33.69</x:v>
      </x:c>
      <x:c r="H4118" s="30" t="n">
        <x:v>-71.14</x:v>
      </x:c>
      <x:c r="I4118" s="29" t="n">
        <x:v>47</x:v>
      </x:c>
      <x:c r="J4118" s="31" t="n">
        <x:v>3.5</x:v>
      </x:c>
      <x:c r="K4118" s="25" t="str">
        <x:f>IF(J4118&gt;=7,"Muy fuerte (&gt;=7)",IF(J4118&gt;=6,"Fuerte (6-6.9)",IF(J4118&gt;=5,"Moderado alto (5-5.9)",IF(J4118&gt;=4,"Moderado (4-4.9)","Menor a 4"))))</x:f>
        <x:v>Menor a 4</x:v>
      </x:c>
      <x:c r="L4118" s="25" t="str">
        <x:f>IF(I4118&lt;70,"Superficial (&lt;70 km)",IF(I4118&lt;=300,"Intermedio (70-300 km)","Profundo (&gt;300 km)"))</x:f>
        <x:v>Superficial (&lt;70 km)</x:v>
      </x:c>
      <x:c r="M4118" s="25" t="str">
        <x:f>IF(J4118&gt;=5,"Sí","No")</x:f>
        <x:v>No</x:v>
      </x:c>
      <x:c r="N4118" s="25" t="str">
        <x:f>IF(J4118&gt;=6,"Sí","No")</x:f>
        <x:v>No</x:v>
      </x:c>
      <x:c r="O4118" s="25" t="str">
        <x:v>Pendiente: asignar con R/sf</x:v>
      </x:c>
    </x:row>
    <x:row r="4119">
      <x:c r="A4119" s="25" t="n">
        <x:v>4118</x:v>
      </x:c>
      <x:c r="B4119" s="26" t="n">
        <x:v>43974.59311342592</x:v>
      </x:c>
      <x:c r="C4119" s="27" t="n">
        <x:f>INT(B4119)</x:f>
        <x:v>43974</x:v>
      </x:c>
      <x:c r="D4119" s="28" t="n">
        <x:f>MOD(B4119,1)</x:f>
        <x:v>0.5931134259226383</x:v>
      </x:c>
      <x:c r="E4119" s="29" t="n">
        <x:f>YEAR(B4119)</x:f>
        <x:v>2020</x:v>
      </x:c>
      <x:c r="F4119" s="29" t="n">
        <x:f>MONTH(B4119)</x:f>
        <x:v>5</x:v>
      </x:c>
      <x:c r="G4119" s="30" t="n">
        <x:v>-33.07</x:v>
      </x:c>
      <x:c r="H4119" s="30" t="n">
        <x:v>-71.22</x:v>
      </x:c>
      <x:c r="I4119" s="29" t="n">
        <x:v>60</x:v>
      </x:c>
      <x:c r="J4119" s="31" t="n">
        <x:v>3.3</x:v>
      </x:c>
      <x:c r="K4119" s="25" t="str">
        <x:f>IF(J4119&gt;=7,"Muy fuerte (&gt;=7)",IF(J4119&gt;=6,"Fuerte (6-6.9)",IF(J4119&gt;=5,"Moderado alto (5-5.9)",IF(J4119&gt;=4,"Moderado (4-4.9)","Menor a 4"))))</x:f>
        <x:v>Menor a 4</x:v>
      </x:c>
      <x:c r="L4119" s="25" t="str">
        <x:f>IF(I4119&lt;70,"Superficial (&lt;70 km)",IF(I4119&lt;=300,"Intermedio (70-300 km)","Profundo (&gt;300 km)"))</x:f>
        <x:v>Superficial (&lt;70 km)</x:v>
      </x:c>
      <x:c r="M4119" s="25" t="str">
        <x:f>IF(J4119&gt;=5,"Sí","No")</x:f>
        <x:v>No</x:v>
      </x:c>
      <x:c r="N4119" s="25" t="str">
        <x:f>IF(J4119&gt;=6,"Sí","No")</x:f>
        <x:v>No</x:v>
      </x:c>
      <x:c r="O4119" s="25" t="str">
        <x:v>Pendiente: asignar con R/sf</x:v>
      </x:c>
    </x:row>
    <x:row r="4120">
      <x:c r="A4120" s="25" t="n">
        <x:v>4119</x:v>
      </x:c>
      <x:c r="B4120" s="26" t="n">
        <x:v>43909.04162037037</x:v>
      </x:c>
      <x:c r="C4120" s="27" t="n">
        <x:f>INT(B4120)</x:f>
        <x:v>43909</x:v>
      </x:c>
      <x:c r="D4120" s="28" t="n">
        <x:f>MOD(B4120,1)</x:f>
        <x:v>0.04162037037167465</x:v>
      </x:c>
      <x:c r="E4120" s="29" t="n">
        <x:f>YEAR(B4120)</x:f>
        <x:v>2020</x:v>
      </x:c>
      <x:c r="F4120" s="29" t="n">
        <x:f>MONTH(B4120)</x:f>
        <x:v>3</x:v>
      </x:c>
      <x:c r="G4120" s="30" t="n">
        <x:v>-33.39</x:v>
      </x:c>
      <x:c r="H4120" s="30" t="n">
        <x:v>-71.32</x:v>
      </x:c>
      <x:c r="I4120" s="29" t="n">
        <x:v>55</x:v>
      </x:c>
      <x:c r="J4120" s="31" t="n">
        <x:v>4.1</x:v>
      </x:c>
      <x:c r="K4120" s="25" t="str">
        <x:f>IF(J4120&gt;=7,"Muy fuerte (&gt;=7)",IF(J4120&gt;=6,"Fuerte (6-6.9)",IF(J4120&gt;=5,"Moderado alto (5-5.9)",IF(J4120&gt;=4,"Moderado (4-4.9)","Menor a 4"))))</x:f>
        <x:v>Moderado (4-4.9)</x:v>
      </x:c>
      <x:c r="L4120" s="25" t="str">
        <x:f>IF(I4120&lt;70,"Superficial (&lt;70 km)",IF(I4120&lt;=300,"Intermedio (70-300 km)","Profundo (&gt;300 km)"))</x:f>
        <x:v>Superficial (&lt;70 km)</x:v>
      </x:c>
      <x:c r="M4120" s="25" t="str">
        <x:f>IF(J4120&gt;=5,"Sí","No")</x:f>
        <x:v>No</x:v>
      </x:c>
      <x:c r="N4120" s="25" t="str">
        <x:f>IF(J4120&gt;=6,"Sí","No")</x:f>
        <x:v>No</x:v>
      </x:c>
      <x:c r="O4120" s="25" t="str">
        <x:v>Pendiente: asignar con R/sf</x:v>
      </x:c>
    </x:row>
    <x:row r="4121">
      <x:c r="A4121" s="25" t="n">
        <x:v>4120</x:v>
      </x:c>
      <x:c r="B4121" s="26" t="n">
        <x:v>43612.64266203704</x:v>
      </x:c>
      <x:c r="C4121" s="27" t="n">
        <x:f>INT(B4121)</x:f>
        <x:v>43612</x:v>
      </x:c>
      <x:c r="D4121" s="28" t="n">
        <x:f>MOD(B4121,1)</x:f>
        <x:v>0.6426620370402816</x:v>
      </x:c>
      <x:c r="E4121" s="29" t="n">
        <x:f>YEAR(B4121)</x:f>
        <x:v>2019</x:v>
      </x:c>
      <x:c r="F4121" s="29" t="n">
        <x:f>MONTH(B4121)</x:f>
        <x:v>5</x:v>
      </x:c>
      <x:c r="G4121" s="30" t="n">
        <x:v>-33.09</x:v>
      </x:c>
      <x:c r="H4121" s="30" t="n">
        <x:v>-71.89</x:v>
      </x:c>
      <x:c r="I4121" s="29" t="n">
        <x:v>28</x:v>
      </x:c>
      <x:c r="J4121" s="31" t="n">
        <x:v>4.3</x:v>
      </x:c>
      <x:c r="K4121" s="25" t="str">
        <x:f>IF(J4121&gt;=7,"Muy fuerte (&gt;=7)",IF(J4121&gt;=6,"Fuerte (6-6.9)",IF(J4121&gt;=5,"Moderado alto (5-5.9)",IF(J4121&gt;=4,"Moderado (4-4.9)","Menor a 4"))))</x:f>
        <x:v>Moderado (4-4.9)</x:v>
      </x:c>
      <x:c r="L4121" s="25" t="str">
        <x:f>IF(I4121&lt;70,"Superficial (&lt;70 km)",IF(I4121&lt;=300,"Intermedio (70-300 km)","Profundo (&gt;300 km)"))</x:f>
        <x:v>Superficial (&lt;70 km)</x:v>
      </x:c>
      <x:c r="M4121" s="25" t="str">
        <x:f>IF(J4121&gt;=5,"Sí","No")</x:f>
        <x:v>No</x:v>
      </x:c>
      <x:c r="N4121" s="25" t="str">
        <x:f>IF(J4121&gt;=6,"Sí","No")</x:f>
        <x:v>No</x:v>
      </x:c>
      <x:c r="O4121" s="25" t="str">
        <x:v>Pendiente: asignar con R/sf</x:v>
      </x:c>
    </x:row>
    <x:row r="4122">
      <x:c r="A4122" s="25" t="n">
        <x:v>4121</x:v>
      </x:c>
      <x:c r="B4122" s="26" t="n">
        <x:v>43808.21127314815</x:v>
      </x:c>
      <x:c r="C4122" s="27" t="n">
        <x:f>INT(B4122)</x:f>
        <x:v>43808</x:v>
      </x:c>
      <x:c r="D4122" s="28" t="n">
        <x:f>MOD(B4122,1)</x:f>
        <x:v>0.21127314814657439</x:v>
      </x:c>
      <x:c r="E4122" s="29" t="n">
        <x:f>YEAR(B4122)</x:f>
        <x:v>2019</x:v>
      </x:c>
      <x:c r="F4122" s="29" t="n">
        <x:f>MONTH(B4122)</x:f>
        <x:v>12</x:v>
      </x:c>
      <x:c r="G4122" s="30" t="n">
        <x:v>-32.09</x:v>
      </x:c>
      <x:c r="H4122" s="30" t="n">
        <x:v>-70.53</x:v>
      </x:c>
      <x:c r="I4122" s="29" t="n">
        <x:v>130</x:v>
      </x:c>
      <x:c r="J4122" s="31" t="n">
        <x:v>4.9</x:v>
      </x:c>
      <x:c r="K4122" s="25" t="str">
        <x:f>IF(J4122&gt;=7,"Muy fuerte (&gt;=7)",IF(J4122&gt;=6,"Fuerte (6-6.9)",IF(J4122&gt;=5,"Moderado alto (5-5.9)",IF(J4122&gt;=4,"Moderado (4-4.9)","Menor a 4"))))</x:f>
        <x:v>Moderado (4-4.9)</x:v>
      </x:c>
      <x:c r="L4122" s="25" t="str">
        <x:f>IF(I4122&lt;70,"Superficial (&lt;70 km)",IF(I4122&lt;=300,"Intermedio (70-300 km)","Profundo (&gt;300 km)"))</x:f>
        <x:v>Intermedio (70-300 km)</x:v>
      </x:c>
      <x:c r="M4122" s="25" t="str">
        <x:f>IF(J4122&gt;=5,"Sí","No")</x:f>
        <x:v>No</x:v>
      </x:c>
      <x:c r="N4122" s="25" t="str">
        <x:f>IF(J4122&gt;=6,"Sí","No")</x:f>
        <x:v>No</x:v>
      </x:c>
      <x:c r="O4122" s="25" t="str">
        <x:v>Pendiente: asignar con R/sf</x:v>
      </x:c>
    </x:row>
    <x:row r="4123">
      <x:c r="A4123" s="25" t="n">
        <x:v>4122</x:v>
      </x:c>
      <x:c r="B4123" s="26" t="n">
        <x:v>43801.80944444444</x:v>
      </x:c>
      <x:c r="C4123" s="27" t="n">
        <x:f>INT(B4123)</x:f>
        <x:v>43801</x:v>
      </x:c>
      <x:c r="D4123" s="28" t="n">
        <x:f>MOD(B4123,1)</x:f>
        <x:v>0.8094444444432156</x:v>
      </x:c>
      <x:c r="E4123" s="29" t="n">
        <x:f>YEAR(B4123)</x:f>
        <x:v>2019</x:v>
      </x:c>
      <x:c r="F4123" s="29" t="n">
        <x:f>MONTH(B4123)</x:f>
        <x:v>12</x:v>
      </x:c>
      <x:c r="G4123" s="30" t="n">
        <x:v>-32.83</x:v>
      </x:c>
      <x:c r="H4123" s="30" t="n">
        <x:v>-71.56</x:v>
      </x:c>
      <x:c r="I4123" s="29" t="n">
        <x:v>47</x:v>
      </x:c>
      <x:c r="J4123" s="31" t="n">
        <x:v>3.1</x:v>
      </x:c>
      <x:c r="K4123" s="25" t="str">
        <x:f>IF(J4123&gt;=7,"Muy fuerte (&gt;=7)",IF(J4123&gt;=6,"Fuerte (6-6.9)",IF(J4123&gt;=5,"Moderado alto (5-5.9)",IF(J4123&gt;=4,"Moderado (4-4.9)","Menor a 4"))))</x:f>
        <x:v>Menor a 4</x:v>
      </x:c>
      <x:c r="L4123" s="25" t="str">
        <x:f>IF(I4123&lt;70,"Superficial (&lt;70 km)",IF(I4123&lt;=300,"Intermedio (70-300 km)","Profundo (&gt;300 km)"))</x:f>
        <x:v>Superficial (&lt;70 km)</x:v>
      </x:c>
      <x:c r="M4123" s="25" t="str">
        <x:f>IF(J4123&gt;=5,"Sí","No")</x:f>
        <x:v>No</x:v>
      </x:c>
      <x:c r="N4123" s="25" t="str">
        <x:f>IF(J4123&gt;=6,"Sí","No")</x:f>
        <x:v>No</x:v>
      </x:c>
      <x:c r="O4123" s="25" t="str">
        <x:v>Pendiente: asignar con R/sf</x:v>
      </x:c>
    </x:row>
    <x:row r="4124">
      <x:c r="A4124" s="25" t="n">
        <x:v>4123</x:v>
      </x:c>
      <x:c r="B4124" s="26" t="n">
        <x:v>44005.846724537034</x:v>
      </x:c>
      <x:c r="C4124" s="27" t="n">
        <x:f>INT(B4124)</x:f>
        <x:v>44005</x:v>
      </x:c>
      <x:c r="D4124" s="28" t="n">
        <x:f>MOD(B4124,1)</x:f>
        <x:v>0.8467245370338787</x:v>
      </x:c>
      <x:c r="E4124" s="29" t="n">
        <x:f>YEAR(B4124)</x:f>
        <x:v>2020</x:v>
      </x:c>
      <x:c r="F4124" s="29" t="n">
        <x:f>MONTH(B4124)</x:f>
        <x:v>6</x:v>
      </x:c>
      <x:c r="G4124" s="30" t="n">
        <x:v>-32.27</x:v>
      </x:c>
      <x:c r="H4124" s="30" t="n">
        <x:v>-71.72</x:v>
      </x:c>
      <x:c r="I4124" s="29" t="n">
        <x:v>32</x:v>
      </x:c>
      <x:c r="J4124" s="31" t="n">
        <x:v>4.1</x:v>
      </x:c>
      <x:c r="K4124" s="25" t="str">
        <x:f>IF(J4124&gt;=7,"Muy fuerte (&gt;=7)",IF(J4124&gt;=6,"Fuerte (6-6.9)",IF(J4124&gt;=5,"Moderado alto (5-5.9)",IF(J4124&gt;=4,"Moderado (4-4.9)","Menor a 4"))))</x:f>
        <x:v>Moderado (4-4.9)</x:v>
      </x:c>
      <x:c r="L4124" s="25" t="str">
        <x:f>IF(I4124&lt;70,"Superficial (&lt;70 km)",IF(I4124&lt;=300,"Intermedio (70-300 km)","Profundo (&gt;300 km)"))</x:f>
        <x:v>Superficial (&lt;70 km)</x:v>
      </x:c>
      <x:c r="M4124" s="25" t="str">
        <x:f>IF(J4124&gt;=5,"Sí","No")</x:f>
        <x:v>No</x:v>
      </x:c>
      <x:c r="N4124" s="25" t="str">
        <x:f>IF(J4124&gt;=6,"Sí","No")</x:f>
        <x:v>No</x:v>
      </x:c>
      <x:c r="O4124" s="25" t="str">
        <x:v>Pendiente: asignar con R/sf</x:v>
      </x:c>
    </x:row>
    <x:row r="4125">
      <x:c r="A4125" s="25" t="n">
        <x:v>4124</x:v>
      </x:c>
      <x:c r="B4125" s="26" t="n">
        <x:v>43541.89178240741</x:v>
      </x:c>
      <x:c r="C4125" s="27" t="n">
        <x:f>INT(B4125)</x:f>
        <x:v>43541</x:v>
      </x:c>
      <x:c r="D4125" s="28" t="n">
        <x:f>MOD(B4125,1)</x:f>
        <x:v>0.8917824074087548</x:v>
      </x:c>
      <x:c r="E4125" s="29" t="n">
        <x:f>YEAR(B4125)</x:f>
        <x:v>2019</x:v>
      </x:c>
      <x:c r="F4125" s="29" t="n">
        <x:f>MONTH(B4125)</x:f>
        <x:v>3</x:v>
      </x:c>
      <x:c r="G4125" s="30" t="n">
        <x:v>-32.58</x:v>
      </x:c>
      <x:c r="H4125" s="30" t="n">
        <x:v>-71.58</x:v>
      </x:c>
      <x:c r="I4125" s="29" t="n">
        <x:v>37</x:v>
      </x:c>
      <x:c r="J4125" s="31" t="n">
        <x:v>3.2</x:v>
      </x:c>
      <x:c r="K4125" s="25" t="str">
        <x:f>IF(J4125&gt;=7,"Muy fuerte (&gt;=7)",IF(J4125&gt;=6,"Fuerte (6-6.9)",IF(J4125&gt;=5,"Moderado alto (5-5.9)",IF(J4125&gt;=4,"Moderado (4-4.9)","Menor a 4"))))</x:f>
        <x:v>Menor a 4</x:v>
      </x:c>
      <x:c r="L4125" s="25" t="str">
        <x:f>IF(I4125&lt;70,"Superficial (&lt;70 km)",IF(I4125&lt;=300,"Intermedio (70-300 km)","Profundo (&gt;300 km)"))</x:f>
        <x:v>Superficial (&lt;70 km)</x:v>
      </x:c>
      <x:c r="M4125" s="25" t="str">
        <x:f>IF(J4125&gt;=5,"Sí","No")</x:f>
        <x:v>No</x:v>
      </x:c>
      <x:c r="N4125" s="25" t="str">
        <x:f>IF(J4125&gt;=6,"Sí","No")</x:f>
        <x:v>No</x:v>
      </x:c>
      <x:c r="O4125" s="25" t="str">
        <x:v>Pendiente: asignar con R/sf</x:v>
      </x:c>
    </x:row>
    <x:row r="4126">
      <x:c r="A4126" s="25" t="n">
        <x:v>4125</x:v>
      </x:c>
      <x:c r="B4126" s="26" t="n">
        <x:v>44091.06475694444</x:v>
      </x:c>
      <x:c r="C4126" s="27" t="n">
        <x:f>INT(B4126)</x:f>
        <x:v>44091</x:v>
      </x:c>
      <x:c r="D4126" s="28" t="n">
        <x:f>MOD(B4126,1)</x:f>
        <x:v>0.06475694444088731</x:v>
      </x:c>
      <x:c r="E4126" s="29" t="n">
        <x:f>YEAR(B4126)</x:f>
        <x:v>2020</x:v>
      </x:c>
      <x:c r="F4126" s="29" t="n">
        <x:f>MONTH(B4126)</x:f>
        <x:v>9</x:v>
      </x:c>
      <x:c r="G4126" s="30" t="n">
        <x:v>-30.35</x:v>
      </x:c>
      <x:c r="H4126" s="30" t="n">
        <x:v>-71.52</x:v>
      </x:c>
      <x:c r="I4126" s="29" t="n">
        <x:v>40</x:v>
      </x:c>
      <x:c r="J4126" s="31" t="n">
        <x:v>5.1</x:v>
      </x:c>
      <x:c r="K4126" s="25" t="str">
        <x:f>IF(J4126&gt;=7,"Muy fuerte (&gt;=7)",IF(J4126&gt;=6,"Fuerte (6-6.9)",IF(J4126&gt;=5,"Moderado alto (5-5.9)",IF(J4126&gt;=4,"Moderado (4-4.9)","Menor a 4"))))</x:f>
        <x:v>Moderado alto (5-5.9)</x:v>
      </x:c>
      <x:c r="L4126" s="25" t="str">
        <x:f>IF(I4126&lt;70,"Superficial (&lt;70 km)",IF(I4126&lt;=300,"Intermedio (70-300 km)","Profundo (&gt;300 km)"))</x:f>
        <x:v>Superficial (&lt;70 km)</x:v>
      </x:c>
      <x:c r="M4126" s="25" t="str">
        <x:f>IF(J4126&gt;=5,"Sí","No")</x:f>
        <x:v>Sí</x:v>
      </x:c>
      <x:c r="N4126" s="25" t="str">
        <x:f>IF(J4126&gt;=6,"Sí","No")</x:f>
        <x:v>No</x:v>
      </x:c>
      <x:c r="O4126" s="25" t="str">
        <x:v>Pendiente: asignar con R/sf</x:v>
      </x:c>
    </x:row>
    <x:row r="4127">
      <x:c r="A4127" s="25" t="n">
        <x:v>4126</x:v>
      </x:c>
      <x:c r="B4127" s="26" t="n">
        <x:v>44039.42402777778</x:v>
      </x:c>
      <x:c r="C4127" s="27" t="n">
        <x:f>INT(B4127)</x:f>
        <x:v>44039</x:v>
      </x:c>
      <x:c r="D4127" s="28" t="n">
        <x:f>MOD(B4127,1)</x:f>
        <x:v>0.42402777777897427</x:v>
      </x:c>
      <x:c r="E4127" s="29" t="n">
        <x:f>YEAR(B4127)</x:f>
        <x:v>2020</x:v>
      </x:c>
      <x:c r="F4127" s="29" t="n">
        <x:f>MONTH(B4127)</x:f>
        <x:v>7</x:v>
      </x:c>
      <x:c r="G4127" s="30" t="n">
        <x:v>-32.47</x:v>
      </x:c>
      <x:c r="H4127" s="30" t="n">
        <x:v>-71.48</x:v>
      </x:c>
      <x:c r="I4127" s="29" t="n">
        <x:v>42</x:v>
      </x:c>
      <x:c r="J4127" s="31" t="n">
        <x:v>3.5</x:v>
      </x:c>
      <x:c r="K4127" s="25" t="str">
        <x:f>IF(J4127&gt;=7,"Muy fuerte (&gt;=7)",IF(J4127&gt;=6,"Fuerte (6-6.9)",IF(J4127&gt;=5,"Moderado alto (5-5.9)",IF(J4127&gt;=4,"Moderado (4-4.9)","Menor a 4"))))</x:f>
        <x:v>Menor a 4</x:v>
      </x:c>
      <x:c r="L4127" s="25" t="str">
        <x:f>IF(I4127&lt;70,"Superficial (&lt;70 km)",IF(I4127&lt;=300,"Intermedio (70-300 km)","Profundo (&gt;300 km)"))</x:f>
        <x:v>Superficial (&lt;70 km)</x:v>
      </x:c>
      <x:c r="M4127" s="25" t="str">
        <x:f>IF(J4127&gt;=5,"Sí","No")</x:f>
        <x:v>No</x:v>
      </x:c>
      <x:c r="N4127" s="25" t="str">
        <x:f>IF(J4127&gt;=6,"Sí","No")</x:f>
        <x:v>No</x:v>
      </x:c>
      <x:c r="O4127" s="25" t="str">
        <x:v>Pendiente: asignar con R/sf</x:v>
      </x:c>
    </x:row>
    <x:row r="4128">
      <x:c r="A4128" s="25" t="n">
        <x:v>4127</x:v>
      </x:c>
      <x:c r="B4128" s="26" t="n">
        <x:v>44002.32431712963</x:v>
      </x:c>
      <x:c r="C4128" s="27" t="n">
        <x:f>INT(B4128)</x:f>
        <x:v>44002</x:v>
      </x:c>
      <x:c r="D4128" s="28" t="n">
        <x:f>MOD(B4128,1)</x:f>
        <x:v>0.3243171296271612</x:v>
      </x:c>
      <x:c r="E4128" s="29" t="n">
        <x:f>YEAR(B4128)</x:f>
        <x:v>2020</x:v>
      </x:c>
      <x:c r="F4128" s="29" t="n">
        <x:f>MONTH(B4128)</x:f>
        <x:v>6</x:v>
      </x:c>
      <x:c r="G4128" s="30" t="n">
        <x:v>-32.8</x:v>
      </x:c>
      <x:c r="H4128" s="30" t="n">
        <x:v>-71.75</x:v>
      </x:c>
      <x:c r="I4128" s="29" t="n">
        <x:v>30</x:v>
      </x:c>
      <x:c r="J4128" s="31" t="n">
        <x:v>3.9</x:v>
      </x:c>
      <x:c r="K4128" s="25" t="str">
        <x:f>IF(J4128&gt;=7,"Muy fuerte (&gt;=7)",IF(J4128&gt;=6,"Fuerte (6-6.9)",IF(J4128&gt;=5,"Moderado alto (5-5.9)",IF(J4128&gt;=4,"Moderado (4-4.9)","Menor a 4"))))</x:f>
        <x:v>Menor a 4</x:v>
      </x:c>
      <x:c r="L4128" s="25" t="str">
        <x:f>IF(I4128&lt;70,"Superficial (&lt;70 km)",IF(I4128&lt;=300,"Intermedio (70-300 km)","Profundo (&gt;300 km)"))</x:f>
        <x:v>Superficial (&lt;70 km)</x:v>
      </x:c>
      <x:c r="M4128" s="25" t="str">
        <x:f>IF(J4128&gt;=5,"Sí","No")</x:f>
        <x:v>No</x:v>
      </x:c>
      <x:c r="N4128" s="25" t="str">
        <x:f>IF(J4128&gt;=6,"Sí","No")</x:f>
        <x:v>No</x:v>
      </x:c>
      <x:c r="O4128" s="25" t="str">
        <x:v>Pendiente: asignar con R/sf</x:v>
      </x:c>
    </x:row>
    <x:row r="4129">
      <x:c r="A4129" s="25" t="n">
        <x:v>4128</x:v>
      </x:c>
      <x:c r="B4129" s="26" t="n">
        <x:v>43913.71150462963</x:v>
      </x:c>
      <x:c r="C4129" s="27" t="n">
        <x:f>INT(B4129)</x:f>
        <x:v>43913</x:v>
      </x:c>
      <x:c r="D4129" s="28" t="n">
        <x:f>MOD(B4129,1)</x:f>
        <x:v>0.7115046296312357</x:v>
      </x:c>
      <x:c r="E4129" s="29" t="n">
        <x:f>YEAR(B4129)</x:f>
        <x:v>2020</x:v>
      </x:c>
      <x:c r="F4129" s="29" t="n">
        <x:f>MONTH(B4129)</x:f>
        <x:v>3</x:v>
      </x:c>
      <x:c r="G4129" s="30" t="n">
        <x:v>-32.62</x:v>
      </x:c>
      <x:c r="H4129" s="30" t="n">
        <x:v>-71.5</x:v>
      </x:c>
      <x:c r="I4129" s="29" t="n">
        <x:v>27</x:v>
      </x:c>
      <x:c r="J4129" s="31" t="n">
        <x:v>3.1</x:v>
      </x:c>
      <x:c r="K4129" s="25" t="str">
        <x:f>IF(J4129&gt;=7,"Muy fuerte (&gt;=7)",IF(J4129&gt;=6,"Fuerte (6-6.9)",IF(J4129&gt;=5,"Moderado alto (5-5.9)",IF(J4129&gt;=4,"Moderado (4-4.9)","Menor a 4"))))</x:f>
        <x:v>Menor a 4</x:v>
      </x:c>
      <x:c r="L4129" s="25" t="str">
        <x:f>IF(I4129&lt;70,"Superficial (&lt;70 km)",IF(I4129&lt;=300,"Intermedio (70-300 km)","Profundo (&gt;300 km)"))</x:f>
        <x:v>Superficial (&lt;70 km)</x:v>
      </x:c>
      <x:c r="M4129" s="25" t="str">
        <x:f>IF(J4129&gt;=5,"Sí","No")</x:f>
        <x:v>No</x:v>
      </x:c>
      <x:c r="N4129" s="25" t="str">
        <x:f>IF(J4129&gt;=6,"Sí","No")</x:f>
        <x:v>No</x:v>
      </x:c>
      <x:c r="O4129" s="25" t="str">
        <x:v>Pendiente: asignar con R/sf</x:v>
      </x:c>
    </x:row>
    <x:row r="4130">
      <x:c r="A4130" s="25" t="n">
        <x:v>4129</x:v>
      </x:c>
      <x:c r="B4130" s="26" t="n">
        <x:v>43526.08020833333</x:v>
      </x:c>
      <x:c r="C4130" s="27" t="n">
        <x:f>INT(B4130)</x:f>
        <x:v>43526</x:v>
      </x:c>
      <x:c r="D4130" s="28" t="n">
        <x:f>MOD(B4130,1)</x:f>
        <x:v>0.08020833333284827</x:v>
      </x:c>
      <x:c r="E4130" s="29" t="n">
        <x:f>YEAR(B4130)</x:f>
        <x:v>2019</x:v>
      </x:c>
      <x:c r="F4130" s="29" t="n">
        <x:f>MONTH(B4130)</x:f>
        <x:v>3</x:v>
      </x:c>
      <x:c r="G4130" s="30" t="n">
        <x:v>-33.14</x:v>
      </x:c>
      <x:c r="H4130" s="30" t="n">
        <x:v>-71.67</x:v>
      </x:c>
      <x:c r="I4130" s="29" t="n">
        <x:v>54</x:v>
      </x:c>
      <x:c r="J4130" s="31" t="n">
        <x:v>3.8</x:v>
      </x:c>
      <x:c r="K4130" s="25" t="str">
        <x:f>IF(J4130&gt;=7,"Muy fuerte (&gt;=7)",IF(J4130&gt;=6,"Fuerte (6-6.9)",IF(J4130&gt;=5,"Moderado alto (5-5.9)",IF(J4130&gt;=4,"Moderado (4-4.9)","Menor a 4"))))</x:f>
        <x:v>Menor a 4</x:v>
      </x:c>
      <x:c r="L4130" s="25" t="str">
        <x:f>IF(I4130&lt;70,"Superficial (&lt;70 km)",IF(I4130&lt;=300,"Intermedio (70-300 km)","Profundo (&gt;300 km)"))</x:f>
        <x:v>Superficial (&lt;70 km)</x:v>
      </x:c>
      <x:c r="M4130" s="25" t="str">
        <x:f>IF(J4130&gt;=5,"Sí","No")</x:f>
        <x:v>No</x:v>
      </x:c>
      <x:c r="N4130" s="25" t="str">
        <x:f>IF(J4130&gt;=6,"Sí","No")</x:f>
        <x:v>No</x:v>
      </x:c>
      <x:c r="O4130" s="25" t="str">
        <x:v>Pendiente: asignar con R/sf</x:v>
      </x:c>
    </x:row>
    <x:row r="4131">
      <x:c r="A4131" s="25" t="n">
        <x:v>4130</x:v>
      </x:c>
      <x:c r="B4131" s="26" t="n">
        <x:v>43702.450150462966</x:v>
      </x:c>
      <x:c r="C4131" s="27" t="n">
        <x:f>INT(B4131)</x:f>
        <x:v>43702</x:v>
      </x:c>
      <x:c r="D4131" s="28" t="n">
        <x:f>MOD(B4131,1)</x:f>
        <x:v>0.45015046296612127</x:v>
      </x:c>
      <x:c r="E4131" s="29" t="n">
        <x:f>YEAR(B4131)</x:f>
        <x:v>2019</x:v>
      </x:c>
      <x:c r="F4131" s="29" t="n">
        <x:f>MONTH(B4131)</x:f>
        <x:v>8</x:v>
      </x:c>
      <x:c r="G4131" s="30" t="n">
        <x:v>-32.53</x:v>
      </x:c>
      <x:c r="H4131" s="30" t="n">
        <x:v>-71.86</x:v>
      </x:c>
      <x:c r="I4131" s="29" t="n">
        <x:v>18</x:v>
      </x:c>
      <x:c r="J4131" s="31" t="n">
        <x:v>3.9</x:v>
      </x:c>
      <x:c r="K4131" s="25" t="str">
        <x:f>IF(J4131&gt;=7,"Muy fuerte (&gt;=7)",IF(J4131&gt;=6,"Fuerte (6-6.9)",IF(J4131&gt;=5,"Moderado alto (5-5.9)",IF(J4131&gt;=4,"Moderado (4-4.9)","Menor a 4"))))</x:f>
        <x:v>Menor a 4</x:v>
      </x:c>
      <x:c r="L4131" s="25" t="str">
        <x:f>IF(I4131&lt;70,"Superficial (&lt;70 km)",IF(I4131&lt;=300,"Intermedio (70-300 km)","Profundo (&gt;300 km)"))</x:f>
        <x:v>Superficial (&lt;70 km)</x:v>
      </x:c>
      <x:c r="M4131" s="25" t="str">
        <x:f>IF(J4131&gt;=5,"Sí","No")</x:f>
        <x:v>No</x:v>
      </x:c>
      <x:c r="N4131" s="25" t="str">
        <x:f>IF(J4131&gt;=6,"Sí","No")</x:f>
        <x:v>No</x:v>
      </x:c>
      <x:c r="O4131" s="25" t="str">
        <x:v>Pendiente: asignar con R/sf</x:v>
      </x:c>
    </x:row>
    <x:row r="4132">
      <x:c r="A4132" s="25" t="n">
        <x:v>4131</x:v>
      </x:c>
      <x:c r="B4132" s="26" t="n">
        <x:v>43954.235613425924</x:v>
      </x:c>
      <x:c r="C4132" s="27" t="n">
        <x:f>INT(B4132)</x:f>
        <x:v>43954</x:v>
      </x:c>
      <x:c r="D4132" s="28" t="n">
        <x:f>MOD(B4132,1)</x:f>
        <x:v>0.2356134259243845</x:v>
      </x:c>
      <x:c r="E4132" s="29" t="n">
        <x:f>YEAR(B4132)</x:f>
        <x:v>2020</x:v>
      </x:c>
      <x:c r="F4132" s="29" t="n">
        <x:f>MONTH(B4132)</x:f>
        <x:v>5</x:v>
      </x:c>
      <x:c r="G4132" s="30" t="n">
        <x:v>-31.78</x:v>
      </x:c>
      <x:c r="H4132" s="30" t="n">
        <x:v>-71.34</x:v>
      </x:c>
      <x:c r="I4132" s="29" t="n">
        <x:v>42</x:v>
      </x:c>
      <x:c r="J4132" s="31" t="n">
        <x:v>3.6</x:v>
      </x:c>
      <x:c r="K4132" s="25" t="str">
        <x:f>IF(J4132&gt;=7,"Muy fuerte (&gt;=7)",IF(J4132&gt;=6,"Fuerte (6-6.9)",IF(J4132&gt;=5,"Moderado alto (5-5.9)",IF(J4132&gt;=4,"Moderado (4-4.9)","Menor a 4"))))</x:f>
        <x:v>Menor a 4</x:v>
      </x:c>
      <x:c r="L4132" s="25" t="str">
        <x:f>IF(I4132&lt;70,"Superficial (&lt;70 km)",IF(I4132&lt;=300,"Intermedio (70-300 km)","Profundo (&gt;300 km)"))</x:f>
        <x:v>Superficial (&lt;70 km)</x:v>
      </x:c>
      <x:c r="M4132" s="25" t="str">
        <x:f>IF(J4132&gt;=5,"Sí","No")</x:f>
        <x:v>No</x:v>
      </x:c>
      <x:c r="N4132" s="25" t="str">
        <x:f>IF(J4132&gt;=6,"Sí","No")</x:f>
        <x:v>No</x:v>
      </x:c>
      <x:c r="O4132" s="25" t="str">
        <x:v>Pendiente: asignar con R/sf</x:v>
      </x:c>
    </x:row>
    <x:row r="4133">
      <x:c r="A4133" s="25" t="n">
        <x:v>4132</x:v>
      </x:c>
      <x:c r="B4133" s="26" t="n">
        <x:v>44085.44247685185</x:v>
      </x:c>
      <x:c r="C4133" s="27" t="n">
        <x:f>INT(B4133)</x:f>
        <x:v>44085</x:v>
      </x:c>
      <x:c r="D4133" s="28" t="n">
        <x:f>MOD(B4133,1)</x:f>
        <x:v>0.4424768518510973</x:v>
      </x:c>
      <x:c r="E4133" s="29" t="n">
        <x:f>YEAR(B4133)</x:f>
        <x:v>2020</x:v>
      </x:c>
      <x:c r="F4133" s="29" t="n">
        <x:f>MONTH(B4133)</x:f>
        <x:v>9</x:v>
      </x:c>
      <x:c r="G4133" s="30" t="n">
        <x:v>-21.37</x:v>
      </x:c>
      <x:c r="H4133" s="30" t="n">
        <x:v>-69.84</x:v>
      </x:c>
      <x:c r="I4133" s="29" t="n">
        <x:v>53</x:v>
      </x:c>
      <x:c r="J4133" s="31" t="n">
        <x:v>3.2</x:v>
      </x:c>
      <x:c r="K4133" s="25" t="str">
        <x:f>IF(J4133&gt;=7,"Muy fuerte (&gt;=7)",IF(J4133&gt;=6,"Fuerte (6-6.9)",IF(J4133&gt;=5,"Moderado alto (5-5.9)",IF(J4133&gt;=4,"Moderado (4-4.9)","Menor a 4"))))</x:f>
        <x:v>Menor a 4</x:v>
      </x:c>
      <x:c r="L4133" s="25" t="str">
        <x:f>IF(I4133&lt;70,"Superficial (&lt;70 km)",IF(I4133&lt;=300,"Intermedio (70-300 km)","Profundo (&gt;300 km)"))</x:f>
        <x:v>Superficial (&lt;70 km)</x:v>
      </x:c>
      <x:c r="M4133" s="25" t="str">
        <x:f>IF(J4133&gt;=5,"Sí","No")</x:f>
        <x:v>No</x:v>
      </x:c>
      <x:c r="N4133" s="25" t="str">
        <x:f>IF(J4133&gt;=6,"Sí","No")</x:f>
        <x:v>No</x:v>
      </x:c>
      <x:c r="O4133" s="25" t="str">
        <x:v>Pendiente: asignar con R/sf</x:v>
      </x:c>
    </x:row>
    <x:row r="4134">
      <x:c r="A4134" s="25" t="n">
        <x:v>4133</x:v>
      </x:c>
      <x:c r="B4134" s="26" t="n">
        <x:v>43896.80673611111</x:v>
      </x:c>
      <x:c r="C4134" s="27" t="n">
        <x:f>INT(B4134)</x:f>
        <x:v>43896</x:v>
      </x:c>
      <x:c r="D4134" s="28" t="n">
        <x:f>MOD(B4134,1)</x:f>
        <x:v>0.8067361111097853</x:v>
      </x:c>
      <x:c r="E4134" s="29" t="n">
        <x:f>YEAR(B4134)</x:f>
        <x:v>2020</x:v>
      </x:c>
      <x:c r="F4134" s="29" t="n">
        <x:f>MONTH(B4134)</x:f>
        <x:v>3</x:v>
      </x:c>
      <x:c r="G4134" s="30" t="n">
        <x:v>-32.5</x:v>
      </x:c>
      <x:c r="H4134" s="30" t="n">
        <x:v>-71.55</x:v>
      </x:c>
      <x:c r="I4134" s="29" t="n">
        <x:v>44</x:v>
      </x:c>
      <x:c r="J4134" s="31" t="n">
        <x:v>3.2</x:v>
      </x:c>
      <x:c r="K4134" s="25" t="str">
        <x:f>IF(J4134&gt;=7,"Muy fuerte (&gt;=7)",IF(J4134&gt;=6,"Fuerte (6-6.9)",IF(J4134&gt;=5,"Moderado alto (5-5.9)",IF(J4134&gt;=4,"Moderado (4-4.9)","Menor a 4"))))</x:f>
        <x:v>Menor a 4</x:v>
      </x:c>
      <x:c r="L4134" s="25" t="str">
        <x:f>IF(I4134&lt;70,"Superficial (&lt;70 km)",IF(I4134&lt;=300,"Intermedio (70-300 km)","Profundo (&gt;300 km)"))</x:f>
        <x:v>Superficial (&lt;70 km)</x:v>
      </x:c>
      <x:c r="M4134" s="25" t="str">
        <x:f>IF(J4134&gt;=5,"Sí","No")</x:f>
        <x:v>No</x:v>
      </x:c>
      <x:c r="N4134" s="25" t="str">
        <x:f>IF(J4134&gt;=6,"Sí","No")</x:f>
        <x:v>No</x:v>
      </x:c>
      <x:c r="O4134" s="25" t="str">
        <x:v>Pendiente: asignar con R/sf</x:v>
      </x:c>
    </x:row>
    <x:row r="4135">
      <x:c r="A4135" s="25" t="n">
        <x:v>4134</x:v>
      </x:c>
      <x:c r="B4135" s="26" t="n">
        <x:v>43760.88034722222</x:v>
      </x:c>
      <x:c r="C4135" s="27" t="n">
        <x:f>INT(B4135)</x:f>
        <x:v>43760</x:v>
      </x:c>
      <x:c r="D4135" s="28" t="n">
        <x:f>MOD(B4135,1)</x:f>
        <x:v>0.8803472222207347</x:v>
      </x:c>
      <x:c r="E4135" s="29" t="n">
        <x:f>YEAR(B4135)</x:f>
        <x:v>2019</x:v>
      </x:c>
      <x:c r="F4135" s="29" t="n">
        <x:f>MONTH(B4135)</x:f>
        <x:v>10</x:v>
      </x:c>
      <x:c r="G4135" s="30" t="n">
        <x:v>-32.56</x:v>
      </x:c>
      <x:c r="H4135" s="30" t="n">
        <x:v>-71.56</x:v>
      </x:c>
      <x:c r="I4135" s="29" t="n">
        <x:v>61</x:v>
      </x:c>
      <x:c r="J4135" s="31" t="n">
        <x:v>3.5</x:v>
      </x:c>
      <x:c r="K4135" s="25" t="str">
        <x:f>IF(J4135&gt;=7,"Muy fuerte (&gt;=7)",IF(J4135&gt;=6,"Fuerte (6-6.9)",IF(J4135&gt;=5,"Moderado alto (5-5.9)",IF(J4135&gt;=4,"Moderado (4-4.9)","Menor a 4"))))</x:f>
        <x:v>Menor a 4</x:v>
      </x:c>
      <x:c r="L4135" s="25" t="str">
        <x:f>IF(I4135&lt;70,"Superficial (&lt;70 km)",IF(I4135&lt;=300,"Intermedio (70-300 km)","Profundo (&gt;300 km)"))</x:f>
        <x:v>Superficial (&lt;70 km)</x:v>
      </x:c>
      <x:c r="M4135" s="25" t="str">
        <x:f>IF(J4135&gt;=5,"Sí","No")</x:f>
        <x:v>No</x:v>
      </x:c>
      <x:c r="N4135" s="25" t="str">
        <x:f>IF(J4135&gt;=6,"Sí","No")</x:f>
        <x:v>No</x:v>
      </x:c>
      <x:c r="O4135" s="25" t="str">
        <x:v>Pendiente: asignar con R/sf</x:v>
      </x:c>
    </x:row>
    <x:row r="4136">
      <x:c r="A4136" s="25" t="n">
        <x:v>4135</x:v>
      </x:c>
      <x:c r="B4136" s="26" t="n">
        <x:v>44085.32560185185</x:v>
      </x:c>
      <x:c r="C4136" s="27" t="n">
        <x:f>INT(B4136)</x:f>
        <x:v>44085</x:v>
      </x:c>
      <x:c r="D4136" s="28" t="n">
        <x:f>MOD(B4136,1)</x:f>
        <x:v>0.32560185185138835</x:v>
      </x:c>
      <x:c r="E4136" s="29" t="n">
        <x:f>YEAR(B4136)</x:f>
        <x:v>2020</x:v>
      </x:c>
      <x:c r="F4136" s="29" t="n">
        <x:f>MONTH(B4136)</x:f>
        <x:v>9</x:v>
      </x:c>
      <x:c r="G4136" s="30" t="n">
        <x:v>-21.39</x:v>
      </x:c>
      <x:c r="H4136" s="30" t="n">
        <x:v>-69.86</x:v>
      </x:c>
      <x:c r="I4136" s="29" t="n">
        <x:v>48</x:v>
      </x:c>
      <x:c r="J4136" s="31" t="n">
        <x:v>3.6</x:v>
      </x:c>
      <x:c r="K4136" s="25" t="str">
        <x:f>IF(J4136&gt;=7,"Muy fuerte (&gt;=7)",IF(J4136&gt;=6,"Fuerte (6-6.9)",IF(J4136&gt;=5,"Moderado alto (5-5.9)",IF(J4136&gt;=4,"Moderado (4-4.9)","Menor a 4"))))</x:f>
        <x:v>Menor a 4</x:v>
      </x:c>
      <x:c r="L4136" s="25" t="str">
        <x:f>IF(I4136&lt;70,"Superficial (&lt;70 km)",IF(I4136&lt;=300,"Intermedio (70-300 km)","Profundo (&gt;300 km)"))</x:f>
        <x:v>Superficial (&lt;70 km)</x:v>
      </x:c>
      <x:c r="M4136" s="25" t="str">
        <x:f>IF(J4136&gt;=5,"Sí","No")</x:f>
        <x:v>No</x:v>
      </x:c>
      <x:c r="N4136" s="25" t="str">
        <x:f>IF(J4136&gt;=6,"Sí","No")</x:f>
        <x:v>No</x:v>
      </x:c>
      <x:c r="O4136" s="25" t="str">
        <x:v>Pendiente: asignar con R/sf</x:v>
      </x:c>
    </x:row>
    <x:row r="4137">
      <x:c r="A4137" s="25" t="n">
        <x:v>4136</x:v>
      </x:c>
      <x:c r="B4137" s="26" t="n">
        <x:v>43956.72206018519</x:v>
      </x:c>
      <x:c r="C4137" s="27" t="n">
        <x:f>INT(B4137)</x:f>
        <x:v>43956</x:v>
      </x:c>
      <x:c r="D4137" s="28" t="n">
        <x:f>MOD(B4137,1)</x:f>
        <x:v>0.7220601851877291</x:v>
      </x:c>
      <x:c r="E4137" s="29" t="n">
        <x:f>YEAR(B4137)</x:f>
        <x:v>2020</x:v>
      </x:c>
      <x:c r="F4137" s="29" t="n">
        <x:f>MONTH(B4137)</x:f>
        <x:v>5</x:v>
      </x:c>
      <x:c r="G4137" s="30" t="n">
        <x:v>-34.05</x:v>
      </x:c>
      <x:c r="H4137" s="30" t="n">
        <x:v>-71.23</x:v>
      </x:c>
      <x:c r="I4137" s="29" t="n">
        <x:v>56</x:v>
      </x:c>
      <x:c r="J4137" s="31" t="n">
        <x:v>4.6</x:v>
      </x:c>
      <x:c r="K4137" s="25" t="str">
        <x:f>IF(J4137&gt;=7,"Muy fuerte (&gt;=7)",IF(J4137&gt;=6,"Fuerte (6-6.9)",IF(J4137&gt;=5,"Moderado alto (5-5.9)",IF(J4137&gt;=4,"Moderado (4-4.9)","Menor a 4"))))</x:f>
        <x:v>Moderado (4-4.9)</x:v>
      </x:c>
      <x:c r="L4137" s="25" t="str">
        <x:f>IF(I4137&lt;70,"Superficial (&lt;70 km)",IF(I4137&lt;=300,"Intermedio (70-300 km)","Profundo (&gt;300 km)"))</x:f>
        <x:v>Superficial (&lt;70 km)</x:v>
      </x:c>
      <x:c r="M4137" s="25" t="str">
        <x:f>IF(J4137&gt;=5,"Sí","No")</x:f>
        <x:v>No</x:v>
      </x:c>
      <x:c r="N4137" s="25" t="str">
        <x:f>IF(J4137&gt;=6,"Sí","No")</x:f>
        <x:v>No</x:v>
      </x:c>
      <x:c r="O4137" s="25" t="str">
        <x:v>Pendiente: asignar con R/sf</x:v>
      </x:c>
    </x:row>
    <x:row r="4138">
      <x:c r="A4138" s="25" t="n">
        <x:v>4137</x:v>
      </x:c>
      <x:c r="B4138" s="26" t="n">
        <x:v>44021.15741898148</x:v>
      </x:c>
      <x:c r="C4138" s="27" t="n">
        <x:f>INT(B4138)</x:f>
        <x:v>44021</x:v>
      </x:c>
      <x:c r="D4138" s="28" t="n">
        <x:f>MOD(B4138,1)</x:f>
        <x:v>0.1574189814782585</x:v>
      </x:c>
      <x:c r="E4138" s="29" t="n">
        <x:f>YEAR(B4138)</x:f>
        <x:v>2020</x:v>
      </x:c>
      <x:c r="F4138" s="29" t="n">
        <x:f>MONTH(B4138)</x:f>
        <x:v>7</x:v>
      </x:c>
      <x:c r="G4138" s="30" t="n">
        <x:v>-32.5</x:v>
      </x:c>
      <x:c r="H4138" s="30" t="n">
        <x:v>-71.51</x:v>
      </x:c>
      <x:c r="I4138" s="29" t="n">
        <x:v>47</x:v>
      </x:c>
      <x:c r="J4138" s="31" t="n">
        <x:v>3.7</x:v>
      </x:c>
      <x:c r="K4138" s="25" t="str">
        <x:f>IF(J4138&gt;=7,"Muy fuerte (&gt;=7)",IF(J4138&gt;=6,"Fuerte (6-6.9)",IF(J4138&gt;=5,"Moderado alto (5-5.9)",IF(J4138&gt;=4,"Moderado (4-4.9)","Menor a 4"))))</x:f>
        <x:v>Menor a 4</x:v>
      </x:c>
      <x:c r="L4138" s="25" t="str">
        <x:f>IF(I4138&lt;70,"Superficial (&lt;70 km)",IF(I4138&lt;=300,"Intermedio (70-300 km)","Profundo (&gt;300 km)"))</x:f>
        <x:v>Superficial (&lt;70 km)</x:v>
      </x:c>
      <x:c r="M4138" s="25" t="str">
        <x:f>IF(J4138&gt;=5,"Sí","No")</x:f>
        <x:v>No</x:v>
      </x:c>
      <x:c r="N4138" s="25" t="str">
        <x:f>IF(J4138&gt;=6,"Sí","No")</x:f>
        <x:v>No</x:v>
      </x:c>
      <x:c r="O4138" s="25" t="str">
        <x:v>Pendiente: asignar con R/sf</x:v>
      </x:c>
    </x:row>
    <x:row r="4139">
      <x:c r="A4139" s="25" t="n">
        <x:v>4138</x:v>
      </x:c>
      <x:c r="B4139" s="26" t="n">
        <x:v>44026.89375</x:v>
      </x:c>
      <x:c r="C4139" s="27" t="n">
        <x:f>INT(B4139)</x:f>
        <x:v>44026</x:v>
      </x:c>
      <x:c r="D4139" s="28" t="n">
        <x:f>MOD(B4139,1)</x:f>
        <x:v>0.8937500000029104</x:v>
      </x:c>
      <x:c r="E4139" s="29" t="n">
        <x:f>YEAR(B4139)</x:f>
        <x:v>2020</x:v>
      </x:c>
      <x:c r="F4139" s="29" t="n">
        <x:f>MONTH(B4139)</x:f>
        <x:v>7</x:v>
      </x:c>
      <x:c r="G4139" s="30" t="n">
        <x:v>-31.92</x:v>
      </x:c>
      <x:c r="H4139" s="30" t="n">
        <x:v>-71.41</x:v>
      </x:c>
      <x:c r="I4139" s="29" t="n">
        <x:v>48</x:v>
      </x:c>
      <x:c r="J4139" s="31" t="n">
        <x:v>3.3</x:v>
      </x:c>
      <x:c r="K4139" s="25" t="str">
        <x:f>IF(J4139&gt;=7,"Muy fuerte (&gt;=7)",IF(J4139&gt;=6,"Fuerte (6-6.9)",IF(J4139&gt;=5,"Moderado alto (5-5.9)",IF(J4139&gt;=4,"Moderado (4-4.9)","Menor a 4"))))</x:f>
        <x:v>Menor a 4</x:v>
      </x:c>
      <x:c r="L4139" s="25" t="str">
        <x:f>IF(I4139&lt;70,"Superficial (&lt;70 km)",IF(I4139&lt;=300,"Intermedio (70-300 km)","Profundo (&gt;300 km)"))</x:f>
        <x:v>Superficial (&lt;70 km)</x:v>
      </x:c>
      <x:c r="M4139" s="25" t="str">
        <x:f>IF(J4139&gt;=5,"Sí","No")</x:f>
        <x:v>No</x:v>
      </x:c>
      <x:c r="N4139" s="25" t="str">
        <x:f>IF(J4139&gt;=6,"Sí","No")</x:f>
        <x:v>No</x:v>
      </x:c>
      <x:c r="O4139" s="25" t="str">
        <x:v>Pendiente: asignar con R/sf</x:v>
      </x:c>
    </x:row>
    <x:row r="4140">
      <x:c r="A4140" s="25" t="n">
        <x:v>4139</x:v>
      </x:c>
      <x:c r="B4140" s="26" t="n">
        <x:v>44085.63246527778</x:v>
      </x:c>
      <x:c r="C4140" s="27" t="n">
        <x:f>INT(B4140)</x:f>
        <x:v>44085</x:v>
      </x:c>
      <x:c r="D4140" s="28" t="n">
        <x:f>MOD(B4140,1)</x:f>
        <x:v>0.632465277776646</x:v>
      </x:c>
      <x:c r="E4140" s="29" t="n">
        <x:f>YEAR(B4140)</x:f>
        <x:v>2020</x:v>
      </x:c>
      <x:c r="F4140" s="29" t="n">
        <x:f>MONTH(B4140)</x:f>
        <x:v>9</x:v>
      </x:c>
      <x:c r="G4140" s="30" t="n">
        <x:v>-21.35</x:v>
      </x:c>
      <x:c r="H4140" s="30" t="n">
        <x:v>-69.85</x:v>
      </x:c>
      <x:c r="I4140" s="29" t="n">
        <x:v>48</x:v>
      </x:c>
      <x:c r="J4140" s="31" t="n">
        <x:v>3.9</x:v>
      </x:c>
      <x:c r="K4140" s="25" t="str">
        <x:f>IF(J4140&gt;=7,"Muy fuerte (&gt;=7)",IF(J4140&gt;=6,"Fuerte (6-6.9)",IF(J4140&gt;=5,"Moderado alto (5-5.9)",IF(J4140&gt;=4,"Moderado (4-4.9)","Menor a 4"))))</x:f>
        <x:v>Menor a 4</x:v>
      </x:c>
      <x:c r="L4140" s="25" t="str">
        <x:f>IF(I4140&lt;70,"Superficial (&lt;70 km)",IF(I4140&lt;=300,"Intermedio (70-300 km)","Profundo (&gt;300 km)"))</x:f>
        <x:v>Superficial (&lt;70 km)</x:v>
      </x:c>
      <x:c r="M4140" s="25" t="str">
        <x:f>IF(J4140&gt;=5,"Sí","No")</x:f>
        <x:v>No</x:v>
      </x:c>
      <x:c r="N4140" s="25" t="str">
        <x:f>IF(J4140&gt;=6,"Sí","No")</x:f>
        <x:v>No</x:v>
      </x:c>
      <x:c r="O4140" s="25" t="str">
        <x:v>Pendiente: asignar con R/sf</x:v>
      </x:c>
    </x:row>
    <x:row r="4141">
      <x:c r="A4141" s="25" t="n">
        <x:v>4140</x:v>
      </x:c>
      <x:c r="B4141" s="26" t="n">
        <x:v>43564.52072916667</x:v>
      </x:c>
      <x:c r="C4141" s="27" t="n">
        <x:f>INT(B4141)</x:f>
        <x:v>43564</x:v>
      </x:c>
      <x:c r="D4141" s="28" t="n">
        <x:f>MOD(B4141,1)</x:f>
        <x:v>0.5207291666665697</x:v>
      </x:c>
      <x:c r="E4141" s="29" t="n">
        <x:f>YEAR(B4141)</x:f>
        <x:v>2019</x:v>
      </x:c>
      <x:c r="F4141" s="29" t="n">
        <x:f>MONTH(B4141)</x:f>
        <x:v>4</x:v>
      </x:c>
      <x:c r="G4141" s="30" t="n">
        <x:v>-33.42</x:v>
      </x:c>
      <x:c r="H4141" s="30" t="n">
        <x:v>-71.95</x:v>
      </x:c>
      <x:c r="I4141" s="29" t="n">
        <x:v>37</x:v>
      </x:c>
      <x:c r="J4141" s="31" t="n">
        <x:v>3.8</x:v>
      </x:c>
      <x:c r="K4141" s="25" t="str">
        <x:f>IF(J4141&gt;=7,"Muy fuerte (&gt;=7)",IF(J4141&gt;=6,"Fuerte (6-6.9)",IF(J4141&gt;=5,"Moderado alto (5-5.9)",IF(J4141&gt;=4,"Moderado (4-4.9)","Menor a 4"))))</x:f>
        <x:v>Menor a 4</x:v>
      </x:c>
      <x:c r="L4141" s="25" t="str">
        <x:f>IF(I4141&lt;70,"Superficial (&lt;70 km)",IF(I4141&lt;=300,"Intermedio (70-300 km)","Profundo (&gt;300 km)"))</x:f>
        <x:v>Superficial (&lt;70 km)</x:v>
      </x:c>
      <x:c r="M4141" s="25" t="str">
        <x:f>IF(J4141&gt;=5,"Sí","No")</x:f>
        <x:v>No</x:v>
      </x:c>
      <x:c r="N4141" s="25" t="str">
        <x:f>IF(J4141&gt;=6,"Sí","No")</x:f>
        <x:v>No</x:v>
      </x:c>
      <x:c r="O4141" s="25" t="str">
        <x:v>Pendiente: asignar con R/sf</x:v>
      </x:c>
    </x:row>
    <x:row r="4142">
      <x:c r="A4142" s="25" t="n">
        <x:v>4141</x:v>
      </x:c>
      <x:c r="B4142" s="26" t="n">
        <x:v>43565.52976851852</x:v>
      </x:c>
      <x:c r="C4142" s="27" t="n">
        <x:f>INT(B4142)</x:f>
        <x:v>43565</x:v>
      </x:c>
      <x:c r="D4142" s="28" t="n">
        <x:f>MOD(B4142,1)</x:f>
        <x:v>0.5297685185214505</x:v>
      </x:c>
      <x:c r="E4142" s="29" t="n">
        <x:f>YEAR(B4142)</x:f>
        <x:v>2019</x:v>
      </x:c>
      <x:c r="F4142" s="29" t="n">
        <x:f>MONTH(B4142)</x:f>
        <x:v>4</x:v>
      </x:c>
      <x:c r="G4142" s="30" t="n">
        <x:v>-32.13</x:v>
      </x:c>
      <x:c r="H4142" s="30" t="n">
        <x:v>-71.57</x:v>
      </x:c>
      <x:c r="I4142" s="29" t="n">
        <x:v>37</x:v>
      </x:c>
      <x:c r="J4142" s="31" t="n">
        <x:v>3.7</x:v>
      </x:c>
      <x:c r="K4142" s="25" t="str">
        <x:f>IF(J4142&gt;=7,"Muy fuerte (&gt;=7)",IF(J4142&gt;=6,"Fuerte (6-6.9)",IF(J4142&gt;=5,"Moderado alto (5-5.9)",IF(J4142&gt;=4,"Moderado (4-4.9)","Menor a 4"))))</x:f>
        <x:v>Menor a 4</x:v>
      </x:c>
      <x:c r="L4142" s="25" t="str">
        <x:f>IF(I4142&lt;70,"Superficial (&lt;70 km)",IF(I4142&lt;=300,"Intermedio (70-300 km)","Profundo (&gt;300 km)"))</x:f>
        <x:v>Superficial (&lt;70 km)</x:v>
      </x:c>
      <x:c r="M4142" s="25" t="str">
        <x:f>IF(J4142&gt;=5,"Sí","No")</x:f>
        <x:v>No</x:v>
      </x:c>
      <x:c r="N4142" s="25" t="str">
        <x:f>IF(J4142&gt;=6,"Sí","No")</x:f>
        <x:v>No</x:v>
      </x:c>
      <x:c r="O4142" s="25" t="str">
        <x:v>Pendiente: asignar con R/sf</x:v>
      </x:c>
    </x:row>
    <x:row r="4143">
      <x:c r="A4143" s="25" t="n">
        <x:v>4142</x:v>
      </x:c>
      <x:c r="B4143" s="26" t="n">
        <x:v>44007.69363425926</x:v>
      </x:c>
      <x:c r="C4143" s="27" t="n">
        <x:f>INT(B4143)</x:f>
        <x:v>44007</x:v>
      </x:c>
      <x:c r="D4143" s="28" t="n">
        <x:f>MOD(B4143,1)</x:f>
        <x:v>0.6936342592598521</x:v>
      </x:c>
      <x:c r="E4143" s="29" t="n">
        <x:f>YEAR(B4143)</x:f>
        <x:v>2020</x:v>
      </x:c>
      <x:c r="F4143" s="29" t="n">
        <x:f>MONTH(B4143)</x:f>
        <x:v>6</x:v>
      </x:c>
      <x:c r="G4143" s="30" t="n">
        <x:v>-32.24</x:v>
      </x:c>
      <x:c r="H4143" s="30" t="n">
        <x:v>-71.71</x:v>
      </x:c>
      <x:c r="I4143" s="29" t="n">
        <x:v>37</x:v>
      </x:c>
      <x:c r="J4143" s="31" t="n">
        <x:v>3.8</x:v>
      </x:c>
      <x:c r="K4143" s="25" t="str">
        <x:f>IF(J4143&gt;=7,"Muy fuerte (&gt;=7)",IF(J4143&gt;=6,"Fuerte (6-6.9)",IF(J4143&gt;=5,"Moderado alto (5-5.9)",IF(J4143&gt;=4,"Moderado (4-4.9)","Menor a 4"))))</x:f>
        <x:v>Menor a 4</x:v>
      </x:c>
      <x:c r="L4143" s="25" t="str">
        <x:f>IF(I4143&lt;70,"Superficial (&lt;70 km)",IF(I4143&lt;=300,"Intermedio (70-300 km)","Profundo (&gt;300 km)"))</x:f>
        <x:v>Superficial (&lt;70 km)</x:v>
      </x:c>
      <x:c r="M4143" s="25" t="str">
        <x:f>IF(J4143&gt;=5,"Sí","No")</x:f>
        <x:v>No</x:v>
      </x:c>
      <x:c r="N4143" s="25" t="str">
        <x:f>IF(J4143&gt;=6,"Sí","No")</x:f>
        <x:v>No</x:v>
      </x:c>
      <x:c r="O4143" s="25" t="str">
        <x:v>Pendiente: asignar con R/sf</x:v>
      </x:c>
    </x:row>
    <x:row r="4144">
      <x:c r="A4144" s="25" t="n">
        <x:v>4143</x:v>
      </x:c>
      <x:c r="B4144" s="26" t="n">
        <x:v>43992.29635416667</x:v>
      </x:c>
      <x:c r="C4144" s="27" t="n">
        <x:f>INT(B4144)</x:f>
        <x:v>43992</x:v>
      </x:c>
      <x:c r="D4144" s="28" t="n">
        <x:f>MOD(B4144,1)</x:f>
        <x:v>0.2963541666686069</x:v>
      </x:c>
      <x:c r="E4144" s="29" t="n">
        <x:f>YEAR(B4144)</x:f>
        <x:v>2020</x:v>
      </x:c>
      <x:c r="F4144" s="29" t="n">
        <x:f>MONTH(B4144)</x:f>
        <x:v>6</x:v>
      </x:c>
      <x:c r="G4144" s="30" t="n">
        <x:v>-32.18</x:v>
      </x:c>
      <x:c r="H4144" s="30" t="n">
        <x:v>-71.57</x:v>
      </x:c>
      <x:c r="I4144" s="29" t="n">
        <x:v>52</x:v>
      </x:c>
      <x:c r="J4144" s="31" t="n">
        <x:v>3.8</x:v>
      </x:c>
      <x:c r="K4144" s="25" t="str">
        <x:f>IF(J4144&gt;=7,"Muy fuerte (&gt;=7)",IF(J4144&gt;=6,"Fuerte (6-6.9)",IF(J4144&gt;=5,"Moderado alto (5-5.9)",IF(J4144&gt;=4,"Moderado (4-4.9)","Menor a 4"))))</x:f>
        <x:v>Menor a 4</x:v>
      </x:c>
      <x:c r="L4144" s="25" t="str">
        <x:f>IF(I4144&lt;70,"Superficial (&lt;70 km)",IF(I4144&lt;=300,"Intermedio (70-300 km)","Profundo (&gt;300 km)"))</x:f>
        <x:v>Superficial (&lt;70 km)</x:v>
      </x:c>
      <x:c r="M4144" s="25" t="str">
        <x:f>IF(J4144&gt;=5,"Sí","No")</x:f>
        <x:v>No</x:v>
      </x:c>
      <x:c r="N4144" s="25" t="str">
        <x:f>IF(J4144&gt;=6,"Sí","No")</x:f>
        <x:v>No</x:v>
      </x:c>
      <x:c r="O4144" s="25" t="str">
        <x:v>Pendiente: asignar con R/sf</x:v>
      </x:c>
    </x:row>
    <x:row r="4145">
      <x:c r="A4145" s="25" t="n">
        <x:v>4144</x:v>
      </x:c>
      <x:c r="B4145" s="26" t="n">
        <x:v>44085.35076388889</x:v>
      </x:c>
      <x:c r="C4145" s="27" t="n">
        <x:f>INT(B4145)</x:f>
        <x:v>44085</x:v>
      </x:c>
      <x:c r="D4145" s="28" t="n">
        <x:f>MOD(B4145,1)</x:f>
        <x:v>0.3507638888913789</x:v>
      </x:c>
      <x:c r="E4145" s="29" t="n">
        <x:f>YEAR(B4145)</x:f>
        <x:v>2020</x:v>
      </x:c>
      <x:c r="F4145" s="29" t="n">
        <x:f>MONTH(B4145)</x:f>
        <x:v>9</x:v>
      </x:c>
      <x:c r="G4145" s="30" t="n">
        <x:v>-21.39</x:v>
      </x:c>
      <x:c r="H4145" s="30" t="n">
        <x:v>-69.89</x:v>
      </x:c>
      <x:c r="I4145" s="29" t="n">
        <x:v>48</x:v>
      </x:c>
      <x:c r="J4145" s="31" t="n">
        <x:v>4.6</x:v>
      </x:c>
      <x:c r="K4145" s="25" t="str">
        <x:f>IF(J4145&gt;=7,"Muy fuerte (&gt;=7)",IF(J4145&gt;=6,"Fuerte (6-6.9)",IF(J4145&gt;=5,"Moderado alto (5-5.9)",IF(J4145&gt;=4,"Moderado (4-4.9)","Menor a 4"))))</x:f>
        <x:v>Moderado (4-4.9)</x:v>
      </x:c>
      <x:c r="L4145" s="25" t="str">
        <x:f>IF(I4145&lt;70,"Superficial (&lt;70 km)",IF(I4145&lt;=300,"Intermedio (70-300 km)","Profundo (&gt;300 km)"))</x:f>
        <x:v>Superficial (&lt;70 km)</x:v>
      </x:c>
      <x:c r="M4145" s="25" t="str">
        <x:f>IF(J4145&gt;=5,"Sí","No")</x:f>
        <x:v>No</x:v>
      </x:c>
      <x:c r="N4145" s="25" t="str">
        <x:f>IF(J4145&gt;=6,"Sí","No")</x:f>
        <x:v>No</x:v>
      </x:c>
      <x:c r="O4145" s="25" t="str">
        <x:v>Pendiente: asignar con R/sf</x:v>
      </x:c>
    </x:row>
    <x:row r="4146">
      <x:c r="A4146" s="25" t="n">
        <x:v>4145</x:v>
      </x:c>
      <x:c r="B4146" s="26" t="n">
        <x:v>43637.4525</x:v>
      </x:c>
      <x:c r="C4146" s="27" t="n">
        <x:f>INT(B4146)</x:f>
        <x:v>43637</x:v>
      </x:c>
      <x:c r="D4146" s="28" t="n">
        <x:f>MOD(B4146,1)</x:f>
        <x:v>0.4524999999994179</x:v>
      </x:c>
      <x:c r="E4146" s="29" t="n">
        <x:f>YEAR(B4146)</x:f>
        <x:v>2019</x:v>
      </x:c>
      <x:c r="F4146" s="29" t="n">
        <x:f>MONTH(B4146)</x:f>
        <x:v>6</x:v>
      </x:c>
      <x:c r="G4146" s="30" t="n">
        <x:v>-32.57</x:v>
      </x:c>
      <x:c r="H4146" s="30" t="n">
        <x:v>-71.55</x:v>
      </x:c>
      <x:c r="I4146" s="29" t="n">
        <x:v>33</x:v>
      </x:c>
      <x:c r="J4146" s="31" t="n">
        <x:v>3.1</x:v>
      </x:c>
      <x:c r="K4146" s="25" t="str">
        <x:f>IF(J4146&gt;=7,"Muy fuerte (&gt;=7)",IF(J4146&gt;=6,"Fuerte (6-6.9)",IF(J4146&gt;=5,"Moderado alto (5-5.9)",IF(J4146&gt;=4,"Moderado (4-4.9)","Menor a 4"))))</x:f>
        <x:v>Menor a 4</x:v>
      </x:c>
      <x:c r="L4146" s="25" t="str">
        <x:f>IF(I4146&lt;70,"Superficial (&lt;70 km)",IF(I4146&lt;=300,"Intermedio (70-300 km)","Profundo (&gt;300 km)"))</x:f>
        <x:v>Superficial (&lt;70 km)</x:v>
      </x:c>
      <x:c r="M4146" s="25" t="str">
        <x:f>IF(J4146&gt;=5,"Sí","No")</x:f>
        <x:v>No</x:v>
      </x:c>
      <x:c r="N4146" s="25" t="str">
        <x:f>IF(J4146&gt;=6,"Sí","No")</x:f>
        <x:v>No</x:v>
      </x:c>
      <x:c r="O4146" s="25" t="str">
        <x:v>Pendiente: asignar con R/sf</x:v>
      </x:c>
    </x:row>
    <x:row r="4147">
      <x:c r="A4147" s="25" t="n">
        <x:v>4146</x:v>
      </x:c>
      <x:c r="B4147" s="26" t="n">
        <x:v>44091.28291666666</x:v>
      </x:c>
      <x:c r="C4147" s="27" t="n">
        <x:f>INT(B4147)</x:f>
        <x:v>44091</x:v>
      </x:c>
      <x:c r="D4147" s="28" t="n">
        <x:f>MOD(B4147,1)</x:f>
        <x:v>0.28291666666336823</x:v>
      </x:c>
      <x:c r="E4147" s="29" t="n">
        <x:f>YEAR(B4147)</x:f>
        <x:v>2020</x:v>
      </x:c>
      <x:c r="F4147" s="29" t="n">
        <x:f>MONTH(B4147)</x:f>
        <x:v>9</x:v>
      </x:c>
      <x:c r="G4147" s="30" t="n">
        <x:v>-21.38</x:v>
      </x:c>
      <x:c r="H4147" s="30" t="n">
        <x:v>-69.81</x:v>
      </x:c>
      <x:c r="I4147" s="29" t="n">
        <x:v>47</x:v>
      </x:c>
      <x:c r="J4147" s="31" t="n">
        <x:v>3.8</x:v>
      </x:c>
      <x:c r="K4147" s="25" t="str">
        <x:f>IF(J4147&gt;=7,"Muy fuerte (&gt;=7)",IF(J4147&gt;=6,"Fuerte (6-6.9)",IF(J4147&gt;=5,"Moderado alto (5-5.9)",IF(J4147&gt;=4,"Moderado (4-4.9)","Menor a 4"))))</x:f>
        <x:v>Menor a 4</x:v>
      </x:c>
      <x:c r="L4147" s="25" t="str">
        <x:f>IF(I4147&lt;70,"Superficial (&lt;70 km)",IF(I4147&lt;=300,"Intermedio (70-300 km)","Profundo (&gt;300 km)"))</x:f>
        <x:v>Superficial (&lt;70 km)</x:v>
      </x:c>
      <x:c r="M4147" s="25" t="str">
        <x:f>IF(J4147&gt;=5,"Sí","No")</x:f>
        <x:v>No</x:v>
      </x:c>
      <x:c r="N4147" s="25" t="str">
        <x:f>IF(J4147&gt;=6,"Sí","No")</x:f>
        <x:v>No</x:v>
      </x:c>
      <x:c r="O4147" s="25" t="str">
        <x:v>Pendiente: asignar con R/sf</x:v>
      </x:c>
    </x:row>
    <x:row r="4148">
      <x:c r="A4148" s="25" t="n">
        <x:v>4147</x:v>
      </x:c>
      <x:c r="B4148" s="26" t="n">
        <x:v>43632.98981481481</x:v>
      </x:c>
      <x:c r="C4148" s="27" t="n">
        <x:f>INT(B4148)</x:f>
        <x:v>43632</x:v>
      </x:c>
      <x:c r="D4148" s="28" t="n">
        <x:f>MOD(B4148,1)</x:f>
        <x:v>0.989814814813144</x:v>
      </x:c>
      <x:c r="E4148" s="29" t="n">
        <x:f>YEAR(B4148)</x:f>
        <x:v>2019</x:v>
      </x:c>
      <x:c r="F4148" s="29" t="n">
        <x:f>MONTH(B4148)</x:f>
        <x:v>6</x:v>
      </x:c>
      <x:c r="G4148" s="30" t="n">
        <x:v>-32.77</x:v>
      </x:c>
      <x:c r="H4148" s="30" t="n">
        <x:v>-71.53</x:v>
      </x:c>
      <x:c r="I4148" s="29" t="n">
        <x:v>24</x:v>
      </x:c>
      <x:c r="J4148" s="31" t="n">
        <x:v>3.5</x:v>
      </x:c>
      <x:c r="K4148" s="25" t="str">
        <x:f>IF(J4148&gt;=7,"Muy fuerte (&gt;=7)",IF(J4148&gt;=6,"Fuerte (6-6.9)",IF(J4148&gt;=5,"Moderado alto (5-5.9)",IF(J4148&gt;=4,"Moderado (4-4.9)","Menor a 4"))))</x:f>
        <x:v>Menor a 4</x:v>
      </x:c>
      <x:c r="L4148" s="25" t="str">
        <x:f>IF(I4148&lt;70,"Superficial (&lt;70 km)",IF(I4148&lt;=300,"Intermedio (70-300 km)","Profundo (&gt;300 km)"))</x:f>
        <x:v>Superficial (&lt;70 km)</x:v>
      </x:c>
      <x:c r="M4148" s="25" t="str">
        <x:f>IF(J4148&gt;=5,"Sí","No")</x:f>
        <x:v>No</x:v>
      </x:c>
      <x:c r="N4148" s="25" t="str">
        <x:f>IF(J4148&gt;=6,"Sí","No")</x:f>
        <x:v>No</x:v>
      </x:c>
      <x:c r="O4148" s="25" t="str">
        <x:v>Pendiente: asignar con R/sf</x:v>
      </x:c>
    </x:row>
    <x:row r="4149">
      <x:c r="A4149" s="25" t="n">
        <x:v>4148</x:v>
      </x:c>
      <x:c r="B4149" s="26" t="n">
        <x:v>44093.29304398148</x:v>
      </x:c>
      <x:c r="C4149" s="27" t="n">
        <x:f>INT(B4149)</x:f>
        <x:v>44093</x:v>
      </x:c>
      <x:c r="D4149" s="28" t="n">
        <x:f>MOD(B4149,1)</x:f>
        <x:v>0.29304398148087785</x:v>
      </x:c>
      <x:c r="E4149" s="29" t="n">
        <x:f>YEAR(B4149)</x:f>
        <x:v>2020</x:v>
      </x:c>
      <x:c r="F4149" s="29" t="n">
        <x:f>MONTH(B4149)</x:f>
        <x:v>9</x:v>
      </x:c>
      <x:c r="G4149" s="30" t="n">
        <x:v>-20.38</x:v>
      </x:c>
      <x:c r="H4149" s="30" t="n">
        <x:v>-70.05</x:v>
      </x:c>
      <x:c r="I4149" s="29" t="n">
        <x:v>62</x:v>
      </x:c>
      <x:c r="J4149" s="31" t="n">
        <x:v>4</x:v>
      </x:c>
      <x:c r="K4149" s="25" t="str">
        <x:f>IF(J4149&gt;=7,"Muy fuerte (&gt;=7)",IF(J4149&gt;=6,"Fuerte (6-6.9)",IF(J4149&gt;=5,"Moderado alto (5-5.9)",IF(J4149&gt;=4,"Moderado (4-4.9)","Menor a 4"))))</x:f>
        <x:v>Moderado (4-4.9)</x:v>
      </x:c>
      <x:c r="L4149" s="25" t="str">
        <x:f>IF(I4149&lt;70,"Superficial (&lt;70 km)",IF(I4149&lt;=300,"Intermedio (70-300 km)","Profundo (&gt;300 km)"))</x:f>
        <x:v>Superficial (&lt;70 km)</x:v>
      </x:c>
      <x:c r="M4149" s="25" t="str">
        <x:f>IF(J4149&gt;=5,"Sí","No")</x:f>
        <x:v>No</x:v>
      </x:c>
      <x:c r="N4149" s="25" t="str">
        <x:f>IF(J4149&gt;=6,"Sí","No")</x:f>
        <x:v>No</x:v>
      </x:c>
      <x:c r="O4149" s="25" t="str">
        <x:v>Pendiente: asignar con R/sf</x:v>
      </x:c>
    </x:row>
    <x:row r="4150">
      <x:c r="A4150" s="25" t="n">
        <x:v>4149</x:v>
      </x:c>
      <x:c r="B4150" s="26" t="n">
        <x:v>44104.56217592592</x:v>
      </x:c>
      <x:c r="C4150" s="27" t="n">
        <x:f>INT(B4150)</x:f>
        <x:v>44104</x:v>
      </x:c>
      <x:c r="D4150" s="28" t="n">
        <x:f>MOD(B4150,1)</x:f>
        <x:v>0.5621759259229293</x:v>
      </x:c>
      <x:c r="E4150" s="29" t="n">
        <x:f>YEAR(B4150)</x:f>
        <x:v>2020</x:v>
      </x:c>
      <x:c r="F4150" s="29" t="n">
        <x:f>MONTH(B4150)</x:f>
        <x:v>9</x:v>
      </x:c>
      <x:c r="G4150" s="30" t="n">
        <x:v>-19.46</x:v>
      </x:c>
      <x:c r="H4150" s="30" t="n">
        <x:v>-69.32</x:v>
      </x:c>
      <x:c r="I4150" s="29" t="n">
        <x:v>102</x:v>
      </x:c>
      <x:c r="J4150" s="31" t="n">
        <x:v>3.7</x:v>
      </x:c>
      <x:c r="K4150" s="25" t="str">
        <x:f>IF(J4150&gt;=7,"Muy fuerte (&gt;=7)",IF(J4150&gt;=6,"Fuerte (6-6.9)",IF(J4150&gt;=5,"Moderado alto (5-5.9)",IF(J4150&gt;=4,"Moderado (4-4.9)","Menor a 4"))))</x:f>
        <x:v>Menor a 4</x:v>
      </x:c>
      <x:c r="L4150" s="25" t="str">
        <x:f>IF(I4150&lt;70,"Superficial (&lt;70 km)",IF(I4150&lt;=300,"Intermedio (70-300 km)","Profundo (&gt;300 km)"))</x:f>
        <x:v>Intermedio (70-300 km)</x:v>
      </x:c>
      <x:c r="M4150" s="25" t="str">
        <x:f>IF(J4150&gt;=5,"Sí","No")</x:f>
        <x:v>No</x:v>
      </x:c>
      <x:c r="N4150" s="25" t="str">
        <x:f>IF(J4150&gt;=6,"Sí","No")</x:f>
        <x:v>No</x:v>
      </x:c>
      <x:c r="O4150" s="25" t="str">
        <x:v>Pendiente: asignar con R/sf</x:v>
      </x:c>
    </x:row>
    <x:row r="4151">
      <x:c r="A4151" s="25" t="n">
        <x:v>4150</x:v>
      </x:c>
      <x:c r="B4151" s="26" t="n">
        <x:v>45964.66105324074</x:v>
      </x:c>
      <x:c r="C4151" s="27" t="n">
        <x:f>INT(B4151)</x:f>
        <x:v>45964</x:v>
      </x:c>
      <x:c r="D4151" s="28" t="n">
        <x:f>MOD(B4151,1)</x:f>
        <x:v>0.6610532407430583</x:v>
      </x:c>
      <x:c r="E4151" s="29" t="n">
        <x:f>YEAR(B4151)</x:f>
        <x:v>2025</x:v>
      </x:c>
      <x:c r="F4151" s="29" t="n">
        <x:f>MONTH(B4151)</x:f>
        <x:v>11</x:v>
      </x:c>
      <x:c r="G4151" s="30" t="n">
        <x:v>-27.52</x:v>
      </x:c>
      <x:c r="H4151" s="30" t="n">
        <x:v>-71.47</x:v>
      </x:c>
      <x:c r="I4151" s="29" t="n">
        <x:v>31</x:v>
      </x:c>
      <x:c r="J4151" s="31" t="n">
        <x:v>5.3</x:v>
      </x:c>
      <x:c r="K4151" s="25" t="str">
        <x:f>IF(J4151&gt;=7,"Muy fuerte (&gt;=7)",IF(J4151&gt;=6,"Fuerte (6-6.9)",IF(J4151&gt;=5,"Moderado alto (5-5.9)",IF(J4151&gt;=4,"Moderado (4-4.9)","Menor a 4"))))</x:f>
        <x:v>Moderado alto (5-5.9)</x:v>
      </x:c>
      <x:c r="L4151" s="25" t="str">
        <x:f>IF(I4151&lt;70,"Superficial (&lt;70 km)",IF(I4151&lt;=300,"Intermedio (70-300 km)","Profundo (&gt;300 km)"))</x:f>
        <x:v>Superficial (&lt;70 km)</x:v>
      </x:c>
      <x:c r="M4151" s="25" t="str">
        <x:f>IF(J4151&gt;=5,"Sí","No")</x:f>
        <x:v>Sí</x:v>
      </x:c>
      <x:c r="N4151" s="25" t="str">
        <x:f>IF(J4151&gt;=6,"Sí","No")</x:f>
        <x:v>No</x:v>
      </x:c>
      <x:c r="O4151" s="25" t="str">
        <x:v>Pendiente: asignar con R/sf</x:v>
      </x:c>
    </x:row>
    <x:row r="4152">
      <x:c r="A4152" s="25" t="n">
        <x:v>4151</x:v>
      </x:c>
      <x:c r="B4152" s="26" t="n">
        <x:v>45971.451053240744</x:v>
      </x:c>
      <x:c r="C4152" s="27" t="n">
        <x:f>INT(B4152)</x:f>
        <x:v>45971</x:v>
      </x:c>
      <x:c r="D4152" s="28" t="n">
        <x:f>MOD(B4152,1)</x:f>
        <x:v>0.4510532407439314</x:v>
      </x:c>
      <x:c r="E4152" s="29" t="n">
        <x:f>YEAR(B4152)</x:f>
        <x:v>2025</x:v>
      </x:c>
      <x:c r="F4152" s="29" t="n">
        <x:f>MONTH(B4152)</x:f>
        <x:v>11</x:v>
      </x:c>
      <x:c r="G4152" s="30" t="n">
        <x:v>-23.41</x:v>
      </x:c>
      <x:c r="H4152" s="30" t="n">
        <x:v>-70.31</x:v>
      </x:c>
      <x:c r="I4152" s="29" t="n">
        <x:v>62</x:v>
      </x:c>
      <x:c r="J4152" s="31" t="n">
        <x:v>5.5</x:v>
      </x:c>
      <x:c r="K4152" s="25" t="str">
        <x:f>IF(J4152&gt;=7,"Muy fuerte (&gt;=7)",IF(J4152&gt;=6,"Fuerte (6-6.9)",IF(J4152&gt;=5,"Moderado alto (5-5.9)",IF(J4152&gt;=4,"Moderado (4-4.9)","Menor a 4"))))</x:f>
        <x:v>Moderado alto (5-5.9)</x:v>
      </x:c>
      <x:c r="L4152" s="25" t="str">
        <x:f>IF(I4152&lt;70,"Superficial (&lt;70 km)",IF(I4152&lt;=300,"Intermedio (70-300 km)","Profundo (&gt;300 km)"))</x:f>
        <x:v>Superficial (&lt;70 km)</x:v>
      </x:c>
      <x:c r="M4152" s="25" t="str">
        <x:f>IF(J4152&gt;=5,"Sí","No")</x:f>
        <x:v>Sí</x:v>
      </x:c>
      <x:c r="N4152" s="25" t="str">
        <x:f>IF(J4152&gt;=6,"Sí","No")</x:f>
        <x:v>No</x:v>
      </x:c>
      <x:c r="O4152" s="25" t="str">
        <x:v>Pendiente: asignar con R/sf</x:v>
      </x:c>
    </x:row>
    <x:row r="4153">
      <x:c r="A4153" s="25" t="n">
        <x:v>4152</x:v>
      </x:c>
      <x:c r="B4153" s="26" t="n">
        <x:v>45551.987488425926</x:v>
      </x:c>
      <x:c r="C4153" s="27" t="n">
        <x:f>INT(B4153)</x:f>
        <x:v>45551</x:v>
      </x:c>
      <x:c r="D4153" s="28" t="n">
        <x:f>MOD(B4153,1)</x:f>
        <x:v>0.9874884259261307</x:v>
      </x:c>
      <x:c r="E4153" s="29" t="n">
        <x:f>YEAR(B4153)</x:f>
        <x:v>2024</x:v>
      </x:c>
      <x:c r="F4153" s="29" t="n">
        <x:f>MONTH(B4153)</x:f>
        <x:v>9</x:v>
      </x:c>
      <x:c r="G4153" s="30" t="n">
        <x:v>-18.83</x:v>
      </x:c>
      <x:c r="H4153" s="30" t="n">
        <x:v>-69.51</x:v>
      </x:c>
      <x:c r="I4153" s="29" t="n">
        <x:v>105</x:v>
      </x:c>
      <x:c r="J4153" s="31" t="n">
        <x:v>3.9</x:v>
      </x:c>
      <x:c r="K4153" s="25" t="str">
        <x:f>IF(J4153&gt;=7,"Muy fuerte (&gt;=7)",IF(J4153&gt;=6,"Fuerte (6-6.9)",IF(J4153&gt;=5,"Moderado alto (5-5.9)",IF(J4153&gt;=4,"Moderado (4-4.9)","Menor a 4"))))</x:f>
        <x:v>Menor a 4</x:v>
      </x:c>
      <x:c r="L4153" s="25" t="str">
        <x:f>IF(I4153&lt;70,"Superficial (&lt;70 km)",IF(I4153&lt;=300,"Intermedio (70-300 km)","Profundo (&gt;300 km)"))</x:f>
        <x:v>Intermedio (70-300 km)</x:v>
      </x:c>
      <x:c r="M4153" s="25" t="str">
        <x:f>IF(J4153&gt;=5,"Sí","No")</x:f>
        <x:v>No</x:v>
      </x:c>
      <x:c r="N4153" s="25" t="str">
        <x:f>IF(J4153&gt;=6,"Sí","No")</x:f>
        <x:v>No</x:v>
      </x:c>
      <x:c r="O4153" s="25" t="str">
        <x:v>Pendiente: asignar con R/sf</x:v>
      </x:c>
    </x:row>
    <x:row r="4154">
      <x:c r="A4154" s="25" t="n">
        <x:v>4153</x:v>
      </x:c>
      <x:c r="B4154" s="26" t="n">
        <x:v>45935.94648148148</x:v>
      </x:c>
      <x:c r="C4154" s="27" t="n">
        <x:f>INT(B4154)</x:f>
        <x:v>45935</x:v>
      </x:c>
      <x:c r="D4154" s="28" t="n">
        <x:f>MOD(B4154,1)</x:f>
        <x:v>0.9464814814782585</x:v>
      </x:c>
      <x:c r="E4154" s="29" t="n">
        <x:f>YEAR(B4154)</x:f>
        <x:v>2025</x:v>
      </x:c>
      <x:c r="F4154" s="29" t="n">
        <x:f>MONTH(B4154)</x:f>
        <x:v>10</x:v>
      </x:c>
      <x:c r="G4154" s="30" t="n">
        <x:v>-33.32</x:v>
      </x:c>
      <x:c r="H4154" s="30" t="n">
        <x:v>-70.11</x:v>
      </x:c>
      <x:c r="I4154" s="29" t="n">
        <x:v>14</x:v>
      </x:c>
      <x:c r="J4154" s="31" t="n">
        <x:v>3.9</x:v>
      </x:c>
      <x:c r="K4154" s="25" t="str">
        <x:f>IF(J4154&gt;=7,"Muy fuerte (&gt;=7)",IF(J4154&gt;=6,"Fuerte (6-6.9)",IF(J4154&gt;=5,"Moderado alto (5-5.9)",IF(J4154&gt;=4,"Moderado (4-4.9)","Menor a 4"))))</x:f>
        <x:v>Menor a 4</x:v>
      </x:c>
      <x:c r="L4154" s="25" t="str">
        <x:f>IF(I4154&lt;70,"Superficial (&lt;70 km)",IF(I4154&lt;=300,"Intermedio (70-300 km)","Profundo (&gt;300 km)"))</x:f>
        <x:v>Superficial (&lt;70 km)</x:v>
      </x:c>
      <x:c r="M4154" s="25" t="str">
        <x:f>IF(J4154&gt;=5,"Sí","No")</x:f>
        <x:v>No</x:v>
      </x:c>
      <x:c r="N4154" s="25" t="str">
        <x:f>IF(J4154&gt;=6,"Sí","No")</x:f>
        <x:v>No</x:v>
      </x:c>
      <x:c r="O4154" s="25" t="str">
        <x:v>Pendiente: asignar con R/sf</x:v>
      </x:c>
    </x:row>
    <x:row r="4155">
      <x:c r="A4155" s="25" t="n">
        <x:v>4154</x:v>
      </x:c>
      <x:c r="B4155" s="26" t="n">
        <x:v>45892.380532407406</x:v>
      </x:c>
      <x:c r="C4155" s="27" t="n">
        <x:f>INT(B4155)</x:f>
        <x:v>45892</x:v>
      </x:c>
      <x:c r="D4155" s="28" t="n">
        <x:f>MOD(B4155,1)</x:f>
        <x:v>0.3805324074055534</x:v>
      </x:c>
      <x:c r="E4155" s="29" t="n">
        <x:f>YEAR(B4155)</x:f>
        <x:v>2025</x:v>
      </x:c>
      <x:c r="F4155" s="29" t="n">
        <x:f>MONTH(B4155)</x:f>
        <x:v>8</x:v>
      </x:c>
      <x:c r="G4155" s="30" t="n">
        <x:v>-32.49</x:v>
      </x:c>
      <x:c r="H4155" s="30" t="n">
        <x:v>-71.57</x:v>
      </x:c>
      <x:c r="I4155" s="29" t="n">
        <x:v>46</x:v>
      </x:c>
      <x:c r="J4155" s="31" t="n">
        <x:v>4.6</x:v>
      </x:c>
      <x:c r="K4155" s="25" t="str">
        <x:f>IF(J4155&gt;=7,"Muy fuerte (&gt;=7)",IF(J4155&gt;=6,"Fuerte (6-6.9)",IF(J4155&gt;=5,"Moderado alto (5-5.9)",IF(J4155&gt;=4,"Moderado (4-4.9)","Menor a 4"))))</x:f>
        <x:v>Moderado (4-4.9)</x:v>
      </x:c>
      <x:c r="L4155" s="25" t="str">
        <x:f>IF(I4155&lt;70,"Superficial (&lt;70 km)",IF(I4155&lt;=300,"Intermedio (70-300 km)","Profundo (&gt;300 km)"))</x:f>
        <x:v>Superficial (&lt;70 km)</x:v>
      </x:c>
      <x:c r="M4155" s="25" t="str">
        <x:f>IF(J4155&gt;=5,"Sí","No")</x:f>
        <x:v>No</x:v>
      </x:c>
      <x:c r="N4155" s="25" t="str">
        <x:f>IF(J4155&gt;=6,"Sí","No")</x:f>
        <x:v>No</x:v>
      </x:c>
      <x:c r="O4155" s="25" t="str">
        <x:v>Pendiente: asignar con R/sf</x:v>
      </x:c>
    </x:row>
    <x:row r="4156">
      <x:c r="A4156" s="25" t="n">
        <x:v>4155</x:v>
      </x:c>
      <x:c r="B4156" s="26" t="n">
        <x:v>45837.77637731482</x:v>
      </x:c>
      <x:c r="C4156" s="27" t="n">
        <x:f>INT(B4156)</x:f>
        <x:v>45837</x:v>
      </x:c>
      <x:c r="D4156" s="28" t="n">
        <x:f>MOD(B4156,1)</x:f>
        <x:v>0.7763773148180917</x:v>
      </x:c>
      <x:c r="E4156" s="29" t="n">
        <x:f>YEAR(B4156)</x:f>
        <x:v>2025</x:v>
      </x:c>
      <x:c r="F4156" s="29" t="n">
        <x:f>MONTH(B4156)</x:f>
        <x:v>6</x:v>
      </x:c>
      <x:c r="G4156" s="30" t="n">
        <x:v>-35.68</x:v>
      </x:c>
      <x:c r="H4156" s="30" t="n">
        <x:v>-72.3</x:v>
      </x:c>
      <x:c r="I4156" s="29" t="n">
        <x:v>53</x:v>
      </x:c>
      <x:c r="J4156" s="31" t="n">
        <x:v>3.6</x:v>
      </x:c>
      <x:c r="K4156" s="25" t="str">
        <x:f>IF(J4156&gt;=7,"Muy fuerte (&gt;=7)",IF(J4156&gt;=6,"Fuerte (6-6.9)",IF(J4156&gt;=5,"Moderado alto (5-5.9)",IF(J4156&gt;=4,"Moderado (4-4.9)","Menor a 4"))))</x:f>
        <x:v>Menor a 4</x:v>
      </x:c>
      <x:c r="L4156" s="25" t="str">
        <x:f>IF(I4156&lt;70,"Superficial (&lt;70 km)",IF(I4156&lt;=300,"Intermedio (70-300 km)","Profundo (&gt;300 km)"))</x:f>
        <x:v>Superficial (&lt;70 km)</x:v>
      </x:c>
      <x:c r="M4156" s="25" t="str">
        <x:f>IF(J4156&gt;=5,"Sí","No")</x:f>
        <x:v>No</x:v>
      </x:c>
      <x:c r="N4156" s="25" t="str">
        <x:f>IF(J4156&gt;=6,"Sí","No")</x:f>
        <x:v>No</x:v>
      </x:c>
      <x:c r="O4156" s="25" t="str">
        <x:v>Pendiente: asignar con R/sf</x:v>
      </x:c>
    </x:row>
    <x:row r="4157">
      <x:c r="A4157" s="25" t="n">
        <x:v>4156</x:v>
      </x:c>
      <x:c r="B4157" s="26" t="n">
        <x:v>45893.1556712963</x:v>
      </x:c>
      <x:c r="C4157" s="27" t="n">
        <x:f>INT(B4157)</x:f>
        <x:v>45893</x:v>
      </x:c>
      <x:c r="D4157" s="28" t="n">
        <x:f>MOD(B4157,1)</x:f>
        <x:v>0.15567129629926058</x:v>
      </x:c>
      <x:c r="E4157" s="29" t="n">
        <x:f>YEAR(B4157)</x:f>
        <x:v>2025</x:v>
      </x:c>
      <x:c r="F4157" s="29" t="n">
        <x:f>MONTH(B4157)</x:f>
        <x:v>8</x:v>
      </x:c>
      <x:c r="G4157" s="30" t="n">
        <x:v>-19.44</x:v>
      </x:c>
      <x:c r="H4157" s="30" t="n">
        <x:v>-69.53</x:v>
      </x:c>
      <x:c r="I4157" s="29" t="n">
        <x:v>91</x:v>
      </x:c>
      <x:c r="J4157" s="31" t="n">
        <x:v>4.7</x:v>
      </x:c>
      <x:c r="K4157" s="25" t="str">
        <x:f>IF(J4157&gt;=7,"Muy fuerte (&gt;=7)",IF(J4157&gt;=6,"Fuerte (6-6.9)",IF(J4157&gt;=5,"Moderado alto (5-5.9)",IF(J4157&gt;=4,"Moderado (4-4.9)","Menor a 4"))))</x:f>
        <x:v>Moderado (4-4.9)</x:v>
      </x:c>
      <x:c r="L4157" s="25" t="str">
        <x:f>IF(I4157&lt;70,"Superficial (&lt;70 km)",IF(I4157&lt;=300,"Intermedio (70-300 km)","Profundo (&gt;300 km)"))</x:f>
        <x:v>Intermedio (70-300 km)</x:v>
      </x:c>
      <x:c r="M4157" s="25" t="str">
        <x:f>IF(J4157&gt;=5,"Sí","No")</x:f>
        <x:v>No</x:v>
      </x:c>
      <x:c r="N4157" s="25" t="str">
        <x:f>IF(J4157&gt;=6,"Sí","No")</x:f>
        <x:v>No</x:v>
      </x:c>
      <x:c r="O4157" s="25" t="str">
        <x:v>Pendiente: asignar con R/sf</x:v>
      </x:c>
    </x:row>
    <x:row r="4158">
      <x:c r="A4158" s="25" t="n">
        <x:v>4157</x:v>
      </x:c>
      <x:c r="B4158" s="26" t="n">
        <x:v>46001.27667824074</x:v>
      </x:c>
      <x:c r="C4158" s="27" t="n">
        <x:f>INT(B4158)</x:f>
        <x:v>46001</x:v>
      </x:c>
      <x:c r="D4158" s="28" t="n">
        <x:f>MOD(B4158,1)</x:f>
        <x:v>0.2766782407416031</x:v>
      </x:c>
      <x:c r="E4158" s="29" t="n">
        <x:f>YEAR(B4158)</x:f>
        <x:v>2025</x:v>
      </x:c>
      <x:c r="F4158" s="29" t="n">
        <x:f>MONTH(B4158)</x:f>
        <x:v>12</x:v>
      </x:c>
      <x:c r="G4158" s="30" t="n">
        <x:v>-28.9</x:v>
      </x:c>
      <x:c r="H4158" s="30" t="n">
        <x:v>-71.28</x:v>
      </x:c>
      <x:c r="I4158" s="29" t="n">
        <x:v>46</x:v>
      </x:c>
      <x:c r="J4158" s="31" t="n">
        <x:v>5.1</x:v>
      </x:c>
      <x:c r="K4158" s="25" t="str">
        <x:f>IF(J4158&gt;=7,"Muy fuerte (&gt;=7)",IF(J4158&gt;=6,"Fuerte (6-6.9)",IF(J4158&gt;=5,"Moderado alto (5-5.9)",IF(J4158&gt;=4,"Moderado (4-4.9)","Menor a 4"))))</x:f>
        <x:v>Moderado alto (5-5.9)</x:v>
      </x:c>
      <x:c r="L4158" s="25" t="str">
        <x:f>IF(I4158&lt;70,"Superficial (&lt;70 km)",IF(I4158&lt;=300,"Intermedio (70-300 km)","Profundo (&gt;300 km)"))</x:f>
        <x:v>Superficial (&lt;70 km)</x:v>
      </x:c>
      <x:c r="M4158" s="25" t="str">
        <x:f>IF(J4158&gt;=5,"Sí","No")</x:f>
        <x:v>Sí</x:v>
      </x:c>
      <x:c r="N4158" s="25" t="str">
        <x:f>IF(J4158&gt;=6,"Sí","No")</x:f>
        <x:v>No</x:v>
      </x:c>
      <x:c r="O4158" s="25" t="str">
        <x:v>Pendiente: asignar con R/sf</x:v>
      </x:c>
    </x:row>
    <x:row r="4159">
      <x:c r="A4159" s="25" t="n">
        <x:v>4158</x:v>
      </x:c>
      <x:c r="B4159" s="26" t="n">
        <x:v>46004.513020833336</x:v>
      </x:c>
      <x:c r="C4159" s="27" t="n">
        <x:f>INT(B4159)</x:f>
        <x:v>46004</x:v>
      </x:c>
      <x:c r="D4159" s="28" t="n">
        <x:f>MOD(B4159,1)</x:f>
        <x:v>0.5130208333357587</x:v>
      </x:c>
      <x:c r="E4159" s="29" t="n">
        <x:f>YEAR(B4159)</x:f>
        <x:v>2025</x:v>
      </x:c>
      <x:c r="F4159" s="29" t="n">
        <x:f>MONTH(B4159)</x:f>
        <x:v>12</x:v>
      </x:c>
      <x:c r="G4159" s="30" t="n">
        <x:v>-21.2</x:v>
      </x:c>
      <x:c r="H4159" s="30" t="n">
        <x:v>-68.93</x:v>
      </x:c>
      <x:c r="I4159" s="29" t="n">
        <x:v>96</x:v>
      </x:c>
      <x:c r="J4159" s="31" t="n">
        <x:v>5.4</x:v>
      </x:c>
      <x:c r="K4159" s="25" t="str">
        <x:f>IF(J4159&gt;=7,"Muy fuerte (&gt;=7)",IF(J4159&gt;=6,"Fuerte (6-6.9)",IF(J4159&gt;=5,"Moderado alto (5-5.9)",IF(J4159&gt;=4,"Moderado (4-4.9)","Menor a 4"))))</x:f>
        <x:v>Moderado alto (5-5.9)</x:v>
      </x:c>
      <x:c r="L4159" s="25" t="str">
        <x:f>IF(I4159&lt;70,"Superficial (&lt;70 km)",IF(I4159&lt;=300,"Intermedio (70-300 km)","Profundo (&gt;300 km)"))</x:f>
        <x:v>Intermedio (70-300 km)</x:v>
      </x:c>
      <x:c r="M4159" s="25" t="str">
        <x:f>IF(J4159&gt;=5,"Sí","No")</x:f>
        <x:v>Sí</x:v>
      </x:c>
      <x:c r="N4159" s="25" t="str">
        <x:f>IF(J4159&gt;=6,"Sí","No")</x:f>
        <x:v>No</x:v>
      </x:c>
      <x:c r="O4159" s="25" t="str">
        <x:v>Pendiente: asignar con R/sf</x:v>
      </x:c>
    </x:row>
    <x:row r="4160">
      <x:c r="A4160" s="25" t="n">
        <x:v>4159</x:v>
      </x:c>
      <x:c r="B4160" s="26" t="n">
        <x:v>46011.854467592595</x:v>
      </x:c>
      <x:c r="C4160" s="27" t="n">
        <x:f>INT(B4160)</x:f>
        <x:v>46011</x:v>
      </x:c>
      <x:c r="D4160" s="28" t="n">
        <x:f>MOD(B4160,1)</x:f>
        <x:v>0.8544675925950287</x:v>
      </x:c>
      <x:c r="E4160" s="29" t="n">
        <x:f>YEAR(B4160)</x:f>
        <x:v>2025</x:v>
      </x:c>
      <x:c r="F4160" s="29" t="n">
        <x:f>MONTH(B4160)</x:f>
        <x:v>12</x:v>
      </x:c>
      <x:c r="G4160" s="30" t="n">
        <x:v>-20.16</x:v>
      </x:c>
      <x:c r="H4160" s="30" t="n">
        <x:v>-68.28</x:v>
      </x:c>
      <x:c r="I4160" s="29" t="n">
        <x:v>163</x:v>
      </x:c>
      <x:c r="J4160" s="31" t="n">
        <x:v>5.2</x:v>
      </x:c>
      <x:c r="K4160" s="25" t="str">
        <x:f>IF(J4160&gt;=7,"Muy fuerte (&gt;=7)",IF(J4160&gt;=6,"Fuerte (6-6.9)",IF(J4160&gt;=5,"Moderado alto (5-5.9)",IF(J4160&gt;=4,"Moderado (4-4.9)","Menor a 4"))))</x:f>
        <x:v>Moderado alto (5-5.9)</x:v>
      </x:c>
      <x:c r="L4160" s="25" t="str">
        <x:f>IF(I4160&lt;70,"Superficial (&lt;70 km)",IF(I4160&lt;=300,"Intermedio (70-300 km)","Profundo (&gt;300 km)"))</x:f>
        <x:v>Intermedio (70-300 km)</x:v>
      </x:c>
      <x:c r="M4160" s="25" t="str">
        <x:f>IF(J4160&gt;=5,"Sí","No")</x:f>
        <x:v>Sí</x:v>
      </x:c>
      <x:c r="N4160" s="25" t="str">
        <x:f>IF(J4160&gt;=6,"Sí","No")</x:f>
        <x:v>No</x:v>
      </x:c>
      <x:c r="O4160" s="25" t="str">
        <x:v>Pendiente: asignar con R/sf</x:v>
      </x:c>
    </x:row>
    <x:row r="4161">
      <x:c r="A4161" s="25" t="n">
        <x:v>4160</x:v>
      </x:c>
      <x:c r="B4161" s="26" t="n">
        <x:v>45893.8321875</x:v>
      </x:c>
      <x:c r="C4161" s="27" t="n">
        <x:f>INT(B4161)</x:f>
        <x:v>45893</x:v>
      </x:c>
      <x:c r="D4161" s="28" t="n">
        <x:f>MOD(B4161,1)</x:f>
        <x:v>0.8321874999965075</x:v>
      </x:c>
      <x:c r="E4161" s="29" t="n">
        <x:f>YEAR(B4161)</x:f>
        <x:v>2025</x:v>
      </x:c>
      <x:c r="F4161" s="29" t="n">
        <x:f>MONTH(B4161)</x:f>
        <x:v>8</x:v>
      </x:c>
      <x:c r="G4161" s="30" t="n">
        <x:v>-33.31</x:v>
      </x:c>
      <x:c r="H4161" s="30" t="n">
        <x:v>-71.64</x:v>
      </x:c>
      <x:c r="I4161" s="29" t="n">
        <x:v>28</x:v>
      </x:c>
      <x:c r="J4161" s="31" t="n">
        <x:v>3.4</x:v>
      </x:c>
      <x:c r="K4161" s="25" t="str">
        <x:f>IF(J4161&gt;=7,"Muy fuerte (&gt;=7)",IF(J4161&gt;=6,"Fuerte (6-6.9)",IF(J4161&gt;=5,"Moderado alto (5-5.9)",IF(J4161&gt;=4,"Moderado (4-4.9)","Menor a 4"))))</x:f>
        <x:v>Menor a 4</x:v>
      </x:c>
      <x:c r="L4161" s="25" t="str">
        <x:f>IF(I4161&lt;70,"Superficial (&lt;70 km)",IF(I4161&lt;=300,"Intermedio (70-300 km)","Profundo (&gt;300 km)"))</x:f>
        <x:v>Superficial (&lt;70 km)</x:v>
      </x:c>
      <x:c r="M4161" s="25" t="str">
        <x:f>IF(J4161&gt;=5,"Sí","No")</x:f>
        <x:v>No</x:v>
      </x:c>
      <x:c r="N4161" s="25" t="str">
        <x:f>IF(J4161&gt;=6,"Sí","No")</x:f>
        <x:v>No</x:v>
      </x:c>
      <x:c r="O4161" s="25" t="str">
        <x:v>Pendiente: asignar con R/sf</x:v>
      </x:c>
    </x:row>
    <x:row r="4162">
      <x:c r="A4162" s="25" t="n">
        <x:v>4161</x:v>
      </x:c>
      <x:c r="B4162" s="26" t="n">
        <x:v>45650.701319444444</x:v>
      </x:c>
      <x:c r="C4162" s="27" t="n">
        <x:f>INT(B4162)</x:f>
        <x:v>45650</x:v>
      </x:c>
      <x:c r="D4162" s="28" t="n">
        <x:f>MOD(B4162,1)</x:f>
        <x:v>0.7013194444443798</x:v>
      </x:c>
      <x:c r="E4162" s="29" t="n">
        <x:f>YEAR(B4162)</x:f>
        <x:v>2024</x:v>
      </x:c>
      <x:c r="F4162" s="29" t="n">
        <x:f>MONTH(B4162)</x:f>
        <x:v>12</x:v>
      </x:c>
      <x:c r="G4162" s="30" t="n">
        <x:v>-39.14</x:v>
      </x:c>
      <x:c r="H4162" s="30" t="n">
        <x:v>-72.28</x:v>
      </x:c>
      <x:c r="I4162" s="29" t="n">
        <x:v>98</x:v>
      </x:c>
      <x:c r="J4162" s="31" t="n">
        <x:v>4.7</x:v>
      </x:c>
      <x:c r="K4162" s="25" t="str">
        <x:f>IF(J4162&gt;=7,"Muy fuerte (&gt;=7)",IF(J4162&gt;=6,"Fuerte (6-6.9)",IF(J4162&gt;=5,"Moderado alto (5-5.9)",IF(J4162&gt;=4,"Moderado (4-4.9)","Menor a 4"))))</x:f>
        <x:v>Moderado (4-4.9)</x:v>
      </x:c>
      <x:c r="L4162" s="25" t="str">
        <x:f>IF(I4162&lt;70,"Superficial (&lt;70 km)",IF(I4162&lt;=300,"Intermedio (70-300 km)","Profundo (&gt;300 km)"))</x:f>
        <x:v>Intermedio (70-300 km)</x:v>
      </x:c>
      <x:c r="M4162" s="25" t="str">
        <x:f>IF(J4162&gt;=5,"Sí","No")</x:f>
        <x:v>No</x:v>
      </x:c>
      <x:c r="N4162" s="25" t="str">
        <x:f>IF(J4162&gt;=6,"Sí","No")</x:f>
        <x:v>No</x:v>
      </x:c>
      <x:c r="O4162" s="25" t="str">
        <x:v>Pendiente: asignar con R/sf</x:v>
      </x:c>
    </x:row>
    <x:row r="4163">
      <x:c r="A4163" s="25" t="n">
        <x:v>4162</x:v>
      </x:c>
      <x:c r="B4163" s="26" t="n">
        <x:v>45705.70956018518</x:v>
      </x:c>
      <x:c r="C4163" s="27" t="n">
        <x:f>INT(B4163)</x:f>
        <x:v>45705</x:v>
      </x:c>
      <x:c r="D4163" s="28" t="n">
        <x:f>MOD(B4163,1)</x:f>
        <x:v>0.7095601851833635</x:v>
      </x:c>
      <x:c r="E4163" s="29" t="n">
        <x:f>YEAR(B4163)</x:f>
        <x:v>2025</x:v>
      </x:c>
      <x:c r="F4163" s="29" t="n">
        <x:f>MONTH(B4163)</x:f>
        <x:v>2</x:v>
      </x:c>
      <x:c r="G4163" s="30" t="n">
        <x:v>-37.91</x:v>
      </x:c>
      <x:c r="H4163" s="30" t="n">
        <x:v>-72.47</x:v>
      </x:c>
      <x:c r="I4163" s="29" t="n">
        <x:v>61</x:v>
      </x:c>
      <x:c r="J4163" s="31" t="n">
        <x:v>4.4</x:v>
      </x:c>
      <x:c r="K4163" s="25" t="str">
        <x:f>IF(J4163&gt;=7,"Muy fuerte (&gt;=7)",IF(J4163&gt;=6,"Fuerte (6-6.9)",IF(J4163&gt;=5,"Moderado alto (5-5.9)",IF(J4163&gt;=4,"Moderado (4-4.9)","Menor a 4"))))</x:f>
        <x:v>Moderado (4-4.9)</x:v>
      </x:c>
      <x:c r="L4163" s="25" t="str">
        <x:f>IF(I4163&lt;70,"Superficial (&lt;70 km)",IF(I4163&lt;=300,"Intermedio (70-300 km)","Profundo (&gt;300 km)"))</x:f>
        <x:v>Superficial (&lt;70 km)</x:v>
      </x:c>
      <x:c r="M4163" s="25" t="str">
        <x:f>IF(J4163&gt;=5,"Sí","No")</x:f>
        <x:v>No</x:v>
      </x:c>
      <x:c r="N4163" s="25" t="str">
        <x:f>IF(J4163&gt;=6,"Sí","No")</x:f>
        <x:v>No</x:v>
      </x:c>
      <x:c r="O4163" s="25" t="str">
        <x:v>Pendiente: asignar con R/sf</x:v>
      </x:c>
    </x:row>
    <x:row r="4164">
      <x:c r="A4164" s="25" t="n">
        <x:v>4163</x:v>
      </x:c>
      <x:c r="B4164" s="26" t="n">
        <x:v>45740.15121527778</x:v>
      </x:c>
      <x:c r="C4164" s="27" t="n">
        <x:f>INT(B4164)</x:f>
        <x:v>45740</x:v>
      </x:c>
      <x:c r="D4164" s="28" t="n">
        <x:f>MOD(B4164,1)</x:f>
        <x:v>0.15121527777955635</x:v>
      </x:c>
      <x:c r="E4164" s="29" t="n">
        <x:f>YEAR(B4164)</x:f>
        <x:v>2025</x:v>
      </x:c>
      <x:c r="F4164" s="29" t="n">
        <x:f>MONTH(B4164)</x:f>
        <x:v>3</x:v>
      </x:c>
      <x:c r="G4164" s="30" t="n">
        <x:v>-36.97</x:v>
      </x:c>
      <x:c r="H4164" s="30" t="n">
        <x:v>-73.42</x:v>
      </x:c>
      <x:c r="I4164" s="29" t="n">
        <x:v>31</x:v>
      </x:c>
      <x:c r="J4164" s="31" t="n">
        <x:v>4.5</x:v>
      </x:c>
      <x:c r="K4164" s="25" t="str">
        <x:f>IF(J4164&gt;=7,"Muy fuerte (&gt;=7)",IF(J4164&gt;=6,"Fuerte (6-6.9)",IF(J4164&gt;=5,"Moderado alto (5-5.9)",IF(J4164&gt;=4,"Moderado (4-4.9)","Menor a 4"))))</x:f>
        <x:v>Moderado (4-4.9)</x:v>
      </x:c>
      <x:c r="L4164" s="25" t="str">
        <x:f>IF(I4164&lt;70,"Superficial (&lt;70 km)",IF(I4164&lt;=300,"Intermedio (70-300 km)","Profundo (&gt;300 km)"))</x:f>
        <x:v>Superficial (&lt;70 km)</x:v>
      </x:c>
      <x:c r="M4164" s="25" t="str">
        <x:f>IF(J4164&gt;=5,"Sí","No")</x:f>
        <x:v>No</x:v>
      </x:c>
      <x:c r="N4164" s="25" t="str">
        <x:f>IF(J4164&gt;=6,"Sí","No")</x:f>
        <x:v>No</x:v>
      </x:c>
      <x:c r="O4164" s="25" t="str">
        <x:v>Pendiente: asignar con R/sf</x:v>
      </x:c>
    </x:row>
    <x:row r="4165">
      <x:c r="A4165" s="25" t="n">
        <x:v>4164</x:v>
      </x:c>
      <x:c r="B4165" s="26" t="n">
        <x:v>45796.68619212963</x:v>
      </x:c>
      <x:c r="C4165" s="27" t="n">
        <x:f>INT(B4165)</x:f>
        <x:v>45796</x:v>
      </x:c>
      <x:c r="D4165" s="28" t="n">
        <x:f>MOD(B4165,1)</x:f>
        <x:v>0.6861921296294895</x:v>
      </x:c>
      <x:c r="E4165" s="29" t="n">
        <x:f>YEAR(B4165)</x:f>
        <x:v>2025</x:v>
      </x:c>
      <x:c r="F4165" s="29" t="n">
        <x:f>MONTH(B4165)</x:f>
        <x:v>5</x:v>
      </x:c>
      <x:c r="G4165" s="30" t="n">
        <x:v>-37.77</x:v>
      </x:c>
      <x:c r="H4165" s="30" t="n">
        <x:v>-73.26</x:v>
      </x:c>
      <x:c r="I4165" s="29" t="n">
        <x:v>65</x:v>
      </x:c>
      <x:c r="J4165" s="31" t="n">
        <x:v>4</x:v>
      </x:c>
      <x:c r="K4165" s="25" t="str">
        <x:f>IF(J4165&gt;=7,"Muy fuerte (&gt;=7)",IF(J4165&gt;=6,"Fuerte (6-6.9)",IF(J4165&gt;=5,"Moderado alto (5-5.9)",IF(J4165&gt;=4,"Moderado (4-4.9)","Menor a 4"))))</x:f>
        <x:v>Moderado (4-4.9)</x:v>
      </x:c>
      <x:c r="L4165" s="25" t="str">
        <x:f>IF(I4165&lt;70,"Superficial (&lt;70 km)",IF(I4165&lt;=300,"Intermedio (70-300 km)","Profundo (&gt;300 km)"))</x:f>
        <x:v>Superficial (&lt;70 km)</x:v>
      </x:c>
      <x:c r="M4165" s="25" t="str">
        <x:f>IF(J4165&gt;=5,"Sí","No")</x:f>
        <x:v>No</x:v>
      </x:c>
      <x:c r="N4165" s="25" t="str">
        <x:f>IF(J4165&gt;=6,"Sí","No")</x:f>
        <x:v>No</x:v>
      </x:c>
      <x:c r="O4165" s="25" t="str">
        <x:v>Pendiente: asignar con R/sf</x:v>
      </x:c>
    </x:row>
    <x:row r="4166">
      <x:c r="A4166" s="25" t="n">
        <x:v>4165</x:v>
      </x:c>
      <x:c r="B4166" s="26" t="n">
        <x:v>45447.51047453703</x:v>
      </x:c>
      <x:c r="C4166" s="27" t="n">
        <x:f>INT(B4166)</x:f>
        <x:v>45447</x:v>
      </x:c>
      <x:c r="D4166" s="28" t="n">
        <x:f>MOD(B4166,1)</x:f>
        <x:v>0.5104745370335877</x:v>
      </x:c>
      <x:c r="E4166" s="29" t="n">
        <x:f>YEAR(B4166)</x:f>
        <x:v>2024</x:v>
      </x:c>
      <x:c r="F4166" s="29" t="n">
        <x:f>MONTH(B4166)</x:f>
        <x:v>6</x:v>
      </x:c>
      <x:c r="G4166" s="30" t="n">
        <x:v>-38.06</x:v>
      </x:c>
      <x:c r="H4166" s="30" t="n">
        <x:v>-72.32</x:v>
      </x:c>
      <x:c r="I4166" s="29" t="n">
        <x:v>60</x:v>
      </x:c>
      <x:c r="J4166" s="31" t="n">
        <x:v>3.8</x:v>
      </x:c>
      <x:c r="K4166" s="25" t="str">
        <x:f>IF(J4166&gt;=7,"Muy fuerte (&gt;=7)",IF(J4166&gt;=6,"Fuerte (6-6.9)",IF(J4166&gt;=5,"Moderado alto (5-5.9)",IF(J4166&gt;=4,"Moderado (4-4.9)","Menor a 4"))))</x:f>
        <x:v>Menor a 4</x:v>
      </x:c>
      <x:c r="L4166" s="25" t="str">
        <x:f>IF(I4166&lt;70,"Superficial (&lt;70 km)",IF(I4166&lt;=300,"Intermedio (70-300 km)","Profundo (&gt;300 km)"))</x:f>
        <x:v>Superficial (&lt;70 km)</x:v>
      </x:c>
      <x:c r="M4166" s="25" t="str">
        <x:f>IF(J4166&gt;=5,"Sí","No")</x:f>
        <x:v>No</x:v>
      </x:c>
      <x:c r="N4166" s="25" t="str">
        <x:f>IF(J4166&gt;=6,"Sí","No")</x:f>
        <x:v>No</x:v>
      </x:c>
      <x:c r="O4166" s="25" t="str">
        <x:v>Pendiente: asignar con R/sf</x:v>
      </x:c>
    </x:row>
    <x:row r="4167">
      <x:c r="A4167" s="25" t="n">
        <x:v>4166</x:v>
      </x:c>
      <x:c r="B4167" s="26" t="n">
        <x:v>45696.879583333335</x:v>
      </x:c>
      <x:c r="C4167" s="27" t="n">
        <x:f>INT(B4167)</x:f>
        <x:v>45696</x:v>
      </x:c>
      <x:c r="D4167" s="28" t="n">
        <x:f>MOD(B4167,1)</x:f>
        <x:v>0.8795833333351766</x:v>
      </x:c>
      <x:c r="E4167" s="29" t="n">
        <x:f>YEAR(B4167)</x:f>
        <x:v>2025</x:v>
      </x:c>
      <x:c r="F4167" s="29" t="n">
        <x:f>MONTH(B4167)</x:f>
        <x:v>2</x:v>
      </x:c>
      <x:c r="G4167" s="30" t="n">
        <x:v>-38.25</x:v>
      </x:c>
      <x:c r="H4167" s="30" t="n">
        <x:v>-72.54</x:v>
      </x:c>
      <x:c r="I4167" s="29" t="n">
        <x:v>44</x:v>
      </x:c>
      <x:c r="J4167" s="31" t="n">
        <x:v>4</x:v>
      </x:c>
      <x:c r="K4167" s="25" t="str">
        <x:f>IF(J4167&gt;=7,"Muy fuerte (&gt;=7)",IF(J4167&gt;=6,"Fuerte (6-6.9)",IF(J4167&gt;=5,"Moderado alto (5-5.9)",IF(J4167&gt;=4,"Moderado (4-4.9)","Menor a 4"))))</x:f>
        <x:v>Moderado (4-4.9)</x:v>
      </x:c>
      <x:c r="L4167" s="25" t="str">
        <x:f>IF(I4167&lt;70,"Superficial (&lt;70 km)",IF(I4167&lt;=300,"Intermedio (70-300 km)","Profundo (&gt;300 km)"))</x:f>
        <x:v>Superficial (&lt;70 km)</x:v>
      </x:c>
      <x:c r="M4167" s="25" t="str">
        <x:f>IF(J4167&gt;=5,"Sí","No")</x:f>
        <x:v>No</x:v>
      </x:c>
      <x:c r="N4167" s="25" t="str">
        <x:f>IF(J4167&gt;=6,"Sí","No")</x:f>
        <x:v>No</x:v>
      </x:c>
      <x:c r="O4167" s="25" t="str">
        <x:v>Pendiente: asignar con R/sf</x:v>
      </x:c>
    </x:row>
    <x:row r="4168">
      <x:c r="A4168" s="25" t="n">
        <x:v>4167</x:v>
      </x:c>
      <x:c r="B4168" s="26" t="n">
        <x:v>45418.5252662037</x:v>
      </x:c>
      <x:c r="C4168" s="27" t="n">
        <x:f>INT(B4168)</x:f>
        <x:v>45418</x:v>
      </x:c>
      <x:c r="D4168" s="28" t="n">
        <x:f>MOD(B4168,1)</x:f>
        <x:v>0.5252662037019036</x:v>
      </x:c>
      <x:c r="E4168" s="29" t="n">
        <x:f>YEAR(B4168)</x:f>
        <x:v>2024</x:v>
      </x:c>
      <x:c r="F4168" s="29" t="n">
        <x:f>MONTH(B4168)</x:f>
        <x:v>5</x:v>
      </x:c>
      <x:c r="G4168" s="30" t="n">
        <x:v>-22.01</x:v>
      </x:c>
      <x:c r="H4168" s="30" t="n">
        <x:v>-70.5</x:v>
      </x:c>
      <x:c r="I4168" s="29" t="n">
        <x:v>15</x:v>
      </x:c>
      <x:c r="J4168" s="31" t="n">
        <x:v>3.7</x:v>
      </x:c>
      <x:c r="K4168" s="25" t="str">
        <x:f>IF(J4168&gt;=7,"Muy fuerte (&gt;=7)",IF(J4168&gt;=6,"Fuerte (6-6.9)",IF(J4168&gt;=5,"Moderado alto (5-5.9)",IF(J4168&gt;=4,"Moderado (4-4.9)","Menor a 4"))))</x:f>
        <x:v>Menor a 4</x:v>
      </x:c>
      <x:c r="L4168" s="25" t="str">
        <x:f>IF(I4168&lt;70,"Superficial (&lt;70 km)",IF(I4168&lt;=300,"Intermedio (70-300 km)","Profundo (&gt;300 km)"))</x:f>
        <x:v>Superficial (&lt;70 km)</x:v>
      </x:c>
      <x:c r="M4168" s="25" t="str">
        <x:f>IF(J4168&gt;=5,"Sí","No")</x:f>
        <x:v>No</x:v>
      </x:c>
      <x:c r="N4168" s="25" t="str">
        <x:f>IF(J4168&gt;=6,"Sí","No")</x:f>
        <x:v>No</x:v>
      </x:c>
      <x:c r="O4168" s="25" t="str">
        <x:v>Pendiente: asignar con R/sf</x:v>
      </x:c>
    </x:row>
    <x:row r="4169">
      <x:c r="A4169" s="25" t="n">
        <x:v>4168</x:v>
      </x:c>
      <x:c r="B4169" s="26" t="n">
        <x:v>45843.61635416667</x:v>
      </x:c>
      <x:c r="C4169" s="27" t="n">
        <x:f>INT(B4169)</x:f>
        <x:v>45843</x:v>
      </x:c>
      <x:c r="D4169" s="28" t="n">
        <x:f>MOD(B4169,1)</x:f>
        <x:v>0.6163541666683159</x:v>
      </x:c>
      <x:c r="E4169" s="29" t="n">
        <x:f>YEAR(B4169)</x:f>
        <x:v>2025</x:v>
      </x:c>
      <x:c r="F4169" s="29" t="n">
        <x:f>MONTH(B4169)</x:f>
        <x:v>7</x:v>
      </x:c>
      <x:c r="G4169" s="30" t="n">
        <x:v>-24.8</x:v>
      </x:c>
      <x:c r="H4169" s="30" t="n">
        <x:v>-70.19</x:v>
      </x:c>
      <x:c r="I4169" s="29" t="n">
        <x:v>52</x:v>
      </x:c>
      <x:c r="J4169" s="31" t="n">
        <x:v>4.6</x:v>
      </x:c>
      <x:c r="K4169" s="25" t="str">
        <x:f>IF(J4169&gt;=7,"Muy fuerte (&gt;=7)",IF(J4169&gt;=6,"Fuerte (6-6.9)",IF(J4169&gt;=5,"Moderado alto (5-5.9)",IF(J4169&gt;=4,"Moderado (4-4.9)","Menor a 4"))))</x:f>
        <x:v>Moderado (4-4.9)</x:v>
      </x:c>
      <x:c r="L4169" s="25" t="str">
        <x:f>IF(I4169&lt;70,"Superficial (&lt;70 km)",IF(I4169&lt;=300,"Intermedio (70-300 km)","Profundo (&gt;300 km)"))</x:f>
        <x:v>Superficial (&lt;70 km)</x:v>
      </x:c>
      <x:c r="M4169" s="25" t="str">
        <x:f>IF(J4169&gt;=5,"Sí","No")</x:f>
        <x:v>No</x:v>
      </x:c>
      <x:c r="N4169" s="25" t="str">
        <x:f>IF(J4169&gt;=6,"Sí","No")</x:f>
        <x:v>No</x:v>
      </x:c>
      <x:c r="O4169" s="25" t="str">
        <x:v>Pendiente: asignar con R/sf</x:v>
      </x:c>
    </x:row>
    <x:row r="4170">
      <x:c r="A4170" s="25" t="n">
        <x:v>4169</x:v>
      </x:c>
      <x:c r="B4170" s="26" t="n">
        <x:v>45543.45276620371</x:v>
      </x:c>
      <x:c r="C4170" s="27" t="n">
        <x:f>INT(B4170)</x:f>
        <x:v>45543</x:v>
      </x:c>
      <x:c r="D4170" s="28" t="n">
        <x:f>MOD(B4170,1)</x:f>
        <x:v>0.45276620370714227</x:v>
      </x:c>
      <x:c r="E4170" s="29" t="n">
        <x:f>YEAR(B4170)</x:f>
        <x:v>2024</x:v>
      </x:c>
      <x:c r="F4170" s="29" t="n">
        <x:f>MONTH(B4170)</x:f>
        <x:v>9</x:v>
      </x:c>
      <x:c r="G4170" s="30" t="n">
        <x:v>-21.45</x:v>
      </x:c>
      <x:c r="H4170" s="30" t="n">
        <x:v>-69.9</x:v>
      </x:c>
      <x:c r="I4170" s="29" t="n">
        <x:v>33</x:v>
      </x:c>
      <x:c r="J4170" s="31" t="n">
        <x:v>3.8</x:v>
      </x:c>
      <x:c r="K4170" s="25" t="str">
        <x:f>IF(J4170&gt;=7,"Muy fuerte (&gt;=7)",IF(J4170&gt;=6,"Fuerte (6-6.9)",IF(J4170&gt;=5,"Moderado alto (5-5.9)",IF(J4170&gt;=4,"Moderado (4-4.9)","Menor a 4"))))</x:f>
        <x:v>Menor a 4</x:v>
      </x:c>
      <x:c r="L4170" s="25" t="str">
        <x:f>IF(I4170&lt;70,"Superficial (&lt;70 km)",IF(I4170&lt;=300,"Intermedio (70-300 km)","Profundo (&gt;300 km)"))</x:f>
        <x:v>Superficial (&lt;70 km)</x:v>
      </x:c>
      <x:c r="M4170" s="25" t="str">
        <x:f>IF(J4170&gt;=5,"Sí","No")</x:f>
        <x:v>No</x:v>
      </x:c>
      <x:c r="N4170" s="25" t="str">
        <x:f>IF(J4170&gt;=6,"Sí","No")</x:f>
        <x:v>No</x:v>
      </x:c>
      <x:c r="O4170" s="25" t="str">
        <x:v>Pendiente: asignar con R/sf</x:v>
      </x:c>
    </x:row>
    <x:row r="4171">
      <x:c r="A4171" s="25" t="n">
        <x:v>4170</x:v>
      </x:c>
      <x:c r="B4171" s="26" t="n">
        <x:v>45615.19</x:v>
      </x:c>
      <x:c r="C4171" s="27" t="n">
        <x:f>INT(B4171)</x:f>
        <x:v>45615</x:v>
      </x:c>
      <x:c r="D4171" s="28" t="n">
        <x:f>MOD(B4171,1)</x:f>
        <x:v>0.1900000000023283</x:v>
      </x:c>
      <x:c r="E4171" s="29" t="n">
        <x:f>YEAR(B4171)</x:f>
        <x:v>2024</x:v>
      </x:c>
      <x:c r="F4171" s="29" t="n">
        <x:f>MONTH(B4171)</x:f>
        <x:v>11</x:v>
      </x:c>
      <x:c r="G4171" s="30" t="n">
        <x:v>-21.44</x:v>
      </x:c>
      <x:c r="H4171" s="30" t="n">
        <x:v>-69.58</x:v>
      </x:c>
      <x:c r="I4171" s="29" t="n">
        <x:v>30</x:v>
      </x:c>
      <x:c r="J4171" s="31" t="n">
        <x:v>4.3</x:v>
      </x:c>
      <x:c r="K4171" s="25" t="str">
        <x:f>IF(J4171&gt;=7,"Muy fuerte (&gt;=7)",IF(J4171&gt;=6,"Fuerte (6-6.9)",IF(J4171&gt;=5,"Moderado alto (5-5.9)",IF(J4171&gt;=4,"Moderado (4-4.9)","Menor a 4"))))</x:f>
        <x:v>Moderado (4-4.9)</x:v>
      </x:c>
      <x:c r="L4171" s="25" t="str">
        <x:f>IF(I4171&lt;70,"Superficial (&lt;70 km)",IF(I4171&lt;=300,"Intermedio (70-300 km)","Profundo (&gt;300 km)"))</x:f>
        <x:v>Superficial (&lt;70 km)</x:v>
      </x:c>
      <x:c r="M4171" s="25" t="str">
        <x:f>IF(J4171&gt;=5,"Sí","No")</x:f>
        <x:v>No</x:v>
      </x:c>
      <x:c r="N4171" s="25" t="str">
        <x:f>IF(J4171&gt;=6,"Sí","No")</x:f>
        <x:v>No</x:v>
      </x:c>
      <x:c r="O4171" s="25" t="str">
        <x:v>Pendiente: asignar con R/sf</x:v>
      </x:c>
    </x:row>
    <x:row r="4172">
      <x:c r="A4172" s="25" t="n">
        <x:v>4171</x:v>
      </x:c>
      <x:c r="B4172" s="26" t="n">
        <x:v>45862.032175925924</x:v>
      </x:c>
      <x:c r="C4172" s="27" t="n">
        <x:f>INT(B4172)</x:f>
        <x:v>45862</x:v>
      </x:c>
      <x:c r="D4172" s="28" t="n">
        <x:f>MOD(B4172,1)</x:f>
        <x:v>0.03217592592409346</x:v>
      </x:c>
      <x:c r="E4172" s="29" t="n">
        <x:f>YEAR(B4172)</x:f>
        <x:v>2025</x:v>
      </x:c>
      <x:c r="F4172" s="29" t="n">
        <x:f>MONTH(B4172)</x:f>
        <x:v>7</x:v>
      </x:c>
      <x:c r="G4172" s="30" t="n">
        <x:v>-22.19</x:v>
      </x:c>
      <x:c r="H4172" s="30" t="n">
        <x:v>-68.75</x:v>
      </x:c>
      <x:c r="I4172" s="29" t="n">
        <x:v>115</x:v>
      </x:c>
      <x:c r="J4172" s="31" t="n">
        <x:v>5.2</x:v>
      </x:c>
      <x:c r="K4172" s="25" t="str">
        <x:f>IF(J4172&gt;=7,"Muy fuerte (&gt;=7)",IF(J4172&gt;=6,"Fuerte (6-6.9)",IF(J4172&gt;=5,"Moderado alto (5-5.9)",IF(J4172&gt;=4,"Moderado (4-4.9)","Menor a 4"))))</x:f>
        <x:v>Moderado alto (5-5.9)</x:v>
      </x:c>
      <x:c r="L4172" s="25" t="str">
        <x:f>IF(I4172&lt;70,"Superficial (&lt;70 km)",IF(I4172&lt;=300,"Intermedio (70-300 km)","Profundo (&gt;300 km)"))</x:f>
        <x:v>Intermedio (70-300 km)</x:v>
      </x:c>
      <x:c r="M4172" s="25" t="str">
        <x:f>IF(J4172&gt;=5,"Sí","No")</x:f>
        <x:v>Sí</x:v>
      </x:c>
      <x:c r="N4172" s="25" t="str">
        <x:f>IF(J4172&gt;=6,"Sí","No")</x:f>
        <x:v>No</x:v>
      </x:c>
      <x:c r="O4172" s="25" t="str">
        <x:v>Pendiente: asignar con R/sf</x:v>
      </x:c>
    </x:row>
    <x:row r="4173">
      <x:c r="A4173" s="25" t="n">
        <x:v>4172</x:v>
      </x:c>
      <x:c r="B4173" s="26" t="n">
        <x:v>45880.46581018518</x:v>
      </x:c>
      <x:c r="C4173" s="27" t="n">
        <x:f>INT(B4173)</x:f>
        <x:v>45880</x:v>
      </x:c>
      <x:c r="D4173" s="28" t="n">
        <x:f>MOD(B4173,1)</x:f>
        <x:v>0.4658101851819083</x:v>
      </x:c>
      <x:c r="E4173" s="29" t="n">
        <x:f>YEAR(B4173)</x:f>
        <x:v>2025</x:v>
      </x:c>
      <x:c r="F4173" s="29" t="n">
        <x:f>MONTH(B4173)</x:f>
        <x:v>8</x:v>
      </x:c>
      <x:c r="G4173" s="30" t="n">
        <x:v>-21.77</x:v>
      </x:c>
      <x:c r="H4173" s="30" t="n">
        <x:v>-68.65</x:v>
      </x:c>
      <x:c r="I4173" s="29" t="n">
        <x:v>127</x:v>
      </x:c>
      <x:c r="J4173" s="31" t="n">
        <x:v>4.9</x:v>
      </x:c>
      <x:c r="K4173" s="25" t="str">
        <x:f>IF(J4173&gt;=7,"Muy fuerte (&gt;=7)",IF(J4173&gt;=6,"Fuerte (6-6.9)",IF(J4173&gt;=5,"Moderado alto (5-5.9)",IF(J4173&gt;=4,"Moderado (4-4.9)","Menor a 4"))))</x:f>
        <x:v>Moderado (4-4.9)</x:v>
      </x:c>
      <x:c r="L4173" s="25" t="str">
        <x:f>IF(I4173&lt;70,"Superficial (&lt;70 km)",IF(I4173&lt;=300,"Intermedio (70-300 km)","Profundo (&gt;300 km)"))</x:f>
        <x:v>Intermedio (70-300 km)</x:v>
      </x:c>
      <x:c r="M4173" s="25" t="str">
        <x:f>IF(J4173&gt;=5,"Sí","No")</x:f>
        <x:v>No</x:v>
      </x:c>
      <x:c r="N4173" s="25" t="str">
        <x:f>IF(J4173&gt;=6,"Sí","No")</x:f>
        <x:v>No</x:v>
      </x:c>
      <x:c r="O4173" s="25" t="str">
        <x:v>Pendiente: asignar con R/sf</x:v>
      </x:c>
    </x:row>
    <x:row r="4174">
      <x:c r="A4174" s="25" t="n">
        <x:v>4173</x:v>
      </x:c>
      <x:c r="B4174" s="26" t="n">
        <x:v>45796.93597222222</x:v>
      </x:c>
      <x:c r="C4174" s="27" t="n">
        <x:f>INT(B4174)</x:f>
        <x:v>45796</x:v>
      </x:c>
      <x:c r="D4174" s="28" t="n">
        <x:f>MOD(B4174,1)</x:f>
        <x:v>0.9359722222216078</x:v>
      </x:c>
      <x:c r="E4174" s="29" t="n">
        <x:f>YEAR(B4174)</x:f>
        <x:v>2025</x:v>
      </x:c>
      <x:c r="F4174" s="29" t="n">
        <x:f>MONTH(B4174)</x:f>
        <x:v>5</x:v>
      </x:c>
      <x:c r="G4174" s="30" t="n">
        <x:v>-23.92</x:v>
      </x:c>
      <x:c r="H4174" s="30" t="n">
        <x:v>-67.12</x:v>
      </x:c>
      <x:c r="I4174" s="29" t="n">
        <x:v>214</x:v>
      </x:c>
      <x:c r="J4174" s="31" t="n">
        <x:v>4.5</x:v>
      </x:c>
      <x:c r="K4174" s="25" t="str">
        <x:f>IF(J4174&gt;=7,"Muy fuerte (&gt;=7)",IF(J4174&gt;=6,"Fuerte (6-6.9)",IF(J4174&gt;=5,"Moderado alto (5-5.9)",IF(J4174&gt;=4,"Moderado (4-4.9)","Menor a 4"))))</x:f>
        <x:v>Moderado (4-4.9)</x:v>
      </x:c>
      <x:c r="L4174" s="25" t="str">
        <x:f>IF(I4174&lt;70,"Superficial (&lt;70 km)",IF(I4174&lt;=300,"Intermedio (70-300 km)","Profundo (&gt;300 km)"))</x:f>
        <x:v>Intermedio (70-300 km)</x:v>
      </x:c>
      <x:c r="M4174" s="25" t="str">
        <x:f>IF(J4174&gt;=5,"Sí","No")</x:f>
        <x:v>No</x:v>
      </x:c>
      <x:c r="N4174" s="25" t="str">
        <x:f>IF(J4174&gt;=6,"Sí","No")</x:f>
        <x:v>No</x:v>
      </x:c>
      <x:c r="O4174" s="25" t="str">
        <x:v>Pendiente: asignar con R/sf</x:v>
      </x:c>
    </x:row>
    <x:row r="4175">
      <x:c r="A4175" s="25" t="n">
        <x:v>4174</x:v>
      </x:c>
      <x:c r="B4175" s="26" t="n">
        <x:v>45885.290358796294</x:v>
      </x:c>
      <x:c r="C4175" s="27" t="n">
        <x:f>INT(B4175)</x:f>
        <x:v>45885</x:v>
      </x:c>
      <x:c r="D4175" s="28" t="n">
        <x:f>MOD(B4175,1)</x:f>
        <x:v>0.29035879629373085</x:v>
      </x:c>
      <x:c r="E4175" s="29" t="n">
        <x:f>YEAR(B4175)</x:f>
        <x:v>2025</x:v>
      </x:c>
      <x:c r="F4175" s="29" t="n">
        <x:f>MONTH(B4175)</x:f>
        <x:v>8</x:v>
      </x:c>
      <x:c r="G4175" s="30" t="n">
        <x:v>-25.33</x:v>
      </x:c>
      <x:c r="H4175" s="30" t="n">
        <x:v>-70.77</x:v>
      </x:c>
      <x:c r="I4175" s="29" t="n">
        <x:v>53</x:v>
      </x:c>
      <x:c r="J4175" s="31" t="n">
        <x:v>3.7</x:v>
      </x:c>
      <x:c r="K4175" s="25" t="str">
        <x:f>IF(J4175&gt;=7,"Muy fuerte (&gt;=7)",IF(J4175&gt;=6,"Fuerte (6-6.9)",IF(J4175&gt;=5,"Moderado alto (5-5.9)",IF(J4175&gt;=4,"Moderado (4-4.9)","Menor a 4"))))</x:f>
        <x:v>Menor a 4</x:v>
      </x:c>
      <x:c r="L4175" s="25" t="str">
        <x:f>IF(I4175&lt;70,"Superficial (&lt;70 km)",IF(I4175&lt;=300,"Intermedio (70-300 km)","Profundo (&gt;300 km)"))</x:f>
        <x:v>Superficial (&lt;70 km)</x:v>
      </x:c>
      <x:c r="M4175" s="25" t="str">
        <x:f>IF(J4175&gt;=5,"Sí","No")</x:f>
        <x:v>No</x:v>
      </x:c>
      <x:c r="N4175" s="25" t="str">
        <x:f>IF(J4175&gt;=6,"Sí","No")</x:f>
        <x:v>No</x:v>
      </x:c>
      <x:c r="O4175" s="25" t="str">
        <x:v>Pendiente: asignar con R/sf</x:v>
      </x:c>
    </x:row>
    <x:row r="4176">
      <x:c r="A4176" s="25" t="n">
        <x:v>4175</x:v>
      </x:c>
      <x:c r="B4176" s="26" t="n">
        <x:v>45893.73769675926</x:v>
      </x:c>
      <x:c r="C4176" s="27" t="n">
        <x:f>INT(B4176)</x:f>
        <x:v>45893</x:v>
      </x:c>
      <x:c r="D4176" s="28" t="n">
        <x:f>MOD(B4176,1)</x:f>
        <x:v>0.7376967592572328</x:v>
      </x:c>
      <x:c r="E4176" s="29" t="n">
        <x:f>YEAR(B4176)</x:f>
        <x:v>2025</x:v>
      </x:c>
      <x:c r="F4176" s="29" t="n">
        <x:f>MONTH(B4176)</x:f>
        <x:v>8</x:v>
      </x:c>
      <x:c r="G4176" s="30" t="n">
        <x:v>-32.51</x:v>
      </x:c>
      <x:c r="H4176" s="30" t="n">
        <x:v>-71.43</x:v>
      </x:c>
      <x:c r="I4176" s="29" t="n">
        <x:v>76</x:v>
      </x:c>
      <x:c r="J4176" s="31" t="n">
        <x:v>4.2</x:v>
      </x:c>
      <x:c r="K4176" s="25" t="str">
        <x:f>IF(J4176&gt;=7,"Muy fuerte (&gt;=7)",IF(J4176&gt;=6,"Fuerte (6-6.9)",IF(J4176&gt;=5,"Moderado alto (5-5.9)",IF(J4176&gt;=4,"Moderado (4-4.9)","Menor a 4"))))</x:f>
        <x:v>Moderado (4-4.9)</x:v>
      </x:c>
      <x:c r="L4176" s="25" t="str">
        <x:f>IF(I4176&lt;70,"Superficial (&lt;70 km)",IF(I4176&lt;=300,"Intermedio (70-300 km)","Profundo (&gt;300 km)"))</x:f>
        <x:v>Intermedio (70-300 km)</x:v>
      </x:c>
      <x:c r="M4176" s="25" t="str">
        <x:f>IF(J4176&gt;=5,"Sí","No")</x:f>
        <x:v>No</x:v>
      </x:c>
      <x:c r="N4176" s="25" t="str">
        <x:f>IF(J4176&gt;=6,"Sí","No")</x:f>
        <x:v>No</x:v>
      </x:c>
      <x:c r="O4176" s="25" t="str">
        <x:v>Pendiente: asignar con R/sf</x:v>
      </x:c>
    </x:row>
    <x:row r="4177">
      <x:c r="A4177" s="25" t="n">
        <x:v>4176</x:v>
      </x:c>
      <x:c r="B4177" s="26" t="n">
        <x:v>45561.15221064815</x:v>
      </x:c>
      <x:c r="C4177" s="27" t="n">
        <x:f>INT(B4177)</x:f>
        <x:v>45561</x:v>
      </x:c>
      <x:c r="D4177" s="28" t="n">
        <x:f>MOD(B4177,1)</x:f>
        <x:v>0.1522106481497758</x:v>
      </x:c>
      <x:c r="E4177" s="29" t="n">
        <x:f>YEAR(B4177)</x:f>
        <x:v>2024</x:v>
      </x:c>
      <x:c r="F4177" s="29" t="n">
        <x:f>MONTH(B4177)</x:f>
        <x:v>9</x:v>
      </x:c>
      <x:c r="G4177" s="30" t="n">
        <x:v>-21.93</x:v>
      </x:c>
      <x:c r="H4177" s="30" t="n">
        <x:v>-70.39</x:v>
      </x:c>
      <x:c r="I4177" s="29" t="n">
        <x:v>18</x:v>
      </x:c>
      <x:c r="J4177" s="31" t="n">
        <x:v>3</x:v>
      </x:c>
      <x:c r="K4177" s="25" t="str">
        <x:f>IF(J4177&gt;=7,"Muy fuerte (&gt;=7)",IF(J4177&gt;=6,"Fuerte (6-6.9)",IF(J4177&gt;=5,"Moderado alto (5-5.9)",IF(J4177&gt;=4,"Moderado (4-4.9)","Menor a 4"))))</x:f>
        <x:v>Menor a 4</x:v>
      </x:c>
      <x:c r="L4177" s="25" t="str">
        <x:f>IF(I4177&lt;70,"Superficial (&lt;70 km)",IF(I4177&lt;=300,"Intermedio (70-300 km)","Profundo (&gt;300 km)"))</x:f>
        <x:v>Superficial (&lt;70 km)</x:v>
      </x:c>
      <x:c r="M4177" s="25" t="str">
        <x:f>IF(J4177&gt;=5,"Sí","No")</x:f>
        <x:v>No</x:v>
      </x:c>
      <x:c r="N4177" s="25" t="str">
        <x:f>IF(J4177&gt;=6,"Sí","No")</x:f>
        <x:v>No</x:v>
      </x:c>
      <x:c r="O4177" s="25" t="str">
        <x:v>Pendiente: asignar con R/sf</x:v>
      </x:c>
    </x:row>
    <x:row r="4178">
      <x:c r="A4178" s="25" t="n">
        <x:v>4177</x:v>
      </x:c>
      <x:c r="B4178" s="26" t="n">
        <x:v>45590.411516203705</x:v>
      </x:c>
      <x:c r="C4178" s="27" t="n">
        <x:f>INT(B4178)</x:f>
        <x:v>45590</x:v>
      </x:c>
      <x:c r="D4178" s="28" t="n">
        <x:f>MOD(B4178,1)</x:f>
        <x:v>0.411516203705105</x:v>
      </x:c>
      <x:c r="E4178" s="29" t="n">
        <x:f>YEAR(B4178)</x:f>
        <x:v>2024</x:v>
      </x:c>
      <x:c r="F4178" s="29" t="n">
        <x:f>MONTH(B4178)</x:f>
        <x:v>10</x:v>
      </x:c>
      <x:c r="G4178" s="30" t="n">
        <x:v>-22.21</x:v>
      </x:c>
      <x:c r="H4178" s="30" t="n">
        <x:v>-70.04</x:v>
      </x:c>
      <x:c r="I4178" s="29" t="n">
        <x:v>28</x:v>
      </x:c>
      <x:c r="J4178" s="31" t="n">
        <x:v>4.2</x:v>
      </x:c>
      <x:c r="K4178" s="25" t="str">
        <x:f>IF(J4178&gt;=7,"Muy fuerte (&gt;=7)",IF(J4178&gt;=6,"Fuerte (6-6.9)",IF(J4178&gt;=5,"Moderado alto (5-5.9)",IF(J4178&gt;=4,"Moderado (4-4.9)","Menor a 4"))))</x:f>
        <x:v>Moderado (4-4.9)</x:v>
      </x:c>
      <x:c r="L4178" s="25" t="str">
        <x:f>IF(I4178&lt;70,"Superficial (&lt;70 km)",IF(I4178&lt;=300,"Intermedio (70-300 km)","Profundo (&gt;300 km)"))</x:f>
        <x:v>Superficial (&lt;70 km)</x:v>
      </x:c>
      <x:c r="M4178" s="25" t="str">
        <x:f>IF(J4178&gt;=5,"Sí","No")</x:f>
        <x:v>No</x:v>
      </x:c>
      <x:c r="N4178" s="25" t="str">
        <x:f>IF(J4178&gt;=6,"Sí","No")</x:f>
        <x:v>No</x:v>
      </x:c>
      <x:c r="O4178" s="25" t="str">
        <x:v>Pendiente: asignar con R/sf</x:v>
      </x:c>
    </x:row>
    <x:row r="4179">
      <x:c r="A4179" s="25" t="n">
        <x:v>4178</x:v>
      </x:c>
      <x:c r="B4179" s="26" t="n">
        <x:v>45793.08152777778</x:v>
      </x:c>
      <x:c r="C4179" s="27" t="n">
        <x:f>INT(B4179)</x:f>
        <x:v>45793</x:v>
      </x:c>
      <x:c r="D4179" s="28" t="n">
        <x:f>MOD(B4179,1)</x:f>
        <x:v>0.08152777778013842</x:v>
      </x:c>
      <x:c r="E4179" s="29" t="n">
        <x:f>YEAR(B4179)</x:f>
        <x:v>2025</x:v>
      </x:c>
      <x:c r="F4179" s="29" t="n">
        <x:f>MONTH(B4179)</x:f>
        <x:v>5</x:v>
      </x:c>
      <x:c r="G4179" s="30" t="n">
        <x:v>-22.49</x:v>
      </x:c>
      <x:c r="H4179" s="30" t="n">
        <x:v>-70.13</x:v>
      </x:c>
      <x:c r="I4179" s="29" t="n">
        <x:v>42</x:v>
      </x:c>
      <x:c r="J4179" s="31" t="n">
        <x:v>3.4</x:v>
      </x:c>
      <x:c r="K4179" s="25" t="str">
        <x:f>IF(J4179&gt;=7,"Muy fuerte (&gt;=7)",IF(J4179&gt;=6,"Fuerte (6-6.9)",IF(J4179&gt;=5,"Moderado alto (5-5.9)",IF(J4179&gt;=4,"Moderado (4-4.9)","Menor a 4"))))</x:f>
        <x:v>Menor a 4</x:v>
      </x:c>
      <x:c r="L4179" s="25" t="str">
        <x:f>IF(I4179&lt;70,"Superficial (&lt;70 km)",IF(I4179&lt;=300,"Intermedio (70-300 km)","Profundo (&gt;300 km)"))</x:f>
        <x:v>Superficial (&lt;70 km)</x:v>
      </x:c>
      <x:c r="M4179" s="25" t="str">
        <x:f>IF(J4179&gt;=5,"Sí","No")</x:f>
        <x:v>No</x:v>
      </x:c>
      <x:c r="N4179" s="25" t="str">
        <x:f>IF(J4179&gt;=6,"Sí","No")</x:f>
        <x:v>No</x:v>
      </x:c>
      <x:c r="O4179" s="25" t="str">
        <x:v>Pendiente: asignar con R/sf</x:v>
      </x:c>
    </x:row>
    <x:row r="4180">
      <x:c r="A4180" s="25" t="n">
        <x:v>4179</x:v>
      </x:c>
      <x:c r="B4180" s="26" t="n">
        <x:v>45893.02381944445</x:v>
      </x:c>
      <x:c r="C4180" s="27" t="n">
        <x:f>INT(B4180)</x:f>
        <x:v>45893</x:v>
      </x:c>
      <x:c r="D4180" s="28" t="n">
        <x:f>MOD(B4180,1)</x:f>
        <x:v>0.023819444446417037</x:v>
      </x:c>
      <x:c r="E4180" s="29" t="n">
        <x:f>YEAR(B4180)</x:f>
        <x:v>2025</x:v>
      </x:c>
      <x:c r="F4180" s="29" t="n">
        <x:f>MONTH(B4180)</x:f>
        <x:v>8</x:v>
      </x:c>
      <x:c r="G4180" s="30" t="n">
        <x:v>-22.38</x:v>
      </x:c>
      <x:c r="H4180" s="30" t="n">
        <x:v>-70.49</x:v>
      </x:c>
      <x:c r="I4180" s="29" t="n">
        <x:v>20</x:v>
      </x:c>
      <x:c r="J4180" s="31" t="n">
        <x:v>4</x:v>
      </x:c>
      <x:c r="K4180" s="25" t="str">
        <x:f>IF(J4180&gt;=7,"Muy fuerte (&gt;=7)",IF(J4180&gt;=6,"Fuerte (6-6.9)",IF(J4180&gt;=5,"Moderado alto (5-5.9)",IF(J4180&gt;=4,"Moderado (4-4.9)","Menor a 4"))))</x:f>
        <x:v>Moderado (4-4.9)</x:v>
      </x:c>
      <x:c r="L4180" s="25" t="str">
        <x:f>IF(I4180&lt;70,"Superficial (&lt;70 km)",IF(I4180&lt;=300,"Intermedio (70-300 km)","Profundo (&gt;300 km)"))</x:f>
        <x:v>Superficial (&lt;70 km)</x:v>
      </x:c>
      <x:c r="M4180" s="25" t="str">
        <x:f>IF(J4180&gt;=5,"Sí","No")</x:f>
        <x:v>No</x:v>
      </x:c>
      <x:c r="N4180" s="25" t="str">
        <x:f>IF(J4180&gt;=6,"Sí","No")</x:f>
        <x:v>No</x:v>
      </x:c>
      <x:c r="O4180" s="25" t="str">
        <x:v>Pendiente: asignar con R/sf</x:v>
      </x:c>
    </x:row>
    <x:row r="4181">
      <x:c r="A4181" s="25" t="n">
        <x:v>4180</x:v>
      </x:c>
      <x:c r="B4181" s="26" t="n">
        <x:v>45873.5468287037</x:v>
      </x:c>
      <x:c r="C4181" s="27" t="n">
        <x:f>INT(B4181)</x:f>
        <x:v>45873</x:v>
      </x:c>
      <x:c r="D4181" s="28" t="n">
        <x:f>MOD(B4181,1)</x:f>
        <x:v>0.5468287037001573</x:v>
      </x:c>
      <x:c r="E4181" s="29" t="n">
        <x:f>YEAR(B4181)</x:f>
        <x:v>2025</x:v>
      </x:c>
      <x:c r="F4181" s="29" t="n">
        <x:f>MONTH(B4181)</x:f>
        <x:v>8</x:v>
      </x:c>
      <x:c r="G4181" s="30" t="n">
        <x:v>-25.89</x:v>
      </x:c>
      <x:c r="H4181" s="30" t="n">
        <x:v>-70.47</x:v>
      </x:c>
      <x:c r="I4181" s="29" t="n">
        <x:v>56</x:v>
      </x:c>
      <x:c r="J4181" s="31" t="n">
        <x:v>3.6</x:v>
      </x:c>
      <x:c r="K4181" s="25" t="str">
        <x:f>IF(J4181&gt;=7,"Muy fuerte (&gt;=7)",IF(J4181&gt;=6,"Fuerte (6-6.9)",IF(J4181&gt;=5,"Moderado alto (5-5.9)",IF(J4181&gt;=4,"Moderado (4-4.9)","Menor a 4"))))</x:f>
        <x:v>Menor a 4</x:v>
      </x:c>
      <x:c r="L4181" s="25" t="str">
        <x:f>IF(I4181&lt;70,"Superficial (&lt;70 km)",IF(I4181&lt;=300,"Intermedio (70-300 km)","Profundo (&gt;300 km)"))</x:f>
        <x:v>Superficial (&lt;70 km)</x:v>
      </x:c>
      <x:c r="M4181" s="25" t="str">
        <x:f>IF(J4181&gt;=5,"Sí","No")</x:f>
        <x:v>No</x:v>
      </x:c>
      <x:c r="N4181" s="25" t="str">
        <x:f>IF(J4181&gt;=6,"Sí","No")</x:f>
        <x:v>No</x:v>
      </x:c>
      <x:c r="O4181" s="25" t="str">
        <x:v>Pendiente: asignar con R/sf</x:v>
      </x:c>
    </x:row>
    <x:row r="4182">
      <x:c r="A4182" s="25" t="n">
        <x:v>4181</x:v>
      </x:c>
      <x:c r="B4182" s="26" t="n">
        <x:v>45632.80296296296</x:v>
      </x:c>
      <x:c r="C4182" s="27" t="n">
        <x:f>INT(B4182)</x:f>
        <x:v>45632</x:v>
      </x:c>
      <x:c r="D4182" s="28" t="n">
        <x:f>MOD(B4182,1)</x:f>
        <x:v>0.8029629629600095</x:v>
      </x:c>
      <x:c r="E4182" s="29" t="n">
        <x:f>YEAR(B4182)</x:f>
        <x:v>2024</x:v>
      </x:c>
      <x:c r="F4182" s="29" t="n">
        <x:f>MONTH(B4182)</x:f>
        <x:v>12</x:v>
      </x:c>
      <x:c r="G4182" s="30" t="n">
        <x:v>-21.48</x:v>
      </x:c>
      <x:c r="H4182" s="30" t="n">
        <x:v>-70.04</x:v>
      </x:c>
      <x:c r="I4182" s="29" t="n">
        <x:v>43</x:v>
      </x:c>
      <x:c r="J4182" s="31" t="n">
        <x:v>3.2</x:v>
      </x:c>
      <x:c r="K4182" s="25" t="str">
        <x:f>IF(J4182&gt;=7,"Muy fuerte (&gt;=7)",IF(J4182&gt;=6,"Fuerte (6-6.9)",IF(J4182&gt;=5,"Moderado alto (5-5.9)",IF(J4182&gt;=4,"Moderado (4-4.9)","Menor a 4"))))</x:f>
        <x:v>Menor a 4</x:v>
      </x:c>
      <x:c r="L4182" s="25" t="str">
        <x:f>IF(I4182&lt;70,"Superficial (&lt;70 km)",IF(I4182&lt;=300,"Intermedio (70-300 km)","Profundo (&gt;300 km)"))</x:f>
        <x:v>Superficial (&lt;70 km)</x:v>
      </x:c>
      <x:c r="M4182" s="25" t="str">
        <x:f>IF(J4182&gt;=5,"Sí","No")</x:f>
        <x:v>No</x:v>
      </x:c>
      <x:c r="N4182" s="25" t="str">
        <x:f>IF(J4182&gt;=6,"Sí","No")</x:f>
        <x:v>No</x:v>
      </x:c>
      <x:c r="O4182" s="25" t="str">
        <x:v>Pendiente: asignar con R/sf</x:v>
      </x:c>
    </x:row>
    <x:row r="4183">
      <x:c r="A4183" s="25" t="n">
        <x:v>4182</x:v>
      </x:c>
      <x:c r="B4183" s="26" t="n">
        <x:v>45879.58047453704</x:v>
      </x:c>
      <x:c r="C4183" s="27" t="n">
        <x:f>INT(B4183)</x:f>
        <x:v>45879</x:v>
      </x:c>
      <x:c r="D4183" s="28" t="n">
        <x:f>MOD(B4183,1)</x:f>
        <x:v>0.5804745370405726</x:v>
      </x:c>
      <x:c r="E4183" s="29" t="n">
        <x:f>YEAR(B4183)</x:f>
        <x:v>2025</x:v>
      </x:c>
      <x:c r="F4183" s="29" t="n">
        <x:f>MONTH(B4183)</x:f>
        <x:v>8</x:v>
      </x:c>
      <x:c r="G4183" s="30" t="n">
        <x:v>-21.69</x:v>
      </x:c>
      <x:c r="H4183" s="30" t="n">
        <x:v>-69.77</x:v>
      </x:c>
      <x:c r="I4183" s="29" t="n">
        <x:v>45</x:v>
      </x:c>
      <x:c r="J4183" s="31" t="n">
        <x:v>3.6</x:v>
      </x:c>
      <x:c r="K4183" s="25" t="str">
        <x:f>IF(J4183&gt;=7,"Muy fuerte (&gt;=7)",IF(J4183&gt;=6,"Fuerte (6-6.9)",IF(J4183&gt;=5,"Moderado alto (5-5.9)",IF(J4183&gt;=4,"Moderado (4-4.9)","Menor a 4"))))</x:f>
        <x:v>Menor a 4</x:v>
      </x:c>
      <x:c r="L4183" s="25" t="str">
        <x:f>IF(I4183&lt;70,"Superficial (&lt;70 km)",IF(I4183&lt;=300,"Intermedio (70-300 km)","Profundo (&gt;300 km)"))</x:f>
        <x:v>Superficial (&lt;70 km)</x:v>
      </x:c>
      <x:c r="M4183" s="25" t="str">
        <x:f>IF(J4183&gt;=5,"Sí","No")</x:f>
        <x:v>No</x:v>
      </x:c>
      <x:c r="N4183" s="25" t="str">
        <x:f>IF(J4183&gt;=6,"Sí","No")</x:f>
        <x:v>No</x:v>
      </x:c>
      <x:c r="O4183" s="25" t="str">
        <x:v>Pendiente: asignar con R/sf</x:v>
      </x:c>
    </x:row>
    <x:row r="4184">
      <x:c r="A4184" s="25" t="n">
        <x:v>4183</x:v>
      </x:c>
      <x:c r="B4184" s="26" t="n">
        <x:v>46035.311377314814</x:v>
      </x:c>
      <x:c r="C4184" s="27" t="n">
        <x:f>INT(B4184)</x:f>
        <x:v>46035</x:v>
      </x:c>
      <x:c r="D4184" s="28" t="n">
        <x:f>MOD(B4184,1)</x:f>
        <x:v>0.3113773148143082</x:v>
      </x:c>
      <x:c r="E4184" s="29" t="n">
        <x:f>YEAR(B4184)</x:f>
        <x:v>2026</x:v>
      </x:c>
      <x:c r="F4184" s="29" t="n">
        <x:f>MONTH(B4184)</x:f>
        <x:v>1</x:v>
      </x:c>
      <x:c r="G4184" s="30" t="n">
        <x:v>-21.34</x:v>
      </x:c>
      <x:c r="H4184" s="30" t="n">
        <x:v>-68.92</x:v>
      </x:c>
      <x:c r="I4184" s="29" t="n">
        <x:v>114</x:v>
      </x:c>
      <x:c r="J4184" s="31" t="n">
        <x:v>5.1</x:v>
      </x:c>
      <x:c r="K4184" s="25" t="str">
        <x:f>IF(J4184&gt;=7,"Muy fuerte (&gt;=7)",IF(J4184&gt;=6,"Fuerte (6-6.9)",IF(J4184&gt;=5,"Moderado alto (5-5.9)",IF(J4184&gt;=4,"Moderado (4-4.9)","Menor a 4"))))</x:f>
        <x:v>Moderado alto (5-5.9)</x:v>
      </x:c>
      <x:c r="L4184" s="25" t="str">
        <x:f>IF(I4184&lt;70,"Superficial (&lt;70 km)",IF(I4184&lt;=300,"Intermedio (70-300 km)","Profundo (&gt;300 km)"))</x:f>
        <x:v>Intermedio (70-300 km)</x:v>
      </x:c>
      <x:c r="M4184" s="25" t="str">
        <x:f>IF(J4184&gt;=5,"Sí","No")</x:f>
        <x:v>Sí</x:v>
      </x:c>
      <x:c r="N4184" s="25" t="str">
        <x:f>IF(J4184&gt;=6,"Sí","No")</x:f>
        <x:v>No</x:v>
      </x:c>
      <x:c r="O4184" s="25" t="str">
        <x:v>Pendiente: asignar con R/sf</x:v>
      </x:c>
    </x:row>
    <x:row r="4185">
      <x:c r="A4185" s="25" t="n">
        <x:v>4184</x:v>
      </x:c>
      <x:c r="B4185" s="26" t="n">
        <x:v>45411.597546296296</x:v>
      </x:c>
      <x:c r="C4185" s="27" t="n">
        <x:f>INT(B4185)</x:f>
        <x:v>45411</x:v>
      </x:c>
      <x:c r="D4185" s="28" t="n">
        <x:f>MOD(B4185,1)</x:f>
        <x:v>0.5975462962960592</x:v>
      </x:c>
      <x:c r="E4185" s="29" t="n">
        <x:f>YEAR(B4185)</x:f>
        <x:v>2024</x:v>
      </x:c>
      <x:c r="F4185" s="29" t="n">
        <x:f>MONTH(B4185)</x:f>
        <x:v>4</x:v>
      </x:c>
      <x:c r="G4185" s="30" t="n">
        <x:v>-36.96</x:v>
      </x:c>
      <x:c r="H4185" s="30" t="n">
        <x:v>-73.58</x:v>
      </x:c>
      <x:c r="I4185" s="29" t="n">
        <x:v>18</x:v>
      </x:c>
      <x:c r="J4185" s="31" t="n">
        <x:v>4</x:v>
      </x:c>
      <x:c r="K4185" s="25" t="str">
        <x:f>IF(J4185&gt;=7,"Muy fuerte (&gt;=7)",IF(J4185&gt;=6,"Fuerte (6-6.9)",IF(J4185&gt;=5,"Moderado alto (5-5.9)",IF(J4185&gt;=4,"Moderado (4-4.9)","Menor a 4"))))</x:f>
        <x:v>Moderado (4-4.9)</x:v>
      </x:c>
      <x:c r="L4185" s="25" t="str">
        <x:f>IF(I4185&lt;70,"Superficial (&lt;70 km)",IF(I4185&lt;=300,"Intermedio (70-300 km)","Profundo (&gt;300 km)"))</x:f>
        <x:v>Superficial (&lt;70 km)</x:v>
      </x:c>
      <x:c r="M4185" s="25" t="str">
        <x:f>IF(J4185&gt;=5,"Sí","No")</x:f>
        <x:v>No</x:v>
      </x:c>
      <x:c r="N4185" s="25" t="str">
        <x:f>IF(J4185&gt;=6,"Sí","No")</x:f>
        <x:v>No</x:v>
      </x:c>
      <x:c r="O4185" s="25" t="str">
        <x:v>Pendiente: asignar con R/sf</x:v>
      </x:c>
    </x:row>
    <x:row r="4186">
      <x:c r="A4186" s="25" t="n">
        <x:v>4185</x:v>
      </x:c>
      <x:c r="B4186" s="26" t="n">
        <x:v>45963.78597222222</x:v>
      </x:c>
      <x:c r="C4186" s="27" t="n">
        <x:f>INT(B4186)</x:f>
        <x:v>45963</x:v>
      </x:c>
      <x:c r="D4186" s="28" t="n">
        <x:f>MOD(B4186,1)</x:f>
        <x:v>0.7859722222201526</x:v>
      </x:c>
      <x:c r="E4186" s="29" t="n">
        <x:f>YEAR(B4186)</x:f>
        <x:v>2025</x:v>
      </x:c>
      <x:c r="F4186" s="29" t="n">
        <x:f>MONTH(B4186)</x:f>
        <x:v>11</x:v>
      </x:c>
      <x:c r="G4186" s="30" t="n">
        <x:v>-36.91</x:v>
      </x:c>
      <x:c r="H4186" s="30" t="n">
        <x:v>-74</x:v>
      </x:c>
      <x:c r="I4186" s="29" t="n">
        <x:v>21</x:v>
      </x:c>
      <x:c r="J4186" s="31" t="n">
        <x:v>4.6</x:v>
      </x:c>
      <x:c r="K4186" s="25" t="str">
        <x:f>IF(J4186&gt;=7,"Muy fuerte (&gt;=7)",IF(J4186&gt;=6,"Fuerte (6-6.9)",IF(J4186&gt;=5,"Moderado alto (5-5.9)",IF(J4186&gt;=4,"Moderado (4-4.9)","Menor a 4"))))</x:f>
        <x:v>Moderado (4-4.9)</x:v>
      </x:c>
      <x:c r="L4186" s="25" t="str">
        <x:f>IF(I4186&lt;70,"Superficial (&lt;70 km)",IF(I4186&lt;=300,"Intermedio (70-300 km)","Profundo (&gt;300 km)"))</x:f>
        <x:v>Superficial (&lt;70 km)</x:v>
      </x:c>
      <x:c r="M4186" s="25" t="str">
        <x:f>IF(J4186&gt;=5,"Sí","No")</x:f>
        <x:v>No</x:v>
      </x:c>
      <x:c r="N4186" s="25" t="str">
        <x:f>IF(J4186&gt;=6,"Sí","No")</x:f>
        <x:v>No</x:v>
      </x:c>
      <x:c r="O4186" s="25" t="str">
        <x:v>Pendiente: asignar con R/sf</x:v>
      </x:c>
    </x:row>
    <x:row r="4187">
      <x:c r="A4187" s="25" t="n">
        <x:v>4186</x:v>
      </x:c>
      <x:c r="B4187" s="26" t="n">
        <x:v>45023.865648148145</x:v>
      </x:c>
      <x:c r="C4187" s="27" t="n">
        <x:f>INT(B4187)</x:f>
        <x:v>45023</x:v>
      </x:c>
      <x:c r="D4187" s="28" t="n">
        <x:f>MOD(B4187,1)</x:f>
        <x:v>0.8656481481448282</x:v>
      </x:c>
      <x:c r="E4187" s="29" t="n">
        <x:f>YEAR(B4187)</x:f>
        <x:v>2023</x:v>
      </x:c>
      <x:c r="F4187" s="29" t="n">
        <x:f>MONTH(B4187)</x:f>
        <x:v>4</x:v>
      </x:c>
      <x:c r="G4187" s="30" t="n">
        <x:v>-38.23</x:v>
      </x:c>
      <x:c r="H4187" s="30" t="n">
        <x:v>-72.42</x:v>
      </x:c>
      <x:c r="I4187" s="29" t="n">
        <x:v>44</x:v>
      </x:c>
      <x:c r="J4187" s="31" t="n">
        <x:v>3.9</x:v>
      </x:c>
      <x:c r="K4187" s="25" t="str">
        <x:f>IF(J4187&gt;=7,"Muy fuerte (&gt;=7)",IF(J4187&gt;=6,"Fuerte (6-6.9)",IF(J4187&gt;=5,"Moderado alto (5-5.9)",IF(J4187&gt;=4,"Moderado (4-4.9)","Menor a 4"))))</x:f>
        <x:v>Menor a 4</x:v>
      </x:c>
      <x:c r="L4187" s="25" t="str">
        <x:f>IF(I4187&lt;70,"Superficial (&lt;70 km)",IF(I4187&lt;=300,"Intermedio (70-300 km)","Profundo (&gt;300 km)"))</x:f>
        <x:v>Superficial (&lt;70 km)</x:v>
      </x:c>
      <x:c r="M4187" s="25" t="str">
        <x:f>IF(J4187&gt;=5,"Sí","No")</x:f>
        <x:v>No</x:v>
      </x:c>
      <x:c r="N4187" s="25" t="str">
        <x:f>IF(J4187&gt;=6,"Sí","No")</x:f>
        <x:v>No</x:v>
      </x:c>
      <x:c r="O4187" s="25" t="str">
        <x:v>Pendiente: asignar con R/sf</x:v>
      </x:c>
    </x:row>
    <x:row r="4188">
      <x:c r="A4188" s="25" t="n">
        <x:v>4187</x:v>
      </x:c>
      <x:c r="B4188" s="26" t="n">
        <x:v>45476.864120370374</x:v>
      </x:c>
      <x:c r="C4188" s="27" t="n">
        <x:f>INT(B4188)</x:f>
        <x:v>45476</x:v>
      </x:c>
      <x:c r="D4188" s="28" t="n">
        <x:f>MOD(B4188,1)</x:f>
        <x:v>0.8641203703737119</x:v>
      </x:c>
      <x:c r="E4188" s="29" t="n">
        <x:f>YEAR(B4188)</x:f>
        <x:v>2024</x:v>
      </x:c>
      <x:c r="F4188" s="29" t="n">
        <x:f>MONTH(B4188)</x:f>
        <x:v>7</x:v>
      </x:c>
      <x:c r="G4188" s="30" t="n">
        <x:v>-37.64</x:v>
      </x:c>
      <x:c r="H4188" s="30" t="n">
        <x:v>-72.23</x:v>
      </x:c>
      <x:c r="I4188" s="29" t="n">
        <x:v>75</x:v>
      </x:c>
      <x:c r="J4188" s="31" t="n">
        <x:v>3.4</x:v>
      </x:c>
      <x:c r="K4188" s="25" t="str">
        <x:f>IF(J4188&gt;=7,"Muy fuerte (&gt;=7)",IF(J4188&gt;=6,"Fuerte (6-6.9)",IF(J4188&gt;=5,"Moderado alto (5-5.9)",IF(J4188&gt;=4,"Moderado (4-4.9)","Menor a 4"))))</x:f>
        <x:v>Menor a 4</x:v>
      </x:c>
      <x:c r="L4188" s="25" t="str">
        <x:f>IF(I4188&lt;70,"Superficial (&lt;70 km)",IF(I4188&lt;=300,"Intermedio (70-300 km)","Profundo (&gt;300 km)"))</x:f>
        <x:v>Intermedio (70-300 km)</x:v>
      </x:c>
      <x:c r="M4188" s="25" t="str">
        <x:f>IF(J4188&gt;=5,"Sí","No")</x:f>
        <x:v>No</x:v>
      </x:c>
      <x:c r="N4188" s="25" t="str">
        <x:f>IF(J4188&gt;=6,"Sí","No")</x:f>
        <x:v>No</x:v>
      </x:c>
      <x:c r="O4188" s="25" t="str">
        <x:v>Pendiente: asignar con R/sf</x:v>
      </x:c>
    </x:row>
    <x:row r="4189">
      <x:c r="A4189" s="25" t="n">
        <x:v>4188</x:v>
      </x:c>
      <x:c r="B4189" s="26" t="n">
        <x:v>45284.14776620371</x:v>
      </x:c>
      <x:c r="C4189" s="27" t="n">
        <x:f>INT(B4189)</x:f>
        <x:v>45284</x:v>
      </x:c>
      <x:c r="D4189" s="28" t="n">
        <x:f>MOD(B4189,1)</x:f>
        <x:v>0.14776620370685123</x:v>
      </x:c>
      <x:c r="E4189" s="29" t="n">
        <x:f>YEAR(B4189)</x:f>
        <x:v>2023</x:v>
      </x:c>
      <x:c r="F4189" s="29" t="n">
        <x:f>MONTH(B4189)</x:f>
        <x:v>12</x:v>
      </x:c>
      <x:c r="G4189" s="30" t="n">
        <x:v>-38.15</x:v>
      </x:c>
      <x:c r="H4189" s="30" t="n">
        <x:v>-74.32</x:v>
      </x:c>
      <x:c r="I4189" s="29" t="n">
        <x:v>34</x:v>
      </x:c>
      <x:c r="J4189" s="31" t="n">
        <x:v>4.8</x:v>
      </x:c>
      <x:c r="K4189" s="25" t="str">
        <x:f>IF(J4189&gt;=7,"Muy fuerte (&gt;=7)",IF(J4189&gt;=6,"Fuerte (6-6.9)",IF(J4189&gt;=5,"Moderado alto (5-5.9)",IF(J4189&gt;=4,"Moderado (4-4.9)","Menor a 4"))))</x:f>
        <x:v>Moderado (4-4.9)</x:v>
      </x:c>
      <x:c r="L4189" s="25" t="str">
        <x:f>IF(I4189&lt;70,"Superficial (&lt;70 km)",IF(I4189&lt;=300,"Intermedio (70-300 km)","Profundo (&gt;300 km)"))</x:f>
        <x:v>Superficial (&lt;70 km)</x:v>
      </x:c>
      <x:c r="M4189" s="25" t="str">
        <x:f>IF(J4189&gt;=5,"Sí","No")</x:f>
        <x:v>No</x:v>
      </x:c>
      <x:c r="N4189" s="25" t="str">
        <x:f>IF(J4189&gt;=6,"Sí","No")</x:f>
        <x:v>No</x:v>
      </x:c>
      <x:c r="O4189" s="25" t="str">
        <x:v>Pendiente: asignar con R/sf</x:v>
      </x:c>
    </x:row>
    <x:row r="4190">
      <x:c r="A4190" s="25" t="n">
        <x:v>4189</x:v>
      </x:c>
      <x:c r="B4190" s="26" t="n">
        <x:v>45495.73384259259</x:v>
      </x:c>
      <x:c r="C4190" s="27" t="n">
        <x:f>INT(B4190)</x:f>
        <x:v>45495</x:v>
      </x:c>
      <x:c r="D4190" s="28" t="n">
        <x:f>MOD(B4190,1)</x:f>
        <x:v>0.7338425925918273</x:v>
      </x:c>
      <x:c r="E4190" s="29" t="n">
        <x:f>YEAR(B4190)</x:f>
        <x:v>2024</x:v>
      </x:c>
      <x:c r="F4190" s="29" t="n">
        <x:f>MONTH(B4190)</x:f>
        <x:v>7</x:v>
      </x:c>
      <x:c r="G4190" s="30" t="n">
        <x:v>-38.22</x:v>
      </x:c>
      <x:c r="H4190" s="30" t="n">
        <x:v>-73.93</x:v>
      </x:c>
      <x:c r="I4190" s="29" t="n">
        <x:v>30</x:v>
      </x:c>
      <x:c r="J4190" s="31" t="n">
        <x:v>4.2</x:v>
      </x:c>
      <x:c r="K4190" s="25" t="str">
        <x:f>IF(J4190&gt;=7,"Muy fuerte (&gt;=7)",IF(J4190&gt;=6,"Fuerte (6-6.9)",IF(J4190&gt;=5,"Moderado alto (5-5.9)",IF(J4190&gt;=4,"Moderado (4-4.9)","Menor a 4"))))</x:f>
        <x:v>Moderado (4-4.9)</x:v>
      </x:c>
      <x:c r="L4190" s="25" t="str">
        <x:f>IF(I4190&lt;70,"Superficial (&lt;70 km)",IF(I4190&lt;=300,"Intermedio (70-300 km)","Profundo (&gt;300 km)"))</x:f>
        <x:v>Superficial (&lt;70 km)</x:v>
      </x:c>
      <x:c r="M4190" s="25" t="str">
        <x:f>IF(J4190&gt;=5,"Sí","No")</x:f>
        <x:v>No</x:v>
      </x:c>
      <x:c r="N4190" s="25" t="str">
        <x:f>IF(J4190&gt;=6,"Sí","No")</x:f>
        <x:v>No</x:v>
      </x:c>
      <x:c r="O4190" s="25" t="str">
        <x:v>Pendiente: asignar con R/sf</x:v>
      </x:c>
    </x:row>
    <x:row r="4191">
      <x:c r="A4191" s="25" t="n">
        <x:v>4190</x:v>
      </x:c>
      <x:c r="B4191" s="26" t="n">
        <x:v>45406.63233796296</x:v>
      </x:c>
      <x:c r="C4191" s="27" t="n">
        <x:f>INT(B4191)</x:f>
        <x:v>45406</x:v>
      </x:c>
      <x:c r="D4191" s="28" t="n">
        <x:f>MOD(B4191,1)</x:f>
        <x:v>0.6323379629611736</x:v>
      </x:c>
      <x:c r="E4191" s="29" t="n">
        <x:f>YEAR(B4191)</x:f>
        <x:v>2024</x:v>
      </x:c>
      <x:c r="F4191" s="29" t="n">
        <x:f>MONTH(B4191)</x:f>
        <x:v>4</x:v>
      </x:c>
      <x:c r="G4191" s="30" t="n">
        <x:v>-39.57</x:v>
      </x:c>
      <x:c r="H4191" s="30" t="n">
        <x:v>-72.6</x:v>
      </x:c>
      <x:c r="I4191" s="29" t="n">
        <x:v>76</x:v>
      </x:c>
      <x:c r="J4191" s="31" t="n">
        <x:v>4.4</x:v>
      </x:c>
      <x:c r="K4191" s="25" t="str">
        <x:f>IF(J4191&gt;=7,"Muy fuerte (&gt;=7)",IF(J4191&gt;=6,"Fuerte (6-6.9)",IF(J4191&gt;=5,"Moderado alto (5-5.9)",IF(J4191&gt;=4,"Moderado (4-4.9)","Menor a 4"))))</x:f>
        <x:v>Moderado (4-4.9)</x:v>
      </x:c>
      <x:c r="L4191" s="25" t="str">
        <x:f>IF(I4191&lt;70,"Superficial (&lt;70 km)",IF(I4191&lt;=300,"Intermedio (70-300 km)","Profundo (&gt;300 km)"))</x:f>
        <x:v>Intermedio (70-300 km)</x:v>
      </x:c>
      <x:c r="M4191" s="25" t="str">
        <x:f>IF(J4191&gt;=5,"Sí","No")</x:f>
        <x:v>No</x:v>
      </x:c>
      <x:c r="N4191" s="25" t="str">
        <x:f>IF(J4191&gt;=6,"Sí","No")</x:f>
        <x:v>No</x:v>
      </x:c>
      <x:c r="O4191" s="25" t="str">
        <x:v>Pendiente: asignar con R/sf</x:v>
      </x:c>
    </x:row>
    <x:row r="4192">
      <x:c r="A4192" s="25" t="n">
        <x:v>4191</x:v>
      </x:c>
      <x:c r="B4192" s="26" t="n">
        <x:v>44742.62469907408</x:v>
      </x:c>
      <x:c r="C4192" s="27" t="n">
        <x:f>INT(B4192)</x:f>
        <x:v>44742</x:v>
      </x:c>
      <x:c r="D4192" s="28" t="n">
        <x:f>MOD(B4192,1)</x:f>
        <x:v>0.6246990740764886</x:v>
      </x:c>
      <x:c r="E4192" s="29" t="n">
        <x:f>YEAR(B4192)</x:f>
        <x:v>2022</x:v>
      </x:c>
      <x:c r="F4192" s="29" t="n">
        <x:f>MONTH(B4192)</x:f>
        <x:v>6</x:v>
      </x:c>
      <x:c r="G4192" s="30" t="n">
        <x:v>-36.76</x:v>
      </x:c>
      <x:c r="H4192" s="30" t="n">
        <x:v>-73.34</x:v>
      </x:c>
      <x:c r="I4192" s="29" t="n">
        <x:v>32</x:v>
      </x:c>
      <x:c r="J4192" s="31" t="n">
        <x:v>3</x:v>
      </x:c>
      <x:c r="K4192" s="25" t="str">
        <x:f>IF(J4192&gt;=7,"Muy fuerte (&gt;=7)",IF(J4192&gt;=6,"Fuerte (6-6.9)",IF(J4192&gt;=5,"Moderado alto (5-5.9)",IF(J4192&gt;=4,"Moderado (4-4.9)","Menor a 4"))))</x:f>
        <x:v>Menor a 4</x:v>
      </x:c>
      <x:c r="L4192" s="25" t="str">
        <x:f>IF(I4192&lt;70,"Superficial (&lt;70 km)",IF(I4192&lt;=300,"Intermedio (70-300 km)","Profundo (&gt;300 km)"))</x:f>
        <x:v>Superficial (&lt;70 km)</x:v>
      </x:c>
      <x:c r="M4192" s="25" t="str">
        <x:f>IF(J4192&gt;=5,"Sí","No")</x:f>
        <x:v>No</x:v>
      </x:c>
      <x:c r="N4192" s="25" t="str">
        <x:f>IF(J4192&gt;=6,"Sí","No")</x:f>
        <x:v>No</x:v>
      </x:c>
      <x:c r="O4192" s="25" t="str">
        <x:v>Pendiente: asignar con R/sf</x:v>
      </x:c>
    </x:row>
    <x:row r="4193">
      <x:c r="A4193" s="25" t="n">
        <x:v>4192</x:v>
      </x:c>
      <x:c r="B4193" s="26" t="n">
        <x:v>45641.410949074074</x:v>
      </x:c>
      <x:c r="C4193" s="27" t="n">
        <x:f>INT(B4193)</x:f>
        <x:v>45641</x:v>
      </x:c>
      <x:c r="D4193" s="28" t="n">
        <x:f>MOD(B4193,1)</x:f>
        <x:v>0.41094907407386927</x:v>
      </x:c>
      <x:c r="E4193" s="29" t="n">
        <x:f>YEAR(B4193)</x:f>
        <x:v>2024</x:v>
      </x:c>
      <x:c r="F4193" s="29" t="n">
        <x:f>MONTH(B4193)</x:f>
        <x:v>12</x:v>
      </x:c>
      <x:c r="G4193" s="30" t="n">
        <x:v>-36.82</x:v>
      </x:c>
      <x:c r="H4193" s="30" t="n">
        <x:v>-73.25</x:v>
      </x:c>
      <x:c r="I4193" s="29" t="n">
        <x:v>28</x:v>
      </x:c>
      <x:c r="J4193" s="31" t="n">
        <x:v>3</x:v>
      </x:c>
      <x:c r="K4193" s="25" t="str">
        <x:f>IF(J4193&gt;=7,"Muy fuerte (&gt;=7)",IF(J4193&gt;=6,"Fuerte (6-6.9)",IF(J4193&gt;=5,"Moderado alto (5-5.9)",IF(J4193&gt;=4,"Moderado (4-4.9)","Menor a 4"))))</x:f>
        <x:v>Menor a 4</x:v>
      </x:c>
      <x:c r="L4193" s="25" t="str">
        <x:f>IF(I4193&lt;70,"Superficial (&lt;70 km)",IF(I4193&lt;=300,"Intermedio (70-300 km)","Profundo (&gt;300 km)"))</x:f>
        <x:v>Superficial (&lt;70 km)</x:v>
      </x:c>
      <x:c r="M4193" s="25" t="str">
        <x:f>IF(J4193&gt;=5,"Sí","No")</x:f>
        <x:v>No</x:v>
      </x:c>
      <x:c r="N4193" s="25" t="str">
        <x:f>IF(J4193&gt;=6,"Sí","No")</x:f>
        <x:v>No</x:v>
      </x:c>
      <x:c r="O4193" s="25" t="str">
        <x:v>Pendiente: asignar con R/sf</x:v>
      </x:c>
    </x:row>
    <x:row r="4194">
      <x:c r="A4194" s="25" t="n">
        <x:v>4193</x:v>
      </x:c>
      <x:c r="B4194" s="26" t="n">
        <x:v>45563.68560185185</x:v>
      </x:c>
      <x:c r="C4194" s="27" t="n">
        <x:f>INT(B4194)</x:f>
        <x:v>45563</x:v>
      </x:c>
      <x:c r="D4194" s="28" t="n">
        <x:f>MOD(B4194,1)</x:f>
        <x:v>0.6856018518519704</x:v>
      </x:c>
      <x:c r="E4194" s="29" t="n">
        <x:f>YEAR(B4194)</x:f>
        <x:v>2024</x:v>
      </x:c>
      <x:c r="F4194" s="29" t="n">
        <x:f>MONTH(B4194)</x:f>
        <x:v>9</x:v>
      </x:c>
      <x:c r="G4194" s="30" t="n">
        <x:v>-39.45</x:v>
      </x:c>
      <x:c r="H4194" s="30" t="n">
        <x:v>-72.25</x:v>
      </x:c>
      <x:c r="I4194" s="29" t="n">
        <x:v>82</x:v>
      </x:c>
      <x:c r="J4194" s="31" t="n">
        <x:v>3.8</x:v>
      </x:c>
      <x:c r="K4194" s="25" t="str">
        <x:f>IF(J4194&gt;=7,"Muy fuerte (&gt;=7)",IF(J4194&gt;=6,"Fuerte (6-6.9)",IF(J4194&gt;=5,"Moderado alto (5-5.9)",IF(J4194&gt;=4,"Moderado (4-4.9)","Menor a 4"))))</x:f>
        <x:v>Menor a 4</x:v>
      </x:c>
      <x:c r="L4194" s="25" t="str">
        <x:f>IF(I4194&lt;70,"Superficial (&lt;70 km)",IF(I4194&lt;=300,"Intermedio (70-300 km)","Profundo (&gt;300 km)"))</x:f>
        <x:v>Intermedio (70-300 km)</x:v>
      </x:c>
      <x:c r="M4194" s="25" t="str">
        <x:f>IF(J4194&gt;=5,"Sí","No")</x:f>
        <x:v>No</x:v>
      </x:c>
      <x:c r="N4194" s="25" t="str">
        <x:f>IF(J4194&gt;=6,"Sí","No")</x:f>
        <x:v>No</x:v>
      </x:c>
      <x:c r="O4194" s="25" t="str">
        <x:v>Pendiente: asignar con R/sf</x:v>
      </x:c>
    </x:row>
    <x:row r="4195">
      <x:c r="A4195" s="25" t="n">
        <x:v>4194</x:v>
      </x:c>
      <x:c r="B4195" s="26" t="n">
        <x:v>44780.11199074074</x:v>
      </x:c>
      <x:c r="C4195" s="27" t="n">
        <x:f>INT(B4195)</x:f>
        <x:v>44780</x:v>
      </x:c>
      <x:c r="D4195" s="28" t="n">
        <x:f>MOD(B4195,1)</x:f>
        <x:v>0.111990740741021</x:v>
      </x:c>
      <x:c r="E4195" s="29" t="n">
        <x:f>YEAR(B4195)</x:f>
        <x:v>2022</x:v>
      </x:c>
      <x:c r="F4195" s="29" t="n">
        <x:f>MONTH(B4195)</x:f>
        <x:v>8</x:v>
      </x:c>
      <x:c r="G4195" s="30" t="n">
        <x:v>-19.41</x:v>
      </x:c>
      <x:c r="H4195" s="30" t="n">
        <x:v>-69.34</x:v>
      </x:c>
      <x:c r="I4195" s="29" t="n">
        <x:v>97</x:v>
      </x:c>
      <x:c r="J4195" s="31" t="n">
        <x:v>5.1</x:v>
      </x:c>
      <x:c r="K4195" s="25" t="str">
        <x:f>IF(J4195&gt;=7,"Muy fuerte (&gt;=7)",IF(J4195&gt;=6,"Fuerte (6-6.9)",IF(J4195&gt;=5,"Moderado alto (5-5.9)",IF(J4195&gt;=4,"Moderado (4-4.9)","Menor a 4"))))</x:f>
        <x:v>Moderado alto (5-5.9)</x:v>
      </x:c>
      <x:c r="L4195" s="25" t="str">
        <x:f>IF(I4195&lt;70,"Superficial (&lt;70 km)",IF(I4195&lt;=300,"Intermedio (70-300 km)","Profundo (&gt;300 km)"))</x:f>
        <x:v>Intermedio (70-300 km)</x:v>
      </x:c>
      <x:c r="M4195" s="25" t="str">
        <x:f>IF(J4195&gt;=5,"Sí","No")</x:f>
        <x:v>Sí</x:v>
      </x:c>
      <x:c r="N4195" s="25" t="str">
        <x:f>IF(J4195&gt;=6,"Sí","No")</x:f>
        <x:v>No</x:v>
      </x:c>
      <x:c r="O4195" s="25" t="str">
        <x:v>Pendiente: asignar con R/sf</x:v>
      </x:c>
    </x:row>
    <x:row r="4196">
      <x:c r="A4196" s="25" t="n">
        <x:v>4195</x:v>
      </x:c>
      <x:c r="B4196" s="26" t="n">
        <x:v>44791.090532407405</x:v>
      </x:c>
      <x:c r="C4196" s="27" t="n">
        <x:f>INT(B4196)</x:f>
        <x:v>44791</x:v>
      </x:c>
      <x:c r="D4196" s="28" t="n">
        <x:f>MOD(B4196,1)</x:f>
        <x:v>0.09053240740468027</x:v>
      </x:c>
      <x:c r="E4196" s="29" t="n">
        <x:f>YEAR(B4196)</x:f>
        <x:v>2022</x:v>
      </x:c>
      <x:c r="F4196" s="29" t="n">
        <x:f>MONTH(B4196)</x:f>
        <x:v>8</x:v>
      </x:c>
      <x:c r="G4196" s="30" t="n">
        <x:v>-34.37</x:v>
      </x:c>
      <x:c r="H4196" s="30" t="n">
        <x:v>-70.57</x:v>
      </x:c>
      <x:c r="I4196" s="29" t="n">
        <x:v>114</x:v>
      </x:c>
      <x:c r="J4196" s="31" t="n">
        <x:v>5.5</x:v>
      </x:c>
      <x:c r="K4196" s="25" t="str">
        <x:f>IF(J4196&gt;=7,"Muy fuerte (&gt;=7)",IF(J4196&gt;=6,"Fuerte (6-6.9)",IF(J4196&gt;=5,"Moderado alto (5-5.9)",IF(J4196&gt;=4,"Moderado (4-4.9)","Menor a 4"))))</x:f>
        <x:v>Moderado alto (5-5.9)</x:v>
      </x:c>
      <x:c r="L4196" s="25" t="str">
        <x:f>IF(I4196&lt;70,"Superficial (&lt;70 km)",IF(I4196&lt;=300,"Intermedio (70-300 km)","Profundo (&gt;300 km)"))</x:f>
        <x:v>Intermedio (70-300 km)</x:v>
      </x:c>
      <x:c r="M4196" s="25" t="str">
        <x:f>IF(J4196&gt;=5,"Sí","No")</x:f>
        <x:v>Sí</x:v>
      </x:c>
      <x:c r="N4196" s="25" t="str">
        <x:f>IF(J4196&gt;=6,"Sí","No")</x:f>
        <x:v>No</x:v>
      </x:c>
      <x:c r="O4196" s="25" t="str">
        <x:v>Pendiente: asignar con R/sf</x:v>
      </x:c>
    </x:row>
    <x:row r="4197">
      <x:c r="A4197" s="25" t="n">
        <x:v>4196</x:v>
      </x:c>
      <x:c r="B4197" s="26" t="n">
        <x:v>44797.50678240741</x:v>
      </x:c>
      <x:c r="C4197" s="27" t="n">
        <x:f>INT(B4197)</x:f>
        <x:v>44797</x:v>
      </x:c>
      <x:c r="D4197" s="28" t="n">
        <x:f>MOD(B4197,1)</x:f>
        <x:v>0.5067824074067175</x:v>
      </x:c>
      <x:c r="E4197" s="29" t="n">
        <x:f>YEAR(B4197)</x:f>
        <x:v>2022</x:v>
      </x:c>
      <x:c r="F4197" s="29" t="n">
        <x:f>MONTH(B4197)</x:f>
        <x:v>8</x:v>
      </x:c>
      <x:c r="G4197" s="30" t="n">
        <x:v>-22.01</x:v>
      </x:c>
      <x:c r="H4197" s="30" t="n">
        <x:v>-68.75</x:v>
      </x:c>
      <x:c r="I4197" s="29" t="n">
        <x:v>134</x:v>
      </x:c>
      <x:c r="J4197" s="31" t="n">
        <x:v>5.6</x:v>
      </x:c>
      <x:c r="K4197" s="25" t="str">
        <x:f>IF(J4197&gt;=7,"Muy fuerte (&gt;=7)",IF(J4197&gt;=6,"Fuerte (6-6.9)",IF(J4197&gt;=5,"Moderado alto (5-5.9)",IF(J4197&gt;=4,"Moderado (4-4.9)","Menor a 4"))))</x:f>
        <x:v>Moderado alto (5-5.9)</x:v>
      </x:c>
      <x:c r="L4197" s="25" t="str">
        <x:f>IF(I4197&lt;70,"Superficial (&lt;70 km)",IF(I4197&lt;=300,"Intermedio (70-300 km)","Profundo (&gt;300 km)"))</x:f>
        <x:v>Intermedio (70-300 km)</x:v>
      </x:c>
      <x:c r="M4197" s="25" t="str">
        <x:f>IF(J4197&gt;=5,"Sí","No")</x:f>
        <x:v>Sí</x:v>
      </x:c>
      <x:c r="N4197" s="25" t="str">
        <x:f>IF(J4197&gt;=6,"Sí","No")</x:f>
        <x:v>No</x:v>
      </x:c>
      <x:c r="O4197" s="25" t="str">
        <x:v>Pendiente: asignar con R/sf</x:v>
      </x:c>
    </x:row>
    <x:row r="4198">
      <x:c r="A4198" s="25" t="n">
        <x:v>4197</x:v>
      </x:c>
      <x:c r="B4198" s="26" t="n">
        <x:v>44408.51001157407</x:v>
      </x:c>
      <x:c r="C4198" s="27" t="n">
        <x:f>INT(B4198)</x:f>
        <x:v>44408</x:v>
      </x:c>
      <x:c r="D4198" s="28" t="n">
        <x:f>MOD(B4198,1)</x:f>
        <x:v>0.510011574071541</x:v>
      </x:c>
      <x:c r="E4198" s="29" t="n">
        <x:f>YEAR(B4198)</x:f>
        <x:v>2021</x:v>
      </x:c>
      <x:c r="F4198" s="29" t="n">
        <x:f>MONTH(B4198)</x:f>
        <x:v>7</x:v>
      </x:c>
      <x:c r="G4198" s="30" t="n">
        <x:v>-32.68</x:v>
      </x:c>
      <x:c r="H4198" s="30" t="n">
        <x:v>-71.79</x:v>
      </x:c>
      <x:c r="I4198" s="29" t="n">
        <x:v>35</x:v>
      </x:c>
      <x:c r="J4198" s="31" t="n">
        <x:v>4.9</x:v>
      </x:c>
      <x:c r="K4198" s="25" t="str">
        <x:f>IF(J4198&gt;=7,"Muy fuerte (&gt;=7)",IF(J4198&gt;=6,"Fuerte (6-6.9)",IF(J4198&gt;=5,"Moderado alto (5-5.9)",IF(J4198&gt;=4,"Moderado (4-4.9)","Menor a 4"))))</x:f>
        <x:v>Moderado (4-4.9)</x:v>
      </x:c>
      <x:c r="L4198" s="25" t="str">
        <x:f>IF(I4198&lt;70,"Superficial (&lt;70 km)",IF(I4198&lt;=300,"Intermedio (70-300 km)","Profundo (&gt;300 km)"))</x:f>
        <x:v>Superficial (&lt;70 km)</x:v>
      </x:c>
      <x:c r="M4198" s="25" t="str">
        <x:f>IF(J4198&gt;=5,"Sí","No")</x:f>
        <x:v>No</x:v>
      </x:c>
      <x:c r="N4198" s="25" t="str">
        <x:f>IF(J4198&gt;=6,"Sí","No")</x:f>
        <x:v>No</x:v>
      </x:c>
      <x:c r="O4198" s="25" t="str">
        <x:v>Pendiente: asignar con R/sf</x:v>
      </x:c>
    </x:row>
    <x:row r="4199">
      <x:c r="A4199" s="25" t="n">
        <x:v>4198</x:v>
      </x:c>
      <x:c r="B4199" s="26" t="n">
        <x:v>44416.97539351852</x:v>
      </x:c>
      <x:c r="C4199" s="27" t="n">
        <x:f>INT(B4199)</x:f>
        <x:v>44416</x:v>
      </x:c>
      <x:c r="D4199" s="28" t="n">
        <x:f>MOD(B4199,1)</x:f>
        <x:v>0.9753935185217415</x:v>
      </x:c>
      <x:c r="E4199" s="29" t="n">
        <x:f>YEAR(B4199)</x:f>
        <x:v>2021</x:v>
      </x:c>
      <x:c r="F4199" s="29" t="n">
        <x:f>MONTH(B4199)</x:f>
        <x:v>8</x:v>
      </x:c>
      <x:c r="G4199" s="30" t="n">
        <x:v>-32.92</x:v>
      </x:c>
      <x:c r="H4199" s="30" t="n">
        <x:v>-71.26</x:v>
      </x:c>
      <x:c r="I4199" s="29" t="n">
        <x:v>58</x:v>
      </x:c>
      <x:c r="J4199" s="31" t="n">
        <x:v>4.2</x:v>
      </x:c>
      <x:c r="K4199" s="25" t="str">
        <x:f>IF(J4199&gt;=7,"Muy fuerte (&gt;=7)",IF(J4199&gt;=6,"Fuerte (6-6.9)",IF(J4199&gt;=5,"Moderado alto (5-5.9)",IF(J4199&gt;=4,"Moderado (4-4.9)","Menor a 4"))))</x:f>
        <x:v>Moderado (4-4.9)</x:v>
      </x:c>
      <x:c r="L4199" s="25" t="str">
        <x:f>IF(I4199&lt;70,"Superficial (&lt;70 km)",IF(I4199&lt;=300,"Intermedio (70-300 km)","Profundo (&gt;300 km)"))</x:f>
        <x:v>Superficial (&lt;70 km)</x:v>
      </x:c>
      <x:c r="M4199" s="25" t="str">
        <x:f>IF(J4199&gt;=5,"Sí","No")</x:f>
        <x:v>No</x:v>
      </x:c>
      <x:c r="N4199" s="25" t="str">
        <x:f>IF(J4199&gt;=6,"Sí","No")</x:f>
        <x:v>No</x:v>
      </x:c>
      <x:c r="O4199" s="25" t="str">
        <x:v>Pendiente: asignar con R/sf</x:v>
      </x:c>
    </x:row>
    <x:row r="4200">
      <x:c r="A4200" s="25" t="n">
        <x:v>4199</x:v>
      </x:c>
      <x:c r="B4200" s="26" t="n">
        <x:v>44492.09300925926</x:v>
      </x:c>
      <x:c r="C4200" s="27" t="n">
        <x:f>INT(B4200)</x:f>
        <x:v>44492</x:v>
      </x:c>
      <x:c r="D4200" s="28" t="n">
        <x:f>MOD(B4200,1)</x:f>
        <x:v>0.09300925926072523</x:v>
      </x:c>
      <x:c r="E4200" s="29" t="n">
        <x:f>YEAR(B4200)</x:f>
        <x:v>2021</x:v>
      </x:c>
      <x:c r="F4200" s="29" t="n">
        <x:f>MONTH(B4200)</x:f>
        <x:v>10</x:v>
      </x:c>
      <x:c r="G4200" s="30" t="n">
        <x:v>-33.27</x:v>
      </x:c>
      <x:c r="H4200" s="30" t="n">
        <x:v>-71.77</x:v>
      </x:c>
      <x:c r="I4200" s="29" t="n">
        <x:v>43</x:v>
      </x:c>
      <x:c r="J4200" s="31" t="n">
        <x:v>4.5</x:v>
      </x:c>
      <x:c r="K4200" s="25" t="str">
        <x:f>IF(J4200&gt;=7,"Muy fuerte (&gt;=7)",IF(J4200&gt;=6,"Fuerte (6-6.9)",IF(J4200&gt;=5,"Moderado alto (5-5.9)",IF(J4200&gt;=4,"Moderado (4-4.9)","Menor a 4"))))</x:f>
        <x:v>Moderado (4-4.9)</x:v>
      </x:c>
      <x:c r="L4200" s="25" t="str">
        <x:f>IF(I4200&lt;70,"Superficial (&lt;70 km)",IF(I4200&lt;=300,"Intermedio (70-300 km)","Profundo (&gt;300 km)"))</x:f>
        <x:v>Superficial (&lt;70 km)</x:v>
      </x:c>
      <x:c r="M4200" s="25" t="str">
        <x:f>IF(J4200&gt;=5,"Sí","No")</x:f>
        <x:v>No</x:v>
      </x:c>
      <x:c r="N4200" s="25" t="str">
        <x:f>IF(J4200&gt;=6,"Sí","No")</x:f>
        <x:v>No</x:v>
      </x:c>
      <x:c r="O4200" s="25" t="str">
        <x:v>Pendiente: asignar con R/sf</x:v>
      </x:c>
    </x:row>
    <x:row r="4201">
      <x:c r="A4201" s="25" t="n">
        <x:v>4200</x:v>
      </x:c>
      <x:c r="B4201" s="26" t="n">
        <x:v>44494.61087962963</x:v>
      </x:c>
      <x:c r="C4201" s="27" t="n">
        <x:f>INT(B4201)</x:f>
        <x:v>44494</x:v>
      </x:c>
      <x:c r="D4201" s="28" t="n">
        <x:f>MOD(B4201,1)</x:f>
        <x:v>0.6108796296321088</x:v>
      </x:c>
      <x:c r="E4201" s="29" t="n">
        <x:f>YEAR(B4201)</x:f>
        <x:v>2021</x:v>
      </x:c>
      <x:c r="F4201" s="29" t="n">
        <x:f>MONTH(B4201)</x:f>
        <x:v>10</x:v>
      </x:c>
      <x:c r="G4201" s="30" t="n">
        <x:v>-32.69</x:v>
      </x:c>
      <x:c r="H4201" s="30" t="n">
        <x:v>-71.76</x:v>
      </x:c>
      <x:c r="I4201" s="29" t="n">
        <x:v>29</x:v>
      </x:c>
      <x:c r="J4201" s="31" t="n">
        <x:v>4.1</x:v>
      </x:c>
      <x:c r="K4201" s="25" t="str">
        <x:f>IF(J4201&gt;=7,"Muy fuerte (&gt;=7)",IF(J4201&gt;=6,"Fuerte (6-6.9)",IF(J4201&gt;=5,"Moderado alto (5-5.9)",IF(J4201&gt;=4,"Moderado (4-4.9)","Menor a 4"))))</x:f>
        <x:v>Moderado (4-4.9)</x:v>
      </x:c>
      <x:c r="L4201" s="25" t="str">
        <x:f>IF(I4201&lt;70,"Superficial (&lt;70 km)",IF(I4201&lt;=300,"Intermedio (70-300 km)","Profundo (&gt;300 km)"))</x:f>
        <x:v>Superficial (&lt;70 km)</x:v>
      </x:c>
      <x:c r="M4201" s="25" t="str">
        <x:f>IF(J4201&gt;=5,"Sí","No")</x:f>
        <x:v>No</x:v>
      </x:c>
      <x:c r="N4201" s="25" t="str">
        <x:f>IF(J4201&gt;=6,"Sí","No")</x:f>
        <x:v>No</x:v>
      </x:c>
      <x:c r="O4201" s="25" t="str">
        <x:v>Pendiente: asignar con R/sf</x:v>
      </x:c>
    </x:row>
    <x:row r="4202">
      <x:c r="A4202" s="25" t="n">
        <x:v>4201</x:v>
      </x:c>
      <x:c r="B4202" s="26" t="n">
        <x:v>44102.700902777775</x:v>
      </x:c>
      <x:c r="C4202" s="27" t="n">
        <x:f>INT(B4202)</x:f>
        <x:v>44102</x:v>
      </x:c>
      <x:c r="D4202" s="28" t="n">
        <x:f>MOD(B4202,1)</x:f>
        <x:v>0.7009027777748997</x:v>
      </x:c>
      <x:c r="E4202" s="29" t="n">
        <x:f>YEAR(B4202)</x:f>
        <x:v>2020</x:v>
      </x:c>
      <x:c r="F4202" s="29" t="n">
        <x:f>MONTH(B4202)</x:f>
        <x:v>9</x:v>
      </x:c>
      <x:c r="G4202" s="30" t="n">
        <x:v>-33.01</x:v>
      </x:c>
      <x:c r="H4202" s="30" t="n">
        <x:v>-71.99</x:v>
      </x:c>
      <x:c r="I4202" s="29" t="n">
        <x:v>25</x:v>
      </x:c>
      <x:c r="J4202" s="31" t="n">
        <x:v>4.6</x:v>
      </x:c>
      <x:c r="K4202" s="25" t="str">
        <x:f>IF(J4202&gt;=7,"Muy fuerte (&gt;=7)",IF(J4202&gt;=6,"Fuerte (6-6.9)",IF(J4202&gt;=5,"Moderado alto (5-5.9)",IF(J4202&gt;=4,"Moderado (4-4.9)","Menor a 4"))))</x:f>
        <x:v>Moderado (4-4.9)</x:v>
      </x:c>
      <x:c r="L4202" s="25" t="str">
        <x:f>IF(I4202&lt;70,"Superficial (&lt;70 km)",IF(I4202&lt;=300,"Intermedio (70-300 km)","Profundo (&gt;300 km)"))</x:f>
        <x:v>Superficial (&lt;70 km)</x:v>
      </x:c>
      <x:c r="M4202" s="25" t="str">
        <x:f>IF(J4202&gt;=5,"Sí","No")</x:f>
        <x:v>No</x:v>
      </x:c>
      <x:c r="N4202" s="25" t="str">
        <x:f>IF(J4202&gt;=6,"Sí","No")</x:f>
        <x:v>No</x:v>
      </x:c>
      <x:c r="O4202" s="25" t="str">
        <x:v>Pendiente: asignar con R/sf</x:v>
      </x:c>
    </x:row>
    <x:row r="4203">
      <x:c r="A4203" s="25" t="n">
        <x:v>4202</x:v>
      </x:c>
      <x:c r="B4203" s="26" t="n">
        <x:v>44359.150289351855</x:v>
      </x:c>
      <x:c r="C4203" s="27" t="n">
        <x:f>INT(B4203)</x:f>
        <x:v>44359</x:v>
      </x:c>
      <x:c r="D4203" s="28" t="n">
        <x:f>MOD(B4203,1)</x:f>
        <x:v>0.15028935185546288</x:v>
      </x:c>
      <x:c r="E4203" s="29" t="n">
        <x:f>YEAR(B4203)</x:f>
        <x:v>2021</x:v>
      </x:c>
      <x:c r="F4203" s="29" t="n">
        <x:f>MONTH(B4203)</x:f>
        <x:v>6</x:v>
      </x:c>
      <x:c r="G4203" s="30" t="n">
        <x:v>-33.8</x:v>
      </x:c>
      <x:c r="H4203" s="30" t="n">
        <x:v>-72.29</x:v>
      </x:c>
      <x:c r="I4203" s="29" t="n">
        <x:v>14</x:v>
      </x:c>
      <x:c r="J4203" s="31" t="n">
        <x:v>4.8</x:v>
      </x:c>
      <x:c r="K4203" s="25" t="str">
        <x:f>IF(J4203&gt;=7,"Muy fuerte (&gt;=7)",IF(J4203&gt;=6,"Fuerte (6-6.9)",IF(J4203&gt;=5,"Moderado alto (5-5.9)",IF(J4203&gt;=4,"Moderado (4-4.9)","Menor a 4"))))</x:f>
        <x:v>Moderado (4-4.9)</x:v>
      </x:c>
      <x:c r="L4203" s="25" t="str">
        <x:f>IF(I4203&lt;70,"Superficial (&lt;70 km)",IF(I4203&lt;=300,"Intermedio (70-300 km)","Profundo (&gt;300 km)"))</x:f>
        <x:v>Superficial (&lt;70 km)</x:v>
      </x:c>
      <x:c r="M4203" s="25" t="str">
        <x:f>IF(J4203&gt;=5,"Sí","No")</x:f>
        <x:v>No</x:v>
      </x:c>
      <x:c r="N4203" s="25" t="str">
        <x:f>IF(J4203&gt;=6,"Sí","No")</x:f>
        <x:v>No</x:v>
      </x:c>
      <x:c r="O4203" s="25" t="str">
        <x:v>Pendiente: asignar con R/sf</x:v>
      </x:c>
    </x:row>
    <x:row r="4204">
      <x:c r="A4204" s="25" t="n">
        <x:v>4203</x:v>
      </x:c>
      <x:c r="B4204" s="26" t="n">
        <x:v>44535.53372685185</x:v>
      </x:c>
      <x:c r="C4204" s="27" t="n">
        <x:f>INT(B4204)</x:f>
        <x:v>44535</x:v>
      </x:c>
      <x:c r="D4204" s="28" t="n">
        <x:f>MOD(B4204,1)</x:f>
        <x:v>0.533726851848769</x:v>
      </x:c>
      <x:c r="E4204" s="29" t="n">
        <x:f>YEAR(B4204)</x:f>
        <x:v>2021</x:v>
      </x:c>
      <x:c r="F4204" s="29" t="n">
        <x:f>MONTH(B4204)</x:f>
        <x:v>12</x:v>
      </x:c>
      <x:c r="G4204" s="30" t="n">
        <x:v>-32.72</x:v>
      </x:c>
      <x:c r="H4204" s="30" t="n">
        <x:v>-72.09</x:v>
      </x:c>
      <x:c r="I4204" s="29" t="n">
        <x:v>38</x:v>
      </x:c>
      <x:c r="J4204" s="31" t="n">
        <x:v>3.9</x:v>
      </x:c>
      <x:c r="K4204" s="25" t="str">
        <x:f>IF(J4204&gt;=7,"Muy fuerte (&gt;=7)",IF(J4204&gt;=6,"Fuerte (6-6.9)",IF(J4204&gt;=5,"Moderado alto (5-5.9)",IF(J4204&gt;=4,"Moderado (4-4.9)","Menor a 4"))))</x:f>
        <x:v>Menor a 4</x:v>
      </x:c>
      <x:c r="L4204" s="25" t="str">
        <x:f>IF(I4204&lt;70,"Superficial (&lt;70 km)",IF(I4204&lt;=300,"Intermedio (70-300 km)","Profundo (&gt;300 km)"))</x:f>
        <x:v>Superficial (&lt;70 km)</x:v>
      </x:c>
      <x:c r="M4204" s="25" t="str">
        <x:f>IF(J4204&gt;=5,"Sí","No")</x:f>
        <x:v>No</x:v>
      </x:c>
      <x:c r="N4204" s="25" t="str">
        <x:f>IF(J4204&gt;=6,"Sí","No")</x:f>
        <x:v>No</x:v>
      </x:c>
      <x:c r="O4204" s="25" t="str">
        <x:v>Pendiente: asignar con R/sf</x:v>
      </x:c>
    </x:row>
    <x:row r="4205">
      <x:c r="A4205" s="25" t="n">
        <x:v>4204</x:v>
      </x:c>
      <x:c r="B4205" s="26" t="n">
        <x:v>44680.63528935185</x:v>
      </x:c>
      <x:c r="C4205" s="27" t="n">
        <x:f>INT(B4205)</x:f>
        <x:v>44680</x:v>
      </x:c>
      <x:c r="D4205" s="28" t="n">
        <x:f>MOD(B4205,1)</x:f>
        <x:v>0.635289351848769</x:v>
      </x:c>
      <x:c r="E4205" s="29" t="n">
        <x:f>YEAR(B4205)</x:f>
        <x:v>2022</x:v>
      </x:c>
      <x:c r="F4205" s="29" t="n">
        <x:f>MONTH(B4205)</x:f>
        <x:v>4</x:v>
      </x:c>
      <x:c r="G4205" s="30" t="n">
        <x:v>-32.45</x:v>
      </x:c>
      <x:c r="H4205" s="30" t="n">
        <x:v>-71.86</x:v>
      </x:c>
      <x:c r="I4205" s="29" t="n">
        <x:v>24</x:v>
      </x:c>
      <x:c r="J4205" s="31" t="n">
        <x:v>3.9</x:v>
      </x:c>
      <x:c r="K4205" s="25" t="str">
        <x:f>IF(J4205&gt;=7,"Muy fuerte (&gt;=7)",IF(J4205&gt;=6,"Fuerte (6-6.9)",IF(J4205&gt;=5,"Moderado alto (5-5.9)",IF(J4205&gt;=4,"Moderado (4-4.9)","Menor a 4"))))</x:f>
        <x:v>Menor a 4</x:v>
      </x:c>
      <x:c r="L4205" s="25" t="str">
        <x:f>IF(I4205&lt;70,"Superficial (&lt;70 km)",IF(I4205&lt;=300,"Intermedio (70-300 km)","Profundo (&gt;300 km)"))</x:f>
        <x:v>Superficial (&lt;70 km)</x:v>
      </x:c>
      <x:c r="M4205" s="25" t="str">
        <x:f>IF(J4205&gt;=5,"Sí","No")</x:f>
        <x:v>No</x:v>
      </x:c>
      <x:c r="N4205" s="25" t="str">
        <x:f>IF(J4205&gt;=6,"Sí","No")</x:f>
        <x:v>No</x:v>
      </x:c>
      <x:c r="O4205" s="25" t="str">
        <x:v>Pendiente: asignar con R/sf</x:v>
      </x:c>
    </x:row>
    <x:row r="4206">
      <x:c r="A4206" s="25" t="n">
        <x:v>4205</x:v>
      </x:c>
      <x:c r="B4206" s="26" t="n">
        <x:v>44686.878796296296</x:v>
      </x:c>
      <x:c r="C4206" s="27" t="n">
        <x:f>INT(B4206)</x:f>
        <x:v>44686</x:v>
      </x:c>
      <x:c r="D4206" s="28" t="n">
        <x:f>MOD(B4206,1)</x:f>
        <x:v>0.8787962962960592</x:v>
      </x:c>
      <x:c r="E4206" s="29" t="n">
        <x:f>YEAR(B4206)</x:f>
        <x:v>2022</x:v>
      </x:c>
      <x:c r="F4206" s="29" t="n">
        <x:f>MONTH(B4206)</x:f>
        <x:v>5</x:v>
      </x:c>
      <x:c r="G4206" s="30" t="n">
        <x:v>-33.22</x:v>
      </x:c>
      <x:c r="H4206" s="30" t="n">
        <x:v>-72.79</x:v>
      </x:c>
      <x:c r="I4206" s="29" t="n">
        <x:v>23</x:v>
      </x:c>
      <x:c r="J4206" s="31" t="n">
        <x:v>5.4</x:v>
      </x:c>
      <x:c r="K4206" s="25" t="str">
        <x:f>IF(J4206&gt;=7,"Muy fuerte (&gt;=7)",IF(J4206&gt;=6,"Fuerte (6-6.9)",IF(J4206&gt;=5,"Moderado alto (5-5.9)",IF(J4206&gt;=4,"Moderado (4-4.9)","Menor a 4"))))</x:f>
        <x:v>Moderado alto (5-5.9)</x:v>
      </x:c>
      <x:c r="L4206" s="25" t="str">
        <x:f>IF(I4206&lt;70,"Superficial (&lt;70 km)",IF(I4206&lt;=300,"Intermedio (70-300 km)","Profundo (&gt;300 km)"))</x:f>
        <x:v>Superficial (&lt;70 km)</x:v>
      </x:c>
      <x:c r="M4206" s="25" t="str">
        <x:f>IF(J4206&gt;=5,"Sí","No")</x:f>
        <x:v>Sí</x:v>
      </x:c>
      <x:c r="N4206" s="25" t="str">
        <x:f>IF(J4206&gt;=6,"Sí","No")</x:f>
        <x:v>No</x:v>
      </x:c>
      <x:c r="O4206" s="25" t="str">
        <x:v>Pendiente: asignar con R/sf</x:v>
      </x:c>
    </x:row>
    <x:row r="4207">
      <x:c r="A4207" s="25" t="n">
        <x:v>4206</x:v>
      </x:c>
      <x:c r="B4207" s="26" t="n">
        <x:v>44694.32677083334</x:v>
      </x:c>
      <x:c r="C4207" s="27" t="n">
        <x:f>INT(B4207)</x:f>
        <x:v>44694</x:v>
      </x:c>
      <x:c r="D4207" s="28" t="n">
        <x:f>MOD(B4207,1)</x:f>
        <x:v>0.3267708333369228</x:v>
      </x:c>
      <x:c r="E4207" s="29" t="n">
        <x:f>YEAR(B4207)</x:f>
        <x:v>2022</x:v>
      </x:c>
      <x:c r="F4207" s="29" t="n">
        <x:f>MONTH(B4207)</x:f>
        <x:v>5</x:v>
      </x:c>
      <x:c r="G4207" s="30" t="n">
        <x:v>-33.3</x:v>
      </x:c>
      <x:c r="H4207" s="30" t="n">
        <x:v>-71.91</x:v>
      </x:c>
      <x:c r="I4207" s="29" t="n">
        <x:v>32</x:v>
      </x:c>
      <x:c r="J4207" s="31" t="n">
        <x:v>3.8</x:v>
      </x:c>
      <x:c r="K4207" s="25" t="str">
        <x:f>IF(J4207&gt;=7,"Muy fuerte (&gt;=7)",IF(J4207&gt;=6,"Fuerte (6-6.9)",IF(J4207&gt;=5,"Moderado alto (5-5.9)",IF(J4207&gt;=4,"Moderado (4-4.9)","Menor a 4"))))</x:f>
        <x:v>Menor a 4</x:v>
      </x:c>
      <x:c r="L4207" s="25" t="str">
        <x:f>IF(I4207&lt;70,"Superficial (&lt;70 km)",IF(I4207&lt;=300,"Intermedio (70-300 km)","Profundo (&gt;300 km)"))</x:f>
        <x:v>Superficial (&lt;70 km)</x:v>
      </x:c>
      <x:c r="M4207" s="25" t="str">
        <x:f>IF(J4207&gt;=5,"Sí","No")</x:f>
        <x:v>No</x:v>
      </x:c>
      <x:c r="N4207" s="25" t="str">
        <x:f>IF(J4207&gt;=6,"Sí","No")</x:f>
        <x:v>No</x:v>
      </x:c>
      <x:c r="O4207" s="25" t="str">
        <x:v>Pendiente: asignar con R/sf</x:v>
      </x:c>
    </x:row>
    <x:row r="4208">
      <x:c r="A4208" s="25" t="n">
        <x:v>4207</x:v>
      </x:c>
      <x:c r="B4208" s="26" t="n">
        <x:v>44702.41396990741</x:v>
      </x:c>
      <x:c r="C4208" s="27" t="n">
        <x:f>INT(B4208)</x:f>
        <x:v>44702</x:v>
      </x:c>
      <x:c r="D4208" s="28" t="n">
        <x:f>MOD(B4208,1)</x:f>
        <x:v>0.41396990740759065</x:v>
      </x:c>
      <x:c r="E4208" s="29" t="n">
        <x:f>YEAR(B4208)</x:f>
        <x:v>2022</x:v>
      </x:c>
      <x:c r="F4208" s="29" t="n">
        <x:f>MONTH(B4208)</x:f>
        <x:v>5</x:v>
      </x:c>
      <x:c r="G4208" s="30" t="n">
        <x:v>-32.6</x:v>
      </x:c>
      <x:c r="H4208" s="30" t="n">
        <x:v>-71.73</x:v>
      </x:c>
      <x:c r="I4208" s="29" t="n">
        <x:v>34</x:v>
      </x:c>
      <x:c r="J4208" s="31" t="n">
        <x:v>4.2</x:v>
      </x:c>
      <x:c r="K4208" s="25" t="str">
        <x:f>IF(J4208&gt;=7,"Muy fuerte (&gt;=7)",IF(J4208&gt;=6,"Fuerte (6-6.9)",IF(J4208&gt;=5,"Moderado alto (5-5.9)",IF(J4208&gt;=4,"Moderado (4-4.9)","Menor a 4"))))</x:f>
        <x:v>Moderado (4-4.9)</x:v>
      </x:c>
      <x:c r="L4208" s="25" t="str">
        <x:f>IF(I4208&lt;70,"Superficial (&lt;70 km)",IF(I4208&lt;=300,"Intermedio (70-300 km)","Profundo (&gt;300 km)"))</x:f>
        <x:v>Superficial (&lt;70 km)</x:v>
      </x:c>
      <x:c r="M4208" s="25" t="str">
        <x:f>IF(J4208&gt;=5,"Sí","No")</x:f>
        <x:v>No</x:v>
      </x:c>
      <x:c r="N4208" s="25" t="str">
        <x:f>IF(J4208&gt;=6,"Sí","No")</x:f>
        <x:v>No</x:v>
      </x:c>
      <x:c r="O4208" s="25" t="str">
        <x:v>Pendiente: asignar con R/sf</x:v>
      </x:c>
    </x:row>
    <x:row r="4209">
      <x:c r="A4209" s="25" t="n">
        <x:v>4208</x:v>
      </x:c>
      <x:c r="B4209" s="26" t="n">
        <x:v>44746.08592592592</x:v>
      </x:c>
      <x:c r="C4209" s="27" t="n">
        <x:f>INT(B4209)</x:f>
        <x:v>44746</x:v>
      </x:c>
      <x:c r="D4209" s="28" t="n">
        <x:f>MOD(B4209,1)</x:f>
        <x:v>0.08592592592322035</x:v>
      </x:c>
      <x:c r="E4209" s="29" t="n">
        <x:f>YEAR(B4209)</x:f>
        <x:v>2022</x:v>
      </x:c>
      <x:c r="F4209" s="29" t="n">
        <x:f>MONTH(B4209)</x:f>
        <x:v>7</x:v>
      </x:c>
      <x:c r="G4209" s="30" t="n">
        <x:v>-32.95</x:v>
      </x:c>
      <x:c r="H4209" s="30" t="n">
        <x:v>-71.83</x:v>
      </x:c>
      <x:c r="I4209" s="29" t="n">
        <x:v>39</x:v>
      </x:c>
      <x:c r="J4209" s="31" t="n">
        <x:v>4.5</x:v>
      </x:c>
      <x:c r="K4209" s="25" t="str">
        <x:f>IF(J4209&gt;=7,"Muy fuerte (&gt;=7)",IF(J4209&gt;=6,"Fuerte (6-6.9)",IF(J4209&gt;=5,"Moderado alto (5-5.9)",IF(J4209&gt;=4,"Moderado (4-4.9)","Menor a 4"))))</x:f>
        <x:v>Moderado (4-4.9)</x:v>
      </x:c>
      <x:c r="L4209" s="25" t="str">
        <x:f>IF(I4209&lt;70,"Superficial (&lt;70 km)",IF(I4209&lt;=300,"Intermedio (70-300 km)","Profundo (&gt;300 km)"))</x:f>
        <x:v>Superficial (&lt;70 km)</x:v>
      </x:c>
      <x:c r="M4209" s="25" t="str">
        <x:f>IF(J4209&gt;=5,"Sí","No")</x:f>
        <x:v>No</x:v>
      </x:c>
      <x:c r="N4209" s="25" t="str">
        <x:f>IF(J4209&gt;=6,"Sí","No")</x:f>
        <x:v>No</x:v>
      </x:c>
      <x:c r="O4209" s="25" t="str">
        <x:v>Pendiente: asignar con R/sf</x:v>
      </x:c>
    </x:row>
    <x:row r="4210">
      <x:c r="A4210" s="25" t="n">
        <x:v>4209</x:v>
      </x:c>
      <x:c r="B4210" s="26" t="n">
        <x:v>44453.080983796295</x:v>
      </x:c>
      <x:c r="C4210" s="27" t="n">
        <x:f>INT(B4210)</x:f>
        <x:v>44453</x:v>
      </x:c>
      <x:c r="D4210" s="28" t="n">
        <x:f>MOD(B4210,1)</x:f>
        <x:v>0.08098379629518604</x:v>
      </x:c>
      <x:c r="E4210" s="29" t="n">
        <x:f>YEAR(B4210)</x:f>
        <x:v>2021</x:v>
      </x:c>
      <x:c r="F4210" s="29" t="n">
        <x:f>MONTH(B4210)</x:f>
        <x:v>9</x:v>
      </x:c>
      <x:c r="G4210" s="30" t="n">
        <x:v>-31.75</x:v>
      </x:c>
      <x:c r="H4210" s="30" t="n">
        <x:v>-71.95</x:v>
      </x:c>
      <x:c r="I4210" s="29" t="n">
        <x:v>28</x:v>
      </x:c>
      <x:c r="J4210" s="31" t="n">
        <x:v>4.8</x:v>
      </x:c>
      <x:c r="K4210" s="25" t="str">
        <x:f>IF(J4210&gt;=7,"Muy fuerte (&gt;=7)",IF(J4210&gt;=6,"Fuerte (6-6.9)",IF(J4210&gt;=5,"Moderado alto (5-5.9)",IF(J4210&gt;=4,"Moderado (4-4.9)","Menor a 4"))))</x:f>
        <x:v>Moderado (4-4.9)</x:v>
      </x:c>
      <x:c r="L4210" s="25" t="str">
        <x:f>IF(I4210&lt;70,"Superficial (&lt;70 km)",IF(I4210&lt;=300,"Intermedio (70-300 km)","Profundo (&gt;300 km)"))</x:f>
        <x:v>Superficial (&lt;70 km)</x:v>
      </x:c>
      <x:c r="M4210" s="25" t="str">
        <x:f>IF(J4210&gt;=5,"Sí","No")</x:f>
        <x:v>No</x:v>
      </x:c>
      <x:c r="N4210" s="25" t="str">
        <x:f>IF(J4210&gt;=6,"Sí","No")</x:f>
        <x:v>No</x:v>
      </x:c>
      <x:c r="O4210" s="25" t="str">
        <x:v>Pendiente: asignar con R/sf</x:v>
      </x:c>
    </x:row>
    <x:row r="4211">
      <x:c r="A4211" s="25" t="n">
        <x:v>4210</x:v>
      </x:c>
      <x:c r="B4211" s="26" t="n">
        <x:v>44473.525196759256</x:v>
      </x:c>
      <x:c r="C4211" s="27" t="n">
        <x:f>INT(B4211)</x:f>
        <x:v>44473</x:v>
      </x:c>
      <x:c r="D4211" s="28" t="n">
        <x:f>MOD(B4211,1)</x:f>
        <x:v>0.5251967592557776</x:v>
      </x:c>
      <x:c r="E4211" s="29" t="n">
        <x:f>YEAR(B4211)</x:f>
        <x:v>2021</x:v>
      </x:c>
      <x:c r="F4211" s="29" t="n">
        <x:f>MONTH(B4211)</x:f>
        <x:v>10</x:v>
      </x:c>
      <x:c r="G4211" s="30" t="n">
        <x:v>-31.69</x:v>
      </x:c>
      <x:c r="H4211" s="30" t="n">
        <x:v>-71.98</x:v>
      </x:c>
      <x:c r="I4211" s="29" t="n">
        <x:v>40</x:v>
      </x:c>
      <x:c r="J4211" s="31" t="n">
        <x:v>4.9</x:v>
      </x:c>
      <x:c r="K4211" s="25" t="str">
        <x:f>IF(J4211&gt;=7,"Muy fuerte (&gt;=7)",IF(J4211&gt;=6,"Fuerte (6-6.9)",IF(J4211&gt;=5,"Moderado alto (5-5.9)",IF(J4211&gt;=4,"Moderado (4-4.9)","Menor a 4"))))</x:f>
        <x:v>Moderado (4-4.9)</x:v>
      </x:c>
      <x:c r="L4211" s="25" t="str">
        <x:f>IF(I4211&lt;70,"Superficial (&lt;70 km)",IF(I4211&lt;=300,"Intermedio (70-300 km)","Profundo (&gt;300 km)"))</x:f>
        <x:v>Superficial (&lt;70 km)</x:v>
      </x:c>
      <x:c r="M4211" s="25" t="str">
        <x:f>IF(J4211&gt;=5,"Sí","No")</x:f>
        <x:v>No</x:v>
      </x:c>
      <x:c r="N4211" s="25" t="str">
        <x:f>IF(J4211&gt;=6,"Sí","No")</x:f>
        <x:v>No</x:v>
      </x:c>
      <x:c r="O4211" s="25" t="str">
        <x:v>Pendiente: asignar con R/sf</x:v>
      </x:c>
    </x:row>
    <x:row r="4212">
      <x:c r="A4212" s="25" t="n">
        <x:v>4211</x:v>
      </x:c>
      <x:c r="B4212" s="26" t="n">
        <x:v>44484.51101851852</x:v>
      </x:c>
      <x:c r="C4212" s="27" t="n">
        <x:f>INT(B4212)</x:f>
        <x:v>44484</x:v>
      </x:c>
      <x:c r="D4212" s="28" t="n">
        <x:f>MOD(B4212,1)</x:f>
        <x:v>0.5110185185185401</x:v>
      </x:c>
      <x:c r="E4212" s="29" t="n">
        <x:f>YEAR(B4212)</x:f>
        <x:v>2021</x:v>
      </x:c>
      <x:c r="F4212" s="29" t="n">
        <x:f>MONTH(B4212)</x:f>
        <x:v>10</x:v>
      </x:c>
      <x:c r="G4212" s="30" t="n">
        <x:v>-32.27</x:v>
      </x:c>
      <x:c r="H4212" s="30" t="n">
        <x:v>-71.74</x:v>
      </x:c>
      <x:c r="I4212" s="29" t="n">
        <x:v>35</x:v>
      </x:c>
      <x:c r="J4212" s="31" t="n">
        <x:v>4</x:v>
      </x:c>
      <x:c r="K4212" s="25" t="str">
        <x:f>IF(J4212&gt;=7,"Muy fuerte (&gt;=7)",IF(J4212&gt;=6,"Fuerte (6-6.9)",IF(J4212&gt;=5,"Moderado alto (5-5.9)",IF(J4212&gt;=4,"Moderado (4-4.9)","Menor a 4"))))</x:f>
        <x:v>Moderado (4-4.9)</x:v>
      </x:c>
      <x:c r="L4212" s="25" t="str">
        <x:f>IF(I4212&lt;70,"Superficial (&lt;70 km)",IF(I4212&lt;=300,"Intermedio (70-300 km)","Profundo (&gt;300 km)"))</x:f>
        <x:v>Superficial (&lt;70 km)</x:v>
      </x:c>
      <x:c r="M4212" s="25" t="str">
        <x:f>IF(J4212&gt;=5,"Sí","No")</x:f>
        <x:v>No</x:v>
      </x:c>
      <x:c r="N4212" s="25" t="str">
        <x:f>IF(J4212&gt;=6,"Sí","No")</x:f>
        <x:v>No</x:v>
      </x:c>
      <x:c r="O4212" s="25" t="str">
        <x:v>Pendiente: asignar con R/sf</x:v>
      </x:c>
    </x:row>
    <x:row r="4213">
      <x:c r="A4213" s="25" t="n">
        <x:v>4212</x:v>
      </x:c>
      <x:c r="B4213" s="26" t="n">
        <x:v>44516.84813657407</x:v>
      </x:c>
      <x:c r="C4213" s="27" t="n">
        <x:f>INT(B4213)</x:f>
        <x:v>44516</x:v>
      </x:c>
      <x:c r="D4213" s="28" t="n">
        <x:f>MOD(B4213,1)</x:f>
        <x:v>0.8481365740735782</x:v>
      </x:c>
      <x:c r="E4213" s="29" t="n">
        <x:f>YEAR(B4213)</x:f>
        <x:v>2021</x:v>
      </x:c>
      <x:c r="F4213" s="29" t="n">
        <x:f>MONTH(B4213)</x:f>
        <x:v>11</x:v>
      </x:c>
      <x:c r="G4213" s="30" t="n">
        <x:v>-32.14</x:v>
      </x:c>
      <x:c r="H4213" s="30" t="n">
        <x:v>-71.75</x:v>
      </x:c>
      <x:c r="I4213" s="29" t="n">
        <x:v>22</x:v>
      </x:c>
      <x:c r="J4213" s="31" t="n">
        <x:v>4</x:v>
      </x:c>
      <x:c r="K4213" s="25" t="str">
        <x:f>IF(J4213&gt;=7,"Muy fuerte (&gt;=7)",IF(J4213&gt;=6,"Fuerte (6-6.9)",IF(J4213&gt;=5,"Moderado alto (5-5.9)",IF(J4213&gt;=4,"Moderado (4-4.9)","Menor a 4"))))</x:f>
        <x:v>Moderado (4-4.9)</x:v>
      </x:c>
      <x:c r="L4213" s="25" t="str">
        <x:f>IF(I4213&lt;70,"Superficial (&lt;70 km)",IF(I4213&lt;=300,"Intermedio (70-300 km)","Profundo (&gt;300 km)"))</x:f>
        <x:v>Superficial (&lt;70 km)</x:v>
      </x:c>
      <x:c r="M4213" s="25" t="str">
        <x:f>IF(J4213&gt;=5,"Sí","No")</x:f>
        <x:v>No</x:v>
      </x:c>
      <x:c r="N4213" s="25" t="str">
        <x:f>IF(J4213&gt;=6,"Sí","No")</x:f>
        <x:v>No</x:v>
      </x:c>
      <x:c r="O4213" s="25" t="str">
        <x:v>Pendiente: asignar con R/sf</x:v>
      </x:c>
    </x:row>
    <x:row r="4214">
      <x:c r="A4214" s="25" t="n">
        <x:v>4213</x:v>
      </x:c>
      <x:c r="B4214" s="26" t="n">
        <x:v>44622.804502314815</x:v>
      </x:c>
      <x:c r="C4214" s="27" t="n">
        <x:f>INT(B4214)</x:f>
        <x:v>44622</x:v>
      </x:c>
      <x:c r="D4214" s="28" t="n">
        <x:f>MOD(B4214,1)</x:f>
        <x:v>0.8045023148151813</x:v>
      </x:c>
      <x:c r="E4214" s="29" t="n">
        <x:f>YEAR(B4214)</x:f>
        <x:v>2022</x:v>
      </x:c>
      <x:c r="F4214" s="29" t="n">
        <x:f>MONTH(B4214)</x:f>
        <x:v>3</x:v>
      </x:c>
      <x:c r="G4214" s="30" t="n">
        <x:v>-32.27</x:v>
      </x:c>
      <x:c r="H4214" s="30" t="n">
        <x:v>-71.76</x:v>
      </x:c>
      <x:c r="I4214" s="29" t="n">
        <x:v>28</x:v>
      </x:c>
      <x:c r="J4214" s="31" t="n">
        <x:v>4</x:v>
      </x:c>
      <x:c r="K4214" s="25" t="str">
        <x:f>IF(J4214&gt;=7,"Muy fuerte (&gt;=7)",IF(J4214&gt;=6,"Fuerte (6-6.9)",IF(J4214&gt;=5,"Moderado alto (5-5.9)",IF(J4214&gt;=4,"Moderado (4-4.9)","Menor a 4"))))</x:f>
        <x:v>Moderado (4-4.9)</x:v>
      </x:c>
      <x:c r="L4214" s="25" t="str">
        <x:f>IF(I4214&lt;70,"Superficial (&lt;70 km)",IF(I4214&lt;=300,"Intermedio (70-300 km)","Profundo (&gt;300 km)"))</x:f>
        <x:v>Superficial (&lt;70 km)</x:v>
      </x:c>
      <x:c r="M4214" s="25" t="str">
        <x:f>IF(J4214&gt;=5,"Sí","No")</x:f>
        <x:v>No</x:v>
      </x:c>
      <x:c r="N4214" s="25" t="str">
        <x:f>IF(J4214&gt;=6,"Sí","No")</x:f>
        <x:v>No</x:v>
      </x:c>
      <x:c r="O4214" s="25" t="str">
        <x:v>Pendiente: asignar con R/sf</x:v>
      </x:c>
    </x:row>
    <x:row r="4215">
      <x:c r="A4215" s="25" t="n">
        <x:v>4214</x:v>
      </x:c>
      <x:c r="B4215" s="26" t="n">
        <x:v>44668.4021875</x:v>
      </x:c>
      <x:c r="C4215" s="27" t="n">
        <x:f>INT(B4215)</x:f>
        <x:v>44668</x:v>
      </x:c>
      <x:c r="D4215" s="28" t="n">
        <x:f>MOD(B4215,1)</x:f>
        <x:v>0.40218750000349246</x:v>
      </x:c>
      <x:c r="E4215" s="29" t="n">
        <x:f>YEAR(B4215)</x:f>
        <x:v>2022</x:v>
      </x:c>
      <x:c r="F4215" s="29" t="n">
        <x:f>MONTH(B4215)</x:f>
        <x:v>4</x:v>
      </x:c>
      <x:c r="G4215" s="30" t="n">
        <x:v>-32.19</x:v>
      </x:c>
      <x:c r="H4215" s="30" t="n">
        <x:v>-71.41</x:v>
      </x:c>
      <x:c r="I4215" s="29" t="n">
        <x:v>50</x:v>
      </x:c>
      <x:c r="J4215" s="31" t="n">
        <x:v>3.9</x:v>
      </x:c>
      <x:c r="K4215" s="25" t="str">
        <x:f>IF(J4215&gt;=7,"Muy fuerte (&gt;=7)",IF(J4215&gt;=6,"Fuerte (6-6.9)",IF(J4215&gt;=5,"Moderado alto (5-5.9)",IF(J4215&gt;=4,"Moderado (4-4.9)","Menor a 4"))))</x:f>
        <x:v>Menor a 4</x:v>
      </x:c>
      <x:c r="L4215" s="25" t="str">
        <x:f>IF(I4215&lt;70,"Superficial (&lt;70 km)",IF(I4215&lt;=300,"Intermedio (70-300 km)","Profundo (&gt;300 km)"))</x:f>
        <x:v>Superficial (&lt;70 km)</x:v>
      </x:c>
      <x:c r="M4215" s="25" t="str">
        <x:f>IF(J4215&gt;=5,"Sí","No")</x:f>
        <x:v>No</x:v>
      </x:c>
      <x:c r="N4215" s="25" t="str">
        <x:f>IF(J4215&gt;=6,"Sí","No")</x:f>
        <x:v>No</x:v>
      </x:c>
      <x:c r="O4215" s="25" t="str">
        <x:v>Pendiente: asignar con R/sf</x:v>
      </x:c>
    </x:row>
    <x:row r="4216">
      <x:c r="A4216" s="25" t="n">
        <x:v>4215</x:v>
      </x:c>
      <x:c r="B4216" s="26" t="n">
        <x:v>44671.4031712963</x:v>
      </x:c>
      <x:c r="C4216" s="27" t="n">
        <x:f>INT(B4216)</x:f>
        <x:v>44671</x:v>
      </x:c>
      <x:c r="D4216" s="28" t="n">
        <x:f>MOD(B4216,1)</x:f>
        <x:v>0.40317129629693227</x:v>
      </x:c>
      <x:c r="E4216" s="29" t="n">
        <x:f>YEAR(B4216)</x:f>
        <x:v>2022</x:v>
      </x:c>
      <x:c r="F4216" s="29" t="n">
        <x:f>MONTH(B4216)</x:f>
        <x:v>4</x:v>
      </x:c>
      <x:c r="G4216" s="30" t="n">
        <x:v>-32.1</x:v>
      </x:c>
      <x:c r="H4216" s="30" t="n">
        <x:v>-71.09</x:v>
      </x:c>
      <x:c r="I4216" s="29" t="n">
        <x:v>61</x:v>
      </x:c>
      <x:c r="J4216" s="31" t="n">
        <x:v>4.5</x:v>
      </x:c>
      <x:c r="K4216" s="25" t="str">
        <x:f>IF(J4216&gt;=7,"Muy fuerte (&gt;=7)",IF(J4216&gt;=6,"Fuerte (6-6.9)",IF(J4216&gt;=5,"Moderado alto (5-5.9)",IF(J4216&gt;=4,"Moderado (4-4.9)","Menor a 4"))))</x:f>
        <x:v>Moderado (4-4.9)</x:v>
      </x:c>
      <x:c r="L4216" s="25" t="str">
        <x:f>IF(I4216&lt;70,"Superficial (&lt;70 km)",IF(I4216&lt;=300,"Intermedio (70-300 km)","Profundo (&gt;300 km)"))</x:f>
        <x:v>Superficial (&lt;70 km)</x:v>
      </x:c>
      <x:c r="M4216" s="25" t="str">
        <x:f>IF(J4216&gt;=5,"Sí","No")</x:f>
        <x:v>No</x:v>
      </x:c>
      <x:c r="N4216" s="25" t="str">
        <x:f>IF(J4216&gt;=6,"Sí","No")</x:f>
        <x:v>No</x:v>
      </x:c>
      <x:c r="O4216" s="25" t="str">
        <x:v>Pendiente: asignar con R/sf</x:v>
      </x:c>
    </x:row>
    <x:row r="4217">
      <x:c r="A4217" s="25" t="n">
        <x:v>4216</x:v>
      </x:c>
      <x:c r="B4217" s="26" t="n">
        <x:v>44685.97849537037</x:v>
      </x:c>
      <x:c r="C4217" s="27" t="n">
        <x:f>INT(B4217)</x:f>
        <x:v>44685</x:v>
      </x:c>
      <x:c r="D4217" s="28" t="n">
        <x:f>MOD(B4217,1)</x:f>
        <x:v>0.9784953703710926</x:v>
      </x:c>
      <x:c r="E4217" s="29" t="n">
        <x:f>YEAR(B4217)</x:f>
        <x:v>2022</x:v>
      </x:c>
      <x:c r="F4217" s="29" t="n">
        <x:f>MONTH(B4217)</x:f>
        <x:v>5</x:v>
      </x:c>
      <x:c r="G4217" s="30" t="n">
        <x:v>-32.41</x:v>
      </x:c>
      <x:c r="H4217" s="30" t="n">
        <x:v>-71.67</x:v>
      </x:c>
      <x:c r="I4217" s="29" t="n">
        <x:v>33</x:v>
      </x:c>
      <x:c r="J4217" s="31" t="n">
        <x:v>3.6</x:v>
      </x:c>
      <x:c r="K4217" s="25" t="str">
        <x:f>IF(J4217&gt;=7,"Muy fuerte (&gt;=7)",IF(J4217&gt;=6,"Fuerte (6-6.9)",IF(J4217&gt;=5,"Moderado alto (5-5.9)",IF(J4217&gt;=4,"Moderado (4-4.9)","Menor a 4"))))</x:f>
        <x:v>Menor a 4</x:v>
      </x:c>
      <x:c r="L4217" s="25" t="str">
        <x:f>IF(I4217&lt;70,"Superficial (&lt;70 km)",IF(I4217&lt;=300,"Intermedio (70-300 km)","Profundo (&gt;300 km)"))</x:f>
        <x:v>Superficial (&lt;70 km)</x:v>
      </x:c>
      <x:c r="M4217" s="25" t="str">
        <x:f>IF(J4217&gt;=5,"Sí","No")</x:f>
        <x:v>No</x:v>
      </x:c>
      <x:c r="N4217" s="25" t="str">
        <x:f>IF(J4217&gt;=6,"Sí","No")</x:f>
        <x:v>No</x:v>
      </x:c>
      <x:c r="O4217" s="25" t="str">
        <x:v>Pendiente: asignar con R/sf</x:v>
      </x:c>
    </x:row>
    <x:row r="4218">
      <x:c r="A4218" s="25" t="n">
        <x:v>4217</x:v>
      </x:c>
      <x:c r="B4218" s="26" t="n">
        <x:v>44720.239907407406</x:v>
      </x:c>
      <x:c r="C4218" s="27" t="n">
        <x:f>INT(B4218)</x:f>
        <x:v>44720</x:v>
      </x:c>
      <x:c r="D4218" s="28" t="n">
        <x:f>MOD(B4218,1)</x:f>
        <x:v>0.23990740740555339</x:v>
      </x:c>
      <x:c r="E4218" s="29" t="n">
        <x:f>YEAR(B4218)</x:f>
        <x:v>2022</x:v>
      </x:c>
      <x:c r="F4218" s="29" t="n">
        <x:f>MONTH(B4218)</x:f>
        <x:v>6</x:v>
      </x:c>
      <x:c r="G4218" s="30" t="n">
        <x:v>-32.1</x:v>
      </x:c>
      <x:c r="H4218" s="30" t="n">
        <x:v>-71.74</x:v>
      </x:c>
      <x:c r="I4218" s="29" t="n">
        <x:v>24</x:v>
      </x:c>
      <x:c r="J4218" s="31" t="n">
        <x:v>3.7</x:v>
      </x:c>
      <x:c r="K4218" s="25" t="str">
        <x:f>IF(J4218&gt;=7,"Muy fuerte (&gt;=7)",IF(J4218&gt;=6,"Fuerte (6-6.9)",IF(J4218&gt;=5,"Moderado alto (5-5.9)",IF(J4218&gt;=4,"Moderado (4-4.9)","Menor a 4"))))</x:f>
        <x:v>Menor a 4</x:v>
      </x:c>
      <x:c r="L4218" s="25" t="str">
        <x:f>IF(I4218&lt;70,"Superficial (&lt;70 km)",IF(I4218&lt;=300,"Intermedio (70-300 km)","Profundo (&gt;300 km)"))</x:f>
        <x:v>Superficial (&lt;70 km)</x:v>
      </x:c>
      <x:c r="M4218" s="25" t="str">
        <x:f>IF(J4218&gt;=5,"Sí","No")</x:f>
        <x:v>No</x:v>
      </x:c>
      <x:c r="N4218" s="25" t="str">
        <x:f>IF(J4218&gt;=6,"Sí","No")</x:f>
        <x:v>No</x:v>
      </x:c>
      <x:c r="O4218" s="25" t="str">
        <x:v>Pendiente: asignar con R/sf</x:v>
      </x:c>
    </x:row>
    <x:row r="4219">
      <x:c r="A4219" s="25" t="n">
        <x:v>4218</x:v>
      </x:c>
      <x:c r="B4219" s="26" t="n">
        <x:v>44747.42912037037</x:v>
      </x:c>
      <x:c r="C4219" s="27" t="n">
        <x:f>INT(B4219)</x:f>
        <x:v>44747</x:v>
      </x:c>
      <x:c r="D4219" s="28" t="n">
        <x:f>MOD(B4219,1)</x:f>
        <x:v>0.42912037036876427</x:v>
      </x:c>
      <x:c r="E4219" s="29" t="n">
        <x:f>YEAR(B4219)</x:f>
        <x:v>2022</x:v>
      </x:c>
      <x:c r="F4219" s="29" t="n">
        <x:f>MONTH(B4219)</x:f>
        <x:v>7</x:v>
      </x:c>
      <x:c r="G4219" s="30" t="n">
        <x:v>-32.43</x:v>
      </x:c>
      <x:c r="H4219" s="30" t="n">
        <x:v>-71.45</x:v>
      </x:c>
      <x:c r="I4219" s="29" t="n">
        <x:v>74</x:v>
      </x:c>
      <x:c r="J4219" s="31" t="n">
        <x:v>4.1</x:v>
      </x:c>
      <x:c r="K4219" s="25" t="str">
        <x:f>IF(J4219&gt;=7,"Muy fuerte (&gt;=7)",IF(J4219&gt;=6,"Fuerte (6-6.9)",IF(J4219&gt;=5,"Moderado alto (5-5.9)",IF(J4219&gt;=4,"Moderado (4-4.9)","Menor a 4"))))</x:f>
        <x:v>Moderado (4-4.9)</x:v>
      </x:c>
      <x:c r="L4219" s="25" t="str">
        <x:f>IF(I4219&lt;70,"Superficial (&lt;70 km)",IF(I4219&lt;=300,"Intermedio (70-300 km)","Profundo (&gt;300 km)"))</x:f>
        <x:v>Intermedio (70-300 km)</x:v>
      </x:c>
      <x:c r="M4219" s="25" t="str">
        <x:f>IF(J4219&gt;=5,"Sí","No")</x:f>
        <x:v>No</x:v>
      </x:c>
      <x:c r="N4219" s="25" t="str">
        <x:f>IF(J4219&gt;=6,"Sí","No")</x:f>
        <x:v>No</x:v>
      </x:c>
      <x:c r="O4219" s="25" t="str">
        <x:v>Pendiente: asignar con R/sf</x:v>
      </x:c>
    </x:row>
    <x:row r="4220">
      <x:c r="A4220" s="25" t="n">
        <x:v>4219</x:v>
      </x:c>
      <x:c r="B4220" s="26" t="n">
        <x:v>44411.81421296296</x:v>
      </x:c>
      <x:c r="C4220" s="27" t="n">
        <x:f>INT(B4220)</x:f>
        <x:v>44411</x:v>
      </x:c>
      <x:c r="D4220" s="28" t="n">
        <x:f>MOD(B4220,1)</x:f>
        <x:v>0.8142129629632109</x:v>
      </x:c>
      <x:c r="E4220" s="29" t="n">
        <x:f>YEAR(B4220)</x:f>
        <x:v>2021</x:v>
      </x:c>
      <x:c r="F4220" s="29" t="n">
        <x:f>MONTH(B4220)</x:f>
        <x:v>8</x:v>
      </x:c>
      <x:c r="G4220" s="30" t="n">
        <x:v>-32.34</x:v>
      </x:c>
      <x:c r="H4220" s="30" t="n">
        <x:v>-70.77</x:v>
      </x:c>
      <x:c r="I4220" s="29" t="n">
        <x:v>98</x:v>
      </x:c>
      <x:c r="J4220" s="31" t="n">
        <x:v>4.3</x:v>
      </x:c>
      <x:c r="K4220" s="25" t="str">
        <x:f>IF(J4220&gt;=7,"Muy fuerte (&gt;=7)",IF(J4220&gt;=6,"Fuerte (6-6.9)",IF(J4220&gt;=5,"Moderado alto (5-5.9)",IF(J4220&gt;=4,"Moderado (4-4.9)","Menor a 4"))))</x:f>
        <x:v>Moderado (4-4.9)</x:v>
      </x:c>
      <x:c r="L4220" s="25" t="str">
        <x:f>IF(I4220&lt;70,"Superficial (&lt;70 km)",IF(I4220&lt;=300,"Intermedio (70-300 km)","Profundo (&gt;300 km)"))</x:f>
        <x:v>Intermedio (70-300 km)</x:v>
      </x:c>
      <x:c r="M4220" s="25" t="str">
        <x:f>IF(J4220&gt;=5,"Sí","No")</x:f>
        <x:v>No</x:v>
      </x:c>
      <x:c r="N4220" s="25" t="str">
        <x:f>IF(J4220&gt;=6,"Sí","No")</x:f>
        <x:v>No</x:v>
      </x:c>
      <x:c r="O4220" s="25" t="str">
        <x:v>Pendiente: asignar con R/sf</x:v>
      </x:c>
    </x:row>
    <x:row r="4221">
      <x:c r="A4221" s="25" t="n">
        <x:v>4220</x:v>
      </x:c>
      <x:c r="B4221" s="26" t="n">
        <x:v>44415.36136574074</x:v>
      </x:c>
      <x:c r="C4221" s="27" t="n">
        <x:f>INT(B4221)</x:f>
        <x:v>44415</x:v>
      </x:c>
      <x:c r="D4221" s="28" t="n">
        <x:f>MOD(B4221,1)</x:f>
        <x:v>0.3613657407404389</x:v>
      </x:c>
      <x:c r="E4221" s="29" t="n">
        <x:f>YEAR(B4221)</x:f>
        <x:v>2021</x:v>
      </x:c>
      <x:c r="F4221" s="29" t="n">
        <x:f>MONTH(B4221)</x:f>
        <x:v>8</x:v>
      </x:c>
      <x:c r="G4221" s="30" t="n">
        <x:v>-32.56</x:v>
      </x:c>
      <x:c r="H4221" s="30" t="n">
        <x:v>-71.73</x:v>
      </x:c>
      <x:c r="I4221" s="29" t="n">
        <x:v>36</x:v>
      </x:c>
      <x:c r="J4221" s="31" t="n">
        <x:v>3.5</x:v>
      </x:c>
      <x:c r="K4221" s="25" t="str">
        <x:f>IF(J4221&gt;=7,"Muy fuerte (&gt;=7)",IF(J4221&gt;=6,"Fuerte (6-6.9)",IF(J4221&gt;=5,"Moderado alto (5-5.9)",IF(J4221&gt;=4,"Moderado (4-4.9)","Menor a 4"))))</x:f>
        <x:v>Menor a 4</x:v>
      </x:c>
      <x:c r="L4221" s="25" t="str">
        <x:f>IF(I4221&lt;70,"Superficial (&lt;70 km)",IF(I4221&lt;=300,"Intermedio (70-300 km)","Profundo (&gt;300 km)"))</x:f>
        <x:v>Superficial (&lt;70 km)</x:v>
      </x:c>
      <x:c r="M4221" s="25" t="str">
        <x:f>IF(J4221&gt;=5,"Sí","No")</x:f>
        <x:v>No</x:v>
      </x:c>
      <x:c r="N4221" s="25" t="str">
        <x:f>IF(J4221&gt;=6,"Sí","No")</x:f>
        <x:v>No</x:v>
      </x:c>
      <x:c r="O4221" s="25" t="str">
        <x:v>Pendiente: asignar con R/sf</x:v>
      </x:c>
    </x:row>
    <x:row r="4222">
      <x:c r="A4222" s="25" t="n">
        <x:v>4221</x:v>
      </x:c>
      <x:c r="B4222" s="26" t="n">
        <x:v>44460.36628472222</x:v>
      </x:c>
      <x:c r="C4222" s="27" t="n">
        <x:f>INT(B4222)</x:f>
        <x:v>44460</x:v>
      </x:c>
      <x:c r="D4222" s="28" t="n">
        <x:f>MOD(B4222,1)</x:f>
        <x:v>0.3662847222221899</x:v>
      </x:c>
      <x:c r="E4222" s="29" t="n">
        <x:f>YEAR(B4222)</x:f>
        <x:v>2021</x:v>
      </x:c>
      <x:c r="F4222" s="29" t="n">
        <x:f>MONTH(B4222)</x:f>
        <x:v>9</x:v>
      </x:c>
      <x:c r="G4222" s="30" t="n">
        <x:v>-32.52</x:v>
      </x:c>
      <x:c r="H4222" s="30" t="n">
        <x:v>-71.71</x:v>
      </x:c>
      <x:c r="I4222" s="29" t="n">
        <x:v>35</x:v>
      </x:c>
      <x:c r="J4222" s="31" t="n">
        <x:v>3.5</x:v>
      </x:c>
      <x:c r="K4222" s="25" t="str">
        <x:f>IF(J4222&gt;=7,"Muy fuerte (&gt;=7)",IF(J4222&gt;=6,"Fuerte (6-6.9)",IF(J4222&gt;=5,"Moderado alto (5-5.9)",IF(J4222&gt;=4,"Moderado (4-4.9)","Menor a 4"))))</x:f>
        <x:v>Menor a 4</x:v>
      </x:c>
      <x:c r="L4222" s="25" t="str">
        <x:f>IF(I4222&lt;70,"Superficial (&lt;70 km)",IF(I4222&lt;=300,"Intermedio (70-300 km)","Profundo (&gt;300 km)"))</x:f>
        <x:v>Superficial (&lt;70 km)</x:v>
      </x:c>
      <x:c r="M4222" s="25" t="str">
        <x:f>IF(J4222&gt;=5,"Sí","No")</x:f>
        <x:v>No</x:v>
      </x:c>
      <x:c r="N4222" s="25" t="str">
        <x:f>IF(J4222&gt;=6,"Sí","No")</x:f>
        <x:v>No</x:v>
      </x:c>
      <x:c r="O4222" s="25" t="str">
        <x:v>Pendiente: asignar con R/sf</x:v>
      </x:c>
    </x:row>
    <x:row r="4223">
      <x:c r="A4223" s="25" t="n">
        <x:v>4222</x:v>
      </x:c>
      <x:c r="B4223" s="26" t="n">
        <x:v>44490.249236111114</x:v>
      </x:c>
      <x:c r="C4223" s="27" t="n">
        <x:f>INT(B4223)</x:f>
        <x:v>44490</x:v>
      </x:c>
      <x:c r="D4223" s="28" t="n">
        <x:f>MOD(B4223,1)</x:f>
        <x:v>0.24923611111444188</x:v>
      </x:c>
      <x:c r="E4223" s="29" t="n">
        <x:f>YEAR(B4223)</x:f>
        <x:v>2021</x:v>
      </x:c>
      <x:c r="F4223" s="29" t="n">
        <x:f>MONTH(B4223)</x:f>
        <x:v>10</x:v>
      </x:c>
      <x:c r="G4223" s="30" t="n">
        <x:v>-32.49</x:v>
      </x:c>
      <x:c r="H4223" s="30" t="n">
        <x:v>-71.68</x:v>
      </x:c>
      <x:c r="I4223" s="29" t="n">
        <x:v>36</x:v>
      </x:c>
      <x:c r="J4223" s="31" t="n">
        <x:v>3.3</x:v>
      </x:c>
      <x:c r="K4223" s="25" t="str">
        <x:f>IF(J4223&gt;=7,"Muy fuerte (&gt;=7)",IF(J4223&gt;=6,"Fuerte (6-6.9)",IF(J4223&gt;=5,"Moderado alto (5-5.9)",IF(J4223&gt;=4,"Moderado (4-4.9)","Menor a 4"))))</x:f>
        <x:v>Menor a 4</x:v>
      </x:c>
      <x:c r="L4223" s="25" t="str">
        <x:f>IF(I4223&lt;70,"Superficial (&lt;70 km)",IF(I4223&lt;=300,"Intermedio (70-300 km)","Profundo (&gt;300 km)"))</x:f>
        <x:v>Superficial (&lt;70 km)</x:v>
      </x:c>
      <x:c r="M4223" s="25" t="str">
        <x:f>IF(J4223&gt;=5,"Sí","No")</x:f>
        <x:v>No</x:v>
      </x:c>
      <x:c r="N4223" s="25" t="str">
        <x:f>IF(J4223&gt;=6,"Sí","No")</x:f>
        <x:v>No</x:v>
      </x:c>
      <x:c r="O4223" s="25" t="str">
        <x:v>Pendiente: asignar con R/sf</x:v>
      </x:c>
    </x:row>
    <x:row r="4224">
      <x:c r="A4224" s="25" t="n">
        <x:v>4223</x:v>
      </x:c>
      <x:c r="B4224" s="26" t="n">
        <x:v>44630.57240740741</x:v>
      </x:c>
      <x:c r="C4224" s="27" t="n">
        <x:f>INT(B4224)</x:f>
        <x:v>44630</x:v>
      </x:c>
      <x:c r="D4224" s="28" t="n">
        <x:f>MOD(B4224,1)</x:f>
        <x:v>0.5724074074096279</x:v>
      </x:c>
      <x:c r="E4224" s="29" t="n">
        <x:f>YEAR(B4224)</x:f>
        <x:v>2022</x:v>
      </x:c>
      <x:c r="F4224" s="29" t="n">
        <x:f>MONTH(B4224)</x:f>
        <x:v>3</x:v>
      </x:c>
      <x:c r="G4224" s="30" t="n">
        <x:v>-32.49</x:v>
      </x:c>
      <x:c r="H4224" s="30" t="n">
        <x:v>-71.63</x:v>
      </x:c>
      <x:c r="I4224" s="29" t="n">
        <x:v>36</x:v>
      </x:c>
      <x:c r="J4224" s="31" t="n">
        <x:v>3.3</x:v>
      </x:c>
      <x:c r="K4224" s="25" t="str">
        <x:f>IF(J4224&gt;=7,"Muy fuerte (&gt;=7)",IF(J4224&gt;=6,"Fuerte (6-6.9)",IF(J4224&gt;=5,"Moderado alto (5-5.9)",IF(J4224&gt;=4,"Moderado (4-4.9)","Menor a 4"))))</x:f>
        <x:v>Menor a 4</x:v>
      </x:c>
      <x:c r="L4224" s="25" t="str">
        <x:f>IF(I4224&lt;70,"Superficial (&lt;70 km)",IF(I4224&lt;=300,"Intermedio (70-300 km)","Profundo (&gt;300 km)"))</x:f>
        <x:v>Superficial (&lt;70 km)</x:v>
      </x:c>
      <x:c r="M4224" s="25" t="str">
        <x:f>IF(J4224&gt;=5,"Sí","No")</x:f>
        <x:v>No</x:v>
      </x:c>
      <x:c r="N4224" s="25" t="str">
        <x:f>IF(J4224&gt;=6,"Sí","No")</x:f>
        <x:v>No</x:v>
      </x:c>
      <x:c r="O4224" s="25" t="str">
        <x:v>Pendiente: asignar con R/sf</x:v>
      </x:c>
    </x:row>
    <x:row r="4225">
      <x:c r="A4225" s="25" t="n">
        <x:v>4224</x:v>
      </x:c>
      <x:c r="B4225" s="26" t="n">
        <x:v>43440.83681712963</x:v>
      </x:c>
      <x:c r="C4225" s="27" t="n">
        <x:f>INT(B4225)</x:f>
        <x:v>43440</x:v>
      </x:c>
      <x:c r="D4225" s="28" t="n">
        <x:f>MOD(B4225,1)</x:f>
        <x:v>0.8368171296315268</x:v>
      </x:c>
      <x:c r="E4225" s="29" t="n">
        <x:f>YEAR(B4225)</x:f>
        <x:v>2018</x:v>
      </x:c>
      <x:c r="F4225" s="29" t="n">
        <x:f>MONTH(B4225)</x:f>
        <x:v>12</x:v>
      </x:c>
      <x:c r="G4225" s="30" t="n">
        <x:v>-34.77</x:v>
      </x:c>
      <x:c r="H4225" s="30" t="n">
        <x:v>-71.78</x:v>
      </x:c>
      <x:c r="I4225" s="29" t="n">
        <x:v>40</x:v>
      </x:c>
      <x:c r="J4225" s="31" t="n">
        <x:v>3.6</x:v>
      </x:c>
      <x:c r="K4225" s="25" t="str">
        <x:f>IF(J4225&gt;=7,"Muy fuerte (&gt;=7)",IF(J4225&gt;=6,"Fuerte (6-6.9)",IF(J4225&gt;=5,"Moderado alto (5-5.9)",IF(J4225&gt;=4,"Moderado (4-4.9)","Menor a 4"))))</x:f>
        <x:v>Menor a 4</x:v>
      </x:c>
      <x:c r="L4225" s="25" t="str">
        <x:f>IF(I4225&lt;70,"Superficial (&lt;70 km)",IF(I4225&lt;=300,"Intermedio (70-300 km)","Profundo (&gt;300 km)"))</x:f>
        <x:v>Superficial (&lt;70 km)</x:v>
      </x:c>
      <x:c r="M4225" s="25" t="str">
        <x:f>IF(J4225&gt;=5,"Sí","No")</x:f>
        <x:v>No</x:v>
      </x:c>
      <x:c r="N4225" s="25" t="str">
        <x:f>IF(J4225&gt;=6,"Sí","No")</x:f>
        <x:v>No</x:v>
      </x:c>
      <x:c r="O4225" s="25" t="str">
        <x:v>Pendiente: asignar con R/sf</x:v>
      </x:c>
    </x:row>
    <x:row r="4226">
      <x:c r="A4226" s="25" t="n">
        <x:v>4225</x:v>
      </x:c>
      <x:c r="B4226" s="26" t="n">
        <x:v>43595.61096064815</x:v>
      </x:c>
      <x:c r="C4226" s="27" t="n">
        <x:f>INT(B4226)</x:f>
        <x:v>43595</x:v>
      </x:c>
      <x:c r="D4226" s="28" t="n">
        <x:f>MOD(B4226,1)</x:f>
        <x:v>0.6109606481477385</x:v>
      </x:c>
      <x:c r="E4226" s="29" t="n">
        <x:f>YEAR(B4226)</x:f>
        <x:v>2019</x:v>
      </x:c>
      <x:c r="F4226" s="29" t="n">
        <x:f>MONTH(B4226)</x:f>
        <x:v>5</x:v>
      </x:c>
      <x:c r="G4226" s="30" t="n">
        <x:v>-34.82</x:v>
      </x:c>
      <x:c r="H4226" s="30" t="n">
        <x:v>-71.73</x:v>
      </x:c>
      <x:c r="I4226" s="29" t="n">
        <x:v>44</x:v>
      </x:c>
      <x:c r="J4226" s="31" t="n">
        <x:v>4</x:v>
      </x:c>
      <x:c r="K4226" s="25" t="str">
        <x:f>IF(J4226&gt;=7,"Muy fuerte (&gt;=7)",IF(J4226&gt;=6,"Fuerte (6-6.9)",IF(J4226&gt;=5,"Moderado alto (5-5.9)",IF(J4226&gt;=4,"Moderado (4-4.9)","Menor a 4"))))</x:f>
        <x:v>Moderado (4-4.9)</x:v>
      </x:c>
      <x:c r="L4226" s="25" t="str">
        <x:f>IF(I4226&lt;70,"Superficial (&lt;70 km)",IF(I4226&lt;=300,"Intermedio (70-300 km)","Profundo (&gt;300 km)"))</x:f>
        <x:v>Superficial (&lt;70 km)</x:v>
      </x:c>
      <x:c r="M4226" s="25" t="str">
        <x:f>IF(J4226&gt;=5,"Sí","No")</x:f>
        <x:v>No</x:v>
      </x:c>
      <x:c r="N4226" s="25" t="str">
        <x:f>IF(J4226&gt;=6,"Sí","No")</x:f>
        <x:v>No</x:v>
      </x:c>
      <x:c r="O4226" s="25" t="str">
        <x:v>Pendiente: asignar con R/sf</x:v>
      </x:c>
    </x:row>
    <x:row r="4227">
      <x:c r="A4227" s="25" t="n">
        <x:v>4226</x:v>
      </x:c>
      <x:c r="B4227" s="26" t="n">
        <x:v>44132.41155092593</x:v>
      </x:c>
      <x:c r="C4227" s="27" t="n">
        <x:f>INT(B4227)</x:f>
        <x:v>44132</x:v>
      </x:c>
      <x:c r="D4227" s="28" t="n">
        <x:f>MOD(B4227,1)</x:f>
        <x:v>0.411550925928168</x:v>
      </x:c>
      <x:c r="E4227" s="29" t="n">
        <x:f>YEAR(B4227)</x:f>
        <x:v>2020</x:v>
      </x:c>
      <x:c r="F4227" s="29" t="n">
        <x:f>MONTH(B4227)</x:f>
        <x:v>10</x:v>
      </x:c>
      <x:c r="G4227" s="30" t="n">
        <x:v>-34.92</x:v>
      </x:c>
      <x:c r="H4227" s="30" t="n">
        <x:v>-71.68</x:v>
      </x:c>
      <x:c r="I4227" s="29" t="n">
        <x:v>62</x:v>
      </x:c>
      <x:c r="J4227" s="31" t="n">
        <x:v>4</x:v>
      </x:c>
      <x:c r="K4227" s="25" t="str">
        <x:f>IF(J4227&gt;=7,"Muy fuerte (&gt;=7)",IF(J4227&gt;=6,"Fuerte (6-6.9)",IF(J4227&gt;=5,"Moderado alto (5-5.9)",IF(J4227&gt;=4,"Moderado (4-4.9)","Menor a 4"))))</x:f>
        <x:v>Moderado (4-4.9)</x:v>
      </x:c>
      <x:c r="L4227" s="25" t="str">
        <x:f>IF(I4227&lt;70,"Superficial (&lt;70 km)",IF(I4227&lt;=300,"Intermedio (70-300 km)","Profundo (&gt;300 km)"))</x:f>
        <x:v>Superficial (&lt;70 km)</x:v>
      </x:c>
      <x:c r="M4227" s="25" t="str">
        <x:f>IF(J4227&gt;=5,"Sí","No")</x:f>
        <x:v>No</x:v>
      </x:c>
      <x:c r="N4227" s="25" t="str">
        <x:f>IF(J4227&gt;=6,"Sí","No")</x:f>
        <x:v>No</x:v>
      </x:c>
      <x:c r="O4227" s="25" t="str">
        <x:v>Pendiente: asignar con R/sf</x:v>
      </x:c>
    </x:row>
    <x:row r="4228">
      <x:c r="A4228" s="25" t="n">
        <x:v>4227</x:v>
      </x:c>
      <x:c r="B4228" s="26" t="n">
        <x:v>44378.64341435185</x:v>
      </x:c>
      <x:c r="C4228" s="27" t="n">
        <x:f>INT(B4228)</x:f>
        <x:v>44378</x:v>
      </x:c>
      <x:c r="D4228" s="28" t="n">
        <x:f>MOD(B4228,1)</x:f>
        <x:v>0.64341435184906</x:v>
      </x:c>
      <x:c r="E4228" s="29" t="n">
        <x:f>YEAR(B4228)</x:f>
        <x:v>2021</x:v>
      </x:c>
      <x:c r="F4228" s="29" t="n">
        <x:f>MONTH(B4228)</x:f>
        <x:v>7</x:v>
      </x:c>
      <x:c r="G4228" s="30" t="n">
        <x:v>-35.25</x:v>
      </x:c>
      <x:c r="H4228" s="30" t="n">
        <x:v>-71.41</x:v>
      </x:c>
      <x:c r="I4228" s="29" t="n">
        <x:v>74</x:v>
      </x:c>
      <x:c r="J4228" s="31" t="n">
        <x:v>4.1</x:v>
      </x:c>
      <x:c r="K4228" s="25" t="str">
        <x:f>IF(J4228&gt;=7,"Muy fuerte (&gt;=7)",IF(J4228&gt;=6,"Fuerte (6-6.9)",IF(J4228&gt;=5,"Moderado alto (5-5.9)",IF(J4228&gt;=4,"Moderado (4-4.9)","Menor a 4"))))</x:f>
        <x:v>Moderado (4-4.9)</x:v>
      </x:c>
      <x:c r="L4228" s="25" t="str">
        <x:f>IF(I4228&lt;70,"Superficial (&lt;70 km)",IF(I4228&lt;=300,"Intermedio (70-300 km)","Profundo (&gt;300 km)"))</x:f>
        <x:v>Intermedio (70-300 km)</x:v>
      </x:c>
      <x:c r="M4228" s="25" t="str">
        <x:f>IF(J4228&gt;=5,"Sí","No")</x:f>
        <x:v>No</x:v>
      </x:c>
      <x:c r="N4228" s="25" t="str">
        <x:f>IF(J4228&gt;=6,"Sí","No")</x:f>
        <x:v>No</x:v>
      </x:c>
      <x:c r="O4228" s="25" t="str">
        <x:v>Pendiente: asignar con R/sf</x:v>
      </x:c>
    </x:row>
    <x:row r="4229">
      <x:c r="A4229" s="25" t="n">
        <x:v>4228</x:v>
      </x:c>
      <x:c r="B4229" s="26" t="n">
        <x:v>44596.93744212963</x:v>
      </x:c>
      <x:c r="C4229" s="27" t="n">
        <x:f>INT(B4229)</x:f>
        <x:v>44596</x:v>
      </x:c>
      <x:c r="D4229" s="28" t="n">
        <x:f>MOD(B4229,1)</x:f>
        <x:v>0.9374421296306537</x:v>
      </x:c>
      <x:c r="E4229" s="29" t="n">
        <x:f>YEAR(B4229)</x:f>
        <x:v>2022</x:v>
      </x:c>
      <x:c r="F4229" s="29" t="n">
        <x:f>MONTH(B4229)</x:f>
        <x:v>2</x:v>
      </x:c>
      <x:c r="G4229" s="30" t="n">
        <x:v>-35.13</x:v>
      </x:c>
      <x:c r="H4229" s="30" t="n">
        <x:v>-71.31</x:v>
      </x:c>
      <x:c r="I4229" s="29" t="n">
        <x:v>83</x:v>
      </x:c>
      <x:c r="J4229" s="31" t="n">
        <x:v>3.6</x:v>
      </x:c>
      <x:c r="K4229" s="25" t="str">
        <x:f>IF(J4229&gt;=7,"Muy fuerte (&gt;=7)",IF(J4229&gt;=6,"Fuerte (6-6.9)",IF(J4229&gt;=5,"Moderado alto (5-5.9)",IF(J4229&gt;=4,"Moderado (4-4.9)","Menor a 4"))))</x:f>
        <x:v>Menor a 4</x:v>
      </x:c>
      <x:c r="L4229" s="25" t="str">
        <x:f>IF(I4229&lt;70,"Superficial (&lt;70 km)",IF(I4229&lt;=300,"Intermedio (70-300 km)","Profundo (&gt;300 km)"))</x:f>
        <x:v>Intermedio (70-300 km)</x:v>
      </x:c>
      <x:c r="M4229" s="25" t="str">
        <x:f>IF(J4229&gt;=5,"Sí","No")</x:f>
        <x:v>No</x:v>
      </x:c>
      <x:c r="N4229" s="25" t="str">
        <x:f>IF(J4229&gt;=6,"Sí","No")</x:f>
        <x:v>No</x:v>
      </x:c>
      <x:c r="O4229" s="25" t="str">
        <x:v>Pendiente: asignar con R/sf</x:v>
      </x:c>
    </x:row>
    <x:row r="4230">
      <x:c r="A4230" s="25" t="n">
        <x:v>4229</x:v>
      </x:c>
      <x:c r="B4230" s="26" t="n">
        <x:v>43834.92395833333</x:v>
      </x:c>
      <x:c r="C4230" s="27" t="n">
        <x:f>INT(B4230)</x:f>
        <x:v>43834</x:v>
      </x:c>
      <x:c r="D4230" s="28" t="n">
        <x:f>MOD(B4230,1)</x:f>
        <x:v>0.9239583333328483</x:v>
      </x:c>
      <x:c r="E4230" s="29" t="n">
        <x:f>YEAR(B4230)</x:f>
        <x:v>2020</x:v>
      </x:c>
      <x:c r="F4230" s="29" t="n">
        <x:f>MONTH(B4230)</x:f>
        <x:v>1</x:v>
      </x:c>
      <x:c r="G4230" s="30" t="n">
        <x:v>-35.04</x:v>
      </x:c>
      <x:c r="H4230" s="30" t="n">
        <x:v>-71.14</x:v>
      </x:c>
      <x:c r="I4230" s="29" t="n">
        <x:v>100</x:v>
      </x:c>
      <x:c r="J4230" s="31" t="n">
        <x:v>4.1</x:v>
      </x:c>
      <x:c r="K4230" s="25" t="str">
        <x:f>IF(J4230&gt;=7,"Muy fuerte (&gt;=7)",IF(J4230&gt;=6,"Fuerte (6-6.9)",IF(J4230&gt;=5,"Moderado alto (5-5.9)",IF(J4230&gt;=4,"Moderado (4-4.9)","Menor a 4"))))</x:f>
        <x:v>Moderado (4-4.9)</x:v>
      </x:c>
      <x:c r="L4230" s="25" t="str">
        <x:f>IF(I4230&lt;70,"Superficial (&lt;70 km)",IF(I4230&lt;=300,"Intermedio (70-300 km)","Profundo (&gt;300 km)"))</x:f>
        <x:v>Intermedio (70-300 km)</x:v>
      </x:c>
      <x:c r="M4230" s="25" t="str">
        <x:f>IF(J4230&gt;=5,"Sí","No")</x:f>
        <x:v>No</x:v>
      </x:c>
      <x:c r="N4230" s="25" t="str">
        <x:f>IF(J4230&gt;=6,"Sí","No")</x:f>
        <x:v>No</x:v>
      </x:c>
      <x:c r="O4230" s="25" t="str">
        <x:v>Pendiente: asignar con R/sf</x:v>
      </x:c>
    </x:row>
    <x:row r="4231">
      <x:c r="A4231" s="25" t="n">
        <x:v>4230</x:v>
      </x:c>
      <x:c r="B4231" s="26" t="n">
        <x:v>43973.875289351854</x:v>
      </x:c>
      <x:c r="C4231" s="27" t="n">
        <x:f>INT(B4231)</x:f>
        <x:v>43973</x:v>
      </x:c>
      <x:c r="D4231" s="28" t="n">
        <x:f>MOD(B4231,1)</x:f>
        <x:v>0.8752893518540077</x:v>
      </x:c>
      <x:c r="E4231" s="29" t="n">
        <x:f>YEAR(B4231)</x:f>
        <x:v>2020</x:v>
      </x:c>
      <x:c r="F4231" s="29" t="n">
        <x:f>MONTH(B4231)</x:f>
        <x:v>5</x:v>
      </x:c>
      <x:c r="G4231" s="30" t="n">
        <x:v>-34.98</x:v>
      </x:c>
      <x:c r="H4231" s="30" t="n">
        <x:v>-71.1</x:v>
      </x:c>
      <x:c r="I4231" s="29" t="n">
        <x:v>97</x:v>
      </x:c>
      <x:c r="J4231" s="31" t="n">
        <x:v>3.9</x:v>
      </x:c>
      <x:c r="K4231" s="25" t="str">
        <x:f>IF(J4231&gt;=7,"Muy fuerte (&gt;=7)",IF(J4231&gt;=6,"Fuerte (6-6.9)",IF(J4231&gt;=5,"Moderado alto (5-5.9)",IF(J4231&gt;=4,"Moderado (4-4.9)","Menor a 4"))))</x:f>
        <x:v>Menor a 4</x:v>
      </x:c>
      <x:c r="L4231" s="25" t="str">
        <x:f>IF(I4231&lt;70,"Superficial (&lt;70 km)",IF(I4231&lt;=300,"Intermedio (70-300 km)","Profundo (&gt;300 km)"))</x:f>
        <x:v>Intermedio (70-300 km)</x:v>
      </x:c>
      <x:c r="M4231" s="25" t="str">
        <x:f>IF(J4231&gt;=5,"Sí","No")</x:f>
        <x:v>No</x:v>
      </x:c>
      <x:c r="N4231" s="25" t="str">
        <x:f>IF(J4231&gt;=6,"Sí","No")</x:f>
        <x:v>No</x:v>
      </x:c>
      <x:c r="O4231" s="25" t="str">
        <x:v>Pendiente: asignar con R/sf</x:v>
      </x:c>
    </x:row>
    <x:row r="4232">
      <x:c r="A4232" s="25" t="n">
        <x:v>4231</x:v>
      </x:c>
      <x:c r="B4232" s="26" t="n">
        <x:v>44258.91013888889</x:v>
      </x:c>
      <x:c r="C4232" s="27" t="n">
        <x:f>INT(B4232)</x:f>
        <x:v>44258</x:v>
      </x:c>
      <x:c r="D4232" s="28" t="n">
        <x:f>MOD(B4232,1)</x:f>
        <x:v>0.9101388888884685</x:v>
      </x:c>
      <x:c r="E4232" s="29" t="n">
        <x:f>YEAR(B4232)</x:f>
        <x:v>2021</x:v>
      </x:c>
      <x:c r="F4232" s="29" t="n">
        <x:f>MONTH(B4232)</x:f>
        <x:v>3</x:v>
      </x:c>
      <x:c r="G4232" s="30" t="n">
        <x:v>-35.08</x:v>
      </x:c>
      <x:c r="H4232" s="30" t="n">
        <x:v>-71.14</x:v>
      </x:c>
      <x:c r="I4232" s="29" t="n">
        <x:v>100</x:v>
      </x:c>
      <x:c r="J4232" s="31" t="n">
        <x:v>4.4</x:v>
      </x:c>
      <x:c r="K4232" s="25" t="str">
        <x:f>IF(J4232&gt;=7,"Muy fuerte (&gt;=7)",IF(J4232&gt;=6,"Fuerte (6-6.9)",IF(J4232&gt;=5,"Moderado alto (5-5.9)",IF(J4232&gt;=4,"Moderado (4-4.9)","Menor a 4"))))</x:f>
        <x:v>Moderado (4-4.9)</x:v>
      </x:c>
      <x:c r="L4232" s="25" t="str">
        <x:f>IF(I4232&lt;70,"Superficial (&lt;70 km)",IF(I4232&lt;=300,"Intermedio (70-300 km)","Profundo (&gt;300 km)"))</x:f>
        <x:v>Intermedio (70-300 km)</x:v>
      </x:c>
      <x:c r="M4232" s="25" t="str">
        <x:f>IF(J4232&gt;=5,"Sí","No")</x:f>
        <x:v>No</x:v>
      </x:c>
      <x:c r="N4232" s="25" t="str">
        <x:f>IF(J4232&gt;=6,"Sí","No")</x:f>
        <x:v>No</x:v>
      </x:c>
      <x:c r="O4232" s="25" t="str">
        <x:v>Pendiente: asignar con R/sf</x:v>
      </x:c>
    </x:row>
    <x:row r="4233">
      <x:c r="A4233" s="25" t="n">
        <x:v>4232</x:v>
      </x:c>
      <x:c r="B4233" s="26" t="n">
        <x:v>44508.42086805555</x:v>
      </x:c>
      <x:c r="C4233" s="27" t="n">
        <x:f>INT(B4233)</x:f>
        <x:v>44508</x:v>
      </x:c>
      <x:c r="D4233" s="28" t="n">
        <x:f>MOD(B4233,1)</x:f>
        <x:v>0.4208680555530009</x:v>
      </x:c>
      <x:c r="E4233" s="29" t="n">
        <x:f>YEAR(B4233)</x:f>
        <x:v>2021</x:v>
      </x:c>
      <x:c r="F4233" s="29" t="n">
        <x:f>MONTH(B4233)</x:f>
        <x:v>11</x:v>
      </x:c>
      <x:c r="G4233" s="30" t="n">
        <x:v>-35.51</x:v>
      </x:c>
      <x:c r="H4233" s="30" t="n">
        <x:v>-71.36</x:v>
      </x:c>
      <x:c r="I4233" s="29" t="n">
        <x:v>94</x:v>
      </x:c>
      <x:c r="J4233" s="31" t="n">
        <x:v>4.1</x:v>
      </x:c>
      <x:c r="K4233" s="25" t="str">
        <x:f>IF(J4233&gt;=7,"Muy fuerte (&gt;=7)",IF(J4233&gt;=6,"Fuerte (6-6.9)",IF(J4233&gt;=5,"Moderado alto (5-5.9)",IF(J4233&gt;=4,"Moderado (4-4.9)","Menor a 4"))))</x:f>
        <x:v>Moderado (4-4.9)</x:v>
      </x:c>
      <x:c r="L4233" s="25" t="str">
        <x:f>IF(I4233&lt;70,"Superficial (&lt;70 km)",IF(I4233&lt;=300,"Intermedio (70-300 km)","Profundo (&gt;300 km)"))</x:f>
        <x:v>Intermedio (70-300 km)</x:v>
      </x:c>
      <x:c r="M4233" s="25" t="str">
        <x:f>IF(J4233&gt;=5,"Sí","No")</x:f>
        <x:v>No</x:v>
      </x:c>
      <x:c r="N4233" s="25" t="str">
        <x:f>IF(J4233&gt;=6,"Sí","No")</x:f>
        <x:v>No</x:v>
      </x:c>
      <x:c r="O4233" s="25" t="str">
        <x:v>Pendiente: asignar con R/sf</x:v>
      </x:c>
    </x:row>
    <x:row r="4234">
      <x:c r="A4234" s="25" t="n">
        <x:v>4233</x:v>
      </x:c>
      <x:c r="B4234" s="26" t="n">
        <x:v>44585.32480324074</x:v>
      </x:c>
      <x:c r="C4234" s="27" t="n">
        <x:f>INT(B4234)</x:f>
        <x:v>44585</x:v>
      </x:c>
      <x:c r="D4234" s="28" t="n">
        <x:f>MOD(B4234,1)</x:f>
        <x:v>0.32480324074276723</x:v>
      </x:c>
      <x:c r="E4234" s="29" t="n">
        <x:f>YEAR(B4234)</x:f>
        <x:v>2022</x:v>
      </x:c>
      <x:c r="F4234" s="29" t="n">
        <x:f>MONTH(B4234)</x:f>
        <x:v>1</x:v>
      </x:c>
      <x:c r="G4234" s="30" t="n">
        <x:v>-35.88</x:v>
      </x:c>
      <x:c r="H4234" s="30" t="n">
        <x:v>-71.52</x:v>
      </x:c>
      <x:c r="I4234" s="29" t="n">
        <x:v>95</x:v>
      </x:c>
      <x:c r="J4234" s="31" t="n">
        <x:v>4.2</x:v>
      </x:c>
      <x:c r="K4234" s="25" t="str">
        <x:f>IF(J4234&gt;=7,"Muy fuerte (&gt;=7)",IF(J4234&gt;=6,"Fuerte (6-6.9)",IF(J4234&gt;=5,"Moderado alto (5-5.9)",IF(J4234&gt;=4,"Moderado (4-4.9)","Menor a 4"))))</x:f>
        <x:v>Moderado (4-4.9)</x:v>
      </x:c>
      <x:c r="L4234" s="25" t="str">
        <x:f>IF(I4234&lt;70,"Superficial (&lt;70 km)",IF(I4234&lt;=300,"Intermedio (70-300 km)","Profundo (&gt;300 km)"))</x:f>
        <x:v>Intermedio (70-300 km)</x:v>
      </x:c>
      <x:c r="M4234" s="25" t="str">
        <x:f>IF(J4234&gt;=5,"Sí","No")</x:f>
        <x:v>No</x:v>
      </x:c>
      <x:c r="N4234" s="25" t="str">
        <x:f>IF(J4234&gt;=6,"Sí","No")</x:f>
        <x:v>No</x:v>
      </x:c>
      <x:c r="O4234" s="25" t="str">
        <x:v>Pendiente: asignar con R/sf</x:v>
      </x:c>
    </x:row>
    <x:row r="4235">
      <x:c r="A4235" s="25" t="n">
        <x:v>4234</x:v>
      </x:c>
      <x:c r="B4235" s="26" t="n">
        <x:v>44618.61502314815</x:v>
      </x:c>
      <x:c r="C4235" s="27" t="n">
        <x:f>INT(B4235)</x:f>
        <x:v>44618</x:v>
      </x:c>
      <x:c r="D4235" s="28" t="n">
        <x:f>MOD(B4235,1)</x:f>
        <x:v>0.615023148151522</x:v>
      </x:c>
      <x:c r="E4235" s="29" t="n">
        <x:f>YEAR(B4235)</x:f>
        <x:v>2022</x:v>
      </x:c>
      <x:c r="F4235" s="29" t="n">
        <x:f>MONTH(B4235)</x:f>
        <x:v>2</x:v>
      </x:c>
      <x:c r="G4235" s="30" t="n">
        <x:v>-34.82</x:v>
      </x:c>
      <x:c r="H4235" s="30" t="n">
        <x:v>-71.8</x:v>
      </x:c>
      <x:c r="I4235" s="29" t="n">
        <x:v>44</x:v>
      </x:c>
      <x:c r="J4235" s="31" t="n">
        <x:v>4.3</x:v>
      </x:c>
      <x:c r="K4235" s="25" t="str">
        <x:f>IF(J4235&gt;=7,"Muy fuerte (&gt;=7)",IF(J4235&gt;=6,"Fuerte (6-6.9)",IF(J4235&gt;=5,"Moderado alto (5-5.9)",IF(J4235&gt;=4,"Moderado (4-4.9)","Menor a 4"))))</x:f>
        <x:v>Moderado (4-4.9)</x:v>
      </x:c>
      <x:c r="L4235" s="25" t="str">
        <x:f>IF(I4235&lt;70,"Superficial (&lt;70 km)",IF(I4235&lt;=300,"Intermedio (70-300 km)","Profundo (&gt;300 km)"))</x:f>
        <x:v>Superficial (&lt;70 km)</x:v>
      </x:c>
      <x:c r="M4235" s="25" t="str">
        <x:f>IF(J4235&gt;=5,"Sí","No")</x:f>
        <x:v>No</x:v>
      </x:c>
      <x:c r="N4235" s="25" t="str">
        <x:f>IF(J4235&gt;=6,"Sí","No")</x:f>
        <x:v>No</x:v>
      </x:c>
      <x:c r="O4235" s="25" t="str">
        <x:v>Pendiente: asignar con R/sf</x:v>
      </x:c>
    </x:row>
    <x:row r="4236">
      <x:c r="A4236" s="25" t="n">
        <x:v>4235</x:v>
      </x:c>
      <x:c r="B4236" s="26" t="n">
        <x:v>44677.58028935185</x:v>
      </x:c>
      <x:c r="C4236" s="27" t="n">
        <x:f>INT(B4236)</x:f>
        <x:v>44677</x:v>
      </x:c>
      <x:c r="D4236" s="28" t="n">
        <x:f>MOD(B4236,1)</x:f>
        <x:v>0.580289351848478</x:v>
      </x:c>
      <x:c r="E4236" s="29" t="n">
        <x:f>YEAR(B4236)</x:f>
        <x:v>2022</x:v>
      </x:c>
      <x:c r="F4236" s="29" t="n">
        <x:f>MONTH(B4236)</x:f>
        <x:v>4</x:v>
      </x:c>
      <x:c r="G4236" s="30" t="n">
        <x:v>-34.99</x:v>
      </x:c>
      <x:c r="H4236" s="30" t="n">
        <x:v>-71.91</x:v>
      </x:c>
      <x:c r="I4236" s="29" t="n">
        <x:v>42</x:v>
      </x:c>
      <x:c r="J4236" s="31" t="n">
        <x:v>3.9</x:v>
      </x:c>
      <x:c r="K4236" s="25" t="str">
        <x:f>IF(J4236&gt;=7,"Muy fuerte (&gt;=7)",IF(J4236&gt;=6,"Fuerte (6-6.9)",IF(J4236&gt;=5,"Moderado alto (5-5.9)",IF(J4236&gt;=4,"Moderado (4-4.9)","Menor a 4"))))</x:f>
        <x:v>Menor a 4</x:v>
      </x:c>
      <x:c r="L4236" s="25" t="str">
        <x:f>IF(I4236&lt;70,"Superficial (&lt;70 km)",IF(I4236&lt;=300,"Intermedio (70-300 km)","Profundo (&gt;300 km)"))</x:f>
        <x:v>Superficial (&lt;70 km)</x:v>
      </x:c>
      <x:c r="M4236" s="25" t="str">
        <x:f>IF(J4236&gt;=5,"Sí","No")</x:f>
        <x:v>No</x:v>
      </x:c>
      <x:c r="N4236" s="25" t="str">
        <x:f>IF(J4236&gt;=6,"Sí","No")</x:f>
        <x:v>No</x:v>
      </x:c>
      <x:c r="O4236" s="25" t="str">
        <x:v>Pendiente: asignar con R/sf</x:v>
      </x:c>
    </x:row>
    <x:row r="4237">
      <x:c r="A4237" s="25" t="n">
        <x:v>4236</x:v>
      </x:c>
      <x:c r="B4237" s="26" t="n">
        <x:v>44727.73405092592</x:v>
      </x:c>
      <x:c r="C4237" s="27" t="n">
        <x:f>INT(B4237)</x:f>
        <x:v>44727</x:v>
      </x:c>
      <x:c r="D4237" s="28" t="n">
        <x:f>MOD(B4237,1)</x:f>
        <x:v>0.7340509259229293</x:v>
      </x:c>
      <x:c r="E4237" s="29" t="n">
        <x:f>YEAR(B4237)</x:f>
        <x:v>2022</x:v>
      </x:c>
      <x:c r="F4237" s="29" t="n">
        <x:f>MONTH(B4237)</x:f>
        <x:v>6</x:v>
      </x:c>
      <x:c r="G4237" s="30" t="n">
        <x:v>-34.98</x:v>
      </x:c>
      <x:c r="H4237" s="30" t="n">
        <x:v>-71.12</x:v>
      </x:c>
      <x:c r="I4237" s="29" t="n">
        <x:v>104</x:v>
      </x:c>
      <x:c r="J4237" s="31" t="n">
        <x:v>3.9</x:v>
      </x:c>
      <x:c r="K4237" s="25" t="str">
        <x:f>IF(J4237&gt;=7,"Muy fuerte (&gt;=7)",IF(J4237&gt;=6,"Fuerte (6-6.9)",IF(J4237&gt;=5,"Moderado alto (5-5.9)",IF(J4237&gt;=4,"Moderado (4-4.9)","Menor a 4"))))</x:f>
        <x:v>Menor a 4</x:v>
      </x:c>
      <x:c r="L4237" s="25" t="str">
        <x:f>IF(I4237&lt;70,"Superficial (&lt;70 km)",IF(I4237&lt;=300,"Intermedio (70-300 km)","Profundo (&gt;300 km)"))</x:f>
        <x:v>Intermedio (70-300 km)</x:v>
      </x:c>
      <x:c r="M4237" s="25" t="str">
        <x:f>IF(J4237&gt;=5,"Sí","No")</x:f>
        <x:v>No</x:v>
      </x:c>
      <x:c r="N4237" s="25" t="str">
        <x:f>IF(J4237&gt;=6,"Sí","No")</x:f>
        <x:v>No</x:v>
      </x:c>
      <x:c r="O4237" s="25" t="str">
        <x:v>Pendiente: asignar con R/sf</x:v>
      </x:c>
    </x:row>
    <x:row r="4238">
      <x:c r="A4238" s="25" t="n">
        <x:v>4237</x:v>
      </x:c>
      <x:c r="B4238" s="26" t="n">
        <x:v>44707.50997685185</x:v>
      </x:c>
      <x:c r="C4238" s="27" t="n">
        <x:f>INT(B4238)</x:f>
        <x:v>44707</x:v>
      </x:c>
      <x:c r="D4238" s="28" t="n">
        <x:f>MOD(B4238,1)</x:f>
        <x:v>0.509976851848478</x:v>
      </x:c>
      <x:c r="E4238" s="29" t="n">
        <x:f>YEAR(B4238)</x:f>
        <x:v>2022</x:v>
      </x:c>
      <x:c r="F4238" s="29" t="n">
        <x:f>MONTH(B4238)</x:f>
        <x:v>5</x:v>
      </x:c>
      <x:c r="G4238" s="30" t="n">
        <x:v>-34.63</x:v>
      </x:c>
      <x:c r="H4238" s="30" t="n">
        <x:v>-73.68</x:v>
      </x:c>
      <x:c r="I4238" s="29" t="n">
        <x:v>35</x:v>
      </x:c>
      <x:c r="J4238" s="31" t="n">
        <x:v>4.7</x:v>
      </x:c>
      <x:c r="K4238" s="25" t="str">
        <x:f>IF(J4238&gt;=7,"Muy fuerte (&gt;=7)",IF(J4238&gt;=6,"Fuerte (6-6.9)",IF(J4238&gt;=5,"Moderado alto (5-5.9)",IF(J4238&gt;=4,"Moderado (4-4.9)","Menor a 4"))))</x:f>
        <x:v>Moderado (4-4.9)</x:v>
      </x:c>
      <x:c r="L4238" s="25" t="str">
        <x:f>IF(I4238&lt;70,"Superficial (&lt;70 km)",IF(I4238&lt;=300,"Intermedio (70-300 km)","Profundo (&gt;300 km)"))</x:f>
        <x:v>Superficial (&lt;70 km)</x:v>
      </x:c>
      <x:c r="M4238" s="25" t="str">
        <x:f>IF(J4238&gt;=5,"Sí","No")</x:f>
        <x:v>No</x:v>
      </x:c>
      <x:c r="N4238" s="25" t="str">
        <x:f>IF(J4238&gt;=6,"Sí","No")</x:f>
        <x:v>No</x:v>
      </x:c>
      <x:c r="O4238" s="25" t="str">
        <x:v>Pendiente: asignar con R/sf</x:v>
      </x:c>
    </x:row>
    <x:row r="4239">
      <x:c r="A4239" s="25" t="n">
        <x:v>4238</x:v>
      </x:c>
      <x:c r="B4239" s="26" t="n">
        <x:v>44540.155625</x:v>
      </x:c>
      <x:c r="C4239" s="27" t="n">
        <x:f>INT(B4239)</x:f>
        <x:v>44540</x:v>
      </x:c>
      <x:c r="D4239" s="28" t="n">
        <x:f>MOD(B4239,1)</x:f>
        <x:v>0.15562499999941792</x:v>
      </x:c>
      <x:c r="E4239" s="29" t="n">
        <x:f>YEAR(B4239)</x:f>
        <x:v>2021</x:v>
      </x:c>
      <x:c r="F4239" s="29" t="n">
        <x:f>MONTH(B4239)</x:f>
        <x:v>12</x:v>
      </x:c>
      <x:c r="G4239" s="30" t="n">
        <x:v>-35.17</x:v>
      </x:c>
      <x:c r="H4239" s="30" t="n">
        <x:v>-72.23</x:v>
      </x:c>
      <x:c r="I4239" s="29" t="n">
        <x:v>44</x:v>
      </x:c>
      <x:c r="J4239" s="31" t="n">
        <x:v>3.6</x:v>
      </x:c>
      <x:c r="K4239" s="25" t="str">
        <x:f>IF(J4239&gt;=7,"Muy fuerte (&gt;=7)",IF(J4239&gt;=6,"Fuerte (6-6.9)",IF(J4239&gt;=5,"Moderado alto (5-5.9)",IF(J4239&gt;=4,"Moderado (4-4.9)","Menor a 4"))))</x:f>
        <x:v>Menor a 4</x:v>
      </x:c>
      <x:c r="L4239" s="25" t="str">
        <x:f>IF(I4239&lt;70,"Superficial (&lt;70 km)",IF(I4239&lt;=300,"Intermedio (70-300 km)","Profundo (&gt;300 km)"))</x:f>
        <x:v>Superficial (&lt;70 km)</x:v>
      </x:c>
      <x:c r="M4239" s="25" t="str">
        <x:f>IF(J4239&gt;=5,"Sí","No")</x:f>
        <x:v>No</x:v>
      </x:c>
      <x:c r="N4239" s="25" t="str">
        <x:f>IF(J4239&gt;=6,"Sí","No")</x:f>
        <x:v>No</x:v>
      </x:c>
      <x:c r="O4239" s="25" t="str">
        <x:v>Pendiente: asignar con R/sf</x:v>
      </x:c>
    </x:row>
    <x:row r="4240">
      <x:c r="A4240" s="25" t="n">
        <x:v>4239</x:v>
      </x:c>
      <x:c r="B4240" s="26" t="n">
        <x:v>44688.25859953704</x:v>
      </x:c>
      <x:c r="C4240" s="27" t="n">
        <x:f>INT(B4240)</x:f>
        <x:v>44688</x:v>
      </x:c>
      <x:c r="D4240" s="28" t="n">
        <x:f>MOD(B4240,1)</x:f>
        <x:v>0.2585995370391174</x:v>
      </x:c>
      <x:c r="E4240" s="29" t="n">
        <x:f>YEAR(B4240)</x:f>
        <x:v>2022</x:v>
      </x:c>
      <x:c r="F4240" s="29" t="n">
        <x:f>MONTH(B4240)</x:f>
        <x:v>5</x:v>
      </x:c>
      <x:c r="G4240" s="30" t="n">
        <x:v>-36.54</x:v>
      </x:c>
      <x:c r="H4240" s="30" t="n">
        <x:v>-72.86</x:v>
      </x:c>
      <x:c r="I4240" s="29" t="n">
        <x:v>32</x:v>
      </x:c>
      <x:c r="J4240" s="31" t="n">
        <x:v>4.4</x:v>
      </x:c>
      <x:c r="K4240" s="25" t="str">
        <x:f>IF(J4240&gt;=7,"Muy fuerte (&gt;=7)",IF(J4240&gt;=6,"Fuerte (6-6.9)",IF(J4240&gt;=5,"Moderado alto (5-5.9)",IF(J4240&gt;=4,"Moderado (4-4.9)","Menor a 4"))))</x:f>
        <x:v>Moderado (4-4.9)</x:v>
      </x:c>
      <x:c r="L4240" s="25" t="str">
        <x:f>IF(I4240&lt;70,"Superficial (&lt;70 km)",IF(I4240&lt;=300,"Intermedio (70-300 km)","Profundo (&gt;300 km)"))</x:f>
        <x:v>Superficial (&lt;70 km)</x:v>
      </x:c>
      <x:c r="M4240" s="25" t="str">
        <x:f>IF(J4240&gt;=5,"Sí","No")</x:f>
        <x:v>No</x:v>
      </x:c>
      <x:c r="N4240" s="25" t="str">
        <x:f>IF(J4240&gt;=6,"Sí","No")</x:f>
        <x:v>No</x:v>
      </x:c>
      <x:c r="O4240" s="25" t="str">
        <x:v>Pendiente: asignar con R/sf</x:v>
      </x:c>
    </x:row>
    <x:row r="4241">
      <x:c r="A4241" s="25" t="n">
        <x:v>4240</x:v>
      </x:c>
      <x:c r="B4241" s="26" t="n">
        <x:v>44745.98547453704</x:v>
      </x:c>
      <x:c r="C4241" s="27" t="n">
        <x:f>INT(B4241)</x:f>
        <x:v>44745</x:v>
      </x:c>
      <x:c r="D4241" s="28" t="n">
        <x:f>MOD(B4241,1)</x:f>
        <x:v>0.9854745370394085</x:v>
      </x:c>
      <x:c r="E4241" s="29" t="n">
        <x:f>YEAR(B4241)</x:f>
        <x:v>2022</x:v>
      </x:c>
      <x:c r="F4241" s="29" t="n">
        <x:f>MONTH(B4241)</x:f>
        <x:v>7</x:v>
      </x:c>
      <x:c r="G4241" s="30" t="n">
        <x:v>-19.35</x:v>
      </x:c>
      <x:c r="H4241" s="30" t="n">
        <x:v>-70.24</x:v>
      </x:c>
      <x:c r="I4241" s="29" t="n">
        <x:v>76</x:v>
      </x:c>
      <x:c r="J4241" s="31" t="n">
        <x:v>4.8</x:v>
      </x:c>
      <x:c r="K4241" s="25" t="str">
        <x:f>IF(J4241&gt;=7,"Muy fuerte (&gt;=7)",IF(J4241&gt;=6,"Fuerte (6-6.9)",IF(J4241&gt;=5,"Moderado alto (5-5.9)",IF(J4241&gt;=4,"Moderado (4-4.9)","Menor a 4"))))</x:f>
        <x:v>Moderado (4-4.9)</x:v>
      </x:c>
      <x:c r="L4241" s="25" t="str">
        <x:f>IF(I4241&lt;70,"Superficial (&lt;70 km)",IF(I4241&lt;=300,"Intermedio (70-300 km)","Profundo (&gt;300 km)"))</x:f>
        <x:v>Intermedio (70-300 km)</x:v>
      </x:c>
      <x:c r="M4241" s="25" t="str">
        <x:f>IF(J4241&gt;=5,"Sí","No")</x:f>
        <x:v>No</x:v>
      </x:c>
      <x:c r="N4241" s="25" t="str">
        <x:f>IF(J4241&gt;=6,"Sí","No")</x:f>
        <x:v>No</x:v>
      </x:c>
      <x:c r="O4241" s="25" t="str">
        <x:v>Pendiente: asignar con R/sf</x:v>
      </x:c>
    </x:row>
    <x:row r="4242">
      <x:c r="A4242" s="25" t="n">
        <x:v>4241</x:v>
      </x:c>
      <x:c r="B4242" s="26" t="n">
        <x:v>44581.64802083333</x:v>
      </x:c>
      <x:c r="C4242" s="27" t="n">
        <x:f>INT(B4242)</x:f>
        <x:v>44581</x:v>
      </x:c>
      <x:c r="D4242" s="28" t="n">
        <x:f>MOD(B4242,1)</x:f>
        <x:v>0.64802083333052</x:v>
      </x:c>
      <x:c r="E4242" s="29" t="n">
        <x:f>YEAR(B4242)</x:f>
        <x:v>2022</x:v>
      </x:c>
      <x:c r="F4242" s="29" t="n">
        <x:f>MONTH(B4242)</x:f>
        <x:v>1</x:v>
      </x:c>
      <x:c r="G4242" s="30" t="n">
        <x:v>-21.15</x:v>
      </x:c>
      <x:c r="H4242" s="30" t="n">
        <x:v>-70.21</x:v>
      </x:c>
      <x:c r="I4242" s="29" t="n">
        <x:v>36</x:v>
      </x:c>
      <x:c r="J4242" s="31" t="n">
        <x:v>3.9</x:v>
      </x:c>
      <x:c r="K4242" s="25" t="str">
        <x:f>IF(J4242&gt;=7,"Muy fuerte (&gt;=7)",IF(J4242&gt;=6,"Fuerte (6-6.9)",IF(J4242&gt;=5,"Moderado alto (5-5.9)",IF(J4242&gt;=4,"Moderado (4-4.9)","Menor a 4"))))</x:f>
        <x:v>Menor a 4</x:v>
      </x:c>
      <x:c r="L4242" s="25" t="str">
        <x:f>IF(I4242&lt;70,"Superficial (&lt;70 km)",IF(I4242&lt;=300,"Intermedio (70-300 km)","Profundo (&gt;300 km)"))</x:f>
        <x:v>Superficial (&lt;70 km)</x:v>
      </x:c>
      <x:c r="M4242" s="25" t="str">
        <x:f>IF(J4242&gt;=5,"Sí","No")</x:f>
        <x:v>No</x:v>
      </x:c>
      <x:c r="N4242" s="25" t="str">
        <x:f>IF(J4242&gt;=6,"Sí","No")</x:f>
        <x:v>No</x:v>
      </x:c>
      <x:c r="O4242" s="25" t="str">
        <x:v>Pendiente: asignar con R/sf</x:v>
      </x:c>
    </x:row>
    <x:row r="4243">
      <x:c r="A4243" s="25" t="n">
        <x:v>4242</x:v>
      </x:c>
      <x:c r="B4243" s="26" t="n">
        <x:v>44635.73008101852</x:v>
      </x:c>
      <x:c r="C4243" s="27" t="n">
        <x:f>INT(B4243)</x:f>
        <x:v>44635</x:v>
      </x:c>
      <x:c r="D4243" s="28" t="n">
        <x:f>MOD(B4243,1)</x:f>
        <x:v>0.7300810185188311</x:v>
      </x:c>
      <x:c r="E4243" s="29" t="n">
        <x:f>YEAR(B4243)</x:f>
        <x:v>2022</x:v>
      </x:c>
      <x:c r="F4243" s="29" t="n">
        <x:f>MONTH(B4243)</x:f>
        <x:v>3</x:v>
      </x:c>
      <x:c r="G4243" s="30" t="n">
        <x:v>-21.43</x:v>
      </x:c>
      <x:c r="H4243" s="30" t="n">
        <x:v>-69.6</x:v>
      </x:c>
      <x:c r="I4243" s="29" t="n">
        <x:v>8</x:v>
      </x:c>
      <x:c r="J4243" s="31" t="n">
        <x:v>4</x:v>
      </x:c>
      <x:c r="K4243" s="25" t="str">
        <x:f>IF(J4243&gt;=7,"Muy fuerte (&gt;=7)",IF(J4243&gt;=6,"Fuerte (6-6.9)",IF(J4243&gt;=5,"Moderado alto (5-5.9)",IF(J4243&gt;=4,"Moderado (4-4.9)","Menor a 4"))))</x:f>
        <x:v>Moderado (4-4.9)</x:v>
      </x:c>
      <x:c r="L4243" s="25" t="str">
        <x:f>IF(I4243&lt;70,"Superficial (&lt;70 km)",IF(I4243&lt;=300,"Intermedio (70-300 km)","Profundo (&gt;300 km)"))</x:f>
        <x:v>Superficial (&lt;70 km)</x:v>
      </x:c>
      <x:c r="M4243" s="25" t="str">
        <x:f>IF(J4243&gt;=5,"Sí","No")</x:f>
        <x:v>No</x:v>
      </x:c>
      <x:c r="N4243" s="25" t="str">
        <x:f>IF(J4243&gt;=6,"Sí","No")</x:f>
        <x:v>No</x:v>
      </x:c>
      <x:c r="O4243" s="25" t="str">
        <x:v>Pendiente: asignar con R/sf</x:v>
      </x:c>
    </x:row>
    <x:row r="4244">
      <x:c r="A4244" s="25" t="n">
        <x:v>4243</x:v>
      </x:c>
      <x:c r="B4244" s="26" t="n">
        <x:v>44233.39542824074</x:v>
      </x:c>
      <x:c r="C4244" s="27" t="n">
        <x:f>INT(B4244)</x:f>
        <x:v>44233</x:v>
      </x:c>
      <x:c r="D4244" s="28" t="n">
        <x:f>MOD(B4244,1)</x:f>
        <x:v>0.39542824074305827</x:v>
      </x:c>
      <x:c r="E4244" s="29" t="n">
        <x:f>YEAR(B4244)</x:f>
        <x:v>2021</x:v>
      </x:c>
      <x:c r="F4244" s="29" t="n">
        <x:f>MONTH(B4244)</x:f>
        <x:v>2</x:v>
      </x:c>
      <x:c r="G4244" s="30" t="n">
        <x:v>-32.74</x:v>
      </x:c>
      <x:c r="H4244" s="30" t="n">
        <x:v>-72.12</x:v>
      </x:c>
      <x:c r="I4244" s="29" t="n">
        <x:v>40</x:v>
      </x:c>
      <x:c r="J4244" s="31" t="n">
        <x:v>3.7</x:v>
      </x:c>
      <x:c r="K4244" s="25" t="str">
        <x:f>IF(J4244&gt;=7,"Muy fuerte (&gt;=7)",IF(J4244&gt;=6,"Fuerte (6-6.9)",IF(J4244&gt;=5,"Moderado alto (5-5.9)",IF(J4244&gt;=4,"Moderado (4-4.9)","Menor a 4"))))</x:f>
        <x:v>Menor a 4</x:v>
      </x:c>
      <x:c r="L4244" s="25" t="str">
        <x:f>IF(I4244&lt;70,"Superficial (&lt;70 km)",IF(I4244&lt;=300,"Intermedio (70-300 km)","Profundo (&gt;300 km)"))</x:f>
        <x:v>Superficial (&lt;70 km)</x:v>
      </x:c>
      <x:c r="M4244" s="25" t="str">
        <x:f>IF(J4244&gt;=5,"Sí","No")</x:f>
        <x:v>No</x:v>
      </x:c>
      <x:c r="N4244" s="25" t="str">
        <x:f>IF(J4244&gt;=6,"Sí","No")</x:f>
        <x:v>No</x:v>
      </x:c>
      <x:c r="O4244" s="25" t="str">
        <x:v>Pendiente: asignar con R/sf</x:v>
      </x:c>
    </x:row>
    <x:row r="4245">
      <x:c r="A4245" s="25" t="n">
        <x:v>4244</x:v>
      </x:c>
      <x:c r="B4245" s="26" t="n">
        <x:v>44408.52054398148</x:v>
      </x:c>
      <x:c r="C4245" s="27" t="n">
        <x:f>INT(B4245)</x:f>
        <x:v>44408</x:v>
      </x:c>
      <x:c r="D4245" s="28" t="n">
        <x:f>MOD(B4245,1)</x:f>
        <x:v>0.520543981481751</x:v>
      </x:c>
      <x:c r="E4245" s="29" t="n">
        <x:f>YEAR(B4245)</x:f>
        <x:v>2021</x:v>
      </x:c>
      <x:c r="F4245" s="29" t="n">
        <x:f>MONTH(B4245)</x:f>
        <x:v>7</x:v>
      </x:c>
      <x:c r="G4245" s="30" t="n">
        <x:v>-32.68</x:v>
      </x:c>
      <x:c r="H4245" s="30" t="n">
        <x:v>-71.74</x:v>
      </x:c>
      <x:c r="I4245" s="29" t="n">
        <x:v>34</x:v>
      </x:c>
      <x:c r="J4245" s="31" t="n">
        <x:v>3.7</x:v>
      </x:c>
      <x:c r="K4245" s="25" t="str">
        <x:f>IF(J4245&gt;=7,"Muy fuerte (&gt;=7)",IF(J4245&gt;=6,"Fuerte (6-6.9)",IF(J4245&gt;=5,"Moderado alto (5-5.9)",IF(J4245&gt;=4,"Moderado (4-4.9)","Menor a 4"))))</x:f>
        <x:v>Menor a 4</x:v>
      </x:c>
      <x:c r="L4245" s="25" t="str">
        <x:f>IF(I4245&lt;70,"Superficial (&lt;70 km)",IF(I4245&lt;=300,"Intermedio (70-300 km)","Profundo (&gt;300 km)"))</x:f>
        <x:v>Superficial (&lt;70 km)</x:v>
      </x:c>
      <x:c r="M4245" s="25" t="str">
        <x:f>IF(J4245&gt;=5,"Sí","No")</x:f>
        <x:v>No</x:v>
      </x:c>
      <x:c r="N4245" s="25" t="str">
        <x:f>IF(J4245&gt;=6,"Sí","No")</x:f>
        <x:v>No</x:v>
      </x:c>
      <x:c r="O4245" s="25" t="str">
        <x:v>Pendiente: asignar con R/sf</x:v>
      </x:c>
    </x:row>
    <x:row r="4246">
      <x:c r="A4246" s="25" t="n">
        <x:v>4245</x:v>
      </x:c>
      <x:c r="B4246" s="26" t="n">
        <x:v>44408.523668981485</x:v>
      </x:c>
      <x:c r="C4246" s="27" t="n">
        <x:f>INT(B4246)</x:f>
        <x:v>44408</x:v>
      </x:c>
      <x:c r="D4246" s="28" t="n">
        <x:f>MOD(B4246,1)</x:f>
        <x:v>0.5236689814846613</x:v>
      </x:c>
      <x:c r="E4246" s="29" t="n">
        <x:f>YEAR(B4246)</x:f>
        <x:v>2021</x:v>
      </x:c>
      <x:c r="F4246" s="29" t="n">
        <x:f>MONTH(B4246)</x:f>
        <x:v>7</x:v>
      </x:c>
      <x:c r="G4246" s="30" t="n">
        <x:v>-32.68</x:v>
      </x:c>
      <x:c r="H4246" s="30" t="n">
        <x:v>-71.84</x:v>
      </x:c>
      <x:c r="I4246" s="29" t="n">
        <x:v>42</x:v>
      </x:c>
      <x:c r="J4246" s="31" t="n">
        <x:v>3.1</x:v>
      </x:c>
      <x:c r="K4246" s="25" t="str">
        <x:f>IF(J4246&gt;=7,"Muy fuerte (&gt;=7)",IF(J4246&gt;=6,"Fuerte (6-6.9)",IF(J4246&gt;=5,"Moderado alto (5-5.9)",IF(J4246&gt;=4,"Moderado (4-4.9)","Menor a 4"))))</x:f>
        <x:v>Menor a 4</x:v>
      </x:c>
      <x:c r="L4246" s="25" t="str">
        <x:f>IF(I4246&lt;70,"Superficial (&lt;70 km)",IF(I4246&lt;=300,"Intermedio (70-300 km)","Profundo (&gt;300 km)"))</x:f>
        <x:v>Superficial (&lt;70 km)</x:v>
      </x:c>
      <x:c r="M4246" s="25" t="str">
        <x:f>IF(J4246&gt;=5,"Sí","No")</x:f>
        <x:v>No</x:v>
      </x:c>
      <x:c r="N4246" s="25" t="str">
        <x:f>IF(J4246&gt;=6,"Sí","No")</x:f>
        <x:v>No</x:v>
      </x:c>
      <x:c r="O4246" s="25" t="str">
        <x:v>Pendiente: asignar con R/sf</x:v>
      </x:c>
    </x:row>
    <x:row r="4247">
      <x:c r="A4247" s="25" t="n">
        <x:v>4246</x:v>
      </x:c>
      <x:c r="B4247" s="26" t="n">
        <x:v>44408.532476851855</x:v>
      </x:c>
      <x:c r="C4247" s="27" t="n">
        <x:f>INT(B4247)</x:f>
        <x:v>44408</x:v>
      </x:c>
      <x:c r="D4247" s="28" t="n">
        <x:f>MOD(B4247,1)</x:f>
        <x:v>0.5324768518548808</x:v>
      </x:c>
      <x:c r="E4247" s="29" t="n">
        <x:f>YEAR(B4247)</x:f>
        <x:v>2021</x:v>
      </x:c>
      <x:c r="F4247" s="29" t="n">
        <x:f>MONTH(B4247)</x:f>
        <x:v>7</x:v>
      </x:c>
      <x:c r="G4247" s="30" t="n">
        <x:v>-32.66</x:v>
      </x:c>
      <x:c r="H4247" s="30" t="n">
        <x:v>-71.69</x:v>
      </x:c>
      <x:c r="I4247" s="29" t="n">
        <x:v>36</x:v>
      </x:c>
      <x:c r="J4247" s="31" t="n">
        <x:v>3.2</x:v>
      </x:c>
      <x:c r="K4247" s="25" t="str">
        <x:f>IF(J4247&gt;=7,"Muy fuerte (&gt;=7)",IF(J4247&gt;=6,"Fuerte (6-6.9)",IF(J4247&gt;=5,"Moderado alto (5-5.9)",IF(J4247&gt;=4,"Moderado (4-4.9)","Menor a 4"))))</x:f>
        <x:v>Menor a 4</x:v>
      </x:c>
      <x:c r="L4247" s="25" t="str">
        <x:f>IF(I4247&lt;70,"Superficial (&lt;70 km)",IF(I4247&lt;=300,"Intermedio (70-300 km)","Profundo (&gt;300 km)"))</x:f>
        <x:v>Superficial (&lt;70 km)</x:v>
      </x:c>
      <x:c r="M4247" s="25" t="str">
        <x:f>IF(J4247&gt;=5,"Sí","No")</x:f>
        <x:v>No</x:v>
      </x:c>
      <x:c r="N4247" s="25" t="str">
        <x:f>IF(J4247&gt;=6,"Sí","No")</x:f>
        <x:v>No</x:v>
      </x:c>
      <x:c r="O4247" s="25" t="str">
        <x:v>Pendiente: asignar con R/sf</x:v>
      </x:c>
    </x:row>
    <x:row r="4248">
      <x:c r="A4248" s="25" t="n">
        <x:v>4247</x:v>
      </x:c>
      <x:c r="B4248" s="26" t="n">
        <x:v>44588.90898148148</x:v>
      </x:c>
      <x:c r="C4248" s="27" t="n">
        <x:f>INT(B4248)</x:f>
        <x:v>44588</x:v>
      </x:c>
      <x:c r="D4248" s="28" t="n">
        <x:f>MOD(B4248,1)</x:f>
        <x:v>0.9089814814797137</x:v>
      </x:c>
      <x:c r="E4248" s="29" t="n">
        <x:f>YEAR(B4248)</x:f>
        <x:v>2022</x:v>
      </x:c>
      <x:c r="F4248" s="29" t="n">
        <x:f>MONTH(B4248)</x:f>
        <x:v>1</x:v>
      </x:c>
      <x:c r="G4248" s="30" t="n">
        <x:v>-32.63</x:v>
      </x:c>
      <x:c r="H4248" s="30" t="n">
        <x:v>-71.56</x:v>
      </x:c>
      <x:c r="I4248" s="29" t="n">
        <x:v>34</x:v>
      </x:c>
      <x:c r="J4248" s="31" t="n">
        <x:v>3.7</x:v>
      </x:c>
      <x:c r="K4248" s="25" t="str">
        <x:f>IF(J4248&gt;=7,"Muy fuerte (&gt;=7)",IF(J4248&gt;=6,"Fuerte (6-6.9)",IF(J4248&gt;=5,"Moderado alto (5-5.9)",IF(J4248&gt;=4,"Moderado (4-4.9)","Menor a 4"))))</x:f>
        <x:v>Menor a 4</x:v>
      </x:c>
      <x:c r="L4248" s="25" t="str">
        <x:f>IF(I4248&lt;70,"Superficial (&lt;70 km)",IF(I4248&lt;=300,"Intermedio (70-300 km)","Profundo (&gt;300 km)"))</x:f>
        <x:v>Superficial (&lt;70 km)</x:v>
      </x:c>
      <x:c r="M4248" s="25" t="str">
        <x:f>IF(J4248&gt;=5,"Sí","No")</x:f>
        <x:v>No</x:v>
      </x:c>
      <x:c r="N4248" s="25" t="str">
        <x:f>IF(J4248&gt;=6,"Sí","No")</x:f>
        <x:v>No</x:v>
      </x:c>
      <x:c r="O4248" s="25" t="str">
        <x:v>Pendiente: asignar con R/sf</x:v>
      </x:c>
    </x:row>
    <x:row r="4249">
      <x:c r="A4249" s="25" t="n">
        <x:v>4248</x:v>
      </x:c>
      <x:c r="B4249" s="26" t="n">
        <x:v>44690.81707175926</x:v>
      </x:c>
      <x:c r="C4249" s="27" t="n">
        <x:f>INT(B4249)</x:f>
        <x:v>44690</x:v>
      </x:c>
      <x:c r="D4249" s="28" t="n">
        <x:f>MOD(B4249,1)</x:f>
        <x:v>0.8170717592583969</x:v>
      </x:c>
      <x:c r="E4249" s="29" t="n">
        <x:f>YEAR(B4249)</x:f>
        <x:v>2022</x:v>
      </x:c>
      <x:c r="F4249" s="29" t="n">
        <x:f>MONTH(B4249)</x:f>
        <x:v>5</x:v>
      </x:c>
      <x:c r="G4249" s="30" t="n">
        <x:v>-32.4</x:v>
      </x:c>
      <x:c r="H4249" s="30" t="n">
        <x:v>-71.34</x:v>
      </x:c>
      <x:c r="I4249" s="29" t="n">
        <x:v>56</x:v>
      </x:c>
      <x:c r="J4249" s="31" t="n">
        <x:v>3</x:v>
      </x:c>
      <x:c r="K4249" s="25" t="str">
        <x:f>IF(J4249&gt;=7,"Muy fuerte (&gt;=7)",IF(J4249&gt;=6,"Fuerte (6-6.9)",IF(J4249&gt;=5,"Moderado alto (5-5.9)",IF(J4249&gt;=4,"Moderado (4-4.9)","Menor a 4"))))</x:f>
        <x:v>Menor a 4</x:v>
      </x:c>
      <x:c r="L4249" s="25" t="str">
        <x:f>IF(I4249&lt;70,"Superficial (&lt;70 km)",IF(I4249&lt;=300,"Intermedio (70-300 km)","Profundo (&gt;300 km)"))</x:f>
        <x:v>Superficial (&lt;70 km)</x:v>
      </x:c>
      <x:c r="M4249" s="25" t="str">
        <x:f>IF(J4249&gt;=5,"Sí","No")</x:f>
        <x:v>No</x:v>
      </x:c>
      <x:c r="N4249" s="25" t="str">
        <x:f>IF(J4249&gt;=6,"Sí","No")</x:f>
        <x:v>No</x:v>
      </x:c>
      <x:c r="O4249" s="25" t="str">
        <x:v>Pendiente: asignar con R/sf</x:v>
      </x:c>
    </x:row>
    <x:row r="4250">
      <x:c r="A4250" s="25" t="n">
        <x:v>4249</x:v>
      </x:c>
      <x:c r="B4250" s="26" t="n">
        <x:v>44707.34712962963</x:v>
      </x:c>
      <x:c r="C4250" s="27" t="n">
        <x:f>INT(B4250)</x:f>
        <x:v>44707</x:v>
      </x:c>
      <x:c r="D4250" s="28" t="n">
        <x:f>MOD(B4250,1)</x:f>
        <x:v>0.3471296296265791</x:v>
      </x:c>
      <x:c r="E4250" s="29" t="n">
        <x:f>YEAR(B4250)</x:f>
        <x:v>2022</x:v>
      </x:c>
      <x:c r="F4250" s="29" t="n">
        <x:f>MONTH(B4250)</x:f>
        <x:v>5</x:v>
      </x:c>
      <x:c r="G4250" s="30" t="n">
        <x:v>-32.42</x:v>
      </x:c>
      <x:c r="H4250" s="30" t="n">
        <x:v>-71.68</x:v>
      </x:c>
      <x:c r="I4250" s="29" t="n">
        <x:v>36</x:v>
      </x:c>
      <x:c r="J4250" s="31" t="n">
        <x:v>3</x:v>
      </x:c>
      <x:c r="K4250" s="25" t="str">
        <x:f>IF(J4250&gt;=7,"Muy fuerte (&gt;=7)",IF(J4250&gt;=6,"Fuerte (6-6.9)",IF(J4250&gt;=5,"Moderado alto (5-5.9)",IF(J4250&gt;=4,"Moderado (4-4.9)","Menor a 4"))))</x:f>
        <x:v>Menor a 4</x:v>
      </x:c>
      <x:c r="L4250" s="25" t="str">
        <x:f>IF(I4250&lt;70,"Superficial (&lt;70 km)",IF(I4250&lt;=300,"Intermedio (70-300 km)","Profundo (&gt;300 km)"))</x:f>
        <x:v>Superficial (&lt;70 km)</x:v>
      </x:c>
      <x:c r="M4250" s="25" t="str">
        <x:f>IF(J4250&gt;=5,"Sí","No")</x:f>
        <x:v>No</x:v>
      </x:c>
      <x:c r="N4250" s="25" t="str">
        <x:f>IF(J4250&gt;=6,"Sí","No")</x:f>
        <x:v>No</x:v>
      </x:c>
      <x:c r="O4250" s="25" t="str">
        <x:v>Pendiente: asignar con R/sf</x:v>
      </x:c>
    </x:row>
    <x:row r="4251">
      <x:c r="A4251" s="25" t="n">
        <x:v>4250</x:v>
      </x:c>
      <x:c r="B4251" s="26" t="n">
        <x:v>44681.11295138889</x:v>
      </x:c>
      <x:c r="C4251" s="27" t="n">
        <x:f>INT(B4251)</x:f>
        <x:v>44681</x:v>
      </x:c>
      <x:c r="D4251" s="28" t="n">
        <x:f>MOD(B4251,1)</x:f>
        <x:v>0.11295138888817746</x:v>
      </x:c>
      <x:c r="E4251" s="29" t="n">
        <x:f>YEAR(B4251)</x:f>
        <x:v>2022</x:v>
      </x:c>
      <x:c r="F4251" s="29" t="n">
        <x:f>MONTH(B4251)</x:f>
        <x:v>4</x:v>
      </x:c>
      <x:c r="G4251" s="30" t="n">
        <x:v>-35.02</x:v>
      </x:c>
      <x:c r="H4251" s="30" t="n">
        <x:v>-72.14</x:v>
      </x:c>
      <x:c r="I4251" s="29" t="n">
        <x:v>38</x:v>
      </x:c>
      <x:c r="J4251" s="31" t="n">
        <x:v>3.3</x:v>
      </x:c>
      <x:c r="K4251" s="25" t="str">
        <x:f>IF(J4251&gt;=7,"Muy fuerte (&gt;=7)",IF(J4251&gt;=6,"Fuerte (6-6.9)",IF(J4251&gt;=5,"Moderado alto (5-5.9)",IF(J4251&gt;=4,"Moderado (4-4.9)","Menor a 4"))))</x:f>
        <x:v>Menor a 4</x:v>
      </x:c>
      <x:c r="L4251" s="25" t="str">
        <x:f>IF(I4251&lt;70,"Superficial (&lt;70 km)",IF(I4251&lt;=300,"Intermedio (70-300 km)","Profundo (&gt;300 km)"))</x:f>
        <x:v>Superficial (&lt;70 km)</x:v>
      </x:c>
      <x:c r="M4251" s="25" t="str">
        <x:f>IF(J4251&gt;=5,"Sí","No")</x:f>
        <x:v>No</x:v>
      </x:c>
      <x:c r="N4251" s="25" t="str">
        <x:f>IF(J4251&gt;=6,"Sí","No")</x:f>
        <x:v>No</x:v>
      </x:c>
      <x:c r="O4251" s="25" t="str">
        <x:v>Pendiente: asignar con R/sf</x:v>
      </x:c>
    </x:row>
    <x:row r="4252">
      <x:c r="A4252" s="25" t="n">
        <x:v>4251</x:v>
      </x:c>
      <x:c r="B4252" s="26" t="n">
        <x:v>44573.42982638889</x:v>
      </x:c>
      <x:c r="C4252" s="27" t="n">
        <x:f>INT(B4252)</x:f>
        <x:v>44573</x:v>
      </x:c>
      <x:c r="D4252" s="28" t="n">
        <x:f>MOD(B4252,1)</x:f>
        <x:v>0.429826388892252</x:v>
      </x:c>
      <x:c r="E4252" s="29" t="n">
        <x:f>YEAR(B4252)</x:f>
        <x:v>2022</x:v>
      </x:c>
      <x:c r="F4252" s="29" t="n">
        <x:f>MONTH(B4252)</x:f>
        <x:v>1</x:v>
      </x:c>
      <x:c r="G4252" s="30" t="n">
        <x:v>-21.31</x:v>
      </x:c>
      <x:c r="H4252" s="30" t="n">
        <x:v>-69.79</x:v>
      </x:c>
      <x:c r="I4252" s="29" t="n">
        <x:v>44</x:v>
      </x:c>
      <x:c r="J4252" s="31" t="n">
        <x:v>4.3</x:v>
      </x:c>
      <x:c r="K4252" s="25" t="str">
        <x:f>IF(J4252&gt;=7,"Muy fuerte (&gt;=7)",IF(J4252&gt;=6,"Fuerte (6-6.9)",IF(J4252&gt;=5,"Moderado alto (5-5.9)",IF(J4252&gt;=4,"Moderado (4-4.9)","Menor a 4"))))</x:f>
        <x:v>Moderado (4-4.9)</x:v>
      </x:c>
      <x:c r="L4252" s="25" t="str">
        <x:f>IF(I4252&lt;70,"Superficial (&lt;70 km)",IF(I4252&lt;=300,"Intermedio (70-300 km)","Profundo (&gt;300 km)"))</x:f>
        <x:v>Superficial (&lt;70 km)</x:v>
      </x:c>
      <x:c r="M4252" s="25" t="str">
        <x:f>IF(J4252&gt;=5,"Sí","No")</x:f>
        <x:v>No</x:v>
      </x:c>
      <x:c r="N4252" s="25" t="str">
        <x:f>IF(J4252&gt;=6,"Sí","No")</x:f>
        <x:v>No</x:v>
      </x:c>
      <x:c r="O4252" s="25" t="str">
        <x:v>Pendiente: asignar con R/sf</x:v>
      </x:c>
    </x:row>
    <x:row r="4253">
      <x:c r="A4253" s="25" t="n">
        <x:v>4252</x:v>
      </x:c>
      <x:c r="B4253" s="26" t="n">
        <x:v>44715.63920138889</x:v>
      </x:c>
      <x:c r="C4253" s="27" t="n">
        <x:f>INT(B4253)</x:f>
        <x:v>44715</x:v>
      </x:c>
      <x:c r="D4253" s="28" t="n">
        <x:f>MOD(B4253,1)</x:f>
        <x:v>0.6392013888907968</x:v>
      </x:c>
      <x:c r="E4253" s="29" t="n">
        <x:f>YEAR(B4253)</x:f>
        <x:v>2022</x:v>
      </x:c>
      <x:c r="F4253" s="29" t="n">
        <x:f>MONTH(B4253)</x:f>
        <x:v>6</x:v>
      </x:c>
      <x:c r="G4253" s="30" t="n">
        <x:v>-21.16</x:v>
      </x:c>
      <x:c r="H4253" s="30" t="n">
        <x:v>-70.06</x:v>
      </x:c>
      <x:c r="I4253" s="29" t="n">
        <x:v>77</x:v>
      </x:c>
      <x:c r="J4253" s="31" t="n">
        <x:v>4.5</x:v>
      </x:c>
      <x:c r="K4253" s="25" t="str">
        <x:f>IF(J4253&gt;=7,"Muy fuerte (&gt;=7)",IF(J4253&gt;=6,"Fuerte (6-6.9)",IF(J4253&gt;=5,"Moderado alto (5-5.9)",IF(J4253&gt;=4,"Moderado (4-4.9)","Menor a 4"))))</x:f>
        <x:v>Moderado (4-4.9)</x:v>
      </x:c>
      <x:c r="L4253" s="25" t="str">
        <x:f>IF(I4253&lt;70,"Superficial (&lt;70 km)",IF(I4253&lt;=300,"Intermedio (70-300 km)","Profundo (&gt;300 km)"))</x:f>
        <x:v>Intermedio (70-300 km)</x:v>
      </x:c>
      <x:c r="M4253" s="25" t="str">
        <x:f>IF(J4253&gt;=5,"Sí","No")</x:f>
        <x:v>No</x:v>
      </x:c>
      <x:c r="N4253" s="25" t="str">
        <x:f>IF(J4253&gt;=6,"Sí","No")</x:f>
        <x:v>No</x:v>
      </x:c>
      <x:c r="O4253" s="25" t="str">
        <x:v>Pendiente: asignar con R/sf</x:v>
      </x:c>
    </x:row>
    <x:row r="4254">
      <x:c r="A4254" s="25" t="n">
        <x:v>4253</x:v>
      </x:c>
      <x:c r="B4254" s="26" t="n">
        <x:v>44751.684641203705</x:v>
      </x:c>
      <x:c r="C4254" s="27" t="n">
        <x:f>INT(B4254)</x:f>
        <x:v>44751</x:v>
      </x:c>
      <x:c r="D4254" s="28" t="n">
        <x:f>MOD(B4254,1)</x:f>
        <x:v>0.684641203704814</x:v>
      </x:c>
      <x:c r="E4254" s="29" t="n">
        <x:f>YEAR(B4254)</x:f>
        <x:v>2022</x:v>
      </x:c>
      <x:c r="F4254" s="29" t="n">
        <x:f>MONTH(B4254)</x:f>
        <x:v>7</x:v>
      </x:c>
      <x:c r="G4254" s="30" t="n">
        <x:v>-21.15</x:v>
      </x:c>
      <x:c r="H4254" s="30" t="n">
        <x:v>-70.17</x:v>
      </x:c>
      <x:c r="I4254" s="29" t="n">
        <x:v>42</x:v>
      </x:c>
      <x:c r="J4254" s="31" t="n">
        <x:v>4</x:v>
      </x:c>
      <x:c r="K4254" s="25" t="str">
        <x:f>IF(J4254&gt;=7,"Muy fuerte (&gt;=7)",IF(J4254&gt;=6,"Fuerte (6-6.9)",IF(J4254&gt;=5,"Moderado alto (5-5.9)",IF(J4254&gt;=4,"Moderado (4-4.9)","Menor a 4"))))</x:f>
        <x:v>Moderado (4-4.9)</x:v>
      </x:c>
      <x:c r="L4254" s="25" t="str">
        <x:f>IF(I4254&lt;70,"Superficial (&lt;70 km)",IF(I4254&lt;=300,"Intermedio (70-300 km)","Profundo (&gt;300 km)"))</x:f>
        <x:v>Superficial (&lt;70 km)</x:v>
      </x:c>
      <x:c r="M4254" s="25" t="str">
        <x:f>IF(J4254&gt;=5,"Sí","No")</x:f>
        <x:v>No</x:v>
      </x:c>
      <x:c r="N4254" s="25" t="str">
        <x:f>IF(J4254&gt;=6,"Sí","No")</x:f>
        <x:v>No</x:v>
      </x:c>
      <x:c r="O4254" s="25" t="str">
        <x:v>Pendiente: asignar con R/sf</x:v>
      </x:c>
    </x:row>
    <x:row r="4255">
      <x:c r="A4255" s="25" t="n">
        <x:v>4254</x:v>
      </x:c>
      <x:c r="B4255" s="26" t="n">
        <x:v>45315.33692129629</x:v>
      </x:c>
      <x:c r="C4255" s="27" t="n">
        <x:f>INT(B4255)</x:f>
        <x:v>45315</x:v>
      </x:c>
      <x:c r="D4255" s="28" t="n">
        <x:f>MOD(B4255,1)</x:f>
        <x:v>0.3369212962934398</x:v>
      </x:c>
      <x:c r="E4255" s="29" t="n">
        <x:f>YEAR(B4255)</x:f>
        <x:v>2024</x:v>
      </x:c>
      <x:c r="F4255" s="29" t="n">
        <x:f>MONTH(B4255)</x:f>
        <x:v>1</x:v>
      </x:c>
      <x:c r="G4255" s="30" t="n">
        <x:v>-22.17</x:v>
      </x:c>
      <x:c r="H4255" s="30" t="n">
        <x:v>-68.77</x:v>
      </x:c>
      <x:c r="I4255" s="29" t="n">
        <x:v>132</x:v>
      </x:c>
      <x:c r="J4255" s="31" t="n">
        <x:v>5.4</x:v>
      </x:c>
      <x:c r="K4255" s="25" t="str">
        <x:f>IF(J4255&gt;=7,"Muy fuerte (&gt;=7)",IF(J4255&gt;=6,"Fuerte (6-6.9)",IF(J4255&gt;=5,"Moderado alto (5-5.9)",IF(J4255&gt;=4,"Moderado (4-4.9)","Menor a 4"))))</x:f>
        <x:v>Moderado alto (5-5.9)</x:v>
      </x:c>
      <x:c r="L4255" s="25" t="str">
        <x:f>IF(I4255&lt;70,"Superficial (&lt;70 km)",IF(I4255&lt;=300,"Intermedio (70-300 km)","Profundo (&gt;300 km)"))</x:f>
        <x:v>Intermedio (70-300 km)</x:v>
      </x:c>
      <x:c r="M4255" s="25" t="str">
        <x:f>IF(J4255&gt;=5,"Sí","No")</x:f>
        <x:v>Sí</x:v>
      </x:c>
      <x:c r="N4255" s="25" t="str">
        <x:f>IF(J4255&gt;=6,"Sí","No")</x:f>
        <x:v>No</x:v>
      </x:c>
      <x:c r="O4255" s="25" t="str">
        <x:v>Pendiente: asignar con R/sf</x:v>
      </x:c>
    </x:row>
    <x:row r="4256">
      <x:c r="A4256" s="25" t="n">
        <x:v>4255</x:v>
      </x:c>
      <x:c r="B4256" s="26" t="n">
        <x:v>44759.59711805556</x:v>
      </x:c>
      <x:c r="C4256" s="27" t="n">
        <x:f>INT(B4256)</x:f>
        <x:v>44759</x:v>
      </x:c>
      <x:c r="D4256" s="28" t="n">
        <x:f>MOD(B4256,1)</x:f>
        <x:v>0.5971180555570754</x:v>
      </x:c>
      <x:c r="E4256" s="29" t="n">
        <x:f>YEAR(B4256)</x:f>
        <x:v>2022</x:v>
      </x:c>
      <x:c r="F4256" s="29" t="n">
        <x:f>MONTH(B4256)</x:f>
        <x:v>7</x:v>
      </x:c>
      <x:c r="G4256" s="30" t="n">
        <x:v>-37.65</x:v>
      </x:c>
      <x:c r="H4256" s="30" t="n">
        <x:v>-73.99</x:v>
      </x:c>
      <x:c r="I4256" s="29" t="n">
        <x:v>40</x:v>
      </x:c>
      <x:c r="J4256" s="31" t="n">
        <x:v>3.7</x:v>
      </x:c>
      <x:c r="K4256" s="25" t="str">
        <x:f>IF(J4256&gt;=7,"Muy fuerte (&gt;=7)",IF(J4256&gt;=6,"Fuerte (6-6.9)",IF(J4256&gt;=5,"Moderado alto (5-5.9)",IF(J4256&gt;=4,"Moderado (4-4.9)","Menor a 4"))))</x:f>
        <x:v>Menor a 4</x:v>
      </x:c>
      <x:c r="L4256" s="25" t="str">
        <x:f>IF(I4256&lt;70,"Superficial (&lt;70 km)",IF(I4256&lt;=300,"Intermedio (70-300 km)","Profundo (&gt;300 km)"))</x:f>
        <x:v>Superficial (&lt;70 km)</x:v>
      </x:c>
      <x:c r="M4256" s="25" t="str">
        <x:f>IF(J4256&gt;=5,"Sí","No")</x:f>
        <x:v>No</x:v>
      </x:c>
      <x:c r="N4256" s="25" t="str">
        <x:f>IF(J4256&gt;=6,"Sí","No")</x:f>
        <x:v>No</x:v>
      </x:c>
      <x:c r="O4256" s="25" t="str">
        <x:v>Pendiente: asignar con R/sf</x:v>
      </x:c>
    </x:row>
    <x:row r="4257">
      <x:c r="A4257" s="25" t="n">
        <x:v>4256</x:v>
      </x:c>
      <x:c r="B4257" s="26" t="n">
        <x:v>44759.68760416667</x:v>
      </x:c>
      <x:c r="C4257" s="27" t="n">
        <x:f>INT(B4257)</x:f>
        <x:v>44759</x:v>
      </x:c>
      <x:c r="D4257" s="28" t="n">
        <x:f>MOD(B4257,1)</x:f>
        <x:v>0.687604166669189</x:v>
      </x:c>
      <x:c r="E4257" s="29" t="n">
        <x:f>YEAR(B4257)</x:f>
        <x:v>2022</x:v>
      </x:c>
      <x:c r="F4257" s="29" t="n">
        <x:f>MONTH(B4257)</x:f>
        <x:v>7</x:v>
      </x:c>
      <x:c r="G4257" s="30" t="n">
        <x:v>-37.65</x:v>
      </x:c>
      <x:c r="H4257" s="30" t="n">
        <x:v>-73.91</x:v>
      </x:c>
      <x:c r="I4257" s="29" t="n">
        <x:v>36</x:v>
      </x:c>
      <x:c r="J4257" s="31" t="n">
        <x:v>3.3</x:v>
      </x:c>
      <x:c r="K4257" s="25" t="str">
        <x:f>IF(J4257&gt;=7,"Muy fuerte (&gt;=7)",IF(J4257&gt;=6,"Fuerte (6-6.9)",IF(J4257&gt;=5,"Moderado alto (5-5.9)",IF(J4257&gt;=4,"Moderado (4-4.9)","Menor a 4"))))</x:f>
        <x:v>Menor a 4</x:v>
      </x:c>
      <x:c r="L4257" s="25" t="str">
        <x:f>IF(I4257&lt;70,"Superficial (&lt;70 km)",IF(I4257&lt;=300,"Intermedio (70-300 km)","Profundo (&gt;300 km)"))</x:f>
        <x:v>Superficial (&lt;70 km)</x:v>
      </x:c>
      <x:c r="M4257" s="25" t="str">
        <x:f>IF(J4257&gt;=5,"Sí","No")</x:f>
        <x:v>No</x:v>
      </x:c>
      <x:c r="N4257" s="25" t="str">
        <x:f>IF(J4257&gt;=6,"Sí","No")</x:f>
        <x:v>No</x:v>
      </x:c>
      <x:c r="O4257" s="25" t="str">
        <x:v>Pendiente: asignar con R/sf</x:v>
      </x:c>
    </x:row>
    <x:row r="4258">
      <x:c r="A4258" s="25" t="n">
        <x:v>4257</x:v>
      </x:c>
      <x:c r="B4258" s="26" t="n">
        <x:v>44878.10802083334</x:v>
      </x:c>
      <x:c r="C4258" s="27" t="n">
        <x:f>INT(B4258)</x:f>
        <x:v>44878</x:v>
      </x:c>
      <x:c r="D4258" s="28" t="n">
        <x:f>MOD(B4258,1)</x:f>
        <x:v>0.1080208333369228</x:v>
      </x:c>
      <x:c r="E4258" s="29" t="n">
        <x:f>YEAR(B4258)</x:f>
        <x:v>2022</x:v>
      </x:c>
      <x:c r="F4258" s="29" t="n">
        <x:f>MONTH(B4258)</x:f>
        <x:v>11</x:v>
      </x:c>
      <x:c r="G4258" s="30" t="n">
        <x:v>-37.52</x:v>
      </x:c>
      <x:c r="H4258" s="30" t="n">
        <x:v>-73.81</x:v>
      </x:c>
      <x:c r="I4258" s="29" t="n">
        <x:v>20</x:v>
      </x:c>
      <x:c r="J4258" s="31" t="n">
        <x:v>3.4</x:v>
      </x:c>
      <x:c r="K4258" s="25" t="str">
        <x:f>IF(J4258&gt;=7,"Muy fuerte (&gt;=7)",IF(J4258&gt;=6,"Fuerte (6-6.9)",IF(J4258&gt;=5,"Moderado alto (5-5.9)",IF(J4258&gt;=4,"Moderado (4-4.9)","Menor a 4"))))</x:f>
        <x:v>Menor a 4</x:v>
      </x:c>
      <x:c r="L4258" s="25" t="str">
        <x:f>IF(I4258&lt;70,"Superficial (&lt;70 km)",IF(I4258&lt;=300,"Intermedio (70-300 km)","Profundo (&gt;300 km)"))</x:f>
        <x:v>Superficial (&lt;70 km)</x:v>
      </x:c>
      <x:c r="M4258" s="25" t="str">
        <x:f>IF(J4258&gt;=5,"Sí","No")</x:f>
        <x:v>No</x:v>
      </x:c>
      <x:c r="N4258" s="25" t="str">
        <x:f>IF(J4258&gt;=6,"Sí","No")</x:f>
        <x:v>No</x:v>
      </x:c>
      <x:c r="O4258" s="25" t="str">
        <x:v>Pendiente: asignar con R/sf</x:v>
      </x:c>
    </x:row>
    <x:row r="4259">
      <x:c r="A4259" s="25" t="n">
        <x:v>4258</x:v>
      </x:c>
      <x:c r="B4259" s="26" t="n">
        <x:v>44878.64306712963</x:v>
      </x:c>
      <x:c r="C4259" s="27" t="n">
        <x:f>INT(B4259)</x:f>
        <x:v>44878</x:v>
      </x:c>
      <x:c r="D4259" s="28" t="n">
        <x:f>MOD(B4259,1)</x:f>
        <x:v>0.643067129632982</x:v>
      </x:c>
      <x:c r="E4259" s="29" t="n">
        <x:f>YEAR(B4259)</x:f>
        <x:v>2022</x:v>
      </x:c>
      <x:c r="F4259" s="29" t="n">
        <x:f>MONTH(B4259)</x:f>
        <x:v>11</x:v>
      </x:c>
      <x:c r="G4259" s="30" t="n">
        <x:v>-37.59</x:v>
      </x:c>
      <x:c r="H4259" s="30" t="n">
        <x:v>-73.68</x:v>
      </x:c>
      <x:c r="I4259" s="29" t="n">
        <x:v>4</x:v>
      </x:c>
      <x:c r="J4259" s="31" t="n">
        <x:v>3.8</x:v>
      </x:c>
      <x:c r="K4259" s="25" t="str">
        <x:f>IF(J4259&gt;=7,"Muy fuerte (&gt;=7)",IF(J4259&gt;=6,"Fuerte (6-6.9)",IF(J4259&gt;=5,"Moderado alto (5-5.9)",IF(J4259&gt;=4,"Moderado (4-4.9)","Menor a 4"))))</x:f>
        <x:v>Menor a 4</x:v>
      </x:c>
      <x:c r="L4259" s="25" t="str">
        <x:f>IF(I4259&lt;70,"Superficial (&lt;70 km)",IF(I4259&lt;=300,"Intermedio (70-300 km)","Profundo (&gt;300 km)"))</x:f>
        <x:v>Superficial (&lt;70 km)</x:v>
      </x:c>
      <x:c r="M4259" s="25" t="str">
        <x:f>IF(J4259&gt;=5,"Sí","No")</x:f>
        <x:v>No</x:v>
      </x:c>
      <x:c r="N4259" s="25" t="str">
        <x:f>IF(J4259&gt;=6,"Sí","No")</x:f>
        <x:v>No</x:v>
      </x:c>
      <x:c r="O4259" s="25" t="str">
        <x:v>Pendiente: asignar con R/sf</x:v>
      </x:c>
    </x:row>
    <x:row r="4260">
      <x:c r="A4260" s="25" t="n">
        <x:v>4259</x:v>
      </x:c>
      <x:c r="B4260" s="26" t="n">
        <x:v>44878.568125</x:v>
      </x:c>
      <x:c r="C4260" s="27" t="n">
        <x:f>INT(B4260)</x:f>
        <x:v>44878</x:v>
      </x:c>
      <x:c r="D4260" s="28" t="n">
        <x:f>MOD(B4260,1)</x:f>
        <x:v>0.5681249999979627</x:v>
      </x:c>
      <x:c r="E4260" s="29" t="n">
        <x:f>YEAR(B4260)</x:f>
        <x:v>2022</x:v>
      </x:c>
      <x:c r="F4260" s="29" t="n">
        <x:f>MONTH(B4260)</x:f>
        <x:v>11</x:v>
      </x:c>
      <x:c r="G4260" s="30" t="n">
        <x:v>-37.54</x:v>
      </x:c>
      <x:c r="H4260" s="30" t="n">
        <x:v>-73.61</x:v>
      </x:c>
      <x:c r="I4260" s="29" t="n">
        <x:v>18</x:v>
      </x:c>
      <x:c r="J4260" s="31" t="n">
        <x:v>3.6</x:v>
      </x:c>
      <x:c r="K4260" s="25" t="str">
        <x:f>IF(J4260&gt;=7,"Muy fuerte (&gt;=7)",IF(J4260&gt;=6,"Fuerte (6-6.9)",IF(J4260&gt;=5,"Moderado alto (5-5.9)",IF(J4260&gt;=4,"Moderado (4-4.9)","Menor a 4"))))</x:f>
        <x:v>Menor a 4</x:v>
      </x:c>
      <x:c r="L4260" s="25" t="str">
        <x:f>IF(I4260&lt;70,"Superficial (&lt;70 km)",IF(I4260&lt;=300,"Intermedio (70-300 km)","Profundo (&gt;300 km)"))</x:f>
        <x:v>Superficial (&lt;70 km)</x:v>
      </x:c>
      <x:c r="M4260" s="25" t="str">
        <x:f>IF(J4260&gt;=5,"Sí","No")</x:f>
        <x:v>No</x:v>
      </x:c>
      <x:c r="N4260" s="25" t="str">
        <x:f>IF(J4260&gt;=6,"Sí","No")</x:f>
        <x:v>No</x:v>
      </x:c>
      <x:c r="O4260" s="25" t="str">
        <x:v>Pendiente: asignar con R/sf</x:v>
      </x:c>
    </x:row>
    <x:row r="4261">
      <x:c r="A4261" s="25" t="n">
        <x:v>4260</x:v>
      </x:c>
      <x:c r="B4261" s="26" t="n">
        <x:v>44879.36336805556</x:v>
      </x:c>
      <x:c r="C4261" s="27" t="n">
        <x:f>INT(B4261)</x:f>
        <x:v>44879</x:v>
      </x:c>
      <x:c r="D4261" s="28" t="n">
        <x:f>MOD(B4261,1)</x:f>
        <x:v>0.3633680555576575</x:v>
      </x:c>
      <x:c r="E4261" s="29" t="n">
        <x:f>YEAR(B4261)</x:f>
        <x:v>2022</x:v>
      </x:c>
      <x:c r="F4261" s="29" t="n">
        <x:f>MONTH(B4261)</x:f>
        <x:v>11</x:v>
      </x:c>
      <x:c r="G4261" s="30" t="n">
        <x:v>-37.58</x:v>
      </x:c>
      <x:c r="H4261" s="30" t="n">
        <x:v>-73.62</x:v>
      </x:c>
      <x:c r="I4261" s="29" t="n">
        <x:v>14</x:v>
      </x:c>
      <x:c r="J4261" s="31" t="n">
        <x:v>3</x:v>
      </x:c>
      <x:c r="K4261" s="25" t="str">
        <x:f>IF(J4261&gt;=7,"Muy fuerte (&gt;=7)",IF(J4261&gt;=6,"Fuerte (6-6.9)",IF(J4261&gt;=5,"Moderado alto (5-5.9)",IF(J4261&gt;=4,"Moderado (4-4.9)","Menor a 4"))))</x:f>
        <x:v>Menor a 4</x:v>
      </x:c>
      <x:c r="L4261" s="25" t="str">
        <x:f>IF(I4261&lt;70,"Superficial (&lt;70 km)",IF(I4261&lt;=300,"Intermedio (70-300 km)","Profundo (&gt;300 km)"))</x:f>
        <x:v>Superficial (&lt;70 km)</x:v>
      </x:c>
      <x:c r="M4261" s="25" t="str">
        <x:f>IF(J4261&gt;=5,"Sí","No")</x:f>
        <x:v>No</x:v>
      </x:c>
      <x:c r="N4261" s="25" t="str">
        <x:f>IF(J4261&gt;=6,"Sí","No")</x:f>
        <x:v>No</x:v>
      </x:c>
      <x:c r="O4261" s="25" t="str">
        <x:v>Pendiente: asignar con R/sf</x:v>
      </x:c>
    </x:row>
    <x:row r="4262">
      <x:c r="A4262" s="25" t="n">
        <x:v>4261</x:v>
      </x:c>
      <x:c r="B4262" s="26" t="n">
        <x:v>45276.92759259259</x:v>
      </x:c>
      <x:c r="C4262" s="27" t="n">
        <x:f>INT(B4262)</x:f>
        <x:v>45276</x:v>
      </x:c>
      <x:c r="D4262" s="28" t="n">
        <x:f>MOD(B4262,1)</x:f>
        <x:v>0.9275925925903721</x:v>
      </x:c>
      <x:c r="E4262" s="29" t="n">
        <x:f>YEAR(B4262)</x:f>
        <x:v>2023</x:v>
      </x:c>
      <x:c r="F4262" s="29" t="n">
        <x:f>MONTH(B4262)</x:f>
        <x:v>12</x:v>
      </x:c>
      <x:c r="G4262" s="30" t="n">
        <x:v>-37.05</x:v>
      </x:c>
      <x:c r="H4262" s="30" t="n">
        <x:v>-74.23</x:v>
      </x:c>
      <x:c r="I4262" s="29" t="n">
        <x:v>16</x:v>
      </x:c>
      <x:c r="J4262" s="31" t="n">
        <x:v>4.6</x:v>
      </x:c>
      <x:c r="K4262" s="25" t="str">
        <x:f>IF(J4262&gt;=7,"Muy fuerte (&gt;=7)",IF(J4262&gt;=6,"Fuerte (6-6.9)",IF(J4262&gt;=5,"Moderado alto (5-5.9)",IF(J4262&gt;=4,"Moderado (4-4.9)","Menor a 4"))))</x:f>
        <x:v>Moderado (4-4.9)</x:v>
      </x:c>
      <x:c r="L4262" s="25" t="str">
        <x:f>IF(I4262&lt;70,"Superficial (&lt;70 km)",IF(I4262&lt;=300,"Intermedio (70-300 km)","Profundo (&gt;300 km)"))</x:f>
        <x:v>Superficial (&lt;70 km)</x:v>
      </x:c>
      <x:c r="M4262" s="25" t="str">
        <x:f>IF(J4262&gt;=5,"Sí","No")</x:f>
        <x:v>No</x:v>
      </x:c>
      <x:c r="N4262" s="25" t="str">
        <x:f>IF(J4262&gt;=6,"Sí","No")</x:f>
        <x:v>No</x:v>
      </x:c>
      <x:c r="O4262" s="25" t="str">
        <x:v>Pendiente: asignar con R/sf</x:v>
      </x:c>
    </x:row>
    <x:row r="4263">
      <x:c r="A4263" s="25" t="n">
        <x:v>4262</x:v>
      </x:c>
      <x:c r="B4263" s="26" t="n">
        <x:v>44120.68969907407</x:v>
      </x:c>
      <x:c r="C4263" s="27" t="n">
        <x:f>INT(B4263)</x:f>
        <x:v>44120</x:v>
      </x:c>
      <x:c r="D4263" s="28" t="n">
        <x:f>MOD(B4263,1)</x:f>
        <x:v>0.689699074071541</x:v>
      </x:c>
      <x:c r="E4263" s="29" t="n">
        <x:f>YEAR(B4263)</x:f>
        <x:v>2020</x:v>
      </x:c>
      <x:c r="F4263" s="29" t="n">
        <x:f>MONTH(B4263)</x:f>
        <x:v>10</x:v>
      </x:c>
      <x:c r="G4263" s="30" t="n">
        <x:v>-38.15</x:v>
      </x:c>
      <x:c r="H4263" s="30" t="n">
        <x:v>-73.78</x:v>
      </x:c>
      <x:c r="I4263" s="29" t="n">
        <x:v>28</x:v>
      </x:c>
      <x:c r="J4263" s="31" t="n">
        <x:v>3.9</x:v>
      </x:c>
      <x:c r="K4263" s="25" t="str">
        <x:f>IF(J4263&gt;=7,"Muy fuerte (&gt;=7)",IF(J4263&gt;=6,"Fuerte (6-6.9)",IF(J4263&gt;=5,"Moderado alto (5-5.9)",IF(J4263&gt;=4,"Moderado (4-4.9)","Menor a 4"))))</x:f>
        <x:v>Menor a 4</x:v>
      </x:c>
      <x:c r="L4263" s="25" t="str">
        <x:f>IF(I4263&lt;70,"Superficial (&lt;70 km)",IF(I4263&lt;=300,"Intermedio (70-300 km)","Profundo (&gt;300 km)"))</x:f>
        <x:v>Superficial (&lt;70 km)</x:v>
      </x:c>
      <x:c r="M4263" s="25" t="str">
        <x:f>IF(J4263&gt;=5,"Sí","No")</x:f>
        <x:v>No</x:v>
      </x:c>
      <x:c r="N4263" s="25" t="str">
        <x:f>IF(J4263&gt;=6,"Sí","No")</x:f>
        <x:v>No</x:v>
      </x:c>
      <x:c r="O4263" s="25" t="str">
        <x:v>Pendiente: asignar con R/sf</x:v>
      </x:c>
    </x:row>
    <x:row r="4264">
      <x:c r="A4264" s="25" t="n">
        <x:v>4263</x:v>
      </x:c>
      <x:c r="B4264" s="26" t="n">
        <x:v>44181.494618055556</x:v>
      </x:c>
      <x:c r="C4264" s="27" t="n">
        <x:f>INT(B4264)</x:f>
        <x:v>44181</x:v>
      </x:c>
      <x:c r="D4264" s="28" t="n">
        <x:f>MOD(B4264,1)</x:f>
        <x:v>0.4946180555562023</x:v>
      </x:c>
      <x:c r="E4264" s="29" t="n">
        <x:f>YEAR(B4264)</x:f>
        <x:v>2020</x:v>
      </x:c>
      <x:c r="F4264" s="29" t="n">
        <x:f>MONTH(B4264)</x:f>
        <x:v>12</x:v>
      </x:c>
      <x:c r="G4264" s="30" t="n">
        <x:v>-38.33</x:v>
      </x:c>
      <x:c r="H4264" s="30" t="n">
        <x:v>-73.53</x:v>
      </x:c>
      <x:c r="I4264" s="29" t="n">
        <x:v>9</x:v>
      </x:c>
      <x:c r="J4264" s="31" t="n">
        <x:v>4.2</x:v>
      </x:c>
      <x:c r="K4264" s="25" t="str">
        <x:f>IF(J4264&gt;=7,"Muy fuerte (&gt;=7)",IF(J4264&gt;=6,"Fuerte (6-6.9)",IF(J4264&gt;=5,"Moderado alto (5-5.9)",IF(J4264&gt;=4,"Moderado (4-4.9)","Menor a 4"))))</x:f>
        <x:v>Moderado (4-4.9)</x:v>
      </x:c>
      <x:c r="L4264" s="25" t="str">
        <x:f>IF(I4264&lt;70,"Superficial (&lt;70 km)",IF(I4264&lt;=300,"Intermedio (70-300 km)","Profundo (&gt;300 km)"))</x:f>
        <x:v>Superficial (&lt;70 km)</x:v>
      </x:c>
      <x:c r="M4264" s="25" t="str">
        <x:f>IF(J4264&gt;=5,"Sí","No")</x:f>
        <x:v>No</x:v>
      </x:c>
      <x:c r="N4264" s="25" t="str">
        <x:f>IF(J4264&gt;=6,"Sí","No")</x:f>
        <x:v>No</x:v>
      </x:c>
      <x:c r="O4264" s="25" t="str">
        <x:v>Pendiente: asignar con R/sf</x:v>
      </x:c>
    </x:row>
    <x:row r="4265">
      <x:c r="A4265" s="25" t="n">
        <x:v>4264</x:v>
      </x:c>
      <x:c r="B4265" s="26" t="n">
        <x:v>45253.45748842593</x:v>
      </x:c>
      <x:c r="C4265" s="27" t="n">
        <x:f>INT(B4265)</x:f>
        <x:v>45253</x:v>
      </x:c>
      <x:c r="D4265" s="28" t="n">
        <x:f>MOD(B4265,1)</x:f>
        <x:v>0.4574884259272949</x:v>
      </x:c>
      <x:c r="E4265" s="29" t="n">
        <x:f>YEAR(B4265)</x:f>
        <x:v>2023</x:v>
      </x:c>
      <x:c r="F4265" s="29" t="n">
        <x:f>MONTH(B4265)</x:f>
        <x:v>11</x:v>
      </x:c>
      <x:c r="G4265" s="30" t="n">
        <x:v>-39.99</x:v>
      </x:c>
      <x:c r="H4265" s="30" t="n">
        <x:v>-72.61</x:v>
      </x:c>
      <x:c r="I4265" s="29" t="n">
        <x:v>90</x:v>
      </x:c>
      <x:c r="J4265" s="31" t="n">
        <x:v>3.7</x:v>
      </x:c>
      <x:c r="K4265" s="25" t="str">
        <x:f>IF(J4265&gt;=7,"Muy fuerte (&gt;=7)",IF(J4265&gt;=6,"Fuerte (6-6.9)",IF(J4265&gt;=5,"Moderado alto (5-5.9)",IF(J4265&gt;=4,"Moderado (4-4.9)","Menor a 4"))))</x:f>
        <x:v>Menor a 4</x:v>
      </x:c>
      <x:c r="L4265" s="25" t="str">
        <x:f>IF(I4265&lt;70,"Superficial (&lt;70 km)",IF(I4265&lt;=300,"Intermedio (70-300 km)","Profundo (&gt;300 km)"))</x:f>
        <x:v>Intermedio (70-300 km)</x:v>
      </x:c>
      <x:c r="M4265" s="25" t="str">
        <x:f>IF(J4265&gt;=5,"Sí","No")</x:f>
        <x:v>No</x:v>
      </x:c>
      <x:c r="N4265" s="25" t="str">
        <x:f>IF(J4265&gt;=6,"Sí","No")</x:f>
        <x:v>No</x:v>
      </x:c>
      <x:c r="O4265" s="25" t="str">
        <x:v>Pendiente: asignar con R/sf</x:v>
      </x:c>
    </x:row>
    <x:row r="4266">
      <x:c r="A4266" s="25" t="n">
        <x:v>4265</x:v>
      </x:c>
      <x:c r="B4266" s="26" t="n">
        <x:v>44878.10586805556</x:v>
      </x:c>
      <x:c r="C4266" s="27" t="n">
        <x:f>INT(B4266)</x:f>
        <x:v>44878</x:v>
      </x:c>
      <x:c r="D4266" s="28" t="n">
        <x:f>MOD(B4266,1)</x:f>
        <x:v>0.10586805555794854</x:v>
      </x:c>
      <x:c r="E4266" s="29" t="n">
        <x:f>YEAR(B4266)</x:f>
        <x:v>2022</x:v>
      </x:c>
      <x:c r="F4266" s="29" t="n">
        <x:f>MONTH(B4266)</x:f>
        <x:v>11</x:v>
      </x:c>
      <x:c r="G4266" s="30" t="n">
        <x:v>-37.56</x:v>
      </x:c>
      <x:c r="H4266" s="30" t="n">
        <x:v>-74.22</x:v>
      </x:c>
      <x:c r="I4266" s="29" t="n">
        <x:v>32</x:v>
      </x:c>
      <x:c r="J4266" s="31" t="n">
        <x:v>4.2</x:v>
      </x:c>
      <x:c r="K4266" s="25" t="str">
        <x:f>IF(J4266&gt;=7,"Muy fuerte (&gt;=7)",IF(J4266&gt;=6,"Fuerte (6-6.9)",IF(J4266&gt;=5,"Moderado alto (5-5.9)",IF(J4266&gt;=4,"Moderado (4-4.9)","Menor a 4"))))</x:f>
        <x:v>Moderado (4-4.9)</x:v>
      </x:c>
      <x:c r="L4266" s="25" t="str">
        <x:f>IF(I4266&lt;70,"Superficial (&lt;70 km)",IF(I4266&lt;=300,"Intermedio (70-300 km)","Profundo (&gt;300 km)"))</x:f>
        <x:v>Superficial (&lt;70 km)</x:v>
      </x:c>
      <x:c r="M4266" s="25" t="str">
        <x:f>IF(J4266&gt;=5,"Sí","No")</x:f>
        <x:v>No</x:v>
      </x:c>
      <x:c r="N4266" s="25" t="str">
        <x:f>IF(J4266&gt;=6,"Sí","No")</x:f>
        <x:v>No</x:v>
      </x:c>
      <x:c r="O4266" s="25" t="str">
        <x:v>Pendiente: asignar con R/sf</x:v>
      </x:c>
    </x:row>
    <x:row r="4267">
      <x:c r="A4267" s="25" t="n">
        <x:v>4266</x:v>
      </x:c>
      <x:c r="B4267" s="26" t="n">
        <x:v>44878.243252314816</x:v>
      </x:c>
      <x:c r="C4267" s="27" t="n">
        <x:f>INT(B4267)</x:f>
        <x:v>44878</x:v>
      </x:c>
      <x:c r="D4267" s="28" t="n">
        <x:f>MOD(B4267,1)</x:f>
        <x:v>0.24325231481634546</x:v>
      </x:c>
      <x:c r="E4267" s="29" t="n">
        <x:f>YEAR(B4267)</x:f>
        <x:v>2022</x:v>
      </x:c>
      <x:c r="F4267" s="29" t="n">
        <x:f>MONTH(B4267)</x:f>
        <x:v>11</x:v>
      </x:c>
      <x:c r="G4267" s="30" t="n">
        <x:v>-37.58</x:v>
      </x:c>
      <x:c r="H4267" s="30" t="n">
        <x:v>-73.65</x:v>
      </x:c>
      <x:c r="I4267" s="29" t="n">
        <x:v>23</x:v>
      </x:c>
      <x:c r="J4267" s="31" t="n">
        <x:v>3</x:v>
      </x:c>
      <x:c r="K4267" s="25" t="str">
        <x:f>IF(J4267&gt;=7,"Muy fuerte (&gt;=7)",IF(J4267&gt;=6,"Fuerte (6-6.9)",IF(J4267&gt;=5,"Moderado alto (5-5.9)",IF(J4267&gt;=4,"Moderado (4-4.9)","Menor a 4"))))</x:f>
        <x:v>Menor a 4</x:v>
      </x:c>
      <x:c r="L4267" s="25" t="str">
        <x:f>IF(I4267&lt;70,"Superficial (&lt;70 km)",IF(I4267&lt;=300,"Intermedio (70-300 km)","Profundo (&gt;300 km)"))</x:f>
        <x:v>Superficial (&lt;70 km)</x:v>
      </x:c>
      <x:c r="M4267" s="25" t="str">
        <x:f>IF(J4267&gt;=5,"Sí","No")</x:f>
        <x:v>No</x:v>
      </x:c>
      <x:c r="N4267" s="25" t="str">
        <x:f>IF(J4267&gt;=6,"Sí","No")</x:f>
        <x:v>No</x:v>
      </x:c>
      <x:c r="O4267" s="25" t="str">
        <x:v>Pendiente: asignar con R/sf</x:v>
      </x:c>
    </x:row>
    <x:row r="4268">
      <x:c r="A4268" s="25" t="n">
        <x:v>4267</x:v>
      </x:c>
      <x:c r="B4268" s="26" t="n">
        <x:v>44878.43424768518</x:v>
      </x:c>
      <x:c r="C4268" s="27" t="n">
        <x:f>INT(B4268)</x:f>
        <x:v>44878</x:v>
      </x:c>
      <x:c r="D4268" s="28" t="n">
        <x:f>MOD(B4268,1)</x:f>
        <x:v>0.43424768518161727</x:v>
      </x:c>
      <x:c r="E4268" s="29" t="n">
        <x:f>YEAR(B4268)</x:f>
        <x:v>2022</x:v>
      </x:c>
      <x:c r="F4268" s="29" t="n">
        <x:f>MONTH(B4268)</x:f>
        <x:v>11</x:v>
      </x:c>
      <x:c r="G4268" s="30" t="n">
        <x:v>-37.53</x:v>
      </x:c>
      <x:c r="H4268" s="30" t="n">
        <x:v>-73.88</x:v>
      </x:c>
      <x:c r="I4268" s="29" t="n">
        <x:v>14</x:v>
      </x:c>
      <x:c r="J4268" s="31" t="n">
        <x:v>3</x:v>
      </x:c>
      <x:c r="K4268" s="25" t="str">
        <x:f>IF(J4268&gt;=7,"Muy fuerte (&gt;=7)",IF(J4268&gt;=6,"Fuerte (6-6.9)",IF(J4268&gt;=5,"Moderado alto (5-5.9)",IF(J4268&gt;=4,"Moderado (4-4.9)","Menor a 4"))))</x:f>
        <x:v>Menor a 4</x:v>
      </x:c>
      <x:c r="L4268" s="25" t="str">
        <x:f>IF(I4268&lt;70,"Superficial (&lt;70 km)",IF(I4268&lt;=300,"Intermedio (70-300 km)","Profundo (&gt;300 km)"))</x:f>
        <x:v>Superficial (&lt;70 km)</x:v>
      </x:c>
      <x:c r="M4268" s="25" t="str">
        <x:f>IF(J4268&gt;=5,"Sí","No")</x:f>
        <x:v>No</x:v>
      </x:c>
      <x:c r="N4268" s="25" t="str">
        <x:f>IF(J4268&gt;=6,"Sí","No")</x:f>
        <x:v>No</x:v>
      </x:c>
      <x:c r="O4268" s="25" t="str">
        <x:v>Pendiente: asignar con R/sf</x:v>
      </x:c>
    </x:row>
    <x:row r="4269">
      <x:c r="A4269" s="25" t="n">
        <x:v>4268</x:v>
      </x:c>
      <x:c r="B4269" s="26" t="n">
        <x:v>44878.64467592593</x:v>
      </x:c>
      <x:c r="C4269" s="27" t="n">
        <x:f>INT(B4269)</x:f>
        <x:v>44878</x:v>
      </x:c>
      <x:c r="D4269" s="28" t="n">
        <x:f>MOD(B4269,1)</x:f>
        <x:v>0.6446759259270038</x:v>
      </x:c>
      <x:c r="E4269" s="29" t="n">
        <x:f>YEAR(B4269)</x:f>
        <x:v>2022</x:v>
      </x:c>
      <x:c r="F4269" s="29" t="n">
        <x:f>MONTH(B4269)</x:f>
        <x:v>11</x:v>
      </x:c>
      <x:c r="G4269" s="30" t="n">
        <x:v>-37.68</x:v>
      </x:c>
      <x:c r="H4269" s="30" t="n">
        <x:v>-73.85</x:v>
      </x:c>
      <x:c r="I4269" s="29" t="n">
        <x:v>17</x:v>
      </x:c>
      <x:c r="J4269" s="31" t="n">
        <x:v>3.2</x:v>
      </x:c>
      <x:c r="K4269" s="25" t="str">
        <x:f>IF(J4269&gt;=7,"Muy fuerte (&gt;=7)",IF(J4269&gt;=6,"Fuerte (6-6.9)",IF(J4269&gt;=5,"Moderado alto (5-5.9)",IF(J4269&gt;=4,"Moderado (4-4.9)","Menor a 4"))))</x:f>
        <x:v>Menor a 4</x:v>
      </x:c>
      <x:c r="L4269" s="25" t="str">
        <x:f>IF(I4269&lt;70,"Superficial (&lt;70 km)",IF(I4269&lt;=300,"Intermedio (70-300 km)","Profundo (&gt;300 km)"))</x:f>
        <x:v>Superficial (&lt;70 km)</x:v>
      </x:c>
      <x:c r="M4269" s="25" t="str">
        <x:f>IF(J4269&gt;=5,"Sí","No")</x:f>
        <x:v>No</x:v>
      </x:c>
      <x:c r="N4269" s="25" t="str">
        <x:f>IF(J4269&gt;=6,"Sí","No")</x:f>
        <x:v>No</x:v>
      </x:c>
      <x:c r="O4269" s="25" t="str">
        <x:v>Pendiente: asignar con R/sf</x:v>
      </x:c>
    </x:row>
    <x:row r="4270">
      <x:c r="A4270" s="25" t="n">
        <x:v>4269</x:v>
      </x:c>
      <x:c r="B4270" s="26" t="n">
        <x:v>44879.18314814815</x:v>
      </x:c>
      <x:c r="C4270" s="27" t="n">
        <x:f>INT(B4270)</x:f>
        <x:v>44879</x:v>
      </x:c>
      <x:c r="D4270" s="28" t="n">
        <x:f>MOD(B4270,1)</x:f>
        <x:v>0.18314814814948477</x:v>
      </x:c>
      <x:c r="E4270" s="29" t="n">
        <x:f>YEAR(B4270)</x:f>
        <x:v>2022</x:v>
      </x:c>
      <x:c r="F4270" s="29" t="n">
        <x:f>MONTH(B4270)</x:f>
        <x:v>11</x:v>
      </x:c>
      <x:c r="G4270" s="30" t="n">
        <x:v>-37.56</x:v>
      </x:c>
      <x:c r="H4270" s="30" t="n">
        <x:v>-74.19</x:v>
      </x:c>
      <x:c r="I4270" s="29" t="n">
        <x:v>36</x:v>
      </x:c>
      <x:c r="J4270" s="31" t="n">
        <x:v>3.5</x:v>
      </x:c>
      <x:c r="K4270" s="25" t="str">
        <x:f>IF(J4270&gt;=7,"Muy fuerte (&gt;=7)",IF(J4270&gt;=6,"Fuerte (6-6.9)",IF(J4270&gt;=5,"Moderado alto (5-5.9)",IF(J4270&gt;=4,"Moderado (4-4.9)","Menor a 4"))))</x:f>
        <x:v>Menor a 4</x:v>
      </x:c>
      <x:c r="L4270" s="25" t="str">
        <x:f>IF(I4270&lt;70,"Superficial (&lt;70 km)",IF(I4270&lt;=300,"Intermedio (70-300 km)","Profundo (&gt;300 km)"))</x:f>
        <x:v>Superficial (&lt;70 km)</x:v>
      </x:c>
      <x:c r="M4270" s="25" t="str">
        <x:f>IF(J4270&gt;=5,"Sí","No")</x:f>
        <x:v>No</x:v>
      </x:c>
      <x:c r="N4270" s="25" t="str">
        <x:f>IF(J4270&gt;=6,"Sí","No")</x:f>
        <x:v>No</x:v>
      </x:c>
      <x:c r="O4270" s="25" t="str">
        <x:v>Pendiente: asignar con R/sf</x:v>
      </x:c>
    </x:row>
    <x:row r="4271">
      <x:c r="A4271" s="25" t="n">
        <x:v>4270</x:v>
      </x:c>
      <x:c r="B4271" s="26" t="n">
        <x:v>44885.4972337963</x:v>
      </x:c>
      <x:c r="C4271" s="27" t="n">
        <x:f>INT(B4271)</x:f>
        <x:v>44885</x:v>
      </x:c>
      <x:c r="D4271" s="28" t="n">
        <x:f>MOD(B4271,1)</x:f>
        <x:v>0.4972337962972233</x:v>
      </x:c>
      <x:c r="E4271" s="29" t="n">
        <x:f>YEAR(B4271)</x:f>
        <x:v>2022</x:v>
      </x:c>
      <x:c r="F4271" s="29" t="n">
        <x:f>MONTH(B4271)</x:f>
        <x:v>11</x:v>
      </x:c>
      <x:c r="G4271" s="30" t="n">
        <x:v>-37.56</x:v>
      </x:c>
      <x:c r="H4271" s="30" t="n">
        <x:v>-73.57</x:v>
      </x:c>
      <x:c r="I4271" s="29" t="n">
        <x:v>14</x:v>
      </x:c>
      <x:c r="J4271" s="31" t="n">
        <x:v>3.2</x:v>
      </x:c>
      <x:c r="K4271" s="25" t="str">
        <x:f>IF(J4271&gt;=7,"Muy fuerte (&gt;=7)",IF(J4271&gt;=6,"Fuerte (6-6.9)",IF(J4271&gt;=5,"Moderado alto (5-5.9)",IF(J4271&gt;=4,"Moderado (4-4.9)","Menor a 4"))))</x:f>
        <x:v>Menor a 4</x:v>
      </x:c>
      <x:c r="L4271" s="25" t="str">
        <x:f>IF(I4271&lt;70,"Superficial (&lt;70 km)",IF(I4271&lt;=300,"Intermedio (70-300 km)","Profundo (&gt;300 km)"))</x:f>
        <x:v>Superficial (&lt;70 km)</x:v>
      </x:c>
      <x:c r="M4271" s="25" t="str">
        <x:f>IF(J4271&gt;=5,"Sí","No")</x:f>
        <x:v>No</x:v>
      </x:c>
      <x:c r="N4271" s="25" t="str">
        <x:f>IF(J4271&gt;=6,"Sí","No")</x:f>
        <x:v>No</x:v>
      </x:c>
      <x:c r="O4271" s="25" t="str">
        <x:v>Pendiente: asignar con R/sf</x:v>
      </x:c>
    </x:row>
    <x:row r="4272">
      <x:c r="A4272" s="25" t="n">
        <x:v>4271</x:v>
      </x:c>
      <x:c r="B4272" s="26" t="n">
        <x:v>44889.72278935185</x:v>
      </x:c>
      <x:c r="C4272" s="27" t="n">
        <x:f>INT(B4272)</x:f>
        <x:v>44889</x:v>
      </x:c>
      <x:c r="D4272" s="28" t="n">
        <x:f>MOD(B4272,1)</x:f>
        <x:v>0.7227893518502242</x:v>
      </x:c>
      <x:c r="E4272" s="29" t="n">
        <x:f>YEAR(B4272)</x:f>
        <x:v>2022</x:v>
      </x:c>
      <x:c r="F4272" s="29" t="n">
        <x:f>MONTH(B4272)</x:f>
        <x:v>11</x:v>
      </x:c>
      <x:c r="G4272" s="30" t="n">
        <x:v>-37.54</x:v>
      </x:c>
      <x:c r="H4272" s="30" t="n">
        <x:v>-73.93</x:v>
      </x:c>
      <x:c r="I4272" s="29" t="n">
        <x:v>40</x:v>
      </x:c>
      <x:c r="J4272" s="31" t="n">
        <x:v>3.3</x:v>
      </x:c>
      <x:c r="K4272" s="25" t="str">
        <x:f>IF(J4272&gt;=7,"Muy fuerte (&gt;=7)",IF(J4272&gt;=6,"Fuerte (6-6.9)",IF(J4272&gt;=5,"Moderado alto (5-5.9)",IF(J4272&gt;=4,"Moderado (4-4.9)","Menor a 4"))))</x:f>
        <x:v>Menor a 4</x:v>
      </x:c>
      <x:c r="L4272" s="25" t="str">
        <x:f>IF(I4272&lt;70,"Superficial (&lt;70 km)",IF(I4272&lt;=300,"Intermedio (70-300 km)","Profundo (&gt;300 km)"))</x:f>
        <x:v>Superficial (&lt;70 km)</x:v>
      </x:c>
      <x:c r="M4272" s="25" t="str">
        <x:f>IF(J4272&gt;=5,"Sí","No")</x:f>
        <x:v>No</x:v>
      </x:c>
      <x:c r="N4272" s="25" t="str">
        <x:f>IF(J4272&gt;=6,"Sí","No")</x:f>
        <x:v>No</x:v>
      </x:c>
      <x:c r="O4272" s="25" t="str">
        <x:v>Pendiente: asignar con R/sf</x:v>
      </x:c>
    </x:row>
    <x:row r="4273">
      <x:c r="A4273" s="25" t="n">
        <x:v>4272</x:v>
      </x:c>
      <x:c r="B4273" s="26" t="n">
        <x:v>44920.929710648146</x:v>
      </x:c>
      <x:c r="C4273" s="27" t="n">
        <x:f>INT(B4273)</x:f>
        <x:v>44920</x:v>
      </x:c>
      <x:c r="D4273" s="28" t="n">
        <x:f>MOD(B4273,1)</x:f>
        <x:v>0.9297106481462833</x:v>
      </x:c>
      <x:c r="E4273" s="29" t="n">
        <x:f>YEAR(B4273)</x:f>
        <x:v>2022</x:v>
      </x:c>
      <x:c r="F4273" s="29" t="n">
        <x:f>MONTH(B4273)</x:f>
        <x:v>12</x:v>
      </x:c>
      <x:c r="G4273" s="30" t="n">
        <x:v>-37.42</x:v>
      </x:c>
      <x:c r="H4273" s="30" t="n">
        <x:v>-73.78</x:v>
      </x:c>
      <x:c r="I4273" s="29" t="n">
        <x:v>42</x:v>
      </x:c>
      <x:c r="J4273" s="31" t="n">
        <x:v>3.4</x:v>
      </x:c>
      <x:c r="K4273" s="25" t="str">
        <x:f>IF(J4273&gt;=7,"Muy fuerte (&gt;=7)",IF(J4273&gt;=6,"Fuerte (6-6.9)",IF(J4273&gt;=5,"Moderado alto (5-5.9)",IF(J4273&gt;=4,"Moderado (4-4.9)","Menor a 4"))))</x:f>
        <x:v>Menor a 4</x:v>
      </x:c>
      <x:c r="L4273" s="25" t="str">
        <x:f>IF(I4273&lt;70,"Superficial (&lt;70 km)",IF(I4273&lt;=300,"Intermedio (70-300 km)","Profundo (&gt;300 km)"))</x:f>
        <x:v>Superficial (&lt;70 km)</x:v>
      </x:c>
      <x:c r="M4273" s="25" t="str">
        <x:f>IF(J4273&gt;=5,"Sí","No")</x:f>
        <x:v>No</x:v>
      </x:c>
      <x:c r="N4273" s="25" t="str">
        <x:f>IF(J4273&gt;=6,"Sí","No")</x:f>
        <x:v>No</x:v>
      </x:c>
      <x:c r="O4273" s="25" t="str">
        <x:v>Pendiente: asignar con R/sf</x:v>
      </x:c>
    </x:row>
    <x:row r="4274">
      <x:c r="A4274" s="25" t="n">
        <x:v>4273</x:v>
      </x:c>
      <x:c r="B4274" s="26" t="n">
        <x:v>45325.03396990741</x:v>
      </x:c>
      <x:c r="C4274" s="27" t="n">
        <x:f>INT(B4274)</x:f>
        <x:v>45325</x:v>
      </x:c>
      <x:c r="D4274" s="28" t="n">
        <x:f>MOD(B4274,1)</x:f>
        <x:v>0.03396990741021</x:v>
      </x:c>
      <x:c r="E4274" s="29" t="n">
        <x:f>YEAR(B4274)</x:f>
        <x:v>2024</x:v>
      </x:c>
      <x:c r="F4274" s="29" t="n">
        <x:f>MONTH(B4274)</x:f>
        <x:v>2</x:v>
      </x:c>
      <x:c r="G4274" s="30" t="n">
        <x:v>-32.74</x:v>
      </x:c>
      <x:c r="H4274" s="30" t="n">
        <x:v>-70.66</x:v>
      </x:c>
      <x:c r="I4274" s="29" t="n">
        <x:v>92</x:v>
      </x:c>
      <x:c r="J4274" s="31" t="n">
        <x:v>5</x:v>
      </x:c>
      <x:c r="K4274" s="25" t="str">
        <x:f>IF(J4274&gt;=7,"Muy fuerte (&gt;=7)",IF(J4274&gt;=6,"Fuerte (6-6.9)",IF(J4274&gt;=5,"Moderado alto (5-5.9)",IF(J4274&gt;=4,"Moderado (4-4.9)","Menor a 4"))))</x:f>
        <x:v>Moderado alto (5-5.9)</x:v>
      </x:c>
      <x:c r="L4274" s="25" t="str">
        <x:f>IF(I4274&lt;70,"Superficial (&lt;70 km)",IF(I4274&lt;=300,"Intermedio (70-300 km)","Profundo (&gt;300 km)"))</x:f>
        <x:v>Intermedio (70-300 km)</x:v>
      </x:c>
      <x:c r="M4274" s="25" t="str">
        <x:f>IF(J4274&gt;=5,"Sí","No")</x:f>
        <x:v>Sí</x:v>
      </x:c>
      <x:c r="N4274" s="25" t="str">
        <x:f>IF(J4274&gt;=6,"Sí","No")</x:f>
        <x:v>No</x:v>
      </x:c>
      <x:c r="O4274" s="25" t="str">
        <x:v>Pendiente: asignar con R/sf</x:v>
      </x:c>
    </x:row>
    <x:row r="4275">
      <x:c r="A4275" s="25" t="n">
        <x:v>4274</x:v>
      </x:c>
      <x:c r="B4275" s="26" t="n">
        <x:v>45333.88521990741</x:v>
      </x:c>
      <x:c r="C4275" s="27" t="n">
        <x:f>INT(B4275)</x:f>
        <x:v>45333</x:v>
      </x:c>
      <x:c r="D4275" s="28" t="n">
        <x:f>MOD(B4275,1)</x:f>
        <x:v>0.885219907409919</x:v>
      </x:c>
      <x:c r="E4275" s="29" t="n">
        <x:f>YEAR(B4275)</x:f>
        <x:v>2024</x:v>
      </x:c>
      <x:c r="F4275" s="29" t="n">
        <x:f>MONTH(B4275)</x:f>
        <x:v>2</x:v>
      </x:c>
      <x:c r="G4275" s="30" t="n">
        <x:v>-28.24</x:v>
      </x:c>
      <x:c r="H4275" s="30" t="n">
        <x:v>-71.32</x:v>
      </x:c>
      <x:c r="I4275" s="29" t="n">
        <x:v>44</x:v>
      </x:c>
      <x:c r="J4275" s="31" t="n">
        <x:v>5.7</x:v>
      </x:c>
      <x:c r="K4275" s="25" t="str">
        <x:f>IF(J4275&gt;=7,"Muy fuerte (&gt;=7)",IF(J4275&gt;=6,"Fuerte (6-6.9)",IF(J4275&gt;=5,"Moderado alto (5-5.9)",IF(J4275&gt;=4,"Moderado (4-4.9)","Menor a 4"))))</x:f>
        <x:v>Moderado alto (5-5.9)</x:v>
      </x:c>
      <x:c r="L4275" s="25" t="str">
        <x:f>IF(I4275&lt;70,"Superficial (&lt;70 km)",IF(I4275&lt;=300,"Intermedio (70-300 km)","Profundo (&gt;300 km)"))</x:f>
        <x:v>Superficial (&lt;70 km)</x:v>
      </x:c>
      <x:c r="M4275" s="25" t="str">
        <x:f>IF(J4275&gt;=5,"Sí","No")</x:f>
        <x:v>Sí</x:v>
      </x:c>
      <x:c r="N4275" s="25" t="str">
        <x:f>IF(J4275&gt;=6,"Sí","No")</x:f>
        <x:v>No</x:v>
      </x:c>
      <x:c r="O4275" s="25" t="str">
        <x:v>Pendiente: asignar con R/sf</x:v>
      </x:c>
    </x:row>
    <x:row r="4276">
      <x:c r="A4276" s="25" t="n">
        <x:v>4275</x:v>
      </x:c>
      <x:c r="B4276" s="26" t="n">
        <x:v>45336.063680555555</x:v>
      </x:c>
      <x:c r="C4276" s="27" t="n">
        <x:f>INT(B4276)</x:f>
        <x:v>45336</x:v>
      </x:c>
      <x:c r="D4276" s="28" t="n">
        <x:f>MOD(B4276,1)</x:f>
        <x:v>0.06368055555503815</x:v>
      </x:c>
      <x:c r="E4276" s="29" t="n">
        <x:f>YEAR(B4276)</x:f>
        <x:v>2024</x:v>
      </x:c>
      <x:c r="F4276" s="29" t="n">
        <x:f>MONTH(B4276)</x:f>
        <x:v>2</x:v>
      </x:c>
      <x:c r="G4276" s="30" t="n">
        <x:v>-28.91</x:v>
      </x:c>
      <x:c r="H4276" s="30" t="n">
        <x:v>-71.44</x:v>
      </x:c>
      <x:c r="I4276" s="29" t="n">
        <x:v>45</x:v>
      </x:c>
      <x:c r="J4276" s="31" t="n">
        <x:v>5.8</x:v>
      </x:c>
      <x:c r="K4276" s="25" t="str">
        <x:f>IF(J4276&gt;=7,"Muy fuerte (&gt;=7)",IF(J4276&gt;=6,"Fuerte (6-6.9)",IF(J4276&gt;=5,"Moderado alto (5-5.9)",IF(J4276&gt;=4,"Moderado (4-4.9)","Menor a 4"))))</x:f>
        <x:v>Moderado alto (5-5.9)</x:v>
      </x:c>
      <x:c r="L4276" s="25" t="str">
        <x:f>IF(I4276&lt;70,"Superficial (&lt;70 km)",IF(I4276&lt;=300,"Intermedio (70-300 km)","Profundo (&gt;300 km)"))</x:f>
        <x:v>Superficial (&lt;70 km)</x:v>
      </x:c>
      <x:c r="M4276" s="25" t="str">
        <x:f>IF(J4276&gt;=5,"Sí","No")</x:f>
        <x:v>Sí</x:v>
      </x:c>
      <x:c r="N4276" s="25" t="str">
        <x:f>IF(J4276&gt;=6,"Sí","No")</x:f>
        <x:v>No</x:v>
      </x:c>
      <x:c r="O4276" s="25" t="str">
        <x:v>Pendiente: asignar con R/sf</x:v>
      </x:c>
    </x:row>
    <x:row r="4277">
      <x:c r="A4277" s="25" t="n">
        <x:v>4276</x:v>
      </x:c>
      <x:c r="B4277" s="26" t="n">
        <x:v>45364.395902777775</x:v>
      </x:c>
      <x:c r="C4277" s="27" t="n">
        <x:f>INT(B4277)</x:f>
        <x:v>45364</x:v>
      </x:c>
      <x:c r="D4277" s="28" t="n">
        <x:f>MOD(B4277,1)</x:f>
        <x:v>0.3959027777746087</x:v>
      </x:c>
      <x:c r="E4277" s="29" t="n">
        <x:f>YEAR(B4277)</x:f>
        <x:v>2024</x:v>
      </x:c>
      <x:c r="F4277" s="29" t="n">
        <x:f>MONTH(B4277)</x:f>
        <x:v>3</x:v>
      </x:c>
      <x:c r="G4277" s="30" t="n">
        <x:v>-18.68</x:v>
      </x:c>
      <x:c r="H4277" s="30" t="n">
        <x:v>-69.52</x:v>
      </x:c>
      <x:c r="I4277" s="29" t="n">
        <x:v>114</x:v>
      </x:c>
      <x:c r="J4277" s="31" t="n">
        <x:v>5.1</x:v>
      </x:c>
      <x:c r="K4277" s="25" t="str">
        <x:f>IF(J4277&gt;=7,"Muy fuerte (&gt;=7)",IF(J4277&gt;=6,"Fuerte (6-6.9)",IF(J4277&gt;=5,"Moderado alto (5-5.9)",IF(J4277&gt;=4,"Moderado (4-4.9)","Menor a 4"))))</x:f>
        <x:v>Moderado alto (5-5.9)</x:v>
      </x:c>
      <x:c r="L4277" s="25" t="str">
        <x:f>IF(I4277&lt;70,"Superficial (&lt;70 km)",IF(I4277&lt;=300,"Intermedio (70-300 km)","Profundo (&gt;300 km)"))</x:f>
        <x:v>Intermedio (70-300 km)</x:v>
      </x:c>
      <x:c r="M4277" s="25" t="str">
        <x:f>IF(J4277&gt;=5,"Sí","No")</x:f>
        <x:v>Sí</x:v>
      </x:c>
      <x:c r="N4277" s="25" t="str">
        <x:f>IF(J4277&gt;=6,"Sí","No")</x:f>
        <x:v>No</x:v>
      </x:c>
      <x:c r="O4277" s="25" t="str">
        <x:v>Pendiente: asignar con R/sf</x:v>
      </x:c>
    </x:row>
    <x:row r="4278">
      <x:c r="A4278" s="25" t="n">
        <x:v>4277</x:v>
      </x:c>
      <x:c r="B4278" s="26" t="n">
        <x:v>45375.826516203706</x:v>
      </x:c>
      <x:c r="C4278" s="27" t="n">
        <x:f>INT(B4278)</x:f>
        <x:v>45375</x:v>
      </x:c>
      <x:c r="D4278" s="28" t="n">
        <x:f>MOD(B4278,1)</x:f>
        <x:v>0.8265162037059781</x:v>
      </x:c>
      <x:c r="E4278" s="29" t="n">
        <x:f>YEAR(B4278)</x:f>
        <x:v>2024</x:v>
      </x:c>
      <x:c r="F4278" s="29" t="n">
        <x:f>MONTH(B4278)</x:f>
        <x:v>3</x:v>
      </x:c>
      <x:c r="G4278" s="30" t="n">
        <x:v>-19.47</x:v>
      </x:c>
      <x:c r="H4278" s="30" t="n">
        <x:v>-70.08</x:v>
      </x:c>
      <x:c r="I4278" s="29" t="n">
        <x:v>74</x:v>
      </x:c>
      <x:c r="J4278" s="31" t="n">
        <x:v>5.1</x:v>
      </x:c>
      <x:c r="K4278" s="25" t="str">
        <x:f>IF(J4278&gt;=7,"Muy fuerte (&gt;=7)",IF(J4278&gt;=6,"Fuerte (6-6.9)",IF(J4278&gt;=5,"Moderado alto (5-5.9)",IF(J4278&gt;=4,"Moderado (4-4.9)","Menor a 4"))))</x:f>
        <x:v>Moderado alto (5-5.9)</x:v>
      </x:c>
      <x:c r="L4278" s="25" t="str">
        <x:f>IF(I4278&lt;70,"Superficial (&lt;70 km)",IF(I4278&lt;=300,"Intermedio (70-300 km)","Profundo (&gt;300 km)"))</x:f>
        <x:v>Intermedio (70-300 km)</x:v>
      </x:c>
      <x:c r="M4278" s="25" t="str">
        <x:f>IF(J4278&gt;=5,"Sí","No")</x:f>
        <x:v>Sí</x:v>
      </x:c>
      <x:c r="N4278" s="25" t="str">
        <x:f>IF(J4278&gt;=6,"Sí","No")</x:f>
        <x:v>No</x:v>
      </x:c>
      <x:c r="O4278" s="25" t="str">
        <x:v>Pendiente: asignar con R/sf</x:v>
      </x:c>
    </x:row>
    <x:row r="4279">
      <x:c r="A4279" s="25" t="n">
        <x:v>4278</x:v>
      </x:c>
      <x:c r="B4279" s="26" t="n">
        <x:v>45378.214212962965</x:v>
      </x:c>
      <x:c r="C4279" s="27" t="n">
        <x:f>INT(B4279)</x:f>
        <x:v>45378</x:v>
      </x:c>
      <x:c r="D4279" s="28" t="n">
        <x:f>MOD(B4279,1)</x:f>
        <x:v>0.21421296296466608</x:v>
      </x:c>
      <x:c r="E4279" s="29" t="n">
        <x:f>YEAR(B4279)</x:f>
        <x:v>2024</x:v>
      </x:c>
      <x:c r="F4279" s="29" t="n">
        <x:f>MONTH(B4279)</x:f>
        <x:v>3</x:v>
      </x:c>
      <x:c r="G4279" s="30" t="n">
        <x:v>-23.54</x:v>
      </x:c>
      <x:c r="H4279" s="30" t="n">
        <x:v>-68.21</x:v>
      </x:c>
      <x:c r="I4279" s="29" t="n">
        <x:v>148</x:v>
      </x:c>
      <x:c r="J4279" s="31" t="n">
        <x:v>5.4</x:v>
      </x:c>
      <x:c r="K4279" s="25" t="str">
        <x:f>IF(J4279&gt;=7,"Muy fuerte (&gt;=7)",IF(J4279&gt;=6,"Fuerte (6-6.9)",IF(J4279&gt;=5,"Moderado alto (5-5.9)",IF(J4279&gt;=4,"Moderado (4-4.9)","Menor a 4"))))</x:f>
        <x:v>Moderado alto (5-5.9)</x:v>
      </x:c>
      <x:c r="L4279" s="25" t="str">
        <x:f>IF(I4279&lt;70,"Superficial (&lt;70 km)",IF(I4279&lt;=300,"Intermedio (70-300 km)","Profundo (&gt;300 km)"))</x:f>
        <x:v>Intermedio (70-300 km)</x:v>
      </x:c>
      <x:c r="M4279" s="25" t="str">
        <x:f>IF(J4279&gt;=5,"Sí","No")</x:f>
        <x:v>Sí</x:v>
      </x:c>
      <x:c r="N4279" s="25" t="str">
        <x:f>IF(J4279&gt;=6,"Sí","No")</x:f>
        <x:v>No</x:v>
      </x:c>
      <x:c r="O4279" s="25" t="str">
        <x:v>Pendiente: asignar con R/sf</x:v>
      </x:c>
    </x:row>
    <x:row r="4280">
      <x:c r="A4280" s="25" t="n">
        <x:v>4279</x:v>
      </x:c>
      <x:c r="B4280" s="26" t="n">
        <x:v>44593.06935185185</x:v>
      </x:c>
      <x:c r="C4280" s="27" t="n">
        <x:f>INT(B4280)</x:f>
        <x:v>44593</x:v>
      </x:c>
      <x:c r="D4280" s="28" t="n">
        <x:f>MOD(B4280,1)</x:f>
        <x:v>0.06935185185284354</x:v>
      </x:c>
      <x:c r="E4280" s="29" t="n">
        <x:f>YEAR(B4280)</x:f>
        <x:v>2022</x:v>
      </x:c>
      <x:c r="F4280" s="29" t="n">
        <x:f>MONTH(B4280)</x:f>
        <x:v>2</x:v>
      </x:c>
      <x:c r="G4280" s="30" t="n">
        <x:v>-40.43</x:v>
      </x:c>
      <x:c r="H4280" s="30" t="n">
        <x:v>-74.07</x:v>
      </x:c>
      <x:c r="I4280" s="29" t="n">
        <x:v>23</x:v>
      </x:c>
      <x:c r="J4280" s="31" t="n">
        <x:v>4.5</x:v>
      </x:c>
      <x:c r="K4280" s="25" t="str">
        <x:f>IF(J4280&gt;=7,"Muy fuerte (&gt;=7)",IF(J4280&gt;=6,"Fuerte (6-6.9)",IF(J4280&gt;=5,"Moderado alto (5-5.9)",IF(J4280&gt;=4,"Moderado (4-4.9)","Menor a 4"))))</x:f>
        <x:v>Moderado (4-4.9)</x:v>
      </x:c>
      <x:c r="L4280" s="25" t="str">
        <x:f>IF(I4280&lt;70,"Superficial (&lt;70 km)",IF(I4280&lt;=300,"Intermedio (70-300 km)","Profundo (&gt;300 km)"))</x:f>
        <x:v>Superficial (&lt;70 km)</x:v>
      </x:c>
      <x:c r="M4280" s="25" t="str">
        <x:f>IF(J4280&gt;=5,"Sí","No")</x:f>
        <x:v>No</x:v>
      </x:c>
      <x:c r="N4280" s="25" t="str">
        <x:f>IF(J4280&gt;=6,"Sí","No")</x:f>
        <x:v>No</x:v>
      </x:c>
      <x:c r="O4280" s="25" t="str">
        <x:v>Pendiente: asignar con R/sf</x:v>
      </x:c>
    </x:row>
    <x:row r="4281">
      <x:c r="A4281" s="25" t="n">
        <x:v>4280</x:v>
      </x:c>
      <x:c r="B4281" s="26" t="n">
        <x:v>45141.14212962963</x:v>
      </x:c>
      <x:c r="C4281" s="27" t="n">
        <x:f>INT(B4281)</x:f>
        <x:v>45141</x:v>
      </x:c>
      <x:c r="D4281" s="28" t="n">
        <x:f>MOD(B4281,1)</x:f>
        <x:v>0.14212962963210884</x:v>
      </x:c>
      <x:c r="E4281" s="29" t="n">
        <x:f>YEAR(B4281)</x:f>
        <x:v>2023</x:v>
      </x:c>
      <x:c r="F4281" s="29" t="n">
        <x:f>MONTH(B4281)</x:f>
        <x:v>8</x:v>
      </x:c>
      <x:c r="G4281" s="30" t="n">
        <x:v>-41.44</x:v>
      </x:c>
      <x:c r="H4281" s="30" t="n">
        <x:v>-73.66</x:v>
      </x:c>
      <x:c r="I4281" s="29" t="n">
        <x:v>46</x:v>
      </x:c>
      <x:c r="J4281" s="31" t="n">
        <x:v>3.7</x:v>
      </x:c>
      <x:c r="K4281" s="25" t="str">
        <x:f>IF(J4281&gt;=7,"Muy fuerte (&gt;=7)",IF(J4281&gt;=6,"Fuerte (6-6.9)",IF(J4281&gt;=5,"Moderado alto (5-5.9)",IF(J4281&gt;=4,"Moderado (4-4.9)","Menor a 4"))))</x:f>
        <x:v>Menor a 4</x:v>
      </x:c>
      <x:c r="L4281" s="25" t="str">
        <x:f>IF(I4281&lt;70,"Superficial (&lt;70 km)",IF(I4281&lt;=300,"Intermedio (70-300 km)","Profundo (&gt;300 km)"))</x:f>
        <x:v>Superficial (&lt;70 km)</x:v>
      </x:c>
      <x:c r="M4281" s="25" t="str">
        <x:f>IF(J4281&gt;=5,"Sí","No")</x:f>
        <x:v>No</x:v>
      </x:c>
      <x:c r="N4281" s="25" t="str">
        <x:f>IF(J4281&gt;=6,"Sí","No")</x:f>
        <x:v>No</x:v>
      </x:c>
      <x:c r="O4281" s="25" t="str">
        <x:v>Pendiente: asignar con R/sf</x:v>
      </x:c>
    </x:row>
    <x:row r="4282">
      <x:c r="A4282" s="25" t="n">
        <x:v>4281</x:v>
      </x:c>
      <x:c r="B4282" s="26" t="n">
        <x:v>45230.03481481481</x:v>
      </x:c>
      <x:c r="C4282" s="27" t="n">
        <x:f>INT(B4282)</x:f>
        <x:v>45230</x:v>
      </x:c>
      <x:c r="D4282" s="28" t="n">
        <x:f>MOD(B4282,1)</x:f>
        <x:v>0.03481481481139781</x:v>
      </x:c>
      <x:c r="E4282" s="29" t="n">
        <x:f>YEAR(B4282)</x:f>
        <x:v>2023</x:v>
      </x:c>
      <x:c r="F4282" s="29" t="n">
        <x:f>MONTH(B4282)</x:f>
        <x:v>10</x:v>
      </x:c>
      <x:c r="G4282" s="30" t="n">
        <x:v>-40.59</x:v>
      </x:c>
      <x:c r="H4282" s="30" t="n">
        <x:v>-74.09</x:v>
      </x:c>
      <x:c r="I4282" s="29" t="n">
        <x:v>40</x:v>
      </x:c>
      <x:c r="J4282" s="31" t="n">
        <x:v>3.6</x:v>
      </x:c>
      <x:c r="K4282" s="25" t="str">
        <x:f>IF(J4282&gt;=7,"Muy fuerte (&gt;=7)",IF(J4282&gt;=6,"Fuerte (6-6.9)",IF(J4282&gt;=5,"Moderado alto (5-5.9)",IF(J4282&gt;=4,"Moderado (4-4.9)","Menor a 4"))))</x:f>
        <x:v>Menor a 4</x:v>
      </x:c>
      <x:c r="L4282" s="25" t="str">
        <x:f>IF(I4282&lt;70,"Superficial (&lt;70 km)",IF(I4282&lt;=300,"Intermedio (70-300 km)","Profundo (&gt;300 km)"))</x:f>
        <x:v>Superficial (&lt;70 km)</x:v>
      </x:c>
      <x:c r="M4282" s="25" t="str">
        <x:f>IF(J4282&gt;=5,"Sí","No")</x:f>
        <x:v>No</x:v>
      </x:c>
      <x:c r="N4282" s="25" t="str">
        <x:f>IF(J4282&gt;=6,"Sí","No")</x:f>
        <x:v>No</x:v>
      </x:c>
      <x:c r="O4282" s="25" t="str">
        <x:v>Pendiente: asignar con R/sf</x:v>
      </x:c>
    </x:row>
    <x:row r="4283">
      <x:c r="A4283" s="25" t="n">
        <x:v>4282</x:v>
      </x:c>
      <x:c r="B4283" s="26" t="n">
        <x:v>45385.577731481484</x:v>
      </x:c>
      <x:c r="C4283" s="27" t="n">
        <x:f>INT(B4283)</x:f>
        <x:v>45385</x:v>
      </x:c>
      <x:c r="D4283" s="28" t="n">
        <x:f>MOD(B4283,1)</x:f>
        <x:v>0.5777314814840793</x:v>
      </x:c>
      <x:c r="E4283" s="29" t="n">
        <x:f>YEAR(B4283)</x:f>
        <x:v>2024</x:v>
      </x:c>
      <x:c r="F4283" s="29" t="n">
        <x:f>MONTH(B4283)</x:f>
        <x:v>4</x:v>
      </x:c>
      <x:c r="G4283" s="30" t="n">
        <x:v>-36.97</x:v>
      </x:c>
      <x:c r="H4283" s="30" t="n">
        <x:v>-72.85</x:v>
      </x:c>
      <x:c r="I4283" s="29" t="n">
        <x:v>38</x:v>
      </x:c>
      <x:c r="J4283" s="31" t="n">
        <x:v>5.4</x:v>
      </x:c>
      <x:c r="K4283" s="25" t="str">
        <x:f>IF(J4283&gt;=7,"Muy fuerte (&gt;=7)",IF(J4283&gt;=6,"Fuerte (6-6.9)",IF(J4283&gt;=5,"Moderado alto (5-5.9)",IF(J4283&gt;=4,"Moderado (4-4.9)","Menor a 4"))))</x:f>
        <x:v>Moderado alto (5-5.9)</x:v>
      </x:c>
      <x:c r="L4283" s="25" t="str">
        <x:f>IF(I4283&lt;70,"Superficial (&lt;70 km)",IF(I4283&lt;=300,"Intermedio (70-300 km)","Profundo (&gt;300 km)"))</x:f>
        <x:v>Superficial (&lt;70 km)</x:v>
      </x:c>
      <x:c r="M4283" s="25" t="str">
        <x:f>IF(J4283&gt;=5,"Sí","No")</x:f>
        <x:v>Sí</x:v>
      </x:c>
      <x:c r="N4283" s="25" t="str">
        <x:f>IF(J4283&gt;=6,"Sí","No")</x:f>
        <x:v>No</x:v>
      </x:c>
      <x:c r="O4283" s="25" t="str">
        <x:v>Pendiente: asignar con R/sf</x:v>
      </x:c>
    </x:row>
    <x:row r="4284">
      <x:c r="A4284" s="25" t="n">
        <x:v>4283</x:v>
      </x:c>
      <x:c r="B4284" s="26" t="n">
        <x:v>45386.01961805556</x:v>
      </x:c>
      <x:c r="C4284" s="27" t="n">
        <x:f>INT(B4284)</x:f>
        <x:v>45386</x:v>
      </x:c>
      <x:c r="D4284" s="28" t="n">
        <x:f>MOD(B4284,1)</x:f>
        <x:v>0.0196180555576575</x:v>
      </x:c>
      <x:c r="E4284" s="29" t="n">
        <x:f>YEAR(B4284)</x:f>
        <x:v>2024</x:v>
      </x:c>
      <x:c r="F4284" s="29" t="n">
        <x:f>MONTH(B4284)</x:f>
        <x:v>4</x:v>
      </x:c>
      <x:c r="G4284" s="30" t="n">
        <x:v>-24.43</x:v>
      </x:c>
      <x:c r="H4284" s="30" t="n">
        <x:v>-69.61</x:v>
      </x:c>
      <x:c r="I4284" s="29" t="n">
        <x:v>83</x:v>
      </x:c>
      <x:c r="J4284" s="31" t="n">
        <x:v>5.2</x:v>
      </x:c>
      <x:c r="K4284" s="25" t="str">
        <x:f>IF(J4284&gt;=7,"Muy fuerte (&gt;=7)",IF(J4284&gt;=6,"Fuerte (6-6.9)",IF(J4284&gt;=5,"Moderado alto (5-5.9)",IF(J4284&gt;=4,"Moderado (4-4.9)","Menor a 4"))))</x:f>
        <x:v>Moderado alto (5-5.9)</x:v>
      </x:c>
      <x:c r="L4284" s="25" t="str">
        <x:f>IF(I4284&lt;70,"Superficial (&lt;70 km)",IF(I4284&lt;=300,"Intermedio (70-300 km)","Profundo (&gt;300 km)"))</x:f>
        <x:v>Intermedio (70-300 km)</x:v>
      </x:c>
      <x:c r="M4284" s="25" t="str">
        <x:f>IF(J4284&gt;=5,"Sí","No")</x:f>
        <x:v>Sí</x:v>
      </x:c>
      <x:c r="N4284" s="25" t="str">
        <x:f>IF(J4284&gt;=6,"Sí","No")</x:f>
        <x:v>No</x:v>
      </x:c>
      <x:c r="O4284" s="25" t="str">
        <x:v>Pendiente: asignar con R/sf</x:v>
      </x:c>
    </x:row>
    <x:row r="4285">
      <x:c r="A4285" s="25" t="n">
        <x:v>4284</x:v>
      </x:c>
      <x:c r="B4285" s="26" t="n">
        <x:v>45319.31663194444</x:v>
      </x:c>
      <x:c r="C4285" s="27" t="n">
        <x:f>INT(B4285)</x:f>
        <x:v>45319</x:v>
      </x:c>
      <x:c r="D4285" s="28" t="n">
        <x:f>MOD(B4285,1)</x:f>
        <x:v>0.31663194444263354</x:v>
      </x:c>
      <x:c r="E4285" s="29" t="n">
        <x:f>YEAR(B4285)</x:f>
        <x:v>2024</x:v>
      </x:c>
      <x:c r="F4285" s="29" t="n">
        <x:f>MONTH(B4285)</x:f>
        <x:v>1</x:v>
      </x:c>
      <x:c r="G4285" s="30" t="n">
        <x:v>-39.67</x:v>
      </x:c>
      <x:c r="H4285" s="30" t="n">
        <x:v>-72.53</x:v>
      </x:c>
      <x:c r="I4285" s="29" t="n">
        <x:v>89</x:v>
      </x:c>
      <x:c r="J4285" s="31" t="n">
        <x:v>4.5</x:v>
      </x:c>
      <x:c r="K4285" s="25" t="str">
        <x:f>IF(J4285&gt;=7,"Muy fuerte (&gt;=7)",IF(J4285&gt;=6,"Fuerte (6-6.9)",IF(J4285&gt;=5,"Moderado alto (5-5.9)",IF(J4285&gt;=4,"Moderado (4-4.9)","Menor a 4"))))</x:f>
        <x:v>Moderado (4-4.9)</x:v>
      </x:c>
      <x:c r="L4285" s="25" t="str">
        <x:f>IF(I4285&lt;70,"Superficial (&lt;70 km)",IF(I4285&lt;=300,"Intermedio (70-300 km)","Profundo (&gt;300 km)"))</x:f>
        <x:v>Intermedio (70-300 km)</x:v>
      </x:c>
      <x:c r="M4285" s="25" t="str">
        <x:f>IF(J4285&gt;=5,"Sí","No")</x:f>
        <x:v>No</x:v>
      </x:c>
      <x:c r="N4285" s="25" t="str">
        <x:f>IF(J4285&gt;=6,"Sí","No")</x:f>
        <x:v>No</x:v>
      </x:c>
      <x:c r="O4285" s="25" t="str">
        <x:v>Pendiente: asignar con R/sf</x:v>
      </x:c>
    </x:row>
    <x:row r="4286">
      <x:c r="A4286" s="25" t="n">
        <x:v>4285</x:v>
      </x:c>
      <x:c r="B4286" s="26" t="n">
        <x:v>44962.474375</x:v>
      </x:c>
      <x:c r="C4286" s="27" t="n">
        <x:f>INT(B4286)</x:f>
        <x:v>44962</x:v>
      </x:c>
      <x:c r="D4286" s="28" t="n">
        <x:f>MOD(B4286,1)</x:f>
        <x:v>0.47437499999796273</x:v>
      </x:c>
      <x:c r="E4286" s="29" t="n">
        <x:f>YEAR(B4286)</x:f>
        <x:v>2023</x:v>
      </x:c>
      <x:c r="F4286" s="29" t="n">
        <x:f>MONTH(B4286)</x:f>
        <x:v>2</x:v>
      </x:c>
      <x:c r="G4286" s="30" t="n">
        <x:v>-40.09</x:v>
      </x:c>
      <x:c r="H4286" s="30" t="n">
        <x:v>-72.44</x:v>
      </x:c>
      <x:c r="I4286" s="29" t="n">
        <x:v>5</x:v>
      </x:c>
      <x:c r="J4286" s="31" t="n">
        <x:v>3.2</x:v>
      </x:c>
      <x:c r="K4286" s="25" t="str">
        <x:f>IF(J4286&gt;=7,"Muy fuerte (&gt;=7)",IF(J4286&gt;=6,"Fuerte (6-6.9)",IF(J4286&gt;=5,"Moderado alto (5-5.9)",IF(J4286&gt;=4,"Moderado (4-4.9)","Menor a 4"))))</x:f>
        <x:v>Menor a 4</x:v>
      </x:c>
      <x:c r="L4286" s="25" t="str">
        <x:f>IF(I4286&lt;70,"Superficial (&lt;70 km)",IF(I4286&lt;=300,"Intermedio (70-300 km)","Profundo (&gt;300 km)"))</x:f>
        <x:v>Superficial (&lt;70 km)</x:v>
      </x:c>
      <x:c r="M4286" s="25" t="str">
        <x:f>IF(J4286&gt;=5,"Sí","No")</x:f>
        <x:v>No</x:v>
      </x:c>
      <x:c r="N4286" s="25" t="str">
        <x:f>IF(J4286&gt;=6,"Sí","No")</x:f>
        <x:v>No</x:v>
      </x:c>
      <x:c r="O4286" s="25" t="str">
        <x:v>Pendiente: asignar con R/sf</x:v>
      </x:c>
    </x:row>
    <x:row r="4287">
      <x:c r="A4287" s="25" t="n">
        <x:v>4286</x:v>
      </x:c>
      <x:c r="B4287" s="26" t="n">
        <x:v>44999.83094907407</x:v>
      </x:c>
      <x:c r="C4287" s="27" t="n">
        <x:f>INT(B4287)</x:f>
        <x:v>44999</x:v>
      </x:c>
      <x:c r="D4287" s="28" t="n">
        <x:f>MOD(B4287,1)</x:f>
        <x:v>0.830949074072123</x:v>
      </x:c>
      <x:c r="E4287" s="29" t="n">
        <x:f>YEAR(B4287)</x:f>
        <x:v>2023</x:v>
      </x:c>
      <x:c r="F4287" s="29" t="n">
        <x:f>MONTH(B4287)</x:f>
        <x:v>3</x:v>
      </x:c>
      <x:c r="G4287" s="30" t="n">
        <x:v>-38.34</x:v>
      </x:c>
      <x:c r="H4287" s="30" t="n">
        <x:v>-75.73</x:v>
      </x:c>
      <x:c r="I4287" s="29" t="n">
        <x:v>15</x:v>
      </x:c>
      <x:c r="J4287" s="31" t="n">
        <x:v>5.5</x:v>
      </x:c>
      <x:c r="K4287" s="25" t="str">
        <x:f>IF(J4287&gt;=7,"Muy fuerte (&gt;=7)",IF(J4287&gt;=6,"Fuerte (6-6.9)",IF(J4287&gt;=5,"Moderado alto (5-5.9)",IF(J4287&gt;=4,"Moderado (4-4.9)","Menor a 4"))))</x:f>
        <x:v>Moderado alto (5-5.9)</x:v>
      </x:c>
      <x:c r="L4287" s="25" t="str">
        <x:f>IF(I4287&lt;70,"Superficial (&lt;70 km)",IF(I4287&lt;=300,"Intermedio (70-300 km)","Profundo (&gt;300 km)"))</x:f>
        <x:v>Superficial (&lt;70 km)</x:v>
      </x:c>
      <x:c r="M4287" s="25" t="str">
        <x:f>IF(J4287&gt;=5,"Sí","No")</x:f>
        <x:v>Sí</x:v>
      </x:c>
      <x:c r="N4287" s="25" t="str">
        <x:f>IF(J4287&gt;=6,"Sí","No")</x:f>
        <x:v>No</x:v>
      </x:c>
      <x:c r="O4287" s="25" t="str">
        <x:v>Pendiente: asignar con R/sf</x:v>
      </x:c>
    </x:row>
    <x:row r="4288">
      <x:c r="A4288" s="25" t="n">
        <x:v>4287</x:v>
      </x:c>
      <x:c r="B4288" s="26" t="n">
        <x:v>45257.4225</x:v>
      </x:c>
      <x:c r="C4288" s="27" t="n">
        <x:f>INT(B4288)</x:f>
        <x:v>45257</x:v>
      </x:c>
      <x:c r="D4288" s="28" t="n">
        <x:f>MOD(B4288,1)</x:f>
        <x:v>0.4225000000005821</x:v>
      </x:c>
      <x:c r="E4288" s="29" t="n">
        <x:f>YEAR(B4288)</x:f>
        <x:v>2023</x:v>
      </x:c>
      <x:c r="F4288" s="29" t="n">
        <x:f>MONTH(B4288)</x:f>
        <x:v>11</x:v>
      </x:c>
      <x:c r="G4288" s="30" t="n">
        <x:v>-24.56</x:v>
      </x:c>
      <x:c r="H4288" s="30" t="n">
        <x:v>-70.12</x:v>
      </x:c>
      <x:c r="I4288" s="29" t="n">
        <x:v>49</x:v>
      </x:c>
      <x:c r="J4288" s="31" t="n">
        <x:v>5</x:v>
      </x:c>
      <x:c r="K4288" s="25" t="str">
        <x:f>IF(J4288&gt;=7,"Muy fuerte (&gt;=7)",IF(J4288&gt;=6,"Fuerte (6-6.9)",IF(J4288&gt;=5,"Moderado alto (5-5.9)",IF(J4288&gt;=4,"Moderado (4-4.9)","Menor a 4"))))</x:f>
        <x:v>Moderado alto (5-5.9)</x:v>
      </x:c>
      <x:c r="L4288" s="25" t="str">
        <x:f>IF(I4288&lt;70,"Superficial (&lt;70 km)",IF(I4288&lt;=300,"Intermedio (70-300 km)","Profundo (&gt;300 km)"))</x:f>
        <x:v>Superficial (&lt;70 km)</x:v>
      </x:c>
      <x:c r="M4288" s="25" t="str">
        <x:f>IF(J4288&gt;=5,"Sí","No")</x:f>
        <x:v>Sí</x:v>
      </x:c>
      <x:c r="N4288" s="25" t="str">
        <x:f>IF(J4288&gt;=6,"Sí","No")</x:f>
        <x:v>No</x:v>
      </x:c>
      <x:c r="O4288" s="25" t="str">
        <x:v>Pendiente: asignar con R/sf</x:v>
      </x:c>
    </x:row>
    <x:row r="4289">
      <x:c r="A4289" s="25" t="n">
        <x:v>4288</x:v>
      </x:c>
      <x:c r="B4289" s="26" t="n">
        <x:v>44902.06208333333</x:v>
      </x:c>
      <x:c r="C4289" s="27" t="n">
        <x:f>INT(B4289)</x:f>
        <x:v>44902</x:v>
      </x:c>
      <x:c r="D4289" s="28" t="n">
        <x:f>MOD(B4289,1)</x:f>
        <x:v>0.06208333333051996</x:v>
      </x:c>
      <x:c r="E4289" s="29" t="n">
        <x:f>YEAR(B4289)</x:f>
        <x:v>2022</x:v>
      </x:c>
      <x:c r="F4289" s="29" t="n">
        <x:f>MONTH(B4289)</x:f>
        <x:v>12</x:v>
      </x:c>
      <x:c r="G4289" s="30" t="n">
        <x:v>-39.96</x:v>
      </x:c>
      <x:c r="H4289" s="30" t="n">
        <x:v>-72.77</x:v>
      </x:c>
      <x:c r="I4289" s="29" t="n">
        <x:v>82</x:v>
      </x:c>
      <x:c r="J4289" s="31" t="n">
        <x:v>3.2</x:v>
      </x:c>
      <x:c r="K4289" s="25" t="str">
        <x:f>IF(J4289&gt;=7,"Muy fuerte (&gt;=7)",IF(J4289&gt;=6,"Fuerte (6-6.9)",IF(J4289&gt;=5,"Moderado alto (5-5.9)",IF(J4289&gt;=4,"Moderado (4-4.9)","Menor a 4"))))</x:f>
        <x:v>Menor a 4</x:v>
      </x:c>
      <x:c r="L4289" s="25" t="str">
        <x:f>IF(I4289&lt;70,"Superficial (&lt;70 km)",IF(I4289&lt;=300,"Intermedio (70-300 km)","Profundo (&gt;300 km)"))</x:f>
        <x:v>Intermedio (70-300 km)</x:v>
      </x:c>
      <x:c r="M4289" s="25" t="str">
        <x:f>IF(J4289&gt;=5,"Sí","No")</x:f>
        <x:v>No</x:v>
      </x:c>
      <x:c r="N4289" s="25" t="str">
        <x:f>IF(J4289&gt;=6,"Sí","No")</x:f>
        <x:v>No</x:v>
      </x:c>
      <x:c r="O4289" s="25" t="str">
        <x:v>Pendiente: asignar con R/sf</x:v>
      </x:c>
    </x:row>
    <x:row r="4290">
      <x:c r="A4290" s="25" t="n">
        <x:v>4289</x:v>
      </x:c>
      <x:c r="B4290" s="26" t="n">
        <x:v>43582.95141203704</x:v>
      </x:c>
      <x:c r="C4290" s="27" t="n">
        <x:f>INT(B4290)</x:f>
        <x:v>43582</x:v>
      </x:c>
      <x:c r="D4290" s="28" t="n">
        <x:f>MOD(B4290,1)</x:f>
        <x:v>0.9514120370367891</x:v>
      </x:c>
      <x:c r="E4290" s="29" t="n">
        <x:f>YEAR(B4290)</x:f>
        <x:v>2019</x:v>
      </x:c>
      <x:c r="F4290" s="29" t="n">
        <x:f>MONTH(B4290)</x:f>
        <x:v>4</x:v>
      </x:c>
      <x:c r="G4290" s="30" t="n">
        <x:v>-30.27</x:v>
      </x:c>
      <x:c r="H4290" s="30" t="n">
        <x:v>-71.34</x:v>
      </x:c>
      <x:c r="I4290" s="29" t="n">
        <x:v>66</x:v>
      </x:c>
      <x:c r="J4290" s="31" t="n">
        <x:v>4</x:v>
      </x:c>
      <x:c r="K4290" s="25" t="str">
        <x:f>IF(J4290&gt;=7,"Muy fuerte (&gt;=7)",IF(J4290&gt;=6,"Fuerte (6-6.9)",IF(J4290&gt;=5,"Moderado alto (5-5.9)",IF(J4290&gt;=4,"Moderado (4-4.9)","Menor a 4"))))</x:f>
        <x:v>Moderado (4-4.9)</x:v>
      </x:c>
      <x:c r="L4290" s="25" t="str">
        <x:f>IF(I4290&lt;70,"Superficial (&lt;70 km)",IF(I4290&lt;=300,"Intermedio (70-300 km)","Profundo (&gt;300 km)"))</x:f>
        <x:v>Superficial (&lt;70 km)</x:v>
      </x:c>
      <x:c r="M4290" s="25" t="str">
        <x:f>IF(J4290&gt;=5,"Sí","No")</x:f>
        <x:v>No</x:v>
      </x:c>
      <x:c r="N4290" s="25" t="str">
        <x:f>IF(J4290&gt;=6,"Sí","No")</x:f>
        <x:v>No</x:v>
      </x:c>
      <x:c r="O4290" s="25" t="str">
        <x:v>Pendiente: asignar con R/sf</x:v>
      </x:c>
    </x:row>
    <x:row r="4291">
      <x:c r="A4291" s="25" t="n">
        <x:v>4290</x:v>
      </x:c>
      <x:c r="B4291" s="26" t="n">
        <x:v>43311.43171296296</x:v>
      </x:c>
      <x:c r="C4291" s="27" t="n">
        <x:f>INT(B4291)</x:f>
        <x:v>43311</x:v>
      </x:c>
      <x:c r="D4291" s="28" t="n">
        <x:f>MOD(B4291,1)</x:f>
        <x:v>0.4317129629635019</x:v>
      </x:c>
      <x:c r="E4291" s="29" t="n">
        <x:f>YEAR(B4291)</x:f>
        <x:v>2018</x:v>
      </x:c>
      <x:c r="F4291" s="29" t="n">
        <x:f>MONTH(B4291)</x:f>
        <x:v>7</x:v>
      </x:c>
      <x:c r="G4291" s="30" t="n">
        <x:v>-27.71</x:v>
      </x:c>
      <x:c r="H4291" s="30" t="n">
        <x:v>-71.49</x:v>
      </x:c>
      <x:c r="I4291" s="29" t="n">
        <x:v>30</x:v>
      </x:c>
      <x:c r="J4291" s="31" t="n">
        <x:v>4.8</x:v>
      </x:c>
      <x:c r="K4291" s="25" t="str">
        <x:f>IF(J4291&gt;=7,"Muy fuerte (&gt;=7)",IF(J4291&gt;=6,"Fuerte (6-6.9)",IF(J4291&gt;=5,"Moderado alto (5-5.9)",IF(J4291&gt;=4,"Moderado (4-4.9)","Menor a 4"))))</x:f>
        <x:v>Moderado (4-4.9)</x:v>
      </x:c>
      <x:c r="L4291" s="25" t="str">
        <x:f>IF(I4291&lt;70,"Superficial (&lt;70 km)",IF(I4291&lt;=300,"Intermedio (70-300 km)","Profundo (&gt;300 km)"))</x:f>
        <x:v>Superficial (&lt;70 km)</x:v>
      </x:c>
      <x:c r="M4291" s="25" t="str">
        <x:f>IF(J4291&gt;=5,"Sí","No")</x:f>
        <x:v>No</x:v>
      </x:c>
      <x:c r="N4291" s="25" t="str">
        <x:f>IF(J4291&gt;=6,"Sí","No")</x:f>
        <x:v>No</x:v>
      </x:c>
      <x:c r="O4291" s="25" t="str">
        <x:v>Pendiente: asignar con R/sf</x:v>
      </x:c>
    </x:row>
    <x:row r="4292">
      <x:c r="A4292" s="25" t="n">
        <x:v>4291</x:v>
      </x:c>
      <x:c r="B4292" s="26" t="n">
        <x:v>43515.21508101852</x:v>
      </x:c>
      <x:c r="C4292" s="27" t="n">
        <x:f>INT(B4292)</x:f>
        <x:v>43515</x:v>
      </x:c>
      <x:c r="D4292" s="28" t="n">
        <x:f>MOD(B4292,1)</x:f>
        <x:v>0.2150810185194132</x:v>
      </x:c>
      <x:c r="E4292" s="29" t="n">
        <x:f>YEAR(B4292)</x:f>
        <x:v>2019</x:v>
      </x:c>
      <x:c r="F4292" s="29" t="n">
        <x:f>MONTH(B4292)</x:f>
        <x:v>2</x:v>
      </x:c>
      <x:c r="G4292" s="30" t="n">
        <x:v>-28</x:v>
      </x:c>
      <x:c r="H4292" s="30" t="n">
        <x:v>-71.36</x:v>
      </x:c>
      <x:c r="I4292" s="29" t="n">
        <x:v>47</x:v>
      </x:c>
      <x:c r="J4292" s="31" t="n">
        <x:v>4.5</x:v>
      </x:c>
      <x:c r="K4292" s="25" t="str">
        <x:f>IF(J4292&gt;=7,"Muy fuerte (&gt;=7)",IF(J4292&gt;=6,"Fuerte (6-6.9)",IF(J4292&gt;=5,"Moderado alto (5-5.9)",IF(J4292&gt;=4,"Moderado (4-4.9)","Menor a 4"))))</x:f>
        <x:v>Moderado (4-4.9)</x:v>
      </x:c>
      <x:c r="L4292" s="25" t="str">
        <x:f>IF(I4292&lt;70,"Superficial (&lt;70 km)",IF(I4292&lt;=300,"Intermedio (70-300 km)","Profundo (&gt;300 km)"))</x:f>
        <x:v>Superficial (&lt;70 km)</x:v>
      </x:c>
      <x:c r="M4292" s="25" t="str">
        <x:f>IF(J4292&gt;=5,"Sí","No")</x:f>
        <x:v>No</x:v>
      </x:c>
      <x:c r="N4292" s="25" t="str">
        <x:f>IF(J4292&gt;=6,"Sí","No")</x:f>
        <x:v>No</x:v>
      </x:c>
      <x:c r="O4292" s="25" t="str">
        <x:v>Pendiente: asignar con R/sf</x:v>
      </x:c>
    </x:row>
    <x:row r="4293">
      <x:c r="A4293" s="25" t="n">
        <x:v>4292</x:v>
      </x:c>
      <x:c r="B4293" s="26" t="n">
        <x:v>43412.34458333333</x:v>
      </x:c>
      <x:c r="C4293" s="27" t="n">
        <x:f>INT(B4293)</x:f>
        <x:v>43412</x:v>
      </x:c>
      <x:c r="D4293" s="28" t="n">
        <x:f>MOD(B4293,1)</x:f>
        <x:v>0.3445833333316841</x:v>
      </x:c>
      <x:c r="E4293" s="29" t="n">
        <x:f>YEAR(B4293)</x:f>
        <x:v>2018</x:v>
      </x:c>
      <x:c r="F4293" s="29" t="n">
        <x:f>MONTH(B4293)</x:f>
        <x:v>11</x:v>
      </x:c>
      <x:c r="G4293" s="30" t="n">
        <x:v>-27.87</x:v>
      </x:c>
      <x:c r="H4293" s="30" t="n">
        <x:v>-71.12</x:v>
      </x:c>
      <x:c r="I4293" s="29" t="n">
        <x:v>33</x:v>
      </x:c>
      <x:c r="J4293" s="31" t="n">
        <x:v>4.9</x:v>
      </x:c>
      <x:c r="K4293" s="25" t="str">
        <x:f>IF(J4293&gt;=7,"Muy fuerte (&gt;=7)",IF(J4293&gt;=6,"Fuerte (6-6.9)",IF(J4293&gt;=5,"Moderado alto (5-5.9)",IF(J4293&gt;=4,"Moderado (4-4.9)","Menor a 4"))))</x:f>
        <x:v>Moderado (4-4.9)</x:v>
      </x:c>
      <x:c r="L4293" s="25" t="str">
        <x:f>IF(I4293&lt;70,"Superficial (&lt;70 km)",IF(I4293&lt;=300,"Intermedio (70-300 km)","Profundo (&gt;300 km)"))</x:f>
        <x:v>Superficial (&lt;70 km)</x:v>
      </x:c>
      <x:c r="M4293" s="25" t="str">
        <x:f>IF(J4293&gt;=5,"Sí","No")</x:f>
        <x:v>No</x:v>
      </x:c>
      <x:c r="N4293" s="25" t="str">
        <x:f>IF(J4293&gt;=6,"Sí","No")</x:f>
        <x:v>No</x:v>
      </x:c>
      <x:c r="O4293" s="25" t="str">
        <x:v>Pendiente: asignar con R/sf</x:v>
      </x:c>
    </x:row>
    <x:row r="4294">
      <x:c r="A4294" s="25" t="n">
        <x:v>4293</x:v>
      </x:c>
      <x:c r="B4294" s="26" t="n">
        <x:v>43518.39303240741</x:v>
      </x:c>
      <x:c r="C4294" s="27" t="n">
        <x:f>INT(B4294)</x:f>
        <x:v>43518</x:v>
      </x:c>
      <x:c r="D4294" s="28" t="n">
        <x:f>MOD(B4294,1)</x:f>
        <x:v>0.39303240740991896</x:v>
      </x:c>
      <x:c r="E4294" s="29" t="n">
        <x:f>YEAR(B4294)</x:f>
        <x:v>2019</x:v>
      </x:c>
      <x:c r="F4294" s="29" t="n">
        <x:f>MONTH(B4294)</x:f>
        <x:v>2</x:v>
      </x:c>
      <x:c r="G4294" s="30" t="n">
        <x:v>-30.78</x:v>
      </x:c>
      <x:c r="H4294" s="30" t="n">
        <x:v>-70.89</x:v>
      </x:c>
      <x:c r="I4294" s="29" t="n">
        <x:v>90</x:v>
      </x:c>
      <x:c r="J4294" s="31" t="n">
        <x:v>4.8</x:v>
      </x:c>
      <x:c r="K4294" s="25" t="str">
        <x:f>IF(J4294&gt;=7,"Muy fuerte (&gt;=7)",IF(J4294&gt;=6,"Fuerte (6-6.9)",IF(J4294&gt;=5,"Moderado alto (5-5.9)",IF(J4294&gt;=4,"Moderado (4-4.9)","Menor a 4"))))</x:f>
        <x:v>Moderado (4-4.9)</x:v>
      </x:c>
      <x:c r="L4294" s="25" t="str">
        <x:f>IF(I4294&lt;70,"Superficial (&lt;70 km)",IF(I4294&lt;=300,"Intermedio (70-300 km)","Profundo (&gt;300 km)"))</x:f>
        <x:v>Intermedio (70-300 km)</x:v>
      </x:c>
      <x:c r="M4294" s="25" t="str">
        <x:f>IF(J4294&gt;=5,"Sí","No")</x:f>
        <x:v>No</x:v>
      </x:c>
      <x:c r="N4294" s="25" t="str">
        <x:f>IF(J4294&gt;=6,"Sí","No")</x:f>
        <x:v>No</x:v>
      </x:c>
      <x:c r="O4294" s="25" t="str">
        <x:v>Pendiente: asignar con R/sf</x:v>
      </x:c>
    </x:row>
    <x:row r="4295">
      <x:c r="A4295" s="25" t="n">
        <x:v>4294</x:v>
      </x:c>
      <x:c r="B4295" s="26" t="n">
        <x:v>43575.00005787037</x:v>
      </x:c>
      <x:c r="C4295" s="27" t="n">
        <x:f>INT(B4295)</x:f>
        <x:v>43575</x:v>
      </x:c>
      <x:c r="D4295" s="28" t="n">
        <x:f>MOD(B4295,1)</x:f>
        <x:v>0.000057870369346346706</x:v>
      </x:c>
      <x:c r="E4295" s="29" t="n">
        <x:f>YEAR(B4295)</x:f>
        <x:v>2019</x:v>
      </x:c>
      <x:c r="F4295" s="29" t="n">
        <x:f>MONTH(B4295)</x:f>
        <x:v>4</x:v>
      </x:c>
      <x:c r="G4295" s="30" t="n">
        <x:v>-32</x:v>
      </x:c>
      <x:c r="H4295" s="30" t="n">
        <x:v>-71.67</x:v>
      </x:c>
      <x:c r="I4295" s="29" t="n">
        <x:v>40</x:v>
      </x:c>
      <x:c r="J4295" s="31" t="n">
        <x:v>4</x:v>
      </x:c>
      <x:c r="K4295" s="25" t="str">
        <x:f>IF(J4295&gt;=7,"Muy fuerte (&gt;=7)",IF(J4295&gt;=6,"Fuerte (6-6.9)",IF(J4295&gt;=5,"Moderado alto (5-5.9)",IF(J4295&gt;=4,"Moderado (4-4.9)","Menor a 4"))))</x:f>
        <x:v>Moderado (4-4.9)</x:v>
      </x:c>
      <x:c r="L4295" s="25" t="str">
        <x:f>IF(I4295&lt;70,"Superficial (&lt;70 km)",IF(I4295&lt;=300,"Intermedio (70-300 km)","Profundo (&gt;300 km)"))</x:f>
        <x:v>Superficial (&lt;70 km)</x:v>
      </x:c>
      <x:c r="M4295" s="25" t="str">
        <x:f>IF(J4295&gt;=5,"Sí","No")</x:f>
        <x:v>No</x:v>
      </x:c>
      <x:c r="N4295" s="25" t="str">
        <x:f>IF(J4295&gt;=6,"Sí","No")</x:f>
        <x:v>No</x:v>
      </x:c>
      <x:c r="O4295" s="25" t="str">
        <x:v>Pendiente: asignar con R/sf</x:v>
      </x:c>
    </x:row>
    <x:row r="4296">
      <x:c r="A4296" s="25" t="n">
        <x:v>4295</x:v>
      </x:c>
      <x:c r="B4296" s="26" t="n">
        <x:v>43522.366273148145</x:v>
      </x:c>
      <x:c r="C4296" s="27" t="n">
        <x:f>INT(B4296)</x:f>
        <x:v>43522</x:v>
      </x:c>
      <x:c r="D4296" s="28" t="n">
        <x:f>MOD(B4296,1)</x:f>
        <x:v>0.36627314814541023</x:v>
      </x:c>
      <x:c r="E4296" s="29" t="n">
        <x:f>YEAR(B4296)</x:f>
        <x:v>2019</x:v>
      </x:c>
      <x:c r="F4296" s="29" t="n">
        <x:f>MONTH(B4296)</x:f>
        <x:v>2</x:v>
      </x:c>
      <x:c r="G4296" s="30" t="n">
        <x:v>-30.23</x:v>
      </x:c>
      <x:c r="H4296" s="30" t="n">
        <x:v>-71.26</x:v>
      </x:c>
      <x:c r="I4296" s="29" t="n">
        <x:v>57</x:v>
      </x:c>
      <x:c r="J4296" s="31" t="n">
        <x:v>4.7</x:v>
      </x:c>
      <x:c r="K4296" s="25" t="str">
        <x:f>IF(J4296&gt;=7,"Muy fuerte (&gt;=7)",IF(J4296&gt;=6,"Fuerte (6-6.9)",IF(J4296&gt;=5,"Moderado alto (5-5.9)",IF(J4296&gt;=4,"Moderado (4-4.9)","Menor a 4"))))</x:f>
        <x:v>Moderado (4-4.9)</x:v>
      </x:c>
      <x:c r="L4296" s="25" t="str">
        <x:f>IF(I4296&lt;70,"Superficial (&lt;70 km)",IF(I4296&lt;=300,"Intermedio (70-300 km)","Profundo (&gt;300 km)"))</x:f>
        <x:v>Superficial (&lt;70 km)</x:v>
      </x:c>
      <x:c r="M4296" s="25" t="str">
        <x:f>IF(J4296&gt;=5,"Sí","No")</x:f>
        <x:v>No</x:v>
      </x:c>
      <x:c r="N4296" s="25" t="str">
        <x:f>IF(J4296&gt;=6,"Sí","No")</x:f>
        <x:v>No</x:v>
      </x:c>
      <x:c r="O4296" s="25" t="str">
        <x:v>Pendiente: asignar con R/sf</x:v>
      </x:c>
    </x:row>
    <x:row r="4297">
      <x:c r="A4297" s="25" t="n">
        <x:v>4296</x:v>
      </x:c>
      <x:c r="B4297" s="26" t="n">
        <x:v>43556.781122685185</x:v>
      </x:c>
      <x:c r="C4297" s="27" t="n">
        <x:f>INT(B4297)</x:f>
        <x:v>43556</x:v>
      </x:c>
      <x:c r="D4297" s="28" t="n">
        <x:f>MOD(B4297,1)</x:f>
        <x:v>0.7811226851845277</x:v>
      </x:c>
      <x:c r="E4297" s="29" t="n">
        <x:f>YEAR(B4297)</x:f>
        <x:v>2019</x:v>
      </x:c>
      <x:c r="F4297" s="29" t="n">
        <x:f>MONTH(B4297)</x:f>
        <x:v>4</x:v>
      </x:c>
      <x:c r="G4297" s="30" t="n">
        <x:v>-30.24</x:v>
      </x:c>
      <x:c r="H4297" s="30" t="n">
        <x:v>-71.29</x:v>
      </x:c>
      <x:c r="I4297" s="29" t="n">
        <x:v>67</x:v>
      </x:c>
      <x:c r="J4297" s="31" t="n">
        <x:v>4.5</x:v>
      </x:c>
      <x:c r="K4297" s="25" t="str">
        <x:f>IF(J4297&gt;=7,"Muy fuerte (&gt;=7)",IF(J4297&gt;=6,"Fuerte (6-6.9)",IF(J4297&gt;=5,"Moderado alto (5-5.9)",IF(J4297&gt;=4,"Moderado (4-4.9)","Menor a 4"))))</x:f>
        <x:v>Moderado (4-4.9)</x:v>
      </x:c>
      <x:c r="L4297" s="25" t="str">
        <x:f>IF(I4297&lt;70,"Superficial (&lt;70 km)",IF(I4297&lt;=300,"Intermedio (70-300 km)","Profundo (&gt;300 km)"))</x:f>
        <x:v>Superficial (&lt;70 km)</x:v>
      </x:c>
      <x:c r="M4297" s="25" t="str">
        <x:f>IF(J4297&gt;=5,"Sí","No")</x:f>
        <x:v>No</x:v>
      </x:c>
      <x:c r="N4297" s="25" t="str">
        <x:f>IF(J4297&gt;=6,"Sí","No")</x:f>
        <x:v>No</x:v>
      </x:c>
      <x:c r="O4297" s="25" t="str">
        <x:v>Pendiente: asignar con R/sf</x:v>
      </x:c>
    </x:row>
    <x:row r="4298">
      <x:c r="A4298" s="25" t="n">
        <x:v>4297</x:v>
      </x:c>
      <x:c r="B4298" s="26" t="n">
        <x:v>43268.31390046296</x:v>
      </x:c>
      <x:c r="C4298" s="27" t="n">
        <x:f>INT(B4298)</x:f>
        <x:v>43268</x:v>
      </x:c>
      <x:c r="D4298" s="28" t="n">
        <x:f>MOD(B4298,1)</x:f>
        <x:v>0.31390046296291985</x:v>
      </x:c>
      <x:c r="E4298" s="29" t="n">
        <x:f>YEAR(B4298)</x:f>
        <x:v>2018</x:v>
      </x:c>
      <x:c r="F4298" s="29" t="n">
        <x:f>MONTH(B4298)</x:f>
        <x:v>6</x:v>
      </x:c>
      <x:c r="G4298" s="30" t="n">
        <x:v>-26.76</x:v>
      </x:c>
      <x:c r="H4298" s="30" t="n">
        <x:v>-70.9</x:v>
      </x:c>
      <x:c r="I4298" s="29" t="n">
        <x:v>43</x:v>
      </x:c>
      <x:c r="J4298" s="31" t="n">
        <x:v>4.1</x:v>
      </x:c>
      <x:c r="K4298" s="25" t="str">
        <x:f>IF(J4298&gt;=7,"Muy fuerte (&gt;=7)",IF(J4298&gt;=6,"Fuerte (6-6.9)",IF(J4298&gt;=5,"Moderado alto (5-5.9)",IF(J4298&gt;=4,"Moderado (4-4.9)","Menor a 4"))))</x:f>
        <x:v>Moderado (4-4.9)</x:v>
      </x:c>
      <x:c r="L4298" s="25" t="str">
        <x:f>IF(I4298&lt;70,"Superficial (&lt;70 km)",IF(I4298&lt;=300,"Intermedio (70-300 km)","Profundo (&gt;300 km)"))</x:f>
        <x:v>Superficial (&lt;70 km)</x:v>
      </x:c>
      <x:c r="M4298" s="25" t="str">
        <x:f>IF(J4298&gt;=5,"Sí","No")</x:f>
        <x:v>No</x:v>
      </x:c>
      <x:c r="N4298" s="25" t="str">
        <x:f>IF(J4298&gt;=6,"Sí","No")</x:f>
        <x:v>No</x:v>
      </x:c>
      <x:c r="O4298" s="25" t="str">
        <x:v>Pendiente: asignar con R/sf</x:v>
      </x:c>
    </x:row>
    <x:row r="4299">
      <x:c r="A4299" s="25" t="n">
        <x:v>4298</x:v>
      </x:c>
      <x:c r="B4299" s="26" t="n">
        <x:v>43602.594722222224</x:v>
      </x:c>
      <x:c r="C4299" s="27" t="n">
        <x:f>INT(B4299)</x:f>
        <x:v>43602</x:v>
      </x:c>
      <x:c r="D4299" s="28" t="n">
        <x:f>MOD(B4299,1)</x:f>
        <x:v>0.5947222222239361</x:v>
      </x:c>
      <x:c r="E4299" s="29" t="n">
        <x:f>YEAR(B4299)</x:f>
        <x:v>2019</x:v>
      </x:c>
      <x:c r="F4299" s="29" t="n">
        <x:f>MONTH(B4299)</x:f>
        <x:v>5</x:v>
      </x:c>
      <x:c r="G4299" s="30" t="n">
        <x:v>-19.75</x:v>
      </x:c>
      <x:c r="H4299" s="30" t="n">
        <x:v>-70.28</x:v>
      </x:c>
      <x:c r="I4299" s="29" t="n">
        <x:v>69</x:v>
      </x:c>
      <x:c r="J4299" s="31" t="n">
        <x:v>5</x:v>
      </x:c>
      <x:c r="K4299" s="25" t="str">
        <x:f>IF(J4299&gt;=7,"Muy fuerte (&gt;=7)",IF(J4299&gt;=6,"Fuerte (6-6.9)",IF(J4299&gt;=5,"Moderado alto (5-5.9)",IF(J4299&gt;=4,"Moderado (4-4.9)","Menor a 4"))))</x:f>
        <x:v>Moderado alto (5-5.9)</x:v>
      </x:c>
      <x:c r="L4299" s="25" t="str">
        <x:f>IF(I4299&lt;70,"Superficial (&lt;70 km)",IF(I4299&lt;=300,"Intermedio (70-300 km)","Profundo (&gt;300 km)"))</x:f>
        <x:v>Superficial (&lt;70 km)</x:v>
      </x:c>
      <x:c r="M4299" s="25" t="str">
        <x:f>IF(J4299&gt;=5,"Sí","No")</x:f>
        <x:v>Sí</x:v>
      </x:c>
      <x:c r="N4299" s="25" t="str">
        <x:f>IF(J4299&gt;=6,"Sí","No")</x:f>
        <x:v>No</x:v>
      </x:c>
      <x:c r="O4299" s="25" t="str">
        <x:v>Pendiente: asignar con R/sf</x:v>
      </x:c>
    </x:row>
    <x:row r="4300">
      <x:c r="A4300" s="25" t="n">
        <x:v>4299</x:v>
      </x:c>
      <x:c r="B4300" s="26" t="n">
        <x:v>43566.71356481482</x:v>
      </x:c>
      <x:c r="C4300" s="27" t="n">
        <x:f>INT(B4300)</x:f>
        <x:v>43566</x:v>
      </x:c>
      <x:c r="D4300" s="28" t="n">
        <x:f>MOD(B4300,1)</x:f>
        <x:v>0.7135648148178007</x:v>
      </x:c>
      <x:c r="E4300" s="29" t="n">
        <x:f>YEAR(B4300)</x:f>
        <x:v>2019</x:v>
      </x:c>
      <x:c r="F4300" s="29" t="n">
        <x:f>MONTH(B4300)</x:f>
        <x:v>4</x:v>
      </x:c>
      <x:c r="G4300" s="30" t="n">
        <x:v>-24.58</x:v>
      </x:c>
      <x:c r="H4300" s="30" t="n">
        <x:v>-70.11</x:v>
      </x:c>
      <x:c r="I4300" s="29" t="n">
        <x:v>61</x:v>
      </x:c>
      <x:c r="J4300" s="31" t="n">
        <x:v>4.9</x:v>
      </x:c>
      <x:c r="K4300" s="25" t="str">
        <x:f>IF(J4300&gt;=7,"Muy fuerte (&gt;=7)",IF(J4300&gt;=6,"Fuerte (6-6.9)",IF(J4300&gt;=5,"Moderado alto (5-5.9)",IF(J4300&gt;=4,"Moderado (4-4.9)","Menor a 4"))))</x:f>
        <x:v>Moderado (4-4.9)</x:v>
      </x:c>
      <x:c r="L4300" s="25" t="str">
        <x:f>IF(I4300&lt;70,"Superficial (&lt;70 km)",IF(I4300&lt;=300,"Intermedio (70-300 km)","Profundo (&gt;300 km)"))</x:f>
        <x:v>Superficial (&lt;70 km)</x:v>
      </x:c>
      <x:c r="M4300" s="25" t="str">
        <x:f>IF(J4300&gt;=5,"Sí","No")</x:f>
        <x:v>No</x:v>
      </x:c>
      <x:c r="N4300" s="25" t="str">
        <x:f>IF(J4300&gt;=6,"Sí","No")</x:f>
        <x:v>No</x:v>
      </x:c>
      <x:c r="O4300" s="25" t="str">
        <x:v>Pendiente: asignar con R/sf</x:v>
      </x:c>
    </x:row>
    <x:row r="4301">
      <x:c r="A4301" s="25" t="n">
        <x:v>4300</x:v>
      </x:c>
      <x:c r="B4301" s="26" t="n">
        <x:v>43283.540625</x:v>
      </x:c>
      <x:c r="C4301" s="27" t="n">
        <x:f>INT(B4301)</x:f>
        <x:v>43283</x:v>
      </x:c>
      <x:c r="D4301" s="28" t="n">
        <x:f>MOD(B4301,1)</x:f>
        <x:v>0.5406250000014552</x:v>
      </x:c>
      <x:c r="E4301" s="29" t="n">
        <x:f>YEAR(B4301)</x:f>
        <x:v>2018</x:v>
      </x:c>
      <x:c r="F4301" s="29" t="n">
        <x:f>MONTH(B4301)</x:f>
        <x:v>7</x:v>
      </x:c>
      <x:c r="G4301" s="30" t="n">
        <x:v>-28.02</x:v>
      </x:c>
      <x:c r="H4301" s="30" t="n">
        <x:v>-71.19</x:v>
      </x:c>
      <x:c r="I4301" s="29" t="n">
        <x:v>35</x:v>
      </x:c>
      <x:c r="J4301" s="31" t="n">
        <x:v>4</x:v>
      </x:c>
      <x:c r="K4301" s="25" t="str">
        <x:f>IF(J4301&gt;=7,"Muy fuerte (&gt;=7)",IF(J4301&gt;=6,"Fuerte (6-6.9)",IF(J4301&gt;=5,"Moderado alto (5-5.9)",IF(J4301&gt;=4,"Moderado (4-4.9)","Menor a 4"))))</x:f>
        <x:v>Moderado (4-4.9)</x:v>
      </x:c>
      <x:c r="L4301" s="25" t="str">
        <x:f>IF(I4301&lt;70,"Superficial (&lt;70 km)",IF(I4301&lt;=300,"Intermedio (70-300 km)","Profundo (&gt;300 km)"))</x:f>
        <x:v>Superficial (&lt;70 km)</x:v>
      </x:c>
      <x:c r="M4301" s="25" t="str">
        <x:f>IF(J4301&gt;=5,"Sí","No")</x:f>
        <x:v>No</x:v>
      </x:c>
      <x:c r="N4301" s="25" t="str">
        <x:f>IF(J4301&gt;=6,"Sí","No")</x:f>
        <x:v>No</x:v>
      </x:c>
      <x:c r="O4301" s="25" t="str">
        <x:v>Pendiente: asignar con R/sf</x:v>
      </x:c>
    </x:row>
    <x:row r="4302">
      <x:c r="A4302" s="25" t="n">
        <x:v>4301</x:v>
      </x:c>
      <x:c r="B4302" s="26" t="n">
        <x:v>43537.0909837963</x:v>
      </x:c>
      <x:c r="C4302" s="27" t="n">
        <x:f>INT(B4302)</x:f>
        <x:v>43537</x:v>
      </x:c>
      <x:c r="D4302" s="28" t="n">
        <x:f>MOD(B4302,1)</x:f>
        <x:v>0.09098379629722331</x:v>
      </x:c>
      <x:c r="E4302" s="29" t="n">
        <x:f>YEAR(B4302)</x:f>
        <x:v>2019</x:v>
      </x:c>
      <x:c r="F4302" s="29" t="n">
        <x:f>MONTH(B4302)</x:f>
        <x:v>3</x:v>
      </x:c>
      <x:c r="G4302" s="30" t="n">
        <x:v>-28.64</x:v>
      </x:c>
      <x:c r="H4302" s="30" t="n">
        <x:v>-70.4</x:v>
      </x:c>
      <x:c r="I4302" s="29" t="n">
        <x:v>88</x:v>
      </x:c>
      <x:c r="J4302" s="31" t="n">
        <x:v>4</x:v>
      </x:c>
      <x:c r="K4302" s="25" t="str">
        <x:f>IF(J4302&gt;=7,"Muy fuerte (&gt;=7)",IF(J4302&gt;=6,"Fuerte (6-6.9)",IF(J4302&gt;=5,"Moderado alto (5-5.9)",IF(J4302&gt;=4,"Moderado (4-4.9)","Menor a 4"))))</x:f>
        <x:v>Moderado (4-4.9)</x:v>
      </x:c>
      <x:c r="L4302" s="25" t="str">
        <x:f>IF(I4302&lt;70,"Superficial (&lt;70 km)",IF(I4302&lt;=300,"Intermedio (70-300 km)","Profundo (&gt;300 km)"))</x:f>
        <x:v>Intermedio (70-300 km)</x:v>
      </x:c>
      <x:c r="M4302" s="25" t="str">
        <x:f>IF(J4302&gt;=5,"Sí","No")</x:f>
        <x:v>No</x:v>
      </x:c>
      <x:c r="N4302" s="25" t="str">
        <x:f>IF(J4302&gt;=6,"Sí","No")</x:f>
        <x:v>No</x:v>
      </x:c>
      <x:c r="O4302" s="25" t="str">
        <x:v>Pendiente: asignar con R/sf</x:v>
      </x:c>
    </x:row>
    <x:row r="4303">
      <x:c r="A4303" s="25" t="n">
        <x:v>4302</x:v>
      </x:c>
      <x:c r="B4303" s="26" t="n">
        <x:v>43580.85313657407</x:v>
      </x:c>
      <x:c r="C4303" s="27" t="n">
        <x:f>INT(B4303)</x:f>
        <x:v>43580</x:v>
      </x:c>
      <x:c r="D4303" s="28" t="n">
        <x:f>MOD(B4303,1)</x:f>
        <x:v>0.8531365740709589</x:v>
      </x:c>
      <x:c r="E4303" s="29" t="n">
        <x:f>YEAR(B4303)</x:f>
        <x:v>2019</x:v>
      </x:c>
      <x:c r="F4303" s="29" t="n">
        <x:f>MONTH(B4303)</x:f>
        <x:v>4</x:v>
      </x:c>
      <x:c r="G4303" s="30" t="n">
        <x:v>-29.69</x:v>
      </x:c>
      <x:c r="H4303" s="30" t="n">
        <x:v>-71.34</x:v>
      </x:c>
      <x:c r="I4303" s="29" t="n">
        <x:v>51</x:v>
      </x:c>
      <x:c r="J4303" s="31" t="n">
        <x:v>4</x:v>
      </x:c>
      <x:c r="K4303" s="25" t="str">
        <x:f>IF(J4303&gt;=7,"Muy fuerte (&gt;=7)",IF(J4303&gt;=6,"Fuerte (6-6.9)",IF(J4303&gt;=5,"Moderado alto (5-5.9)",IF(J4303&gt;=4,"Moderado (4-4.9)","Menor a 4"))))</x:f>
        <x:v>Moderado (4-4.9)</x:v>
      </x:c>
      <x:c r="L4303" s="25" t="str">
        <x:f>IF(I4303&lt;70,"Superficial (&lt;70 km)",IF(I4303&lt;=300,"Intermedio (70-300 km)","Profundo (&gt;300 km)"))</x:f>
        <x:v>Superficial (&lt;70 km)</x:v>
      </x:c>
      <x:c r="M4303" s="25" t="str">
        <x:f>IF(J4303&gt;=5,"Sí","No")</x:f>
        <x:v>No</x:v>
      </x:c>
      <x:c r="N4303" s="25" t="str">
        <x:f>IF(J4303&gt;=6,"Sí","No")</x:f>
        <x:v>No</x:v>
      </x:c>
      <x:c r="O4303" s="25" t="str">
        <x:v>Pendiente: asignar con R/sf</x:v>
      </x:c>
    </x:row>
    <x:row r="4304">
      <x:c r="A4304" s="25" t="n">
        <x:v>4303</x:v>
      </x:c>
      <x:c r="B4304" s="26" t="n">
        <x:v>43521.95452546296</x:v>
      </x:c>
      <x:c r="C4304" s="27" t="n">
        <x:f>INT(B4304)</x:f>
        <x:v>43521</x:v>
      </x:c>
      <x:c r="D4304" s="28" t="n">
        <x:f>MOD(B4304,1)</x:f>
        <x:v>0.9545254629629198</x:v>
      </x:c>
      <x:c r="E4304" s="29" t="n">
        <x:f>YEAR(B4304)</x:f>
        <x:v>2019</x:v>
      </x:c>
      <x:c r="F4304" s="29" t="n">
        <x:f>MONTH(B4304)</x:f>
        <x:v>2</x:v>
      </x:c>
      <x:c r="G4304" s="30" t="n">
        <x:v>-29.68</x:v>
      </x:c>
      <x:c r="H4304" s="30" t="n">
        <x:v>-71.28</x:v>
      </x:c>
      <x:c r="I4304" s="29" t="n">
        <x:v>52</x:v>
      </x:c>
      <x:c r="J4304" s="31" t="n">
        <x:v>4.6</x:v>
      </x:c>
      <x:c r="K4304" s="25" t="str">
        <x:f>IF(J4304&gt;=7,"Muy fuerte (&gt;=7)",IF(J4304&gt;=6,"Fuerte (6-6.9)",IF(J4304&gt;=5,"Moderado alto (5-5.9)",IF(J4304&gt;=4,"Moderado (4-4.9)","Menor a 4"))))</x:f>
        <x:v>Moderado (4-4.9)</x:v>
      </x:c>
      <x:c r="L4304" s="25" t="str">
        <x:f>IF(I4304&lt;70,"Superficial (&lt;70 km)",IF(I4304&lt;=300,"Intermedio (70-300 km)","Profundo (&gt;300 km)"))</x:f>
        <x:v>Superficial (&lt;70 km)</x:v>
      </x:c>
      <x:c r="M4304" s="25" t="str">
        <x:f>IF(J4304&gt;=5,"Sí","No")</x:f>
        <x:v>No</x:v>
      </x:c>
      <x:c r="N4304" s="25" t="str">
        <x:f>IF(J4304&gt;=6,"Sí","No")</x:f>
        <x:v>No</x:v>
      </x:c>
      <x:c r="O4304" s="25" t="str">
        <x:v>Pendiente: asignar con R/sf</x:v>
      </x:c>
    </x:row>
    <x:row r="4305">
      <x:c r="A4305" s="25" t="n">
        <x:v>4304</x:v>
      </x:c>
      <x:c r="B4305" s="26" t="n">
        <x:v>43506.87542824074</x:v>
      </x:c>
      <x:c r="C4305" s="27" t="n">
        <x:f>INT(B4305)</x:f>
        <x:v>43506</x:v>
      </x:c>
      <x:c r="D4305" s="28" t="n">
        <x:f>MOD(B4305,1)</x:f>
        <x:v>0.8754282407389837</x:v>
      </x:c>
      <x:c r="E4305" s="29" t="n">
        <x:f>YEAR(B4305)</x:f>
        <x:v>2019</x:v>
      </x:c>
      <x:c r="F4305" s="29" t="n">
        <x:f>MONTH(B4305)</x:f>
        <x:v>2</x:v>
      </x:c>
      <x:c r="G4305" s="30" t="n">
        <x:v>-28.07</x:v>
      </x:c>
      <x:c r="H4305" s="30" t="n">
        <x:v>-70.58</x:v>
      </x:c>
      <x:c r="I4305" s="29" t="n">
        <x:v>90</x:v>
      </x:c>
      <x:c r="J4305" s="31" t="n">
        <x:v>4.2</x:v>
      </x:c>
      <x:c r="K4305" s="25" t="str">
        <x:f>IF(J4305&gt;=7,"Muy fuerte (&gt;=7)",IF(J4305&gt;=6,"Fuerte (6-6.9)",IF(J4305&gt;=5,"Moderado alto (5-5.9)",IF(J4305&gt;=4,"Moderado (4-4.9)","Menor a 4"))))</x:f>
        <x:v>Moderado (4-4.9)</x:v>
      </x:c>
      <x:c r="L4305" s="25" t="str">
        <x:f>IF(I4305&lt;70,"Superficial (&lt;70 km)",IF(I4305&lt;=300,"Intermedio (70-300 km)","Profundo (&gt;300 km)"))</x:f>
        <x:v>Intermedio (70-300 km)</x:v>
      </x:c>
      <x:c r="M4305" s="25" t="str">
        <x:f>IF(J4305&gt;=5,"Sí","No")</x:f>
        <x:v>No</x:v>
      </x:c>
      <x:c r="N4305" s="25" t="str">
        <x:f>IF(J4305&gt;=6,"Sí","No")</x:f>
        <x:v>No</x:v>
      </x:c>
      <x:c r="O4305" s="25" t="str">
        <x:v>Pendiente: asignar con R/sf</x:v>
      </x:c>
    </x:row>
    <x:row r="4306">
      <x:c r="A4306" s="25" t="n">
        <x:v>4305</x:v>
      </x:c>
      <x:c r="B4306" s="26" t="n">
        <x:v>43605.4712037037</x:v>
      </x:c>
      <x:c r="C4306" s="27" t="n">
        <x:f>INT(B4306)</x:f>
        <x:v>43605</x:v>
      </x:c>
      <x:c r="D4306" s="28" t="n">
        <x:f>MOD(B4306,1)</x:f>
        <x:v>0.47120370370248565</x:v>
      </x:c>
      <x:c r="E4306" s="29" t="n">
        <x:f>YEAR(B4306)</x:f>
        <x:v>2019</x:v>
      </x:c>
      <x:c r="F4306" s="29" t="n">
        <x:f>MONTH(B4306)</x:f>
        <x:v>5</x:v>
      </x:c>
      <x:c r="G4306" s="30" t="n">
        <x:v>-31.49</x:v>
      </x:c>
      <x:c r="H4306" s="30" t="n">
        <x:v>-70.23</x:v>
      </x:c>
      <x:c r="I4306" s="29" t="n">
        <x:v>134</x:v>
      </x:c>
      <x:c r="J4306" s="31" t="n">
        <x:v>5.6</x:v>
      </x:c>
      <x:c r="K4306" s="25" t="str">
        <x:f>IF(J4306&gt;=7,"Muy fuerte (&gt;=7)",IF(J4306&gt;=6,"Fuerte (6-6.9)",IF(J4306&gt;=5,"Moderado alto (5-5.9)",IF(J4306&gt;=4,"Moderado (4-4.9)","Menor a 4"))))</x:f>
        <x:v>Moderado alto (5-5.9)</x:v>
      </x:c>
      <x:c r="L4306" s="25" t="str">
        <x:f>IF(I4306&lt;70,"Superficial (&lt;70 km)",IF(I4306&lt;=300,"Intermedio (70-300 km)","Profundo (&gt;300 km)"))</x:f>
        <x:v>Intermedio (70-300 km)</x:v>
      </x:c>
      <x:c r="M4306" s="25" t="str">
        <x:f>IF(J4306&gt;=5,"Sí","No")</x:f>
        <x:v>Sí</x:v>
      </x:c>
      <x:c r="N4306" s="25" t="str">
        <x:f>IF(J4306&gt;=6,"Sí","No")</x:f>
        <x:v>No</x:v>
      </x:c>
      <x:c r="O4306" s="25" t="str">
        <x:v>Pendiente: asignar con R/sf</x:v>
      </x:c>
    </x:row>
    <x:row r="4307">
      <x:c r="A4307" s="25" t="n">
        <x:v>4306</x:v>
      </x:c>
      <x:c r="B4307" s="26" t="n">
        <x:v>43447.16978009259</x:v>
      </x:c>
      <x:c r="C4307" s="27" t="n">
        <x:f>INT(B4307)</x:f>
        <x:v>43447</x:v>
      </x:c>
      <x:c r="D4307" s="28" t="n">
        <x:f>MOD(B4307,1)</x:f>
        <x:v>0.16978009259037208</x:v>
      </x:c>
      <x:c r="E4307" s="29" t="n">
        <x:f>YEAR(B4307)</x:f>
        <x:v>2018</x:v>
      </x:c>
      <x:c r="F4307" s="29" t="n">
        <x:f>MONTH(B4307)</x:f>
        <x:v>12</x:v>
      </x:c>
      <x:c r="G4307" s="30" t="n">
        <x:v>-27.67</x:v>
      </x:c>
      <x:c r="H4307" s="30" t="n">
        <x:v>-69.29</x:v>
      </x:c>
      <x:c r="I4307" s="29" t="n">
        <x:v>111</x:v>
      </x:c>
      <x:c r="J4307" s="31" t="n">
        <x:v>4.8</x:v>
      </x:c>
      <x:c r="K4307" s="25" t="str">
        <x:f>IF(J4307&gt;=7,"Muy fuerte (&gt;=7)",IF(J4307&gt;=6,"Fuerte (6-6.9)",IF(J4307&gt;=5,"Moderado alto (5-5.9)",IF(J4307&gt;=4,"Moderado (4-4.9)","Menor a 4"))))</x:f>
        <x:v>Moderado (4-4.9)</x:v>
      </x:c>
      <x:c r="L4307" s="25" t="str">
        <x:f>IF(I4307&lt;70,"Superficial (&lt;70 km)",IF(I4307&lt;=300,"Intermedio (70-300 km)","Profundo (&gt;300 km)"))</x:f>
        <x:v>Intermedio (70-300 km)</x:v>
      </x:c>
      <x:c r="M4307" s="25" t="str">
        <x:f>IF(J4307&gt;=5,"Sí","No")</x:f>
        <x:v>No</x:v>
      </x:c>
      <x:c r="N4307" s="25" t="str">
        <x:f>IF(J4307&gt;=6,"Sí","No")</x:f>
        <x:v>No</x:v>
      </x:c>
      <x:c r="O4307" s="25" t="str">
        <x:v>Pendiente: asignar con R/sf</x:v>
      </x:c>
    </x:row>
    <x:row r="4308">
      <x:c r="A4308" s="25" t="n">
        <x:v>4307</x:v>
      </x:c>
      <x:c r="B4308" s="26" t="n">
        <x:v>43597.279444444444</x:v>
      </x:c>
      <x:c r="C4308" s="27" t="n">
        <x:f>INT(B4308)</x:f>
        <x:v>43597</x:v>
      </x:c>
      <x:c r="D4308" s="28" t="n">
        <x:f>MOD(B4308,1)</x:f>
        <x:v>0.27944444444437977</x:v>
      </x:c>
      <x:c r="E4308" s="29" t="n">
        <x:f>YEAR(B4308)</x:f>
        <x:v>2019</x:v>
      </x:c>
      <x:c r="F4308" s="29" t="n">
        <x:f>MONTH(B4308)</x:f>
        <x:v>5</x:v>
      </x:c>
      <x:c r="G4308" s="30" t="n">
        <x:v>-22.02</x:v>
      </x:c>
      <x:c r="H4308" s="30" t="n">
        <x:v>-69.95</x:v>
      </x:c>
      <x:c r="I4308" s="29" t="n">
        <x:v>50</x:v>
      </x:c>
      <x:c r="J4308" s="31" t="n">
        <x:v>4</x:v>
      </x:c>
      <x:c r="K4308" s="25" t="str">
        <x:f>IF(J4308&gt;=7,"Muy fuerte (&gt;=7)",IF(J4308&gt;=6,"Fuerte (6-6.9)",IF(J4308&gt;=5,"Moderado alto (5-5.9)",IF(J4308&gt;=4,"Moderado (4-4.9)","Menor a 4"))))</x:f>
        <x:v>Moderado (4-4.9)</x:v>
      </x:c>
      <x:c r="L4308" s="25" t="str">
        <x:f>IF(I4308&lt;70,"Superficial (&lt;70 km)",IF(I4308&lt;=300,"Intermedio (70-300 km)","Profundo (&gt;300 km)"))</x:f>
        <x:v>Superficial (&lt;70 km)</x:v>
      </x:c>
      <x:c r="M4308" s="25" t="str">
        <x:f>IF(J4308&gt;=5,"Sí","No")</x:f>
        <x:v>No</x:v>
      </x:c>
      <x:c r="N4308" s="25" t="str">
        <x:f>IF(J4308&gt;=6,"Sí","No")</x:f>
        <x:v>No</x:v>
      </x:c>
      <x:c r="O4308" s="25" t="str">
        <x:v>Pendiente: asignar con R/sf</x:v>
      </x:c>
    </x:row>
    <x:row r="4309">
      <x:c r="A4309" s="25" t="n">
        <x:v>4308</x:v>
      </x:c>
      <x:c r="B4309" s="26" t="n">
        <x:v>43457.78524305556</x:v>
      </x:c>
      <x:c r="C4309" s="27" t="n">
        <x:f>INT(B4309)</x:f>
        <x:v>43457</x:v>
      </x:c>
      <x:c r="D4309" s="28" t="n">
        <x:f>MOD(B4309,1)</x:f>
        <x:v>0.7852430555576575</x:v>
      </x:c>
      <x:c r="E4309" s="29" t="n">
        <x:f>YEAR(B4309)</x:f>
        <x:v>2018</x:v>
      </x:c>
      <x:c r="F4309" s="29" t="n">
        <x:f>MONTH(B4309)</x:f>
        <x:v>12</x:v>
      </x:c>
      <x:c r="G4309" s="30" t="n">
        <x:v>-27.58</x:v>
      </x:c>
      <x:c r="H4309" s="30" t="n">
        <x:v>-69.38</x:v>
      </x:c>
      <x:c r="I4309" s="29" t="n">
        <x:v>118</x:v>
      </x:c>
      <x:c r="J4309" s="31" t="n">
        <x:v>4.4</x:v>
      </x:c>
      <x:c r="K4309" s="25" t="str">
        <x:f>IF(J4309&gt;=7,"Muy fuerte (&gt;=7)",IF(J4309&gt;=6,"Fuerte (6-6.9)",IF(J4309&gt;=5,"Moderado alto (5-5.9)",IF(J4309&gt;=4,"Moderado (4-4.9)","Menor a 4"))))</x:f>
        <x:v>Moderado (4-4.9)</x:v>
      </x:c>
      <x:c r="L4309" s="25" t="str">
        <x:f>IF(I4309&lt;70,"Superficial (&lt;70 km)",IF(I4309&lt;=300,"Intermedio (70-300 km)","Profundo (&gt;300 km)"))</x:f>
        <x:v>Intermedio (70-300 km)</x:v>
      </x:c>
      <x:c r="M4309" s="25" t="str">
        <x:f>IF(J4309&gt;=5,"Sí","No")</x:f>
        <x:v>No</x:v>
      </x:c>
      <x:c r="N4309" s="25" t="str">
        <x:f>IF(J4309&gt;=6,"Sí","No")</x:f>
        <x:v>No</x:v>
      </x:c>
      <x:c r="O4309" s="25" t="str">
        <x:v>Pendiente: asignar con R/sf</x:v>
      </x:c>
    </x:row>
    <x:row r="4310">
      <x:c r="A4310" s="25" t="n">
        <x:v>4309</x:v>
      </x:c>
      <x:c r="B4310" s="26" t="n">
        <x:v>43533.09511574074</x:v>
      </x:c>
      <x:c r="C4310" s="27" t="n">
        <x:f>INT(B4310)</x:f>
        <x:v>43533</x:v>
      </x:c>
      <x:c r="D4310" s="28" t="n">
        <x:f>MOD(B4310,1)</x:f>
        <x:v>0.09511574073985685</x:v>
      </x:c>
      <x:c r="E4310" s="29" t="n">
        <x:f>YEAR(B4310)</x:f>
        <x:v>2019</x:v>
      </x:c>
      <x:c r="F4310" s="29" t="n">
        <x:f>MONTH(B4310)</x:f>
        <x:v>3</x:v>
      </x:c>
      <x:c r="G4310" s="30" t="n">
        <x:v>-30.24</x:v>
      </x:c>
      <x:c r="H4310" s="30" t="n">
        <x:v>-71.32</x:v>
      </x:c>
      <x:c r="I4310" s="29" t="n">
        <x:v>55</x:v>
      </x:c>
      <x:c r="J4310" s="31" t="n">
        <x:v>4.9</x:v>
      </x:c>
      <x:c r="K4310" s="25" t="str">
        <x:f>IF(J4310&gt;=7,"Muy fuerte (&gt;=7)",IF(J4310&gt;=6,"Fuerte (6-6.9)",IF(J4310&gt;=5,"Moderado alto (5-5.9)",IF(J4310&gt;=4,"Moderado (4-4.9)","Menor a 4"))))</x:f>
        <x:v>Moderado (4-4.9)</x:v>
      </x:c>
      <x:c r="L4310" s="25" t="str">
        <x:f>IF(I4310&lt;70,"Superficial (&lt;70 km)",IF(I4310&lt;=300,"Intermedio (70-300 km)","Profundo (&gt;300 km)"))</x:f>
        <x:v>Superficial (&lt;70 km)</x:v>
      </x:c>
      <x:c r="M4310" s="25" t="str">
        <x:f>IF(J4310&gt;=5,"Sí","No")</x:f>
        <x:v>No</x:v>
      </x:c>
      <x:c r="N4310" s="25" t="str">
        <x:f>IF(J4310&gt;=6,"Sí","No")</x:f>
        <x:v>No</x:v>
      </x:c>
      <x:c r="O4310" s="25" t="str">
        <x:v>Pendiente: asignar con R/sf</x:v>
      </x:c>
    </x:row>
    <x:row r="4311">
      <x:c r="A4311" s="25" t="n">
        <x:v>4310</x:v>
      </x:c>
      <x:c r="B4311" s="26" t="n">
        <x:v>43559.50009259259</x:v>
      </x:c>
      <x:c r="C4311" s="27" t="n">
        <x:f>INT(B4311)</x:f>
        <x:v>43559</x:v>
      </x:c>
      <x:c r="D4311" s="28" t="n">
        <x:f>MOD(B4311,1)</x:f>
        <x:v>0.5000925925924093</x:v>
      </x:c>
      <x:c r="E4311" s="29" t="n">
        <x:f>YEAR(B4311)</x:f>
        <x:v>2019</x:v>
      </x:c>
      <x:c r="F4311" s="29" t="n">
        <x:f>MONTH(B4311)</x:f>
        <x:v>4</x:v>
      </x:c>
      <x:c r="G4311" s="30" t="n">
        <x:v>-30.25</x:v>
      </x:c>
      <x:c r="H4311" s="30" t="n">
        <x:v>-71.2</x:v>
      </x:c>
      <x:c r="I4311" s="29" t="n">
        <x:v>64</x:v>
      </x:c>
      <x:c r="J4311" s="31" t="n">
        <x:v>4.7</x:v>
      </x:c>
      <x:c r="K4311" s="25" t="str">
        <x:f>IF(J4311&gt;=7,"Muy fuerte (&gt;=7)",IF(J4311&gt;=6,"Fuerte (6-6.9)",IF(J4311&gt;=5,"Moderado alto (5-5.9)",IF(J4311&gt;=4,"Moderado (4-4.9)","Menor a 4"))))</x:f>
        <x:v>Moderado (4-4.9)</x:v>
      </x:c>
      <x:c r="L4311" s="25" t="str">
        <x:f>IF(I4311&lt;70,"Superficial (&lt;70 km)",IF(I4311&lt;=300,"Intermedio (70-300 km)","Profundo (&gt;300 km)"))</x:f>
        <x:v>Superficial (&lt;70 km)</x:v>
      </x:c>
      <x:c r="M4311" s="25" t="str">
        <x:f>IF(J4311&gt;=5,"Sí","No")</x:f>
        <x:v>No</x:v>
      </x:c>
      <x:c r="N4311" s="25" t="str">
        <x:f>IF(J4311&gt;=6,"Sí","No")</x:f>
        <x:v>No</x:v>
      </x:c>
      <x:c r="O4311" s="25" t="str">
        <x:v>Pendiente: asignar con R/sf</x:v>
      </x:c>
    </x:row>
    <x:row r="4312">
      <x:c r="A4312" s="25" t="n">
        <x:v>4311</x:v>
      </x:c>
      <x:c r="B4312" s="26" t="n">
        <x:v>43562.62333333334</x:v>
      </x:c>
      <x:c r="C4312" s="27" t="n">
        <x:f>INT(B4312)</x:f>
        <x:v>43562</x:v>
      </x:c>
      <x:c r="D4312" s="28" t="n">
        <x:f>MOD(B4312,1)</x:f>
        <x:v>0.6233333333366318</x:v>
      </x:c>
      <x:c r="E4312" s="29" t="n">
        <x:f>YEAR(B4312)</x:f>
        <x:v>2019</x:v>
      </x:c>
      <x:c r="F4312" s="29" t="n">
        <x:f>MONTH(B4312)</x:f>
        <x:v>4</x:v>
      </x:c>
      <x:c r="G4312" s="30" t="n">
        <x:v>-32</x:v>
      </x:c>
      <x:c r="H4312" s="30" t="n">
        <x:v>-71.59</x:v>
      </x:c>
      <x:c r="I4312" s="29" t="n">
        <x:v>48</x:v>
      </x:c>
      <x:c r="J4312" s="31" t="n">
        <x:v>4.1</x:v>
      </x:c>
      <x:c r="K4312" s="25" t="str">
        <x:f>IF(J4312&gt;=7,"Muy fuerte (&gt;=7)",IF(J4312&gt;=6,"Fuerte (6-6.9)",IF(J4312&gt;=5,"Moderado alto (5-5.9)",IF(J4312&gt;=4,"Moderado (4-4.9)","Menor a 4"))))</x:f>
        <x:v>Moderado (4-4.9)</x:v>
      </x:c>
      <x:c r="L4312" s="25" t="str">
        <x:f>IF(I4312&lt;70,"Superficial (&lt;70 km)",IF(I4312&lt;=300,"Intermedio (70-300 km)","Profundo (&gt;300 km)"))</x:f>
        <x:v>Superficial (&lt;70 km)</x:v>
      </x:c>
      <x:c r="M4312" s="25" t="str">
        <x:f>IF(J4312&gt;=5,"Sí","No")</x:f>
        <x:v>No</x:v>
      </x:c>
      <x:c r="N4312" s="25" t="str">
        <x:f>IF(J4312&gt;=6,"Sí","No")</x:f>
        <x:v>No</x:v>
      </x:c>
      <x:c r="O4312" s="25" t="str">
        <x:v>Pendiente: asignar con R/sf</x:v>
      </x:c>
    </x:row>
    <x:row r="4313">
      <x:c r="A4313" s="25" t="n">
        <x:v>4312</x:v>
      </x:c>
      <x:c r="B4313" s="26" t="n">
        <x:v>43594.93171296296</x:v>
      </x:c>
      <x:c r="C4313" s="27" t="n">
        <x:f>INT(B4313)</x:f>
        <x:v>43594</x:v>
      </x:c>
      <x:c r="D4313" s="28" t="n">
        <x:f>MOD(B4313,1)</x:f>
        <x:v>0.9317129629635019</x:v>
      </x:c>
      <x:c r="E4313" s="29" t="n">
        <x:f>YEAR(B4313)</x:f>
        <x:v>2019</x:v>
      </x:c>
      <x:c r="F4313" s="29" t="n">
        <x:f>MONTH(B4313)</x:f>
        <x:v>5</x:v>
      </x:c>
      <x:c r="G4313" s="30" t="n">
        <x:v>-21.19</x:v>
      </x:c>
      <x:c r="H4313" s="30" t="n">
        <x:v>-70.02</x:v>
      </x:c>
      <x:c r="I4313" s="29" t="n">
        <x:v>51</x:v>
      </x:c>
      <x:c r="J4313" s="31" t="n">
        <x:v>4.5</x:v>
      </x:c>
      <x:c r="K4313" s="25" t="str">
        <x:f>IF(J4313&gt;=7,"Muy fuerte (&gt;=7)",IF(J4313&gt;=6,"Fuerte (6-6.9)",IF(J4313&gt;=5,"Moderado alto (5-5.9)",IF(J4313&gt;=4,"Moderado (4-4.9)","Menor a 4"))))</x:f>
        <x:v>Moderado (4-4.9)</x:v>
      </x:c>
      <x:c r="L4313" s="25" t="str">
        <x:f>IF(I4313&lt;70,"Superficial (&lt;70 km)",IF(I4313&lt;=300,"Intermedio (70-300 km)","Profundo (&gt;300 km)"))</x:f>
        <x:v>Superficial (&lt;70 km)</x:v>
      </x:c>
      <x:c r="M4313" s="25" t="str">
        <x:f>IF(J4313&gt;=5,"Sí","No")</x:f>
        <x:v>No</x:v>
      </x:c>
      <x:c r="N4313" s="25" t="str">
        <x:f>IF(J4313&gt;=6,"Sí","No")</x:f>
        <x:v>No</x:v>
      </x:c>
      <x:c r="O4313" s="25" t="str">
        <x:v>Pendiente: asignar con R/sf</x:v>
      </x:c>
    </x:row>
    <x:row r="4314">
      <x:c r="A4314" s="25" t="n">
        <x:v>4313</x:v>
      </x:c>
      <x:c r="B4314" s="26" t="n">
        <x:v>43589.82714120371</x:v>
      </x:c>
      <x:c r="C4314" s="27" t="n">
        <x:f>INT(B4314)</x:f>
        <x:v>43589</x:v>
      </x:c>
      <x:c r="D4314" s="28" t="n">
        <x:f>MOD(B4314,1)</x:f>
        <x:v>0.8271412037065602</x:v>
      </x:c>
      <x:c r="E4314" s="29" t="n">
        <x:f>YEAR(B4314)</x:f>
        <x:v>2019</x:v>
      </x:c>
      <x:c r="F4314" s="29" t="n">
        <x:f>MONTH(B4314)</x:f>
        <x:v>5</x:v>
      </x:c>
      <x:c r="G4314" s="30" t="n">
        <x:v>-29.81</x:v>
      </x:c>
      <x:c r="H4314" s="30" t="n">
        <x:v>-71.52</x:v>
      </x:c>
      <x:c r="I4314" s="29" t="n">
        <x:v>49</x:v>
      </x:c>
      <x:c r="J4314" s="31" t="n">
        <x:v>4.2</x:v>
      </x:c>
      <x:c r="K4314" s="25" t="str">
        <x:f>IF(J4314&gt;=7,"Muy fuerte (&gt;=7)",IF(J4314&gt;=6,"Fuerte (6-6.9)",IF(J4314&gt;=5,"Moderado alto (5-5.9)",IF(J4314&gt;=4,"Moderado (4-4.9)","Menor a 4"))))</x:f>
        <x:v>Moderado (4-4.9)</x:v>
      </x:c>
      <x:c r="L4314" s="25" t="str">
        <x:f>IF(I4314&lt;70,"Superficial (&lt;70 km)",IF(I4314&lt;=300,"Intermedio (70-300 km)","Profundo (&gt;300 km)"))</x:f>
        <x:v>Superficial (&lt;70 km)</x:v>
      </x:c>
      <x:c r="M4314" s="25" t="str">
        <x:f>IF(J4314&gt;=5,"Sí","No")</x:f>
        <x:v>No</x:v>
      </x:c>
      <x:c r="N4314" s="25" t="str">
        <x:f>IF(J4314&gt;=6,"Sí","No")</x:f>
        <x:v>No</x:v>
      </x:c>
      <x:c r="O4314" s="25" t="str">
        <x:v>Pendiente: asignar con R/sf</x:v>
      </x:c>
    </x:row>
    <x:row r="4315">
      <x:c r="A4315" s="25" t="n">
        <x:v>4314</x:v>
      </x:c>
      <x:c r="B4315" s="26" t="n">
        <x:v>43542.997719907406</x:v>
      </x:c>
      <x:c r="C4315" s="27" t="n">
        <x:f>INT(B4315)</x:f>
        <x:v>43542</x:v>
      </x:c>
      <x:c r="D4315" s="28" t="n">
        <x:f>MOD(B4315,1)</x:f>
        <x:v>0.9977199074055534</x:v>
      </x:c>
      <x:c r="E4315" s="29" t="n">
        <x:f>YEAR(B4315)</x:f>
        <x:v>2019</x:v>
      </x:c>
      <x:c r="F4315" s="29" t="n">
        <x:f>MONTH(B4315)</x:f>
        <x:v>3</x:v>
      </x:c>
      <x:c r="G4315" s="30" t="n">
        <x:v>-30.22</x:v>
      </x:c>
      <x:c r="H4315" s="30" t="n">
        <x:v>-71.17</x:v>
      </x:c>
      <x:c r="I4315" s="29" t="n">
        <x:v>67</x:v>
      </x:c>
      <x:c r="J4315" s="31" t="n">
        <x:v>4.2</x:v>
      </x:c>
      <x:c r="K4315" s="25" t="str">
        <x:f>IF(J4315&gt;=7,"Muy fuerte (&gt;=7)",IF(J4315&gt;=6,"Fuerte (6-6.9)",IF(J4315&gt;=5,"Moderado alto (5-5.9)",IF(J4315&gt;=4,"Moderado (4-4.9)","Menor a 4"))))</x:f>
        <x:v>Moderado (4-4.9)</x:v>
      </x:c>
      <x:c r="L4315" s="25" t="str">
        <x:f>IF(I4315&lt;70,"Superficial (&lt;70 km)",IF(I4315&lt;=300,"Intermedio (70-300 km)","Profundo (&gt;300 km)"))</x:f>
        <x:v>Superficial (&lt;70 km)</x:v>
      </x:c>
      <x:c r="M4315" s="25" t="str">
        <x:f>IF(J4315&gt;=5,"Sí","No")</x:f>
        <x:v>No</x:v>
      </x:c>
      <x:c r="N4315" s="25" t="str">
        <x:f>IF(J4315&gt;=6,"Sí","No")</x:f>
        <x:v>No</x:v>
      </x:c>
      <x:c r="O4315" s="25" t="str">
        <x:v>Pendiente: asignar con R/sf</x:v>
      </x:c>
    </x:row>
    <x:row r="4316">
      <x:c r="A4316" s="25" t="n">
        <x:v>4315</x:v>
      </x:c>
      <x:c r="B4316" s="26" t="n">
        <x:v>43500.30956018518</x:v>
      </x:c>
      <x:c r="C4316" s="27" t="n">
        <x:f>INT(B4316)</x:f>
        <x:v>43500</x:v>
      </x:c>
      <x:c r="D4316" s="28" t="n">
        <x:f>MOD(B4316,1)</x:f>
        <x:v>0.3095601851819083</x:v>
      </x:c>
      <x:c r="E4316" s="29" t="n">
        <x:f>YEAR(B4316)</x:f>
        <x:v>2019</x:v>
      </x:c>
      <x:c r="F4316" s="29" t="n">
        <x:f>MONTH(B4316)</x:f>
        <x:v>2</x:v>
      </x:c>
      <x:c r="G4316" s="30" t="n">
        <x:v>-28.49</x:v>
      </x:c>
      <x:c r="H4316" s="30" t="n">
        <x:v>-70.48</x:v>
      </x:c>
      <x:c r="I4316" s="29" t="n">
        <x:v>111</x:v>
      </x:c>
      <x:c r="J4316" s="31" t="n">
        <x:v>4</x:v>
      </x:c>
      <x:c r="K4316" s="25" t="str">
        <x:f>IF(J4316&gt;=7,"Muy fuerte (&gt;=7)",IF(J4316&gt;=6,"Fuerte (6-6.9)",IF(J4316&gt;=5,"Moderado alto (5-5.9)",IF(J4316&gt;=4,"Moderado (4-4.9)","Menor a 4"))))</x:f>
        <x:v>Moderado (4-4.9)</x:v>
      </x:c>
      <x:c r="L4316" s="25" t="str">
        <x:f>IF(I4316&lt;70,"Superficial (&lt;70 km)",IF(I4316&lt;=300,"Intermedio (70-300 km)","Profundo (&gt;300 km)"))</x:f>
        <x:v>Intermedio (70-300 km)</x:v>
      </x:c>
      <x:c r="M4316" s="25" t="str">
        <x:f>IF(J4316&gt;=5,"Sí","No")</x:f>
        <x:v>No</x:v>
      </x:c>
      <x:c r="N4316" s="25" t="str">
        <x:f>IF(J4316&gt;=6,"Sí","No")</x:f>
        <x:v>No</x:v>
      </x:c>
      <x:c r="O4316" s="25" t="str">
        <x:v>Pendiente: asignar con R/sf</x:v>
      </x:c>
    </x:row>
    <x:row r="4317">
      <x:c r="A4317" s="25" t="n">
        <x:v>4316</x:v>
      </x:c>
      <x:c r="B4317" s="26" t="n">
        <x:v>43571.03763888889</x:v>
      </x:c>
      <x:c r="C4317" s="27" t="n">
        <x:f>INT(B4317)</x:f>
        <x:v>43571</x:v>
      </x:c>
      <x:c r="D4317" s="28" t="n">
        <x:f>MOD(B4317,1)</x:f>
        <x:v>0.03763888889079681</x:v>
      </x:c>
      <x:c r="E4317" s="29" t="n">
        <x:f>YEAR(B4317)</x:f>
        <x:v>2019</x:v>
      </x:c>
      <x:c r="F4317" s="29" t="n">
        <x:f>MONTH(B4317)</x:f>
        <x:v>4</x:v>
      </x:c>
      <x:c r="G4317" s="30" t="n">
        <x:v>-27.89</x:v>
      </x:c>
      <x:c r="H4317" s="30" t="n">
        <x:v>-71.37</x:v>
      </x:c>
      <x:c r="I4317" s="29" t="n">
        <x:v>27</x:v>
      </x:c>
      <x:c r="J4317" s="31" t="n">
        <x:v>4.7</x:v>
      </x:c>
      <x:c r="K4317" s="25" t="str">
        <x:f>IF(J4317&gt;=7,"Muy fuerte (&gt;=7)",IF(J4317&gt;=6,"Fuerte (6-6.9)",IF(J4317&gt;=5,"Moderado alto (5-5.9)",IF(J4317&gt;=4,"Moderado (4-4.9)","Menor a 4"))))</x:f>
        <x:v>Moderado (4-4.9)</x:v>
      </x:c>
      <x:c r="L4317" s="25" t="str">
        <x:f>IF(I4317&lt;70,"Superficial (&lt;70 km)",IF(I4317&lt;=300,"Intermedio (70-300 km)","Profundo (&gt;300 km)"))</x:f>
        <x:v>Superficial (&lt;70 km)</x:v>
      </x:c>
      <x:c r="M4317" s="25" t="str">
        <x:f>IF(J4317&gt;=5,"Sí","No")</x:f>
        <x:v>No</x:v>
      </x:c>
      <x:c r="N4317" s="25" t="str">
        <x:f>IF(J4317&gt;=6,"Sí","No")</x:f>
        <x:v>No</x:v>
      </x:c>
      <x:c r="O4317" s="25" t="str">
        <x:v>Pendiente: asignar con R/sf</x:v>
      </x:c>
    </x:row>
    <x:row r="4318">
      <x:c r="A4318" s="25" t="n">
        <x:v>4317</x:v>
      </x:c>
      <x:c r="B4318" s="26" t="n">
        <x:v>43615.14925925926</x:v>
      </x:c>
      <x:c r="C4318" s="27" t="n">
        <x:f>INT(B4318)</x:f>
        <x:v>43615</x:v>
      </x:c>
      <x:c r="D4318" s="28" t="n">
        <x:f>MOD(B4318,1)</x:f>
        <x:v>0.14925925926218042</x:v>
      </x:c>
      <x:c r="E4318" s="29" t="n">
        <x:f>YEAR(B4318)</x:f>
        <x:v>2019</x:v>
      </x:c>
      <x:c r="F4318" s="29" t="n">
        <x:f>MONTH(B4318)</x:f>
        <x:v>5</x:v>
      </x:c>
      <x:c r="G4318" s="30" t="n">
        <x:v>-23.46</x:v>
      </x:c>
      <x:c r="H4318" s="30" t="n">
        <x:v>-68.87</x:v>
      </x:c>
      <x:c r="I4318" s="29" t="n">
        <x:v>104</x:v>
      </x:c>
      <x:c r="J4318" s="31" t="n">
        <x:v>5</x:v>
      </x:c>
      <x:c r="K4318" s="25" t="str">
        <x:f>IF(J4318&gt;=7,"Muy fuerte (&gt;=7)",IF(J4318&gt;=6,"Fuerte (6-6.9)",IF(J4318&gt;=5,"Moderado alto (5-5.9)",IF(J4318&gt;=4,"Moderado (4-4.9)","Menor a 4"))))</x:f>
        <x:v>Moderado alto (5-5.9)</x:v>
      </x:c>
      <x:c r="L4318" s="25" t="str">
        <x:f>IF(I4318&lt;70,"Superficial (&lt;70 km)",IF(I4318&lt;=300,"Intermedio (70-300 km)","Profundo (&gt;300 km)"))</x:f>
        <x:v>Intermedio (70-300 km)</x:v>
      </x:c>
      <x:c r="M4318" s="25" t="str">
        <x:f>IF(J4318&gt;=5,"Sí","No")</x:f>
        <x:v>Sí</x:v>
      </x:c>
      <x:c r="N4318" s="25" t="str">
        <x:f>IF(J4318&gt;=6,"Sí","No")</x:f>
        <x:v>No</x:v>
      </x:c>
      <x:c r="O4318" s="25" t="str">
        <x:v>Pendiente: asignar con R/sf</x:v>
      </x:c>
    </x:row>
    <x:row r="4319">
      <x:c r="A4319" s="25" t="n">
        <x:v>4318</x:v>
      </x:c>
      <x:c r="B4319" s="26" t="n">
        <x:v>43301.47896990741</x:v>
      </x:c>
      <x:c r="C4319" s="27" t="n">
        <x:f>INT(B4319)</x:f>
        <x:v>43301</x:v>
      </x:c>
      <x:c r="D4319" s="28" t="n">
        <x:f>MOD(B4319,1)</x:f>
        <x:v>0.47896990740991896</x:v>
      </x:c>
      <x:c r="E4319" s="29" t="n">
        <x:f>YEAR(B4319)</x:f>
        <x:v>2018</x:v>
      </x:c>
      <x:c r="F4319" s="29" t="n">
        <x:f>MONTH(B4319)</x:f>
        <x:v>7</x:v>
      </x:c>
      <x:c r="G4319" s="30" t="n">
        <x:v>-27.61</x:v>
      </x:c>
      <x:c r="H4319" s="30" t="n">
        <x:v>-70.27</x:v>
      </x:c>
      <x:c r="I4319" s="29" t="n">
        <x:v>88</x:v>
      </x:c>
      <x:c r="J4319" s="31" t="n">
        <x:v>4</x:v>
      </x:c>
      <x:c r="K4319" s="25" t="str">
        <x:f>IF(J4319&gt;=7,"Muy fuerte (&gt;=7)",IF(J4319&gt;=6,"Fuerte (6-6.9)",IF(J4319&gt;=5,"Moderado alto (5-5.9)",IF(J4319&gt;=4,"Moderado (4-4.9)","Menor a 4"))))</x:f>
        <x:v>Moderado (4-4.9)</x:v>
      </x:c>
      <x:c r="L4319" s="25" t="str">
        <x:f>IF(I4319&lt;70,"Superficial (&lt;70 km)",IF(I4319&lt;=300,"Intermedio (70-300 km)","Profundo (&gt;300 km)"))</x:f>
        <x:v>Intermedio (70-300 km)</x:v>
      </x:c>
      <x:c r="M4319" s="25" t="str">
        <x:f>IF(J4319&gt;=5,"Sí","No")</x:f>
        <x:v>No</x:v>
      </x:c>
      <x:c r="N4319" s="25" t="str">
        <x:f>IF(J4319&gt;=6,"Sí","No")</x:f>
        <x:v>No</x:v>
      </x:c>
      <x:c r="O4319" s="25" t="str">
        <x:v>Pendiente: asignar con R/sf</x:v>
      </x:c>
    </x:row>
    <x:row r="4320">
      <x:c r="A4320" s="25" t="n">
        <x:v>4319</x:v>
      </x:c>
      <x:c r="B4320" s="26" t="n">
        <x:v>43531.390011574076</x:v>
      </x:c>
      <x:c r="C4320" s="27" t="n">
        <x:f>INT(B4320)</x:f>
        <x:v>43531</x:v>
      </x:c>
      <x:c r="D4320" s="28" t="n">
        <x:f>MOD(B4320,1)</x:f>
        <x:v>0.3900115740761976</x:v>
      </x:c>
      <x:c r="E4320" s="29" t="n">
        <x:f>YEAR(B4320)</x:f>
        <x:v>2019</x:v>
      </x:c>
      <x:c r="F4320" s="29" t="n">
        <x:f>MONTH(B4320)</x:f>
        <x:v>3</x:v>
      </x:c>
      <x:c r="G4320" s="30" t="n">
        <x:v>-30.23</x:v>
      </x:c>
      <x:c r="H4320" s="30" t="n">
        <x:v>-71.26</x:v>
      </x:c>
      <x:c r="I4320" s="29" t="n">
        <x:v>55</x:v>
      </x:c>
      <x:c r="J4320" s="31" t="n">
        <x:v>4</x:v>
      </x:c>
      <x:c r="K4320" s="25" t="str">
        <x:f>IF(J4320&gt;=7,"Muy fuerte (&gt;=7)",IF(J4320&gt;=6,"Fuerte (6-6.9)",IF(J4320&gt;=5,"Moderado alto (5-5.9)",IF(J4320&gt;=4,"Moderado (4-4.9)","Menor a 4"))))</x:f>
        <x:v>Moderado (4-4.9)</x:v>
      </x:c>
      <x:c r="L4320" s="25" t="str">
        <x:f>IF(I4320&lt;70,"Superficial (&lt;70 km)",IF(I4320&lt;=300,"Intermedio (70-300 km)","Profundo (&gt;300 km)"))</x:f>
        <x:v>Superficial (&lt;70 km)</x:v>
      </x:c>
      <x:c r="M4320" s="25" t="str">
        <x:f>IF(J4320&gt;=5,"Sí","No")</x:f>
        <x:v>No</x:v>
      </x:c>
      <x:c r="N4320" s="25" t="str">
        <x:f>IF(J4320&gt;=6,"Sí","No")</x:f>
        <x:v>No</x:v>
      </x:c>
      <x:c r="O4320" s="25" t="str">
        <x:v>Pendiente: asignar con R/sf</x:v>
      </x:c>
    </x:row>
    <x:row r="4321">
      <x:c r="A4321" s="25" t="n">
        <x:v>4320</x:v>
      </x:c>
      <x:c r="B4321" s="26" t="n">
        <x:v>43563.27756944444</x:v>
      </x:c>
      <x:c r="C4321" s="27" t="n">
        <x:f>INT(B4321)</x:f>
        <x:v>43563</x:v>
      </x:c>
      <x:c r="D4321" s="28" t="n">
        <x:f>MOD(B4321,1)</x:f>
        <x:v>0.27756944444263354</x:v>
      </x:c>
      <x:c r="E4321" s="29" t="n">
        <x:f>YEAR(B4321)</x:f>
        <x:v>2019</x:v>
      </x:c>
      <x:c r="F4321" s="29" t="n">
        <x:f>MONTH(B4321)</x:f>
        <x:v>4</x:v>
      </x:c>
      <x:c r="G4321" s="30" t="n">
        <x:v>-32.14</x:v>
      </x:c>
      <x:c r="H4321" s="30" t="n">
        <x:v>-71.54</x:v>
      </x:c>
      <x:c r="I4321" s="29" t="n">
        <x:v>32</x:v>
      </x:c>
      <x:c r="J4321" s="31" t="n">
        <x:v>4.6</x:v>
      </x:c>
      <x:c r="K4321" s="25" t="str">
        <x:f>IF(J4321&gt;=7,"Muy fuerte (&gt;=7)",IF(J4321&gt;=6,"Fuerte (6-6.9)",IF(J4321&gt;=5,"Moderado alto (5-5.9)",IF(J4321&gt;=4,"Moderado (4-4.9)","Menor a 4"))))</x:f>
        <x:v>Moderado (4-4.9)</x:v>
      </x:c>
      <x:c r="L4321" s="25" t="str">
        <x:f>IF(I4321&lt;70,"Superficial (&lt;70 km)",IF(I4321&lt;=300,"Intermedio (70-300 km)","Profundo (&gt;300 km)"))</x:f>
        <x:v>Superficial (&lt;70 km)</x:v>
      </x:c>
      <x:c r="M4321" s="25" t="str">
        <x:f>IF(J4321&gt;=5,"Sí","No")</x:f>
        <x:v>No</x:v>
      </x:c>
      <x:c r="N4321" s="25" t="str">
        <x:f>IF(J4321&gt;=6,"Sí","No")</x:f>
        <x:v>No</x:v>
      </x:c>
      <x:c r="O4321" s="25" t="str">
        <x:v>Pendiente: asignar con R/sf</x:v>
      </x:c>
    </x:row>
    <x:row r="4322">
      <x:c r="A4322" s="25" t="n">
        <x:v>4321</x:v>
      </x:c>
      <x:c r="B4322" s="26" t="n">
        <x:v>43345.75846064815</x:v>
      </x:c>
      <x:c r="C4322" s="27" t="n">
        <x:f>INT(B4322)</x:f>
        <x:v>43345</x:v>
      </x:c>
      <x:c r="D4322" s="28" t="n">
        <x:f>MOD(B4322,1)</x:f>
        <x:v>0.7584606481468654</x:v>
      </x:c>
      <x:c r="E4322" s="29" t="n">
        <x:f>YEAR(B4322)</x:f>
        <x:v>2018</x:v>
      </x:c>
      <x:c r="F4322" s="29" t="n">
        <x:f>MONTH(B4322)</x:f>
        <x:v>9</x:v>
      </x:c>
      <x:c r="G4322" s="30" t="n">
        <x:v>-28.33</x:v>
      </x:c>
      <x:c r="H4322" s="30" t="n">
        <x:v>-70.51</x:v>
      </x:c>
      <x:c r="I4322" s="29" t="n">
        <x:v>79</x:v>
      </x:c>
      <x:c r="J4322" s="31" t="n">
        <x:v>4.5</x:v>
      </x:c>
      <x:c r="K4322" s="25" t="str">
        <x:f>IF(J4322&gt;=7,"Muy fuerte (&gt;=7)",IF(J4322&gt;=6,"Fuerte (6-6.9)",IF(J4322&gt;=5,"Moderado alto (5-5.9)",IF(J4322&gt;=4,"Moderado (4-4.9)","Menor a 4"))))</x:f>
        <x:v>Moderado (4-4.9)</x:v>
      </x:c>
      <x:c r="L4322" s="25" t="str">
        <x:f>IF(I4322&lt;70,"Superficial (&lt;70 km)",IF(I4322&lt;=300,"Intermedio (70-300 km)","Profundo (&gt;300 km)"))</x:f>
        <x:v>Intermedio (70-300 km)</x:v>
      </x:c>
      <x:c r="M4322" s="25" t="str">
        <x:f>IF(J4322&gt;=5,"Sí","No")</x:f>
        <x:v>No</x:v>
      </x:c>
      <x:c r="N4322" s="25" t="str">
        <x:f>IF(J4322&gt;=6,"Sí","No")</x:f>
        <x:v>No</x:v>
      </x:c>
      <x:c r="O4322" s="25" t="str">
        <x:v>Pendiente: asignar con R/sf</x:v>
      </x:c>
    </x:row>
    <x:row r="4323">
      <x:c r="A4323" s="25" t="n">
        <x:v>4322</x:v>
      </x:c>
      <x:c r="B4323" s="26" t="n">
        <x:v>43534.54724537037</x:v>
      </x:c>
      <x:c r="C4323" s="27" t="n">
        <x:f>INT(B4323)</x:f>
        <x:v>43534</x:v>
      </x:c>
      <x:c r="D4323" s="28" t="n">
        <x:f>MOD(B4323,1)</x:f>
        <x:v>0.5472453703696374</x:v>
      </x:c>
      <x:c r="E4323" s="29" t="n">
        <x:f>YEAR(B4323)</x:f>
        <x:v>2019</x:v>
      </x:c>
      <x:c r="F4323" s="29" t="n">
        <x:f>MONTH(B4323)</x:f>
        <x:v>3</x:v>
      </x:c>
      <x:c r="G4323" s="30" t="n">
        <x:v>-25.78</x:v>
      </x:c>
      <x:c r="H4323" s="30" t="n">
        <x:v>-70.44</x:v>
      </x:c>
      <x:c r="I4323" s="29" t="n">
        <x:v>45</x:v>
      </x:c>
      <x:c r="J4323" s="31" t="n">
        <x:v>4.8</x:v>
      </x:c>
      <x:c r="K4323" s="25" t="str">
        <x:f>IF(J4323&gt;=7,"Muy fuerte (&gt;=7)",IF(J4323&gt;=6,"Fuerte (6-6.9)",IF(J4323&gt;=5,"Moderado alto (5-5.9)",IF(J4323&gt;=4,"Moderado (4-4.9)","Menor a 4"))))</x:f>
        <x:v>Moderado (4-4.9)</x:v>
      </x:c>
      <x:c r="L4323" s="25" t="str">
        <x:f>IF(I4323&lt;70,"Superficial (&lt;70 km)",IF(I4323&lt;=300,"Intermedio (70-300 km)","Profundo (&gt;300 km)"))</x:f>
        <x:v>Superficial (&lt;70 km)</x:v>
      </x:c>
      <x:c r="M4323" s="25" t="str">
        <x:f>IF(J4323&gt;=5,"Sí","No")</x:f>
        <x:v>No</x:v>
      </x:c>
      <x:c r="N4323" s="25" t="str">
        <x:f>IF(J4323&gt;=6,"Sí","No")</x:f>
        <x:v>No</x:v>
      </x:c>
      <x:c r="O4323" s="25" t="str">
        <x:v>Pendiente: asignar con R/sf</x:v>
      </x:c>
    </x:row>
    <x:row r="4324">
      <x:c r="A4324" s="25" t="n">
        <x:v>4323</x:v>
      </x:c>
      <x:c r="B4324" s="26" t="n">
        <x:v>43544.15895833333</x:v>
      </x:c>
      <x:c r="C4324" s="27" t="n">
        <x:f>INT(B4324)</x:f>
        <x:v>43544</x:v>
      </x:c>
      <x:c r="D4324" s="28" t="n">
        <x:f>MOD(B4324,1)</x:f>
        <x:v>0.15895833333343035</x:v>
      </x:c>
      <x:c r="E4324" s="29" t="n">
        <x:f>YEAR(B4324)</x:f>
        <x:v>2019</x:v>
      </x:c>
      <x:c r="F4324" s="29" t="n">
        <x:f>MONTH(B4324)</x:f>
        <x:v>3</x:v>
      </x:c>
      <x:c r="G4324" s="30" t="n">
        <x:v>-30.07</x:v>
      </x:c>
      <x:c r="H4324" s="30" t="n">
        <x:v>-71.29</x:v>
      </x:c>
      <x:c r="I4324" s="29" t="n">
        <x:v>64</x:v>
      </x:c>
      <x:c r="J4324" s="31" t="n">
        <x:v>4.1</x:v>
      </x:c>
      <x:c r="K4324" s="25" t="str">
        <x:f>IF(J4324&gt;=7,"Muy fuerte (&gt;=7)",IF(J4324&gt;=6,"Fuerte (6-6.9)",IF(J4324&gt;=5,"Moderado alto (5-5.9)",IF(J4324&gt;=4,"Moderado (4-4.9)","Menor a 4"))))</x:f>
        <x:v>Moderado (4-4.9)</x:v>
      </x:c>
      <x:c r="L4324" s="25" t="str">
        <x:f>IF(I4324&lt;70,"Superficial (&lt;70 km)",IF(I4324&lt;=300,"Intermedio (70-300 km)","Profundo (&gt;300 km)"))</x:f>
        <x:v>Superficial (&lt;70 km)</x:v>
      </x:c>
      <x:c r="M4324" s="25" t="str">
        <x:f>IF(J4324&gt;=5,"Sí","No")</x:f>
        <x:v>No</x:v>
      </x:c>
      <x:c r="N4324" s="25" t="str">
        <x:f>IF(J4324&gt;=6,"Sí","No")</x:f>
        <x:v>No</x:v>
      </x:c>
      <x:c r="O4324" s="25" t="str">
        <x:v>Pendiente: asignar con R/sf</x:v>
      </x:c>
    </x:row>
    <x:row r="4325">
      <x:c r="A4325" s="25" t="n">
        <x:v>4324</x:v>
      </x:c>
      <x:c r="B4325" s="26" t="n">
        <x:v>43405.953518518516</x:v>
      </x:c>
      <x:c r="C4325" s="27" t="n">
        <x:f>INT(B4325)</x:f>
        <x:v>43405</x:v>
      </x:c>
      <x:c r="D4325" s="28" t="n">
        <x:f>MOD(B4325,1)</x:f>
        <x:v>0.9535185185159207</x:v>
      </x:c>
      <x:c r="E4325" s="29" t="n">
        <x:f>YEAR(B4325)</x:f>
        <x:v>2018</x:v>
      </x:c>
      <x:c r="F4325" s="29" t="n">
        <x:f>MONTH(B4325)</x:f>
        <x:v>11</x:v>
      </x:c>
      <x:c r="G4325" s="30" t="n">
        <x:v>-27.22</x:v>
      </x:c>
      <x:c r="H4325" s="30" t="n">
        <x:v>-71.21</x:v>
      </x:c>
      <x:c r="I4325" s="29" t="n">
        <x:v>28</x:v>
      </x:c>
      <x:c r="J4325" s="31" t="n">
        <x:v>4.6</x:v>
      </x:c>
      <x:c r="K4325" s="25" t="str">
        <x:f>IF(J4325&gt;=7,"Muy fuerte (&gt;=7)",IF(J4325&gt;=6,"Fuerte (6-6.9)",IF(J4325&gt;=5,"Moderado alto (5-5.9)",IF(J4325&gt;=4,"Moderado (4-4.9)","Menor a 4"))))</x:f>
        <x:v>Moderado (4-4.9)</x:v>
      </x:c>
      <x:c r="L4325" s="25" t="str">
        <x:f>IF(I4325&lt;70,"Superficial (&lt;70 km)",IF(I4325&lt;=300,"Intermedio (70-300 km)","Profundo (&gt;300 km)"))</x:f>
        <x:v>Superficial (&lt;70 km)</x:v>
      </x:c>
      <x:c r="M4325" s="25" t="str">
        <x:f>IF(J4325&gt;=5,"Sí","No")</x:f>
        <x:v>No</x:v>
      </x:c>
      <x:c r="N4325" s="25" t="str">
        <x:f>IF(J4325&gt;=6,"Sí","No")</x:f>
        <x:v>No</x:v>
      </x:c>
      <x:c r="O4325" s="25" t="str">
        <x:v>Pendiente: asignar con R/sf</x:v>
      </x:c>
    </x:row>
    <x:row r="4326">
      <x:c r="A4326" s="25" t="n">
        <x:v>4325</x:v>
      </x:c>
      <x:c r="B4326" s="26" t="n">
        <x:v>43463.58146990741</x:v>
      </x:c>
      <x:c r="C4326" s="27" t="n">
        <x:f>INT(B4326)</x:f>
        <x:v>43463</x:v>
      </x:c>
      <x:c r="D4326" s="28" t="n">
        <x:f>MOD(B4326,1)</x:f>
        <x:v>0.5814699074107921</x:v>
      </x:c>
      <x:c r="E4326" s="29" t="n">
        <x:f>YEAR(B4326)</x:f>
        <x:v>2018</x:v>
      </x:c>
      <x:c r="F4326" s="29" t="n">
        <x:f>MONTH(B4326)</x:f>
        <x:v>12</x:v>
      </x:c>
      <x:c r="G4326" s="30" t="n">
        <x:v>-30.05</x:v>
      </x:c>
      <x:c r="H4326" s="30" t="n">
        <x:v>-71.14</x:v>
      </x:c>
      <x:c r="I4326" s="29" t="n">
        <x:v>75</x:v>
      </x:c>
      <x:c r="J4326" s="31" t="n">
        <x:v>4.1</x:v>
      </x:c>
      <x:c r="K4326" s="25" t="str">
        <x:f>IF(J4326&gt;=7,"Muy fuerte (&gt;=7)",IF(J4326&gt;=6,"Fuerte (6-6.9)",IF(J4326&gt;=5,"Moderado alto (5-5.9)",IF(J4326&gt;=4,"Moderado (4-4.9)","Menor a 4"))))</x:f>
        <x:v>Moderado (4-4.9)</x:v>
      </x:c>
      <x:c r="L4326" s="25" t="str">
        <x:f>IF(I4326&lt;70,"Superficial (&lt;70 km)",IF(I4326&lt;=300,"Intermedio (70-300 km)","Profundo (&gt;300 km)"))</x:f>
        <x:v>Intermedio (70-300 km)</x:v>
      </x:c>
      <x:c r="M4326" s="25" t="str">
        <x:f>IF(J4326&gt;=5,"Sí","No")</x:f>
        <x:v>No</x:v>
      </x:c>
      <x:c r="N4326" s="25" t="str">
        <x:f>IF(J4326&gt;=6,"Sí","No")</x:f>
        <x:v>No</x:v>
      </x:c>
      <x:c r="O4326" s="25" t="str">
        <x:v>Pendiente: asignar con R/sf</x:v>
      </x:c>
    </x:row>
    <x:row r="4327">
      <x:c r="A4327" s="25" t="n">
        <x:v>4326</x:v>
      </x:c>
      <x:c r="B4327" s="26" t="n">
        <x:v>43561.897939814815</x:v>
      </x:c>
      <x:c r="C4327" s="27" t="n">
        <x:f>INT(B4327)</x:f>
        <x:v>43561</x:v>
      </x:c>
      <x:c r="D4327" s="28" t="n">
        <x:f>MOD(B4327,1)</x:f>
        <x:v>0.8979398148148903</x:v>
      </x:c>
      <x:c r="E4327" s="29" t="n">
        <x:f>YEAR(B4327)</x:f>
        <x:v>2019</x:v>
      </x:c>
      <x:c r="F4327" s="29" t="n">
        <x:f>MONTH(B4327)</x:f>
        <x:v>4</x:v>
      </x:c>
      <x:c r="G4327" s="30" t="n">
        <x:v>-30.07</x:v>
      </x:c>
      <x:c r="H4327" s="30" t="n">
        <x:v>-71.27</x:v>
      </x:c>
      <x:c r="I4327" s="29" t="n">
        <x:v>63</x:v>
      </x:c>
      <x:c r="J4327" s="31" t="n">
        <x:v>4.9</x:v>
      </x:c>
      <x:c r="K4327" s="25" t="str">
        <x:f>IF(J4327&gt;=7,"Muy fuerte (&gt;=7)",IF(J4327&gt;=6,"Fuerte (6-6.9)",IF(J4327&gt;=5,"Moderado alto (5-5.9)",IF(J4327&gt;=4,"Moderado (4-4.9)","Menor a 4"))))</x:f>
        <x:v>Moderado (4-4.9)</x:v>
      </x:c>
      <x:c r="L4327" s="25" t="str">
        <x:f>IF(I4327&lt;70,"Superficial (&lt;70 km)",IF(I4327&lt;=300,"Intermedio (70-300 km)","Profundo (&gt;300 km)"))</x:f>
        <x:v>Superficial (&lt;70 km)</x:v>
      </x:c>
      <x:c r="M4327" s="25" t="str">
        <x:f>IF(J4327&gt;=5,"Sí","No")</x:f>
        <x:v>No</x:v>
      </x:c>
      <x:c r="N4327" s="25" t="str">
        <x:f>IF(J4327&gt;=6,"Sí","No")</x:f>
        <x:v>No</x:v>
      </x:c>
      <x:c r="O4327" s="25" t="str">
        <x:v>Pendiente: asignar con R/sf</x:v>
      </x:c>
    </x:row>
    <x:row r="4328">
      <x:c r="A4328" s="25" t="n">
        <x:v>4327</x:v>
      </x:c>
      <x:c r="B4328" s="26" t="n">
        <x:v>43508.59244212963</x:v>
      </x:c>
      <x:c r="C4328" s="27" t="n">
        <x:f>INT(B4328)</x:f>
        <x:v>43508</x:v>
      </x:c>
      <x:c r="D4328" s="28" t="n">
        <x:f>MOD(B4328,1)</x:f>
        <x:v>0.5924421296294895</x:v>
      </x:c>
      <x:c r="E4328" s="29" t="n">
        <x:f>YEAR(B4328)</x:f>
        <x:v>2019</x:v>
      </x:c>
      <x:c r="F4328" s="29" t="n">
        <x:f>MONTH(B4328)</x:f>
        <x:v>2</x:v>
      </x:c>
      <x:c r="G4328" s="30" t="n">
        <x:v>-29.73</x:v>
      </x:c>
      <x:c r="H4328" s="30" t="n">
        <x:v>-71.35</x:v>
      </x:c>
      <x:c r="I4328" s="29" t="n">
        <x:v>54</x:v>
      </x:c>
      <x:c r="J4328" s="31" t="n">
        <x:v>4.3</x:v>
      </x:c>
      <x:c r="K4328" s="25" t="str">
        <x:f>IF(J4328&gt;=7,"Muy fuerte (&gt;=7)",IF(J4328&gt;=6,"Fuerte (6-6.9)",IF(J4328&gt;=5,"Moderado alto (5-5.9)",IF(J4328&gt;=4,"Moderado (4-4.9)","Menor a 4"))))</x:f>
        <x:v>Moderado (4-4.9)</x:v>
      </x:c>
      <x:c r="L4328" s="25" t="str">
        <x:f>IF(I4328&lt;70,"Superficial (&lt;70 km)",IF(I4328&lt;=300,"Intermedio (70-300 km)","Profundo (&gt;300 km)"))</x:f>
        <x:v>Superficial (&lt;70 km)</x:v>
      </x:c>
      <x:c r="M4328" s="25" t="str">
        <x:f>IF(J4328&gt;=5,"Sí","No")</x:f>
        <x:v>No</x:v>
      </x:c>
      <x:c r="N4328" s="25" t="str">
        <x:f>IF(J4328&gt;=6,"Sí","No")</x:f>
        <x:v>No</x:v>
      </x:c>
      <x:c r="O4328" s="25" t="str">
        <x:v>Pendiente: asignar con R/sf</x:v>
      </x:c>
    </x:row>
    <x:row r="4329">
      <x:c r="A4329" s="25" t="n">
        <x:v>4328</x:v>
      </x:c>
      <x:c r="B4329" s="26" t="n">
        <x:v>43529.68850694445</x:v>
      </x:c>
      <x:c r="C4329" s="27" t="n">
        <x:f>INT(B4329)</x:f>
        <x:v>43529</x:v>
      </x:c>
      <x:c r="D4329" s="28" t="n">
        <x:f>MOD(B4329,1)</x:f>
        <x:v>0.6885069444469991</x:v>
      </x:c>
      <x:c r="E4329" s="29" t="n">
        <x:f>YEAR(B4329)</x:f>
        <x:v>2019</x:v>
      </x:c>
      <x:c r="F4329" s="29" t="n">
        <x:f>MONTH(B4329)</x:f>
        <x:v>3</x:v>
      </x:c>
      <x:c r="G4329" s="30" t="n">
        <x:v>-29.93</x:v>
      </x:c>
      <x:c r="H4329" s="30" t="n">
        <x:v>-71.59</x:v>
      </x:c>
      <x:c r="I4329" s="29" t="n">
        <x:v>44</x:v>
      </x:c>
      <x:c r="J4329" s="31" t="n">
        <x:v>4.4</x:v>
      </x:c>
      <x:c r="K4329" s="25" t="str">
        <x:f>IF(J4329&gt;=7,"Muy fuerte (&gt;=7)",IF(J4329&gt;=6,"Fuerte (6-6.9)",IF(J4329&gt;=5,"Moderado alto (5-5.9)",IF(J4329&gt;=4,"Moderado (4-4.9)","Menor a 4"))))</x:f>
        <x:v>Moderado (4-4.9)</x:v>
      </x:c>
      <x:c r="L4329" s="25" t="str">
        <x:f>IF(I4329&lt;70,"Superficial (&lt;70 km)",IF(I4329&lt;=300,"Intermedio (70-300 km)","Profundo (&gt;300 km)"))</x:f>
        <x:v>Superficial (&lt;70 km)</x:v>
      </x:c>
      <x:c r="M4329" s="25" t="str">
        <x:f>IF(J4329&gt;=5,"Sí","No")</x:f>
        <x:v>No</x:v>
      </x:c>
      <x:c r="N4329" s="25" t="str">
        <x:f>IF(J4329&gt;=6,"Sí","No")</x:f>
        <x:v>No</x:v>
      </x:c>
      <x:c r="O4329" s="25" t="str">
        <x:v>Pendiente: asignar con R/sf</x:v>
      </x:c>
    </x:row>
    <x:row r="4330">
      <x:c r="A4330" s="25" t="n">
        <x:v>4329</x:v>
      </x:c>
      <x:c r="B4330" s="26" t="n">
        <x:v>43531.27371527778</x:v>
      </x:c>
      <x:c r="C4330" s="27" t="n">
        <x:f>INT(B4330)</x:f>
        <x:v>43531</x:v>
      </x:c>
      <x:c r="D4330" s="28" t="n">
        <x:f>MOD(B4330,1)</x:f>
        <x:v>0.27371527777722804</x:v>
      </x:c>
      <x:c r="E4330" s="29" t="n">
        <x:f>YEAR(B4330)</x:f>
        <x:v>2019</x:v>
      </x:c>
      <x:c r="F4330" s="29" t="n">
        <x:f>MONTH(B4330)</x:f>
        <x:v>3</x:v>
      </x:c>
      <x:c r="G4330" s="30" t="n">
        <x:v>-30.18</x:v>
      </x:c>
      <x:c r="H4330" s="30" t="n">
        <x:v>-71.23</x:v>
      </x:c>
      <x:c r="I4330" s="29" t="n">
        <x:v>58</x:v>
      </x:c>
      <x:c r="J4330" s="31" t="n">
        <x:v>4.4</x:v>
      </x:c>
      <x:c r="K4330" s="25" t="str">
        <x:f>IF(J4330&gt;=7,"Muy fuerte (&gt;=7)",IF(J4330&gt;=6,"Fuerte (6-6.9)",IF(J4330&gt;=5,"Moderado alto (5-5.9)",IF(J4330&gt;=4,"Moderado (4-4.9)","Menor a 4"))))</x:f>
        <x:v>Moderado (4-4.9)</x:v>
      </x:c>
      <x:c r="L4330" s="25" t="str">
        <x:f>IF(I4330&lt;70,"Superficial (&lt;70 km)",IF(I4330&lt;=300,"Intermedio (70-300 km)","Profundo (&gt;300 km)"))</x:f>
        <x:v>Superficial (&lt;70 km)</x:v>
      </x:c>
      <x:c r="M4330" s="25" t="str">
        <x:f>IF(J4330&gt;=5,"Sí","No")</x:f>
        <x:v>No</x:v>
      </x:c>
      <x:c r="N4330" s="25" t="str">
        <x:f>IF(J4330&gt;=6,"Sí","No")</x:f>
        <x:v>No</x:v>
      </x:c>
      <x:c r="O4330" s="25" t="str">
        <x:v>Pendiente: asignar con R/sf</x:v>
      </x:c>
    </x:row>
    <x:row r="4331">
      <x:c r="A4331" s="25" t="n">
        <x:v>4330</x:v>
      </x:c>
      <x:c r="B4331" s="26" t="n">
        <x:v>43457.53212962963</x:v>
      </x:c>
      <x:c r="C4331" s="27" t="n">
        <x:f>INT(B4331)</x:f>
        <x:v>43457</x:v>
      </x:c>
      <x:c r="D4331" s="28" t="n">
        <x:f>MOD(B4331,1)</x:f>
        <x:v>0.5321296296315268</x:v>
      </x:c>
      <x:c r="E4331" s="29" t="n">
        <x:f>YEAR(B4331)</x:f>
        <x:v>2018</x:v>
      </x:c>
      <x:c r="F4331" s="29" t="n">
        <x:f>MONTH(B4331)</x:f>
        <x:v>12</x:v>
      </x:c>
      <x:c r="G4331" s="30" t="n">
        <x:v>-27.48</x:v>
      </x:c>
      <x:c r="H4331" s="30" t="n">
        <x:v>-70.25</x:v>
      </x:c>
      <x:c r="I4331" s="29" t="n">
        <x:v>96</x:v>
      </x:c>
      <x:c r="J4331" s="31" t="n">
        <x:v>4.3</x:v>
      </x:c>
      <x:c r="K4331" s="25" t="str">
        <x:f>IF(J4331&gt;=7,"Muy fuerte (&gt;=7)",IF(J4331&gt;=6,"Fuerte (6-6.9)",IF(J4331&gt;=5,"Moderado alto (5-5.9)",IF(J4331&gt;=4,"Moderado (4-4.9)","Menor a 4"))))</x:f>
        <x:v>Moderado (4-4.9)</x:v>
      </x:c>
      <x:c r="L4331" s="25" t="str">
        <x:f>IF(I4331&lt;70,"Superficial (&lt;70 km)",IF(I4331&lt;=300,"Intermedio (70-300 km)","Profundo (&gt;300 km)"))</x:f>
        <x:v>Intermedio (70-300 km)</x:v>
      </x:c>
      <x:c r="M4331" s="25" t="str">
        <x:f>IF(J4331&gt;=5,"Sí","No")</x:f>
        <x:v>No</x:v>
      </x:c>
      <x:c r="N4331" s="25" t="str">
        <x:f>IF(J4331&gt;=6,"Sí","No")</x:f>
        <x:v>No</x:v>
      </x:c>
      <x:c r="O4331" s="25" t="str">
        <x:v>Pendiente: asignar con R/sf</x:v>
      </x:c>
    </x:row>
    <x:row r="4332">
      <x:c r="A4332" s="25" t="n">
        <x:v>4331</x:v>
      </x:c>
      <x:c r="B4332" s="26" t="n">
        <x:v>43583.50210648148</x:v>
      </x:c>
      <x:c r="C4332" s="27" t="n">
        <x:f>INT(B4332)</x:f>
        <x:v>43583</x:v>
      </x:c>
      <x:c r="D4332" s="28" t="n">
        <x:f>MOD(B4332,1)</x:f>
        <x:v>0.5021064814791316</x:v>
      </x:c>
      <x:c r="E4332" s="29" t="n">
        <x:f>YEAR(B4332)</x:f>
        <x:v>2019</x:v>
      </x:c>
      <x:c r="F4332" s="29" t="n">
        <x:f>MONTH(B4332)</x:f>
        <x:v>4</x:v>
      </x:c>
      <x:c r="G4332" s="30" t="n">
        <x:v>-32.2</x:v>
      </x:c>
      <x:c r="H4332" s="30" t="n">
        <x:v>-71.86</x:v>
      </x:c>
      <x:c r="I4332" s="29" t="n">
        <x:v>35</x:v>
      </x:c>
      <x:c r="J4332" s="31" t="n">
        <x:v>4.8</x:v>
      </x:c>
      <x:c r="K4332" s="25" t="str">
        <x:f>IF(J4332&gt;=7,"Muy fuerte (&gt;=7)",IF(J4332&gt;=6,"Fuerte (6-6.9)",IF(J4332&gt;=5,"Moderado alto (5-5.9)",IF(J4332&gt;=4,"Moderado (4-4.9)","Menor a 4"))))</x:f>
        <x:v>Moderado (4-4.9)</x:v>
      </x:c>
      <x:c r="L4332" s="25" t="str">
        <x:f>IF(I4332&lt;70,"Superficial (&lt;70 km)",IF(I4332&lt;=300,"Intermedio (70-300 km)","Profundo (&gt;300 km)"))</x:f>
        <x:v>Superficial (&lt;70 km)</x:v>
      </x:c>
      <x:c r="M4332" s="25" t="str">
        <x:f>IF(J4332&gt;=5,"Sí","No")</x:f>
        <x:v>No</x:v>
      </x:c>
      <x:c r="N4332" s="25" t="str">
        <x:f>IF(J4332&gt;=6,"Sí","No")</x:f>
        <x:v>No</x:v>
      </x:c>
      <x:c r="O4332" s="25" t="str">
        <x:v>Pendiente: asignar con R/sf</x:v>
      </x:c>
    </x:row>
    <x:row r="4333">
      <x:c r="A4333" s="25" t="n">
        <x:v>4332</x:v>
      </x:c>
      <x:c r="B4333" s="26" t="n">
        <x:v>43583.43431712963</x:v>
      </x:c>
      <x:c r="C4333" s="27" t="n">
        <x:f>INT(B4333)</x:f>
        <x:v>43583</x:v>
      </x:c>
      <x:c r="D4333" s="28" t="n">
        <x:f>MOD(B4333,1)</x:f>
        <x:v>0.43431712962774327</x:v>
      </x:c>
      <x:c r="E4333" s="29" t="n">
        <x:f>YEAR(B4333)</x:f>
        <x:v>2019</x:v>
      </x:c>
      <x:c r="F4333" s="29" t="n">
        <x:f>MONTH(B4333)</x:f>
        <x:v>4</x:v>
      </x:c>
      <x:c r="G4333" s="30" t="n">
        <x:v>-24.09</x:v>
      </x:c>
      <x:c r="H4333" s="30" t="n">
        <x:v>-70.72</x:v>
      </x:c>
      <x:c r="I4333" s="29" t="n">
        <x:v>43</x:v>
      </x:c>
      <x:c r="J4333" s="31" t="n">
        <x:v>4.7</x:v>
      </x:c>
      <x:c r="K4333" s="25" t="str">
        <x:f>IF(J4333&gt;=7,"Muy fuerte (&gt;=7)",IF(J4333&gt;=6,"Fuerte (6-6.9)",IF(J4333&gt;=5,"Moderado alto (5-5.9)",IF(J4333&gt;=4,"Moderado (4-4.9)","Menor a 4"))))</x:f>
        <x:v>Moderado (4-4.9)</x:v>
      </x:c>
      <x:c r="L4333" s="25" t="str">
        <x:f>IF(I4333&lt;70,"Superficial (&lt;70 km)",IF(I4333&lt;=300,"Intermedio (70-300 km)","Profundo (&gt;300 km)"))</x:f>
        <x:v>Superficial (&lt;70 km)</x:v>
      </x:c>
      <x:c r="M4333" s="25" t="str">
        <x:f>IF(J4333&gt;=5,"Sí","No")</x:f>
        <x:v>No</x:v>
      </x:c>
      <x:c r="N4333" s="25" t="str">
        <x:f>IF(J4333&gt;=6,"Sí","No")</x:f>
        <x:v>No</x:v>
      </x:c>
      <x:c r="O4333" s="25" t="str">
        <x:v>Pendiente: asignar con R/sf</x:v>
      </x:c>
    </x:row>
    <x:row r="4334">
      <x:c r="A4334" s="25" t="n">
        <x:v>4333</x:v>
      </x:c>
      <x:c r="B4334" s="26" t="n">
        <x:v>43603.98094907407</x:v>
      </x:c>
      <x:c r="C4334" s="27" t="n">
        <x:f>INT(B4334)</x:f>
        <x:v>43603</x:v>
      </x:c>
      <x:c r="D4334" s="28" t="n">
        <x:f>MOD(B4334,1)</x:f>
        <x:v>0.9809490740735782</x:v>
      </x:c>
      <x:c r="E4334" s="29" t="n">
        <x:f>YEAR(B4334)</x:f>
        <x:v>2019</x:v>
      </x:c>
      <x:c r="F4334" s="29" t="n">
        <x:f>MONTH(B4334)</x:f>
        <x:v>5</x:v>
      </x:c>
      <x:c r="G4334" s="30" t="n">
        <x:v>-20.19</x:v>
      </x:c>
      <x:c r="H4334" s="30" t="n">
        <x:v>-69.37</x:v>
      </x:c>
      <x:c r="I4334" s="29" t="n">
        <x:v>102</x:v>
      </x:c>
      <x:c r="J4334" s="31" t="n">
        <x:v>4</x:v>
      </x:c>
      <x:c r="K4334" s="25" t="str">
        <x:f>IF(J4334&gt;=7,"Muy fuerte (&gt;=7)",IF(J4334&gt;=6,"Fuerte (6-6.9)",IF(J4334&gt;=5,"Moderado alto (5-5.9)",IF(J4334&gt;=4,"Moderado (4-4.9)","Menor a 4"))))</x:f>
        <x:v>Moderado (4-4.9)</x:v>
      </x:c>
      <x:c r="L4334" s="25" t="str">
        <x:f>IF(I4334&lt;70,"Superficial (&lt;70 km)",IF(I4334&lt;=300,"Intermedio (70-300 km)","Profundo (&gt;300 km)"))</x:f>
        <x:v>Intermedio (70-300 km)</x:v>
      </x:c>
      <x:c r="M4334" s="25" t="str">
        <x:f>IF(J4334&gt;=5,"Sí","No")</x:f>
        <x:v>No</x:v>
      </x:c>
      <x:c r="N4334" s="25" t="str">
        <x:f>IF(J4334&gt;=6,"Sí","No")</x:f>
        <x:v>No</x:v>
      </x:c>
      <x:c r="O4334" s="25" t="str">
        <x:v>Pendiente: asignar con R/sf</x:v>
      </x:c>
    </x:row>
    <x:row r="4335">
      <x:c r="A4335" s="25" t="n">
        <x:v>4334</x:v>
      </x:c>
      <x:c r="B4335" s="26" t="n">
        <x:v>43600.330243055556</x:v>
      </x:c>
      <x:c r="C4335" s="27" t="n">
        <x:f>INT(B4335)</x:f>
        <x:v>43600</x:v>
      </x:c>
      <x:c r="D4335" s="28" t="n">
        <x:f>MOD(B4335,1)</x:f>
        <x:v>0.33024305555591127</x:v>
      </x:c>
      <x:c r="E4335" s="29" t="n">
        <x:f>YEAR(B4335)</x:f>
        <x:v>2019</x:v>
      </x:c>
      <x:c r="F4335" s="29" t="n">
        <x:f>MONTH(B4335)</x:f>
        <x:v>5</x:v>
      </x:c>
      <x:c r="G4335" s="30" t="n">
        <x:v>-21.66</x:v>
      </x:c>
      <x:c r="H4335" s="30" t="n">
        <x:v>-70.49</x:v>
      </x:c>
      <x:c r="I4335" s="29" t="n">
        <x:v>40</x:v>
      </x:c>
      <x:c r="J4335" s="31" t="n">
        <x:v>4.3</x:v>
      </x:c>
      <x:c r="K4335" s="25" t="str">
        <x:f>IF(J4335&gt;=7,"Muy fuerte (&gt;=7)",IF(J4335&gt;=6,"Fuerte (6-6.9)",IF(J4335&gt;=5,"Moderado alto (5-5.9)",IF(J4335&gt;=4,"Moderado (4-4.9)","Menor a 4"))))</x:f>
        <x:v>Moderado (4-4.9)</x:v>
      </x:c>
      <x:c r="L4335" s="25" t="str">
        <x:f>IF(I4335&lt;70,"Superficial (&lt;70 km)",IF(I4335&lt;=300,"Intermedio (70-300 km)","Profundo (&gt;300 km)"))</x:f>
        <x:v>Superficial (&lt;70 km)</x:v>
      </x:c>
      <x:c r="M4335" s="25" t="str">
        <x:f>IF(J4335&gt;=5,"Sí","No")</x:f>
        <x:v>No</x:v>
      </x:c>
      <x:c r="N4335" s="25" t="str">
        <x:f>IF(J4335&gt;=6,"Sí","No")</x:f>
        <x:v>No</x:v>
      </x:c>
      <x:c r="O4335" s="25" t="str">
        <x:v>Pendiente: asignar con R/sf</x:v>
      </x:c>
    </x:row>
    <x:row r="4336">
      <x:c r="A4336" s="25" t="n">
        <x:v>4335</x:v>
      </x:c>
      <x:c r="B4336" s="26" t="n">
        <x:v>43511.29173611111</x:v>
      </x:c>
      <x:c r="C4336" s="27" t="n">
        <x:f>INT(B4336)</x:f>
        <x:v>43511</x:v>
      </x:c>
      <x:c r="D4336" s="28" t="n">
        <x:f>MOD(B4336,1)</x:f>
        <x:v>0.29173611111036735</x:v>
      </x:c>
      <x:c r="E4336" s="29" t="n">
        <x:f>YEAR(B4336)</x:f>
        <x:v>2019</x:v>
      </x:c>
      <x:c r="F4336" s="29" t="n">
        <x:f>MONTH(B4336)</x:f>
        <x:v>2</x:v>
      </x:c>
      <x:c r="G4336" s="30" t="n">
        <x:v>-30.04</x:v>
      </x:c>
      <x:c r="H4336" s="30" t="n">
        <x:v>-71.21</x:v>
      </x:c>
      <x:c r="I4336" s="29" t="n">
        <x:v>61</x:v>
      </x:c>
      <x:c r="J4336" s="31" t="n">
        <x:v>4.4</x:v>
      </x:c>
      <x:c r="K4336" s="25" t="str">
        <x:f>IF(J4336&gt;=7,"Muy fuerte (&gt;=7)",IF(J4336&gt;=6,"Fuerte (6-6.9)",IF(J4336&gt;=5,"Moderado alto (5-5.9)",IF(J4336&gt;=4,"Moderado (4-4.9)","Menor a 4"))))</x:f>
        <x:v>Moderado (4-4.9)</x:v>
      </x:c>
      <x:c r="L4336" s="25" t="str">
        <x:f>IF(I4336&lt;70,"Superficial (&lt;70 km)",IF(I4336&lt;=300,"Intermedio (70-300 km)","Profundo (&gt;300 km)"))</x:f>
        <x:v>Superficial (&lt;70 km)</x:v>
      </x:c>
      <x:c r="M4336" s="25" t="str">
        <x:f>IF(J4336&gt;=5,"Sí","No")</x:f>
        <x:v>No</x:v>
      </x:c>
      <x:c r="N4336" s="25" t="str">
        <x:f>IF(J4336&gt;=6,"Sí","No")</x:f>
        <x:v>No</x:v>
      </x:c>
      <x:c r="O4336" s="25" t="str">
        <x:v>Pendiente: asignar con R/sf</x:v>
      </x:c>
    </x:row>
    <x:row r="4337">
      <x:c r="A4337" s="25" t="n">
        <x:v>4336</x:v>
      </x:c>
      <x:c r="B4337" s="26" t="n">
        <x:v>43621.680347222224</x:v>
      </x:c>
      <x:c r="C4337" s="27" t="n">
        <x:f>INT(B4337)</x:f>
        <x:v>43621</x:v>
      </x:c>
      <x:c r="D4337" s="28" t="n">
        <x:f>MOD(B4337,1)</x:f>
        <x:v>0.6803472222236451</x:v>
      </x:c>
      <x:c r="E4337" s="29" t="n">
        <x:f>YEAR(B4337)</x:f>
        <x:v>2019</x:v>
      </x:c>
      <x:c r="F4337" s="29" t="n">
        <x:f>MONTH(B4337)</x:f>
        <x:v>6</x:v>
      </x:c>
      <x:c r="G4337" s="30" t="n">
        <x:v>-27.41</x:v>
      </x:c>
      <x:c r="H4337" s="30" t="n">
        <x:v>-70.23</x:v>
      </x:c>
      <x:c r="I4337" s="29" t="n">
        <x:v>91</x:v>
      </x:c>
      <x:c r="J4337" s="31" t="n">
        <x:v>5.4</x:v>
      </x:c>
      <x:c r="K4337" s="25" t="str">
        <x:f>IF(J4337&gt;=7,"Muy fuerte (&gt;=7)",IF(J4337&gt;=6,"Fuerte (6-6.9)",IF(J4337&gt;=5,"Moderado alto (5-5.9)",IF(J4337&gt;=4,"Moderado (4-4.9)","Menor a 4"))))</x:f>
        <x:v>Moderado alto (5-5.9)</x:v>
      </x:c>
      <x:c r="L4337" s="25" t="str">
        <x:f>IF(I4337&lt;70,"Superficial (&lt;70 km)",IF(I4337&lt;=300,"Intermedio (70-300 km)","Profundo (&gt;300 km)"))</x:f>
        <x:v>Intermedio (70-300 km)</x:v>
      </x:c>
      <x:c r="M4337" s="25" t="str">
        <x:f>IF(J4337&gt;=5,"Sí","No")</x:f>
        <x:v>Sí</x:v>
      </x:c>
      <x:c r="N4337" s="25" t="str">
        <x:f>IF(J4337&gt;=6,"Sí","No")</x:f>
        <x:v>No</x:v>
      </x:c>
      <x:c r="O4337" s="25" t="str">
        <x:v>Pendiente: asignar con R/sf</x:v>
      </x:c>
    </x:row>
    <x:row r="4338">
      <x:c r="A4338" s="25" t="n">
        <x:v>4337</x:v>
      </x:c>
      <x:c r="B4338" s="26" t="n">
        <x:v>43627.208958333336</x:v>
      </x:c>
      <x:c r="C4338" s="27" t="n">
        <x:f>INT(B4338)</x:f>
        <x:v>43627</x:v>
      </x:c>
      <x:c r="D4338" s="28" t="n">
        <x:f>MOD(B4338,1)</x:f>
        <x:v>0.20895833333634073</x:v>
      </x:c>
      <x:c r="E4338" s="29" t="n">
        <x:f>YEAR(B4338)</x:f>
        <x:v>2019</x:v>
      </x:c>
      <x:c r="F4338" s="29" t="n">
        <x:f>MONTH(B4338)</x:f>
        <x:v>6</x:v>
      </x:c>
      <x:c r="G4338" s="30" t="n">
        <x:v>-18.93</x:v>
      </x:c>
      <x:c r="H4338" s="30" t="n">
        <x:v>-70.34</x:v>
      </x:c>
      <x:c r="I4338" s="29" t="n">
        <x:v>37</x:v>
      </x:c>
      <x:c r="J4338" s="31" t="n">
        <x:v>4.6</x:v>
      </x:c>
      <x:c r="K4338" s="25" t="str">
        <x:f>IF(J4338&gt;=7,"Muy fuerte (&gt;=7)",IF(J4338&gt;=6,"Fuerte (6-6.9)",IF(J4338&gt;=5,"Moderado alto (5-5.9)",IF(J4338&gt;=4,"Moderado (4-4.9)","Menor a 4"))))</x:f>
        <x:v>Moderado (4-4.9)</x:v>
      </x:c>
      <x:c r="L4338" s="25" t="str">
        <x:f>IF(I4338&lt;70,"Superficial (&lt;70 km)",IF(I4338&lt;=300,"Intermedio (70-300 km)","Profundo (&gt;300 km)"))</x:f>
        <x:v>Superficial (&lt;70 km)</x:v>
      </x:c>
      <x:c r="M4338" s="25" t="str">
        <x:f>IF(J4338&gt;=5,"Sí","No")</x:f>
        <x:v>No</x:v>
      </x:c>
      <x:c r="N4338" s="25" t="str">
        <x:f>IF(J4338&gt;=6,"Sí","No")</x:f>
        <x:v>No</x:v>
      </x:c>
      <x:c r="O4338" s="25" t="str">
        <x:v>Pendiente: asignar con R/sf</x:v>
      </x:c>
    </x:row>
    <x:row r="4339">
      <x:c r="A4339" s="25" t="n">
        <x:v>4338</x:v>
      </x:c>
      <x:c r="B4339" s="26" t="n">
        <x:v>43630.01332175926</x:v>
      </x:c>
      <x:c r="C4339" s="27" t="n">
        <x:f>INT(B4339)</x:f>
        <x:v>43630</x:v>
      </x:c>
      <x:c r="D4339" s="28" t="n">
        <x:f>MOD(B4339,1)</x:f>
        <x:v>0.013321759259270038</x:v>
      </x:c>
      <x:c r="E4339" s="29" t="n">
        <x:f>YEAR(B4339)</x:f>
        <x:v>2019</x:v>
      </x:c>
      <x:c r="F4339" s="29" t="n">
        <x:f>MONTH(B4339)</x:f>
        <x:v>6</x:v>
      </x:c>
      <x:c r="G4339" s="30" t="n">
        <x:v>-30.08</x:v>
      </x:c>
      <x:c r="H4339" s="30" t="n">
        <x:v>-72.2</x:v>
      </x:c>
      <x:c r="I4339" s="29" t="n">
        <x:v>37</x:v>
      </x:c>
      <x:c r="J4339" s="31" t="n">
        <x:v>6.3</x:v>
      </x:c>
      <x:c r="K4339" s="25" t="str">
        <x:f>IF(J4339&gt;=7,"Muy fuerte (&gt;=7)",IF(J4339&gt;=6,"Fuerte (6-6.9)",IF(J4339&gt;=5,"Moderado alto (5-5.9)",IF(J4339&gt;=4,"Moderado (4-4.9)","Menor a 4"))))</x:f>
        <x:v>Fuerte (6-6.9)</x:v>
      </x:c>
      <x:c r="L4339" s="25" t="str">
        <x:f>IF(I4339&lt;70,"Superficial (&lt;70 km)",IF(I4339&lt;=300,"Intermedio (70-300 km)","Profundo (&gt;300 km)"))</x:f>
        <x:v>Superficial (&lt;70 km)</x:v>
      </x:c>
      <x:c r="M4339" s="25" t="str">
        <x:f>IF(J4339&gt;=5,"Sí","No")</x:f>
        <x:v>Sí</x:v>
      </x:c>
      <x:c r="N4339" s="25" t="str">
        <x:f>IF(J4339&gt;=6,"Sí","No")</x:f>
        <x:v>Sí</x:v>
      </x:c>
      <x:c r="O4339" s="25" t="str">
        <x:v>Pendiente: asignar con R/sf</x:v>
      </x:c>
    </x:row>
    <x:row r="4340">
      <x:c r="A4340" s="25" t="n">
        <x:v>4339</x:v>
      </x:c>
      <x:c r="B4340" s="26" t="n">
        <x:v>43636.05795138889</x:v>
      </x:c>
      <x:c r="C4340" s="27" t="n">
        <x:f>INT(B4340)</x:f>
        <x:v>43636</x:v>
      </x:c>
      <x:c r="D4340" s="28" t="n">
        <x:f>MOD(B4340,1)</x:f>
        <x:v>0.057951388887886424</x:v>
      </x:c>
      <x:c r="E4340" s="29" t="n">
        <x:f>YEAR(B4340)</x:f>
        <x:v>2019</x:v>
      </x:c>
      <x:c r="F4340" s="29" t="n">
        <x:f>MONTH(B4340)</x:f>
        <x:v>6</x:v>
      </x:c>
      <x:c r="G4340" s="30" t="n">
        <x:v>-33.59</x:v>
      </x:c>
      <x:c r="H4340" s="30" t="n">
        <x:v>-69.31</x:v>
      </x:c>
      <x:c r="I4340" s="29" t="n">
        <x:v>190</x:v>
      </x:c>
      <x:c r="J4340" s="31" t="n">
        <x:v>5.5</x:v>
      </x:c>
      <x:c r="K4340" s="25" t="str">
        <x:f>IF(J4340&gt;=7,"Muy fuerte (&gt;=7)",IF(J4340&gt;=6,"Fuerte (6-6.9)",IF(J4340&gt;=5,"Moderado alto (5-5.9)",IF(J4340&gt;=4,"Moderado (4-4.9)","Menor a 4"))))</x:f>
        <x:v>Moderado alto (5-5.9)</x:v>
      </x:c>
      <x:c r="L4340" s="25" t="str">
        <x:f>IF(I4340&lt;70,"Superficial (&lt;70 km)",IF(I4340&lt;=300,"Intermedio (70-300 km)","Profundo (&gt;300 km)"))</x:f>
        <x:v>Intermedio (70-300 km)</x:v>
      </x:c>
      <x:c r="M4340" s="25" t="str">
        <x:f>IF(J4340&gt;=5,"Sí","No")</x:f>
        <x:v>Sí</x:v>
      </x:c>
      <x:c r="N4340" s="25" t="str">
        <x:f>IF(J4340&gt;=6,"Sí","No")</x:f>
        <x:v>No</x:v>
      </x:c>
      <x:c r="O4340" s="25" t="str">
        <x:v>Pendiente: asignar con R/sf</x:v>
      </x:c>
    </x:row>
    <x:row r="4341">
      <x:c r="A4341" s="25" t="n">
        <x:v>4340</x:v>
      </x:c>
      <x:c r="B4341" s="26" t="n">
        <x:v>43639.714849537035</x:v>
      </x:c>
      <x:c r="C4341" s="27" t="n">
        <x:f>INT(B4341)</x:f>
        <x:v>43639</x:v>
      </x:c>
      <x:c r="D4341" s="28" t="n">
        <x:f>MOD(B4341,1)</x:f>
        <x:v>0.7148495370347518</x:v>
      </x:c>
      <x:c r="E4341" s="29" t="n">
        <x:f>YEAR(B4341)</x:f>
        <x:v>2019</x:v>
      </x:c>
      <x:c r="F4341" s="29" t="n">
        <x:f>MONTH(B4341)</x:f>
        <x:v>6</x:v>
      </x:c>
      <x:c r="G4341" s="30" t="n">
        <x:v>-21.95</x:v>
      </x:c>
      <x:c r="H4341" s="30" t="n">
        <x:v>-70.42</x:v>
      </x:c>
      <x:c r="I4341" s="29" t="n">
        <x:v>21</x:v>
      </x:c>
      <x:c r="J4341" s="31" t="n">
        <x:v>4.4</x:v>
      </x:c>
      <x:c r="K4341" s="25" t="str">
        <x:f>IF(J4341&gt;=7,"Muy fuerte (&gt;=7)",IF(J4341&gt;=6,"Fuerte (6-6.9)",IF(J4341&gt;=5,"Moderado alto (5-5.9)",IF(J4341&gt;=4,"Moderado (4-4.9)","Menor a 4"))))</x:f>
        <x:v>Moderado (4-4.9)</x:v>
      </x:c>
      <x:c r="L4341" s="25" t="str">
        <x:f>IF(I4341&lt;70,"Superficial (&lt;70 km)",IF(I4341&lt;=300,"Intermedio (70-300 km)","Profundo (&gt;300 km)"))</x:f>
        <x:v>Superficial (&lt;70 km)</x:v>
      </x:c>
      <x:c r="M4341" s="25" t="str">
        <x:f>IF(J4341&gt;=5,"Sí","No")</x:f>
        <x:v>No</x:v>
      </x:c>
      <x:c r="N4341" s="25" t="str">
        <x:f>IF(J4341&gt;=6,"Sí","No")</x:f>
        <x:v>No</x:v>
      </x:c>
      <x:c r="O4341" s="25" t="str">
        <x:v>Pendiente: asignar con R/sf</x:v>
      </x:c>
    </x:row>
    <x:row r="4342">
      <x:c r="A4342" s="25" t="n">
        <x:v>4341</x:v>
      </x:c>
      <x:c r="B4342" s="26" t="n">
        <x:v>43632.95190972222</x:v>
      </x:c>
      <x:c r="C4342" s="27" t="n">
        <x:f>INT(B4342)</x:f>
        <x:v>43632</x:v>
      </x:c>
      <x:c r="D4342" s="28" t="n">
        <x:f>MOD(B4342,1)</x:f>
        <x:v>0.9519097222218988</x:v>
      </x:c>
      <x:c r="E4342" s="29" t="n">
        <x:f>YEAR(B4342)</x:f>
        <x:v>2019</x:v>
      </x:c>
      <x:c r="F4342" s="29" t="n">
        <x:f>MONTH(B4342)</x:f>
        <x:v>6</x:v>
      </x:c>
      <x:c r="G4342" s="30" t="n">
        <x:v>-24.25</x:v>
      </x:c>
      <x:c r="H4342" s="30" t="n">
        <x:v>-66.87</x:v>
      </x:c>
      <x:c r="I4342" s="29" t="n">
        <x:v>204</x:v>
      </x:c>
      <x:c r="J4342" s="31" t="n">
        <x:v>5.3</x:v>
      </x:c>
      <x:c r="K4342" s="25" t="str">
        <x:f>IF(J4342&gt;=7,"Muy fuerte (&gt;=7)",IF(J4342&gt;=6,"Fuerte (6-6.9)",IF(J4342&gt;=5,"Moderado alto (5-5.9)",IF(J4342&gt;=4,"Moderado (4-4.9)","Menor a 4"))))</x:f>
        <x:v>Moderado alto (5-5.9)</x:v>
      </x:c>
      <x:c r="L4342" s="25" t="str">
        <x:f>IF(I4342&lt;70,"Superficial (&lt;70 km)",IF(I4342&lt;=300,"Intermedio (70-300 km)","Profundo (&gt;300 km)"))</x:f>
        <x:v>Intermedio (70-300 km)</x:v>
      </x:c>
      <x:c r="M4342" s="25" t="str">
        <x:f>IF(J4342&gt;=5,"Sí","No")</x:f>
        <x:v>Sí</x:v>
      </x:c>
      <x:c r="N4342" s="25" t="str">
        <x:f>IF(J4342&gt;=6,"Sí","No")</x:f>
        <x:v>No</x:v>
      </x:c>
      <x:c r="O4342" s="25" t="str">
        <x:v>Pendiente: asignar con R/sf</x:v>
      </x:c>
    </x:row>
    <x:row r="4343">
      <x:c r="A4343" s="25" t="n">
        <x:v>4342</x:v>
      </x:c>
      <x:c r="B4343" s="26" t="n">
        <x:v>43619.362650462965</x:v>
      </x:c>
      <x:c r="C4343" s="27" t="n">
        <x:f>INT(B4343)</x:f>
        <x:v>43619</x:v>
      </x:c>
      <x:c r="D4343" s="28" t="n">
        <x:f>MOD(B4343,1)</x:f>
        <x:v>0.3626504629646661</x:v>
      </x:c>
      <x:c r="E4343" s="29" t="n">
        <x:f>YEAR(B4343)</x:f>
        <x:v>2019</x:v>
      </x:c>
      <x:c r="F4343" s="29" t="n">
        <x:f>MONTH(B4343)</x:f>
        <x:v>6</x:v>
      </x:c>
      <x:c r="G4343" s="30" t="n">
        <x:v>-19.64</x:v>
      </x:c>
      <x:c r="H4343" s="30" t="n">
        <x:v>-70.42</x:v>
      </x:c>
      <x:c r="I4343" s="29" t="n">
        <x:v>57</x:v>
      </x:c>
      <x:c r="J4343" s="31" t="n">
        <x:v>5.2</x:v>
      </x:c>
      <x:c r="K4343" s="25" t="str">
        <x:f>IF(J4343&gt;=7,"Muy fuerte (&gt;=7)",IF(J4343&gt;=6,"Fuerte (6-6.9)",IF(J4343&gt;=5,"Moderado alto (5-5.9)",IF(J4343&gt;=4,"Moderado (4-4.9)","Menor a 4"))))</x:f>
        <x:v>Moderado alto (5-5.9)</x:v>
      </x:c>
      <x:c r="L4343" s="25" t="str">
        <x:f>IF(I4343&lt;70,"Superficial (&lt;70 km)",IF(I4343&lt;=300,"Intermedio (70-300 km)","Profundo (&gt;300 km)"))</x:f>
        <x:v>Superficial (&lt;70 km)</x:v>
      </x:c>
      <x:c r="M4343" s="25" t="str">
        <x:f>IF(J4343&gt;=5,"Sí","No")</x:f>
        <x:v>Sí</x:v>
      </x:c>
      <x:c r="N4343" s="25" t="str">
        <x:f>IF(J4343&gt;=6,"Sí","No")</x:f>
        <x:v>No</x:v>
      </x:c>
      <x:c r="O4343" s="25" t="str">
        <x:v>Pendiente: asignar con R/sf</x:v>
      </x:c>
    </x:row>
    <x:row r="4344">
      <x:c r="A4344" s="25" t="n">
        <x:v>4343</x:v>
      </x:c>
      <x:c r="B4344" s="26" t="n">
        <x:v>43619.182233796295</x:v>
      </x:c>
      <x:c r="C4344" s="27" t="n">
        <x:f>INT(B4344)</x:f>
        <x:v>43619</x:v>
      </x:c>
      <x:c r="D4344" s="28" t="n">
        <x:f>MOD(B4344,1)</x:f>
        <x:v>0.182233796294895</x:v>
      </x:c>
      <x:c r="E4344" s="29" t="n">
        <x:f>YEAR(B4344)</x:f>
        <x:v>2019</x:v>
      </x:c>
      <x:c r="F4344" s="29" t="n">
        <x:f>MONTH(B4344)</x:f>
        <x:v>6</x:v>
      </x:c>
      <x:c r="G4344" s="30" t="n">
        <x:v>-32.74</x:v>
      </x:c>
      <x:c r="H4344" s="30" t="n">
        <x:v>-71.4</x:v>
      </x:c>
      <x:c r="I4344" s="29" t="n">
        <x:v>63</x:v>
      </x:c>
      <x:c r="J4344" s="31" t="n">
        <x:v>5.1</x:v>
      </x:c>
      <x:c r="K4344" s="25" t="str">
        <x:f>IF(J4344&gt;=7,"Muy fuerte (&gt;=7)",IF(J4344&gt;=6,"Fuerte (6-6.9)",IF(J4344&gt;=5,"Moderado alto (5-5.9)",IF(J4344&gt;=4,"Moderado (4-4.9)","Menor a 4"))))</x:f>
        <x:v>Moderado alto (5-5.9)</x:v>
      </x:c>
      <x:c r="L4344" s="25" t="str">
        <x:f>IF(I4344&lt;70,"Superficial (&lt;70 km)",IF(I4344&lt;=300,"Intermedio (70-300 km)","Profundo (&gt;300 km)"))</x:f>
        <x:v>Superficial (&lt;70 km)</x:v>
      </x:c>
      <x:c r="M4344" s="25" t="str">
        <x:f>IF(J4344&gt;=5,"Sí","No")</x:f>
        <x:v>Sí</x:v>
      </x:c>
      <x:c r="N4344" s="25" t="str">
        <x:f>IF(J4344&gt;=6,"Sí","No")</x:f>
        <x:v>No</x:v>
      </x:c>
      <x:c r="O4344" s="25" t="str">
        <x:v>Pendiente: asignar con R/sf</x:v>
      </x:c>
    </x:row>
    <x:row r="4345">
      <x:c r="A4345" s="25" t="n">
        <x:v>4344</x:v>
      </x:c>
      <x:c r="B4345" s="26" t="n">
        <x:v>43644.3546412037</x:v>
      </x:c>
      <x:c r="C4345" s="27" t="n">
        <x:f>INT(B4345)</x:f>
        <x:v>43644</x:v>
      </x:c>
      <x:c r="D4345" s="28" t="n">
        <x:f>MOD(B4345,1)</x:f>
        <x:v>0.35464120370306773</x:v>
      </x:c>
      <x:c r="E4345" s="29" t="n">
        <x:f>YEAR(B4345)</x:f>
        <x:v>2019</x:v>
      </x:c>
      <x:c r="F4345" s="29" t="n">
        <x:f>MONTH(B4345)</x:f>
        <x:v>6</x:v>
      </x:c>
      <x:c r="G4345" s="30" t="n">
        <x:v>-29.36</x:v>
      </x:c>
      <x:c r="H4345" s="30" t="n">
        <x:v>-70.84</x:v>
      </x:c>
      <x:c r="I4345" s="29" t="n">
        <x:v>73</x:v>
      </x:c>
      <x:c r="J4345" s="31" t="n">
        <x:v>5.1</x:v>
      </x:c>
      <x:c r="K4345" s="25" t="str">
        <x:f>IF(J4345&gt;=7,"Muy fuerte (&gt;=7)",IF(J4345&gt;=6,"Fuerte (6-6.9)",IF(J4345&gt;=5,"Moderado alto (5-5.9)",IF(J4345&gt;=4,"Moderado (4-4.9)","Menor a 4"))))</x:f>
        <x:v>Moderado alto (5-5.9)</x:v>
      </x:c>
      <x:c r="L4345" s="25" t="str">
        <x:f>IF(I4345&lt;70,"Superficial (&lt;70 km)",IF(I4345&lt;=300,"Intermedio (70-300 km)","Profundo (&gt;300 km)"))</x:f>
        <x:v>Intermedio (70-300 km)</x:v>
      </x:c>
      <x:c r="M4345" s="25" t="str">
        <x:f>IF(J4345&gt;=5,"Sí","No")</x:f>
        <x:v>Sí</x:v>
      </x:c>
      <x:c r="N4345" s="25" t="str">
        <x:f>IF(J4345&gt;=6,"Sí","No")</x:f>
        <x:v>No</x:v>
      </x:c>
      <x:c r="O4345" s="25" t="str">
        <x:v>Pendiente: asignar con R/sf</x:v>
      </x:c>
    </x:row>
    <x:row r="4346">
      <x:c r="A4346" s="25" t="n">
        <x:v>4345</x:v>
      </x:c>
      <x:c r="B4346" s="26" t="n">
        <x:v>44991.31585648148</x:v>
      </x:c>
      <x:c r="C4346" s="27" t="n">
        <x:f>INT(B4346)</x:f>
        <x:v>44991</x:v>
      </x:c>
      <x:c r="D4346" s="28" t="n">
        <x:f>MOD(B4346,1)</x:f>
        <x:v>0.31585648148029577</x:v>
      </x:c>
      <x:c r="E4346" s="29" t="n">
        <x:f>YEAR(B4346)</x:f>
        <x:v>2023</x:v>
      </x:c>
      <x:c r="F4346" s="29" t="n">
        <x:f>MONTH(B4346)</x:f>
        <x:v>3</x:v>
      </x:c>
      <x:c r="G4346" s="30" t="n">
        <x:v>-29.72</x:v>
      </x:c>
      <x:c r="H4346" s="30" t="n">
        <x:v>-71.38</x:v>
      </x:c>
      <x:c r="I4346" s="29" t="n">
        <x:v>65</x:v>
      </x:c>
      <x:c r="J4346" s="31" t="n">
        <x:v>5.3</x:v>
      </x:c>
      <x:c r="K4346" s="25" t="str">
        <x:f>IF(J4346&gt;=7,"Muy fuerte (&gt;=7)",IF(J4346&gt;=6,"Fuerte (6-6.9)",IF(J4346&gt;=5,"Moderado alto (5-5.9)",IF(J4346&gt;=4,"Moderado (4-4.9)","Menor a 4"))))</x:f>
        <x:v>Moderado alto (5-5.9)</x:v>
      </x:c>
      <x:c r="L4346" s="25" t="str">
        <x:f>IF(I4346&lt;70,"Superficial (&lt;70 km)",IF(I4346&lt;=300,"Intermedio (70-300 km)","Profundo (&gt;300 km)"))</x:f>
        <x:v>Superficial (&lt;70 km)</x:v>
      </x:c>
      <x:c r="M4346" s="25" t="str">
        <x:f>IF(J4346&gt;=5,"Sí","No")</x:f>
        <x:v>Sí</x:v>
      </x:c>
      <x:c r="N4346" s="25" t="str">
        <x:f>IF(J4346&gt;=6,"Sí","No")</x:f>
        <x:v>No</x:v>
      </x:c>
      <x:c r="O4346" s="25" t="str">
        <x:v>Pendiente: asignar con R/sf</x:v>
      </x:c>
    </x:row>
    <x:row r="4347">
      <x:c r="A4347" s="25" t="n">
        <x:v>4346</x:v>
      </x:c>
      <x:c r="B4347" s="26" t="n">
        <x:v>45006.734872685185</x:v>
      </x:c>
      <x:c r="C4347" s="27" t="n">
        <x:f>INT(B4347)</x:f>
        <x:v>45006</x:v>
      </x:c>
      <x:c r="D4347" s="28" t="n">
        <x:f>MOD(B4347,1)</x:f>
        <x:v>0.7348726851851097</x:v>
      </x:c>
      <x:c r="E4347" s="29" t="n">
        <x:f>YEAR(B4347)</x:f>
        <x:v>2023</x:v>
      </x:c>
      <x:c r="F4347" s="29" t="n">
        <x:f>MONTH(B4347)</x:f>
        <x:v>3</x:v>
      </x:c>
      <x:c r="G4347" s="30" t="n">
        <x:v>-33.61</x:v>
      </x:c>
      <x:c r="H4347" s="30" t="n">
        <x:v>-71.33</x:v>
      </x:c>
      <x:c r="I4347" s="29" t="n">
        <x:v>64</x:v>
      </x:c>
      <x:c r="J4347" s="31" t="n">
        <x:v>5.5</x:v>
      </x:c>
      <x:c r="K4347" s="25" t="str">
        <x:f>IF(J4347&gt;=7,"Muy fuerte (&gt;=7)",IF(J4347&gt;=6,"Fuerte (6-6.9)",IF(J4347&gt;=5,"Moderado alto (5-5.9)",IF(J4347&gt;=4,"Moderado (4-4.9)","Menor a 4"))))</x:f>
        <x:v>Moderado alto (5-5.9)</x:v>
      </x:c>
      <x:c r="L4347" s="25" t="str">
        <x:f>IF(I4347&lt;70,"Superficial (&lt;70 km)",IF(I4347&lt;=300,"Intermedio (70-300 km)","Profundo (&gt;300 km)"))</x:f>
        <x:v>Superficial (&lt;70 km)</x:v>
      </x:c>
      <x:c r="M4347" s="25" t="str">
        <x:f>IF(J4347&gt;=5,"Sí","No")</x:f>
        <x:v>Sí</x:v>
      </x:c>
      <x:c r="N4347" s="25" t="str">
        <x:f>IF(J4347&gt;=6,"Sí","No")</x:f>
        <x:v>No</x:v>
      </x:c>
      <x:c r="O4347" s="25" t="str">
        <x:v>Pendiente: asignar con R/sf</x:v>
      </x:c>
    </x:row>
    <x:row r="4348">
      <x:c r="A4348" s="25" t="n">
        <x:v>4347</x:v>
      </x:c>
      <x:c r="B4348" s="26" t="n">
        <x:v>45007.667025462964</x:v>
      </x:c>
      <x:c r="C4348" s="27" t="n">
        <x:f>INT(B4348)</x:f>
        <x:v>45007</x:v>
      </x:c>
      <x:c r="D4348" s="28" t="n">
        <x:f>MOD(B4348,1)</x:f>
        <x:v>0.667025462964375</x:v>
      </x:c>
      <x:c r="E4348" s="29" t="n">
        <x:f>YEAR(B4348)</x:f>
        <x:v>2023</x:v>
      </x:c>
      <x:c r="F4348" s="29" t="n">
        <x:f>MONTH(B4348)</x:f>
        <x:v>3</x:v>
      </x:c>
      <x:c r="G4348" s="30" t="n">
        <x:v>-23.51</x:v>
      </x:c>
      <x:c r="H4348" s="30" t="n">
        <x:v>-66.69</x:v>
      </x:c>
      <x:c r="I4348" s="29" t="n">
        <x:v>240</x:v>
      </x:c>
      <x:c r="J4348" s="31" t="n">
        <x:v>6.3</x:v>
      </x:c>
      <x:c r="K4348" s="25" t="str">
        <x:f>IF(J4348&gt;=7,"Muy fuerte (&gt;=7)",IF(J4348&gt;=6,"Fuerte (6-6.9)",IF(J4348&gt;=5,"Moderado alto (5-5.9)",IF(J4348&gt;=4,"Moderado (4-4.9)","Menor a 4"))))</x:f>
        <x:v>Fuerte (6-6.9)</x:v>
      </x:c>
      <x:c r="L4348" s="25" t="str">
        <x:f>IF(I4348&lt;70,"Superficial (&lt;70 km)",IF(I4348&lt;=300,"Intermedio (70-300 km)","Profundo (&gt;300 km)"))</x:f>
        <x:v>Intermedio (70-300 km)</x:v>
      </x:c>
      <x:c r="M4348" s="25" t="str">
        <x:f>IF(J4348&gt;=5,"Sí","No")</x:f>
        <x:v>Sí</x:v>
      </x:c>
      <x:c r="N4348" s="25" t="str">
        <x:f>IF(J4348&gt;=6,"Sí","No")</x:f>
        <x:v>Sí</x:v>
      </x:c>
      <x:c r="O4348" s="25" t="str">
        <x:v>Pendiente: asignar con R/sf</x:v>
      </x:c>
    </x:row>
    <x:row r="4349">
      <x:c r="A4349" s="25" t="n">
        <x:v>4348</x:v>
      </x:c>
      <x:c r="B4349" s="26" t="n">
        <x:v>45011.001909722225</x:v>
      </x:c>
      <x:c r="C4349" s="27" t="n">
        <x:f>INT(B4349)</x:f>
        <x:v>45011</x:v>
      </x:c>
      <x:c r="D4349" s="28" t="n">
        <x:f>MOD(B4349,1)</x:f>
        <x:v>0.0019097222248092294</x:v>
      </x:c>
      <x:c r="E4349" s="29" t="n">
        <x:f>YEAR(B4349)</x:f>
        <x:v>2023</x:v>
      </x:c>
      <x:c r="F4349" s="29" t="n">
        <x:f>MONTH(B4349)</x:f>
        <x:v>3</x:v>
      </x:c>
      <x:c r="G4349" s="30" t="n">
        <x:v>-21.04</x:v>
      </x:c>
      <x:c r="H4349" s="30" t="n">
        <x:v>-68.72</x:v>
      </x:c>
      <x:c r="I4349" s="29" t="n">
        <x:v>106</x:v>
      </x:c>
      <x:c r="J4349" s="31" t="n">
        <x:v>5.5</x:v>
      </x:c>
      <x:c r="K4349" s="25" t="str">
        <x:f>IF(J4349&gt;=7,"Muy fuerte (&gt;=7)",IF(J4349&gt;=6,"Fuerte (6-6.9)",IF(J4349&gt;=5,"Moderado alto (5-5.9)",IF(J4349&gt;=4,"Moderado (4-4.9)","Menor a 4"))))</x:f>
        <x:v>Moderado alto (5-5.9)</x:v>
      </x:c>
      <x:c r="L4349" s="25" t="str">
        <x:f>IF(I4349&lt;70,"Superficial (&lt;70 km)",IF(I4349&lt;=300,"Intermedio (70-300 km)","Profundo (&gt;300 km)"))</x:f>
        <x:v>Intermedio (70-300 km)</x:v>
      </x:c>
      <x:c r="M4349" s="25" t="str">
        <x:f>IF(J4349&gt;=5,"Sí","No")</x:f>
        <x:v>Sí</x:v>
      </x:c>
      <x:c r="N4349" s="25" t="str">
        <x:f>IF(J4349&gt;=6,"Sí","No")</x:f>
        <x:v>No</x:v>
      </x:c>
      <x:c r="O4349" s="25" t="str">
        <x:v>Pendiente: asignar con R/sf</x:v>
      </x:c>
    </x:row>
    <x:row r="4350">
      <x:c r="A4350" s="25" t="n">
        <x:v>4349</x:v>
      </x:c>
      <x:c r="B4350" s="26" t="n">
        <x:v>45015.7312962963</x:v>
      </x:c>
      <x:c r="C4350" s="27" t="n">
        <x:f>INT(B4350)</x:f>
        <x:v>45015</x:v>
      </x:c>
      <x:c r="D4350" s="28" t="n">
        <x:f>MOD(B4350,1)</x:f>
        <x:v>0.7312962962969323</x:v>
      </x:c>
      <x:c r="E4350" s="29" t="n">
        <x:f>YEAR(B4350)</x:f>
        <x:v>2023</x:v>
      </x:c>
      <x:c r="F4350" s="29" t="n">
        <x:f>MONTH(B4350)</x:f>
        <x:v>3</x:v>
      </x:c>
      <x:c r="G4350" s="30" t="n">
        <x:v>-35.62</x:v>
      </x:c>
      <x:c r="H4350" s="30" t="n">
        <x:v>-73.82</x:v>
      </x:c>
      <x:c r="I4350" s="29" t="n">
        <x:v>22</x:v>
      </x:c>
      <x:c r="J4350" s="31" t="n">
        <x:v>5.5</x:v>
      </x:c>
      <x:c r="K4350" s="25" t="str">
        <x:f>IF(J4350&gt;=7,"Muy fuerte (&gt;=7)",IF(J4350&gt;=6,"Fuerte (6-6.9)",IF(J4350&gt;=5,"Moderado alto (5-5.9)",IF(J4350&gt;=4,"Moderado (4-4.9)","Menor a 4"))))</x:f>
        <x:v>Moderado alto (5-5.9)</x:v>
      </x:c>
      <x:c r="L4350" s="25" t="str">
        <x:f>IF(I4350&lt;70,"Superficial (&lt;70 km)",IF(I4350&lt;=300,"Intermedio (70-300 km)","Profundo (&gt;300 km)"))</x:f>
        <x:v>Superficial (&lt;70 km)</x:v>
      </x:c>
      <x:c r="M4350" s="25" t="str">
        <x:f>IF(J4350&gt;=5,"Sí","No")</x:f>
        <x:v>Sí</x:v>
      </x:c>
      <x:c r="N4350" s="25" t="str">
        <x:f>IF(J4350&gt;=6,"Sí","No")</x:f>
        <x:v>No</x:v>
      </x:c>
      <x:c r="O4350" s="25" t="str">
        <x:v>Pendiente: asignar con R/sf</x:v>
      </x:c>
    </x:row>
    <x:row r="4351">
      <x:c r="A4351" s="25" t="n">
        <x:v>4350</x:v>
      </x:c>
      <x:c r="B4351" s="26" t="n">
        <x:v>45016.44886574074</x:v>
      </x:c>
      <x:c r="C4351" s="27" t="n">
        <x:f>INT(B4351)</x:f>
        <x:v>45016</x:v>
      </x:c>
      <x:c r="D4351" s="28" t="n">
        <x:f>MOD(B4351,1)</x:f>
        <x:v>0.4488657407418941</x:v>
      </x:c>
      <x:c r="E4351" s="29" t="n">
        <x:f>YEAR(B4351)</x:f>
        <x:v>2023</x:v>
      </x:c>
      <x:c r="F4351" s="29" t="n">
        <x:f>MONTH(B4351)</x:f>
        <x:v>3</x:v>
      </x:c>
      <x:c r="G4351" s="30" t="n">
        <x:v>-24.83</x:v>
      </x:c>
      <x:c r="H4351" s="30" t="n">
        <x:v>-70.19</x:v>
      </x:c>
      <x:c r="I4351" s="29" t="n">
        <x:v>54</x:v>
      </x:c>
      <x:c r="J4351" s="31" t="n">
        <x:v>5.5</x:v>
      </x:c>
      <x:c r="K4351" s="25" t="str">
        <x:f>IF(J4351&gt;=7,"Muy fuerte (&gt;=7)",IF(J4351&gt;=6,"Fuerte (6-6.9)",IF(J4351&gt;=5,"Moderado alto (5-5.9)",IF(J4351&gt;=4,"Moderado (4-4.9)","Menor a 4"))))</x:f>
        <x:v>Moderado alto (5-5.9)</x:v>
      </x:c>
      <x:c r="L4351" s="25" t="str">
        <x:f>IF(I4351&lt;70,"Superficial (&lt;70 km)",IF(I4351&lt;=300,"Intermedio (70-300 km)","Profundo (&gt;300 km)"))</x:f>
        <x:v>Superficial (&lt;70 km)</x:v>
      </x:c>
      <x:c r="M4351" s="25" t="str">
        <x:f>IF(J4351&gt;=5,"Sí","No")</x:f>
        <x:v>Sí</x:v>
      </x:c>
      <x:c r="N4351" s="25" t="str">
        <x:f>IF(J4351&gt;=6,"Sí","No")</x:f>
        <x:v>No</x:v>
      </x:c>
      <x:c r="O4351" s="25" t="str">
        <x:v>Pendiente: asignar con R/sf</x:v>
      </x:c>
    </x:row>
    <x:row r="4352">
      <x:c r="A4352" s="25" t="n">
        <x:v>4351</x:v>
      </x:c>
      <x:c r="B4352" s="26" t="n">
        <x:v>44711.04142361111</x:v>
      </x:c>
      <x:c r="C4352" s="27" t="n">
        <x:f>INT(B4352)</x:f>
        <x:v>44711</x:v>
      </x:c>
      <x:c r="D4352" s="28" t="n">
        <x:f>MOD(B4352,1)</x:f>
        <x:v>0.04142361111007631</x:v>
      </x:c>
      <x:c r="E4352" s="29" t="n">
        <x:f>YEAR(B4352)</x:f>
        <x:v>2022</x:v>
      </x:c>
      <x:c r="F4352" s="29" t="n">
        <x:f>MONTH(B4352)</x:f>
        <x:v>5</x:v>
      </x:c>
      <x:c r="G4352" s="30" t="n">
        <x:v>-22.25</x:v>
      </x:c>
      <x:c r="H4352" s="30" t="n">
        <x:v>-70.17</x:v>
      </x:c>
      <x:c r="I4352" s="29" t="n">
        <x:v>66</x:v>
      </x:c>
      <x:c r="J4352" s="31" t="n">
        <x:v>4.4</x:v>
      </x:c>
      <x:c r="K4352" s="25" t="str">
        <x:f>IF(J4352&gt;=7,"Muy fuerte (&gt;=7)",IF(J4352&gt;=6,"Fuerte (6-6.9)",IF(J4352&gt;=5,"Moderado alto (5-5.9)",IF(J4352&gt;=4,"Moderado (4-4.9)","Menor a 4"))))</x:f>
        <x:v>Moderado (4-4.9)</x:v>
      </x:c>
      <x:c r="L4352" s="25" t="str">
        <x:f>IF(I4352&lt;70,"Superficial (&lt;70 km)",IF(I4352&lt;=300,"Intermedio (70-300 km)","Profundo (&gt;300 km)"))</x:f>
        <x:v>Superficial (&lt;70 km)</x:v>
      </x:c>
      <x:c r="M4352" s="25" t="str">
        <x:f>IF(J4352&gt;=5,"Sí","No")</x:f>
        <x:v>No</x:v>
      </x:c>
      <x:c r="N4352" s="25" t="str">
        <x:f>IF(J4352&gt;=6,"Sí","No")</x:f>
        <x:v>No</x:v>
      </x:c>
      <x:c r="O4352" s="25" t="str">
        <x:v>Pendiente: asignar con R/sf</x:v>
      </x:c>
    </x:row>
    <x:row r="4353">
      <x:c r="A4353" s="25" t="n">
        <x:v>4352</x:v>
      </x:c>
      <x:c r="B4353" s="26" t="n">
        <x:v>44206.924409722225</x:v>
      </x:c>
      <x:c r="C4353" s="27" t="n">
        <x:f>INT(B4353)</x:f>
        <x:v>44206</x:v>
      </x:c>
      <x:c r="D4353" s="28" t="n">
        <x:f>MOD(B4353,1)</x:f>
        <x:v>0.9244097222253913</x:v>
      </x:c>
      <x:c r="E4353" s="29" t="n">
        <x:f>YEAR(B4353)</x:f>
        <x:v>2021</x:v>
      </x:c>
      <x:c r="F4353" s="29" t="n">
        <x:f>MONTH(B4353)</x:f>
        <x:v>1</x:v>
      </x:c>
      <x:c r="G4353" s="30" t="n">
        <x:v>-22.45</x:v>
      </x:c>
      <x:c r="H4353" s="30" t="n">
        <x:v>-68.59</x:v>
      </x:c>
      <x:c r="I4353" s="29" t="n">
        <x:v>102</x:v>
      </x:c>
      <x:c r="J4353" s="31" t="n">
        <x:v>4.7</x:v>
      </x:c>
      <x:c r="K4353" s="25" t="str">
        <x:f>IF(J4353&gt;=7,"Muy fuerte (&gt;=7)",IF(J4353&gt;=6,"Fuerte (6-6.9)",IF(J4353&gt;=5,"Moderado alto (5-5.9)",IF(J4353&gt;=4,"Moderado (4-4.9)","Menor a 4"))))</x:f>
        <x:v>Moderado (4-4.9)</x:v>
      </x:c>
      <x:c r="L4353" s="25" t="str">
        <x:f>IF(I4353&lt;70,"Superficial (&lt;70 km)",IF(I4353&lt;=300,"Intermedio (70-300 km)","Profundo (&gt;300 km)"))</x:f>
        <x:v>Intermedio (70-300 km)</x:v>
      </x:c>
      <x:c r="M4353" s="25" t="str">
        <x:f>IF(J4353&gt;=5,"Sí","No")</x:f>
        <x:v>No</x:v>
      </x:c>
      <x:c r="N4353" s="25" t="str">
        <x:f>IF(J4353&gt;=6,"Sí","No")</x:f>
        <x:v>No</x:v>
      </x:c>
      <x:c r="O4353" s="25" t="str">
        <x:v>Pendiente: asignar con R/sf</x:v>
      </x:c>
    </x:row>
    <x:row r="4354">
      <x:c r="A4354" s="25" t="n">
        <x:v>4353</x:v>
      </x:c>
      <x:c r="B4354" s="26" t="n">
        <x:v>44926.14703703704</x:v>
      </x:c>
      <x:c r="C4354" s="27" t="n">
        <x:f>INT(B4354)</x:f>
        <x:v>44926</x:v>
      </x:c>
      <x:c r="D4354" s="28" t="n">
        <x:f>MOD(B4354,1)</x:f>
        <x:v>0.14703703703708015</x:v>
      </x:c>
      <x:c r="E4354" s="29" t="n">
        <x:f>YEAR(B4354)</x:f>
        <x:v>2022</x:v>
      </x:c>
      <x:c r="F4354" s="29" t="n">
        <x:f>MONTH(B4354)</x:f>
        <x:v>12</x:v>
      </x:c>
      <x:c r="G4354" s="30" t="n">
        <x:v>-23.02</x:v>
      </x:c>
      <x:c r="H4354" s="30" t="n">
        <x:v>-68.89</x:v>
      </x:c>
      <x:c r="I4354" s="29" t="n">
        <x:v>98</x:v>
      </x:c>
      <x:c r="J4354" s="31" t="n">
        <x:v>5.4</x:v>
      </x:c>
      <x:c r="K4354" s="25" t="str">
        <x:f>IF(J4354&gt;=7,"Muy fuerte (&gt;=7)",IF(J4354&gt;=6,"Fuerte (6-6.9)",IF(J4354&gt;=5,"Moderado alto (5-5.9)",IF(J4354&gt;=4,"Moderado (4-4.9)","Menor a 4"))))</x:f>
        <x:v>Moderado alto (5-5.9)</x:v>
      </x:c>
      <x:c r="L4354" s="25" t="str">
        <x:f>IF(I4354&lt;70,"Superficial (&lt;70 km)",IF(I4354&lt;=300,"Intermedio (70-300 km)","Profundo (&gt;300 km)"))</x:f>
        <x:v>Intermedio (70-300 km)</x:v>
      </x:c>
      <x:c r="M4354" s="25" t="str">
        <x:f>IF(J4354&gt;=5,"Sí","No")</x:f>
        <x:v>Sí</x:v>
      </x:c>
      <x:c r="N4354" s="25" t="str">
        <x:f>IF(J4354&gt;=6,"Sí","No")</x:f>
        <x:v>No</x:v>
      </x:c>
      <x:c r="O4354" s="25" t="str">
        <x:v>Pendiente: asignar con R/sf</x:v>
      </x:c>
    </x:row>
    <x:row r="4355">
      <x:c r="A4355" s="25" t="n">
        <x:v>4354</x:v>
      </x:c>
      <x:c r="B4355" s="26" t="n">
        <x:v>44275.00644675926</x:v>
      </x:c>
      <x:c r="C4355" s="27" t="n">
        <x:f>INT(B4355)</x:f>
        <x:v>44275</x:v>
      </x:c>
      <x:c r="D4355" s="28" t="n">
        <x:f>MOD(B4355,1)</x:f>
        <x:v>0.006446759260143153</x:v>
      </x:c>
      <x:c r="E4355" s="29" t="n">
        <x:f>YEAR(B4355)</x:f>
        <x:v>2021</x:v>
      </x:c>
      <x:c r="F4355" s="29" t="n">
        <x:f>MONTH(B4355)</x:f>
        <x:v>3</x:v>
      </x:c>
      <x:c r="G4355" s="30" t="n">
        <x:v>-22.94</x:v>
      </x:c>
      <x:c r="H4355" s="30" t="n">
        <x:v>-69.92</x:v>
      </x:c>
      <x:c r="I4355" s="29" t="n">
        <x:v>46</x:v>
      </x:c>
      <x:c r="J4355" s="31" t="n">
        <x:v>4.4</x:v>
      </x:c>
      <x:c r="K4355" s="25" t="str">
        <x:f>IF(J4355&gt;=7,"Muy fuerte (&gt;=7)",IF(J4355&gt;=6,"Fuerte (6-6.9)",IF(J4355&gt;=5,"Moderado alto (5-5.9)",IF(J4355&gt;=4,"Moderado (4-4.9)","Menor a 4"))))</x:f>
        <x:v>Moderado (4-4.9)</x:v>
      </x:c>
      <x:c r="L4355" s="25" t="str">
        <x:f>IF(I4355&lt;70,"Superficial (&lt;70 km)",IF(I4355&lt;=300,"Intermedio (70-300 km)","Profundo (&gt;300 km)"))</x:f>
        <x:v>Superficial (&lt;70 km)</x:v>
      </x:c>
      <x:c r="M4355" s="25" t="str">
        <x:f>IF(J4355&gt;=5,"Sí","No")</x:f>
        <x:v>No</x:v>
      </x:c>
      <x:c r="N4355" s="25" t="str">
        <x:f>IF(J4355&gt;=6,"Sí","No")</x:f>
        <x:v>No</x:v>
      </x:c>
      <x:c r="O4355" s="25" t="str">
        <x:v>Pendiente: asignar con R/sf</x:v>
      </x:c>
    </x:row>
    <x:row r="4356">
      <x:c r="A4356" s="25" t="n">
        <x:v>4355</x:v>
      </x:c>
      <x:c r="B4356" s="26" t="n">
        <x:v>44575.475324074076</x:v>
      </x:c>
      <x:c r="C4356" s="27" t="n">
        <x:f>INT(B4356)</x:f>
        <x:v>44575</x:v>
      </x:c>
      <x:c r="D4356" s="28" t="n">
        <x:f>MOD(B4356,1)</x:f>
        <x:v>0.4753240740756155</x:v>
      </x:c>
      <x:c r="E4356" s="29" t="n">
        <x:f>YEAR(B4356)</x:f>
        <x:v>2022</x:v>
      </x:c>
      <x:c r="F4356" s="29" t="n">
        <x:f>MONTH(B4356)</x:f>
        <x:v>1</x:v>
      </x:c>
      <x:c r="G4356" s="30" t="n">
        <x:v>-23.41</x:v>
      </x:c>
      <x:c r="H4356" s="30" t="n">
        <x:v>-70.75</x:v>
      </x:c>
      <x:c r="I4356" s="29" t="n">
        <x:v>24</x:v>
      </x:c>
      <x:c r="J4356" s="31" t="n">
        <x:v>4.6</x:v>
      </x:c>
      <x:c r="K4356" s="25" t="str">
        <x:f>IF(J4356&gt;=7,"Muy fuerte (&gt;=7)",IF(J4356&gt;=6,"Fuerte (6-6.9)",IF(J4356&gt;=5,"Moderado alto (5-5.9)",IF(J4356&gt;=4,"Moderado (4-4.9)","Menor a 4"))))</x:f>
        <x:v>Moderado (4-4.9)</x:v>
      </x:c>
      <x:c r="L4356" s="25" t="str">
        <x:f>IF(I4356&lt;70,"Superficial (&lt;70 km)",IF(I4356&lt;=300,"Intermedio (70-300 km)","Profundo (&gt;300 km)"))</x:f>
        <x:v>Superficial (&lt;70 km)</x:v>
      </x:c>
      <x:c r="M4356" s="25" t="str">
        <x:f>IF(J4356&gt;=5,"Sí","No")</x:f>
        <x:v>No</x:v>
      </x:c>
      <x:c r="N4356" s="25" t="str">
        <x:f>IF(J4356&gt;=6,"Sí","No")</x:f>
        <x:v>No</x:v>
      </x:c>
      <x:c r="O4356" s="25" t="str">
        <x:v>Pendiente: asignar con R/sf</x:v>
      </x:c>
    </x:row>
    <x:row r="4357">
      <x:c r="A4357" s="25" t="n">
        <x:v>4356</x:v>
      </x:c>
      <x:c r="B4357" s="26" t="n">
        <x:v>44315.667129629626</x:v>
      </x:c>
      <x:c r="C4357" s="27" t="n">
        <x:f>INT(B4357)</x:f>
        <x:v>44315</x:v>
      </x:c>
      <x:c r="D4357" s="28" t="n">
        <x:f>MOD(B4357,1)</x:f>
        <x:v>0.6671296296262881</x:v>
      </x:c>
      <x:c r="E4357" s="29" t="n">
        <x:f>YEAR(B4357)</x:f>
        <x:v>2021</x:v>
      </x:c>
      <x:c r="F4357" s="29" t="n">
        <x:f>MONTH(B4357)</x:f>
        <x:v>4</x:v>
      </x:c>
      <x:c r="G4357" s="30" t="n">
        <x:v>-23.23</x:v>
      </x:c>
      <x:c r="H4357" s="30" t="n">
        <x:v>-68.77</x:v>
      </x:c>
      <x:c r="I4357" s="29" t="n">
        <x:v>108</x:v>
      </x:c>
      <x:c r="J4357" s="31" t="n">
        <x:v>4.8</x:v>
      </x:c>
      <x:c r="K4357" s="25" t="str">
        <x:f>IF(J4357&gt;=7,"Muy fuerte (&gt;=7)",IF(J4357&gt;=6,"Fuerte (6-6.9)",IF(J4357&gt;=5,"Moderado alto (5-5.9)",IF(J4357&gt;=4,"Moderado (4-4.9)","Menor a 4"))))</x:f>
        <x:v>Moderado (4-4.9)</x:v>
      </x:c>
      <x:c r="L4357" s="25" t="str">
        <x:f>IF(I4357&lt;70,"Superficial (&lt;70 km)",IF(I4357&lt;=300,"Intermedio (70-300 km)","Profundo (&gt;300 km)"))</x:f>
        <x:v>Intermedio (70-300 km)</x:v>
      </x:c>
      <x:c r="M4357" s="25" t="str">
        <x:f>IF(J4357&gt;=5,"Sí","No")</x:f>
        <x:v>No</x:v>
      </x:c>
      <x:c r="N4357" s="25" t="str">
        <x:f>IF(J4357&gt;=6,"Sí","No")</x:f>
        <x:v>No</x:v>
      </x:c>
      <x:c r="O4357" s="25" t="str">
        <x:v>Pendiente: asignar con R/sf</x:v>
      </x:c>
    </x:row>
    <x:row r="4358">
      <x:c r="A4358" s="25" t="n">
        <x:v>4357</x:v>
      </x:c>
      <x:c r="B4358" s="26" t="n">
        <x:v>44583.8334837963</x:v>
      </x:c>
      <x:c r="C4358" s="27" t="n">
        <x:f>INT(B4358)</x:f>
        <x:v>44583</x:v>
      </x:c>
      <x:c r="D4358" s="28" t="n">
        <x:f>MOD(B4358,1)</x:f>
        <x:v>0.8334837962975143</x:v>
      </x:c>
      <x:c r="E4358" s="29" t="n">
        <x:f>YEAR(B4358)</x:f>
        <x:v>2022</x:v>
      </x:c>
      <x:c r="F4358" s="29" t="n">
        <x:f>MONTH(B4358)</x:f>
        <x:v>1</x:v>
      </x:c>
      <x:c r="G4358" s="30" t="n">
        <x:v>-22.77</x:v>
      </x:c>
      <x:c r="H4358" s="30" t="n">
        <x:v>-68.51</x:v>
      </x:c>
      <x:c r="I4358" s="29" t="n">
        <x:v>16</x:v>
      </x:c>
      <x:c r="J4358" s="31" t="n">
        <x:v>4.6</x:v>
      </x:c>
      <x:c r="K4358" s="25" t="str">
        <x:f>IF(J4358&gt;=7,"Muy fuerte (&gt;=7)",IF(J4358&gt;=6,"Fuerte (6-6.9)",IF(J4358&gt;=5,"Moderado alto (5-5.9)",IF(J4358&gt;=4,"Moderado (4-4.9)","Menor a 4"))))</x:f>
        <x:v>Moderado (4-4.9)</x:v>
      </x:c>
      <x:c r="L4358" s="25" t="str">
        <x:f>IF(I4358&lt;70,"Superficial (&lt;70 km)",IF(I4358&lt;=300,"Intermedio (70-300 km)","Profundo (&gt;300 km)"))</x:f>
        <x:v>Superficial (&lt;70 km)</x:v>
      </x:c>
      <x:c r="M4358" s="25" t="str">
        <x:f>IF(J4358&gt;=5,"Sí","No")</x:f>
        <x:v>No</x:v>
      </x:c>
      <x:c r="N4358" s="25" t="str">
        <x:f>IF(J4358&gt;=6,"Sí","No")</x:f>
        <x:v>No</x:v>
      </x:c>
      <x:c r="O4358" s="25" t="str">
        <x:v>Pendiente: asignar con R/sf</x:v>
      </x:c>
    </x:row>
    <x:row r="4359">
      <x:c r="A4359" s="25" t="n">
        <x:v>4358</x:v>
      </x:c>
      <x:c r="B4359" s="26" t="n">
        <x:v>44587.82145833333</x:v>
      </x:c>
      <x:c r="C4359" s="27" t="n">
        <x:f>INT(B4359)</x:f>
        <x:v>44587</x:v>
      </x:c>
      <x:c r="D4359" s="28" t="n">
        <x:f>MOD(B4359,1)</x:f>
        <x:v>0.8214583333319752</x:v>
      </x:c>
      <x:c r="E4359" s="29" t="n">
        <x:f>YEAR(B4359)</x:f>
        <x:v>2022</x:v>
      </x:c>
      <x:c r="F4359" s="29" t="n">
        <x:f>MONTH(B4359)</x:f>
        <x:v>1</x:v>
      </x:c>
      <x:c r="G4359" s="30" t="n">
        <x:v>-22.8</x:v>
      </x:c>
      <x:c r="H4359" s="30" t="n">
        <x:v>-68.51</x:v>
      </x:c>
      <x:c r="I4359" s="29" t="n">
        <x:v>8</x:v>
      </x:c>
      <x:c r="J4359" s="31" t="n">
        <x:v>4.3</x:v>
      </x:c>
      <x:c r="K4359" s="25" t="str">
        <x:f>IF(J4359&gt;=7,"Muy fuerte (&gt;=7)",IF(J4359&gt;=6,"Fuerte (6-6.9)",IF(J4359&gt;=5,"Moderado alto (5-5.9)",IF(J4359&gt;=4,"Moderado (4-4.9)","Menor a 4"))))</x:f>
        <x:v>Moderado (4-4.9)</x:v>
      </x:c>
      <x:c r="L4359" s="25" t="str">
        <x:f>IF(I4359&lt;70,"Superficial (&lt;70 km)",IF(I4359&lt;=300,"Intermedio (70-300 km)","Profundo (&gt;300 km)"))</x:f>
        <x:v>Superficial (&lt;70 km)</x:v>
      </x:c>
      <x:c r="M4359" s="25" t="str">
        <x:f>IF(J4359&gt;=5,"Sí","No")</x:f>
        <x:v>No</x:v>
      </x:c>
      <x:c r="N4359" s="25" t="str">
        <x:f>IF(J4359&gt;=6,"Sí","No")</x:f>
        <x:v>No</x:v>
      </x:c>
      <x:c r="O4359" s="25" t="str">
        <x:v>Pendiente: asignar con R/sf</x:v>
      </x:c>
    </x:row>
    <x:row r="4360">
      <x:c r="A4360" s="25" t="n">
        <x:v>4359</x:v>
      </x:c>
      <x:c r="B4360" s="26" t="n">
        <x:v>44891.40311342593</x:v>
      </x:c>
      <x:c r="C4360" s="27" t="n">
        <x:f>INT(B4360)</x:f>
        <x:v>44891</x:v>
      </x:c>
      <x:c r="D4360" s="28" t="n">
        <x:f>MOD(B4360,1)</x:f>
        <x:v>0.4031134259275859</x:v>
      </x:c>
      <x:c r="E4360" s="29" t="n">
        <x:f>YEAR(B4360)</x:f>
        <x:v>2022</x:v>
      </x:c>
      <x:c r="F4360" s="29" t="n">
        <x:f>MONTH(B4360)</x:f>
        <x:v>11</x:v>
      </x:c>
      <x:c r="G4360" s="30" t="n">
        <x:v>-22.45</x:v>
      </x:c>
      <x:c r="H4360" s="30" t="n">
        <x:v>-69.15</x:v>
      </x:c>
      <x:c r="I4360" s="29" t="n">
        <x:v>117</x:v>
      </x:c>
      <x:c r="J4360" s="31" t="n">
        <x:v>4.6</x:v>
      </x:c>
      <x:c r="K4360" s="25" t="str">
        <x:f>IF(J4360&gt;=7,"Muy fuerte (&gt;=7)",IF(J4360&gt;=6,"Fuerte (6-6.9)",IF(J4360&gt;=5,"Moderado alto (5-5.9)",IF(J4360&gt;=4,"Moderado (4-4.9)","Menor a 4"))))</x:f>
        <x:v>Moderado (4-4.9)</x:v>
      </x:c>
      <x:c r="L4360" s="25" t="str">
        <x:f>IF(I4360&lt;70,"Superficial (&lt;70 km)",IF(I4360&lt;=300,"Intermedio (70-300 km)","Profundo (&gt;300 km)"))</x:f>
        <x:v>Intermedio (70-300 km)</x:v>
      </x:c>
      <x:c r="M4360" s="25" t="str">
        <x:f>IF(J4360&gt;=5,"Sí","No")</x:f>
        <x:v>No</x:v>
      </x:c>
      <x:c r="N4360" s="25" t="str">
        <x:f>IF(J4360&gt;=6,"Sí","No")</x:f>
        <x:v>No</x:v>
      </x:c>
      <x:c r="O4360" s="25" t="str">
        <x:v>Pendiente: asignar con R/sf</x:v>
      </x:c>
    </x:row>
    <x:row r="4361">
      <x:c r="A4361" s="25" t="n">
        <x:v>4360</x:v>
      </x:c>
      <x:c r="B4361" s="26" t="n">
        <x:v>44914.84085648148</x:v>
      </x:c>
      <x:c r="C4361" s="27" t="n">
        <x:f>INT(B4361)</x:f>
        <x:v>44914</x:v>
      </x:c>
      <x:c r="D4361" s="28" t="n">
        <x:f>MOD(B4361,1)</x:f>
        <x:v>0.840856481481751</x:v>
      </x:c>
      <x:c r="E4361" s="29" t="n">
        <x:f>YEAR(B4361)</x:f>
        <x:v>2022</x:v>
      </x:c>
      <x:c r="F4361" s="29" t="n">
        <x:f>MONTH(B4361)</x:f>
        <x:v>12</x:v>
      </x:c>
      <x:c r="G4361" s="30" t="n">
        <x:v>-22.31</x:v>
      </x:c>
      <x:c r="H4361" s="30" t="n">
        <x:v>-68.64</x:v>
      </x:c>
      <x:c r="I4361" s="29" t="n">
        <x:v>114</x:v>
      </x:c>
      <x:c r="J4361" s="31" t="n">
        <x:v>5</x:v>
      </x:c>
      <x:c r="K4361" s="25" t="str">
        <x:f>IF(J4361&gt;=7,"Muy fuerte (&gt;=7)",IF(J4361&gt;=6,"Fuerte (6-6.9)",IF(J4361&gt;=5,"Moderado alto (5-5.9)",IF(J4361&gt;=4,"Moderado (4-4.9)","Menor a 4"))))</x:f>
        <x:v>Moderado alto (5-5.9)</x:v>
      </x:c>
      <x:c r="L4361" s="25" t="str">
        <x:f>IF(I4361&lt;70,"Superficial (&lt;70 km)",IF(I4361&lt;=300,"Intermedio (70-300 km)","Profundo (&gt;300 km)"))</x:f>
        <x:v>Intermedio (70-300 km)</x:v>
      </x:c>
      <x:c r="M4361" s="25" t="str">
        <x:f>IF(J4361&gt;=5,"Sí","No")</x:f>
        <x:v>Sí</x:v>
      </x:c>
      <x:c r="N4361" s="25" t="str">
        <x:f>IF(J4361&gt;=6,"Sí","No")</x:f>
        <x:v>No</x:v>
      </x:c>
      <x:c r="O4361" s="25" t="str">
        <x:v>Pendiente: asignar con R/sf</x:v>
      </x:c>
    </x:row>
    <x:row r="4362">
      <x:c r="A4362" s="25" t="n">
        <x:v>4361</x:v>
      </x:c>
      <x:c r="B4362" s="26" t="n">
        <x:v>43998.74630787037</x:v>
      </x:c>
      <x:c r="C4362" s="27" t="n">
        <x:f>INT(B4362)</x:f>
        <x:v>43998</x:v>
      </x:c>
      <x:c r="D4362" s="28" t="n">
        <x:f>MOD(B4362,1)</x:f>
        <x:v>0.7463078703731298</x:v>
      </x:c>
      <x:c r="E4362" s="29" t="n">
        <x:f>YEAR(B4362)</x:f>
        <x:v>2020</x:v>
      </x:c>
      <x:c r="F4362" s="29" t="n">
        <x:f>MONTH(B4362)</x:f>
        <x:v>6</x:v>
      </x:c>
      <x:c r="G4362" s="30" t="n">
        <x:v>-23.21</x:v>
      </x:c>
      <x:c r="H4362" s="30" t="n">
        <x:v>-68.59</x:v>
      </x:c>
      <x:c r="I4362" s="29" t="n">
        <x:v>115</x:v>
      </x:c>
      <x:c r="J4362" s="31" t="n">
        <x:v>4.8</x:v>
      </x:c>
      <x:c r="K4362" s="25" t="str">
        <x:f>IF(J4362&gt;=7,"Muy fuerte (&gt;=7)",IF(J4362&gt;=6,"Fuerte (6-6.9)",IF(J4362&gt;=5,"Moderado alto (5-5.9)",IF(J4362&gt;=4,"Moderado (4-4.9)","Menor a 4"))))</x:f>
        <x:v>Moderado (4-4.9)</x:v>
      </x:c>
      <x:c r="L4362" s="25" t="str">
        <x:f>IF(I4362&lt;70,"Superficial (&lt;70 km)",IF(I4362&lt;=300,"Intermedio (70-300 km)","Profundo (&gt;300 km)"))</x:f>
        <x:v>Intermedio (70-300 km)</x:v>
      </x:c>
      <x:c r="M4362" s="25" t="str">
        <x:f>IF(J4362&gt;=5,"Sí","No")</x:f>
        <x:v>No</x:v>
      </x:c>
      <x:c r="N4362" s="25" t="str">
        <x:f>IF(J4362&gt;=6,"Sí","No")</x:f>
        <x:v>No</x:v>
      </x:c>
      <x:c r="O4362" s="25" t="str">
        <x:v>Pendiente: asignar con R/sf</x:v>
      </x:c>
    </x:row>
    <x:row r="4363">
      <x:c r="A4363" s="25" t="n">
        <x:v>4362</x:v>
      </x:c>
      <x:c r="B4363" s="26" t="n">
        <x:v>43999.27792824074</x:v>
      </x:c>
      <x:c r="C4363" s="27" t="n">
        <x:f>INT(B4363)</x:f>
        <x:v>43999</x:v>
      </x:c>
      <x:c r="D4363" s="28" t="n">
        <x:f>MOD(B4363,1)</x:f>
        <x:v>0.27792824074276723</x:v>
      </x:c>
      <x:c r="E4363" s="29" t="n">
        <x:f>YEAR(B4363)</x:f>
        <x:v>2020</x:v>
      </x:c>
      <x:c r="F4363" s="29" t="n">
        <x:f>MONTH(B4363)</x:f>
        <x:v>6</x:v>
      </x:c>
      <x:c r="G4363" s="30" t="n">
        <x:v>-23.25</x:v>
      </x:c>
      <x:c r="H4363" s="30" t="n">
        <x:v>-68.57</x:v>
      </x:c>
      <x:c r="I4363" s="29" t="n">
        <x:v>108</x:v>
      </x:c>
      <x:c r="J4363" s="31" t="n">
        <x:v>3.9</x:v>
      </x:c>
      <x:c r="K4363" s="25" t="str">
        <x:f>IF(J4363&gt;=7,"Muy fuerte (&gt;=7)",IF(J4363&gt;=6,"Fuerte (6-6.9)",IF(J4363&gt;=5,"Moderado alto (5-5.9)",IF(J4363&gt;=4,"Moderado (4-4.9)","Menor a 4"))))</x:f>
        <x:v>Menor a 4</x:v>
      </x:c>
      <x:c r="L4363" s="25" t="str">
        <x:f>IF(I4363&lt;70,"Superficial (&lt;70 km)",IF(I4363&lt;=300,"Intermedio (70-300 km)","Profundo (&gt;300 km)"))</x:f>
        <x:v>Intermedio (70-300 km)</x:v>
      </x:c>
      <x:c r="M4363" s="25" t="str">
        <x:f>IF(J4363&gt;=5,"Sí","No")</x:f>
        <x:v>No</x:v>
      </x:c>
      <x:c r="N4363" s="25" t="str">
        <x:f>IF(J4363&gt;=6,"Sí","No")</x:f>
        <x:v>No</x:v>
      </x:c>
      <x:c r="O4363" s="25" t="str">
        <x:v>Pendiente: asignar con R/sf</x:v>
      </x:c>
    </x:row>
    <x:row r="4364">
      <x:c r="A4364" s="25" t="n">
        <x:v>4363</x:v>
      </x:c>
      <x:c r="B4364" s="26" t="n">
        <x:v>44130.25237268519</x:v>
      </x:c>
      <x:c r="C4364" s="27" t="n">
        <x:f>INT(B4364)</x:f>
        <x:v>44130</x:v>
      </x:c>
      <x:c r="D4364" s="28" t="n">
        <x:f>MOD(B4364,1)</x:f>
        <x:v>0.25237268518685596</x:v>
      </x:c>
      <x:c r="E4364" s="29" t="n">
        <x:f>YEAR(B4364)</x:f>
        <x:v>2020</x:v>
      </x:c>
      <x:c r="F4364" s="29" t="n">
        <x:f>MONTH(B4364)</x:f>
        <x:v>10</x:v>
      </x:c>
      <x:c r="G4364" s="30" t="n">
        <x:v>-23.33</x:v>
      </x:c>
      <x:c r="H4364" s="30" t="n">
        <x:v>-68.46</x:v>
      </x:c>
      <x:c r="I4364" s="29" t="n">
        <x:v>121</x:v>
      </x:c>
      <x:c r="J4364" s="31" t="n">
        <x:v>4.4</x:v>
      </x:c>
      <x:c r="K4364" s="25" t="str">
        <x:f>IF(J4364&gt;=7,"Muy fuerte (&gt;=7)",IF(J4364&gt;=6,"Fuerte (6-6.9)",IF(J4364&gt;=5,"Moderado alto (5-5.9)",IF(J4364&gt;=4,"Moderado (4-4.9)","Menor a 4"))))</x:f>
        <x:v>Moderado (4-4.9)</x:v>
      </x:c>
      <x:c r="L4364" s="25" t="str">
        <x:f>IF(I4364&lt;70,"Superficial (&lt;70 km)",IF(I4364&lt;=300,"Intermedio (70-300 km)","Profundo (&gt;300 km)"))</x:f>
        <x:v>Intermedio (70-300 km)</x:v>
      </x:c>
      <x:c r="M4364" s="25" t="str">
        <x:f>IF(J4364&gt;=5,"Sí","No")</x:f>
        <x:v>No</x:v>
      </x:c>
      <x:c r="N4364" s="25" t="str">
        <x:f>IF(J4364&gt;=6,"Sí","No")</x:f>
        <x:v>No</x:v>
      </x:c>
      <x:c r="O4364" s="25" t="str">
        <x:v>Pendiente: asignar con R/sf</x:v>
      </x:c>
    </x:row>
    <x:row r="4365">
      <x:c r="A4365" s="25" t="n">
        <x:v>4364</x:v>
      </x:c>
      <x:c r="B4365" s="26" t="n">
        <x:v>44197.81494212963</x:v>
      </x:c>
      <x:c r="C4365" s="27" t="n">
        <x:f>INT(B4365)</x:f>
        <x:v>44197</x:v>
      </x:c>
      <x:c r="D4365" s="28" t="n">
        <x:f>MOD(B4365,1)</x:f>
        <x:v>0.814942129632982</x:v>
      </x:c>
      <x:c r="E4365" s="29" t="n">
        <x:f>YEAR(B4365)</x:f>
        <x:v>2021</x:v>
      </x:c>
      <x:c r="F4365" s="29" t="n">
        <x:f>MONTH(B4365)</x:f>
        <x:v>1</x:v>
      </x:c>
      <x:c r="G4365" s="30" t="n">
        <x:v>-23.48</x:v>
      </x:c>
      <x:c r="H4365" s="30" t="n">
        <x:v>-68.78</x:v>
      </x:c>
      <x:c r="I4365" s="29" t="n">
        <x:v>112</x:v>
      </x:c>
      <x:c r="J4365" s="31" t="n">
        <x:v>4.4</x:v>
      </x:c>
      <x:c r="K4365" s="25" t="str">
        <x:f>IF(J4365&gt;=7,"Muy fuerte (&gt;=7)",IF(J4365&gt;=6,"Fuerte (6-6.9)",IF(J4365&gt;=5,"Moderado alto (5-5.9)",IF(J4365&gt;=4,"Moderado (4-4.9)","Menor a 4"))))</x:f>
        <x:v>Moderado (4-4.9)</x:v>
      </x:c>
      <x:c r="L4365" s="25" t="str">
        <x:f>IF(I4365&lt;70,"Superficial (&lt;70 km)",IF(I4365&lt;=300,"Intermedio (70-300 km)","Profundo (&gt;300 km)"))</x:f>
        <x:v>Intermedio (70-300 km)</x:v>
      </x:c>
      <x:c r="M4365" s="25" t="str">
        <x:f>IF(J4365&gt;=5,"Sí","No")</x:f>
        <x:v>No</x:v>
      </x:c>
      <x:c r="N4365" s="25" t="str">
        <x:f>IF(J4365&gt;=6,"Sí","No")</x:f>
        <x:v>No</x:v>
      </x:c>
      <x:c r="O4365" s="25" t="str">
        <x:v>Pendiente: asignar con R/sf</x:v>
      </x:c>
    </x:row>
    <x:row r="4366">
      <x:c r="A4366" s="25" t="n">
        <x:v>4365</x:v>
      </x:c>
      <x:c r="B4366" s="26" t="n">
        <x:v>44198.361354166664</x:v>
      </x:c>
      <x:c r="C4366" s="27" t="n">
        <x:f>INT(B4366)</x:f>
        <x:v>44198</x:v>
      </x:c>
      <x:c r="D4366" s="28" t="n">
        <x:f>MOD(B4366,1)</x:f>
        <x:v>0.36135416666365927</x:v>
      </x:c>
      <x:c r="E4366" s="29" t="n">
        <x:f>YEAR(B4366)</x:f>
        <x:v>2021</x:v>
      </x:c>
      <x:c r="F4366" s="29" t="n">
        <x:f>MONTH(B4366)</x:f>
        <x:v>1</x:v>
      </x:c>
      <x:c r="G4366" s="30" t="n">
        <x:v>-23.48</x:v>
      </x:c>
      <x:c r="H4366" s="30" t="n">
        <x:v>-68.89</x:v>
      </x:c>
      <x:c r="I4366" s="29" t="n">
        <x:v>106</x:v>
      </x:c>
      <x:c r="J4366" s="31" t="n">
        <x:v>4.3</x:v>
      </x:c>
      <x:c r="K4366" s="25" t="str">
        <x:f>IF(J4366&gt;=7,"Muy fuerte (&gt;=7)",IF(J4366&gt;=6,"Fuerte (6-6.9)",IF(J4366&gt;=5,"Moderado alto (5-5.9)",IF(J4366&gt;=4,"Moderado (4-4.9)","Menor a 4"))))</x:f>
        <x:v>Moderado (4-4.9)</x:v>
      </x:c>
      <x:c r="L4366" s="25" t="str">
        <x:f>IF(I4366&lt;70,"Superficial (&lt;70 km)",IF(I4366&lt;=300,"Intermedio (70-300 km)","Profundo (&gt;300 km)"))</x:f>
        <x:v>Intermedio (70-300 km)</x:v>
      </x:c>
      <x:c r="M4366" s="25" t="str">
        <x:f>IF(J4366&gt;=5,"Sí","No")</x:f>
        <x:v>No</x:v>
      </x:c>
      <x:c r="N4366" s="25" t="str">
        <x:f>IF(J4366&gt;=6,"Sí","No")</x:f>
        <x:v>No</x:v>
      </x:c>
      <x:c r="O4366" s="25" t="str">
        <x:v>Pendiente: asignar con R/sf</x:v>
      </x:c>
    </x:row>
    <x:row r="4367">
      <x:c r="A4367" s="25" t="n">
        <x:v>4366</x:v>
      </x:c>
      <x:c r="B4367" s="26" t="n">
        <x:v>44033.751388888886</x:v>
      </x:c>
      <x:c r="C4367" s="27" t="n">
        <x:f>INT(B4367)</x:f>
        <x:v>44033</x:v>
      </x:c>
      <x:c r="D4367" s="28" t="n">
        <x:f>MOD(B4367,1)</x:f>
        <x:v>0.7513888888861402</x:v>
      </x:c>
      <x:c r="E4367" s="29" t="n">
        <x:f>YEAR(B4367)</x:f>
        <x:v>2020</x:v>
      </x:c>
      <x:c r="F4367" s="29" t="n">
        <x:f>MONTH(B4367)</x:f>
        <x:v>7</x:v>
      </x:c>
      <x:c r="G4367" s="30" t="n">
        <x:v>-22.16</x:v>
      </x:c>
      <x:c r="H4367" s="30" t="n">
        <x:v>-68.59</x:v>
      </x:c>
      <x:c r="I4367" s="29" t="n">
        <x:v>120</x:v>
      </x:c>
      <x:c r="J4367" s="31" t="n">
        <x:v>4.7</x:v>
      </x:c>
      <x:c r="K4367" s="25" t="str">
        <x:f>IF(J4367&gt;=7,"Muy fuerte (&gt;=7)",IF(J4367&gt;=6,"Fuerte (6-6.9)",IF(J4367&gt;=5,"Moderado alto (5-5.9)",IF(J4367&gt;=4,"Moderado (4-4.9)","Menor a 4"))))</x:f>
        <x:v>Moderado (4-4.9)</x:v>
      </x:c>
      <x:c r="L4367" s="25" t="str">
        <x:f>IF(I4367&lt;70,"Superficial (&lt;70 km)",IF(I4367&lt;=300,"Intermedio (70-300 km)","Profundo (&gt;300 km)"))</x:f>
        <x:v>Intermedio (70-300 km)</x:v>
      </x:c>
      <x:c r="M4367" s="25" t="str">
        <x:f>IF(J4367&gt;=5,"Sí","No")</x:f>
        <x:v>No</x:v>
      </x:c>
      <x:c r="N4367" s="25" t="str">
        <x:f>IF(J4367&gt;=6,"Sí","No")</x:f>
        <x:v>No</x:v>
      </x:c>
      <x:c r="O4367" s="25" t="str">
        <x:v>Pendiente: asignar con R/sf</x:v>
      </x:c>
    </x:row>
    <x:row r="4368">
      <x:c r="A4368" s="25" t="n">
        <x:v>4367</x:v>
      </x:c>
      <x:c r="B4368" s="26" t="n">
        <x:v>44491.46863425926</x:v>
      </x:c>
      <x:c r="C4368" s="27" t="n">
        <x:f>INT(B4368)</x:f>
        <x:v>44491</x:v>
      </x:c>
      <x:c r="D4368" s="28" t="n">
        <x:f>MOD(B4368,1)</x:f>
        <x:v>0.4686342592613073</x:v>
      </x:c>
      <x:c r="E4368" s="29" t="n">
        <x:f>YEAR(B4368)</x:f>
        <x:v>2021</x:v>
      </x:c>
      <x:c r="F4368" s="29" t="n">
        <x:f>MONTH(B4368)</x:f>
        <x:v>10</x:v>
      </x:c>
      <x:c r="G4368" s="30" t="n">
        <x:v>-22.15</x:v>
      </x:c>
      <x:c r="H4368" s="30" t="n">
        <x:v>-69.16</x:v>
      </x:c>
      <x:c r="I4368" s="29" t="n">
        <x:v>101</x:v>
      </x:c>
      <x:c r="J4368" s="31" t="n">
        <x:v>4.2</x:v>
      </x:c>
      <x:c r="K4368" s="25" t="str">
        <x:f>IF(J4368&gt;=7,"Muy fuerte (&gt;=7)",IF(J4368&gt;=6,"Fuerte (6-6.9)",IF(J4368&gt;=5,"Moderado alto (5-5.9)",IF(J4368&gt;=4,"Moderado (4-4.9)","Menor a 4"))))</x:f>
        <x:v>Moderado (4-4.9)</x:v>
      </x:c>
      <x:c r="L4368" s="25" t="str">
        <x:f>IF(I4368&lt;70,"Superficial (&lt;70 km)",IF(I4368&lt;=300,"Intermedio (70-300 km)","Profundo (&gt;300 km)"))</x:f>
        <x:v>Intermedio (70-300 km)</x:v>
      </x:c>
      <x:c r="M4368" s="25" t="str">
        <x:f>IF(J4368&gt;=5,"Sí","No")</x:f>
        <x:v>No</x:v>
      </x:c>
      <x:c r="N4368" s="25" t="str">
        <x:f>IF(J4368&gt;=6,"Sí","No")</x:f>
        <x:v>No</x:v>
      </x:c>
      <x:c r="O4368" s="25" t="str">
        <x:v>Pendiente: asignar con R/sf</x:v>
      </x:c>
    </x:row>
    <x:row r="4369">
      <x:c r="A4369" s="25" t="n">
        <x:v>4368</x:v>
      </x:c>
      <x:c r="B4369" s="26" t="n">
        <x:v>43951.92400462963</x:v>
      </x:c>
      <x:c r="C4369" s="27" t="n">
        <x:f>INT(B4369)</x:f>
        <x:v>43951</x:v>
      </x:c>
      <x:c r="D4369" s="28" t="n">
        <x:f>MOD(B4369,1)</x:f>
        <x:v>0.9240046296326909</x:v>
      </x:c>
      <x:c r="E4369" s="29" t="n">
        <x:f>YEAR(B4369)</x:f>
        <x:v>2020</x:v>
      </x:c>
      <x:c r="F4369" s="29" t="n">
        <x:f>MONTH(B4369)</x:f>
        <x:v>4</x:v>
      </x:c>
      <x:c r="G4369" s="30" t="n">
        <x:v>-24</x:v>
      </x:c>
      <x:c r="H4369" s="30" t="n">
        <x:v>-67.16</x:v>
      </x:c>
      <x:c r="I4369" s="29" t="n">
        <x:v>172</x:v>
      </x:c>
      <x:c r="J4369" s="31" t="n">
        <x:v>5.4</x:v>
      </x:c>
      <x:c r="K4369" s="25" t="str">
        <x:f>IF(J4369&gt;=7,"Muy fuerte (&gt;=7)",IF(J4369&gt;=6,"Fuerte (6-6.9)",IF(J4369&gt;=5,"Moderado alto (5-5.9)",IF(J4369&gt;=4,"Moderado (4-4.9)","Menor a 4"))))</x:f>
        <x:v>Moderado alto (5-5.9)</x:v>
      </x:c>
      <x:c r="L4369" s="25" t="str">
        <x:f>IF(I4369&lt;70,"Superficial (&lt;70 km)",IF(I4369&lt;=300,"Intermedio (70-300 km)","Profundo (&gt;300 km)"))</x:f>
        <x:v>Intermedio (70-300 km)</x:v>
      </x:c>
      <x:c r="M4369" s="25" t="str">
        <x:f>IF(J4369&gt;=5,"Sí","No")</x:f>
        <x:v>Sí</x:v>
      </x:c>
      <x:c r="N4369" s="25" t="str">
        <x:f>IF(J4369&gt;=6,"Sí","No")</x:f>
        <x:v>No</x:v>
      </x:c>
      <x:c r="O4369" s="25" t="str">
        <x:v>Pendiente: asignar con R/sf</x:v>
      </x:c>
    </x:row>
    <x:row r="4370">
      <x:c r="A4370" s="25" t="n">
        <x:v>4369</x:v>
      </x:c>
      <x:c r="B4370" s="26" t="n">
        <x:v>44115.69950231481</x:v>
      </x:c>
      <x:c r="C4370" s="27" t="n">
        <x:f>INT(B4370)</x:f>
        <x:v>44115</x:v>
      </x:c>
      <x:c r="D4370" s="28" t="n">
        <x:f>MOD(B4370,1)</x:f>
        <x:v>0.6995023148119799</x:v>
      </x:c>
      <x:c r="E4370" s="29" t="n">
        <x:f>YEAR(B4370)</x:f>
        <x:v>2020</x:v>
      </x:c>
      <x:c r="F4370" s="29" t="n">
        <x:f>MONTH(B4370)</x:f>
        <x:v>10</x:v>
      </x:c>
      <x:c r="G4370" s="30" t="n">
        <x:v>-23.16</x:v>
      </x:c>
      <x:c r="H4370" s="30" t="n">
        <x:v>-69.29</x:v>
      </x:c>
      <x:c r="I4370" s="29" t="n">
        <x:v>93</x:v>
      </x:c>
      <x:c r="J4370" s="31" t="n">
        <x:v>4</x:v>
      </x:c>
      <x:c r="K4370" s="25" t="str">
        <x:f>IF(J4370&gt;=7,"Muy fuerte (&gt;=7)",IF(J4370&gt;=6,"Fuerte (6-6.9)",IF(J4370&gt;=5,"Moderado alto (5-5.9)",IF(J4370&gt;=4,"Moderado (4-4.9)","Menor a 4"))))</x:f>
        <x:v>Moderado (4-4.9)</x:v>
      </x:c>
      <x:c r="L4370" s="25" t="str">
        <x:f>IF(I4370&lt;70,"Superficial (&lt;70 km)",IF(I4370&lt;=300,"Intermedio (70-300 km)","Profundo (&gt;300 km)"))</x:f>
        <x:v>Intermedio (70-300 km)</x:v>
      </x:c>
      <x:c r="M4370" s="25" t="str">
        <x:f>IF(J4370&gt;=5,"Sí","No")</x:f>
        <x:v>No</x:v>
      </x:c>
      <x:c r="N4370" s="25" t="str">
        <x:f>IF(J4370&gt;=6,"Sí","No")</x:f>
        <x:v>No</x:v>
      </x:c>
      <x:c r="O4370" s="25" t="str">
        <x:v>Pendiente: asignar con R/sf</x:v>
      </x:c>
    </x:row>
    <x:row r="4371">
      <x:c r="A4371" s="25" t="n">
        <x:v>4370</x:v>
      </x:c>
      <x:c r="B4371" s="26" t="n">
        <x:v>44117.020844907405</x:v>
      </x:c>
      <x:c r="C4371" s="27" t="n">
        <x:f>INT(B4371)</x:f>
        <x:v>44117</x:v>
      </x:c>
      <x:c r="D4371" s="28" t="n">
        <x:f>MOD(B4371,1)</x:f>
        <x:v>0.020844907405262347</x:v>
      </x:c>
      <x:c r="E4371" s="29" t="n">
        <x:f>YEAR(B4371)</x:f>
        <x:v>2020</x:v>
      </x:c>
      <x:c r="F4371" s="29" t="n">
        <x:f>MONTH(B4371)</x:f>
        <x:v>10</x:v>
      </x:c>
      <x:c r="G4371" s="30" t="n">
        <x:v>-23.04</x:v>
      </x:c>
      <x:c r="H4371" s="30" t="n">
        <x:v>-69.33</x:v>
      </x:c>
      <x:c r="I4371" s="29" t="n">
        <x:v>99</x:v>
      </x:c>
      <x:c r="J4371" s="31" t="n">
        <x:v>4.5</x:v>
      </x:c>
      <x:c r="K4371" s="25" t="str">
        <x:f>IF(J4371&gt;=7,"Muy fuerte (&gt;=7)",IF(J4371&gt;=6,"Fuerte (6-6.9)",IF(J4371&gt;=5,"Moderado alto (5-5.9)",IF(J4371&gt;=4,"Moderado (4-4.9)","Menor a 4"))))</x:f>
        <x:v>Moderado (4-4.9)</x:v>
      </x:c>
      <x:c r="L4371" s="25" t="str">
        <x:f>IF(I4371&lt;70,"Superficial (&lt;70 km)",IF(I4371&lt;=300,"Intermedio (70-300 km)","Profundo (&gt;300 km)"))</x:f>
        <x:v>Intermedio (70-300 km)</x:v>
      </x:c>
      <x:c r="M4371" s="25" t="str">
        <x:f>IF(J4371&gt;=5,"Sí","No")</x:f>
        <x:v>No</x:v>
      </x:c>
      <x:c r="N4371" s="25" t="str">
        <x:f>IF(J4371&gt;=6,"Sí","No")</x:f>
        <x:v>No</x:v>
      </x:c>
      <x:c r="O4371" s="25" t="str">
        <x:v>Pendiente: asignar con R/sf</x:v>
      </x:c>
    </x:row>
    <x:row r="4372">
      <x:c r="A4372" s="25" t="n">
        <x:v>4371</x:v>
      </x:c>
      <x:c r="B4372" s="26" t="n">
        <x:v>44129.89770833333</x:v>
      </x:c>
      <x:c r="C4372" s="27" t="n">
        <x:f>INT(B4372)</x:f>
        <x:v>44129</x:v>
      </x:c>
      <x:c r="D4372" s="28" t="n">
        <x:f>MOD(B4372,1)</x:f>
        <x:v>0.8977083333302289</x:v>
      </x:c>
      <x:c r="E4372" s="29" t="n">
        <x:f>YEAR(B4372)</x:f>
        <x:v>2020</x:v>
      </x:c>
      <x:c r="F4372" s="29" t="n">
        <x:f>MONTH(B4372)</x:f>
        <x:v>10</x:v>
      </x:c>
      <x:c r="G4372" s="30" t="n">
        <x:v>-23.23</x:v>
      </x:c>
      <x:c r="H4372" s="30" t="n">
        <x:v>-68.61</x:v>
      </x:c>
      <x:c r="I4372" s="29" t="n">
        <x:v>125</x:v>
      </x:c>
      <x:c r="J4372" s="31" t="n">
        <x:v>4.6</x:v>
      </x:c>
      <x:c r="K4372" s="25" t="str">
        <x:f>IF(J4372&gt;=7,"Muy fuerte (&gt;=7)",IF(J4372&gt;=6,"Fuerte (6-6.9)",IF(J4372&gt;=5,"Moderado alto (5-5.9)",IF(J4372&gt;=4,"Moderado (4-4.9)","Menor a 4"))))</x:f>
        <x:v>Moderado (4-4.9)</x:v>
      </x:c>
      <x:c r="L4372" s="25" t="str">
        <x:f>IF(I4372&lt;70,"Superficial (&lt;70 km)",IF(I4372&lt;=300,"Intermedio (70-300 km)","Profundo (&gt;300 km)"))</x:f>
        <x:v>Intermedio (70-300 km)</x:v>
      </x:c>
      <x:c r="M4372" s="25" t="str">
        <x:f>IF(J4372&gt;=5,"Sí","No")</x:f>
        <x:v>No</x:v>
      </x:c>
      <x:c r="N4372" s="25" t="str">
        <x:f>IF(J4372&gt;=6,"Sí","No")</x:f>
        <x:v>No</x:v>
      </x:c>
      <x:c r="O4372" s="25" t="str">
        <x:v>Pendiente: asignar con R/sf</x:v>
      </x:c>
    </x:row>
    <x:row r="4373">
      <x:c r="A4373" s="25" t="n">
        <x:v>4372</x:v>
      </x:c>
      <x:c r="B4373" s="26" t="n">
        <x:v>44143.59475694445</x:v>
      </x:c>
      <x:c r="C4373" s="27" t="n">
        <x:f>INT(B4373)</x:f>
        <x:v>44143</x:v>
      </x:c>
      <x:c r="D4373" s="28" t="n">
        <x:f>MOD(B4373,1)</x:f>
        <x:v>0.5947569444469991</x:v>
      </x:c>
      <x:c r="E4373" s="29" t="n">
        <x:f>YEAR(B4373)</x:f>
        <x:v>2020</x:v>
      </x:c>
      <x:c r="F4373" s="29" t="n">
        <x:f>MONTH(B4373)</x:f>
        <x:v>11</x:v>
      </x:c>
      <x:c r="G4373" s="30" t="n">
        <x:v>-22.34</x:v>
      </x:c>
      <x:c r="H4373" s="30" t="n">
        <x:v>-69.57</x:v>
      </x:c>
      <x:c r="I4373" s="29" t="n">
        <x:v>80</x:v>
      </x:c>
      <x:c r="J4373" s="31" t="n">
        <x:v>3.9</x:v>
      </x:c>
      <x:c r="K4373" s="25" t="str">
        <x:f>IF(J4373&gt;=7,"Muy fuerte (&gt;=7)",IF(J4373&gt;=6,"Fuerte (6-6.9)",IF(J4373&gt;=5,"Moderado alto (5-5.9)",IF(J4373&gt;=4,"Moderado (4-4.9)","Menor a 4"))))</x:f>
        <x:v>Menor a 4</x:v>
      </x:c>
      <x:c r="L4373" s="25" t="str">
        <x:f>IF(I4373&lt;70,"Superficial (&lt;70 km)",IF(I4373&lt;=300,"Intermedio (70-300 km)","Profundo (&gt;300 km)"))</x:f>
        <x:v>Intermedio (70-300 km)</x:v>
      </x:c>
      <x:c r="M4373" s="25" t="str">
        <x:f>IF(J4373&gt;=5,"Sí","No")</x:f>
        <x:v>No</x:v>
      </x:c>
      <x:c r="N4373" s="25" t="str">
        <x:f>IF(J4373&gt;=6,"Sí","No")</x:f>
        <x:v>No</x:v>
      </x:c>
      <x:c r="O4373" s="25" t="str">
        <x:v>Pendiente: asignar con R/sf</x:v>
      </x:c>
    </x:row>
    <x:row r="4374">
      <x:c r="A4374" s="25" t="n">
        <x:v>4373</x:v>
      </x:c>
      <x:c r="B4374" s="26" t="n">
        <x:v>44249.07251157407</x:v>
      </x:c>
      <x:c r="C4374" s="27" t="n">
        <x:f>INT(B4374)</x:f>
        <x:v>44249</x:v>
      </x:c>
      <x:c r="D4374" s="28" t="n">
        <x:f>MOD(B4374,1)</x:f>
        <x:v>0.07251157407154096</x:v>
      </x:c>
      <x:c r="E4374" s="29" t="n">
        <x:f>YEAR(B4374)</x:f>
        <x:v>2021</x:v>
      </x:c>
      <x:c r="F4374" s="29" t="n">
        <x:f>MONTH(B4374)</x:f>
        <x:v>2</x:v>
      </x:c>
      <x:c r="G4374" s="30" t="n">
        <x:v>-22.79</x:v>
      </x:c>
      <x:c r="H4374" s="30" t="n">
        <x:v>-69.39</x:v>
      </x:c>
      <x:c r="I4374" s="29" t="n">
        <x:v>102</x:v>
      </x:c>
      <x:c r="J4374" s="31" t="n">
        <x:v>3.9</x:v>
      </x:c>
      <x:c r="K4374" s="25" t="str">
        <x:f>IF(J4374&gt;=7,"Muy fuerte (&gt;=7)",IF(J4374&gt;=6,"Fuerte (6-6.9)",IF(J4374&gt;=5,"Moderado alto (5-5.9)",IF(J4374&gt;=4,"Moderado (4-4.9)","Menor a 4"))))</x:f>
        <x:v>Menor a 4</x:v>
      </x:c>
      <x:c r="L4374" s="25" t="str">
        <x:f>IF(I4374&lt;70,"Superficial (&lt;70 km)",IF(I4374&lt;=300,"Intermedio (70-300 km)","Profundo (&gt;300 km)"))</x:f>
        <x:v>Intermedio (70-300 km)</x:v>
      </x:c>
      <x:c r="M4374" s="25" t="str">
        <x:f>IF(J4374&gt;=5,"Sí","No")</x:f>
        <x:v>No</x:v>
      </x:c>
      <x:c r="N4374" s="25" t="str">
        <x:f>IF(J4374&gt;=6,"Sí","No")</x:f>
        <x:v>No</x:v>
      </x:c>
      <x:c r="O4374" s="25" t="str">
        <x:v>Pendiente: asignar con R/sf</x:v>
      </x:c>
    </x:row>
    <x:row r="4375">
      <x:c r="A4375" s="25" t="n">
        <x:v>4374</x:v>
      </x:c>
      <x:c r="B4375" s="26" t="n">
        <x:v>44264.92679398148</x:v>
      </x:c>
      <x:c r="C4375" s="27" t="n">
        <x:f>INT(B4375)</x:f>
        <x:v>44264</x:v>
      </x:c>
      <x:c r="D4375" s="28" t="n">
        <x:f>MOD(B4375,1)</x:f>
        <x:v>0.926793981481751</x:v>
      </x:c>
      <x:c r="E4375" s="29" t="n">
        <x:f>YEAR(B4375)</x:f>
        <x:v>2021</x:v>
      </x:c>
      <x:c r="F4375" s="29" t="n">
        <x:f>MONTH(B4375)</x:f>
        <x:v>3</x:v>
      </x:c>
      <x:c r="G4375" s="30" t="n">
        <x:v>-22.79</x:v>
      </x:c>
      <x:c r="H4375" s="30" t="n">
        <x:v>-69.27</x:v>
      </x:c>
      <x:c r="I4375" s="29" t="n">
        <x:v>90</x:v>
      </x:c>
      <x:c r="J4375" s="31" t="n">
        <x:v>4</x:v>
      </x:c>
      <x:c r="K4375" s="25" t="str">
        <x:f>IF(J4375&gt;=7,"Muy fuerte (&gt;=7)",IF(J4375&gt;=6,"Fuerte (6-6.9)",IF(J4375&gt;=5,"Moderado alto (5-5.9)",IF(J4375&gt;=4,"Moderado (4-4.9)","Menor a 4"))))</x:f>
        <x:v>Moderado (4-4.9)</x:v>
      </x:c>
      <x:c r="L4375" s="25" t="str">
        <x:f>IF(I4375&lt;70,"Superficial (&lt;70 km)",IF(I4375&lt;=300,"Intermedio (70-300 km)","Profundo (&gt;300 km)"))</x:f>
        <x:v>Intermedio (70-300 km)</x:v>
      </x:c>
      <x:c r="M4375" s="25" t="str">
        <x:f>IF(J4375&gt;=5,"Sí","No")</x:f>
        <x:v>No</x:v>
      </x:c>
      <x:c r="N4375" s="25" t="str">
        <x:f>IF(J4375&gt;=6,"Sí","No")</x:f>
        <x:v>No</x:v>
      </x:c>
      <x:c r="O4375" s="25" t="str">
        <x:v>Pendiente: asignar con R/sf</x:v>
      </x:c>
    </x:row>
    <x:row r="4376">
      <x:c r="A4376" s="25" t="n">
        <x:v>4375</x:v>
      </x:c>
      <x:c r="B4376" s="26" t="n">
        <x:v>44268.51204861111</x:v>
      </x:c>
      <x:c r="C4376" s="27" t="n">
        <x:f>INT(B4376)</x:f>
        <x:v>44268</x:v>
      </x:c>
      <x:c r="D4376" s="28" t="n">
        <x:f>MOD(B4376,1)</x:f>
        <x:v>0.5120486111118225</x:v>
      </x:c>
      <x:c r="E4376" s="29" t="n">
        <x:f>YEAR(B4376)</x:f>
        <x:v>2021</x:v>
      </x:c>
      <x:c r="F4376" s="29" t="n">
        <x:f>MONTH(B4376)</x:f>
        <x:v>3</x:v>
      </x:c>
      <x:c r="G4376" s="30" t="n">
        <x:v>-22.9</x:v>
      </x:c>
      <x:c r="H4376" s="30" t="n">
        <x:v>-69.74</x:v>
      </x:c>
      <x:c r="I4376" s="29" t="n">
        <x:v>69</x:v>
      </x:c>
      <x:c r="J4376" s="31" t="n">
        <x:v>4.3</x:v>
      </x:c>
      <x:c r="K4376" s="25" t="str">
        <x:f>IF(J4376&gt;=7,"Muy fuerte (&gt;=7)",IF(J4376&gt;=6,"Fuerte (6-6.9)",IF(J4376&gt;=5,"Moderado alto (5-5.9)",IF(J4376&gt;=4,"Moderado (4-4.9)","Menor a 4"))))</x:f>
        <x:v>Moderado (4-4.9)</x:v>
      </x:c>
      <x:c r="L4376" s="25" t="str">
        <x:f>IF(I4376&lt;70,"Superficial (&lt;70 km)",IF(I4376&lt;=300,"Intermedio (70-300 km)","Profundo (&gt;300 km)"))</x:f>
        <x:v>Superficial (&lt;70 km)</x:v>
      </x:c>
      <x:c r="M4376" s="25" t="str">
        <x:f>IF(J4376&gt;=5,"Sí","No")</x:f>
        <x:v>No</x:v>
      </x:c>
      <x:c r="N4376" s="25" t="str">
        <x:f>IF(J4376&gt;=6,"Sí","No")</x:f>
        <x:v>No</x:v>
      </x:c>
      <x:c r="O4376" s="25" t="str">
        <x:v>Pendiente: asignar con R/sf</x:v>
      </x:c>
    </x:row>
    <x:row r="4377">
      <x:c r="A4377" s="25" t="n">
        <x:v>4376</x:v>
      </x:c>
      <x:c r="B4377" s="26" t="n">
        <x:v>44281.33767361111</x:v>
      </x:c>
      <x:c r="C4377" s="27" t="n">
        <x:f>INT(B4377)</x:f>
        <x:v>44281</x:v>
      </x:c>
      <x:c r="D4377" s="28" t="n">
        <x:f>MOD(B4377,1)</x:f>
        <x:v>0.33767361110949423</x:v>
      </x:c>
      <x:c r="E4377" s="29" t="n">
        <x:f>YEAR(B4377)</x:f>
        <x:v>2021</x:v>
      </x:c>
      <x:c r="F4377" s="29" t="n">
        <x:f>MONTH(B4377)</x:f>
        <x:v>3</x:v>
      </x:c>
      <x:c r="G4377" s="30" t="n">
        <x:v>-23.32</x:v>
      </x:c>
      <x:c r="H4377" s="30" t="n">
        <x:v>-69.17</x:v>
      </x:c>
      <x:c r="I4377" s="29" t="n">
        <x:v>82</x:v>
      </x:c>
      <x:c r="J4377" s="31" t="n">
        <x:v>4</x:v>
      </x:c>
      <x:c r="K4377" s="25" t="str">
        <x:f>IF(J4377&gt;=7,"Muy fuerte (&gt;=7)",IF(J4377&gt;=6,"Fuerte (6-6.9)",IF(J4377&gt;=5,"Moderado alto (5-5.9)",IF(J4377&gt;=4,"Moderado (4-4.9)","Menor a 4"))))</x:f>
        <x:v>Moderado (4-4.9)</x:v>
      </x:c>
      <x:c r="L4377" s="25" t="str">
        <x:f>IF(I4377&lt;70,"Superficial (&lt;70 km)",IF(I4377&lt;=300,"Intermedio (70-300 km)","Profundo (&gt;300 km)"))</x:f>
        <x:v>Intermedio (70-300 km)</x:v>
      </x:c>
      <x:c r="M4377" s="25" t="str">
        <x:f>IF(J4377&gt;=5,"Sí","No")</x:f>
        <x:v>No</x:v>
      </x:c>
      <x:c r="N4377" s="25" t="str">
        <x:f>IF(J4377&gt;=6,"Sí","No")</x:f>
        <x:v>No</x:v>
      </x:c>
      <x:c r="O4377" s="25" t="str">
        <x:v>Pendiente: asignar con R/sf</x:v>
      </x:c>
    </x:row>
    <x:row r="4378">
      <x:c r="A4378" s="25" t="n">
        <x:v>4377</x:v>
      </x:c>
      <x:c r="B4378" s="26" t="n">
        <x:v>44320.74511574074</x:v>
      </x:c>
      <x:c r="C4378" s="27" t="n">
        <x:f>INT(B4378)</x:f>
        <x:v>44320</x:v>
      </x:c>
      <x:c r="D4378" s="28" t="n">
        <x:f>MOD(B4378,1)</x:f>
        <x:v>0.745115740741312</x:v>
      </x:c>
      <x:c r="E4378" s="29" t="n">
        <x:f>YEAR(B4378)</x:f>
        <x:v>2021</x:v>
      </x:c>
      <x:c r="F4378" s="29" t="n">
        <x:f>MONTH(B4378)</x:f>
        <x:v>5</x:v>
      </x:c>
      <x:c r="G4378" s="30" t="n">
        <x:v>-22.85</x:v>
      </x:c>
      <x:c r="H4378" s="30" t="n">
        <x:v>-68.72</x:v>
      </x:c>
      <x:c r="I4378" s="29" t="n">
        <x:v>107</x:v>
      </x:c>
      <x:c r="J4378" s="31" t="n">
        <x:v>4.2</x:v>
      </x:c>
      <x:c r="K4378" s="25" t="str">
        <x:f>IF(J4378&gt;=7,"Muy fuerte (&gt;=7)",IF(J4378&gt;=6,"Fuerte (6-6.9)",IF(J4378&gt;=5,"Moderado alto (5-5.9)",IF(J4378&gt;=4,"Moderado (4-4.9)","Menor a 4"))))</x:f>
        <x:v>Moderado (4-4.9)</x:v>
      </x:c>
      <x:c r="L4378" s="25" t="str">
        <x:f>IF(I4378&lt;70,"Superficial (&lt;70 km)",IF(I4378&lt;=300,"Intermedio (70-300 km)","Profundo (&gt;300 km)"))</x:f>
        <x:v>Intermedio (70-300 km)</x:v>
      </x:c>
      <x:c r="M4378" s="25" t="str">
        <x:f>IF(J4378&gt;=5,"Sí","No")</x:f>
        <x:v>No</x:v>
      </x:c>
      <x:c r="N4378" s="25" t="str">
        <x:f>IF(J4378&gt;=6,"Sí","No")</x:f>
        <x:v>No</x:v>
      </x:c>
      <x:c r="O4378" s="25" t="str">
        <x:v>Pendiente: asignar con R/sf</x:v>
      </x:c>
    </x:row>
    <x:row r="4379">
      <x:c r="A4379" s="25" t="n">
        <x:v>4378</x:v>
      </x:c>
      <x:c r="B4379" s="26" t="n">
        <x:v>44522.56748842593</x:v>
      </x:c>
      <x:c r="C4379" s="27" t="n">
        <x:f>INT(B4379)</x:f>
        <x:v>44522</x:v>
      </x:c>
      <x:c r="D4379" s="28" t="n">
        <x:f>MOD(B4379,1)</x:f>
        <x:v>0.567488425927877</x:v>
      </x:c>
      <x:c r="E4379" s="29" t="n">
        <x:f>YEAR(B4379)</x:f>
        <x:v>2021</x:v>
      </x:c>
      <x:c r="F4379" s="29" t="n">
        <x:f>MONTH(B4379)</x:f>
        <x:v>11</x:v>
      </x:c>
      <x:c r="G4379" s="30" t="n">
        <x:v>-23.23</x:v>
      </x:c>
      <x:c r="H4379" s="30" t="n">
        <x:v>-69.11</x:v>
      </x:c>
      <x:c r="I4379" s="29" t="n">
        <x:v>95</x:v>
      </x:c>
      <x:c r="J4379" s="31" t="n">
        <x:v>3.6</x:v>
      </x:c>
      <x:c r="K4379" s="25" t="str">
        <x:f>IF(J4379&gt;=7,"Muy fuerte (&gt;=7)",IF(J4379&gt;=6,"Fuerte (6-6.9)",IF(J4379&gt;=5,"Moderado alto (5-5.9)",IF(J4379&gt;=4,"Moderado (4-4.9)","Menor a 4"))))</x:f>
        <x:v>Menor a 4</x:v>
      </x:c>
      <x:c r="L4379" s="25" t="str">
        <x:f>IF(I4379&lt;70,"Superficial (&lt;70 km)",IF(I4379&lt;=300,"Intermedio (70-300 km)","Profundo (&gt;300 km)"))</x:f>
        <x:v>Intermedio (70-300 km)</x:v>
      </x:c>
      <x:c r="M4379" s="25" t="str">
        <x:f>IF(J4379&gt;=5,"Sí","No")</x:f>
        <x:v>No</x:v>
      </x:c>
      <x:c r="N4379" s="25" t="str">
        <x:f>IF(J4379&gt;=6,"Sí","No")</x:f>
        <x:v>No</x:v>
      </x:c>
      <x:c r="O4379" s="25" t="str">
        <x:v>Pendiente: asignar con R/sf</x:v>
      </x:c>
    </x:row>
    <x:row r="4380">
      <x:c r="A4380" s="25" t="n">
        <x:v>4379</x:v>
      </x:c>
      <x:c r="B4380" s="26" t="n">
        <x:v>44574.17622685185</x:v>
      </x:c>
      <x:c r="C4380" s="27" t="n">
        <x:f>INT(B4380)</x:f>
        <x:v>44574</x:v>
      </x:c>
      <x:c r="D4380" s="28" t="n">
        <x:f>MOD(B4380,1)</x:f>
        <x:v>0.17622685185051523</x:v>
      </x:c>
      <x:c r="E4380" s="29" t="n">
        <x:f>YEAR(B4380)</x:f>
        <x:v>2022</x:v>
      </x:c>
      <x:c r="F4380" s="29" t="n">
        <x:f>MONTH(B4380)</x:f>
        <x:v>1</x:v>
      </x:c>
      <x:c r="G4380" s="30" t="n">
        <x:v>-22.99</x:v>
      </x:c>
      <x:c r="H4380" s="30" t="n">
        <x:v>-69.29</x:v>
      </x:c>
      <x:c r="I4380" s="29" t="n">
        <x:v>82</x:v>
      </x:c>
      <x:c r="J4380" s="31" t="n">
        <x:v>4.2</x:v>
      </x:c>
      <x:c r="K4380" s="25" t="str">
        <x:f>IF(J4380&gt;=7,"Muy fuerte (&gt;=7)",IF(J4380&gt;=6,"Fuerte (6-6.9)",IF(J4380&gt;=5,"Moderado alto (5-5.9)",IF(J4380&gt;=4,"Moderado (4-4.9)","Menor a 4"))))</x:f>
        <x:v>Moderado (4-4.9)</x:v>
      </x:c>
      <x:c r="L4380" s="25" t="str">
        <x:f>IF(I4380&lt;70,"Superficial (&lt;70 km)",IF(I4380&lt;=300,"Intermedio (70-300 km)","Profundo (&gt;300 km)"))</x:f>
        <x:v>Intermedio (70-300 km)</x:v>
      </x:c>
      <x:c r="M4380" s="25" t="str">
        <x:f>IF(J4380&gt;=5,"Sí","No")</x:f>
        <x:v>No</x:v>
      </x:c>
      <x:c r="N4380" s="25" t="str">
        <x:f>IF(J4380&gt;=6,"Sí","No")</x:f>
        <x:v>No</x:v>
      </x:c>
      <x:c r="O4380" s="25" t="str">
        <x:v>Pendiente: asignar con R/sf</x:v>
      </x:c>
    </x:row>
    <x:row r="4381">
      <x:c r="A4381" s="25" t="n">
        <x:v>4380</x:v>
      </x:c>
      <x:c r="B4381" s="26" t="n">
        <x:v>44579.42951388889</x:v>
      </x:c>
      <x:c r="C4381" s="27" t="n">
        <x:f>INT(B4381)</x:f>
        <x:v>44579</x:v>
      </x:c>
      <x:c r="D4381" s="28" t="n">
        <x:f>MOD(B4381,1)</x:f>
        <x:v>0.42951388889196096</x:v>
      </x:c>
      <x:c r="E4381" s="29" t="n">
        <x:f>YEAR(B4381)</x:f>
        <x:v>2022</x:v>
      </x:c>
      <x:c r="F4381" s="29" t="n">
        <x:f>MONTH(B4381)</x:f>
        <x:v>1</x:v>
      </x:c>
      <x:c r="G4381" s="30" t="n">
        <x:v>-22.8</x:v>
      </x:c>
      <x:c r="H4381" s="30" t="n">
        <x:v>-69.05</x:v>
      </x:c>
      <x:c r="I4381" s="29" t="n">
        <x:v>111</x:v>
      </x:c>
      <x:c r="J4381" s="31" t="n">
        <x:v>4</x:v>
      </x:c>
      <x:c r="K4381" s="25" t="str">
        <x:f>IF(J4381&gt;=7,"Muy fuerte (&gt;=7)",IF(J4381&gt;=6,"Fuerte (6-6.9)",IF(J4381&gt;=5,"Moderado alto (5-5.9)",IF(J4381&gt;=4,"Moderado (4-4.9)","Menor a 4"))))</x:f>
        <x:v>Moderado (4-4.9)</x:v>
      </x:c>
      <x:c r="L4381" s="25" t="str">
        <x:f>IF(I4381&lt;70,"Superficial (&lt;70 km)",IF(I4381&lt;=300,"Intermedio (70-300 km)","Profundo (&gt;300 km)"))</x:f>
        <x:v>Intermedio (70-300 km)</x:v>
      </x:c>
      <x:c r="M4381" s="25" t="str">
        <x:f>IF(J4381&gt;=5,"Sí","No")</x:f>
        <x:v>No</x:v>
      </x:c>
      <x:c r="N4381" s="25" t="str">
        <x:f>IF(J4381&gt;=6,"Sí","No")</x:f>
        <x:v>No</x:v>
      </x:c>
      <x:c r="O4381" s="25" t="str">
        <x:v>Pendiente: asignar con R/sf</x:v>
      </x:c>
    </x:row>
    <x:row r="4382">
      <x:c r="A4382" s="25" t="n">
        <x:v>4381</x:v>
      </x:c>
      <x:c r="B4382" s="26" t="n">
        <x:v>44619.82334490741</x:v>
      </x:c>
      <x:c r="C4382" s="27" t="n">
        <x:f>INT(B4382)</x:f>
        <x:v>44619</x:v>
      </x:c>
      <x:c r="D4382" s="28" t="n">
        <x:f>MOD(B4382,1)</x:f>
        <x:v>0.823344907410501</x:v>
      </x:c>
      <x:c r="E4382" s="29" t="n">
        <x:f>YEAR(B4382)</x:f>
        <x:v>2022</x:v>
      </x:c>
      <x:c r="F4382" s="29" t="n">
        <x:f>MONTH(B4382)</x:f>
        <x:v>2</x:v>
      </x:c>
      <x:c r="G4382" s="30" t="n">
        <x:v>-23.32</x:v>
      </x:c>
      <x:c r="H4382" s="30" t="n">
        <x:v>-68.93</x:v>
      </x:c>
      <x:c r="I4382" s="29" t="n">
        <x:v>100</x:v>
      </x:c>
      <x:c r="J4382" s="31" t="n">
        <x:v>4.3</x:v>
      </x:c>
      <x:c r="K4382" s="25" t="str">
        <x:f>IF(J4382&gt;=7,"Muy fuerte (&gt;=7)",IF(J4382&gt;=6,"Fuerte (6-6.9)",IF(J4382&gt;=5,"Moderado alto (5-5.9)",IF(J4382&gt;=4,"Moderado (4-4.9)","Menor a 4"))))</x:f>
        <x:v>Moderado (4-4.9)</x:v>
      </x:c>
      <x:c r="L4382" s="25" t="str">
        <x:f>IF(I4382&lt;70,"Superficial (&lt;70 km)",IF(I4382&lt;=300,"Intermedio (70-300 km)","Profundo (&gt;300 km)"))</x:f>
        <x:v>Intermedio (70-300 km)</x:v>
      </x:c>
      <x:c r="M4382" s="25" t="str">
        <x:f>IF(J4382&gt;=5,"Sí","No")</x:f>
        <x:v>No</x:v>
      </x:c>
      <x:c r="N4382" s="25" t="str">
        <x:f>IF(J4382&gt;=6,"Sí","No")</x:f>
        <x:v>No</x:v>
      </x:c>
      <x:c r="O4382" s="25" t="str">
        <x:v>Pendiente: asignar con R/sf</x:v>
      </x:c>
    </x:row>
    <x:row r="4383">
      <x:c r="A4383" s="25" t="n">
        <x:v>4382</x:v>
      </x:c>
      <x:c r="B4383" s="26" t="n">
        <x:v>44630.747349537036</x:v>
      </x:c>
      <x:c r="C4383" s="27" t="n">
        <x:f>INT(B4383)</x:f>
        <x:v>44630</x:v>
      </x:c>
      <x:c r="D4383" s="28" t="n">
        <x:f>MOD(B4383,1)</x:f>
        <x:v>0.747349537035916</x:v>
      </x:c>
      <x:c r="E4383" s="29" t="n">
        <x:f>YEAR(B4383)</x:f>
        <x:v>2022</x:v>
      </x:c>
      <x:c r="F4383" s="29" t="n">
        <x:f>MONTH(B4383)</x:f>
        <x:v>3</x:v>
      </x:c>
      <x:c r="G4383" s="30" t="n">
        <x:v>-22.89</x:v>
      </x:c>
      <x:c r="H4383" s="30" t="n">
        <x:v>-69.63</x:v>
      </x:c>
      <x:c r="I4383" s="29" t="n">
        <x:v>72</x:v>
      </x:c>
      <x:c r="J4383" s="31" t="n">
        <x:v>3.3</x:v>
      </x:c>
      <x:c r="K4383" s="25" t="str">
        <x:f>IF(J4383&gt;=7,"Muy fuerte (&gt;=7)",IF(J4383&gt;=6,"Fuerte (6-6.9)",IF(J4383&gt;=5,"Moderado alto (5-5.9)",IF(J4383&gt;=4,"Moderado (4-4.9)","Menor a 4"))))</x:f>
        <x:v>Menor a 4</x:v>
      </x:c>
      <x:c r="L4383" s="25" t="str">
        <x:f>IF(I4383&lt;70,"Superficial (&lt;70 km)",IF(I4383&lt;=300,"Intermedio (70-300 km)","Profundo (&gt;300 km)"))</x:f>
        <x:v>Intermedio (70-300 km)</x:v>
      </x:c>
      <x:c r="M4383" s="25" t="str">
        <x:f>IF(J4383&gt;=5,"Sí","No")</x:f>
        <x:v>No</x:v>
      </x:c>
      <x:c r="N4383" s="25" t="str">
        <x:f>IF(J4383&gt;=6,"Sí","No")</x:f>
        <x:v>No</x:v>
      </x:c>
      <x:c r="O4383" s="25" t="str">
        <x:v>Pendiente: asignar con R/sf</x:v>
      </x:c>
    </x:row>
    <x:row r="4384">
      <x:c r="A4384" s="25" t="n">
        <x:v>4383</x:v>
      </x:c>
      <x:c r="B4384" s="26" t="n">
        <x:v>44665.376296296294</x:v>
      </x:c>
      <x:c r="C4384" s="27" t="n">
        <x:f>INT(B4384)</x:f>
        <x:v>44665</x:v>
      </x:c>
      <x:c r="D4384" s="28" t="n">
        <x:f>MOD(B4384,1)</x:f>
        <x:v>0.37629629629373085</x:v>
      </x:c>
      <x:c r="E4384" s="29" t="n">
        <x:f>YEAR(B4384)</x:f>
        <x:v>2022</x:v>
      </x:c>
      <x:c r="F4384" s="29" t="n">
        <x:f>MONTH(B4384)</x:f>
        <x:v>4</x:v>
      </x:c>
      <x:c r="G4384" s="30" t="n">
        <x:v>-23</x:v>
      </x:c>
      <x:c r="H4384" s="30" t="n">
        <x:v>-69.45</x:v>
      </x:c>
      <x:c r="I4384" s="29" t="n">
        <x:v>84</x:v>
      </x:c>
      <x:c r="J4384" s="31" t="n">
        <x:v>3.9</x:v>
      </x:c>
      <x:c r="K4384" s="25" t="str">
        <x:f>IF(J4384&gt;=7,"Muy fuerte (&gt;=7)",IF(J4384&gt;=6,"Fuerte (6-6.9)",IF(J4384&gt;=5,"Moderado alto (5-5.9)",IF(J4384&gt;=4,"Moderado (4-4.9)","Menor a 4"))))</x:f>
        <x:v>Menor a 4</x:v>
      </x:c>
      <x:c r="L4384" s="25" t="str">
        <x:f>IF(I4384&lt;70,"Superficial (&lt;70 km)",IF(I4384&lt;=300,"Intermedio (70-300 km)","Profundo (&gt;300 km)"))</x:f>
        <x:v>Intermedio (70-300 km)</x:v>
      </x:c>
      <x:c r="M4384" s="25" t="str">
        <x:f>IF(J4384&gt;=5,"Sí","No")</x:f>
        <x:v>No</x:v>
      </x:c>
      <x:c r="N4384" s="25" t="str">
        <x:f>IF(J4384&gt;=6,"Sí","No")</x:f>
        <x:v>No</x:v>
      </x:c>
      <x:c r="O4384" s="25" t="str">
        <x:v>Pendiente: asignar con R/sf</x:v>
      </x:c>
    </x:row>
    <x:row r="4385">
      <x:c r="A4385" s="25" t="n">
        <x:v>4384</x:v>
      </x:c>
      <x:c r="B4385" s="26" t="n">
        <x:v>44738.55290509259</x:v>
      </x:c>
      <x:c r="C4385" s="27" t="n">
        <x:f>INT(B4385)</x:f>
        <x:v>44738</x:v>
      </x:c>
      <x:c r="D4385" s="28" t="n">
        <x:f>MOD(B4385,1)</x:f>
        <x:v>0.5529050925906631</x:v>
      </x:c>
      <x:c r="E4385" s="29" t="n">
        <x:f>YEAR(B4385)</x:f>
        <x:v>2022</x:v>
      </x:c>
      <x:c r="F4385" s="29" t="n">
        <x:f>MONTH(B4385)</x:f>
        <x:v>6</x:v>
      </x:c>
      <x:c r="G4385" s="30" t="n">
        <x:v>-23.12</x:v>
      </x:c>
      <x:c r="H4385" s="30" t="n">
        <x:v>-69.31</x:v>
      </x:c>
      <x:c r="I4385" s="29" t="n">
        <x:v>86</x:v>
      </x:c>
      <x:c r="J4385" s="31" t="n">
        <x:v>3.9</x:v>
      </x:c>
      <x:c r="K4385" s="25" t="str">
        <x:f>IF(J4385&gt;=7,"Muy fuerte (&gt;=7)",IF(J4385&gt;=6,"Fuerte (6-6.9)",IF(J4385&gt;=5,"Moderado alto (5-5.9)",IF(J4385&gt;=4,"Moderado (4-4.9)","Menor a 4"))))</x:f>
        <x:v>Menor a 4</x:v>
      </x:c>
      <x:c r="L4385" s="25" t="str">
        <x:f>IF(I4385&lt;70,"Superficial (&lt;70 km)",IF(I4385&lt;=300,"Intermedio (70-300 km)","Profundo (&gt;300 km)"))</x:f>
        <x:v>Intermedio (70-300 km)</x:v>
      </x:c>
      <x:c r="M4385" s="25" t="str">
        <x:f>IF(J4385&gt;=5,"Sí","No")</x:f>
        <x:v>No</x:v>
      </x:c>
      <x:c r="N4385" s="25" t="str">
        <x:f>IF(J4385&gt;=6,"Sí","No")</x:f>
        <x:v>No</x:v>
      </x:c>
      <x:c r="O4385" s="25" t="str">
        <x:v>Pendiente: asignar con R/sf</x:v>
      </x:c>
    </x:row>
    <x:row r="4386">
      <x:c r="A4386" s="25" t="n">
        <x:v>4385</x:v>
      </x:c>
      <x:c r="B4386" s="26" t="n">
        <x:v>44739.20072916667</x:v>
      </x:c>
      <x:c r="C4386" s="27" t="n">
        <x:f>INT(B4386)</x:f>
        <x:v>44739</x:v>
      </x:c>
      <x:c r="D4386" s="28" t="n">
        <x:f>MOD(B4386,1)</x:f>
        <x:v>0.2007291666668607</x:v>
      </x:c>
      <x:c r="E4386" s="29" t="n">
        <x:f>YEAR(B4386)</x:f>
        <x:v>2022</x:v>
      </x:c>
      <x:c r="F4386" s="29" t="n">
        <x:f>MONTH(B4386)</x:f>
        <x:v>6</x:v>
      </x:c>
      <x:c r="G4386" s="30" t="n">
        <x:v>-22.65</x:v>
      </x:c>
      <x:c r="H4386" s="30" t="n">
        <x:v>-68.83</x:v>
      </x:c>
      <x:c r="I4386" s="29" t="n">
        <x:v>106</x:v>
      </x:c>
      <x:c r="J4386" s="31" t="n">
        <x:v>4.2</x:v>
      </x:c>
      <x:c r="K4386" s="25" t="str">
        <x:f>IF(J4386&gt;=7,"Muy fuerte (&gt;=7)",IF(J4386&gt;=6,"Fuerte (6-6.9)",IF(J4386&gt;=5,"Moderado alto (5-5.9)",IF(J4386&gt;=4,"Moderado (4-4.9)","Menor a 4"))))</x:f>
        <x:v>Moderado (4-4.9)</x:v>
      </x:c>
      <x:c r="L4386" s="25" t="str">
        <x:f>IF(I4386&lt;70,"Superficial (&lt;70 km)",IF(I4386&lt;=300,"Intermedio (70-300 km)","Profundo (&gt;300 km)"))</x:f>
        <x:v>Intermedio (70-300 km)</x:v>
      </x:c>
      <x:c r="M4386" s="25" t="str">
        <x:f>IF(J4386&gt;=5,"Sí","No")</x:f>
        <x:v>No</x:v>
      </x:c>
      <x:c r="N4386" s="25" t="str">
        <x:f>IF(J4386&gt;=6,"Sí","No")</x:f>
        <x:v>No</x:v>
      </x:c>
      <x:c r="O4386" s="25" t="str">
        <x:v>Pendiente: asignar con R/sf</x:v>
      </x:c>
    </x:row>
    <x:row r="4387">
      <x:c r="A4387" s="25" t="n">
        <x:v>4386</x:v>
      </x:c>
      <x:c r="B4387" s="26" t="n">
        <x:v>44745.09768518519</x:v>
      </x:c>
      <x:c r="C4387" s="27" t="n">
        <x:f>INT(B4387)</x:f>
        <x:v>44745</x:v>
      </x:c>
      <x:c r="D4387" s="28" t="n">
        <x:f>MOD(B4387,1)</x:f>
        <x:v>0.09768518518831115</x:v>
      </x:c>
      <x:c r="E4387" s="29" t="n">
        <x:f>YEAR(B4387)</x:f>
        <x:v>2022</x:v>
      </x:c>
      <x:c r="F4387" s="29" t="n">
        <x:f>MONTH(B4387)</x:f>
        <x:v>7</x:v>
      </x:c>
      <x:c r="G4387" s="30" t="n">
        <x:v>-23.07</x:v>
      </x:c>
      <x:c r="H4387" s="30" t="n">
        <x:v>-69.49</x:v>
      </x:c>
      <x:c r="I4387" s="29" t="n">
        <x:v>88</x:v>
      </x:c>
      <x:c r="J4387" s="31" t="n">
        <x:v>4.2</x:v>
      </x:c>
      <x:c r="K4387" s="25" t="str">
        <x:f>IF(J4387&gt;=7,"Muy fuerte (&gt;=7)",IF(J4387&gt;=6,"Fuerte (6-6.9)",IF(J4387&gt;=5,"Moderado alto (5-5.9)",IF(J4387&gt;=4,"Moderado (4-4.9)","Menor a 4"))))</x:f>
        <x:v>Moderado (4-4.9)</x:v>
      </x:c>
      <x:c r="L4387" s="25" t="str">
        <x:f>IF(I4387&lt;70,"Superficial (&lt;70 km)",IF(I4387&lt;=300,"Intermedio (70-300 km)","Profundo (&gt;300 km)"))</x:f>
        <x:v>Intermedio (70-300 km)</x:v>
      </x:c>
      <x:c r="M4387" s="25" t="str">
        <x:f>IF(J4387&gt;=5,"Sí","No")</x:f>
        <x:v>No</x:v>
      </x:c>
      <x:c r="N4387" s="25" t="str">
        <x:f>IF(J4387&gt;=6,"Sí","No")</x:f>
        <x:v>No</x:v>
      </x:c>
      <x:c r="O4387" s="25" t="str">
        <x:v>Pendiente: asignar con R/sf</x:v>
      </x:c>
    </x:row>
    <x:row r="4388">
      <x:c r="A4388" s="25" t="n">
        <x:v>4387</x:v>
      </x:c>
      <x:c r="B4388" s="26" t="n">
        <x:v>44753.357511574075</x:v>
      </x:c>
      <x:c r="C4388" s="27" t="n">
        <x:f>INT(B4388)</x:f>
        <x:v>44753</x:v>
      </x:c>
      <x:c r="D4388" s="28" t="n">
        <x:f>MOD(B4388,1)</x:f>
        <x:v>0.3575115740750334</x:v>
      </x:c>
      <x:c r="E4388" s="29" t="n">
        <x:f>YEAR(B4388)</x:f>
        <x:v>2022</x:v>
      </x:c>
      <x:c r="F4388" s="29" t="n">
        <x:f>MONTH(B4388)</x:f>
        <x:v>7</x:v>
      </x:c>
      <x:c r="G4388" s="30" t="n">
        <x:v>-22.63</x:v>
      </x:c>
      <x:c r="H4388" s="30" t="n">
        <x:v>-69.13</x:v>
      </x:c>
      <x:c r="I4388" s="29" t="n">
        <x:v>89</x:v>
      </x:c>
      <x:c r="J4388" s="31" t="n">
        <x:v>4</x:v>
      </x:c>
      <x:c r="K4388" s="25" t="str">
        <x:f>IF(J4388&gt;=7,"Muy fuerte (&gt;=7)",IF(J4388&gt;=6,"Fuerte (6-6.9)",IF(J4388&gt;=5,"Moderado alto (5-5.9)",IF(J4388&gt;=4,"Moderado (4-4.9)","Menor a 4"))))</x:f>
        <x:v>Moderado (4-4.9)</x:v>
      </x:c>
      <x:c r="L4388" s="25" t="str">
        <x:f>IF(I4388&lt;70,"Superficial (&lt;70 km)",IF(I4388&lt;=300,"Intermedio (70-300 km)","Profundo (&gt;300 km)"))</x:f>
        <x:v>Intermedio (70-300 km)</x:v>
      </x:c>
      <x:c r="M4388" s="25" t="str">
        <x:f>IF(J4388&gt;=5,"Sí","No")</x:f>
        <x:v>No</x:v>
      </x:c>
      <x:c r="N4388" s="25" t="str">
        <x:f>IF(J4388&gt;=6,"Sí","No")</x:f>
        <x:v>No</x:v>
      </x:c>
      <x:c r="O4388" s="25" t="str">
        <x:v>Pendiente: asignar con R/sf</x:v>
      </x:c>
    </x:row>
    <x:row r="4389">
      <x:c r="A4389" s="25" t="n">
        <x:v>4388</x:v>
      </x:c>
      <x:c r="B4389" s="26" t="n">
        <x:v>44789.850949074076</x:v>
      </x:c>
      <x:c r="C4389" s="27" t="n">
        <x:f>INT(B4389)</x:f>
        <x:v>44789</x:v>
      </x:c>
      <x:c r="D4389" s="28" t="n">
        <x:f>MOD(B4389,1)</x:f>
        <x:v>0.8509490740761976</x:v>
      </x:c>
      <x:c r="E4389" s="29" t="n">
        <x:f>YEAR(B4389)</x:f>
        <x:v>2022</x:v>
      </x:c>
      <x:c r="F4389" s="29" t="n">
        <x:f>MONTH(B4389)</x:f>
        <x:v>8</x:v>
      </x:c>
      <x:c r="G4389" s="30" t="n">
        <x:v>-22.52</x:v>
      </x:c>
      <x:c r="H4389" s="30" t="n">
        <x:v>-69.04</x:v>
      </x:c>
      <x:c r="I4389" s="29" t="n">
        <x:v>112</x:v>
      </x:c>
      <x:c r="J4389" s="31" t="n">
        <x:v>4.3</x:v>
      </x:c>
      <x:c r="K4389" s="25" t="str">
        <x:f>IF(J4389&gt;=7,"Muy fuerte (&gt;=7)",IF(J4389&gt;=6,"Fuerte (6-6.9)",IF(J4389&gt;=5,"Moderado alto (5-5.9)",IF(J4389&gt;=4,"Moderado (4-4.9)","Menor a 4"))))</x:f>
        <x:v>Moderado (4-4.9)</x:v>
      </x:c>
      <x:c r="L4389" s="25" t="str">
        <x:f>IF(I4389&lt;70,"Superficial (&lt;70 km)",IF(I4389&lt;=300,"Intermedio (70-300 km)","Profundo (&gt;300 km)"))</x:f>
        <x:v>Intermedio (70-300 km)</x:v>
      </x:c>
      <x:c r="M4389" s="25" t="str">
        <x:f>IF(J4389&gt;=5,"Sí","No")</x:f>
        <x:v>No</x:v>
      </x:c>
      <x:c r="N4389" s="25" t="str">
        <x:f>IF(J4389&gt;=6,"Sí","No")</x:f>
        <x:v>No</x:v>
      </x:c>
      <x:c r="O4389" s="25" t="str">
        <x:v>Pendiente: asignar con R/sf</x:v>
      </x:c>
    </x:row>
    <x:row r="4390">
      <x:c r="A4390" s="25" t="n">
        <x:v>4389</x:v>
      </x:c>
      <x:c r="B4390" s="26" t="n">
        <x:v>44825.107083333336</x:v>
      </x:c>
      <x:c r="C4390" s="27" t="n">
        <x:f>INT(B4390)</x:f>
        <x:v>44825</x:v>
      </x:c>
      <x:c r="D4390" s="28" t="n">
        <x:f>MOD(B4390,1)</x:f>
        <x:v>0.10708333333604969</x:v>
      </x:c>
      <x:c r="E4390" s="29" t="n">
        <x:f>YEAR(B4390)</x:f>
        <x:v>2022</x:v>
      </x:c>
      <x:c r="F4390" s="29" t="n">
        <x:f>MONTH(B4390)</x:f>
        <x:v>9</x:v>
      </x:c>
      <x:c r="G4390" s="30" t="n">
        <x:v>-23.62</x:v>
      </x:c>
      <x:c r="H4390" s="30" t="n">
        <x:v>-69.02</x:v>
      </x:c>
      <x:c r="I4390" s="29" t="n">
        <x:v>102</x:v>
      </x:c>
      <x:c r="J4390" s="31" t="n">
        <x:v>4.3</x:v>
      </x:c>
      <x:c r="K4390" s="25" t="str">
        <x:f>IF(J4390&gt;=7,"Muy fuerte (&gt;=7)",IF(J4390&gt;=6,"Fuerte (6-6.9)",IF(J4390&gt;=5,"Moderado alto (5-5.9)",IF(J4390&gt;=4,"Moderado (4-4.9)","Menor a 4"))))</x:f>
        <x:v>Moderado (4-4.9)</x:v>
      </x:c>
      <x:c r="L4390" s="25" t="str">
        <x:f>IF(I4390&lt;70,"Superficial (&lt;70 km)",IF(I4390&lt;=300,"Intermedio (70-300 km)","Profundo (&gt;300 km)"))</x:f>
        <x:v>Intermedio (70-300 km)</x:v>
      </x:c>
      <x:c r="M4390" s="25" t="str">
        <x:f>IF(J4390&gt;=5,"Sí","No")</x:f>
        <x:v>No</x:v>
      </x:c>
      <x:c r="N4390" s="25" t="str">
        <x:f>IF(J4390&gt;=6,"Sí","No")</x:f>
        <x:v>No</x:v>
      </x:c>
      <x:c r="O4390" s="25" t="str">
        <x:v>Pendiente: asignar con R/sf</x:v>
      </x:c>
    </x:row>
    <x:row r="4391">
      <x:c r="A4391" s="25" t="n">
        <x:v>4390</x:v>
      </x:c>
      <x:c r="B4391" s="26" t="n">
        <x:v>44920.663877314815</x:v>
      </x:c>
      <x:c r="C4391" s="27" t="n">
        <x:f>INT(B4391)</x:f>
        <x:v>44920</x:v>
      </x:c>
      <x:c r="D4391" s="28" t="n">
        <x:f>MOD(B4391,1)</x:f>
        <x:v>0.6638773148151813</x:v>
      </x:c>
      <x:c r="E4391" s="29" t="n">
        <x:f>YEAR(B4391)</x:f>
        <x:v>2022</x:v>
      </x:c>
      <x:c r="F4391" s="29" t="n">
        <x:f>MONTH(B4391)</x:f>
        <x:v>12</x:v>
      </x:c>
      <x:c r="G4391" s="30" t="n">
        <x:v>-22.53</x:v>
      </x:c>
      <x:c r="H4391" s="30" t="n">
        <x:v>-69.26</x:v>
      </x:c>
      <x:c r="I4391" s="29" t="n">
        <x:v>108</x:v>
      </x:c>
      <x:c r="J4391" s="31" t="n">
        <x:v>4.4</x:v>
      </x:c>
      <x:c r="K4391" s="25" t="str">
        <x:f>IF(J4391&gt;=7,"Muy fuerte (&gt;=7)",IF(J4391&gt;=6,"Fuerte (6-6.9)",IF(J4391&gt;=5,"Moderado alto (5-5.9)",IF(J4391&gt;=4,"Moderado (4-4.9)","Menor a 4"))))</x:f>
        <x:v>Moderado (4-4.9)</x:v>
      </x:c>
      <x:c r="L4391" s="25" t="str">
        <x:f>IF(I4391&lt;70,"Superficial (&lt;70 km)",IF(I4391&lt;=300,"Intermedio (70-300 km)","Profundo (&gt;300 km)"))</x:f>
        <x:v>Intermedio (70-300 km)</x:v>
      </x:c>
      <x:c r="M4391" s="25" t="str">
        <x:f>IF(J4391&gt;=5,"Sí","No")</x:f>
        <x:v>No</x:v>
      </x:c>
      <x:c r="N4391" s="25" t="str">
        <x:f>IF(J4391&gt;=6,"Sí","No")</x:f>
        <x:v>No</x:v>
      </x:c>
      <x:c r="O4391" s="25" t="str">
        <x:v>Pendiente: asignar con R/sf</x:v>
      </x:c>
    </x:row>
    <x:row r="4392">
      <x:c r="A4392" s="25" t="n">
        <x:v>4391</x:v>
      </x:c>
      <x:c r="B4392" s="26" t="n">
        <x:v>44930.645578703705</x:v>
      </x:c>
      <x:c r="C4392" s="27" t="n">
        <x:f>INT(B4392)</x:f>
        <x:v>44930</x:v>
      </x:c>
      <x:c r="D4392" s="28" t="n">
        <x:f>MOD(B4392,1)</x:f>
        <x:v>0.645578703704814</x:v>
      </x:c>
      <x:c r="E4392" s="29" t="n">
        <x:f>YEAR(B4392)</x:f>
        <x:v>2023</x:v>
      </x:c>
      <x:c r="F4392" s="29" t="n">
        <x:f>MONTH(B4392)</x:f>
        <x:v>1</x:v>
      </x:c>
      <x:c r="G4392" s="30" t="n">
        <x:v>-23</x:v>
      </x:c>
      <x:c r="H4392" s="30" t="n">
        <x:v>-68.95</x:v>
      </x:c>
      <x:c r="I4392" s="29" t="n">
        <x:v>105</x:v>
      </x:c>
      <x:c r="J4392" s="31" t="n">
        <x:v>4.5</x:v>
      </x:c>
      <x:c r="K4392" s="25" t="str">
        <x:f>IF(J4392&gt;=7,"Muy fuerte (&gt;=7)",IF(J4392&gt;=6,"Fuerte (6-6.9)",IF(J4392&gt;=5,"Moderado alto (5-5.9)",IF(J4392&gt;=4,"Moderado (4-4.9)","Menor a 4"))))</x:f>
        <x:v>Moderado (4-4.9)</x:v>
      </x:c>
      <x:c r="L4392" s="25" t="str">
        <x:f>IF(I4392&lt;70,"Superficial (&lt;70 km)",IF(I4392&lt;=300,"Intermedio (70-300 km)","Profundo (&gt;300 km)"))</x:f>
        <x:v>Intermedio (70-300 km)</x:v>
      </x:c>
      <x:c r="M4392" s="25" t="str">
        <x:f>IF(J4392&gt;=5,"Sí","No")</x:f>
        <x:v>No</x:v>
      </x:c>
      <x:c r="N4392" s="25" t="str">
        <x:f>IF(J4392&gt;=6,"Sí","No")</x:f>
        <x:v>No</x:v>
      </x:c>
      <x:c r="O4392" s="25" t="str">
        <x:v>Pendiente: asignar con R/sf</x:v>
      </x:c>
    </x:row>
    <x:row r="4393">
      <x:c r="A4393" s="25" t="n">
        <x:v>4392</x:v>
      </x:c>
      <x:c r="B4393" s="26" t="n">
        <x:v>44931.59339120371</x:v>
      </x:c>
      <x:c r="C4393" s="27" t="n">
        <x:f>INT(B4393)</x:f>
        <x:v>44931</x:v>
      </x:c>
      <x:c r="D4393" s="28" t="n">
        <x:f>MOD(B4393,1)</x:f>
        <x:v>0.5933912037071423</x:v>
      </x:c>
      <x:c r="E4393" s="29" t="n">
        <x:f>YEAR(B4393)</x:f>
        <x:v>2023</x:v>
      </x:c>
      <x:c r="F4393" s="29" t="n">
        <x:f>MONTH(B4393)</x:f>
        <x:v>1</x:v>
      </x:c>
      <x:c r="G4393" s="30" t="n">
        <x:v>-22.91</x:v>
      </x:c>
      <x:c r="H4393" s="30" t="n">
        <x:v>-68.57</x:v>
      </x:c>
      <x:c r="I4393" s="29" t="n">
        <x:v>123</x:v>
      </x:c>
      <x:c r="J4393" s="31" t="n">
        <x:v>4.4</x:v>
      </x:c>
      <x:c r="K4393" s="25" t="str">
        <x:f>IF(J4393&gt;=7,"Muy fuerte (&gt;=7)",IF(J4393&gt;=6,"Fuerte (6-6.9)",IF(J4393&gt;=5,"Moderado alto (5-5.9)",IF(J4393&gt;=4,"Moderado (4-4.9)","Menor a 4"))))</x:f>
        <x:v>Moderado (4-4.9)</x:v>
      </x:c>
      <x:c r="L4393" s="25" t="str">
        <x:f>IF(I4393&lt;70,"Superficial (&lt;70 km)",IF(I4393&lt;=300,"Intermedio (70-300 km)","Profundo (&gt;300 km)"))</x:f>
        <x:v>Intermedio (70-300 km)</x:v>
      </x:c>
      <x:c r="M4393" s="25" t="str">
        <x:f>IF(J4393&gt;=5,"Sí","No")</x:f>
        <x:v>No</x:v>
      </x:c>
      <x:c r="N4393" s="25" t="str">
        <x:f>IF(J4393&gt;=6,"Sí","No")</x:f>
        <x:v>No</x:v>
      </x:c>
      <x:c r="O4393" s="25" t="str">
        <x:v>Pendiente: asignar con R/sf</x:v>
      </x:c>
    </x:row>
    <x:row r="4394">
      <x:c r="A4394" s="25" t="n">
        <x:v>4393</x:v>
      </x:c>
      <x:c r="B4394" s="26" t="n">
        <x:v>44530.05091435185</x:v>
      </x:c>
      <x:c r="C4394" s="27" t="n">
        <x:f>INT(B4394)</x:f>
        <x:v>44530</x:v>
      </x:c>
      <x:c r="D4394" s="28" t="n">
        <x:f>MOD(B4394,1)</x:f>
        <x:v>0.05091435185022419</x:v>
      </x:c>
      <x:c r="E4394" s="29" t="n">
        <x:f>YEAR(B4394)</x:f>
        <x:v>2021</x:v>
      </x:c>
      <x:c r="F4394" s="29" t="n">
        <x:f>MONTH(B4394)</x:f>
        <x:v>11</x:v>
      </x:c>
      <x:c r="G4394" s="30" t="n">
        <x:v>-22.48</x:v>
      </x:c>
      <x:c r="H4394" s="30" t="n">
        <x:v>-69.45</x:v>
      </x:c>
      <x:c r="I4394" s="29" t="n">
        <x:v>91</x:v>
      </x:c>
      <x:c r="J4394" s="31" t="n">
        <x:v>4</x:v>
      </x:c>
      <x:c r="K4394" s="25" t="str">
        <x:f>IF(J4394&gt;=7,"Muy fuerte (&gt;=7)",IF(J4394&gt;=6,"Fuerte (6-6.9)",IF(J4394&gt;=5,"Moderado alto (5-5.9)",IF(J4394&gt;=4,"Moderado (4-4.9)","Menor a 4"))))</x:f>
        <x:v>Moderado (4-4.9)</x:v>
      </x:c>
      <x:c r="L4394" s="25" t="str">
        <x:f>IF(I4394&lt;70,"Superficial (&lt;70 km)",IF(I4394&lt;=300,"Intermedio (70-300 km)","Profundo (&gt;300 km)"))</x:f>
        <x:v>Intermedio (70-300 km)</x:v>
      </x:c>
      <x:c r="M4394" s="25" t="str">
        <x:f>IF(J4394&gt;=5,"Sí","No")</x:f>
        <x:v>No</x:v>
      </x:c>
      <x:c r="N4394" s="25" t="str">
        <x:f>IF(J4394&gt;=6,"Sí","No")</x:f>
        <x:v>No</x:v>
      </x:c>
      <x:c r="O4394" s="25" t="str">
        <x:v>Pendiente: asignar con R/sf</x:v>
      </x:c>
    </x:row>
    <x:row r="4395">
      <x:c r="A4395" s="25" t="n">
        <x:v>4394</x:v>
      </x:c>
      <x:c r="B4395" s="26" t="n">
        <x:v>44573.444131944445</x:v>
      </x:c>
      <x:c r="C4395" s="27" t="n">
        <x:f>INT(B4395)</x:f>
        <x:v>44573</x:v>
      </x:c>
      <x:c r="D4395" s="28" t="n">
        <x:f>MOD(B4395,1)</x:f>
        <x:v>0.44413194444496185</x:v>
      </x:c>
      <x:c r="E4395" s="29" t="n">
        <x:f>YEAR(B4395)</x:f>
        <x:v>2022</x:v>
      </x:c>
      <x:c r="F4395" s="29" t="n">
        <x:f>MONTH(B4395)</x:f>
        <x:v>1</x:v>
      </x:c>
      <x:c r="G4395" s="30" t="n">
        <x:v>-23.05</x:v>
      </x:c>
      <x:c r="H4395" s="30" t="n">
        <x:v>-69.45</x:v>
      </x:c>
      <x:c r="I4395" s="29" t="n">
        <x:v>85</x:v>
      </x:c>
      <x:c r="J4395" s="31" t="n">
        <x:v>4</x:v>
      </x:c>
      <x:c r="K4395" s="25" t="str">
        <x:f>IF(J4395&gt;=7,"Muy fuerte (&gt;=7)",IF(J4395&gt;=6,"Fuerte (6-6.9)",IF(J4395&gt;=5,"Moderado alto (5-5.9)",IF(J4395&gt;=4,"Moderado (4-4.9)","Menor a 4"))))</x:f>
        <x:v>Moderado (4-4.9)</x:v>
      </x:c>
      <x:c r="L4395" s="25" t="str">
        <x:f>IF(I4395&lt;70,"Superficial (&lt;70 km)",IF(I4395&lt;=300,"Intermedio (70-300 km)","Profundo (&gt;300 km)"))</x:f>
        <x:v>Intermedio (70-300 km)</x:v>
      </x:c>
      <x:c r="M4395" s="25" t="str">
        <x:f>IF(J4395&gt;=5,"Sí","No")</x:f>
        <x:v>No</x:v>
      </x:c>
      <x:c r="N4395" s="25" t="str">
        <x:f>IF(J4395&gt;=6,"Sí","No")</x:f>
        <x:v>No</x:v>
      </x:c>
      <x:c r="O4395" s="25" t="str">
        <x:v>Pendiente: asignar con R/sf</x:v>
      </x:c>
    </x:row>
    <x:row r="4396">
      <x:c r="A4396" s="25" t="n">
        <x:v>4395</x:v>
      </x:c>
      <x:c r="B4396" s="26" t="n">
        <x:v>44785.79721064815</x:v>
      </x:c>
      <x:c r="C4396" s="27" t="n">
        <x:f>INT(B4396)</x:f>
        <x:v>44785</x:v>
      </x:c>
      <x:c r="D4396" s="28" t="n">
        <x:f>MOD(B4396,1)</x:f>
        <x:v>0.7972106481465744</x:v>
      </x:c>
      <x:c r="E4396" s="29" t="n">
        <x:f>YEAR(B4396)</x:f>
        <x:v>2022</x:v>
      </x:c>
      <x:c r="F4396" s="29" t="n">
        <x:f>MONTH(B4396)</x:f>
        <x:v>8</x:v>
      </x:c>
      <x:c r="G4396" s="30" t="n">
        <x:v>-22.97</x:v>
      </x:c>
      <x:c r="H4396" s="30" t="n">
        <x:v>-70.17</x:v>
      </x:c>
      <x:c r="I4396" s="29" t="n">
        <x:v>29</x:v>
      </x:c>
      <x:c r="J4396" s="31" t="n">
        <x:v>4.4</x:v>
      </x:c>
      <x:c r="K4396" s="25" t="str">
        <x:f>IF(J4396&gt;=7,"Muy fuerte (&gt;=7)",IF(J4396&gt;=6,"Fuerte (6-6.9)",IF(J4396&gt;=5,"Moderado alto (5-5.9)",IF(J4396&gt;=4,"Moderado (4-4.9)","Menor a 4"))))</x:f>
        <x:v>Moderado (4-4.9)</x:v>
      </x:c>
      <x:c r="L4396" s="25" t="str">
        <x:f>IF(I4396&lt;70,"Superficial (&lt;70 km)",IF(I4396&lt;=300,"Intermedio (70-300 km)","Profundo (&gt;300 km)"))</x:f>
        <x:v>Superficial (&lt;70 km)</x:v>
      </x:c>
      <x:c r="M4396" s="25" t="str">
        <x:f>IF(J4396&gt;=5,"Sí","No")</x:f>
        <x:v>No</x:v>
      </x:c>
      <x:c r="N4396" s="25" t="str">
        <x:f>IF(J4396&gt;=6,"Sí","No")</x:f>
        <x:v>No</x:v>
      </x:c>
      <x:c r="O4396" s="25" t="str">
        <x:v>Pendiente: asignar con R/sf</x:v>
      </x:c>
    </x:row>
    <x:row r="4397">
      <x:c r="A4397" s="25" t="n">
        <x:v>4396</x:v>
      </x:c>
      <x:c r="B4397" s="26" t="n">
        <x:v>43552.628842592596</x:v>
      </x:c>
      <x:c r="C4397" s="27" t="n">
        <x:f>INT(B4397)</x:f>
        <x:v>43552</x:v>
      </x:c>
      <x:c r="D4397" s="28" t="n">
        <x:f>MOD(B4397,1)</x:f>
        <x:v>0.6288425925959018</x:v>
      </x:c>
      <x:c r="E4397" s="29" t="n">
        <x:f>YEAR(B4397)</x:f>
        <x:v>2019</x:v>
      </x:c>
      <x:c r="F4397" s="29" t="n">
        <x:f>MONTH(B4397)</x:f>
        <x:v>3</x:v>
      </x:c>
      <x:c r="G4397" s="30" t="n">
        <x:v>-24.6</x:v>
      </x:c>
      <x:c r="H4397" s="30" t="n">
        <x:v>-70.12</x:v>
      </x:c>
      <x:c r="I4397" s="29" t="n">
        <x:v>61</x:v>
      </x:c>
      <x:c r="J4397" s="31" t="n">
        <x:v>5.5</x:v>
      </x:c>
      <x:c r="K4397" s="25" t="str">
        <x:f>IF(J4397&gt;=7,"Muy fuerte (&gt;=7)",IF(J4397&gt;=6,"Fuerte (6-6.9)",IF(J4397&gt;=5,"Moderado alto (5-5.9)",IF(J4397&gt;=4,"Moderado (4-4.9)","Menor a 4"))))</x:f>
        <x:v>Moderado alto (5-5.9)</x:v>
      </x:c>
      <x:c r="L4397" s="25" t="str">
        <x:f>IF(I4397&lt;70,"Superficial (&lt;70 km)",IF(I4397&lt;=300,"Intermedio (70-300 km)","Profundo (&gt;300 km)"))</x:f>
        <x:v>Superficial (&lt;70 km)</x:v>
      </x:c>
      <x:c r="M4397" s="25" t="str">
        <x:f>IF(J4397&gt;=5,"Sí","No")</x:f>
        <x:v>Sí</x:v>
      </x:c>
      <x:c r="N4397" s="25" t="str">
        <x:f>IF(J4397&gt;=6,"Sí","No")</x:f>
        <x:v>No</x:v>
      </x:c>
      <x:c r="O4397" s="25" t="str">
        <x:v>Pendiente: asignar con R/sf</x:v>
      </x:c>
    </x:row>
    <x:row r="4398">
      <x:c r="A4398" s="25" t="n">
        <x:v>4397</x:v>
      </x:c>
      <x:c r="B4398" s="26" t="n">
        <x:v>43531.243483796294</x:v>
      </x:c>
      <x:c r="C4398" s="27" t="n">
        <x:f>INT(B4398)</x:f>
        <x:v>43531</x:v>
      </x:c>
      <x:c r="D4398" s="28" t="n">
        <x:f>MOD(B4398,1)</x:f>
        <x:v>0.24348379629373085</x:v>
      </x:c>
      <x:c r="E4398" s="29" t="n">
        <x:f>YEAR(B4398)</x:f>
        <x:v>2019</x:v>
      </x:c>
      <x:c r="F4398" s="29" t="n">
        <x:f>MONTH(B4398)</x:f>
        <x:v>3</x:v>
      </x:c>
      <x:c r="G4398" s="30" t="n">
        <x:v>-18.87</x:v>
      </x:c>
      <x:c r="H4398" s="30" t="n">
        <x:v>-69.64</x:v>
      </x:c>
      <x:c r="I4398" s="29" t="n">
        <x:v>119</x:v>
      </x:c>
      <x:c r="J4398" s="31" t="n">
        <x:v>4.8</x:v>
      </x:c>
      <x:c r="K4398" s="25" t="str">
        <x:f>IF(J4398&gt;=7,"Muy fuerte (&gt;=7)",IF(J4398&gt;=6,"Fuerte (6-6.9)",IF(J4398&gt;=5,"Moderado alto (5-5.9)",IF(J4398&gt;=4,"Moderado (4-4.9)","Menor a 4"))))</x:f>
        <x:v>Moderado (4-4.9)</x:v>
      </x:c>
      <x:c r="L4398" s="25" t="str">
        <x:f>IF(I4398&lt;70,"Superficial (&lt;70 km)",IF(I4398&lt;=300,"Intermedio (70-300 km)","Profundo (&gt;300 km)"))</x:f>
        <x:v>Intermedio (70-300 km)</x:v>
      </x:c>
      <x:c r="M4398" s="25" t="str">
        <x:f>IF(J4398&gt;=5,"Sí","No")</x:f>
        <x:v>No</x:v>
      </x:c>
      <x:c r="N4398" s="25" t="str">
        <x:f>IF(J4398&gt;=6,"Sí","No")</x:f>
        <x:v>No</x:v>
      </x:c>
      <x:c r="O4398" s="25" t="str">
        <x:v>Pendiente: asignar con R/sf</x:v>
      </x:c>
    </x:row>
    <x:row r="4399">
      <x:c r="A4399" s="25" t="n">
        <x:v>4398</x:v>
      </x:c>
      <x:c r="B4399" s="26" t="n">
        <x:v>43540.75434027778</x:v>
      </x:c>
      <x:c r="C4399" s="27" t="n">
        <x:f>INT(B4399)</x:f>
        <x:v>43540</x:v>
      </x:c>
      <x:c r="D4399" s="28" t="n">
        <x:f>MOD(B4399,1)</x:f>
        <x:v>0.7543402777810115</x:v>
      </x:c>
      <x:c r="E4399" s="29" t="n">
        <x:f>YEAR(B4399)</x:f>
        <x:v>2019</x:v>
      </x:c>
      <x:c r="F4399" s="29" t="n">
        <x:f>MONTH(B4399)</x:f>
        <x:v>3</x:v>
      </x:c>
      <x:c r="G4399" s="30" t="n">
        <x:v>-29.77</x:v>
      </x:c>
      <x:c r="H4399" s="30" t="n">
        <x:v>-71.42</x:v>
      </x:c>
      <x:c r="I4399" s="29" t="n">
        <x:v>45</x:v>
      </x:c>
      <x:c r="J4399" s="31" t="n">
        <x:v>5.2</x:v>
      </x:c>
      <x:c r="K4399" s="25" t="str">
        <x:f>IF(J4399&gt;=7,"Muy fuerte (&gt;=7)",IF(J4399&gt;=6,"Fuerte (6-6.9)",IF(J4399&gt;=5,"Moderado alto (5-5.9)",IF(J4399&gt;=4,"Moderado (4-4.9)","Menor a 4"))))</x:f>
        <x:v>Moderado alto (5-5.9)</x:v>
      </x:c>
      <x:c r="L4399" s="25" t="str">
        <x:f>IF(I4399&lt;70,"Superficial (&lt;70 km)",IF(I4399&lt;=300,"Intermedio (70-300 km)","Profundo (&gt;300 km)"))</x:f>
        <x:v>Superficial (&lt;70 km)</x:v>
      </x:c>
      <x:c r="M4399" s="25" t="str">
        <x:f>IF(J4399&gt;=5,"Sí","No")</x:f>
        <x:v>Sí</x:v>
      </x:c>
      <x:c r="N4399" s="25" t="str">
        <x:f>IF(J4399&gt;=6,"Sí","No")</x:f>
        <x:v>No</x:v>
      </x:c>
      <x:c r="O4399" s="25" t="str">
        <x:v>Pendiente: asignar con R/sf</x:v>
      </x:c>
    </x:row>
    <x:row r="4400">
      <x:c r="A4400" s="25" t="n">
        <x:v>4399</x:v>
      </x:c>
      <x:c r="B4400" s="26" t="n">
        <x:v>43551.16469907408</x:v>
      </x:c>
      <x:c r="C4400" s="27" t="n">
        <x:f>INT(B4400)</x:f>
        <x:v>43551</x:v>
      </x:c>
      <x:c r="D4400" s="28" t="n">
        <x:f>MOD(B4400,1)</x:f>
        <x:v>0.16469907407736173</x:v>
      </x:c>
      <x:c r="E4400" s="29" t="n">
        <x:f>YEAR(B4400)</x:f>
        <x:v>2019</x:v>
      </x:c>
      <x:c r="F4400" s="29" t="n">
        <x:f>MONTH(B4400)</x:f>
        <x:v>3</x:v>
      </x:c>
      <x:c r="G4400" s="30" t="n">
        <x:v>-18.44</x:v>
      </x:c>
      <x:c r="H4400" s="30" t="n">
        <x:v>-69.59</x:v>
      </x:c>
      <x:c r="I4400" s="29" t="n">
        <x:v>117</x:v>
      </x:c>
      <x:c r="J4400" s="31" t="n">
        <x:v>4.6</x:v>
      </x:c>
      <x:c r="K4400" s="25" t="str">
        <x:f>IF(J4400&gt;=7,"Muy fuerte (&gt;=7)",IF(J4400&gt;=6,"Fuerte (6-6.9)",IF(J4400&gt;=5,"Moderado alto (5-5.9)",IF(J4400&gt;=4,"Moderado (4-4.9)","Menor a 4"))))</x:f>
        <x:v>Moderado (4-4.9)</x:v>
      </x:c>
      <x:c r="L4400" s="25" t="str">
        <x:f>IF(I4400&lt;70,"Superficial (&lt;70 km)",IF(I4400&lt;=300,"Intermedio (70-300 km)","Profundo (&gt;300 km)"))</x:f>
        <x:v>Intermedio (70-300 km)</x:v>
      </x:c>
      <x:c r="M4400" s="25" t="str">
        <x:f>IF(J4400&gt;=5,"Sí","No")</x:f>
        <x:v>No</x:v>
      </x:c>
      <x:c r="N4400" s="25" t="str">
        <x:f>IF(J4400&gt;=6,"Sí","No")</x:f>
        <x:v>No</x:v>
      </x:c>
      <x:c r="O4400" s="25" t="str">
        <x:v>Pendiente: asignar con R/sf</x:v>
      </x:c>
    </x:row>
    <x:row r="4401">
      <x:c r="A4401" s="25" t="n">
        <x:v>4400</x:v>
      </x:c>
      <x:c r="B4401" s="26" t="n">
        <x:v>43531.64895833333</x:v>
      </x:c>
      <x:c r="C4401" s="27" t="n">
        <x:f>INT(B4401)</x:f>
        <x:v>43531</x:v>
      </x:c>
      <x:c r="D4401" s="28" t="n">
        <x:f>MOD(B4401,1)</x:f>
        <x:v>0.6489583333313931</x:v>
      </x:c>
      <x:c r="E4401" s="29" t="n">
        <x:f>YEAR(B4401)</x:f>
        <x:v>2019</x:v>
      </x:c>
      <x:c r="F4401" s="29" t="n">
        <x:f>MONTH(B4401)</x:f>
        <x:v>3</x:v>
      </x:c>
      <x:c r="G4401" s="30" t="n">
        <x:v>-29.62</x:v>
      </x:c>
      <x:c r="H4401" s="30" t="n">
        <x:v>-72.48</x:v>
      </x:c>
      <x:c r="I4401" s="29" t="n">
        <x:v>20</x:v>
      </x:c>
      <x:c r="J4401" s="31" t="n">
        <x:v>5.7</x:v>
      </x:c>
      <x:c r="K4401" s="25" t="str">
        <x:f>IF(J4401&gt;=7,"Muy fuerte (&gt;=7)",IF(J4401&gt;=6,"Fuerte (6-6.9)",IF(J4401&gt;=5,"Moderado alto (5-5.9)",IF(J4401&gt;=4,"Moderado (4-4.9)","Menor a 4"))))</x:f>
        <x:v>Moderado alto (5-5.9)</x:v>
      </x:c>
      <x:c r="L4401" s="25" t="str">
        <x:f>IF(I4401&lt;70,"Superficial (&lt;70 km)",IF(I4401&lt;=300,"Intermedio (70-300 km)","Profundo (&gt;300 km)"))</x:f>
        <x:v>Superficial (&lt;70 km)</x:v>
      </x:c>
      <x:c r="M4401" s="25" t="str">
        <x:f>IF(J4401&gt;=5,"Sí","No")</x:f>
        <x:v>Sí</x:v>
      </x:c>
      <x:c r="N4401" s="25" t="str">
        <x:f>IF(J4401&gt;=6,"Sí","No")</x:f>
        <x:v>No</x:v>
      </x:c>
      <x:c r="O4401" s="25" t="str">
        <x:v>Pendiente: asignar con R/sf</x:v>
      </x:c>
    </x:row>
    <x:row r="4402">
      <x:c r="A4402" s="25" t="n">
        <x:v>4401</x:v>
      </x:c>
      <x:c r="B4402" s="26" t="n">
        <x:v>43549.45324074074</x:v>
      </x:c>
      <x:c r="C4402" s="27" t="n">
        <x:f>INT(B4402)</x:f>
        <x:v>43549</x:v>
      </x:c>
      <x:c r="D4402" s="28" t="n">
        <x:f>MOD(B4402,1)</x:f>
        <x:v>0.4532407407386927</x:v>
      </x:c>
      <x:c r="E4402" s="29" t="n">
        <x:f>YEAR(B4402)</x:f>
        <x:v>2019</x:v>
      </x:c>
      <x:c r="F4402" s="29" t="n">
        <x:f>MONTH(B4402)</x:f>
        <x:v>3</x:v>
      </x:c>
      <x:c r="G4402" s="30" t="n">
        <x:v>-21.34</x:v>
      </x:c>
      <x:c r="H4402" s="30" t="n">
        <x:v>-70.14</x:v>
      </x:c>
      <x:c r="I4402" s="29" t="n">
        <x:v>66</x:v>
      </x:c>
      <x:c r="J4402" s="31" t="n">
        <x:v>4.9</x:v>
      </x:c>
      <x:c r="K4402" s="25" t="str">
        <x:f>IF(J4402&gt;=7,"Muy fuerte (&gt;=7)",IF(J4402&gt;=6,"Fuerte (6-6.9)",IF(J4402&gt;=5,"Moderado alto (5-5.9)",IF(J4402&gt;=4,"Moderado (4-4.9)","Menor a 4"))))</x:f>
        <x:v>Moderado (4-4.9)</x:v>
      </x:c>
      <x:c r="L4402" s="25" t="str">
        <x:f>IF(I4402&lt;70,"Superficial (&lt;70 km)",IF(I4402&lt;=300,"Intermedio (70-300 km)","Profundo (&gt;300 km)"))</x:f>
        <x:v>Superficial (&lt;70 km)</x:v>
      </x:c>
      <x:c r="M4402" s="25" t="str">
        <x:f>IF(J4402&gt;=5,"Sí","No")</x:f>
        <x:v>No</x:v>
      </x:c>
      <x:c r="N4402" s="25" t="str">
        <x:f>IF(J4402&gt;=6,"Sí","No")</x:f>
        <x:v>No</x:v>
      </x:c>
      <x:c r="O4402" s="25" t="str">
        <x:v>Pendiente: asignar con R/sf</x:v>
      </x:c>
    </x:row>
    <x:row r="4403">
      <x:c r="A4403" s="25" t="n">
        <x:v>4402</x:v>
      </x:c>
      <x:c r="B4403" s="26" t="n">
        <x:v>43533.26130787037</x:v>
      </x:c>
      <x:c r="C4403" s="27" t="n">
        <x:f>INT(B4403)</x:f>
        <x:v>43533</x:v>
      </x:c>
      <x:c r="D4403" s="28" t="n">
        <x:f>MOD(B4403,1)</x:f>
        <x:v>0.26130787037254777</x:v>
      </x:c>
      <x:c r="E4403" s="29" t="n">
        <x:f>YEAR(B4403)</x:f>
        <x:v>2019</x:v>
      </x:c>
      <x:c r="F4403" s="29" t="n">
        <x:f>MONTH(B4403)</x:f>
        <x:v>3</x:v>
      </x:c>
      <x:c r="G4403" s="30" t="n">
        <x:v>-19.94</x:v>
      </x:c>
      <x:c r="H4403" s="30" t="n">
        <x:v>-69.12</x:v>
      </x:c>
      <x:c r="I4403" s="29" t="n">
        <x:v>98</x:v>
      </x:c>
      <x:c r="J4403" s="31" t="n">
        <x:v>4.2</x:v>
      </x:c>
      <x:c r="K4403" s="25" t="str">
        <x:f>IF(J4403&gt;=7,"Muy fuerte (&gt;=7)",IF(J4403&gt;=6,"Fuerte (6-6.9)",IF(J4403&gt;=5,"Moderado alto (5-5.9)",IF(J4403&gt;=4,"Moderado (4-4.9)","Menor a 4"))))</x:f>
        <x:v>Moderado (4-4.9)</x:v>
      </x:c>
      <x:c r="L4403" s="25" t="str">
        <x:f>IF(I4403&lt;70,"Superficial (&lt;70 km)",IF(I4403&lt;=300,"Intermedio (70-300 km)","Profundo (&gt;300 km)"))</x:f>
        <x:v>Intermedio (70-300 km)</x:v>
      </x:c>
      <x:c r="M4403" s="25" t="str">
        <x:f>IF(J4403&gt;=5,"Sí","No")</x:f>
        <x:v>No</x:v>
      </x:c>
      <x:c r="N4403" s="25" t="str">
        <x:f>IF(J4403&gt;=6,"Sí","No")</x:f>
        <x:v>No</x:v>
      </x:c>
      <x:c r="O4403" s="25" t="str">
        <x:v>Pendiente: asignar con R/sf</x:v>
      </x:c>
    </x:row>
    <x:row r="4404">
      <x:c r="A4404" s="25" t="n">
        <x:v>4403</x:v>
      </x:c>
      <x:c r="B4404" s="26" t="n">
        <x:v>43535.147939814815</x:v>
      </x:c>
      <x:c r="C4404" s="27" t="n">
        <x:f>INT(B4404)</x:f>
        <x:v>43535</x:v>
      </x:c>
      <x:c r="D4404" s="28" t="n">
        <x:f>MOD(B4404,1)</x:f>
        <x:v>0.14793981481489027</x:v>
      </x:c>
      <x:c r="E4404" s="29" t="n">
        <x:f>YEAR(B4404)</x:f>
        <x:v>2019</x:v>
      </x:c>
      <x:c r="F4404" s="29" t="n">
        <x:f>MONTH(B4404)</x:f>
        <x:v>3</x:v>
      </x:c>
      <x:c r="G4404" s="30" t="n">
        <x:v>-21.28</x:v>
      </x:c>
      <x:c r="H4404" s="30" t="n">
        <x:v>-68.73</x:v>
      </x:c>
      <x:c r="I4404" s="29" t="n">
        <x:v>130</x:v>
      </x:c>
      <x:c r="J4404" s="31" t="n">
        <x:v>4.5</x:v>
      </x:c>
      <x:c r="K4404" s="25" t="str">
        <x:f>IF(J4404&gt;=7,"Muy fuerte (&gt;=7)",IF(J4404&gt;=6,"Fuerte (6-6.9)",IF(J4404&gt;=5,"Moderado alto (5-5.9)",IF(J4404&gt;=4,"Moderado (4-4.9)","Menor a 4"))))</x:f>
        <x:v>Moderado (4-4.9)</x:v>
      </x:c>
      <x:c r="L4404" s="25" t="str">
        <x:f>IF(I4404&lt;70,"Superficial (&lt;70 km)",IF(I4404&lt;=300,"Intermedio (70-300 km)","Profundo (&gt;300 km)"))</x:f>
        <x:v>Intermedio (70-300 km)</x:v>
      </x:c>
      <x:c r="M4404" s="25" t="str">
        <x:f>IF(J4404&gt;=5,"Sí","No")</x:f>
        <x:v>No</x:v>
      </x:c>
      <x:c r="N4404" s="25" t="str">
        <x:f>IF(J4404&gt;=6,"Sí","No")</x:f>
        <x:v>No</x:v>
      </x:c>
      <x:c r="O4404" s="25" t="str">
        <x:v>Pendiente: asignar con R/sf</x:v>
      </x:c>
    </x:row>
    <x:row r="4405">
      <x:c r="A4405" s="25" t="n">
        <x:v>4404</x:v>
      </x:c>
      <x:c r="B4405" s="26" t="n">
        <x:v>43525.9468287037</x:v>
      </x:c>
      <x:c r="C4405" s="27" t="n">
        <x:f>INT(B4405)</x:f>
        <x:v>43525</x:v>
      </x:c>
      <x:c r="D4405" s="28" t="n">
        <x:f>MOD(B4405,1)</x:f>
        <x:v>0.9468287037016125</x:v>
      </x:c>
      <x:c r="E4405" s="29" t="n">
        <x:f>YEAR(B4405)</x:f>
        <x:v>2019</x:v>
      </x:c>
      <x:c r="F4405" s="29" t="n">
        <x:f>MONTH(B4405)</x:f>
        <x:v>3</x:v>
      </x:c>
      <x:c r="G4405" s="30" t="n">
        <x:v>-30.63</x:v>
      </x:c>
      <x:c r="H4405" s="30" t="n">
        <x:v>-71.7</x:v>
      </x:c>
      <x:c r="I4405" s="29" t="n">
        <x:v>34</x:v>
      </x:c>
      <x:c r="J4405" s="31" t="n">
        <x:v>5.3</x:v>
      </x:c>
      <x:c r="K4405" s="25" t="str">
        <x:f>IF(J4405&gt;=7,"Muy fuerte (&gt;=7)",IF(J4405&gt;=6,"Fuerte (6-6.9)",IF(J4405&gt;=5,"Moderado alto (5-5.9)",IF(J4405&gt;=4,"Moderado (4-4.9)","Menor a 4"))))</x:f>
        <x:v>Moderado alto (5-5.9)</x:v>
      </x:c>
      <x:c r="L4405" s="25" t="str">
        <x:f>IF(I4405&lt;70,"Superficial (&lt;70 km)",IF(I4405&lt;=300,"Intermedio (70-300 km)","Profundo (&gt;300 km)"))</x:f>
        <x:v>Superficial (&lt;70 km)</x:v>
      </x:c>
      <x:c r="M4405" s="25" t="str">
        <x:f>IF(J4405&gt;=5,"Sí","No")</x:f>
        <x:v>Sí</x:v>
      </x:c>
      <x:c r="N4405" s="25" t="str">
        <x:f>IF(J4405&gt;=6,"Sí","No")</x:f>
        <x:v>No</x:v>
      </x:c>
      <x:c r="O4405" s="25" t="str">
        <x:v>Pendiente: asignar con R/sf</x:v>
      </x:c>
    </x:row>
    <x:row r="4406">
      <x:c r="A4406" s="25" t="n">
        <x:v>4405</x:v>
      </x:c>
      <x:c r="B4406" s="26" t="n">
        <x:v>43576.41679398148</x:v>
      </x:c>
      <x:c r="C4406" s="27" t="n">
        <x:f>INT(B4406)</x:f>
        <x:v>43576</x:v>
      </x:c>
      <x:c r="D4406" s="28" t="n">
        <x:f>MOD(B4406,1)</x:f>
        <x:v>0.4167939814797137</x:v>
      </x:c>
      <x:c r="E4406" s="29" t="n">
        <x:f>YEAR(B4406)</x:f>
        <x:v>2019</x:v>
      </x:c>
      <x:c r="F4406" s="29" t="n">
        <x:f>MONTH(B4406)</x:f>
        <x:v>4</x:v>
      </x:c>
      <x:c r="G4406" s="30" t="n">
        <x:v>-35.78</x:v>
      </x:c>
      <x:c r="H4406" s="30" t="n">
        <x:v>-71.85</x:v>
      </x:c>
      <x:c r="I4406" s="29" t="n">
        <x:v>85</x:v>
      </x:c>
      <x:c r="J4406" s="31" t="n">
        <x:v>5.2</x:v>
      </x:c>
      <x:c r="K4406" s="25" t="str">
        <x:f>IF(J4406&gt;=7,"Muy fuerte (&gt;=7)",IF(J4406&gt;=6,"Fuerte (6-6.9)",IF(J4406&gt;=5,"Moderado alto (5-5.9)",IF(J4406&gt;=4,"Moderado (4-4.9)","Menor a 4"))))</x:f>
        <x:v>Moderado alto (5-5.9)</x:v>
      </x:c>
      <x:c r="L4406" s="25" t="str">
        <x:f>IF(I4406&lt;70,"Superficial (&lt;70 km)",IF(I4406&lt;=300,"Intermedio (70-300 km)","Profundo (&gt;300 km)"))</x:f>
        <x:v>Intermedio (70-300 km)</x:v>
      </x:c>
      <x:c r="M4406" s="25" t="str">
        <x:f>IF(J4406&gt;=5,"Sí","No")</x:f>
        <x:v>Sí</x:v>
      </x:c>
      <x:c r="N4406" s="25" t="str">
        <x:f>IF(J4406&gt;=6,"Sí","No")</x:f>
        <x:v>No</x:v>
      </x:c>
      <x:c r="O4406" s="25" t="str">
        <x:v>Pendiente: asignar con R/sf</x:v>
      </x:c>
    </x:row>
    <x:row r="4407">
      <x:c r="A4407" s="25" t="n">
        <x:v>4406</x:v>
      </x:c>
      <x:c r="B4407" s="26" t="n">
        <x:v>43574.90116898148</x:v>
      </x:c>
      <x:c r="C4407" s="27" t="n">
        <x:f>INT(B4407)</x:f>
        <x:v>43574</x:v>
      </x:c>
      <x:c r="D4407" s="28" t="n">
        <x:f>MOD(B4407,1)</x:f>
        <x:v>0.9011689814797137</x:v>
      </x:c>
      <x:c r="E4407" s="29" t="n">
        <x:f>YEAR(B4407)</x:f>
        <x:v>2019</x:v>
      </x:c>
      <x:c r="F4407" s="29" t="n">
        <x:f>MONTH(B4407)</x:f>
        <x:v>4</x:v>
      </x:c>
      <x:c r="G4407" s="30" t="n">
        <x:v>-20.34</x:v>
      </x:c>
      <x:c r="H4407" s="30" t="n">
        <x:v>-69.13</x:v>
      </x:c>
      <x:c r="I4407" s="29" t="n">
        <x:v>91</x:v>
      </x:c>
      <x:c r="J4407" s="31" t="n">
        <x:v>5</x:v>
      </x:c>
      <x:c r="K4407" s="25" t="str">
        <x:f>IF(J4407&gt;=7,"Muy fuerte (&gt;=7)",IF(J4407&gt;=6,"Fuerte (6-6.9)",IF(J4407&gt;=5,"Moderado alto (5-5.9)",IF(J4407&gt;=4,"Moderado (4-4.9)","Menor a 4"))))</x:f>
        <x:v>Moderado alto (5-5.9)</x:v>
      </x:c>
      <x:c r="L4407" s="25" t="str">
        <x:f>IF(I4407&lt;70,"Superficial (&lt;70 km)",IF(I4407&lt;=300,"Intermedio (70-300 km)","Profundo (&gt;300 km)"))</x:f>
        <x:v>Intermedio (70-300 km)</x:v>
      </x:c>
      <x:c r="M4407" s="25" t="str">
        <x:f>IF(J4407&gt;=5,"Sí","No")</x:f>
        <x:v>Sí</x:v>
      </x:c>
      <x:c r="N4407" s="25" t="str">
        <x:f>IF(J4407&gt;=6,"Sí","No")</x:f>
        <x:v>No</x:v>
      </x:c>
      <x:c r="O4407" s="25" t="str">
        <x:v>Pendiente: asignar con R/sf</x:v>
      </x:c>
    </x:row>
    <x:row r="4408">
      <x:c r="A4408" s="25" t="n">
        <x:v>4407</x:v>
      </x:c>
      <x:c r="B4408" s="26" t="n">
        <x:v>43579.26704861111</x:v>
      </x:c>
      <x:c r="C4408" s="27" t="n">
        <x:f>INT(B4408)</x:f>
        <x:v>43579</x:v>
      </x:c>
      <x:c r="D4408" s="28" t="n">
        <x:f>MOD(B4408,1)</x:f>
        <x:v>0.2670486111092032</x:v>
      </x:c>
      <x:c r="E4408" s="29" t="n">
        <x:f>YEAR(B4408)</x:f>
        <x:v>2019</x:v>
      </x:c>
      <x:c r="F4408" s="29" t="n">
        <x:f>MONTH(B4408)</x:f>
        <x:v>4</x:v>
      </x:c>
      <x:c r="G4408" s="30" t="n">
        <x:v>-21.49</x:v>
      </x:c>
      <x:c r="H4408" s="30" t="n">
        <x:v>-69.78</x:v>
      </x:c>
      <x:c r="I4408" s="29" t="n">
        <x:v>49</x:v>
      </x:c>
      <x:c r="J4408" s="31" t="n">
        <x:v>5</x:v>
      </x:c>
      <x:c r="K4408" s="25" t="str">
        <x:f>IF(J4408&gt;=7,"Muy fuerte (&gt;=7)",IF(J4408&gt;=6,"Fuerte (6-6.9)",IF(J4408&gt;=5,"Moderado alto (5-5.9)",IF(J4408&gt;=4,"Moderado (4-4.9)","Menor a 4"))))</x:f>
        <x:v>Moderado alto (5-5.9)</x:v>
      </x:c>
      <x:c r="L4408" s="25" t="str">
        <x:f>IF(I4408&lt;70,"Superficial (&lt;70 km)",IF(I4408&lt;=300,"Intermedio (70-300 km)","Profundo (&gt;300 km)"))</x:f>
        <x:v>Superficial (&lt;70 km)</x:v>
      </x:c>
      <x:c r="M4408" s="25" t="str">
        <x:f>IF(J4408&gt;=5,"Sí","No")</x:f>
        <x:v>Sí</x:v>
      </x:c>
      <x:c r="N4408" s="25" t="str">
        <x:f>IF(J4408&gt;=6,"Sí","No")</x:f>
        <x:v>No</x:v>
      </x:c>
      <x:c r="O4408" s="25" t="str">
        <x:v>Pendiente: asignar con R/sf</x:v>
      </x:c>
    </x:row>
    <x:row r="4409">
      <x:c r="A4409" s="25" t="n">
        <x:v>4408</x:v>
      </x:c>
      <x:c r="B4409" s="26" t="n">
        <x:v>43209.70298611111</x:v>
      </x:c>
      <x:c r="C4409" s="27" t="n">
        <x:f>INT(B4409)</x:f>
        <x:v>43209</x:v>
      </x:c>
      <x:c r="D4409" s="28" t="n">
        <x:f>MOD(B4409,1)</x:f>
        <x:v>0.702986111107748</x:v>
      </x:c>
      <x:c r="E4409" s="29" t="n">
        <x:f>YEAR(B4409)</x:f>
        <x:v>2018</x:v>
      </x:c>
      <x:c r="F4409" s="29" t="n">
        <x:f>MONTH(B4409)</x:f>
        <x:v>4</x:v>
      </x:c>
      <x:c r="G4409" s="30" t="n">
        <x:v>-32.75</x:v>
      </x:c>
      <x:c r="H4409" s="30" t="n">
        <x:v>-71.11</x:v>
      </x:c>
      <x:c r="I4409" s="29" t="n">
        <x:v>58</x:v>
      </x:c>
      <x:c r="J4409" s="31" t="n">
        <x:v>4.1</x:v>
      </x:c>
      <x:c r="K4409" s="25" t="str">
        <x:f>IF(J4409&gt;=7,"Muy fuerte (&gt;=7)",IF(J4409&gt;=6,"Fuerte (6-6.9)",IF(J4409&gt;=5,"Moderado alto (5-5.9)",IF(J4409&gt;=4,"Moderado (4-4.9)","Menor a 4"))))</x:f>
        <x:v>Moderado (4-4.9)</x:v>
      </x:c>
      <x:c r="L4409" s="25" t="str">
        <x:f>IF(I4409&lt;70,"Superficial (&lt;70 km)",IF(I4409&lt;=300,"Intermedio (70-300 km)","Profundo (&gt;300 km)"))</x:f>
        <x:v>Superficial (&lt;70 km)</x:v>
      </x:c>
      <x:c r="M4409" s="25" t="str">
        <x:f>IF(J4409&gt;=5,"Sí","No")</x:f>
        <x:v>No</x:v>
      </x:c>
      <x:c r="N4409" s="25" t="str">
        <x:f>IF(J4409&gt;=6,"Sí","No")</x:f>
        <x:v>No</x:v>
      </x:c>
      <x:c r="O4409" s="25" t="str">
        <x:v>Pendiente: asignar con R/sf</x:v>
      </x:c>
    </x:row>
    <x:row r="4410">
      <x:c r="A4410" s="25" t="n">
        <x:v>4409</x:v>
      </x:c>
      <x:c r="B4410" s="26" t="n">
        <x:v>43297.406180555554</x:v>
      </x:c>
      <x:c r="C4410" s="27" t="n">
        <x:f>INT(B4410)</x:f>
        <x:v>43297</x:v>
      </x:c>
      <x:c r="D4410" s="28" t="n">
        <x:f>MOD(B4410,1)</x:f>
        <x:v>0.406180555553874</x:v>
      </x:c>
      <x:c r="E4410" s="29" t="n">
        <x:f>YEAR(B4410)</x:f>
        <x:v>2018</x:v>
      </x:c>
      <x:c r="F4410" s="29" t="n">
        <x:f>MONTH(B4410)</x:f>
        <x:v>7</x:v>
      </x:c>
      <x:c r="G4410" s="30" t="n">
        <x:v>-32.63</x:v>
      </x:c>
      <x:c r="H4410" s="30" t="n">
        <x:v>-71.64</x:v>
      </x:c>
      <x:c r="I4410" s="29" t="n">
        <x:v>29</x:v>
      </x:c>
      <x:c r="J4410" s="31" t="n">
        <x:v>4.3</x:v>
      </x:c>
      <x:c r="K4410" s="25" t="str">
        <x:f>IF(J4410&gt;=7,"Muy fuerte (&gt;=7)",IF(J4410&gt;=6,"Fuerte (6-6.9)",IF(J4410&gt;=5,"Moderado alto (5-5.9)",IF(J4410&gt;=4,"Moderado (4-4.9)","Menor a 4"))))</x:f>
        <x:v>Moderado (4-4.9)</x:v>
      </x:c>
      <x:c r="L4410" s="25" t="str">
        <x:f>IF(I4410&lt;70,"Superficial (&lt;70 km)",IF(I4410&lt;=300,"Intermedio (70-300 km)","Profundo (&gt;300 km)"))</x:f>
        <x:v>Superficial (&lt;70 km)</x:v>
      </x:c>
      <x:c r="M4410" s="25" t="str">
        <x:f>IF(J4410&gt;=5,"Sí","No")</x:f>
        <x:v>No</x:v>
      </x:c>
      <x:c r="N4410" s="25" t="str">
        <x:f>IF(J4410&gt;=6,"Sí","No")</x:f>
        <x:v>No</x:v>
      </x:c>
      <x:c r="O4410" s="25" t="str">
        <x:v>Pendiente: asignar con R/sf</x:v>
      </x:c>
    </x:row>
    <x:row r="4411">
      <x:c r="A4411" s="25" t="n">
        <x:v>4410</x:v>
      </x:c>
      <x:c r="B4411" s="26" t="n">
        <x:v>42268.21359953703</x:v>
      </x:c>
      <x:c r="C4411" s="27" t="n">
        <x:f>INT(B4411)</x:f>
        <x:v>42268</x:v>
      </x:c>
      <x:c r="D4411" s="28" t="n">
        <x:f>MOD(B4411,1)</x:f>
        <x:v>0.2135995370335877</x:v>
      </x:c>
      <x:c r="E4411" s="29" t="n">
        <x:f>YEAR(B4411)</x:f>
        <x:v>2015</x:v>
      </x:c>
      <x:c r="F4411" s="29" t="n">
        <x:f>MONTH(B4411)</x:f>
        <x:v>9</x:v>
      </x:c>
      <x:c r="G4411" s="30" t="n">
        <x:v>-33.06</x:v>
      </x:c>
      <x:c r="H4411" s="30" t="n">
        <x:v>-72.09</x:v>
      </x:c>
      <x:c r="I4411" s="29" t="n">
        <x:v>22</x:v>
      </x:c>
      <x:c r="J4411" s="31" t="n">
        <x:v>4.1</x:v>
      </x:c>
      <x:c r="K4411" s="25" t="str">
        <x:f>IF(J4411&gt;=7,"Muy fuerte (&gt;=7)",IF(J4411&gt;=6,"Fuerte (6-6.9)",IF(J4411&gt;=5,"Moderado alto (5-5.9)",IF(J4411&gt;=4,"Moderado (4-4.9)","Menor a 4"))))</x:f>
        <x:v>Moderado (4-4.9)</x:v>
      </x:c>
      <x:c r="L4411" s="25" t="str">
        <x:f>IF(I4411&lt;70,"Superficial (&lt;70 km)",IF(I4411&lt;=300,"Intermedio (70-300 km)","Profundo (&gt;300 km)"))</x:f>
        <x:v>Superficial (&lt;70 km)</x:v>
      </x:c>
      <x:c r="M4411" s="25" t="str">
        <x:f>IF(J4411&gt;=5,"Sí","No")</x:f>
        <x:v>No</x:v>
      </x:c>
      <x:c r="N4411" s="25" t="str">
        <x:f>IF(J4411&gt;=6,"Sí","No")</x:f>
        <x:v>No</x:v>
      </x:c>
      <x:c r="O4411" s="25" t="str">
        <x:v>Pendiente: asignar con R/sf</x:v>
      </x:c>
    </x:row>
    <x:row r="4412">
      <x:c r="A4412" s="25" t="n">
        <x:v>4411</x:v>
      </x:c>
      <x:c r="B4412" s="26" t="n">
        <x:v>42268.88690972222</x:v>
      </x:c>
      <x:c r="C4412" s="27" t="n">
        <x:f>INT(B4412)</x:f>
        <x:v>42268</x:v>
      </x:c>
      <x:c r="D4412" s="28" t="n">
        <x:f>MOD(B4412,1)</x:f>
        <x:v>0.8869097222195705</x:v>
      </x:c>
      <x:c r="E4412" s="29" t="n">
        <x:f>YEAR(B4412)</x:f>
        <x:v>2015</x:v>
      </x:c>
      <x:c r="F4412" s="29" t="n">
        <x:f>MONTH(B4412)</x:f>
        <x:v>9</x:v>
      </x:c>
      <x:c r="G4412" s="30" t="n">
        <x:v>-33.07</x:v>
      </x:c>
      <x:c r="H4412" s="30" t="n">
        <x:v>-72.07</x:v>
      </x:c>
      <x:c r="I4412" s="29" t="n">
        <x:v>20</x:v>
      </x:c>
      <x:c r="J4412" s="31" t="n">
        <x:v>4.1</x:v>
      </x:c>
      <x:c r="K4412" s="25" t="str">
        <x:f>IF(J4412&gt;=7,"Muy fuerte (&gt;=7)",IF(J4412&gt;=6,"Fuerte (6-6.9)",IF(J4412&gt;=5,"Moderado alto (5-5.9)",IF(J4412&gt;=4,"Moderado (4-4.9)","Menor a 4"))))</x:f>
        <x:v>Moderado (4-4.9)</x:v>
      </x:c>
      <x:c r="L4412" s="25" t="str">
        <x:f>IF(I4412&lt;70,"Superficial (&lt;70 km)",IF(I4412&lt;=300,"Intermedio (70-300 km)","Profundo (&gt;300 km)"))</x:f>
        <x:v>Superficial (&lt;70 km)</x:v>
      </x:c>
      <x:c r="M4412" s="25" t="str">
        <x:f>IF(J4412&gt;=5,"Sí","No")</x:f>
        <x:v>No</x:v>
      </x:c>
      <x:c r="N4412" s="25" t="str">
        <x:f>IF(J4412&gt;=6,"Sí","No")</x:f>
        <x:v>No</x:v>
      </x:c>
      <x:c r="O4412" s="25" t="str">
        <x:v>Pendiente: asignar con R/sf</x:v>
      </x:c>
    </x:row>
    <x:row r="4413">
      <x:c r="A4413" s="25" t="n">
        <x:v>4412</x:v>
      </x:c>
      <x:c r="B4413" s="26" t="n">
        <x:v>43343.43523148148</x:v>
      </x:c>
      <x:c r="C4413" s="27" t="n">
        <x:f>INT(B4413)</x:f>
        <x:v>43343</x:v>
      </x:c>
      <x:c r="D4413" s="28" t="n">
        <x:f>MOD(B4413,1)</x:f>
        <x:v>0.43523148148233304</x:v>
      </x:c>
      <x:c r="E4413" s="29" t="n">
        <x:f>YEAR(B4413)</x:f>
        <x:v>2018</x:v>
      </x:c>
      <x:c r="F4413" s="29" t="n">
        <x:f>MONTH(B4413)</x:f>
        <x:v>8</x:v>
      </x:c>
      <x:c r="G4413" s="30" t="n">
        <x:v>-31.81</x:v>
      </x:c>
      <x:c r="H4413" s="30" t="n">
        <x:v>-70.65</x:v>
      </x:c>
      <x:c r="I4413" s="29" t="n">
        <x:v>97</x:v>
      </x:c>
      <x:c r="J4413" s="31" t="n">
        <x:v>4</x:v>
      </x:c>
      <x:c r="K4413" s="25" t="str">
        <x:f>IF(J4413&gt;=7,"Muy fuerte (&gt;=7)",IF(J4413&gt;=6,"Fuerte (6-6.9)",IF(J4413&gt;=5,"Moderado alto (5-5.9)",IF(J4413&gt;=4,"Moderado (4-4.9)","Menor a 4"))))</x:f>
        <x:v>Moderado (4-4.9)</x:v>
      </x:c>
      <x:c r="L4413" s="25" t="str">
        <x:f>IF(I4413&lt;70,"Superficial (&lt;70 km)",IF(I4413&lt;=300,"Intermedio (70-300 km)","Profundo (&gt;300 km)"))</x:f>
        <x:v>Intermedio (70-300 km)</x:v>
      </x:c>
      <x:c r="M4413" s="25" t="str">
        <x:f>IF(J4413&gt;=5,"Sí","No")</x:f>
        <x:v>No</x:v>
      </x:c>
      <x:c r="N4413" s="25" t="str">
        <x:f>IF(J4413&gt;=6,"Sí","No")</x:f>
        <x:v>No</x:v>
      </x:c>
      <x:c r="O4413" s="25" t="str">
        <x:v>Pendiente: asignar con R/sf</x:v>
      </x:c>
    </x:row>
    <x:row r="4414">
      <x:c r="A4414" s="25" t="n">
        <x:v>4413</x:v>
      </x:c>
      <x:c r="B4414" s="26" t="n">
        <x:v>43289.645578703705</x:v>
      </x:c>
      <x:c r="C4414" s="27" t="n">
        <x:f>INT(B4414)</x:f>
        <x:v>43289</x:v>
      </x:c>
      <x:c r="D4414" s="28" t="n">
        <x:f>MOD(B4414,1)</x:f>
        <x:v>0.645578703704814</x:v>
      </x:c>
      <x:c r="E4414" s="29" t="n">
        <x:f>YEAR(B4414)</x:f>
        <x:v>2018</x:v>
      </x:c>
      <x:c r="F4414" s="29" t="n">
        <x:f>MONTH(B4414)</x:f>
        <x:v>7</x:v>
      </x:c>
      <x:c r="G4414" s="30" t="n">
        <x:v>-33.72</x:v>
      </x:c>
      <x:c r="H4414" s="30" t="n">
        <x:v>-71.29</x:v>
      </x:c>
      <x:c r="I4414" s="29" t="n">
        <x:v>55</x:v>
      </x:c>
      <x:c r="J4414" s="31" t="n">
        <x:v>4</x:v>
      </x:c>
      <x:c r="K4414" s="25" t="str">
        <x:f>IF(J4414&gt;=7,"Muy fuerte (&gt;=7)",IF(J4414&gt;=6,"Fuerte (6-6.9)",IF(J4414&gt;=5,"Moderado alto (5-5.9)",IF(J4414&gt;=4,"Moderado (4-4.9)","Menor a 4"))))</x:f>
        <x:v>Moderado (4-4.9)</x:v>
      </x:c>
      <x:c r="L4414" s="25" t="str">
        <x:f>IF(I4414&lt;70,"Superficial (&lt;70 km)",IF(I4414&lt;=300,"Intermedio (70-300 km)","Profundo (&gt;300 km)"))</x:f>
        <x:v>Superficial (&lt;70 km)</x:v>
      </x:c>
      <x:c r="M4414" s="25" t="str">
        <x:f>IF(J4414&gt;=5,"Sí","No")</x:f>
        <x:v>No</x:v>
      </x:c>
      <x:c r="N4414" s="25" t="str">
        <x:f>IF(J4414&gt;=6,"Sí","No")</x:f>
        <x:v>No</x:v>
      </x:c>
      <x:c r="O4414" s="25" t="str">
        <x:v>Pendiente: asignar con R/sf</x:v>
      </x:c>
    </x:row>
    <x:row r="4415">
      <x:c r="A4415" s="25" t="n">
        <x:v>4414</x:v>
      </x:c>
      <x:c r="B4415" s="26" t="n">
        <x:v>43581.26568287037</x:v>
      </x:c>
      <x:c r="C4415" s="27" t="n">
        <x:f>INT(B4415)</x:f>
        <x:v>43581</x:v>
      </x:c>
      <x:c r="D4415" s="28" t="n">
        <x:f>MOD(B4415,1)</x:f>
        <x:v>0.26568287036934635</x:v>
      </x:c>
      <x:c r="E4415" s="29" t="n">
        <x:f>YEAR(B4415)</x:f>
        <x:v>2019</x:v>
      </x:c>
      <x:c r="F4415" s="29" t="n">
        <x:f>MONTH(B4415)</x:f>
        <x:v>4</x:v>
      </x:c>
      <x:c r="G4415" s="30" t="n">
        <x:v>-26</x:v>
      </x:c>
      <x:c r="H4415" s="30" t="n">
        <x:v>-70.75</x:v>
      </x:c>
      <x:c r="I4415" s="29" t="n">
        <x:v>50</x:v>
      </x:c>
      <x:c r="J4415" s="31" t="n">
        <x:v>5.6</x:v>
      </x:c>
      <x:c r="K4415" s="25" t="str">
        <x:f>IF(J4415&gt;=7,"Muy fuerte (&gt;=7)",IF(J4415&gt;=6,"Fuerte (6-6.9)",IF(J4415&gt;=5,"Moderado alto (5-5.9)",IF(J4415&gt;=4,"Moderado (4-4.9)","Menor a 4"))))</x:f>
        <x:v>Moderado alto (5-5.9)</x:v>
      </x:c>
      <x:c r="L4415" s="25" t="str">
        <x:f>IF(I4415&lt;70,"Superficial (&lt;70 km)",IF(I4415&lt;=300,"Intermedio (70-300 km)","Profundo (&gt;300 km)"))</x:f>
        <x:v>Superficial (&lt;70 km)</x:v>
      </x:c>
      <x:c r="M4415" s="25" t="str">
        <x:f>IF(J4415&gt;=5,"Sí","No")</x:f>
        <x:v>Sí</x:v>
      </x:c>
      <x:c r="N4415" s="25" t="str">
        <x:f>IF(J4415&gt;=6,"Sí","No")</x:f>
        <x:v>No</x:v>
      </x:c>
      <x:c r="O4415" s="25" t="str">
        <x:v>Pendiente: asignar con R/sf</x:v>
      </x:c>
    </x:row>
    <x:row r="4416">
      <x:c r="A4416" s="25" t="n">
        <x:v>4415</x:v>
      </x:c>
      <x:c r="B4416" s="26" t="n">
        <x:v>43215.600648148145</x:v>
      </x:c>
      <x:c r="C4416" s="27" t="n">
        <x:f>INT(B4416)</x:f>
        <x:v>43215</x:v>
      </x:c>
      <x:c r="D4416" s="28" t="n">
        <x:f>MOD(B4416,1)</x:f>
        <x:v>0.6006481481454102</x:v>
      </x:c>
      <x:c r="E4416" s="29" t="n">
        <x:f>YEAR(B4416)</x:f>
        <x:v>2018</x:v>
      </x:c>
      <x:c r="F4416" s="29" t="n">
        <x:f>MONTH(B4416)</x:f>
        <x:v>4</x:v>
      </x:c>
      <x:c r="G4416" s="30" t="n">
        <x:v>-32.5</x:v>
      </x:c>
      <x:c r="H4416" s="30" t="n">
        <x:v>-71.56</x:v>
      </x:c>
      <x:c r="I4416" s="29" t="n">
        <x:v>67</x:v>
      </x:c>
      <x:c r="J4416" s="31" t="n">
        <x:v>4</x:v>
      </x:c>
      <x:c r="K4416" s="25" t="str">
        <x:f>IF(J4416&gt;=7,"Muy fuerte (&gt;=7)",IF(J4416&gt;=6,"Fuerte (6-6.9)",IF(J4416&gt;=5,"Moderado alto (5-5.9)",IF(J4416&gt;=4,"Moderado (4-4.9)","Menor a 4"))))</x:f>
        <x:v>Moderado (4-4.9)</x:v>
      </x:c>
      <x:c r="L4416" s="25" t="str">
        <x:f>IF(I4416&lt;70,"Superficial (&lt;70 km)",IF(I4416&lt;=300,"Intermedio (70-300 km)","Profundo (&gt;300 km)"))</x:f>
        <x:v>Superficial (&lt;70 km)</x:v>
      </x:c>
      <x:c r="M4416" s="25" t="str">
        <x:f>IF(J4416&gt;=5,"Sí","No")</x:f>
        <x:v>No</x:v>
      </x:c>
      <x:c r="N4416" s="25" t="str">
        <x:f>IF(J4416&gt;=6,"Sí","No")</x:f>
        <x:v>No</x:v>
      </x:c>
      <x:c r="O4416" s="25" t="str">
        <x:v>Pendiente: asignar con R/sf</x:v>
      </x:c>
    </x:row>
    <x:row r="4417">
      <x:c r="A4417" s="25" t="n">
        <x:v>4416</x:v>
      </x:c>
      <x:c r="B4417" s="26" t="n">
        <x:v>43395.08513888889</x:v>
      </x:c>
      <x:c r="C4417" s="27" t="n">
        <x:f>INT(B4417)</x:f>
        <x:v>43395</x:v>
      </x:c>
      <x:c r="D4417" s="28" t="n">
        <x:f>MOD(B4417,1)</x:f>
        <x:v>0.08513888889137888</x:v>
      </x:c>
      <x:c r="E4417" s="29" t="n">
        <x:f>YEAR(B4417)</x:f>
        <x:v>2018</x:v>
      </x:c>
      <x:c r="F4417" s="29" t="n">
        <x:f>MONTH(B4417)</x:f>
        <x:v>10</x:v>
      </x:c>
      <x:c r="G4417" s="30" t="n">
        <x:v>-32.65</x:v>
      </x:c>
      <x:c r="H4417" s="30" t="n">
        <x:v>-71.33</x:v>
      </x:c>
      <x:c r="I4417" s="29" t="n">
        <x:v>51</x:v>
      </x:c>
      <x:c r="J4417" s="31" t="n">
        <x:v>4</x:v>
      </x:c>
      <x:c r="K4417" s="25" t="str">
        <x:f>IF(J4417&gt;=7,"Muy fuerte (&gt;=7)",IF(J4417&gt;=6,"Fuerte (6-6.9)",IF(J4417&gt;=5,"Moderado alto (5-5.9)",IF(J4417&gt;=4,"Moderado (4-4.9)","Menor a 4"))))</x:f>
        <x:v>Moderado (4-4.9)</x:v>
      </x:c>
      <x:c r="L4417" s="25" t="str">
        <x:f>IF(I4417&lt;70,"Superficial (&lt;70 km)",IF(I4417&lt;=300,"Intermedio (70-300 km)","Profundo (&gt;300 km)"))</x:f>
        <x:v>Superficial (&lt;70 km)</x:v>
      </x:c>
      <x:c r="M4417" s="25" t="str">
        <x:f>IF(J4417&gt;=5,"Sí","No")</x:f>
        <x:v>No</x:v>
      </x:c>
      <x:c r="N4417" s="25" t="str">
        <x:f>IF(J4417&gt;=6,"Sí","No")</x:f>
        <x:v>No</x:v>
      </x:c>
      <x:c r="O4417" s="25" t="str">
        <x:v>Pendiente: asignar con R/sf</x:v>
      </x:c>
    </x:row>
    <x:row r="4418">
      <x:c r="A4418" s="25" t="n">
        <x:v>4417</x:v>
      </x:c>
      <x:c r="B4418" s="26" t="n">
        <x:v>43573.171215277776</x:v>
      </x:c>
      <x:c r="C4418" s="27" t="n">
        <x:f>INT(B4418)</x:f>
        <x:v>43573</x:v>
      </x:c>
      <x:c r="D4418" s="28" t="n">
        <x:f>MOD(B4418,1)</x:f>
        <x:v>0.17121527777635492</x:v>
      </x:c>
      <x:c r="E4418" s="29" t="n">
        <x:f>YEAR(B4418)</x:f>
        <x:v>2019</x:v>
      </x:c>
      <x:c r="F4418" s="29" t="n">
        <x:f>MONTH(B4418)</x:f>
        <x:v>4</x:v>
      </x:c>
      <x:c r="G4418" s="30" t="n">
        <x:v>-29.38</x:v>
      </x:c>
      <x:c r="H4418" s="30" t="n">
        <x:v>-71.63</x:v>
      </x:c>
      <x:c r="I4418" s="29" t="n">
        <x:v>65</x:v>
      </x:c>
      <x:c r="J4418" s="31" t="n">
        <x:v>5.7</x:v>
      </x:c>
      <x:c r="K4418" s="25" t="str">
        <x:f>IF(J4418&gt;=7,"Muy fuerte (&gt;=7)",IF(J4418&gt;=6,"Fuerte (6-6.9)",IF(J4418&gt;=5,"Moderado alto (5-5.9)",IF(J4418&gt;=4,"Moderado (4-4.9)","Menor a 4"))))</x:f>
        <x:v>Moderado alto (5-5.9)</x:v>
      </x:c>
      <x:c r="L4418" s="25" t="str">
        <x:f>IF(I4418&lt;70,"Superficial (&lt;70 km)",IF(I4418&lt;=300,"Intermedio (70-300 km)","Profundo (&gt;300 km)"))</x:f>
        <x:v>Superficial (&lt;70 km)</x:v>
      </x:c>
      <x:c r="M4418" s="25" t="str">
        <x:f>IF(J4418&gt;=5,"Sí","No")</x:f>
        <x:v>Sí</x:v>
      </x:c>
      <x:c r="N4418" s="25" t="str">
        <x:f>IF(J4418&gt;=6,"Sí","No")</x:f>
        <x:v>No</x:v>
      </x:c>
      <x:c r="O4418" s="25" t="str">
        <x:v>Pendiente: asignar con R/sf</x:v>
      </x:c>
    </x:row>
    <x:row r="4419">
      <x:c r="A4419" s="25" t="n">
        <x:v>4418</x:v>
      </x:c>
      <x:c r="B4419" s="26" t="n">
        <x:v>43432.772685185184</x:v>
      </x:c>
      <x:c r="C4419" s="27" t="n">
        <x:f>INT(B4419)</x:f>
        <x:v>43432</x:v>
      </x:c>
      <x:c r="D4419" s="28" t="n">
        <x:f>MOD(B4419,1)</x:f>
        <x:v>0.7726851851839456</x:v>
      </x:c>
      <x:c r="E4419" s="29" t="n">
        <x:f>YEAR(B4419)</x:f>
        <x:v>2018</x:v>
      </x:c>
      <x:c r="F4419" s="29" t="n">
        <x:f>MONTH(B4419)</x:f>
        <x:v>11</x:v>
      </x:c>
      <x:c r="G4419" s="30" t="n">
        <x:v>-33.7</x:v>
      </x:c>
      <x:c r="H4419" s="30" t="n">
        <x:v>-72.06</x:v>
      </x:c>
      <x:c r="I4419" s="29" t="n">
        <x:v>36</x:v>
      </x:c>
      <x:c r="J4419" s="31" t="n">
        <x:v>4.3</x:v>
      </x:c>
      <x:c r="K4419" s="25" t="str">
        <x:f>IF(J4419&gt;=7,"Muy fuerte (&gt;=7)",IF(J4419&gt;=6,"Fuerte (6-6.9)",IF(J4419&gt;=5,"Moderado alto (5-5.9)",IF(J4419&gt;=4,"Moderado (4-4.9)","Menor a 4"))))</x:f>
        <x:v>Moderado (4-4.9)</x:v>
      </x:c>
      <x:c r="L4419" s="25" t="str">
        <x:f>IF(I4419&lt;70,"Superficial (&lt;70 km)",IF(I4419&lt;=300,"Intermedio (70-300 km)","Profundo (&gt;300 km)"))</x:f>
        <x:v>Superficial (&lt;70 km)</x:v>
      </x:c>
      <x:c r="M4419" s="25" t="str">
        <x:f>IF(J4419&gt;=5,"Sí","No")</x:f>
        <x:v>No</x:v>
      </x:c>
      <x:c r="N4419" s="25" t="str">
        <x:f>IF(J4419&gt;=6,"Sí","No")</x:f>
        <x:v>No</x:v>
      </x:c>
      <x:c r="O4419" s="25" t="str">
        <x:v>Pendiente: asignar con R/sf</x:v>
      </x:c>
    </x:row>
    <x:row r="4420">
      <x:c r="A4420" s="25" t="n">
        <x:v>4419</x:v>
      </x:c>
      <x:c r="B4420" s="26" t="n">
        <x:v>43065.366423611114</x:v>
      </x:c>
      <x:c r="C4420" s="27" t="n">
        <x:f>INT(B4420)</x:f>
        <x:v>43065</x:v>
      </x:c>
      <x:c r="D4420" s="28" t="n">
        <x:f>MOD(B4420,1)</x:f>
        <x:v>0.3664236111144419</x:v>
      </x:c>
      <x:c r="E4420" s="29" t="n">
        <x:f>YEAR(B4420)</x:f>
        <x:v>2017</x:v>
      </x:c>
      <x:c r="F4420" s="29" t="n">
        <x:f>MONTH(B4420)</x:f>
        <x:v>11</x:v>
      </x:c>
      <x:c r="G4420" s="30" t="n">
        <x:v>-32.65</x:v>
      </x:c>
      <x:c r="H4420" s="30" t="n">
        <x:v>-71.59</x:v>
      </x:c>
      <x:c r="I4420" s="29" t="n">
        <x:v>32</x:v>
      </x:c>
      <x:c r="J4420" s="31" t="n">
        <x:v>4</x:v>
      </x:c>
      <x:c r="K4420" s="25" t="str">
        <x:f>IF(J4420&gt;=7,"Muy fuerte (&gt;=7)",IF(J4420&gt;=6,"Fuerte (6-6.9)",IF(J4420&gt;=5,"Moderado alto (5-5.9)",IF(J4420&gt;=4,"Moderado (4-4.9)","Menor a 4"))))</x:f>
        <x:v>Moderado (4-4.9)</x:v>
      </x:c>
      <x:c r="L4420" s="25" t="str">
        <x:f>IF(I4420&lt;70,"Superficial (&lt;70 km)",IF(I4420&lt;=300,"Intermedio (70-300 km)","Profundo (&gt;300 km)"))</x:f>
        <x:v>Superficial (&lt;70 km)</x:v>
      </x:c>
      <x:c r="M4420" s="25" t="str">
        <x:f>IF(J4420&gt;=5,"Sí","No")</x:f>
        <x:v>No</x:v>
      </x:c>
      <x:c r="N4420" s="25" t="str">
        <x:f>IF(J4420&gt;=6,"Sí","No")</x:f>
        <x:v>No</x:v>
      </x:c>
      <x:c r="O4420" s="25" t="str">
        <x:v>Pendiente: asignar con R/sf</x:v>
      </x:c>
    </x:row>
    <x:row r="4421">
      <x:c r="A4421" s="25" t="n">
        <x:v>4420</x:v>
      </x:c>
      <x:c r="B4421" s="26" t="n">
        <x:v>43282.644953703704</x:v>
      </x:c>
      <x:c r="C4421" s="27" t="n">
        <x:f>INT(B4421)</x:f>
        <x:v>43282</x:v>
      </x:c>
      <x:c r="D4421" s="28" t="n">
        <x:f>MOD(B4421,1)</x:f>
        <x:v>0.6449537037042319</x:v>
      </x:c>
      <x:c r="E4421" s="29" t="n">
        <x:f>YEAR(B4421)</x:f>
        <x:v>2018</x:v>
      </x:c>
      <x:c r="F4421" s="29" t="n">
        <x:f>MONTH(B4421)</x:f>
        <x:v>7</x:v>
      </x:c>
      <x:c r="G4421" s="30" t="n">
        <x:v>-31.24</x:v>
      </x:c>
      <x:c r="H4421" s="30" t="n">
        <x:v>-71.45</x:v>
      </x:c>
      <x:c r="I4421" s="29" t="n">
        <x:v>40</x:v>
      </x:c>
      <x:c r="J4421" s="31" t="n">
        <x:v>4.2</x:v>
      </x:c>
      <x:c r="K4421" s="25" t="str">
        <x:f>IF(J4421&gt;=7,"Muy fuerte (&gt;=7)",IF(J4421&gt;=6,"Fuerte (6-6.9)",IF(J4421&gt;=5,"Moderado alto (5-5.9)",IF(J4421&gt;=4,"Moderado (4-4.9)","Menor a 4"))))</x:f>
        <x:v>Moderado (4-4.9)</x:v>
      </x:c>
      <x:c r="L4421" s="25" t="str">
        <x:f>IF(I4421&lt;70,"Superficial (&lt;70 km)",IF(I4421&lt;=300,"Intermedio (70-300 km)","Profundo (&gt;300 km)"))</x:f>
        <x:v>Superficial (&lt;70 km)</x:v>
      </x:c>
      <x:c r="M4421" s="25" t="str">
        <x:f>IF(J4421&gt;=5,"Sí","No")</x:f>
        <x:v>No</x:v>
      </x:c>
      <x:c r="N4421" s="25" t="str">
        <x:f>IF(J4421&gt;=6,"Sí","No")</x:f>
        <x:v>No</x:v>
      </x:c>
      <x:c r="O4421" s="25" t="str">
        <x:v>Pendiente: asignar con R/sf</x:v>
      </x:c>
    </x:row>
    <x:row r="4422">
      <x:c r="A4422" s="25" t="n">
        <x:v>4421</x:v>
      </x:c>
      <x:c r="B4422" s="26" t="n">
        <x:v>43493.282175925924</x:v>
      </x:c>
      <x:c r="C4422" s="27" t="n">
        <x:f>INT(B4422)</x:f>
        <x:v>43493</x:v>
      </x:c>
      <x:c r="D4422" s="28" t="n">
        <x:f>MOD(B4422,1)</x:f>
        <x:v>0.28217592592409346</x:v>
      </x:c>
      <x:c r="E4422" s="29" t="n">
        <x:f>YEAR(B4422)</x:f>
        <x:v>2019</x:v>
      </x:c>
      <x:c r="F4422" s="29" t="n">
        <x:f>MONTH(B4422)</x:f>
        <x:v>1</x:v>
      </x:c>
      <x:c r="G4422" s="30" t="n">
        <x:v>-32.66</x:v>
      </x:c>
      <x:c r="H4422" s="30" t="n">
        <x:v>-71.58</x:v>
      </x:c>
      <x:c r="I4422" s="29" t="n">
        <x:v>53</x:v>
      </x:c>
      <x:c r="J4422" s="31" t="n">
        <x:v>4.1</x:v>
      </x:c>
      <x:c r="K4422" s="25" t="str">
        <x:f>IF(J4422&gt;=7,"Muy fuerte (&gt;=7)",IF(J4422&gt;=6,"Fuerte (6-6.9)",IF(J4422&gt;=5,"Moderado alto (5-5.9)",IF(J4422&gt;=4,"Moderado (4-4.9)","Menor a 4"))))</x:f>
        <x:v>Moderado (4-4.9)</x:v>
      </x:c>
      <x:c r="L4422" s="25" t="str">
        <x:f>IF(I4422&lt;70,"Superficial (&lt;70 km)",IF(I4422&lt;=300,"Intermedio (70-300 km)","Profundo (&gt;300 km)"))</x:f>
        <x:v>Superficial (&lt;70 km)</x:v>
      </x:c>
      <x:c r="M4422" s="25" t="str">
        <x:f>IF(J4422&gt;=5,"Sí","No")</x:f>
        <x:v>No</x:v>
      </x:c>
      <x:c r="N4422" s="25" t="str">
        <x:f>IF(J4422&gt;=6,"Sí","No")</x:f>
        <x:v>No</x:v>
      </x:c>
      <x:c r="O4422" s="25" t="str">
        <x:v>Pendiente: asignar con R/sf</x:v>
      </x:c>
    </x:row>
    <x:row r="4423">
      <x:c r="A4423" s="25" t="n">
        <x:v>4422</x:v>
      </x:c>
      <x:c r="B4423" s="26" t="n">
        <x:v>43231.91506944445</x:v>
      </x:c>
      <x:c r="C4423" s="27" t="n">
        <x:f>INT(B4423)</x:f>
        <x:v>43231</x:v>
      </x:c>
      <x:c r="D4423" s="28" t="n">
        <x:f>MOD(B4423,1)</x:f>
        <x:v>0.9150694444469991</x:v>
      </x:c>
      <x:c r="E4423" s="29" t="n">
        <x:f>YEAR(B4423)</x:f>
        <x:v>2018</x:v>
      </x:c>
      <x:c r="F4423" s="29" t="n">
        <x:f>MONTH(B4423)</x:f>
        <x:v>5</x:v>
      </x:c>
      <x:c r="G4423" s="30" t="n">
        <x:v>-32.79</x:v>
      </x:c>
      <x:c r="H4423" s="30" t="n">
        <x:v>-71.76</x:v>
      </x:c>
      <x:c r="I4423" s="29" t="n">
        <x:v>29</x:v>
      </x:c>
      <x:c r="J4423" s="31" t="n">
        <x:v>4.5</x:v>
      </x:c>
      <x:c r="K4423" s="25" t="str">
        <x:f>IF(J4423&gt;=7,"Muy fuerte (&gt;=7)",IF(J4423&gt;=6,"Fuerte (6-6.9)",IF(J4423&gt;=5,"Moderado alto (5-5.9)",IF(J4423&gt;=4,"Moderado (4-4.9)","Menor a 4"))))</x:f>
        <x:v>Moderado (4-4.9)</x:v>
      </x:c>
      <x:c r="L4423" s="25" t="str">
        <x:f>IF(I4423&lt;70,"Superficial (&lt;70 km)",IF(I4423&lt;=300,"Intermedio (70-300 km)","Profundo (&gt;300 km)"))</x:f>
        <x:v>Superficial (&lt;70 km)</x:v>
      </x:c>
      <x:c r="M4423" s="25" t="str">
        <x:f>IF(J4423&gt;=5,"Sí","No")</x:f>
        <x:v>No</x:v>
      </x:c>
      <x:c r="N4423" s="25" t="str">
        <x:f>IF(J4423&gt;=6,"Sí","No")</x:f>
        <x:v>No</x:v>
      </x:c>
      <x:c r="O4423" s="25" t="str">
        <x:v>Pendiente: asignar con R/sf</x:v>
      </x:c>
    </x:row>
    <x:row r="4424">
      <x:c r="A4424" s="25" t="n">
        <x:v>4423</x:v>
      </x:c>
      <x:c r="B4424" s="26" t="n">
        <x:v>43137.824421296296</x:v>
      </x:c>
      <x:c r="C4424" s="27" t="n">
        <x:f>INT(B4424)</x:f>
        <x:v>43137</x:v>
      </x:c>
      <x:c r="D4424" s="28" t="n">
        <x:f>MOD(B4424,1)</x:f>
        <x:v>0.8244212962963502</x:v>
      </x:c>
      <x:c r="E4424" s="29" t="n">
        <x:f>YEAR(B4424)</x:f>
        <x:v>2018</x:v>
      </x:c>
      <x:c r="F4424" s="29" t="n">
        <x:f>MONTH(B4424)</x:f>
        <x:v>2</x:v>
      </x:c>
      <x:c r="G4424" s="30" t="n">
        <x:v>-32.47</x:v>
      </x:c>
      <x:c r="H4424" s="30" t="n">
        <x:v>-70.31</x:v>
      </x:c>
      <x:c r="I4424" s="29" t="n">
        <x:v>104</x:v>
      </x:c>
      <x:c r="J4424" s="31" t="n">
        <x:v>4.4</x:v>
      </x:c>
      <x:c r="K4424" s="25" t="str">
        <x:f>IF(J4424&gt;=7,"Muy fuerte (&gt;=7)",IF(J4424&gt;=6,"Fuerte (6-6.9)",IF(J4424&gt;=5,"Moderado alto (5-5.9)",IF(J4424&gt;=4,"Moderado (4-4.9)","Menor a 4"))))</x:f>
        <x:v>Moderado (4-4.9)</x:v>
      </x:c>
      <x:c r="L4424" s="25" t="str">
        <x:f>IF(I4424&lt;70,"Superficial (&lt;70 km)",IF(I4424&lt;=300,"Intermedio (70-300 km)","Profundo (&gt;300 km)"))</x:f>
        <x:v>Intermedio (70-300 km)</x:v>
      </x:c>
      <x:c r="M4424" s="25" t="str">
        <x:f>IF(J4424&gt;=5,"Sí","No")</x:f>
        <x:v>No</x:v>
      </x:c>
      <x:c r="N4424" s="25" t="str">
        <x:f>IF(J4424&gt;=6,"Sí","No")</x:f>
        <x:v>No</x:v>
      </x:c>
      <x:c r="O4424" s="25" t="str">
        <x:v>Pendiente: asignar con R/sf</x:v>
      </x:c>
    </x:row>
    <x:row r="4425">
      <x:c r="A4425" s="25" t="n">
        <x:v>4424</x:v>
      </x:c>
      <x:c r="B4425" s="26" t="n">
        <x:v>42013.77431712963</x:v>
      </x:c>
      <x:c r="C4425" s="27" t="n">
        <x:f>INT(B4425)</x:f>
        <x:v>42013</x:v>
      </x:c>
      <x:c r="D4425" s="28" t="n">
        <x:f>MOD(B4425,1)</x:f>
        <x:v>0.7743171296315268</x:v>
      </x:c>
      <x:c r="E4425" s="29" t="n">
        <x:f>YEAR(B4425)</x:f>
        <x:v>2015</x:v>
      </x:c>
      <x:c r="F4425" s="29" t="n">
        <x:f>MONTH(B4425)</x:f>
        <x:v>1</x:v>
      </x:c>
      <x:c r="G4425" s="30" t="n">
        <x:v>-34.23</x:v>
      </x:c>
      <x:c r="H4425" s="30" t="n">
        <x:v>-72.45</x:v>
      </x:c>
      <x:c r="I4425" s="29" t="n">
        <x:v>40</x:v>
      </x:c>
      <x:c r="J4425" s="31" t="n">
        <x:v>4.7</x:v>
      </x:c>
      <x:c r="K4425" s="25" t="str">
        <x:f>IF(J4425&gt;=7,"Muy fuerte (&gt;=7)",IF(J4425&gt;=6,"Fuerte (6-6.9)",IF(J4425&gt;=5,"Moderado alto (5-5.9)",IF(J4425&gt;=4,"Moderado (4-4.9)","Menor a 4"))))</x:f>
        <x:v>Moderado (4-4.9)</x:v>
      </x:c>
      <x:c r="L4425" s="25" t="str">
        <x:f>IF(I4425&lt;70,"Superficial (&lt;70 km)",IF(I4425&lt;=300,"Intermedio (70-300 km)","Profundo (&gt;300 km)"))</x:f>
        <x:v>Superficial (&lt;70 km)</x:v>
      </x:c>
      <x:c r="M4425" s="25" t="str">
        <x:f>IF(J4425&gt;=5,"Sí","No")</x:f>
        <x:v>No</x:v>
      </x:c>
      <x:c r="N4425" s="25" t="str">
        <x:f>IF(J4425&gt;=6,"Sí","No")</x:f>
        <x:v>No</x:v>
      </x:c>
      <x:c r="O4425" s="25" t="str">
        <x:v>Pendiente: asignar con R/sf</x:v>
      </x:c>
    </x:row>
  </x:sheetData>
  <x:conditionalFormatting sqref="J2:J4425">
    <x:cfRule type="colorScale" priority="1">
      <x:colorScale>
        <x:cfvo type="min"/>
        <x:cfvo type="percentile" val="50"/>
        <x:cfvo type="max"/>
        <x:color rgb="DCFCE7"/>
        <x:color rgb="FEF3C7"/>
        <x:color rgb="FCA5A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b175a0e432d44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.170000076293945" hidden="0" customWidth="1"/>
    <x:col min="2" max="2" width="80" hidden="0" customWidth="1"/>
  </x:cols>
  <x:sheetData>
    <x:row r="1">
      <x:c r="A1" s="42" t="str">
        <x:v>Campo</x:v>
      </x:c>
      <x:c r="B1" s="46" t="str">
        <x:v>Descripción</x:v>
      </x:c>
    </x:row>
    <x:row r="2">
      <x:c r="A2" t="str">
        <x:v>id_sismo</x:v>
      </x:c>
      <x:c r="B2" t="str">
        <x:v>Identificador consecutivo agregado para trabajar la base.</x:v>
      </x:c>
    </x:row>
    <x:row r="3">
      <x:c r="A3" t="str">
        <x:v>fecha_utc_original</x:v>
      </x:c>
      <x:c r="B3" t="str">
        <x:v>Fecha y hora original del sismo en UTC.</x:v>
      </x:c>
    </x:row>
    <x:row r="4">
      <x:c r="A4" t="str">
        <x:v>fecha</x:v>
      </x:c>
      <x:c r="B4" t="str">
        <x:v>Fecha separada desde fecha_utc_original. Fórmula en Excel.</x:v>
      </x:c>
    </x:row>
    <x:row r="5">
      <x:c r="A5" t="str">
        <x:v>hora_utc</x:v>
      </x:c>
      <x:c r="B5" t="str">
        <x:v>Hora UTC separada desde fecha_utc_original. Fórmula en Excel.</x:v>
      </x:c>
    </x:row>
    <x:row r="6">
      <x:c r="A6" t="str">
        <x:v>anio</x:v>
      </x:c>
      <x:c r="B6" t="str">
        <x:v>Año del evento sísmico. Fórmula en Excel.</x:v>
      </x:c>
    </x:row>
    <x:row r="7">
      <x:c r="A7" t="str">
        <x:v>mes</x:v>
      </x:c>
      <x:c r="B7" t="str">
        <x:v>Mes del evento sísmico. Fórmula en Excel.</x:v>
      </x:c>
    </x:row>
    <x:row r="8">
      <x:c r="A8" t="str">
        <x:v>latitud</x:v>
      </x:c>
      <x:c r="B8" t="str">
        <x:v>Coordenada de latitud en grados decimales. En Chile normalmente es negativa.</x:v>
      </x:c>
    </x:row>
    <x:row r="9">
      <x:c r="A9" t="str">
        <x:v>longitud</x:v>
      </x:c>
      <x:c r="B9" t="str">
        <x:v>Coordenada de longitud en grados decimales. En Chile normalmente es negativa.</x:v>
      </x:c>
    </x:row>
    <x:row r="10">
      <x:c r="A10" t="str">
        <x:v>profundidad_km</x:v>
      </x:c>
      <x:c r="B10" t="str">
        <x:v>Profundidad del evento en kilómetros.</x:v>
      </x:c>
    </x:row>
    <x:row r="11">
      <x:c r="A11" t="str">
        <x:v>magnitud</x:v>
      </x:c>
      <x:c r="B11" t="str">
        <x:v>Magnitud reportada del sismo.</x:v>
      </x:c>
    </x:row>
    <x:row r="12">
      <x:c r="A12" t="str">
        <x:v>categoria_magnitud</x:v>
      </x:c>
      <x:c r="B12" t="str">
        <x:v>Clasificación simple según magnitud.</x:v>
      </x:c>
    </x:row>
    <x:row r="13">
      <x:c r="A13" t="str">
        <x:v>categoria_profundidad</x:v>
      </x:c>
      <x:c r="B13" t="str">
        <x:v>Clasificación simple: superficial, intermedio o profundo.</x:v>
      </x:c>
    </x:row>
    <x:row r="14">
      <x:c r="A14" t="str">
        <x:v>sismo_m5_o_mas</x:v>
      </x:c>
      <x:c r="B14" t="str">
        <x:v>Indicador para eventos con magnitud mayor o igual a 5.</x:v>
      </x:c>
    </x:row>
    <x:row r="15">
      <x:c r="A15" t="str">
        <x:v>sismo_m6_o_mas</x:v>
      </x:c>
      <x:c r="B15" t="str">
        <x:v>Indicador para eventos con magnitud mayor o igual a 6.</x:v>
      </x:c>
    </x:row>
    <x:row r="16">
      <x:c r="A16" t="str">
        <x:v>region_asignada_sf</x:v>
      </x:c>
      <x:c r="B16" t="str">
        <x:v>Campo pendiente. Se debe completar cruzando los puntos con polígonos regionales en R usando sf.</x:v>
      </x:c>
    </x:row>
    <x:row r="17">
      <x:c r="A17" t="str">
        <x:v>Fuente de los datos</x:v>
      </x:c>
      <x:c r="B17" t="str">
        <x:v>Datos entregados por el usuario en texto tabulado.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>
      <x:c r="A1" s="49" t="str">
        <x:v>Resumen de la base de sismos</x:v>
      </x:c>
      <x:c r="B1" t="str"/>
    </x:row>
    <x:row r="2">
      <x:c r="A2" s="52" t="str">
        <x:v>Total de eventos</x:v>
      </x:c>
      <x:c r="B2" s="18" t="n">
        <x:f>COUNTA(Datos_sismos!A2:A4425)</x:f>
        <x:v>4424</x:v>
      </x:c>
    </x:row>
    <x:row r="3">
      <x:c r="A3" s="52" t="str">
        <x:v>Año mínimo</x:v>
      </x:c>
      <x:c r="B3" s="18" t="n">
        <x:f>MIN(Datos_sismos!E2:E4425)</x:f>
        <x:v>2012</x:v>
      </x:c>
    </x:row>
    <x:row r="4">
      <x:c r="A4" s="52" t="str">
        <x:v>Año máximo</x:v>
      </x:c>
      <x:c r="B4" s="18" t="n">
        <x:f>MAX(Datos_sismos!E2:E4425)</x:f>
        <x:v>2026</x:v>
      </x:c>
    </x:row>
    <x:row r="5">
      <x:c r="A5" s="52" t="str">
        <x:v>Magnitud mínima</x:v>
      </x:c>
      <x:c r="B5" s="20" t="n">
        <x:f>MIN(Datos_sismos!J2:J4425)</x:f>
        <x:v>3</x:v>
      </x:c>
    </x:row>
    <x:row r="6">
      <x:c r="A6" s="52" t="str">
        <x:v>Magnitud promedio</x:v>
      </x:c>
      <x:c r="B6" s="20" t="n">
        <x:f>AVERAGE(Datos_sismos!J2:J4425)</x:f>
        <x:v>4.406781193490069</x:v>
      </x:c>
    </x:row>
    <x:row r="7">
      <x:c r="A7" s="52" t="str">
        <x:v>Magnitud máxima</x:v>
      </x:c>
      <x:c r="B7" s="20" t="n">
        <x:f>MAX(Datos_sismos!J2:J4425)</x:f>
        <x:v>8.4</x:v>
      </x:c>
    </x:row>
    <x:row r="8">
      <x:c r="A8" s="52" t="str">
        <x:v>Profundidad promedio (km)</x:v>
      </x:c>
      <x:c r="B8" s="18" t="n">
        <x:f>AVERAGE(Datos_sismos!I2:I4425)</x:f>
        <x:v>62.30899638336347</x:v>
      </x:c>
    </x:row>
    <x:row r="9">
      <x:c r="A9" s="52" t="str">
        <x:v>Eventos M5 o más</x:v>
      </x:c>
      <x:c r="B9" s="18" t="n">
        <x:f>COUNTIF(Datos_sismos!M2:M4425,"Sí")</x:f>
        <x:v>845</x:v>
      </x:c>
    </x:row>
    <x:row r="10">
      <x:c r="A10" s="52" t="str">
        <x:v>Eventos M6 o más</x:v>
      </x:c>
      <x:c r="B10" s="18" t="n">
        <x:f>COUNTIF(Datos_sismos!N2:N4425,"Sí")</x:f>
        <x:v>121</x:v>
      </x:c>
    </x:row>
    <x:row r="12">
      <x:c r="A12" s="42" t="str">
        <x:v>Eventos por año</x:v>
      </x:c>
      <x:c r="B12" s="42" t="str">
        <x:v>Cantidad</x:v>
      </x:c>
    </x:row>
    <x:row r="13">
      <x:c r="A13" t="n">
        <x:v>2012</x:v>
      </x:c>
      <x:c r="B13" t="n">
        <x:f>COUNTIF(Datos_sismos!E2:E4425,A13)</x:f>
        <x:v>19</x:v>
      </x:c>
    </x:row>
    <x:row r="14">
      <x:c r="A14" t="n">
        <x:v>2013</x:v>
      </x:c>
      <x:c r="B14" t="n">
        <x:f>COUNTIF(Datos_sismos!E2:E4425,A14)</x:f>
        <x:v>17</x:v>
      </x:c>
    </x:row>
    <x:row r="15">
      <x:c r="A15" t="n">
        <x:v>2014</x:v>
      </x:c>
      <x:c r="B15" t="n">
        <x:f>COUNTIF(Datos_sismos!E2:E4425,A15)</x:f>
        <x:v>312</x:v>
      </x:c>
    </x:row>
    <x:row r="16">
      <x:c r="A16" t="n">
        <x:v>2015</x:v>
      </x:c>
      <x:c r="B16" t="n">
        <x:f>COUNTIF(Datos_sismos!E2:E4425,A16)</x:f>
        <x:v>467</x:v>
      </x:c>
    </x:row>
    <x:row r="17">
      <x:c r="A17" t="n">
        <x:v>2016</x:v>
      </x:c>
      <x:c r="B17" t="n">
        <x:f>COUNTIF(Datos_sismos!E2:E4425,A17)</x:f>
        <x:v>325</x:v>
      </x:c>
    </x:row>
    <x:row r="18">
      <x:c r="A18" t="n">
        <x:v>2017</x:v>
      </x:c>
      <x:c r="B18" t="n">
        <x:f>COUNTIF(Datos_sismos!E2:E4425,A18)</x:f>
        <x:v>352</x:v>
      </x:c>
    </x:row>
    <x:row r="19">
      <x:c r="A19" t="n">
        <x:v>2018</x:v>
      </x:c>
      <x:c r="B19" t="n">
        <x:f>COUNTIF(Datos_sismos!E2:E4425,A19)</x:f>
        <x:v>287</x:v>
      </x:c>
    </x:row>
    <x:row r="20">
      <x:c r="A20" t="n">
        <x:v>2019</x:v>
      </x:c>
      <x:c r="B20" t="n">
        <x:f>COUNTIF(Datos_sismos!E2:E4425,A20)</x:f>
        <x:v>472</x:v>
      </x:c>
    </x:row>
    <x:row r="21">
      <x:c r="A21" t="n">
        <x:v>2020</x:v>
      </x:c>
      <x:c r="B21" t="n">
        <x:f>COUNTIF(Datos_sismos!E2:E4425,A21)</x:f>
        <x:v>433</x:v>
      </x:c>
    </x:row>
    <x:row r="22">
      <x:c r="A22" t="n">
        <x:v>2021</x:v>
      </x:c>
      <x:c r="B22" t="n">
        <x:f>COUNTIF(Datos_sismos!E2:E4425,A22)</x:f>
        <x:v>405</x:v>
      </x:c>
    </x:row>
    <x:row r="23">
      <x:c r="A23" t="n">
        <x:v>2022</x:v>
      </x:c>
      <x:c r="B23" t="n">
        <x:f>COUNTIF(Datos_sismos!E2:E4425,A23)</x:f>
        <x:v>385</x:v>
      </x:c>
    </x:row>
    <x:row r="24">
      <x:c r="A24" t="n">
        <x:v>2023</x:v>
      </x:c>
      <x:c r="B24" t="n">
        <x:f>COUNTIF(Datos_sismos!E2:E4425,A24)</x:f>
        <x:v>357</x:v>
      </x:c>
    </x:row>
    <x:row r="25">
      <x:c r="A25" t="n">
        <x:v>2024</x:v>
      </x:c>
      <x:c r="B25" t="n">
        <x:f>COUNTIF(Datos_sismos!E2:E4425,A25)</x:f>
        <x:v>330</x:v>
      </x:c>
    </x:row>
    <x:row r="26">
      <x:c r="A26" t="n">
        <x:v>2025</x:v>
      </x:c>
      <x:c r="B26" t="n">
        <x:f>COUNTIF(Datos_sismos!E2:E4425,A26)</x:f>
        <x:v>238</x:v>
      </x:c>
    </x:row>
    <x:row r="27">
      <x:c r="A27" t="n">
        <x:v>2026</x:v>
      </x:c>
      <x:c r="B27" t="n">
        <x:f>COUNTIF(Datos_sismos!E2:E4425,A27)</x:f>
        <x:v>25</x:v>
      </x:c>
    </x:row>
    <x:row r="30">
      <x:c r="A30" s="42" t="str">
        <x:v>Eventos por categoría de magnitud</x:v>
      </x:c>
      <x:c r="B30" s="42" t="str">
        <x:v>Cantidad</x:v>
      </x:c>
    </x:row>
    <x:row r="31">
      <x:c r="A31" t="str">
        <x:v>Menor a 4</x:v>
      </x:c>
      <x:c r="B31" t="n">
        <x:f>COUNTIF(Datos_sismos!K2:K4425,A31)</x:f>
        <x:v>972</x:v>
      </x:c>
    </x:row>
    <x:row r="32">
      <x:c r="A32" t="str">
        <x:v>Moderado (4-4.9)</x:v>
      </x:c>
      <x:c r="B32" t="n">
        <x:f>COUNTIF(Datos_sismos!K2:K4425,A32)</x:f>
        <x:v>2607</x:v>
      </x:c>
    </x:row>
    <x:row r="33">
      <x:c r="A33" t="str">
        <x:v>Moderado alto (5-5.9)</x:v>
      </x:c>
      <x:c r="B33" t="n">
        <x:f>COUNTIF(Datos_sismos!K2:K4425,A33)</x:f>
        <x:v>724</x:v>
      </x:c>
    </x:row>
    <x:row r="34">
      <x:c r="A34" t="str">
        <x:v>Fuerte (6-6.9)</x:v>
      </x:c>
      <x:c r="B34" t="n">
        <x:f>COUNTIF(Datos_sismos!K2:K4425,A34)</x:f>
        <x:v>113</x:v>
      </x:c>
    </x:row>
    <x:row r="35">
      <x:c r="A35" t="str">
        <x:v>Muy fuerte (&gt;=7)</x:v>
      </x:c>
      <x:c r="B35" t="n">
        <x:f>COUNTIF(Datos_sismos!K2:K4425,A35)</x:f>
        <x:v>8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4c6b3662a98c4d25"/>
</x:worksheet>
</file>

<file path=xl/worksheets/sheet4.xml><?xml version="1.0" encoding="utf-8"?>
<x:worksheet xmlns:x="http://schemas.openxmlformats.org/spreadsheetml/2006/main">
  <x:sheetFormatPr defaultRowHeight="15"/>
  <x:cols>
    <x:col min="1" max="1" width="34.189998626708984" hidden="0" customWidth="1"/>
    <x:col min="2" max="2" width="100" hidden="0" customWidth="1"/>
  </x:cols>
  <x:sheetData>
    <x:row r="1">
      <x:c r="A1" s="60" t="str">
        <x:v>Proyecto guiado: Sismos en Chile</x:v>
      </x:c>
      <x:c r="B1" s="61" t="str"/>
    </x:row>
    <x:row r="2">
      <x:c r="A2" s="52" t="str">
        <x:v>Pregunta posible</x:v>
      </x:c>
      <x:c r="B2" t="str">
        <x:v>¿Cómo se distribuyen espacialmente los sismos registrados en Chile y qué regiones concentran eventos de mayor magnitud?</x:v>
      </x:c>
    </x:row>
    <x:row r="3">
      <x:c r="A3" s="52" t="str">
        <x:v>Unidad de análisis</x:v>
      </x:c>
      <x:c r="B3" t="str">
        <x:v>Evento sísmico.</x:v>
      </x:c>
    </x:row>
    <x:row r="4">
      <x:c r="A4" s="52" t="str">
        <x:v>Variable respuesta posible</x:v>
      </x:c>
      <x:c r="B4" t="str">
        <x:v>Magnitud o indicador de sismo fuerte: magnitud &gt;= 5 o magnitud &gt;= 6.</x:v>
      </x:c>
    </x:row>
    <x:row r="5">
      <x:c r="A5" s="52" t="str">
        <x:v>Variables explicativas</x:v>
      </x:c>
      <x:c r="B5" t="str">
        <x:v>Profundidad, año, mes, latitud, longitud y región asignada mediante cruce espacial.</x:v>
      </x:c>
    </x:row>
    <x:row r="6">
      <x:c r="A6" s="52" t="str">
        <x:v>Hipótesis 1</x:v>
      </x:c>
      <x:c r="B6" t="str">
        <x:v>La magnitud promedio de los sismos cambia según región o macrozona.</x:v>
      </x:c>
    </x:row>
    <x:row r="7">
      <x:c r="A7" s="52" t="str">
        <x:v>Hipótesis 2</x:v>
      </x:c>
      <x:c r="B7" t="str">
        <x:v>Los sismos superficiales presentan una distribución espacial distinta a los sismos intermedios o profundos.</x:v>
      </x:c>
    </x:row>
    <x:row r="8">
      <x:c r="A8" s="52" t="str">
        <x:v>Test sugerido</x:v>
      </x:c>
      <x:c r="B8" t="str">
        <x:v>ANOVA o Kruskal-Wallis para comparar magnitud por región; chi-cuadrado para categoría de magnitud por macrozona; regresión logística para sismo fuerte.</x:v>
      </x:c>
    </x:row>
    <x:row r="9">
      <x:c r="A9" s="52" t="str">
        <x:v>Paso espacial clave</x:v>
      </x:c>
      <x:c r="B9" t="str">
        <x:v>Convertir latitud/longitud a puntos y cruzarlos con polígonos regionales de Chile usando R y el paquete sf.</x:v>
      </x:c>
    </x:row>
    <x:row r="10">
      <x:c r="A10" s="52" t="str">
        <x:v>Advertencia metodológica</x:v>
      </x:c>
      <x:c r="B10" t="str">
        <x:v>No asignar región solo mirando la latitud. La región correcta debe salir del cruce espacial punto-polígono, porque Chile tiene costa, cordillera y límites irregulares.</x:v>
      </x:c>
    </x:row>
  </x:sheetData>
  <x:mergeCells>
    <x:mergeCell ref="A1:B1"/>
  </x:mergeCells>
  <x:pageMargins left="0.7" right="0.7" top="0.75" bottom="0.75" header="0.3" footer="0.3"/>
</x:worksheet>
</file>